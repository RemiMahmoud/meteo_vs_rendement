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5\"/>
    </mc:Choice>
  </mc:AlternateContent>
  <bookViews>
    <workbookView xWindow="0" yWindow="0" windowWidth="28800" windowHeight="11700" activeTab="1"/>
  </bookViews>
  <sheets>
    <sheet name="N-" sheetId="1" r:id="rId1"/>
    <sheet name="N+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183" i="2" l="1"/>
  <c r="AD181" i="2"/>
  <c r="AD179" i="2"/>
  <c r="AD177" i="2"/>
  <c r="AD175" i="2"/>
  <c r="AB193" i="2"/>
  <c r="AB185" i="2"/>
  <c r="W326" i="2"/>
  <c r="Q326" i="2"/>
  <c r="R326" i="2" s="1"/>
  <c r="S326" i="2" s="1"/>
  <c r="N326" i="2"/>
  <c r="W325" i="2"/>
  <c r="Q325" i="2"/>
  <c r="R325" i="2" s="1"/>
  <c r="S325" i="2" s="1"/>
  <c r="T325" i="2" s="1"/>
  <c r="O325" i="2"/>
  <c r="O326" i="2" s="1"/>
  <c r="N325" i="2"/>
  <c r="W324" i="2"/>
  <c r="R324" i="2"/>
  <c r="S324" i="2" s="1"/>
  <c r="Q324" i="2"/>
  <c r="N324" i="2"/>
  <c r="W323" i="2"/>
  <c r="S323" i="2"/>
  <c r="R323" i="2"/>
  <c r="Q323" i="2"/>
  <c r="N323" i="2"/>
  <c r="W322" i="2"/>
  <c r="S322" i="2"/>
  <c r="R322" i="2"/>
  <c r="Q322" i="2"/>
  <c r="N322" i="2"/>
  <c r="W321" i="2"/>
  <c r="Q321" i="2"/>
  <c r="R321" i="2" s="1"/>
  <c r="S321" i="2" s="1"/>
  <c r="N321" i="2"/>
  <c r="W320" i="2"/>
  <c r="Q320" i="2"/>
  <c r="R320" i="2" s="1"/>
  <c r="S320" i="2" s="1"/>
  <c r="N320" i="2"/>
  <c r="W319" i="2"/>
  <c r="Q319" i="2"/>
  <c r="R319" i="2" s="1"/>
  <c r="S319" i="2" s="1"/>
  <c r="N319" i="2"/>
  <c r="W318" i="2"/>
  <c r="R318" i="2"/>
  <c r="S318" i="2" s="1"/>
  <c r="Q318" i="2"/>
  <c r="N318" i="2"/>
  <c r="W317" i="2"/>
  <c r="Q317" i="2"/>
  <c r="R317" i="2" s="1"/>
  <c r="S317" i="2" s="1"/>
  <c r="N317" i="2"/>
  <c r="W316" i="2"/>
  <c r="R316" i="2"/>
  <c r="S316" i="2" s="1"/>
  <c r="Q316" i="2"/>
  <c r="N316" i="2"/>
  <c r="W315" i="2"/>
  <c r="S315" i="2"/>
  <c r="R315" i="2"/>
  <c r="Q315" i="2"/>
  <c r="N315" i="2"/>
  <c r="W314" i="2"/>
  <c r="R314" i="2"/>
  <c r="S314" i="2" s="1"/>
  <c r="Q314" i="2"/>
  <c r="N314" i="2"/>
  <c r="W313" i="2"/>
  <c r="S313" i="2"/>
  <c r="Q313" i="2"/>
  <c r="R313" i="2" s="1"/>
  <c r="N313" i="2"/>
  <c r="H313" i="2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W312" i="2"/>
  <c r="Q312" i="2"/>
  <c r="R312" i="2" s="1"/>
  <c r="S312" i="2" s="1"/>
  <c r="N312" i="2"/>
  <c r="W311" i="2"/>
  <c r="R311" i="2"/>
  <c r="S311" i="2" s="1"/>
  <c r="Q311" i="2"/>
  <c r="N311" i="2"/>
  <c r="W310" i="2"/>
  <c r="S310" i="2"/>
  <c r="Q310" i="2"/>
  <c r="R310" i="2" s="1"/>
  <c r="N310" i="2"/>
  <c r="W309" i="2"/>
  <c r="Q309" i="2"/>
  <c r="R309" i="2" s="1"/>
  <c r="S309" i="2" s="1"/>
  <c r="N309" i="2"/>
  <c r="W308" i="2"/>
  <c r="Q308" i="2"/>
  <c r="R308" i="2" s="1"/>
  <c r="S308" i="2" s="1"/>
  <c r="N308" i="2"/>
  <c r="W307" i="2"/>
  <c r="Q307" i="2"/>
  <c r="R307" i="2" s="1"/>
  <c r="S307" i="2" s="1"/>
  <c r="N307" i="2"/>
  <c r="W306" i="2"/>
  <c r="Q306" i="2"/>
  <c r="R306" i="2" s="1"/>
  <c r="S306" i="2" s="1"/>
  <c r="N306" i="2"/>
  <c r="W305" i="2"/>
  <c r="R305" i="2"/>
  <c r="S305" i="2" s="1"/>
  <c r="Q305" i="2"/>
  <c r="N305" i="2"/>
  <c r="W304" i="2"/>
  <c r="Q304" i="2"/>
  <c r="R304" i="2" s="1"/>
  <c r="S304" i="2" s="1"/>
  <c r="N304" i="2"/>
  <c r="W303" i="2"/>
  <c r="Q303" i="2"/>
  <c r="R303" i="2" s="1"/>
  <c r="S303" i="2" s="1"/>
  <c r="N303" i="2"/>
  <c r="W302" i="2"/>
  <c r="R302" i="2"/>
  <c r="S302" i="2" s="1"/>
  <c r="Q302" i="2"/>
  <c r="N302" i="2"/>
  <c r="W301" i="2"/>
  <c r="R301" i="2"/>
  <c r="S301" i="2" s="1"/>
  <c r="Q301" i="2"/>
  <c r="N301" i="2"/>
  <c r="W300" i="2"/>
  <c r="Q300" i="2"/>
  <c r="R300" i="2" s="1"/>
  <c r="S300" i="2" s="1"/>
  <c r="N300" i="2"/>
  <c r="W299" i="2"/>
  <c r="Q299" i="2"/>
  <c r="R299" i="2" s="1"/>
  <c r="S299" i="2" s="1"/>
  <c r="T299" i="2" s="1"/>
  <c r="N299" i="2"/>
  <c r="O299" i="2" s="1"/>
  <c r="W298" i="2"/>
  <c r="Q298" i="2"/>
  <c r="R298" i="2" s="1"/>
  <c r="S298" i="2" s="1"/>
  <c r="N298" i="2"/>
  <c r="W297" i="2"/>
  <c r="Q297" i="2"/>
  <c r="R297" i="2" s="1"/>
  <c r="S297" i="2" s="1"/>
  <c r="N297" i="2"/>
  <c r="W296" i="2"/>
  <c r="R296" i="2"/>
  <c r="S296" i="2" s="1"/>
  <c r="Q296" i="2"/>
  <c r="N296" i="2"/>
  <c r="I296" i="2"/>
  <c r="W295" i="2"/>
  <c r="Q295" i="2"/>
  <c r="R295" i="2" s="1"/>
  <c r="S295" i="2" s="1"/>
  <c r="N295" i="2"/>
  <c r="Z294" i="2"/>
  <c r="W294" i="2"/>
  <c r="Q294" i="2"/>
  <c r="R294" i="2" s="1"/>
  <c r="S294" i="2" s="1"/>
  <c r="N294" i="2"/>
  <c r="I294" i="2"/>
  <c r="W293" i="2"/>
  <c r="R293" i="2"/>
  <c r="S293" i="2" s="1"/>
  <c r="Q293" i="2"/>
  <c r="N293" i="2"/>
  <c r="H293" i="2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Y292" i="2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8" i="2" s="1"/>
  <c r="Y309" i="2" s="1"/>
  <c r="Y310" i="2" s="1"/>
  <c r="Y311" i="2" s="1"/>
  <c r="Y312" i="2" s="1"/>
  <c r="Y313" i="2" s="1"/>
  <c r="Y314" i="2" s="1"/>
  <c r="Y315" i="2" s="1"/>
  <c r="Y316" i="2" s="1"/>
  <c r="Y317" i="2" s="1"/>
  <c r="Y318" i="2" s="1"/>
  <c r="Y319" i="2" s="1"/>
  <c r="Y320" i="2" s="1"/>
  <c r="Y321" i="2" s="1"/>
  <c r="Y322" i="2" s="1"/>
  <c r="Y323" i="2" s="1"/>
  <c r="Y324" i="2" s="1"/>
  <c r="Y325" i="2" s="1"/>
  <c r="Y326" i="2" s="1"/>
  <c r="W292" i="2"/>
  <c r="Q292" i="2"/>
  <c r="R292" i="2" s="1"/>
  <c r="S292" i="2" s="1"/>
  <c r="N292" i="2"/>
  <c r="I292" i="2"/>
  <c r="H292" i="2"/>
  <c r="W291" i="2"/>
  <c r="Q291" i="2"/>
  <c r="R291" i="2" s="1"/>
  <c r="S291" i="2" s="1"/>
  <c r="N291" i="2"/>
  <c r="W290" i="2"/>
  <c r="S290" i="2"/>
  <c r="R290" i="2"/>
  <c r="Q290" i="2"/>
  <c r="N290" i="2"/>
  <c r="W289" i="2"/>
  <c r="S289" i="2"/>
  <c r="R289" i="2"/>
  <c r="Q289" i="2"/>
  <c r="N289" i="2"/>
  <c r="W288" i="2"/>
  <c r="R288" i="2"/>
  <c r="S288" i="2" s="1"/>
  <c r="Q288" i="2"/>
  <c r="N288" i="2"/>
  <c r="W287" i="2"/>
  <c r="R287" i="2"/>
  <c r="S287" i="2" s="1"/>
  <c r="Q287" i="2"/>
  <c r="N287" i="2"/>
  <c r="W286" i="2"/>
  <c r="R286" i="2"/>
  <c r="S286" i="2" s="1"/>
  <c r="Q286" i="2"/>
  <c r="N286" i="2"/>
  <c r="W285" i="2"/>
  <c r="R285" i="2"/>
  <c r="S285" i="2" s="1"/>
  <c r="Q285" i="2"/>
  <c r="N285" i="2"/>
  <c r="W284" i="2"/>
  <c r="R284" i="2"/>
  <c r="S284" i="2" s="1"/>
  <c r="Q284" i="2"/>
  <c r="N284" i="2"/>
  <c r="W283" i="2"/>
  <c r="S283" i="2"/>
  <c r="R283" i="2"/>
  <c r="Q283" i="2"/>
  <c r="N283" i="2"/>
  <c r="W282" i="2"/>
  <c r="S282" i="2"/>
  <c r="Q282" i="2"/>
  <c r="R282" i="2" s="1"/>
  <c r="N282" i="2"/>
  <c r="W281" i="2"/>
  <c r="R281" i="2"/>
  <c r="S281" i="2" s="1"/>
  <c r="Q281" i="2"/>
  <c r="N281" i="2"/>
  <c r="W280" i="2"/>
  <c r="Q280" i="2"/>
  <c r="R280" i="2" s="1"/>
  <c r="S280" i="2" s="1"/>
  <c r="N280" i="2"/>
  <c r="W279" i="2"/>
  <c r="S279" i="2"/>
  <c r="Q279" i="2"/>
  <c r="R279" i="2" s="1"/>
  <c r="N279" i="2"/>
  <c r="W278" i="2"/>
  <c r="S278" i="2"/>
  <c r="R278" i="2"/>
  <c r="Q278" i="2"/>
  <c r="N278" i="2"/>
  <c r="I278" i="2"/>
  <c r="W277" i="2"/>
  <c r="S277" i="2"/>
  <c r="Q277" i="2"/>
  <c r="R277" i="2" s="1"/>
  <c r="N277" i="2"/>
  <c r="Z276" i="2"/>
  <c r="Y276" i="2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Y290" i="2" s="1"/>
  <c r="W276" i="2"/>
  <c r="Q276" i="2"/>
  <c r="R276" i="2" s="1"/>
  <c r="S276" i="2" s="1"/>
  <c r="N276" i="2"/>
  <c r="I276" i="2"/>
  <c r="Y275" i="2"/>
  <c r="W275" i="2"/>
  <c r="R275" i="2"/>
  <c r="S275" i="2" s="1"/>
  <c r="Q275" i="2"/>
  <c r="N275" i="2"/>
  <c r="H275" i="2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Y274" i="2"/>
  <c r="W274" i="2"/>
  <c r="Q274" i="2"/>
  <c r="R274" i="2" s="1"/>
  <c r="S274" i="2" s="1"/>
  <c r="N274" i="2"/>
  <c r="I274" i="2"/>
  <c r="H274" i="2"/>
  <c r="W273" i="2"/>
  <c r="R273" i="2"/>
  <c r="S273" i="2" s="1"/>
  <c r="Q273" i="2"/>
  <c r="N273" i="2"/>
  <c r="W272" i="2"/>
  <c r="R272" i="2"/>
  <c r="S272" i="2" s="1"/>
  <c r="N272" i="2"/>
  <c r="W271" i="2"/>
  <c r="R271" i="2"/>
  <c r="S271" i="2" s="1"/>
  <c r="N271" i="2"/>
  <c r="W270" i="2"/>
  <c r="S270" i="2"/>
  <c r="R270" i="2"/>
  <c r="N270" i="2"/>
  <c r="W269" i="2"/>
  <c r="R269" i="2"/>
  <c r="S269" i="2" s="1"/>
  <c r="N269" i="2"/>
  <c r="W268" i="2"/>
  <c r="R268" i="2"/>
  <c r="S268" i="2" s="1"/>
  <c r="N268" i="2"/>
  <c r="W267" i="2"/>
  <c r="R267" i="2"/>
  <c r="S267" i="2" s="1"/>
  <c r="N267" i="2"/>
  <c r="W266" i="2"/>
  <c r="S266" i="2"/>
  <c r="R266" i="2"/>
  <c r="N266" i="2"/>
  <c r="W265" i="2"/>
  <c r="R265" i="2"/>
  <c r="S265" i="2" s="1"/>
  <c r="N265" i="2"/>
  <c r="W264" i="2"/>
  <c r="S264" i="2"/>
  <c r="R264" i="2"/>
  <c r="N264" i="2"/>
  <c r="W263" i="2"/>
  <c r="S263" i="2"/>
  <c r="R263" i="2"/>
  <c r="N263" i="2"/>
  <c r="W262" i="2"/>
  <c r="R262" i="2"/>
  <c r="S262" i="2" s="1"/>
  <c r="N262" i="2"/>
  <c r="W261" i="2"/>
  <c r="S261" i="2"/>
  <c r="R261" i="2"/>
  <c r="N261" i="2"/>
  <c r="W260" i="2"/>
  <c r="S260" i="2"/>
  <c r="R260" i="2"/>
  <c r="N260" i="2"/>
  <c r="W259" i="2"/>
  <c r="R259" i="2"/>
  <c r="S259" i="2" s="1"/>
  <c r="N259" i="2"/>
  <c r="W258" i="2"/>
  <c r="R258" i="2"/>
  <c r="S258" i="2" s="1"/>
  <c r="N258" i="2"/>
  <c r="W257" i="2"/>
  <c r="S257" i="2"/>
  <c r="R257" i="2"/>
  <c r="N257" i="2"/>
  <c r="W256" i="2"/>
  <c r="R256" i="2"/>
  <c r="S256" i="2" s="1"/>
  <c r="N256" i="2"/>
  <c r="I256" i="2"/>
  <c r="Y255" i="2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W255" i="2"/>
  <c r="R255" i="2"/>
  <c r="S255" i="2" s="1"/>
  <c r="N255" i="2"/>
  <c r="Z254" i="2"/>
  <c r="W254" i="2"/>
  <c r="S254" i="2"/>
  <c r="R254" i="2"/>
  <c r="N254" i="2"/>
  <c r="I254" i="2"/>
  <c r="H254" i="2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W253" i="2"/>
  <c r="S253" i="2"/>
  <c r="R253" i="2"/>
  <c r="N253" i="2"/>
  <c r="Y252" i="2"/>
  <c r="Y253" i="2" s="1"/>
  <c r="Y254" i="2" s="1"/>
  <c r="W252" i="2"/>
  <c r="R252" i="2"/>
  <c r="S252" i="2" s="1"/>
  <c r="N252" i="2"/>
  <c r="I252" i="2"/>
  <c r="H252" i="2"/>
  <c r="H253" i="2" s="1"/>
  <c r="W251" i="2"/>
  <c r="S251" i="2"/>
  <c r="R251" i="2"/>
  <c r="N251" i="2"/>
  <c r="W250" i="2"/>
  <c r="S250" i="2"/>
  <c r="R250" i="2"/>
  <c r="N250" i="2"/>
  <c r="W249" i="2"/>
  <c r="R249" i="2"/>
  <c r="S249" i="2" s="1"/>
  <c r="N249" i="2"/>
  <c r="W248" i="2"/>
  <c r="S248" i="2"/>
  <c r="R248" i="2"/>
  <c r="N248" i="2"/>
  <c r="W247" i="2"/>
  <c r="R247" i="2"/>
  <c r="S247" i="2" s="1"/>
  <c r="N247" i="2"/>
  <c r="W246" i="2"/>
  <c r="S246" i="2"/>
  <c r="R246" i="2"/>
  <c r="N246" i="2"/>
  <c r="W245" i="2"/>
  <c r="R245" i="2"/>
  <c r="S245" i="2" s="1"/>
  <c r="N245" i="2"/>
  <c r="W244" i="2"/>
  <c r="S244" i="2"/>
  <c r="R244" i="2"/>
  <c r="N244" i="2"/>
  <c r="W243" i="2"/>
  <c r="S243" i="2"/>
  <c r="R243" i="2"/>
  <c r="N243" i="2"/>
  <c r="W242" i="2"/>
  <c r="R242" i="2"/>
  <c r="S242" i="2" s="1"/>
  <c r="N242" i="2"/>
  <c r="W241" i="2"/>
  <c r="R241" i="2"/>
  <c r="S241" i="2" s="1"/>
  <c r="N241" i="2"/>
  <c r="W240" i="2"/>
  <c r="S240" i="2"/>
  <c r="R240" i="2"/>
  <c r="N240" i="2"/>
  <c r="W239" i="2"/>
  <c r="S239" i="2"/>
  <c r="R239" i="2"/>
  <c r="N239" i="2"/>
  <c r="W238" i="2"/>
  <c r="R238" i="2"/>
  <c r="S238" i="2" s="1"/>
  <c r="N238" i="2"/>
  <c r="W237" i="2"/>
  <c r="S237" i="2"/>
  <c r="R237" i="2"/>
  <c r="N237" i="2"/>
  <c r="W236" i="2"/>
  <c r="R236" i="2"/>
  <c r="S236" i="2" s="1"/>
  <c r="N236" i="2"/>
  <c r="H236" i="2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W235" i="2"/>
  <c r="S235" i="2"/>
  <c r="R235" i="2"/>
  <c r="N235" i="2"/>
  <c r="I235" i="2"/>
  <c r="W234" i="2"/>
  <c r="S234" i="2"/>
  <c r="R234" i="2"/>
  <c r="N234" i="2"/>
  <c r="Z233" i="2"/>
  <c r="W233" i="2"/>
  <c r="S233" i="2"/>
  <c r="R233" i="2"/>
  <c r="N233" i="2"/>
  <c r="I233" i="2"/>
  <c r="W232" i="2"/>
  <c r="S232" i="2"/>
  <c r="R232" i="2"/>
  <c r="N232" i="2"/>
  <c r="Y231" i="2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W231" i="2"/>
  <c r="R231" i="2"/>
  <c r="S231" i="2" s="1"/>
  <c r="N231" i="2"/>
  <c r="I231" i="2"/>
  <c r="H231" i="2"/>
  <c r="H232" i="2" s="1"/>
  <c r="H233" i="2" s="1"/>
  <c r="H234" i="2" s="1"/>
  <c r="H235" i="2" s="1"/>
  <c r="W230" i="2"/>
  <c r="S230" i="2"/>
  <c r="R230" i="2"/>
  <c r="N230" i="2"/>
  <c r="W229" i="2"/>
  <c r="S229" i="2"/>
  <c r="Q229" i="2"/>
  <c r="R229" i="2" s="1"/>
  <c r="N229" i="2"/>
  <c r="W228" i="2"/>
  <c r="S228" i="2"/>
  <c r="R228" i="2"/>
  <c r="Q228" i="2"/>
  <c r="N228" i="2"/>
  <c r="W227" i="2"/>
  <c r="R227" i="2"/>
  <c r="S227" i="2" s="1"/>
  <c r="Q227" i="2"/>
  <c r="N227" i="2"/>
  <c r="W226" i="2"/>
  <c r="R226" i="2"/>
  <c r="S226" i="2" s="1"/>
  <c r="Q226" i="2"/>
  <c r="N226" i="2"/>
  <c r="W225" i="2"/>
  <c r="R225" i="2"/>
  <c r="S225" i="2" s="1"/>
  <c r="Q225" i="2"/>
  <c r="N225" i="2"/>
  <c r="W224" i="2"/>
  <c r="Q224" i="2"/>
  <c r="R224" i="2" s="1"/>
  <c r="S224" i="2" s="1"/>
  <c r="N224" i="2"/>
  <c r="W223" i="2"/>
  <c r="Q223" i="2"/>
  <c r="R223" i="2" s="1"/>
  <c r="S223" i="2" s="1"/>
  <c r="N223" i="2"/>
  <c r="W222" i="2"/>
  <c r="S222" i="2"/>
  <c r="Q222" i="2"/>
  <c r="R222" i="2" s="1"/>
  <c r="N222" i="2"/>
  <c r="W221" i="2"/>
  <c r="S221" i="2"/>
  <c r="Q221" i="2"/>
  <c r="R221" i="2" s="1"/>
  <c r="N221" i="2"/>
  <c r="W220" i="2"/>
  <c r="S220" i="2"/>
  <c r="R220" i="2"/>
  <c r="Q220" i="2"/>
  <c r="N220" i="2"/>
  <c r="W219" i="2"/>
  <c r="Q219" i="2"/>
  <c r="R219" i="2" s="1"/>
  <c r="S219" i="2" s="1"/>
  <c r="N219" i="2"/>
  <c r="W218" i="2"/>
  <c r="R218" i="2"/>
  <c r="S218" i="2" s="1"/>
  <c r="Q218" i="2"/>
  <c r="N218" i="2"/>
  <c r="W217" i="2"/>
  <c r="S217" i="2"/>
  <c r="R217" i="2"/>
  <c r="Q217" i="2"/>
  <c r="N217" i="2"/>
  <c r="W216" i="2"/>
  <c r="R216" i="2"/>
  <c r="S216" i="2" s="1"/>
  <c r="Q216" i="2"/>
  <c r="N216" i="2"/>
  <c r="W215" i="2"/>
  <c r="S215" i="2"/>
  <c r="Q215" i="2"/>
  <c r="R215" i="2" s="1"/>
  <c r="N215" i="2"/>
  <c r="W214" i="2"/>
  <c r="R214" i="2"/>
  <c r="S214" i="2" s="1"/>
  <c r="Q214" i="2"/>
  <c r="N214" i="2"/>
  <c r="W213" i="2"/>
  <c r="Q213" i="2"/>
  <c r="R213" i="2" s="1"/>
  <c r="S213" i="2" s="1"/>
  <c r="N213" i="2"/>
  <c r="W212" i="2"/>
  <c r="R212" i="2"/>
  <c r="S212" i="2" s="1"/>
  <c r="Q212" i="2"/>
  <c r="N212" i="2"/>
  <c r="W211" i="2"/>
  <c r="S211" i="2"/>
  <c r="R211" i="2"/>
  <c r="Q211" i="2"/>
  <c r="N211" i="2"/>
  <c r="W210" i="2"/>
  <c r="R210" i="2"/>
  <c r="S210" i="2" s="1"/>
  <c r="Q210" i="2"/>
  <c r="N210" i="2"/>
  <c r="W209" i="2"/>
  <c r="R209" i="2"/>
  <c r="S209" i="2" s="1"/>
  <c r="Q209" i="2"/>
  <c r="N209" i="2"/>
  <c r="W208" i="2"/>
  <c r="Q208" i="2"/>
  <c r="R208" i="2" s="1"/>
  <c r="S208" i="2" s="1"/>
  <c r="N208" i="2"/>
  <c r="W207" i="2"/>
  <c r="R207" i="2"/>
  <c r="S207" i="2" s="1"/>
  <c r="Q207" i="2"/>
  <c r="N207" i="2"/>
  <c r="W206" i="2"/>
  <c r="S206" i="2"/>
  <c r="R206" i="2"/>
  <c r="Q206" i="2"/>
  <c r="N206" i="2"/>
  <c r="W205" i="2"/>
  <c r="Q205" i="2"/>
  <c r="R205" i="2" s="1"/>
  <c r="S205" i="2" s="1"/>
  <c r="N205" i="2"/>
  <c r="W204" i="2"/>
  <c r="R204" i="2"/>
  <c r="S204" i="2" s="1"/>
  <c r="Q204" i="2"/>
  <c r="N204" i="2"/>
  <c r="W203" i="2"/>
  <c r="S203" i="2"/>
  <c r="R203" i="2"/>
  <c r="Q203" i="2"/>
  <c r="N203" i="2"/>
  <c r="W202" i="2"/>
  <c r="R202" i="2"/>
  <c r="S202" i="2" s="1"/>
  <c r="Q202" i="2"/>
  <c r="N202" i="2"/>
  <c r="Y201" i="2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W201" i="2"/>
  <c r="Q201" i="2"/>
  <c r="R201" i="2" s="1"/>
  <c r="S201" i="2" s="1"/>
  <c r="N201" i="2"/>
  <c r="G201" i="2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W200" i="2"/>
  <c r="S200" i="2"/>
  <c r="Q200" i="2"/>
  <c r="R200" i="2" s="1"/>
  <c r="N200" i="2"/>
  <c r="I200" i="2"/>
  <c r="W199" i="2"/>
  <c r="Q199" i="2"/>
  <c r="R199" i="2" s="1"/>
  <c r="S199" i="2" s="1"/>
  <c r="N199" i="2"/>
  <c r="Z198" i="2"/>
  <c r="Y198" i="2"/>
  <c r="Y199" i="2" s="1"/>
  <c r="Y200" i="2" s="1"/>
  <c r="W198" i="2"/>
  <c r="R198" i="2"/>
  <c r="S198" i="2" s="1"/>
  <c r="Q198" i="2"/>
  <c r="N198" i="2"/>
  <c r="I198" i="2"/>
  <c r="W197" i="2"/>
  <c r="R197" i="2"/>
  <c r="S197" i="2" s="1"/>
  <c r="Q197" i="2"/>
  <c r="N197" i="2"/>
  <c r="Y196" i="2"/>
  <c r="Y197" i="2" s="1"/>
  <c r="W196" i="2"/>
  <c r="R196" i="2"/>
  <c r="S196" i="2" s="1"/>
  <c r="Q196" i="2"/>
  <c r="N196" i="2"/>
  <c r="I196" i="2"/>
  <c r="H196" i="2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W195" i="2"/>
  <c r="R195" i="2"/>
  <c r="S195" i="2" s="1"/>
  <c r="Q195" i="2"/>
  <c r="N195" i="2"/>
  <c r="W194" i="2"/>
  <c r="S194" i="2"/>
  <c r="R194" i="2"/>
  <c r="N194" i="2"/>
  <c r="W193" i="2"/>
  <c r="S193" i="2"/>
  <c r="R193" i="2"/>
  <c r="N193" i="2"/>
  <c r="W192" i="2"/>
  <c r="S192" i="2"/>
  <c r="R192" i="2"/>
  <c r="N192" i="2"/>
  <c r="W191" i="2"/>
  <c r="R191" i="2"/>
  <c r="S191" i="2" s="1"/>
  <c r="N191" i="2"/>
  <c r="W190" i="2"/>
  <c r="S190" i="2"/>
  <c r="R190" i="2"/>
  <c r="N190" i="2"/>
  <c r="W189" i="2"/>
  <c r="S189" i="2"/>
  <c r="R189" i="2"/>
  <c r="N189" i="2"/>
  <c r="W188" i="2"/>
  <c r="S188" i="2"/>
  <c r="R188" i="2"/>
  <c r="N188" i="2"/>
  <c r="W187" i="2"/>
  <c r="S187" i="2"/>
  <c r="R187" i="2"/>
  <c r="N187" i="2"/>
  <c r="W186" i="2"/>
  <c r="S186" i="2"/>
  <c r="R186" i="2"/>
  <c r="N186" i="2"/>
  <c r="W185" i="2"/>
  <c r="S185" i="2"/>
  <c r="R185" i="2"/>
  <c r="N185" i="2"/>
  <c r="W184" i="2"/>
  <c r="S184" i="2"/>
  <c r="R184" i="2"/>
  <c r="N184" i="2"/>
  <c r="W183" i="2"/>
  <c r="R183" i="2"/>
  <c r="S183" i="2" s="1"/>
  <c r="N183" i="2"/>
  <c r="W182" i="2"/>
  <c r="S182" i="2"/>
  <c r="R182" i="2"/>
  <c r="N182" i="2"/>
  <c r="W181" i="2"/>
  <c r="S181" i="2"/>
  <c r="R181" i="2"/>
  <c r="N181" i="2"/>
  <c r="W180" i="2"/>
  <c r="S180" i="2"/>
  <c r="R180" i="2"/>
  <c r="N180" i="2"/>
  <c r="W179" i="2"/>
  <c r="S179" i="2"/>
  <c r="R179" i="2"/>
  <c r="N179" i="2"/>
  <c r="W178" i="2"/>
  <c r="S178" i="2"/>
  <c r="R178" i="2"/>
  <c r="N178" i="2"/>
  <c r="W177" i="2"/>
  <c r="S177" i="2"/>
  <c r="R177" i="2"/>
  <c r="N177" i="2"/>
  <c r="W176" i="2"/>
  <c r="S176" i="2"/>
  <c r="R176" i="2"/>
  <c r="N176" i="2"/>
  <c r="W175" i="2"/>
  <c r="R175" i="2"/>
  <c r="S175" i="2" s="1"/>
  <c r="N175" i="2"/>
  <c r="W174" i="2"/>
  <c r="S174" i="2"/>
  <c r="R174" i="2"/>
  <c r="N174" i="2"/>
  <c r="W173" i="2"/>
  <c r="S173" i="2"/>
  <c r="R173" i="2"/>
  <c r="N173" i="2"/>
  <c r="W172" i="2"/>
  <c r="S172" i="2"/>
  <c r="R172" i="2"/>
  <c r="N172" i="2"/>
  <c r="W171" i="2"/>
  <c r="S171" i="2"/>
  <c r="R171" i="2"/>
  <c r="N171" i="2"/>
  <c r="W170" i="2"/>
  <c r="S170" i="2"/>
  <c r="R170" i="2"/>
  <c r="N170" i="2"/>
  <c r="W169" i="2"/>
  <c r="S169" i="2"/>
  <c r="R169" i="2"/>
  <c r="N169" i="2"/>
  <c r="AB168" i="2"/>
  <c r="W168" i="2"/>
  <c r="S168" i="2"/>
  <c r="R168" i="2"/>
  <c r="N168" i="2"/>
  <c r="W167" i="2"/>
  <c r="S167" i="2"/>
  <c r="R167" i="2"/>
  <c r="N167" i="2"/>
  <c r="W166" i="2"/>
  <c r="S166" i="2"/>
  <c r="R166" i="2"/>
  <c r="N166" i="2"/>
  <c r="H166" i="2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W165" i="2"/>
  <c r="S165" i="2"/>
  <c r="R165" i="2"/>
  <c r="N165" i="2"/>
  <c r="H165" i="2"/>
  <c r="W164" i="2"/>
  <c r="S164" i="2"/>
  <c r="R164" i="2"/>
  <c r="N164" i="2"/>
  <c r="H164" i="2"/>
  <c r="G164" i="2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W163" i="2"/>
  <c r="S163" i="2"/>
  <c r="R163" i="2"/>
  <c r="N163" i="2"/>
  <c r="W162" i="2"/>
  <c r="R162" i="2"/>
  <c r="S162" i="2" s="1"/>
  <c r="N162" i="2"/>
  <c r="W161" i="2"/>
  <c r="S161" i="2"/>
  <c r="R161" i="2"/>
  <c r="N161" i="2"/>
  <c r="W160" i="2"/>
  <c r="S160" i="2"/>
  <c r="R160" i="2"/>
  <c r="N160" i="2"/>
  <c r="W159" i="2"/>
  <c r="R159" i="2"/>
  <c r="S159" i="2" s="1"/>
  <c r="N159" i="2"/>
  <c r="W158" i="2"/>
  <c r="S158" i="2"/>
  <c r="R158" i="2"/>
  <c r="N158" i="2"/>
  <c r="W157" i="2"/>
  <c r="S157" i="2"/>
  <c r="R157" i="2"/>
  <c r="N157" i="2"/>
  <c r="W156" i="2"/>
  <c r="S156" i="2"/>
  <c r="R156" i="2"/>
  <c r="N156" i="2"/>
  <c r="W155" i="2"/>
  <c r="S155" i="2"/>
  <c r="R155" i="2"/>
  <c r="N155" i="2"/>
  <c r="W154" i="2"/>
  <c r="R154" i="2"/>
  <c r="S154" i="2" s="1"/>
  <c r="N154" i="2"/>
  <c r="W153" i="2"/>
  <c r="S153" i="2"/>
  <c r="R153" i="2"/>
  <c r="N153" i="2"/>
  <c r="W152" i="2"/>
  <c r="R152" i="2"/>
  <c r="S152" i="2" s="1"/>
  <c r="N152" i="2"/>
  <c r="W151" i="2"/>
  <c r="S151" i="2"/>
  <c r="R151" i="2"/>
  <c r="N151" i="2"/>
  <c r="W150" i="2"/>
  <c r="R150" i="2"/>
  <c r="S150" i="2" s="1"/>
  <c r="N150" i="2"/>
  <c r="H150" i="2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G150" i="2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W149" i="2"/>
  <c r="S149" i="2"/>
  <c r="R149" i="2"/>
  <c r="N149" i="2"/>
  <c r="W148" i="2"/>
  <c r="R148" i="2"/>
  <c r="S148" i="2" s="1"/>
  <c r="N148" i="2"/>
  <c r="H148" i="2"/>
  <c r="W147" i="2"/>
  <c r="R147" i="2"/>
  <c r="S147" i="2" s="1"/>
  <c r="N147" i="2"/>
  <c r="H147" i="2"/>
  <c r="G147" i="2"/>
  <c r="G148" i="2" s="1"/>
  <c r="W146" i="2"/>
  <c r="R146" i="2"/>
  <c r="S146" i="2" s="1"/>
  <c r="N146" i="2"/>
  <c r="W145" i="2"/>
  <c r="R145" i="2"/>
  <c r="S145" i="2" s="1"/>
  <c r="N145" i="2"/>
  <c r="W144" i="2"/>
  <c r="S144" i="2"/>
  <c r="R144" i="2"/>
  <c r="N144" i="2"/>
  <c r="W143" i="2"/>
  <c r="R143" i="2"/>
  <c r="S143" i="2" s="1"/>
  <c r="N143" i="2"/>
  <c r="W142" i="2"/>
  <c r="S142" i="2"/>
  <c r="R142" i="2"/>
  <c r="N142" i="2"/>
  <c r="W141" i="2"/>
  <c r="R141" i="2"/>
  <c r="S141" i="2" s="1"/>
  <c r="N141" i="2"/>
  <c r="W140" i="2"/>
  <c r="S140" i="2"/>
  <c r="R140" i="2"/>
  <c r="N140" i="2"/>
  <c r="W139" i="2"/>
  <c r="R139" i="2"/>
  <c r="S139" i="2" s="1"/>
  <c r="N139" i="2"/>
  <c r="W138" i="2"/>
  <c r="S138" i="2"/>
  <c r="R138" i="2"/>
  <c r="N138" i="2"/>
  <c r="W137" i="2"/>
  <c r="R137" i="2"/>
  <c r="S137" i="2" s="1"/>
  <c r="N137" i="2"/>
  <c r="G137" i="2"/>
  <c r="G138" i="2" s="1"/>
  <c r="G139" i="2" s="1"/>
  <c r="G140" i="2" s="1"/>
  <c r="G141" i="2" s="1"/>
  <c r="G142" i="2" s="1"/>
  <c r="G143" i="2" s="1"/>
  <c r="G144" i="2" s="1"/>
  <c r="G145" i="2" s="1"/>
  <c r="W136" i="2"/>
  <c r="S136" i="2"/>
  <c r="R136" i="2"/>
  <c r="N136" i="2"/>
  <c r="W135" i="2"/>
  <c r="R135" i="2"/>
  <c r="S135" i="2" s="1"/>
  <c r="N135" i="2"/>
  <c r="H135" i="2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W134" i="2"/>
  <c r="S134" i="2"/>
  <c r="R134" i="2"/>
  <c r="N134" i="2"/>
  <c r="W133" i="2"/>
  <c r="R133" i="2"/>
  <c r="S133" i="2" s="1"/>
  <c r="N133" i="2"/>
  <c r="H133" i="2"/>
  <c r="H134" i="2" s="1"/>
  <c r="G133" i="2"/>
  <c r="G134" i="2" s="1"/>
  <c r="G135" i="2" s="1"/>
  <c r="G136" i="2" s="1"/>
  <c r="W132" i="2"/>
  <c r="S132" i="2"/>
  <c r="R132" i="2"/>
  <c r="N132" i="2"/>
  <c r="H132" i="2"/>
  <c r="G132" i="2"/>
  <c r="W131" i="2"/>
  <c r="S131" i="2"/>
  <c r="R131" i="2"/>
  <c r="N131" i="2"/>
  <c r="W130" i="2"/>
  <c r="R130" i="2"/>
  <c r="S130" i="2" s="1"/>
  <c r="N130" i="2"/>
  <c r="W129" i="2"/>
  <c r="R129" i="2"/>
  <c r="S129" i="2" s="1"/>
  <c r="N129" i="2"/>
  <c r="W128" i="2"/>
  <c r="R128" i="2"/>
  <c r="S128" i="2" s="1"/>
  <c r="N128" i="2"/>
  <c r="W127" i="2"/>
  <c r="R127" i="2"/>
  <c r="S127" i="2" s="1"/>
  <c r="N127" i="2"/>
  <c r="W126" i="2"/>
  <c r="R126" i="2"/>
  <c r="S126" i="2" s="1"/>
  <c r="N126" i="2"/>
  <c r="W125" i="2"/>
  <c r="R125" i="2"/>
  <c r="S125" i="2" s="1"/>
  <c r="N125" i="2"/>
  <c r="H125" i="2"/>
  <c r="H126" i="2" s="1"/>
  <c r="H127" i="2" s="1"/>
  <c r="H128" i="2" s="1"/>
  <c r="H129" i="2" s="1"/>
  <c r="H130" i="2" s="1"/>
  <c r="G125" i="2"/>
  <c r="G126" i="2" s="1"/>
  <c r="G127" i="2" s="1"/>
  <c r="G128" i="2" s="1"/>
  <c r="G129" i="2" s="1"/>
  <c r="G130" i="2" s="1"/>
  <c r="W124" i="2"/>
  <c r="R124" i="2"/>
  <c r="S124" i="2" s="1"/>
  <c r="N124" i="2"/>
  <c r="W123" i="2"/>
  <c r="R123" i="2"/>
  <c r="S123" i="2" s="1"/>
  <c r="N123" i="2"/>
  <c r="W122" i="2"/>
  <c r="R122" i="2"/>
  <c r="S122" i="2" s="1"/>
  <c r="N122" i="2"/>
  <c r="W121" i="2"/>
  <c r="R121" i="2"/>
  <c r="S121" i="2" s="1"/>
  <c r="N121" i="2"/>
  <c r="W120" i="2"/>
  <c r="R120" i="2"/>
  <c r="S120" i="2" s="1"/>
  <c r="N120" i="2"/>
  <c r="W119" i="2"/>
  <c r="R119" i="2"/>
  <c r="S119" i="2" s="1"/>
  <c r="N119" i="2"/>
  <c r="W118" i="2"/>
  <c r="R118" i="2"/>
  <c r="S118" i="2" s="1"/>
  <c r="N118" i="2"/>
  <c r="W117" i="2"/>
  <c r="R117" i="2"/>
  <c r="S117" i="2" s="1"/>
  <c r="N117" i="2"/>
  <c r="W116" i="2"/>
  <c r="R116" i="2"/>
  <c r="S116" i="2" s="1"/>
  <c r="N116" i="2"/>
  <c r="W115" i="2"/>
  <c r="R115" i="2"/>
  <c r="S115" i="2" s="1"/>
  <c r="N115" i="2"/>
  <c r="W114" i="2"/>
  <c r="R114" i="2"/>
  <c r="S114" i="2" s="1"/>
  <c r="N114" i="2"/>
  <c r="W113" i="2"/>
  <c r="R113" i="2"/>
  <c r="S113" i="2" s="1"/>
  <c r="N113" i="2"/>
  <c r="W112" i="2"/>
  <c r="R112" i="2"/>
  <c r="S112" i="2" s="1"/>
  <c r="N112" i="2"/>
  <c r="W111" i="2"/>
  <c r="R111" i="2"/>
  <c r="S111" i="2" s="1"/>
  <c r="N111" i="2"/>
  <c r="W110" i="2"/>
  <c r="R110" i="2"/>
  <c r="S110" i="2" s="1"/>
  <c r="N110" i="2"/>
  <c r="W109" i="2"/>
  <c r="R109" i="2"/>
  <c r="S109" i="2" s="1"/>
  <c r="N109" i="2"/>
  <c r="W108" i="2"/>
  <c r="R108" i="2"/>
  <c r="S108" i="2" s="1"/>
  <c r="N108" i="2"/>
  <c r="W107" i="2"/>
  <c r="R107" i="2"/>
  <c r="S107" i="2" s="1"/>
  <c r="N107" i="2"/>
  <c r="W106" i="2"/>
  <c r="S106" i="2"/>
  <c r="R106" i="2"/>
  <c r="N106" i="2"/>
  <c r="W105" i="2"/>
  <c r="S105" i="2"/>
  <c r="R105" i="2"/>
  <c r="N105" i="2"/>
  <c r="W104" i="2"/>
  <c r="R104" i="2"/>
  <c r="S104" i="2" s="1"/>
  <c r="N104" i="2"/>
  <c r="W103" i="2"/>
  <c r="S103" i="2"/>
  <c r="R103" i="2"/>
  <c r="N103" i="2"/>
  <c r="W102" i="2"/>
  <c r="R102" i="2"/>
  <c r="S102" i="2" s="1"/>
  <c r="N102" i="2"/>
  <c r="W101" i="2"/>
  <c r="R101" i="2"/>
  <c r="S101" i="2" s="1"/>
  <c r="N101" i="2"/>
  <c r="W100" i="2"/>
  <c r="R100" i="2"/>
  <c r="S100" i="2" s="1"/>
  <c r="N100" i="2"/>
  <c r="I100" i="2"/>
  <c r="W99" i="2"/>
  <c r="S99" i="2"/>
  <c r="R99" i="2"/>
  <c r="N99" i="2"/>
  <c r="Z98" i="2"/>
  <c r="W98" i="2"/>
  <c r="S98" i="2"/>
  <c r="R98" i="2"/>
  <c r="N98" i="2"/>
  <c r="I98" i="2"/>
  <c r="W97" i="2"/>
  <c r="R97" i="2"/>
  <c r="S97" i="2" s="1"/>
  <c r="N97" i="2"/>
  <c r="W96" i="2"/>
  <c r="S96" i="2"/>
  <c r="R96" i="2"/>
  <c r="N96" i="2"/>
  <c r="I96" i="2"/>
  <c r="Y95" i="2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W95" i="2"/>
  <c r="S95" i="2"/>
  <c r="R95" i="2"/>
  <c r="N95" i="2"/>
  <c r="H95" i="2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W94" i="2"/>
  <c r="Q94" i="2"/>
  <c r="R94" i="2" s="1"/>
  <c r="S94" i="2" s="1"/>
  <c r="N94" i="2"/>
  <c r="W93" i="2"/>
  <c r="Q93" i="2"/>
  <c r="R93" i="2" s="1"/>
  <c r="S93" i="2" s="1"/>
  <c r="N93" i="2"/>
  <c r="W92" i="2"/>
  <c r="S92" i="2"/>
  <c r="R92" i="2"/>
  <c r="Q92" i="2"/>
  <c r="N92" i="2"/>
  <c r="W91" i="2"/>
  <c r="R91" i="2"/>
  <c r="S91" i="2" s="1"/>
  <c r="Q91" i="2"/>
  <c r="N91" i="2"/>
  <c r="W90" i="2"/>
  <c r="R90" i="2"/>
  <c r="S90" i="2" s="1"/>
  <c r="Q90" i="2"/>
  <c r="N90" i="2"/>
  <c r="W89" i="2"/>
  <c r="S89" i="2"/>
  <c r="R89" i="2"/>
  <c r="Q89" i="2"/>
  <c r="N89" i="2"/>
  <c r="W88" i="2"/>
  <c r="R88" i="2"/>
  <c r="S88" i="2" s="1"/>
  <c r="Q88" i="2"/>
  <c r="N88" i="2"/>
  <c r="W87" i="2"/>
  <c r="R87" i="2"/>
  <c r="S87" i="2" s="1"/>
  <c r="Q87" i="2"/>
  <c r="N87" i="2"/>
  <c r="W86" i="2"/>
  <c r="Q86" i="2"/>
  <c r="R86" i="2" s="1"/>
  <c r="S86" i="2" s="1"/>
  <c r="N86" i="2"/>
  <c r="W85" i="2"/>
  <c r="Q85" i="2"/>
  <c r="R85" i="2" s="1"/>
  <c r="S85" i="2" s="1"/>
  <c r="N85" i="2"/>
  <c r="W84" i="2"/>
  <c r="R84" i="2"/>
  <c r="S84" i="2" s="1"/>
  <c r="Q84" i="2"/>
  <c r="N84" i="2"/>
  <c r="W83" i="2"/>
  <c r="R83" i="2"/>
  <c r="S83" i="2" s="1"/>
  <c r="Q83" i="2"/>
  <c r="N83" i="2"/>
  <c r="W82" i="2"/>
  <c r="R82" i="2"/>
  <c r="S82" i="2" s="1"/>
  <c r="Q82" i="2"/>
  <c r="N82" i="2"/>
  <c r="W81" i="2"/>
  <c r="S81" i="2"/>
  <c r="R81" i="2"/>
  <c r="Q81" i="2"/>
  <c r="N81" i="2"/>
  <c r="W80" i="2"/>
  <c r="R80" i="2"/>
  <c r="S80" i="2" s="1"/>
  <c r="Q80" i="2"/>
  <c r="N80" i="2"/>
  <c r="W79" i="2"/>
  <c r="R79" i="2"/>
  <c r="S79" i="2" s="1"/>
  <c r="Q79" i="2"/>
  <c r="N79" i="2"/>
  <c r="W78" i="2"/>
  <c r="Q78" i="2"/>
  <c r="R78" i="2" s="1"/>
  <c r="S78" i="2" s="1"/>
  <c r="N78" i="2"/>
  <c r="W77" i="2"/>
  <c r="Q77" i="2"/>
  <c r="R77" i="2" s="1"/>
  <c r="S77" i="2" s="1"/>
  <c r="N77" i="2"/>
  <c r="W76" i="2"/>
  <c r="R76" i="2"/>
  <c r="S76" i="2" s="1"/>
  <c r="Q76" i="2"/>
  <c r="N76" i="2"/>
  <c r="W75" i="2"/>
  <c r="R75" i="2"/>
  <c r="S75" i="2" s="1"/>
  <c r="Q75" i="2"/>
  <c r="N75" i="2"/>
  <c r="W74" i="2"/>
  <c r="R74" i="2"/>
  <c r="S74" i="2" s="1"/>
  <c r="Q74" i="2"/>
  <c r="N74" i="2"/>
  <c r="W73" i="2"/>
  <c r="S73" i="2"/>
  <c r="R73" i="2"/>
  <c r="Q73" i="2"/>
  <c r="N73" i="2"/>
  <c r="W72" i="2"/>
  <c r="R72" i="2"/>
  <c r="S72" i="2" s="1"/>
  <c r="Q72" i="2"/>
  <c r="N72" i="2"/>
  <c r="W71" i="2"/>
  <c r="Q71" i="2"/>
  <c r="R71" i="2" s="1"/>
  <c r="S71" i="2" s="1"/>
  <c r="N71" i="2"/>
  <c r="W70" i="2"/>
  <c r="Q70" i="2"/>
  <c r="R70" i="2" s="1"/>
  <c r="S70" i="2" s="1"/>
  <c r="N70" i="2"/>
  <c r="W69" i="2"/>
  <c r="Q69" i="2"/>
  <c r="R69" i="2" s="1"/>
  <c r="S69" i="2" s="1"/>
  <c r="N69" i="2"/>
  <c r="W68" i="2"/>
  <c r="R68" i="2"/>
  <c r="S68" i="2" s="1"/>
  <c r="Q68" i="2"/>
  <c r="N68" i="2"/>
  <c r="W67" i="2"/>
  <c r="R67" i="2"/>
  <c r="S67" i="2" s="1"/>
  <c r="Q67" i="2"/>
  <c r="N67" i="2"/>
  <c r="W66" i="2"/>
  <c r="R66" i="2"/>
  <c r="S66" i="2" s="1"/>
  <c r="Q66" i="2"/>
  <c r="N66" i="2"/>
  <c r="W65" i="2"/>
  <c r="Q65" i="2"/>
  <c r="R65" i="2" s="1"/>
  <c r="S65" i="2" s="1"/>
  <c r="N65" i="2"/>
  <c r="W64" i="2"/>
  <c r="Q64" i="2"/>
  <c r="R64" i="2" s="1"/>
  <c r="S64" i="2" s="1"/>
  <c r="N64" i="2"/>
  <c r="W63" i="2"/>
  <c r="Q63" i="2"/>
  <c r="R63" i="2" s="1"/>
  <c r="S63" i="2" s="1"/>
  <c r="N63" i="2"/>
  <c r="W62" i="2"/>
  <c r="Q62" i="2"/>
  <c r="R62" i="2" s="1"/>
  <c r="S62" i="2" s="1"/>
  <c r="N62" i="2"/>
  <c r="W61" i="2"/>
  <c r="Q61" i="2"/>
  <c r="R61" i="2" s="1"/>
  <c r="S61" i="2" s="1"/>
  <c r="N61" i="2"/>
  <c r="W60" i="2"/>
  <c r="R60" i="2"/>
  <c r="S60" i="2" s="1"/>
  <c r="Q60" i="2"/>
  <c r="N60" i="2"/>
  <c r="W59" i="2"/>
  <c r="R59" i="2"/>
  <c r="S59" i="2" s="1"/>
  <c r="Q59" i="2"/>
  <c r="N59" i="2"/>
  <c r="W58" i="2"/>
  <c r="R58" i="2"/>
  <c r="S58" i="2" s="1"/>
  <c r="Q58" i="2"/>
  <c r="N58" i="2"/>
  <c r="W57" i="2"/>
  <c r="Q57" i="2"/>
  <c r="R57" i="2" s="1"/>
  <c r="S57" i="2" s="1"/>
  <c r="N57" i="2"/>
  <c r="W56" i="2"/>
  <c r="Q56" i="2"/>
  <c r="R56" i="2" s="1"/>
  <c r="S56" i="2" s="1"/>
  <c r="N56" i="2"/>
  <c r="W55" i="2"/>
  <c r="Q55" i="2"/>
  <c r="R55" i="2" s="1"/>
  <c r="S55" i="2" s="1"/>
  <c r="N55" i="2"/>
  <c r="W54" i="2"/>
  <c r="Q54" i="2"/>
  <c r="R54" i="2" s="1"/>
  <c r="S54" i="2" s="1"/>
  <c r="N54" i="2"/>
  <c r="W53" i="2"/>
  <c r="Q53" i="2"/>
  <c r="R53" i="2" s="1"/>
  <c r="S53" i="2" s="1"/>
  <c r="N53" i="2"/>
  <c r="W52" i="2"/>
  <c r="R52" i="2"/>
  <c r="S52" i="2" s="1"/>
  <c r="Q52" i="2"/>
  <c r="N52" i="2"/>
  <c r="W51" i="2"/>
  <c r="R51" i="2"/>
  <c r="S51" i="2" s="1"/>
  <c r="Q51" i="2"/>
  <c r="N51" i="2"/>
  <c r="W50" i="2"/>
  <c r="R50" i="2"/>
  <c r="S50" i="2" s="1"/>
  <c r="Q50" i="2"/>
  <c r="N50" i="2"/>
  <c r="W49" i="2"/>
  <c r="S49" i="2"/>
  <c r="Q49" i="2"/>
  <c r="R49" i="2" s="1"/>
  <c r="N49" i="2"/>
  <c r="W48" i="2"/>
  <c r="Q48" i="2"/>
  <c r="R48" i="2" s="1"/>
  <c r="S48" i="2" s="1"/>
  <c r="N48" i="2"/>
  <c r="W47" i="2"/>
  <c r="Q47" i="2"/>
  <c r="R47" i="2" s="1"/>
  <c r="S47" i="2" s="1"/>
  <c r="N47" i="2"/>
  <c r="W46" i="2"/>
  <c r="Q46" i="2"/>
  <c r="R46" i="2" s="1"/>
  <c r="S46" i="2" s="1"/>
  <c r="N46" i="2"/>
  <c r="W45" i="2"/>
  <c r="Q45" i="2"/>
  <c r="R45" i="2" s="1"/>
  <c r="S45" i="2" s="1"/>
  <c r="N45" i="2"/>
  <c r="W44" i="2"/>
  <c r="R44" i="2"/>
  <c r="S44" i="2" s="1"/>
  <c r="Q44" i="2"/>
  <c r="N44" i="2"/>
  <c r="W43" i="2"/>
  <c r="R43" i="2"/>
  <c r="S43" i="2" s="1"/>
  <c r="Q43" i="2"/>
  <c r="N43" i="2"/>
  <c r="W42" i="2"/>
  <c r="R42" i="2"/>
  <c r="S42" i="2" s="1"/>
  <c r="Q42" i="2"/>
  <c r="N42" i="2"/>
  <c r="W41" i="2"/>
  <c r="Q41" i="2"/>
  <c r="R41" i="2" s="1"/>
  <c r="S41" i="2" s="1"/>
  <c r="N41" i="2"/>
  <c r="W40" i="2"/>
  <c r="Q40" i="2"/>
  <c r="R40" i="2" s="1"/>
  <c r="S40" i="2" s="1"/>
  <c r="N40" i="2"/>
  <c r="W39" i="2"/>
  <c r="Q39" i="2"/>
  <c r="R39" i="2" s="1"/>
  <c r="S39" i="2" s="1"/>
  <c r="N39" i="2"/>
  <c r="W38" i="2"/>
  <c r="Q38" i="2"/>
  <c r="R38" i="2" s="1"/>
  <c r="S38" i="2" s="1"/>
  <c r="T38" i="2" s="1"/>
  <c r="T39" i="2" s="1"/>
  <c r="T40" i="2" s="1"/>
  <c r="N38" i="2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W37" i="2"/>
  <c r="Q37" i="2"/>
  <c r="R37" i="2" s="1"/>
  <c r="S37" i="2" s="1"/>
  <c r="N37" i="2"/>
  <c r="W36" i="2"/>
  <c r="R36" i="2"/>
  <c r="S36" i="2" s="1"/>
  <c r="Q36" i="2"/>
  <c r="N36" i="2"/>
  <c r="W35" i="2"/>
  <c r="R35" i="2"/>
  <c r="S35" i="2" s="1"/>
  <c r="Q35" i="2"/>
  <c r="N35" i="2"/>
  <c r="W34" i="2"/>
  <c r="Q34" i="2"/>
  <c r="R34" i="2" s="1"/>
  <c r="S34" i="2" s="1"/>
  <c r="N34" i="2"/>
  <c r="W33" i="2"/>
  <c r="Q33" i="2"/>
  <c r="R33" i="2" s="1"/>
  <c r="S33" i="2" s="1"/>
  <c r="N33" i="2"/>
  <c r="W32" i="2"/>
  <c r="R32" i="2"/>
  <c r="S32" i="2" s="1"/>
  <c r="Q32" i="2"/>
  <c r="N32" i="2"/>
  <c r="W31" i="2"/>
  <c r="R31" i="2"/>
  <c r="S31" i="2" s="1"/>
  <c r="Q31" i="2"/>
  <c r="N31" i="2"/>
  <c r="W30" i="2"/>
  <c r="Q30" i="2"/>
  <c r="R30" i="2" s="1"/>
  <c r="S30" i="2" s="1"/>
  <c r="N30" i="2"/>
  <c r="W29" i="2"/>
  <c r="Q29" i="2"/>
  <c r="R29" i="2" s="1"/>
  <c r="S29" i="2" s="1"/>
  <c r="N29" i="2"/>
  <c r="W28" i="2"/>
  <c r="R28" i="2"/>
  <c r="S28" i="2" s="1"/>
  <c r="Q28" i="2"/>
  <c r="N28" i="2"/>
  <c r="W27" i="2"/>
  <c r="R27" i="2"/>
  <c r="S27" i="2" s="1"/>
  <c r="Q27" i="2"/>
  <c r="N27" i="2"/>
  <c r="W26" i="2"/>
  <c r="Q26" i="2"/>
  <c r="R26" i="2" s="1"/>
  <c r="S26" i="2" s="1"/>
  <c r="N26" i="2"/>
  <c r="W25" i="2"/>
  <c r="Q25" i="2"/>
  <c r="R25" i="2" s="1"/>
  <c r="S25" i="2" s="1"/>
  <c r="N25" i="2"/>
  <c r="W24" i="2"/>
  <c r="R24" i="2"/>
  <c r="S24" i="2" s="1"/>
  <c r="Q24" i="2"/>
  <c r="N24" i="2"/>
  <c r="W23" i="2"/>
  <c r="R23" i="2"/>
  <c r="S23" i="2" s="1"/>
  <c r="Q23" i="2"/>
  <c r="N23" i="2"/>
  <c r="W22" i="2"/>
  <c r="R22" i="2"/>
  <c r="S22" i="2" s="1"/>
  <c r="Q22" i="2"/>
  <c r="O22" i="2"/>
  <c r="O23" i="2" s="1"/>
  <c r="O24" i="2" s="1"/>
  <c r="N22" i="2"/>
  <c r="W21" i="2"/>
  <c r="Q21" i="2"/>
  <c r="R21" i="2" s="1"/>
  <c r="S21" i="2" s="1"/>
  <c r="N21" i="2"/>
  <c r="W20" i="2"/>
  <c r="R20" i="2"/>
  <c r="S20" i="2" s="1"/>
  <c r="Q20" i="2"/>
  <c r="N20" i="2"/>
  <c r="W19" i="2"/>
  <c r="R19" i="2"/>
  <c r="S19" i="2" s="1"/>
  <c r="Q19" i="2"/>
  <c r="N19" i="2"/>
  <c r="W18" i="2"/>
  <c r="R18" i="2"/>
  <c r="S18" i="2" s="1"/>
  <c r="Q18" i="2"/>
  <c r="N18" i="2"/>
  <c r="W17" i="2"/>
  <c r="R17" i="2"/>
  <c r="S17" i="2" s="1"/>
  <c r="Q17" i="2"/>
  <c r="N17" i="2"/>
  <c r="W16" i="2"/>
  <c r="Q16" i="2"/>
  <c r="R16" i="2" s="1"/>
  <c r="S16" i="2" s="1"/>
  <c r="N16" i="2"/>
  <c r="M16" i="2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M311" i="2" s="1"/>
  <c r="M312" i="2" s="1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W15" i="2"/>
  <c r="R15" i="2"/>
  <c r="S15" i="2" s="1"/>
  <c r="Q15" i="2"/>
  <c r="N15" i="2"/>
  <c r="W14" i="2"/>
  <c r="Q14" i="2"/>
  <c r="R14" i="2" s="1"/>
  <c r="S14" i="2" s="1"/>
  <c r="N14" i="2"/>
  <c r="W13" i="2"/>
  <c r="S13" i="2"/>
  <c r="R13" i="2"/>
  <c r="N13" i="2"/>
  <c r="W12" i="2"/>
  <c r="R12" i="2"/>
  <c r="S12" i="2" s="1"/>
  <c r="N12" i="2"/>
  <c r="W11" i="2"/>
  <c r="R11" i="2"/>
  <c r="S11" i="2" s="1"/>
  <c r="N11" i="2"/>
  <c r="I11" i="2"/>
  <c r="W10" i="2"/>
  <c r="S10" i="2"/>
  <c r="R10" i="2"/>
  <c r="N10" i="2"/>
  <c r="Z9" i="2"/>
  <c r="W9" i="2"/>
  <c r="S9" i="2"/>
  <c r="R9" i="2"/>
  <c r="N9" i="2"/>
  <c r="I9" i="2"/>
  <c r="W8" i="2"/>
  <c r="S8" i="2"/>
  <c r="R8" i="2"/>
  <c r="N8" i="2"/>
  <c r="W7" i="2"/>
  <c r="S7" i="2"/>
  <c r="T7" i="2" s="1"/>
  <c r="R7" i="2"/>
  <c r="N7" i="2"/>
  <c r="O7" i="2" s="1"/>
  <c r="O8" i="2" s="1"/>
  <c r="O9" i="2" s="1"/>
  <c r="O10" i="2" s="1"/>
  <c r="O11" i="2" s="1"/>
  <c r="I7" i="2"/>
  <c r="X6" i="2"/>
  <c r="X7" i="2" s="1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W6" i="2"/>
  <c r="R6" i="2"/>
  <c r="S6" i="2" s="1"/>
  <c r="N6" i="2"/>
  <c r="M6" i="2"/>
  <c r="M7" i="2" s="1"/>
  <c r="M8" i="2" s="1"/>
  <c r="M9" i="2" s="1"/>
  <c r="M10" i="2" s="1"/>
  <c r="M11" i="2" s="1"/>
  <c r="M12" i="2" s="1"/>
  <c r="M13" i="2" s="1"/>
  <c r="M14" i="2" s="1"/>
  <c r="M15" i="2" s="1"/>
  <c r="K6" i="2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G6" i="2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AB168" i="1"/>
  <c r="AB160" i="1"/>
  <c r="T41" i="2" l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O25" i="2"/>
  <c r="O26" i="2" s="1"/>
  <c r="T8" i="2"/>
  <c r="T326" i="2"/>
  <c r="U304" i="1"/>
  <c r="U286" i="1"/>
  <c r="U264" i="1"/>
  <c r="U243" i="1"/>
  <c r="U208" i="1"/>
  <c r="U110" i="1"/>
  <c r="U19" i="1"/>
  <c r="W326" i="1"/>
  <c r="R326" i="1"/>
  <c r="S326" i="1" s="1"/>
  <c r="Q326" i="1"/>
  <c r="N326" i="1"/>
  <c r="W325" i="1"/>
  <c r="R325" i="1"/>
  <c r="S325" i="1" s="1"/>
  <c r="T325" i="1" s="1"/>
  <c r="T326" i="1" s="1"/>
  <c r="Q325" i="1"/>
  <c r="N325" i="1"/>
  <c r="O325" i="1" s="1"/>
  <c r="O326" i="1" s="1"/>
  <c r="W324" i="1"/>
  <c r="Q324" i="1"/>
  <c r="R324" i="1" s="1"/>
  <c r="S324" i="1" s="1"/>
  <c r="N324" i="1"/>
  <c r="W323" i="1"/>
  <c r="S323" i="1"/>
  <c r="Q323" i="1"/>
  <c r="R323" i="1" s="1"/>
  <c r="N323" i="1"/>
  <c r="W322" i="1"/>
  <c r="Q322" i="1"/>
  <c r="R322" i="1" s="1"/>
  <c r="S322" i="1" s="1"/>
  <c r="N322" i="1"/>
  <c r="W321" i="1"/>
  <c r="Q321" i="1"/>
  <c r="R321" i="1" s="1"/>
  <c r="S321" i="1" s="1"/>
  <c r="N321" i="1"/>
  <c r="W320" i="1"/>
  <c r="R320" i="1"/>
  <c r="S320" i="1" s="1"/>
  <c r="Q320" i="1"/>
  <c r="N320" i="1"/>
  <c r="W319" i="1"/>
  <c r="R319" i="1"/>
  <c r="S319" i="1" s="1"/>
  <c r="Q319" i="1"/>
  <c r="N319" i="1"/>
  <c r="H319" i="1"/>
  <c r="H320" i="1" s="1"/>
  <c r="H321" i="1" s="1"/>
  <c r="H322" i="1" s="1"/>
  <c r="H323" i="1" s="1"/>
  <c r="H324" i="1" s="1"/>
  <c r="H325" i="1" s="1"/>
  <c r="H326" i="1" s="1"/>
  <c r="W318" i="1"/>
  <c r="S318" i="1"/>
  <c r="R318" i="1"/>
  <c r="Q318" i="1"/>
  <c r="N318" i="1"/>
  <c r="W317" i="1"/>
  <c r="S317" i="1"/>
  <c r="R317" i="1"/>
  <c r="Q317" i="1"/>
  <c r="N317" i="1"/>
  <c r="W316" i="1"/>
  <c r="Q316" i="1"/>
  <c r="R316" i="1" s="1"/>
  <c r="S316" i="1" s="1"/>
  <c r="N316" i="1"/>
  <c r="W315" i="1"/>
  <c r="S315" i="1"/>
  <c r="Q315" i="1"/>
  <c r="R315" i="1" s="1"/>
  <c r="N315" i="1"/>
  <c r="W314" i="1"/>
  <c r="Q314" i="1"/>
  <c r="R314" i="1" s="1"/>
  <c r="S314" i="1" s="1"/>
  <c r="N314" i="1"/>
  <c r="H314" i="1"/>
  <c r="H315" i="1" s="1"/>
  <c r="H316" i="1" s="1"/>
  <c r="H317" i="1" s="1"/>
  <c r="H318" i="1" s="1"/>
  <c r="W313" i="1"/>
  <c r="R313" i="1"/>
  <c r="S313" i="1" s="1"/>
  <c r="Q313" i="1"/>
  <c r="N313" i="1"/>
  <c r="H313" i="1"/>
  <c r="W312" i="1"/>
  <c r="R312" i="1"/>
  <c r="S312" i="1" s="1"/>
  <c r="Q312" i="1"/>
  <c r="N312" i="1"/>
  <c r="W311" i="1"/>
  <c r="Q311" i="1"/>
  <c r="R311" i="1" s="1"/>
  <c r="S311" i="1" s="1"/>
  <c r="N311" i="1"/>
  <c r="W310" i="1"/>
  <c r="R310" i="1"/>
  <c r="S310" i="1" s="1"/>
  <c r="Q310" i="1"/>
  <c r="N310" i="1"/>
  <c r="W309" i="1"/>
  <c r="R309" i="1"/>
  <c r="S309" i="1" s="1"/>
  <c r="Q309" i="1"/>
  <c r="N309" i="1"/>
  <c r="W308" i="1"/>
  <c r="R308" i="1"/>
  <c r="S308" i="1" s="1"/>
  <c r="Q308" i="1"/>
  <c r="N308" i="1"/>
  <c r="W307" i="1"/>
  <c r="S307" i="1"/>
  <c r="R307" i="1"/>
  <c r="Q307" i="1"/>
  <c r="N307" i="1"/>
  <c r="W306" i="1"/>
  <c r="S306" i="1"/>
  <c r="R306" i="1"/>
  <c r="Q306" i="1"/>
  <c r="N306" i="1"/>
  <c r="W305" i="1"/>
  <c r="Q305" i="1"/>
  <c r="R305" i="1" s="1"/>
  <c r="S305" i="1" s="1"/>
  <c r="N305" i="1"/>
  <c r="W304" i="1"/>
  <c r="S304" i="1"/>
  <c r="Q304" i="1"/>
  <c r="R304" i="1" s="1"/>
  <c r="N304" i="1"/>
  <c r="W303" i="1"/>
  <c r="Q303" i="1"/>
  <c r="R303" i="1" s="1"/>
  <c r="S303" i="1" s="1"/>
  <c r="N303" i="1"/>
  <c r="W302" i="1"/>
  <c r="R302" i="1"/>
  <c r="S302" i="1" s="1"/>
  <c r="Q302" i="1"/>
  <c r="N302" i="1"/>
  <c r="W301" i="1"/>
  <c r="S301" i="1"/>
  <c r="R301" i="1"/>
  <c r="Q301" i="1"/>
  <c r="N301" i="1"/>
  <c r="H301" i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W300" i="1"/>
  <c r="Q300" i="1"/>
  <c r="R300" i="1" s="1"/>
  <c r="S300" i="1" s="1"/>
  <c r="N300" i="1"/>
  <c r="W299" i="1"/>
  <c r="R299" i="1"/>
  <c r="S299" i="1" s="1"/>
  <c r="T299" i="1" s="1"/>
  <c r="Q299" i="1"/>
  <c r="N299" i="1"/>
  <c r="O299" i="1" s="1"/>
  <c r="Y298" i="1"/>
  <c r="Y299" i="1" s="1"/>
  <c r="Y300" i="1" s="1"/>
  <c r="Y301" i="1" s="1"/>
  <c r="Y302" i="1" s="1"/>
  <c r="Y303" i="1" s="1"/>
  <c r="Y304" i="1" s="1"/>
  <c r="Y305" i="1" s="1"/>
  <c r="Y306" i="1" s="1"/>
  <c r="Y307" i="1" s="1"/>
  <c r="Y308" i="1" s="1"/>
  <c r="Y309" i="1" s="1"/>
  <c r="Y310" i="1" s="1"/>
  <c r="Y311" i="1" s="1"/>
  <c r="Y312" i="1" s="1"/>
  <c r="Y313" i="1" s="1"/>
  <c r="Y314" i="1" s="1"/>
  <c r="Y315" i="1" s="1"/>
  <c r="Y316" i="1" s="1"/>
  <c r="Y317" i="1" s="1"/>
  <c r="Y318" i="1" s="1"/>
  <c r="Y319" i="1" s="1"/>
  <c r="Y320" i="1" s="1"/>
  <c r="Y321" i="1" s="1"/>
  <c r="Y322" i="1" s="1"/>
  <c r="Y323" i="1" s="1"/>
  <c r="Y324" i="1" s="1"/>
  <c r="Y325" i="1" s="1"/>
  <c r="Y326" i="1" s="1"/>
  <c r="W298" i="1"/>
  <c r="Q298" i="1"/>
  <c r="R298" i="1" s="1"/>
  <c r="S298" i="1" s="1"/>
  <c r="N298" i="1"/>
  <c r="W297" i="1"/>
  <c r="Q297" i="1"/>
  <c r="R297" i="1" s="1"/>
  <c r="S297" i="1" s="1"/>
  <c r="N297" i="1"/>
  <c r="W296" i="1"/>
  <c r="R296" i="1"/>
  <c r="S296" i="1" s="1"/>
  <c r="Q296" i="1"/>
  <c r="N296" i="1"/>
  <c r="I296" i="1"/>
  <c r="W295" i="1"/>
  <c r="R295" i="1"/>
  <c r="S295" i="1" s="1"/>
  <c r="Q295" i="1"/>
  <c r="N295" i="1"/>
  <c r="Z294" i="1"/>
  <c r="W294" i="1"/>
  <c r="Q294" i="1"/>
  <c r="R294" i="1" s="1"/>
  <c r="S294" i="1" s="1"/>
  <c r="N294" i="1"/>
  <c r="I294" i="1"/>
  <c r="Y293" i="1"/>
  <c r="Y294" i="1" s="1"/>
  <c r="Y295" i="1" s="1"/>
  <c r="Y296" i="1" s="1"/>
  <c r="Y297" i="1" s="1"/>
  <c r="W293" i="1"/>
  <c r="R293" i="1"/>
  <c r="S293" i="1" s="1"/>
  <c r="Q293" i="1"/>
  <c r="N293" i="1"/>
  <c r="Y292" i="1"/>
  <c r="W292" i="1"/>
  <c r="R292" i="1"/>
  <c r="S292" i="1" s="1"/>
  <c r="Q292" i="1"/>
  <c r="N292" i="1"/>
  <c r="I292" i="1"/>
  <c r="H292" i="1"/>
  <c r="H293" i="1" s="1"/>
  <c r="H294" i="1" s="1"/>
  <c r="H295" i="1" s="1"/>
  <c r="H296" i="1" s="1"/>
  <c r="H297" i="1" s="1"/>
  <c r="H298" i="1" s="1"/>
  <c r="H299" i="1" s="1"/>
  <c r="H300" i="1" s="1"/>
  <c r="W291" i="1"/>
  <c r="R291" i="1"/>
  <c r="S291" i="1" s="1"/>
  <c r="Q291" i="1"/>
  <c r="N291" i="1"/>
  <c r="W290" i="1"/>
  <c r="S290" i="1"/>
  <c r="R290" i="1"/>
  <c r="Q290" i="1"/>
  <c r="N290" i="1"/>
  <c r="W289" i="1"/>
  <c r="S289" i="1"/>
  <c r="R289" i="1"/>
  <c r="Q289" i="1"/>
  <c r="N289" i="1"/>
  <c r="W288" i="1"/>
  <c r="R288" i="1"/>
  <c r="S288" i="1" s="1"/>
  <c r="Q288" i="1"/>
  <c r="N288" i="1"/>
  <c r="W287" i="1"/>
  <c r="R287" i="1"/>
  <c r="S287" i="1" s="1"/>
  <c r="Q287" i="1"/>
  <c r="N287" i="1"/>
  <c r="H287" i="1"/>
  <c r="H288" i="1" s="1"/>
  <c r="H289" i="1" s="1"/>
  <c r="H290" i="1" s="1"/>
  <c r="W286" i="1"/>
  <c r="Q286" i="1"/>
  <c r="R286" i="1" s="1"/>
  <c r="S286" i="1" s="1"/>
  <c r="N286" i="1"/>
  <c r="W285" i="1"/>
  <c r="Q285" i="1"/>
  <c r="R285" i="1" s="1"/>
  <c r="S285" i="1" s="1"/>
  <c r="N285" i="1"/>
  <c r="H285" i="1"/>
  <c r="H286" i="1" s="1"/>
  <c r="W284" i="1"/>
  <c r="R284" i="1"/>
  <c r="S284" i="1" s="1"/>
  <c r="Q284" i="1"/>
  <c r="N284" i="1"/>
  <c r="W283" i="1"/>
  <c r="R283" i="1"/>
  <c r="S283" i="1" s="1"/>
  <c r="Q283" i="1"/>
  <c r="N283" i="1"/>
  <c r="W282" i="1"/>
  <c r="R282" i="1"/>
  <c r="S282" i="1" s="1"/>
  <c r="Q282" i="1"/>
  <c r="N282" i="1"/>
  <c r="W281" i="1"/>
  <c r="R281" i="1"/>
  <c r="S281" i="1" s="1"/>
  <c r="Q281" i="1"/>
  <c r="N281" i="1"/>
  <c r="W280" i="1"/>
  <c r="S280" i="1"/>
  <c r="R280" i="1"/>
  <c r="Q280" i="1"/>
  <c r="N280" i="1"/>
  <c r="W279" i="1"/>
  <c r="R279" i="1"/>
  <c r="S279" i="1" s="1"/>
  <c r="Q279" i="1"/>
  <c r="N279" i="1"/>
  <c r="W278" i="1"/>
  <c r="R278" i="1"/>
  <c r="S278" i="1" s="1"/>
  <c r="Q278" i="1"/>
  <c r="N278" i="1"/>
  <c r="I278" i="1"/>
  <c r="W277" i="1"/>
  <c r="S277" i="1"/>
  <c r="R277" i="1"/>
  <c r="Q277" i="1"/>
  <c r="N277" i="1"/>
  <c r="Z276" i="1"/>
  <c r="W276" i="1"/>
  <c r="S276" i="1"/>
  <c r="Q276" i="1"/>
  <c r="R276" i="1" s="1"/>
  <c r="N276" i="1"/>
  <c r="I276" i="1"/>
  <c r="H276" i="1"/>
  <c r="H277" i="1" s="1"/>
  <c r="H278" i="1" s="1"/>
  <c r="H279" i="1" s="1"/>
  <c r="H280" i="1" s="1"/>
  <c r="H281" i="1" s="1"/>
  <c r="H282" i="1" s="1"/>
  <c r="H283" i="1" s="1"/>
  <c r="H284" i="1" s="1"/>
  <c r="Y275" i="1"/>
  <c r="Y276" i="1" s="1"/>
  <c r="Y277" i="1" s="1"/>
  <c r="Y278" i="1" s="1"/>
  <c r="Y279" i="1" s="1"/>
  <c r="Y280" i="1" s="1"/>
  <c r="Y281" i="1" s="1"/>
  <c r="Y282" i="1" s="1"/>
  <c r="Y283" i="1" s="1"/>
  <c r="Y284" i="1" s="1"/>
  <c r="Y285" i="1" s="1"/>
  <c r="Y286" i="1" s="1"/>
  <c r="Y287" i="1" s="1"/>
  <c r="Y288" i="1" s="1"/>
  <c r="Y289" i="1" s="1"/>
  <c r="Y290" i="1" s="1"/>
  <c r="W275" i="1"/>
  <c r="Q275" i="1"/>
  <c r="R275" i="1" s="1"/>
  <c r="S275" i="1" s="1"/>
  <c r="N275" i="1"/>
  <c r="H275" i="1"/>
  <c r="Y274" i="1"/>
  <c r="W274" i="1"/>
  <c r="Q274" i="1"/>
  <c r="R274" i="1" s="1"/>
  <c r="S274" i="1" s="1"/>
  <c r="N274" i="1"/>
  <c r="I274" i="1"/>
  <c r="H274" i="1"/>
  <c r="W273" i="1"/>
  <c r="S273" i="1"/>
  <c r="Q273" i="1"/>
  <c r="R273" i="1" s="1"/>
  <c r="N273" i="1"/>
  <c r="W272" i="1"/>
  <c r="S272" i="1"/>
  <c r="R272" i="1"/>
  <c r="N272" i="1"/>
  <c r="W271" i="1"/>
  <c r="S271" i="1"/>
  <c r="R271" i="1"/>
  <c r="N271" i="1"/>
  <c r="W270" i="1"/>
  <c r="R270" i="1"/>
  <c r="S270" i="1" s="1"/>
  <c r="N270" i="1"/>
  <c r="W269" i="1"/>
  <c r="S269" i="1"/>
  <c r="R269" i="1"/>
  <c r="N269" i="1"/>
  <c r="W268" i="1"/>
  <c r="R268" i="1"/>
  <c r="S268" i="1" s="1"/>
  <c r="N268" i="1"/>
  <c r="W267" i="1"/>
  <c r="S267" i="1"/>
  <c r="R267" i="1"/>
  <c r="N267" i="1"/>
  <c r="W266" i="1"/>
  <c r="R266" i="1"/>
  <c r="S266" i="1" s="1"/>
  <c r="N266" i="1"/>
  <c r="W265" i="1"/>
  <c r="S265" i="1"/>
  <c r="R265" i="1"/>
  <c r="N265" i="1"/>
  <c r="W264" i="1"/>
  <c r="S264" i="1"/>
  <c r="R264" i="1"/>
  <c r="N264" i="1"/>
  <c r="W263" i="1"/>
  <c r="S263" i="1"/>
  <c r="R263" i="1"/>
  <c r="N263" i="1"/>
  <c r="W262" i="1"/>
  <c r="S262" i="1"/>
  <c r="R262" i="1"/>
  <c r="N262" i="1"/>
  <c r="W261" i="1"/>
  <c r="R261" i="1"/>
  <c r="S261" i="1" s="1"/>
  <c r="N261" i="1"/>
  <c r="W260" i="1"/>
  <c r="S260" i="1"/>
  <c r="R260" i="1"/>
  <c r="N260" i="1"/>
  <c r="W259" i="1"/>
  <c r="R259" i="1"/>
  <c r="S259" i="1" s="1"/>
  <c r="N259" i="1"/>
  <c r="W258" i="1"/>
  <c r="R258" i="1"/>
  <c r="S258" i="1" s="1"/>
  <c r="N258" i="1"/>
  <c r="H258" i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W257" i="1"/>
  <c r="S257" i="1"/>
  <c r="R257" i="1"/>
  <c r="N257" i="1"/>
  <c r="W256" i="1"/>
  <c r="R256" i="1"/>
  <c r="S256" i="1" s="1"/>
  <c r="N256" i="1"/>
  <c r="I256" i="1"/>
  <c r="W255" i="1"/>
  <c r="S255" i="1"/>
  <c r="R255" i="1"/>
  <c r="N255" i="1"/>
  <c r="H255" i="1"/>
  <c r="H256" i="1" s="1"/>
  <c r="H257" i="1" s="1"/>
  <c r="Z254" i="1"/>
  <c r="Y254" i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Y272" i="1" s="1"/>
  <c r="W254" i="1"/>
  <c r="R254" i="1"/>
  <c r="S254" i="1" s="1"/>
  <c r="N254" i="1"/>
  <c r="I254" i="1"/>
  <c r="Y253" i="1"/>
  <c r="W253" i="1"/>
  <c r="R253" i="1"/>
  <c r="S253" i="1" s="1"/>
  <c r="N253" i="1"/>
  <c r="H253" i="1"/>
  <c r="H254" i="1" s="1"/>
  <c r="Y252" i="1"/>
  <c r="W252" i="1"/>
  <c r="S252" i="1"/>
  <c r="R252" i="1"/>
  <c r="N252" i="1"/>
  <c r="I252" i="1"/>
  <c r="H252" i="1"/>
  <c r="W251" i="1"/>
  <c r="R251" i="1"/>
  <c r="S251" i="1" s="1"/>
  <c r="N251" i="1"/>
  <c r="W250" i="1"/>
  <c r="R250" i="1"/>
  <c r="S250" i="1" s="1"/>
  <c r="N250" i="1"/>
  <c r="W249" i="1"/>
  <c r="S249" i="1"/>
  <c r="R249" i="1"/>
  <c r="N249" i="1"/>
  <c r="W248" i="1"/>
  <c r="R248" i="1"/>
  <c r="S248" i="1" s="1"/>
  <c r="N248" i="1"/>
  <c r="W247" i="1"/>
  <c r="S247" i="1"/>
  <c r="R247" i="1"/>
  <c r="N247" i="1"/>
  <c r="W246" i="1"/>
  <c r="R246" i="1"/>
  <c r="S246" i="1" s="1"/>
  <c r="N246" i="1"/>
  <c r="W245" i="1"/>
  <c r="S245" i="1"/>
  <c r="R245" i="1"/>
  <c r="N245" i="1"/>
  <c r="W244" i="1"/>
  <c r="R244" i="1"/>
  <c r="S244" i="1" s="1"/>
  <c r="N244" i="1"/>
  <c r="W243" i="1"/>
  <c r="S243" i="1"/>
  <c r="R243" i="1"/>
  <c r="N243" i="1"/>
  <c r="W242" i="1"/>
  <c r="R242" i="1"/>
  <c r="S242" i="1" s="1"/>
  <c r="N242" i="1"/>
  <c r="W241" i="1"/>
  <c r="R241" i="1"/>
  <c r="S241" i="1" s="1"/>
  <c r="N241" i="1"/>
  <c r="W240" i="1"/>
  <c r="S240" i="1"/>
  <c r="R240" i="1"/>
  <c r="N240" i="1"/>
  <c r="W239" i="1"/>
  <c r="S239" i="1"/>
  <c r="R239" i="1"/>
  <c r="N239" i="1"/>
  <c r="W238" i="1"/>
  <c r="R238" i="1"/>
  <c r="S238" i="1" s="1"/>
  <c r="N238" i="1"/>
  <c r="W237" i="1"/>
  <c r="R237" i="1"/>
  <c r="S237" i="1" s="1"/>
  <c r="N237" i="1"/>
  <c r="W236" i="1"/>
  <c r="S236" i="1"/>
  <c r="R236" i="1"/>
  <c r="N236" i="1"/>
  <c r="Y235" i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W235" i="1"/>
  <c r="R235" i="1"/>
  <c r="S235" i="1" s="1"/>
  <c r="N235" i="1"/>
  <c r="I235" i="1"/>
  <c r="W234" i="1"/>
  <c r="S234" i="1"/>
  <c r="R234" i="1"/>
  <c r="N234" i="1"/>
  <c r="Z233" i="1"/>
  <c r="W233" i="1"/>
  <c r="S233" i="1"/>
  <c r="R233" i="1"/>
  <c r="N233" i="1"/>
  <c r="I233" i="1"/>
  <c r="W232" i="1"/>
  <c r="S232" i="1"/>
  <c r="R232" i="1"/>
  <c r="N232" i="1"/>
  <c r="H232" i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Y231" i="1"/>
  <c r="Y232" i="1" s="1"/>
  <c r="Y233" i="1" s="1"/>
  <c r="Y234" i="1" s="1"/>
  <c r="W231" i="1"/>
  <c r="R231" i="1"/>
  <c r="S231" i="1" s="1"/>
  <c r="N231" i="1"/>
  <c r="I231" i="1"/>
  <c r="H231" i="1"/>
  <c r="W230" i="1"/>
  <c r="S230" i="1"/>
  <c r="R230" i="1"/>
  <c r="N230" i="1"/>
  <c r="W229" i="1"/>
  <c r="Q229" i="1"/>
  <c r="R229" i="1" s="1"/>
  <c r="S229" i="1" s="1"/>
  <c r="N229" i="1"/>
  <c r="W228" i="1"/>
  <c r="Q228" i="1"/>
  <c r="R228" i="1" s="1"/>
  <c r="S228" i="1" s="1"/>
  <c r="N228" i="1"/>
  <c r="W227" i="1"/>
  <c r="R227" i="1"/>
  <c r="S227" i="1" s="1"/>
  <c r="Q227" i="1"/>
  <c r="N227" i="1"/>
  <c r="W226" i="1"/>
  <c r="R226" i="1"/>
  <c r="S226" i="1" s="1"/>
  <c r="Q226" i="1"/>
  <c r="N226" i="1"/>
  <c r="W225" i="1"/>
  <c r="R225" i="1"/>
  <c r="S225" i="1" s="1"/>
  <c r="Q225" i="1"/>
  <c r="N225" i="1"/>
  <c r="W224" i="1"/>
  <c r="Q224" i="1"/>
  <c r="R224" i="1" s="1"/>
  <c r="S224" i="1" s="1"/>
  <c r="N224" i="1"/>
  <c r="W223" i="1"/>
  <c r="R223" i="1"/>
  <c r="S223" i="1" s="1"/>
  <c r="Q223" i="1"/>
  <c r="N223" i="1"/>
  <c r="W222" i="1"/>
  <c r="Q222" i="1"/>
  <c r="R222" i="1" s="1"/>
  <c r="S222" i="1" s="1"/>
  <c r="N222" i="1"/>
  <c r="W221" i="1"/>
  <c r="Q221" i="1"/>
  <c r="R221" i="1" s="1"/>
  <c r="S221" i="1" s="1"/>
  <c r="N221" i="1"/>
  <c r="W220" i="1"/>
  <c r="S220" i="1"/>
  <c r="Q220" i="1"/>
  <c r="R220" i="1" s="1"/>
  <c r="N220" i="1"/>
  <c r="W219" i="1"/>
  <c r="R219" i="1"/>
  <c r="S219" i="1" s="1"/>
  <c r="Q219" i="1"/>
  <c r="N219" i="1"/>
  <c r="W218" i="1"/>
  <c r="S218" i="1"/>
  <c r="R218" i="1"/>
  <c r="Q218" i="1"/>
  <c r="N218" i="1"/>
  <c r="W217" i="1"/>
  <c r="R217" i="1"/>
  <c r="S217" i="1" s="1"/>
  <c r="Q217" i="1"/>
  <c r="N217" i="1"/>
  <c r="W216" i="1"/>
  <c r="Q216" i="1"/>
  <c r="R216" i="1" s="1"/>
  <c r="S216" i="1" s="1"/>
  <c r="N216" i="1"/>
  <c r="W215" i="1"/>
  <c r="Q215" i="1"/>
  <c r="R215" i="1" s="1"/>
  <c r="S215" i="1" s="1"/>
  <c r="N215" i="1"/>
  <c r="W214" i="1"/>
  <c r="S214" i="1"/>
  <c r="Q214" i="1"/>
  <c r="R214" i="1" s="1"/>
  <c r="N214" i="1"/>
  <c r="W213" i="1"/>
  <c r="Q213" i="1"/>
  <c r="R213" i="1" s="1"/>
  <c r="S213" i="1" s="1"/>
  <c r="N213" i="1"/>
  <c r="W212" i="1"/>
  <c r="S212" i="1"/>
  <c r="Q212" i="1"/>
  <c r="R212" i="1" s="1"/>
  <c r="N212" i="1"/>
  <c r="W211" i="1"/>
  <c r="S211" i="1"/>
  <c r="R211" i="1"/>
  <c r="Q211" i="1"/>
  <c r="N211" i="1"/>
  <c r="W210" i="1"/>
  <c r="S210" i="1"/>
  <c r="R210" i="1"/>
  <c r="Q210" i="1"/>
  <c r="N210" i="1"/>
  <c r="W209" i="1"/>
  <c r="R209" i="1"/>
  <c r="S209" i="1" s="1"/>
  <c r="Q209" i="1"/>
  <c r="N209" i="1"/>
  <c r="W208" i="1"/>
  <c r="R208" i="1"/>
  <c r="S208" i="1" s="1"/>
  <c r="Q208" i="1"/>
  <c r="N208" i="1"/>
  <c r="W207" i="1"/>
  <c r="Q207" i="1"/>
  <c r="R207" i="1" s="1"/>
  <c r="S207" i="1" s="1"/>
  <c r="N207" i="1"/>
  <c r="W206" i="1"/>
  <c r="R206" i="1"/>
  <c r="S206" i="1" s="1"/>
  <c r="Q206" i="1"/>
  <c r="N206" i="1"/>
  <c r="W205" i="1"/>
  <c r="R205" i="1"/>
  <c r="S205" i="1" s="1"/>
  <c r="Q205" i="1"/>
  <c r="N205" i="1"/>
  <c r="W204" i="1"/>
  <c r="S204" i="1"/>
  <c r="R204" i="1"/>
  <c r="Q204" i="1"/>
  <c r="N204" i="1"/>
  <c r="W203" i="1"/>
  <c r="R203" i="1"/>
  <c r="S203" i="1" s="1"/>
  <c r="Q203" i="1"/>
  <c r="N203" i="1"/>
  <c r="W202" i="1"/>
  <c r="Q202" i="1"/>
  <c r="R202" i="1" s="1"/>
  <c r="S202" i="1" s="1"/>
  <c r="N202" i="1"/>
  <c r="W201" i="1"/>
  <c r="R201" i="1"/>
  <c r="S201" i="1" s="1"/>
  <c r="Q201" i="1"/>
  <c r="N201" i="1"/>
  <c r="W200" i="1"/>
  <c r="R200" i="1"/>
  <c r="S200" i="1" s="1"/>
  <c r="Q200" i="1"/>
  <c r="N200" i="1"/>
  <c r="I200" i="1"/>
  <c r="W199" i="1"/>
  <c r="Q199" i="1"/>
  <c r="R199" i="1" s="1"/>
  <c r="S199" i="1" s="1"/>
  <c r="N199" i="1"/>
  <c r="Z198" i="1"/>
  <c r="Y198" i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W198" i="1"/>
  <c r="S198" i="1"/>
  <c r="Q198" i="1"/>
  <c r="R198" i="1" s="1"/>
  <c r="N198" i="1"/>
  <c r="I198" i="1"/>
  <c r="H198" i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W197" i="1"/>
  <c r="R197" i="1"/>
  <c r="S197" i="1" s="1"/>
  <c r="Q197" i="1"/>
  <c r="N197" i="1"/>
  <c r="H197" i="1"/>
  <c r="Y196" i="1"/>
  <c r="Y197" i="1" s="1"/>
  <c r="W196" i="1"/>
  <c r="R196" i="1"/>
  <c r="S196" i="1" s="1"/>
  <c r="Q196" i="1"/>
  <c r="N196" i="1"/>
  <c r="I196" i="1"/>
  <c r="H196" i="1"/>
  <c r="W195" i="1"/>
  <c r="S195" i="1"/>
  <c r="Q195" i="1"/>
  <c r="R195" i="1" s="1"/>
  <c r="N195" i="1"/>
  <c r="W194" i="1"/>
  <c r="R194" i="1"/>
  <c r="S194" i="1" s="1"/>
  <c r="N194" i="1"/>
  <c r="W193" i="1"/>
  <c r="S193" i="1"/>
  <c r="R193" i="1"/>
  <c r="N193" i="1"/>
  <c r="W192" i="1"/>
  <c r="R192" i="1"/>
  <c r="S192" i="1" s="1"/>
  <c r="N192" i="1"/>
  <c r="W191" i="1"/>
  <c r="S191" i="1"/>
  <c r="R191" i="1"/>
  <c r="N191" i="1"/>
  <c r="W190" i="1"/>
  <c r="R190" i="1"/>
  <c r="S190" i="1" s="1"/>
  <c r="N190" i="1"/>
  <c r="W189" i="1"/>
  <c r="S189" i="1"/>
  <c r="R189" i="1"/>
  <c r="N189" i="1"/>
  <c r="W188" i="1"/>
  <c r="R188" i="1"/>
  <c r="S188" i="1" s="1"/>
  <c r="N188" i="1"/>
  <c r="W187" i="1"/>
  <c r="S187" i="1"/>
  <c r="R187" i="1"/>
  <c r="N187" i="1"/>
  <c r="W186" i="1"/>
  <c r="R186" i="1"/>
  <c r="S186" i="1" s="1"/>
  <c r="N186" i="1"/>
  <c r="W185" i="1"/>
  <c r="S185" i="1"/>
  <c r="R185" i="1"/>
  <c r="N185" i="1"/>
  <c r="W184" i="1"/>
  <c r="R184" i="1"/>
  <c r="S184" i="1" s="1"/>
  <c r="N184" i="1"/>
  <c r="W183" i="1"/>
  <c r="S183" i="1"/>
  <c r="R183" i="1"/>
  <c r="N183" i="1"/>
  <c r="W182" i="1"/>
  <c r="R182" i="1"/>
  <c r="S182" i="1" s="1"/>
  <c r="N182" i="1"/>
  <c r="W181" i="1"/>
  <c r="S181" i="1"/>
  <c r="R181" i="1"/>
  <c r="N181" i="1"/>
  <c r="W180" i="1"/>
  <c r="R180" i="1"/>
  <c r="S180" i="1" s="1"/>
  <c r="N180" i="1"/>
  <c r="W179" i="1"/>
  <c r="S179" i="1"/>
  <c r="R179" i="1"/>
  <c r="N179" i="1"/>
  <c r="W178" i="1"/>
  <c r="R178" i="1"/>
  <c r="S178" i="1" s="1"/>
  <c r="N178" i="1"/>
  <c r="W177" i="1"/>
  <c r="S177" i="1"/>
  <c r="R177" i="1"/>
  <c r="N177" i="1"/>
  <c r="W176" i="1"/>
  <c r="R176" i="1"/>
  <c r="S176" i="1" s="1"/>
  <c r="N176" i="1"/>
  <c r="W175" i="1"/>
  <c r="S175" i="1"/>
  <c r="R175" i="1"/>
  <c r="N175" i="1"/>
  <c r="W174" i="1"/>
  <c r="R174" i="1"/>
  <c r="S174" i="1" s="1"/>
  <c r="N174" i="1"/>
  <c r="W173" i="1"/>
  <c r="S173" i="1"/>
  <c r="R173" i="1"/>
  <c r="N173" i="1"/>
  <c r="W172" i="1"/>
  <c r="R172" i="1"/>
  <c r="S172" i="1" s="1"/>
  <c r="N172" i="1"/>
  <c r="W171" i="1"/>
  <c r="S171" i="1"/>
  <c r="R171" i="1"/>
  <c r="N171" i="1"/>
  <c r="G171" i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W170" i="1"/>
  <c r="R170" i="1"/>
  <c r="S170" i="1" s="1"/>
  <c r="N170" i="1"/>
  <c r="W169" i="1"/>
  <c r="S169" i="1"/>
  <c r="R169" i="1"/>
  <c r="N169" i="1"/>
  <c r="W168" i="1"/>
  <c r="R168" i="1"/>
  <c r="S168" i="1" s="1"/>
  <c r="N168" i="1"/>
  <c r="W167" i="1"/>
  <c r="S167" i="1"/>
  <c r="R167" i="1"/>
  <c r="N167" i="1"/>
  <c r="G167" i="1"/>
  <c r="G168" i="1" s="1"/>
  <c r="G169" i="1" s="1"/>
  <c r="G170" i="1" s="1"/>
  <c r="W166" i="1"/>
  <c r="R166" i="1"/>
  <c r="S166" i="1" s="1"/>
  <c r="N166" i="1"/>
  <c r="H166" i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W165" i="1"/>
  <c r="S165" i="1"/>
  <c r="R165" i="1"/>
  <c r="N165" i="1"/>
  <c r="G165" i="1"/>
  <c r="G166" i="1" s="1"/>
  <c r="W164" i="1"/>
  <c r="R164" i="1"/>
  <c r="S164" i="1" s="1"/>
  <c r="N164" i="1"/>
  <c r="H164" i="1"/>
  <c r="H165" i="1" s="1"/>
  <c r="G164" i="1"/>
  <c r="W163" i="1"/>
  <c r="S163" i="1"/>
  <c r="R163" i="1"/>
  <c r="N163" i="1"/>
  <c r="W162" i="1"/>
  <c r="S162" i="1"/>
  <c r="R162" i="1"/>
  <c r="N162" i="1"/>
  <c r="W161" i="1"/>
  <c r="R161" i="1"/>
  <c r="S161" i="1" s="1"/>
  <c r="N161" i="1"/>
  <c r="W160" i="1"/>
  <c r="S160" i="1"/>
  <c r="R160" i="1"/>
  <c r="N160" i="1"/>
  <c r="W159" i="1"/>
  <c r="R159" i="1"/>
  <c r="S159" i="1" s="1"/>
  <c r="N159" i="1"/>
  <c r="W158" i="1"/>
  <c r="R158" i="1"/>
  <c r="S158" i="1" s="1"/>
  <c r="N158" i="1"/>
  <c r="W157" i="1"/>
  <c r="R157" i="1"/>
  <c r="S157" i="1" s="1"/>
  <c r="N157" i="1"/>
  <c r="W156" i="1"/>
  <c r="R156" i="1"/>
  <c r="S156" i="1" s="1"/>
  <c r="N156" i="1"/>
  <c r="W155" i="1"/>
  <c r="R155" i="1"/>
  <c r="S155" i="1" s="1"/>
  <c r="N155" i="1"/>
  <c r="W154" i="1"/>
  <c r="S154" i="1"/>
  <c r="R154" i="1"/>
  <c r="N154" i="1"/>
  <c r="W153" i="1"/>
  <c r="R153" i="1"/>
  <c r="S153" i="1" s="1"/>
  <c r="N153" i="1"/>
  <c r="H153" i="1"/>
  <c r="H154" i="1" s="1"/>
  <c r="H155" i="1" s="1"/>
  <c r="H156" i="1" s="1"/>
  <c r="H157" i="1" s="1"/>
  <c r="H158" i="1" s="1"/>
  <c r="H159" i="1" s="1"/>
  <c r="H160" i="1" s="1"/>
  <c r="H161" i="1" s="1"/>
  <c r="H162" i="1" s="1"/>
  <c r="G153" i="1"/>
  <c r="G154" i="1" s="1"/>
  <c r="G155" i="1" s="1"/>
  <c r="G156" i="1" s="1"/>
  <c r="G157" i="1" s="1"/>
  <c r="G158" i="1" s="1"/>
  <c r="G159" i="1" s="1"/>
  <c r="G160" i="1" s="1"/>
  <c r="G161" i="1" s="1"/>
  <c r="G162" i="1" s="1"/>
  <c r="W152" i="1"/>
  <c r="R152" i="1"/>
  <c r="S152" i="1" s="1"/>
  <c r="N152" i="1"/>
  <c r="H152" i="1"/>
  <c r="W151" i="1"/>
  <c r="R151" i="1"/>
  <c r="S151" i="1" s="1"/>
  <c r="N151" i="1"/>
  <c r="G151" i="1"/>
  <c r="G152" i="1" s="1"/>
  <c r="W150" i="1"/>
  <c r="R150" i="1"/>
  <c r="S150" i="1" s="1"/>
  <c r="N150" i="1"/>
  <c r="H150" i="1"/>
  <c r="H151" i="1" s="1"/>
  <c r="G150" i="1"/>
  <c r="W149" i="1"/>
  <c r="R149" i="1"/>
  <c r="S149" i="1" s="1"/>
  <c r="N149" i="1"/>
  <c r="W148" i="1"/>
  <c r="S148" i="1"/>
  <c r="R148" i="1"/>
  <c r="N148" i="1"/>
  <c r="W147" i="1"/>
  <c r="S147" i="1"/>
  <c r="R147" i="1"/>
  <c r="N147" i="1"/>
  <c r="H147" i="1"/>
  <c r="H148" i="1" s="1"/>
  <c r="G147" i="1"/>
  <c r="G148" i="1" s="1"/>
  <c r="W146" i="1"/>
  <c r="R146" i="1"/>
  <c r="S146" i="1" s="1"/>
  <c r="N146" i="1"/>
  <c r="W145" i="1"/>
  <c r="S145" i="1"/>
  <c r="R145" i="1"/>
  <c r="N145" i="1"/>
  <c r="W144" i="1"/>
  <c r="S144" i="1"/>
  <c r="R144" i="1"/>
  <c r="N144" i="1"/>
  <c r="W143" i="1"/>
  <c r="S143" i="1"/>
  <c r="R143" i="1"/>
  <c r="N143" i="1"/>
  <c r="W142" i="1"/>
  <c r="S142" i="1"/>
  <c r="R142" i="1"/>
  <c r="N142" i="1"/>
  <c r="W141" i="1"/>
  <c r="S141" i="1"/>
  <c r="R141" i="1"/>
  <c r="N141" i="1"/>
  <c r="W140" i="1"/>
  <c r="S140" i="1"/>
  <c r="R140" i="1"/>
  <c r="N140" i="1"/>
  <c r="W139" i="1"/>
  <c r="S139" i="1"/>
  <c r="R139" i="1"/>
  <c r="N139" i="1"/>
  <c r="W138" i="1"/>
  <c r="S138" i="1"/>
  <c r="R138" i="1"/>
  <c r="N138" i="1"/>
  <c r="W137" i="1"/>
  <c r="S137" i="1"/>
  <c r="R137" i="1"/>
  <c r="N137" i="1"/>
  <c r="W136" i="1"/>
  <c r="S136" i="1"/>
  <c r="R136" i="1"/>
  <c r="N136" i="1"/>
  <c r="W135" i="1"/>
  <c r="S135" i="1"/>
  <c r="R135" i="1"/>
  <c r="N135" i="1"/>
  <c r="W134" i="1"/>
  <c r="S134" i="1"/>
  <c r="R134" i="1"/>
  <c r="N134" i="1"/>
  <c r="W133" i="1"/>
  <c r="S133" i="1"/>
  <c r="R133" i="1"/>
  <c r="N133" i="1"/>
  <c r="G133" i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W132" i="1"/>
  <c r="S132" i="1"/>
  <c r="R132" i="1"/>
  <c r="N132" i="1"/>
  <c r="H132" i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G132" i="1"/>
  <c r="W131" i="1"/>
  <c r="S131" i="1"/>
  <c r="R131" i="1"/>
  <c r="N131" i="1"/>
  <c r="W130" i="1"/>
  <c r="R130" i="1"/>
  <c r="S130" i="1" s="1"/>
  <c r="N130" i="1"/>
  <c r="W129" i="1"/>
  <c r="S129" i="1"/>
  <c r="R129" i="1"/>
  <c r="N129" i="1"/>
  <c r="W128" i="1"/>
  <c r="R128" i="1"/>
  <c r="S128" i="1" s="1"/>
  <c r="N128" i="1"/>
  <c r="W127" i="1"/>
  <c r="R127" i="1"/>
  <c r="S127" i="1" s="1"/>
  <c r="N127" i="1"/>
  <c r="W126" i="1"/>
  <c r="R126" i="1"/>
  <c r="S126" i="1" s="1"/>
  <c r="N126" i="1"/>
  <c r="W125" i="1"/>
  <c r="S125" i="1"/>
  <c r="R125" i="1"/>
  <c r="N125" i="1"/>
  <c r="H125" i="1"/>
  <c r="H126" i="1" s="1"/>
  <c r="H127" i="1" s="1"/>
  <c r="H128" i="1" s="1"/>
  <c r="H129" i="1" s="1"/>
  <c r="H130" i="1" s="1"/>
  <c r="G125" i="1"/>
  <c r="G126" i="1" s="1"/>
  <c r="G127" i="1" s="1"/>
  <c r="G128" i="1" s="1"/>
  <c r="G129" i="1" s="1"/>
  <c r="G130" i="1" s="1"/>
  <c r="W124" i="1"/>
  <c r="S124" i="1"/>
  <c r="R124" i="1"/>
  <c r="N124" i="1"/>
  <c r="W123" i="1"/>
  <c r="S123" i="1"/>
  <c r="R123" i="1"/>
  <c r="N123" i="1"/>
  <c r="W122" i="1"/>
  <c r="R122" i="1"/>
  <c r="S122" i="1" s="1"/>
  <c r="N122" i="1"/>
  <c r="W121" i="1"/>
  <c r="S121" i="1"/>
  <c r="R121" i="1"/>
  <c r="N121" i="1"/>
  <c r="W120" i="1"/>
  <c r="R120" i="1"/>
  <c r="S120" i="1" s="1"/>
  <c r="N120" i="1"/>
  <c r="W119" i="1"/>
  <c r="R119" i="1"/>
  <c r="S119" i="1" s="1"/>
  <c r="N119" i="1"/>
  <c r="W118" i="1"/>
  <c r="R118" i="1"/>
  <c r="S118" i="1" s="1"/>
  <c r="N118" i="1"/>
  <c r="W117" i="1"/>
  <c r="R117" i="1"/>
  <c r="S117" i="1" s="1"/>
  <c r="N117" i="1"/>
  <c r="W116" i="1"/>
  <c r="R116" i="1"/>
  <c r="S116" i="1" s="1"/>
  <c r="N116" i="1"/>
  <c r="H116" i="1"/>
  <c r="H117" i="1" s="1"/>
  <c r="H118" i="1" s="1"/>
  <c r="H119" i="1" s="1"/>
  <c r="H120" i="1" s="1"/>
  <c r="H121" i="1" s="1"/>
  <c r="H122" i="1" s="1"/>
  <c r="W115" i="1"/>
  <c r="R115" i="1"/>
  <c r="S115" i="1" s="1"/>
  <c r="N115" i="1"/>
  <c r="W114" i="1"/>
  <c r="R114" i="1"/>
  <c r="S114" i="1" s="1"/>
  <c r="N114" i="1"/>
  <c r="W113" i="1"/>
  <c r="S113" i="1"/>
  <c r="R113" i="1"/>
  <c r="N113" i="1"/>
  <c r="W112" i="1"/>
  <c r="R112" i="1"/>
  <c r="S112" i="1" s="1"/>
  <c r="N112" i="1"/>
  <c r="W111" i="1"/>
  <c r="R111" i="1"/>
  <c r="S111" i="1" s="1"/>
  <c r="N111" i="1"/>
  <c r="W110" i="1"/>
  <c r="R110" i="1"/>
  <c r="S110" i="1" s="1"/>
  <c r="N110" i="1"/>
  <c r="W109" i="1"/>
  <c r="R109" i="1"/>
  <c r="S109" i="1" s="1"/>
  <c r="N109" i="1"/>
  <c r="W108" i="1"/>
  <c r="R108" i="1"/>
  <c r="S108" i="1" s="1"/>
  <c r="N108" i="1"/>
  <c r="W107" i="1"/>
  <c r="R107" i="1"/>
  <c r="S107" i="1" s="1"/>
  <c r="N107" i="1"/>
  <c r="H107" i="1"/>
  <c r="H108" i="1" s="1"/>
  <c r="H109" i="1" s="1"/>
  <c r="H110" i="1" s="1"/>
  <c r="H111" i="1" s="1"/>
  <c r="H112" i="1" s="1"/>
  <c r="H113" i="1" s="1"/>
  <c r="H114" i="1" s="1"/>
  <c r="H115" i="1" s="1"/>
  <c r="W106" i="1"/>
  <c r="R106" i="1"/>
  <c r="S106" i="1" s="1"/>
  <c r="N106" i="1"/>
  <c r="W105" i="1"/>
  <c r="S105" i="1"/>
  <c r="R105" i="1"/>
  <c r="N105" i="1"/>
  <c r="W104" i="1"/>
  <c r="S104" i="1"/>
  <c r="R104" i="1"/>
  <c r="N104" i="1"/>
  <c r="W103" i="1"/>
  <c r="S103" i="1"/>
  <c r="R103" i="1"/>
  <c r="N103" i="1"/>
  <c r="W102" i="1"/>
  <c r="S102" i="1"/>
  <c r="R102" i="1"/>
  <c r="N102" i="1"/>
  <c r="W101" i="1"/>
  <c r="S101" i="1"/>
  <c r="R101" i="1"/>
  <c r="N101" i="1"/>
  <c r="W100" i="1"/>
  <c r="S100" i="1"/>
  <c r="R100" i="1"/>
  <c r="N100" i="1"/>
  <c r="I100" i="1"/>
  <c r="W99" i="1"/>
  <c r="R99" i="1"/>
  <c r="S99" i="1" s="1"/>
  <c r="N99" i="1"/>
  <c r="Z98" i="1"/>
  <c r="W98" i="1"/>
  <c r="S98" i="1"/>
  <c r="R98" i="1"/>
  <c r="N98" i="1"/>
  <c r="I98" i="1"/>
  <c r="W97" i="1"/>
  <c r="R97" i="1"/>
  <c r="S97" i="1" s="1"/>
  <c r="N97" i="1"/>
  <c r="Y96" i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W96" i="1"/>
  <c r="R96" i="1"/>
  <c r="S96" i="1" s="1"/>
  <c r="N96" i="1"/>
  <c r="I96" i="1"/>
  <c r="H96" i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Y95" i="1"/>
  <c r="W95" i="1"/>
  <c r="R95" i="1"/>
  <c r="S95" i="1" s="1"/>
  <c r="N95" i="1"/>
  <c r="H95" i="1"/>
  <c r="W94" i="1"/>
  <c r="R94" i="1"/>
  <c r="S94" i="1" s="1"/>
  <c r="Q94" i="1"/>
  <c r="N94" i="1"/>
  <c r="W93" i="1"/>
  <c r="Q93" i="1"/>
  <c r="R93" i="1" s="1"/>
  <c r="S93" i="1" s="1"/>
  <c r="N93" i="1"/>
  <c r="W92" i="1"/>
  <c r="R92" i="1"/>
  <c r="S92" i="1" s="1"/>
  <c r="Q92" i="1"/>
  <c r="N92" i="1"/>
  <c r="W91" i="1"/>
  <c r="S91" i="1"/>
  <c r="Q91" i="1"/>
  <c r="R91" i="1" s="1"/>
  <c r="N91" i="1"/>
  <c r="W90" i="1"/>
  <c r="Q90" i="1"/>
  <c r="R90" i="1" s="1"/>
  <c r="S90" i="1" s="1"/>
  <c r="N90" i="1"/>
  <c r="W89" i="1"/>
  <c r="Q89" i="1"/>
  <c r="R89" i="1" s="1"/>
  <c r="S89" i="1" s="1"/>
  <c r="N89" i="1"/>
  <c r="W88" i="1"/>
  <c r="R88" i="1"/>
  <c r="S88" i="1" s="1"/>
  <c r="Q88" i="1"/>
  <c r="N88" i="1"/>
  <c r="W87" i="1"/>
  <c r="S87" i="1"/>
  <c r="R87" i="1"/>
  <c r="Q87" i="1"/>
  <c r="N87" i="1"/>
  <c r="W86" i="1"/>
  <c r="R86" i="1"/>
  <c r="S86" i="1" s="1"/>
  <c r="Q86" i="1"/>
  <c r="N86" i="1"/>
  <c r="W85" i="1"/>
  <c r="S85" i="1"/>
  <c r="Q85" i="1"/>
  <c r="R85" i="1" s="1"/>
  <c r="N85" i="1"/>
  <c r="W84" i="1"/>
  <c r="Q84" i="1"/>
  <c r="R84" i="1" s="1"/>
  <c r="S84" i="1" s="1"/>
  <c r="N84" i="1"/>
  <c r="W83" i="1"/>
  <c r="Q83" i="1"/>
  <c r="R83" i="1" s="1"/>
  <c r="S83" i="1" s="1"/>
  <c r="N83" i="1"/>
  <c r="W82" i="1"/>
  <c r="R82" i="1"/>
  <c r="S82" i="1" s="1"/>
  <c r="Q82" i="1"/>
  <c r="N82" i="1"/>
  <c r="W81" i="1"/>
  <c r="Q81" i="1"/>
  <c r="R81" i="1" s="1"/>
  <c r="S81" i="1" s="1"/>
  <c r="N81" i="1"/>
  <c r="W80" i="1"/>
  <c r="R80" i="1"/>
  <c r="S80" i="1" s="1"/>
  <c r="Q80" i="1"/>
  <c r="N80" i="1"/>
  <c r="W79" i="1"/>
  <c r="S79" i="1"/>
  <c r="R79" i="1"/>
  <c r="Q79" i="1"/>
  <c r="N79" i="1"/>
  <c r="W78" i="1"/>
  <c r="Q78" i="1"/>
  <c r="R78" i="1" s="1"/>
  <c r="S78" i="1" s="1"/>
  <c r="N78" i="1"/>
  <c r="W77" i="1"/>
  <c r="Q77" i="1"/>
  <c r="R77" i="1" s="1"/>
  <c r="S77" i="1" s="1"/>
  <c r="N77" i="1"/>
  <c r="W76" i="1"/>
  <c r="Q76" i="1"/>
  <c r="R76" i="1" s="1"/>
  <c r="S76" i="1" s="1"/>
  <c r="N76" i="1"/>
  <c r="W75" i="1"/>
  <c r="R75" i="1"/>
  <c r="S75" i="1" s="1"/>
  <c r="Q75" i="1"/>
  <c r="N75" i="1"/>
  <c r="W74" i="1"/>
  <c r="R74" i="1"/>
  <c r="S74" i="1" s="1"/>
  <c r="Q74" i="1"/>
  <c r="N74" i="1"/>
  <c r="W73" i="1"/>
  <c r="Q73" i="1"/>
  <c r="R73" i="1" s="1"/>
  <c r="S73" i="1" s="1"/>
  <c r="N73" i="1"/>
  <c r="W72" i="1"/>
  <c r="R72" i="1"/>
  <c r="S72" i="1" s="1"/>
  <c r="Q72" i="1"/>
  <c r="N72" i="1"/>
  <c r="W71" i="1"/>
  <c r="S71" i="1"/>
  <c r="R71" i="1"/>
  <c r="Q71" i="1"/>
  <c r="N71" i="1"/>
  <c r="W70" i="1"/>
  <c r="S70" i="1"/>
  <c r="R70" i="1"/>
  <c r="Q70" i="1"/>
  <c r="N70" i="1"/>
  <c r="W69" i="1"/>
  <c r="S69" i="1"/>
  <c r="Q69" i="1"/>
  <c r="R69" i="1" s="1"/>
  <c r="N69" i="1"/>
  <c r="W68" i="1"/>
  <c r="Q68" i="1"/>
  <c r="R68" i="1" s="1"/>
  <c r="S68" i="1" s="1"/>
  <c r="N68" i="1"/>
  <c r="W67" i="1"/>
  <c r="S67" i="1"/>
  <c r="R67" i="1"/>
  <c r="Q67" i="1"/>
  <c r="N67" i="1"/>
  <c r="W66" i="1"/>
  <c r="R66" i="1"/>
  <c r="S66" i="1" s="1"/>
  <c r="Q66" i="1"/>
  <c r="N66" i="1"/>
  <c r="W65" i="1"/>
  <c r="Q65" i="1"/>
  <c r="R65" i="1" s="1"/>
  <c r="S65" i="1" s="1"/>
  <c r="N65" i="1"/>
  <c r="W64" i="1"/>
  <c r="R64" i="1"/>
  <c r="S64" i="1" s="1"/>
  <c r="Q64" i="1"/>
  <c r="N64" i="1"/>
  <c r="W63" i="1"/>
  <c r="Q63" i="1"/>
  <c r="R63" i="1" s="1"/>
  <c r="S63" i="1" s="1"/>
  <c r="N63" i="1"/>
  <c r="W62" i="1"/>
  <c r="S62" i="1"/>
  <c r="R62" i="1"/>
  <c r="Q62" i="1"/>
  <c r="N62" i="1"/>
  <c r="W61" i="1"/>
  <c r="S61" i="1"/>
  <c r="Q61" i="1"/>
  <c r="R61" i="1" s="1"/>
  <c r="N61" i="1"/>
  <c r="W60" i="1"/>
  <c r="Q60" i="1"/>
  <c r="R60" i="1" s="1"/>
  <c r="S60" i="1" s="1"/>
  <c r="N60" i="1"/>
  <c r="W59" i="1"/>
  <c r="S59" i="1"/>
  <c r="R59" i="1"/>
  <c r="Q59" i="1"/>
  <c r="N59" i="1"/>
  <c r="W58" i="1"/>
  <c r="S58" i="1"/>
  <c r="R58" i="1"/>
  <c r="Q58" i="1"/>
  <c r="N58" i="1"/>
  <c r="W57" i="1"/>
  <c r="R57" i="1"/>
  <c r="S57" i="1" s="1"/>
  <c r="Q57" i="1"/>
  <c r="N57" i="1"/>
  <c r="W56" i="1"/>
  <c r="Q56" i="1"/>
  <c r="R56" i="1" s="1"/>
  <c r="S56" i="1" s="1"/>
  <c r="N56" i="1"/>
  <c r="W55" i="1"/>
  <c r="S55" i="1"/>
  <c r="Q55" i="1"/>
  <c r="R55" i="1" s="1"/>
  <c r="N55" i="1"/>
  <c r="W54" i="1"/>
  <c r="Q54" i="1"/>
  <c r="R54" i="1" s="1"/>
  <c r="S54" i="1" s="1"/>
  <c r="N54" i="1"/>
  <c r="W53" i="1"/>
  <c r="Q53" i="1"/>
  <c r="R53" i="1" s="1"/>
  <c r="S53" i="1" s="1"/>
  <c r="N53" i="1"/>
  <c r="W52" i="1"/>
  <c r="Q52" i="1"/>
  <c r="R52" i="1" s="1"/>
  <c r="S52" i="1" s="1"/>
  <c r="N52" i="1"/>
  <c r="W51" i="1"/>
  <c r="R51" i="1"/>
  <c r="S51" i="1" s="1"/>
  <c r="Q51" i="1"/>
  <c r="N51" i="1"/>
  <c r="W50" i="1"/>
  <c r="S50" i="1"/>
  <c r="R50" i="1"/>
  <c r="Q50" i="1"/>
  <c r="N50" i="1"/>
  <c r="W49" i="1"/>
  <c r="R49" i="1"/>
  <c r="S49" i="1" s="1"/>
  <c r="Q49" i="1"/>
  <c r="N49" i="1"/>
  <c r="W48" i="1"/>
  <c r="Q48" i="1"/>
  <c r="R48" i="1" s="1"/>
  <c r="S48" i="1" s="1"/>
  <c r="N48" i="1"/>
  <c r="W47" i="1"/>
  <c r="S47" i="1"/>
  <c r="R47" i="1"/>
  <c r="Q47" i="1"/>
  <c r="N47" i="1"/>
  <c r="W46" i="1"/>
  <c r="Q46" i="1"/>
  <c r="R46" i="1" s="1"/>
  <c r="S46" i="1" s="1"/>
  <c r="N46" i="1"/>
  <c r="W45" i="1"/>
  <c r="S45" i="1"/>
  <c r="Q45" i="1"/>
  <c r="R45" i="1" s="1"/>
  <c r="N45" i="1"/>
  <c r="W44" i="1"/>
  <c r="Q44" i="1"/>
  <c r="R44" i="1" s="1"/>
  <c r="S44" i="1" s="1"/>
  <c r="N44" i="1"/>
  <c r="W43" i="1"/>
  <c r="Q43" i="1"/>
  <c r="R43" i="1" s="1"/>
  <c r="S43" i="1" s="1"/>
  <c r="N43" i="1"/>
  <c r="W42" i="1"/>
  <c r="R42" i="1"/>
  <c r="S42" i="1" s="1"/>
  <c r="Q42" i="1"/>
  <c r="N42" i="1"/>
  <c r="W41" i="1"/>
  <c r="R41" i="1"/>
  <c r="S41" i="1" s="1"/>
  <c r="Q41" i="1"/>
  <c r="N41" i="1"/>
  <c r="W40" i="1"/>
  <c r="R40" i="1"/>
  <c r="S40" i="1" s="1"/>
  <c r="Q40" i="1"/>
  <c r="N40" i="1"/>
  <c r="W39" i="1"/>
  <c r="Q39" i="1"/>
  <c r="R39" i="1" s="1"/>
  <c r="S39" i="1" s="1"/>
  <c r="N39" i="1"/>
  <c r="W38" i="1"/>
  <c r="R38" i="1"/>
  <c r="S38" i="1" s="1"/>
  <c r="T38" i="1" s="1"/>
  <c r="T39" i="1" s="1"/>
  <c r="T40" i="1" s="1"/>
  <c r="T41" i="1" s="1"/>
  <c r="T42" i="1" s="1"/>
  <c r="Q38" i="1"/>
  <c r="O38" i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N38" i="1"/>
  <c r="W37" i="1"/>
  <c r="S37" i="1"/>
  <c r="R37" i="1"/>
  <c r="Q37" i="1"/>
  <c r="N37" i="1"/>
  <c r="W36" i="1"/>
  <c r="R36" i="1"/>
  <c r="S36" i="1" s="1"/>
  <c r="Q36" i="1"/>
  <c r="N36" i="1"/>
  <c r="W35" i="1"/>
  <c r="Q35" i="1"/>
  <c r="R35" i="1" s="1"/>
  <c r="S35" i="1" s="1"/>
  <c r="N35" i="1"/>
  <c r="W34" i="1"/>
  <c r="Q34" i="1"/>
  <c r="R34" i="1" s="1"/>
  <c r="S34" i="1" s="1"/>
  <c r="N34" i="1"/>
  <c r="W33" i="1"/>
  <c r="R33" i="1"/>
  <c r="S33" i="1" s="1"/>
  <c r="Q33" i="1"/>
  <c r="N33" i="1"/>
  <c r="W32" i="1"/>
  <c r="R32" i="1"/>
  <c r="S32" i="1" s="1"/>
  <c r="Q32" i="1"/>
  <c r="N32" i="1"/>
  <c r="W31" i="1"/>
  <c r="Q31" i="1"/>
  <c r="R31" i="1" s="1"/>
  <c r="S31" i="1" s="1"/>
  <c r="N31" i="1"/>
  <c r="W30" i="1"/>
  <c r="Q30" i="1"/>
  <c r="R30" i="1" s="1"/>
  <c r="S30" i="1" s="1"/>
  <c r="N30" i="1"/>
  <c r="W29" i="1"/>
  <c r="R29" i="1"/>
  <c r="S29" i="1" s="1"/>
  <c r="Q29" i="1"/>
  <c r="N29" i="1"/>
  <c r="W28" i="1"/>
  <c r="R28" i="1"/>
  <c r="S28" i="1" s="1"/>
  <c r="Q28" i="1"/>
  <c r="N28" i="1"/>
  <c r="W27" i="1"/>
  <c r="Q27" i="1"/>
  <c r="R27" i="1" s="1"/>
  <c r="S27" i="1" s="1"/>
  <c r="N27" i="1"/>
  <c r="W26" i="1"/>
  <c r="Q26" i="1"/>
  <c r="R26" i="1" s="1"/>
  <c r="S26" i="1" s="1"/>
  <c r="N26" i="1"/>
  <c r="W25" i="1"/>
  <c r="S25" i="1"/>
  <c r="Q25" i="1"/>
  <c r="R25" i="1" s="1"/>
  <c r="N25" i="1"/>
  <c r="W24" i="1"/>
  <c r="Q24" i="1"/>
  <c r="R24" i="1" s="1"/>
  <c r="S24" i="1" s="1"/>
  <c r="N24" i="1"/>
  <c r="W23" i="1"/>
  <c r="R23" i="1"/>
  <c r="S23" i="1" s="1"/>
  <c r="Q23" i="1"/>
  <c r="N23" i="1"/>
  <c r="W22" i="1"/>
  <c r="R22" i="1"/>
  <c r="S22" i="1" s="1"/>
  <c r="Q22" i="1"/>
  <c r="N22" i="1"/>
  <c r="O22" i="1" s="1"/>
  <c r="O23" i="1" s="1"/>
  <c r="O24" i="1" s="1"/>
  <c r="O25" i="1" s="1"/>
  <c r="O26" i="1" s="1"/>
  <c r="W21" i="1"/>
  <c r="R21" i="1"/>
  <c r="S21" i="1" s="1"/>
  <c r="Q21" i="1"/>
  <c r="N21" i="1"/>
  <c r="W20" i="1"/>
  <c r="R20" i="1"/>
  <c r="S20" i="1" s="1"/>
  <c r="Q20" i="1"/>
  <c r="N20" i="1"/>
  <c r="W19" i="1"/>
  <c r="Q19" i="1"/>
  <c r="R19" i="1" s="1"/>
  <c r="S19" i="1" s="1"/>
  <c r="N19" i="1"/>
  <c r="W18" i="1"/>
  <c r="Q18" i="1"/>
  <c r="R18" i="1" s="1"/>
  <c r="S18" i="1" s="1"/>
  <c r="N18" i="1"/>
  <c r="W17" i="1"/>
  <c r="Q17" i="1"/>
  <c r="R17" i="1" s="1"/>
  <c r="S17" i="1" s="1"/>
  <c r="N17" i="1"/>
  <c r="W16" i="1"/>
  <c r="R16" i="1"/>
  <c r="S16" i="1" s="1"/>
  <c r="Q16" i="1"/>
  <c r="N16" i="1"/>
  <c r="W15" i="1"/>
  <c r="Q15" i="1"/>
  <c r="R15" i="1" s="1"/>
  <c r="S15" i="1" s="1"/>
  <c r="N15" i="1"/>
  <c r="W14" i="1"/>
  <c r="R14" i="1"/>
  <c r="S14" i="1" s="1"/>
  <c r="Q14" i="1"/>
  <c r="N14" i="1"/>
  <c r="W13" i="1"/>
  <c r="S13" i="1"/>
  <c r="R13" i="1"/>
  <c r="N13" i="1"/>
  <c r="W12" i="1"/>
  <c r="S12" i="1"/>
  <c r="R12" i="1"/>
  <c r="N12" i="1"/>
  <c r="W11" i="1"/>
  <c r="S11" i="1"/>
  <c r="R11" i="1"/>
  <c r="N11" i="1"/>
  <c r="I11" i="1"/>
  <c r="W10" i="1"/>
  <c r="R10" i="1"/>
  <c r="S10" i="1" s="1"/>
  <c r="N10" i="1"/>
  <c r="Z9" i="1"/>
  <c r="W9" i="1"/>
  <c r="R9" i="1"/>
  <c r="S9" i="1" s="1"/>
  <c r="N9" i="1"/>
  <c r="I9" i="1"/>
  <c r="W8" i="1"/>
  <c r="R8" i="1"/>
  <c r="S8" i="1" s="1"/>
  <c r="N8" i="1"/>
  <c r="M8" i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X7" i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W7" i="1"/>
  <c r="R7" i="1"/>
  <c r="S7" i="1" s="1"/>
  <c r="N7" i="1"/>
  <c r="M7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I7" i="1"/>
  <c r="G7" i="1"/>
  <c r="X6" i="1"/>
  <c r="W6" i="1"/>
  <c r="S6" i="1"/>
  <c r="R6" i="1"/>
  <c r="O7" i="1"/>
  <c r="O8" i="1" s="1"/>
  <c r="O9" i="1" s="1"/>
  <c r="O10" i="1" s="1"/>
  <c r="O11" i="1" s="1"/>
  <c r="N6" i="1"/>
  <c r="M6" i="1"/>
  <c r="K6" i="1"/>
  <c r="G6" i="1"/>
  <c r="T9" i="2" l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96" i="2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43" i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7" i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U17" i="2" l="1"/>
  <c r="U19" i="2" s="1"/>
  <c r="T167" i="2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U15" i="2"/>
  <c r="U17" i="1"/>
  <c r="U15" i="1"/>
  <c r="T96" i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U106" i="2" l="1"/>
  <c r="U110" i="2" s="1"/>
  <c r="AB160" i="2"/>
  <c r="U104" i="2"/>
  <c r="T196" i="2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U102" i="2"/>
  <c r="U104" i="1"/>
  <c r="T196" i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U102" i="1"/>
  <c r="U106" i="1"/>
  <c r="T231" i="2" l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U202" i="2"/>
  <c r="U206" i="2"/>
  <c r="U208" i="2" s="1"/>
  <c r="U204" i="2"/>
  <c r="U202" i="1"/>
  <c r="U204" i="1"/>
  <c r="T231" i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U206" i="1"/>
  <c r="U241" i="2" l="1"/>
  <c r="U243" i="2" s="1"/>
  <c r="U239" i="2"/>
  <c r="T252" i="2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U237" i="2"/>
  <c r="U239" i="1"/>
  <c r="T252" i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U237" i="1"/>
  <c r="U241" i="1"/>
  <c r="U262" i="2" l="1"/>
  <c r="U264" i="2" s="1"/>
  <c r="T274" i="2"/>
  <c r="T275" i="2" s="1"/>
  <c r="T276" i="2" s="1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T290" i="2" s="1"/>
  <c r="T291" i="2" s="1"/>
  <c r="U260" i="2"/>
  <c r="U258" i="2"/>
  <c r="U260" i="1"/>
  <c r="U262" i="1"/>
  <c r="T274" i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U284" i="1"/>
  <c r="U258" i="1"/>
  <c r="U284" i="2" l="1"/>
  <c r="U286" i="2" s="1"/>
  <c r="T292" i="2"/>
  <c r="T293" i="2" s="1"/>
  <c r="U282" i="2"/>
  <c r="U280" i="2"/>
  <c r="T292" i="1"/>
  <c r="T293" i="1" s="1"/>
  <c r="U282" i="1"/>
  <c r="U280" i="1"/>
  <c r="U302" i="2" l="1"/>
  <c r="U304" i="2" s="1"/>
  <c r="U302" i="1"/>
</calcChain>
</file>

<file path=xl/sharedStrings.xml><?xml version="1.0" encoding="utf-8"?>
<sst xmlns="http://schemas.openxmlformats.org/spreadsheetml/2006/main" count="317" uniqueCount="57">
  <si>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</si>
  <si>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</si>
  <si>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</si>
  <si>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</si>
  <si>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</si>
  <si>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</si>
  <si>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</si>
  <si>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</si>
  <si>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</si>
  <si>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</si>
  <si>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</si>
  <si>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</si>
  <si>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</si>
  <si>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</t>
  </si>
  <si>
    <t>Cumul_ETP</t>
  </si>
  <si>
    <t>P-ETP</t>
  </si>
  <si>
    <t>Etat RU _1</t>
  </si>
  <si>
    <t>i</t>
  </si>
  <si>
    <t>kc</t>
  </si>
  <si>
    <t>ETM</t>
  </si>
  <si>
    <t>P-ETM</t>
  </si>
  <si>
    <t>WSC</t>
  </si>
  <si>
    <t>SSI_Q</t>
  </si>
  <si>
    <t>QPT_Q</t>
  </si>
  <si>
    <t>Cumul_RG</t>
  </si>
  <si>
    <t>SEMIS LIM15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</si>
  <si>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</si>
  <si>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</si>
  <si>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</si>
  <si>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</si>
  <si>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</si>
  <si>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</si>
  <si>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</si>
  <si>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</si>
  <si>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</si>
  <si>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</si>
  <si>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</si>
  <si>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</si>
  <si>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</si>
  <si>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</si>
  <si>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</si>
  <si>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</si>
  <si>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</si>
  <si>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</si>
  <si>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</si>
  <si>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MONTAISON</t>
  </si>
  <si>
    <t>A&amp;M</t>
  </si>
  <si>
    <t>Fin FLO</t>
  </si>
  <si>
    <t>RECOLTE</t>
  </si>
  <si>
    <t>N35</t>
  </si>
  <si>
    <t>IRF</t>
  </si>
  <si>
    <t>TS</t>
  </si>
  <si>
    <t>DRF</t>
  </si>
  <si>
    <t>BI</t>
  </si>
  <si>
    <t>WSC_I</t>
  </si>
  <si>
    <t>N90</t>
  </si>
  <si>
    <t>N57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</si>
</sst>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B1A0C7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CCECFF"/>
        <bgColor rgb="FF000000"/>
      </patternFill>
    </fill>
    <fill>
      <patternFill patternType="solid">
        <fgColor rgb="FF0070C0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4F81BD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Fill="1" applyAlignment="1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center" vertical="center"/>
    </xf>
    <xf numFmtId="14" fontId="4" fillId="4" borderId="0" xfId="0" applyNumberFormat="1" applyFont="1" applyFill="1" applyBorder="1"/>
    <xf numFmtId="0" fontId="5" fillId="3" borderId="0" xfId="0" applyFont="1" applyFill="1" applyBorder="1"/>
    <xf numFmtId="0" fontId="4" fillId="5" borderId="0" xfId="0" applyFont="1" applyFill="1" applyBorder="1"/>
    <xf numFmtId="164" fontId="4" fillId="0" borderId="0" xfId="0" applyNumberFormat="1" applyFont="1" applyFill="1" applyBorder="1"/>
    <xf numFmtId="0" fontId="5" fillId="0" borderId="0" xfId="0" applyFont="1" applyFill="1" applyBorder="1"/>
    <xf numFmtId="2" fontId="4" fillId="0" borderId="0" xfId="0" applyNumberFormat="1" applyFont="1" applyFill="1" applyBorder="1"/>
    <xf numFmtId="0" fontId="4" fillId="6" borderId="0" xfId="0" applyFont="1" applyFill="1" applyBorder="1"/>
    <xf numFmtId="0" fontId="4" fillId="7" borderId="0" xfId="0" applyFont="1" applyFill="1" applyBorder="1"/>
    <xf numFmtId="0" fontId="4" fillId="8" borderId="0" xfId="0" applyFont="1" applyFill="1" applyBorder="1"/>
    <xf numFmtId="0" fontId="6" fillId="0" borderId="0" xfId="0" applyFont="1" applyFill="1" applyBorder="1"/>
    <xf numFmtId="164" fontId="6" fillId="0" borderId="0" xfId="0" applyNumberFormat="1" applyFont="1" applyFill="1" applyBorder="1"/>
    <xf numFmtId="0" fontId="5" fillId="11" borderId="0" xfId="0" applyFont="1" applyFill="1" applyBorder="1" applyAlignment="1">
      <alignment horizontal="center" vertical="center"/>
    </xf>
    <xf numFmtId="0" fontId="5" fillId="10" borderId="0" xfId="0" applyFont="1" applyFill="1" applyBorder="1"/>
    <xf numFmtId="0" fontId="4" fillId="12" borderId="0" xfId="0" applyFont="1" applyFill="1" applyBorder="1"/>
    <xf numFmtId="0" fontId="5" fillId="13" borderId="0" xfId="0" applyFont="1" applyFill="1" applyBorder="1"/>
    <xf numFmtId="0" fontId="7" fillId="0" borderId="0" xfId="0" applyFont="1" applyFill="1" applyBorder="1" applyAlignment="1">
      <alignment horizontal="center" vertical="center"/>
    </xf>
    <xf numFmtId="14" fontId="8" fillId="4" borderId="0" xfId="0" applyNumberFormat="1" applyFont="1" applyFill="1" applyBorder="1"/>
    <xf numFmtId="0" fontId="8" fillId="0" borderId="0" xfId="0" applyFont="1" applyFill="1" applyBorder="1"/>
    <xf numFmtId="0" fontId="8" fillId="8" borderId="0" xfId="0" applyFont="1" applyFill="1" applyBorder="1"/>
    <xf numFmtId="0" fontId="8" fillId="5" borderId="0" xfId="0" applyFont="1" applyFill="1" applyBorder="1"/>
    <xf numFmtId="164" fontId="8" fillId="0" borderId="0" xfId="0" applyNumberFormat="1" applyFont="1" applyFill="1" applyBorder="1"/>
    <xf numFmtId="0" fontId="4" fillId="0" borderId="0" xfId="0" applyFont="1" applyFill="1" applyBorder="1" applyAlignment="1">
      <alignment horizontal="center" vertical="center"/>
    </xf>
    <xf numFmtId="14" fontId="4" fillId="0" borderId="0" xfId="0" applyNumberFormat="1" applyFont="1" applyFill="1" applyBorder="1"/>
    <xf numFmtId="14" fontId="6" fillId="4" borderId="0" xfId="0" applyNumberFormat="1" applyFont="1" applyFill="1" applyBorder="1"/>
    <xf numFmtId="0" fontId="6" fillId="5" borderId="0" xfId="0" applyFont="1" applyFill="1" applyBorder="1"/>
    <xf numFmtId="2" fontId="6" fillId="0" borderId="0" xfId="0" applyNumberFormat="1" applyFont="1" applyFill="1" applyBorder="1"/>
    <xf numFmtId="0" fontId="4" fillId="14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/>
    <xf numFmtId="0" fontId="5" fillId="14" borderId="0" xfId="0" applyFont="1" applyFill="1" applyBorder="1"/>
    <xf numFmtId="14" fontId="8" fillId="0" borderId="0" xfId="0" applyNumberFormat="1" applyFont="1" applyFill="1" applyBorder="1"/>
    <xf numFmtId="0" fontId="5" fillId="14" borderId="0" xfId="0" applyFont="1" applyFill="1" applyBorder="1" applyAlignment="1">
      <alignment horizontal="center" vertical="center"/>
    </xf>
    <xf numFmtId="0" fontId="5" fillId="6" borderId="0" xfId="0" applyFont="1" applyFill="1" applyBorder="1"/>
    <xf numFmtId="0" fontId="5" fillId="15" borderId="0" xfId="0" applyFont="1" applyFill="1" applyBorder="1"/>
    <xf numFmtId="0" fontId="5" fillId="16" borderId="0" xfId="0" applyFont="1" applyFill="1" applyBorder="1"/>
    <xf numFmtId="0" fontId="8" fillId="6" borderId="0" xfId="0" applyFont="1" applyFill="1" applyBorder="1"/>
    <xf numFmtId="0" fontId="4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6" borderId="0" xfId="0" applyFont="1" applyFill="1" applyBorder="1"/>
    <xf numFmtId="0" fontId="4" fillId="0" borderId="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4" fontId="6" fillId="9" borderId="1" xfId="0" applyNumberFormat="1" applyFont="1" applyFill="1" applyBorder="1"/>
    <xf numFmtId="0" fontId="6" fillId="9" borderId="1" xfId="0" applyFont="1" applyFill="1" applyBorder="1"/>
    <xf numFmtId="0" fontId="6" fillId="0" borderId="1" xfId="0" applyFont="1" applyFill="1" applyBorder="1"/>
    <xf numFmtId="0" fontId="4" fillId="0" borderId="1" xfId="0" applyFont="1" applyFill="1" applyBorder="1"/>
    <xf numFmtId="164" fontId="6" fillId="0" borderId="1" xfId="0" applyNumberFormat="1" applyFont="1" applyFill="1" applyBorder="1"/>
    <xf numFmtId="164" fontId="4" fillId="0" borderId="1" xfId="0" applyNumberFormat="1" applyFont="1" applyFill="1" applyBorder="1"/>
    <xf numFmtId="0" fontId="6" fillId="7" borderId="1" xfId="0" applyFont="1" applyFill="1" applyBorder="1"/>
    <xf numFmtId="0" fontId="9" fillId="0" borderId="1" xfId="0" applyFont="1" applyFill="1" applyBorder="1"/>
    <xf numFmtId="164" fontId="9" fillId="0" borderId="1" xfId="0" applyNumberFormat="1" applyFont="1" applyFill="1" applyBorder="1"/>
    <xf numFmtId="14" fontId="6" fillId="4" borderId="1" xfId="0" applyNumberFormat="1" applyFont="1" applyFill="1" applyBorder="1"/>
    <xf numFmtId="0" fontId="6" fillId="5" borderId="1" xfId="0" applyFont="1" applyFill="1" applyBorder="1"/>
    <xf numFmtId="2" fontId="6" fillId="0" borderId="1" xfId="0" applyNumberFormat="1" applyFont="1" applyFill="1" applyBorder="1"/>
    <xf numFmtId="0" fontId="6" fillId="14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/>
    <xf numFmtId="2" fontId="8" fillId="0" borderId="0" xfId="0" applyNumberFormat="1" applyFont="1" applyFill="1" applyBorder="1"/>
    <xf numFmtId="2" fontId="5" fillId="0" borderId="0" xfId="0" applyNumberFormat="1" applyFont="1" applyFill="1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16" borderId="0" xfId="0" applyFont="1" applyFill="1" applyBorder="1" applyAlignment="1">
      <alignment horizontal="center" vertical="center" textRotation="255"/>
    </xf>
    <xf numFmtId="0" fontId="4" fillId="17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 textRotation="255"/>
    </xf>
    <xf numFmtId="0" fontId="5" fillId="10" borderId="0" xfId="0" applyFont="1" applyFill="1" applyBorder="1" applyAlignment="1">
      <alignment horizontal="center" vertical="center" textRotation="255"/>
    </xf>
    <xf numFmtId="0" fontId="5" fillId="13" borderId="0" xfId="0" applyFont="1" applyFill="1" applyBorder="1" applyAlignment="1">
      <alignment horizontal="center" vertical="center" textRotation="255"/>
    </xf>
    <xf numFmtId="0" fontId="5" fillId="6" borderId="0" xfId="0" applyFont="1" applyFill="1" applyBorder="1" applyAlignment="1">
      <alignment horizontal="center" vertical="center" textRotation="255"/>
    </xf>
    <xf numFmtId="0" fontId="5" fillId="15" borderId="0" xfId="0" applyFont="1" applyFill="1" applyBorder="1" applyAlignment="1">
      <alignment horizontal="center" vertical="center" textRotation="255"/>
    </xf>
    <xf numFmtId="0" fontId="5" fillId="18" borderId="0" xfId="0" applyFont="1" applyFill="1" applyBorder="1" applyAlignment="1">
      <alignment horizontal="center" vertical="center"/>
    </xf>
    <xf numFmtId="14" fontId="4" fillId="19" borderId="0" xfId="0" applyNumberFormat="1" applyFont="1" applyFill="1" applyBorder="1"/>
    <xf numFmtId="0" fontId="4" fillId="19" borderId="0" xfId="0" applyFont="1" applyFill="1" applyBorder="1"/>
    <xf numFmtId="0" fontId="4" fillId="18" borderId="0" xfId="0" applyFont="1" applyFill="1" applyBorder="1"/>
    <xf numFmtId="164" fontId="4" fillId="18" borderId="0" xfId="0" applyNumberFormat="1" applyFont="1" applyFill="1" applyBorder="1"/>
    <xf numFmtId="0" fontId="4" fillId="20" borderId="0" xfId="0" applyFont="1" applyFill="1" applyBorder="1"/>
    <xf numFmtId="164" fontId="4" fillId="20" borderId="0" xfId="0" applyNumberFormat="1" applyFont="1" applyFill="1" applyBorder="1"/>
    <xf numFmtId="0" fontId="9" fillId="0" borderId="0" xfId="0" applyFont="1" applyFill="1" applyBorder="1"/>
    <xf numFmtId="0" fontId="6" fillId="18" borderId="1" xfId="0" applyFont="1" applyFill="1" applyBorder="1" applyAlignment="1">
      <alignment horizontal="center" vertical="center"/>
    </xf>
    <xf numFmtId="14" fontId="6" fillId="19" borderId="1" xfId="0" applyNumberFormat="1" applyFont="1" applyFill="1" applyBorder="1"/>
    <xf numFmtId="0" fontId="6" fillId="19" borderId="1" xfId="0" applyFont="1" applyFill="1" applyBorder="1"/>
    <xf numFmtId="0" fontId="6" fillId="18" borderId="1" xfId="0" applyFont="1" applyFill="1" applyBorder="1"/>
    <xf numFmtId="0" fontId="9" fillId="18" borderId="1" xfId="0" applyFont="1" applyFill="1" applyBorder="1"/>
    <xf numFmtId="164" fontId="6" fillId="18" borderId="1" xfId="0" applyNumberFormat="1" applyFont="1" applyFill="1" applyBorder="1"/>
    <xf numFmtId="164" fontId="9" fillId="18" borderId="1" xfId="0" applyNumberFormat="1" applyFont="1" applyFill="1" applyBorder="1"/>
  </cellXfs>
  <cellStyles count="1">
    <cellStyle name="Normal" xfId="0" builtinId="0"/>
  </cellStyles>
  <dxfs count="10"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27"/>
  <sheetViews>
    <sheetView topLeftCell="A142" zoomScale="60" zoomScaleNormal="60" workbookViewId="0">
      <selection activeCell="A95" sqref="A1:XFD1048576"/>
    </sheetView>
  </sheetViews>
  <sheetFormatPr baseColWidth="10" defaultRowHeight="15" x14ac:dyDescent="0.25"/>
  <sheetData>
    <row r="1" spans="1:27" x14ac:dyDescent="0.25">
      <c r="B1" s="1"/>
      <c r="C1" s="2"/>
      <c r="D1" s="64" t="s">
        <v>0</v>
      </c>
      <c r="E1" s="64"/>
      <c r="F1" s="64"/>
      <c r="G1" s="64"/>
      <c r="H1" s="64"/>
      <c r="I1" s="64"/>
      <c r="J1" s="64" t="s">
        <v>1</v>
      </c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 t="s">
        <v>2</v>
      </c>
      <c r="W1" s="64"/>
      <c r="X1" s="64"/>
      <c r="Y1" s="64"/>
      <c r="Z1" s="64"/>
    </row>
    <row r="2" spans="1:27" x14ac:dyDescent="0.25">
      <c r="B2" s="1"/>
      <c r="C2" s="3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spans="1:27" x14ac:dyDescent="0.25">
      <c r="B3" s="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64" t="s">
        <v>3</v>
      </c>
      <c r="Q3" s="64"/>
      <c r="R3" s="64"/>
      <c r="S3" s="64"/>
      <c r="T3" s="64"/>
      <c r="U3" s="4"/>
      <c r="V3" s="4"/>
      <c r="W3" s="4"/>
      <c r="X3" s="4"/>
      <c r="Y3" s="4"/>
      <c r="Z3" s="4"/>
    </row>
    <row r="4" spans="1:27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65" t="s">
        <v>9</v>
      </c>
      <c r="H4" s="65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65" t="s">
        <v>24</v>
      </c>
      <c r="Y4" s="65"/>
      <c r="Z4" t="s">
        <v>10</v>
      </c>
    </row>
    <row r="5" spans="1:27" s="5" customFormat="1" x14ac:dyDescent="0.25">
      <c r="A5" s="68" t="s">
        <v>25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7" s="5" customFormat="1" x14ac:dyDescent="0.25">
      <c r="A6" s="69" t="s">
        <v>26</v>
      </c>
      <c r="B6" s="6"/>
      <c r="C6" s="7">
        <v>41884</v>
      </c>
      <c r="D6" s="5">
        <v>17.600000000000001</v>
      </c>
      <c r="E6" s="5">
        <v>13.4</v>
      </c>
      <c r="F6" s="5">
        <v>21.9</v>
      </c>
      <c r="G6" s="5">
        <f>D6</f>
        <v>17.600000000000001</v>
      </c>
      <c r="I6" s="8" t="s">
        <v>27</v>
      </c>
      <c r="J6" s="5">
        <v>0</v>
      </c>
      <c r="K6" s="5">
        <f>J6</f>
        <v>0</v>
      </c>
      <c r="L6" s="5">
        <v>2.9</v>
      </c>
      <c r="M6" s="5">
        <f>L6</f>
        <v>2.9</v>
      </c>
      <c r="N6" s="9">
        <f>J6-L6</f>
        <v>-2.9</v>
      </c>
      <c r="O6" s="5">
        <v>17</v>
      </c>
      <c r="P6" s="5">
        <v>1</v>
      </c>
      <c r="Q6" s="5">
        <v>0.35</v>
      </c>
      <c r="R6" s="10">
        <f t="shared" ref="R6:R69" si="0">Q6*L6</f>
        <v>1.0149999999999999</v>
      </c>
      <c r="S6" s="10">
        <f t="shared" ref="S6:S69" si="1">J6-R6</f>
        <v>-1.0149999999999999</v>
      </c>
      <c r="T6" s="10">
        <v>18.899999999999999</v>
      </c>
      <c r="U6" s="8" t="s">
        <v>28</v>
      </c>
      <c r="V6" s="5">
        <v>1455.1</v>
      </c>
      <c r="W6" s="5">
        <f t="shared" ref="W6:W69" si="2">V6/D6</f>
        <v>82.676136363636346</v>
      </c>
      <c r="X6" s="5">
        <f>V6</f>
        <v>1455.1</v>
      </c>
      <c r="Y6" s="11"/>
      <c r="Z6" s="8" t="s">
        <v>29</v>
      </c>
      <c r="AA6" s="5">
        <v>13.432098366522199</v>
      </c>
    </row>
    <row r="7" spans="1:27" s="5" customFormat="1" x14ac:dyDescent="0.25">
      <c r="A7" s="69"/>
      <c r="B7" s="6"/>
      <c r="C7" s="7">
        <v>41885</v>
      </c>
      <c r="D7" s="5">
        <v>17.399999999999999</v>
      </c>
      <c r="E7" s="5">
        <v>12.4</v>
      </c>
      <c r="F7" s="5">
        <v>22.2</v>
      </c>
      <c r="G7" s="5">
        <f>G6+D7</f>
        <v>35</v>
      </c>
      <c r="I7" s="5">
        <f>MIN(E6:E94)</f>
        <v>3.1</v>
      </c>
      <c r="J7" s="5">
        <v>0</v>
      </c>
      <c r="K7" s="5">
        <f>K6+J7</f>
        <v>0</v>
      </c>
      <c r="L7" s="5">
        <v>3.4</v>
      </c>
      <c r="M7" s="5">
        <f>M6+L7</f>
        <v>6.3</v>
      </c>
      <c r="N7" s="9">
        <f t="shared" ref="N7:N70" si="3">J7-L7</f>
        <v>-3.4</v>
      </c>
      <c r="O7" s="5">
        <f>O6+N7</f>
        <v>13.6</v>
      </c>
      <c r="P7" s="5">
        <v>2</v>
      </c>
      <c r="Q7" s="5">
        <v>0.35</v>
      </c>
      <c r="R7" s="10">
        <f t="shared" si="0"/>
        <v>1.19</v>
      </c>
      <c r="S7" s="10">
        <f t="shared" si="1"/>
        <v>-1.19</v>
      </c>
      <c r="T7" s="10">
        <f>MIN(197.4,(T6+S7))</f>
        <v>17.709999999999997</v>
      </c>
      <c r="U7" s="5">
        <v>62</v>
      </c>
      <c r="V7" s="5">
        <v>1782.8</v>
      </c>
      <c r="W7" s="5">
        <f t="shared" si="2"/>
        <v>102.45977011494253</v>
      </c>
      <c r="X7" s="5">
        <f>X6+V7</f>
        <v>3237.8999999999996</v>
      </c>
      <c r="Z7" s="5">
        <v>72394.800000000017</v>
      </c>
      <c r="AA7" s="5">
        <v>13.374747329041799</v>
      </c>
    </row>
    <row r="8" spans="1:27" s="5" customFormat="1" x14ac:dyDescent="0.25">
      <c r="A8" s="69"/>
      <c r="B8" s="6"/>
      <c r="C8" s="7">
        <v>41886</v>
      </c>
      <c r="D8" s="5">
        <v>17.600000000000001</v>
      </c>
      <c r="E8" s="5">
        <v>14.3</v>
      </c>
      <c r="F8" s="5">
        <v>21</v>
      </c>
      <c r="G8" s="5">
        <f t="shared" ref="G8:G71" si="4">G7+D8</f>
        <v>52.6</v>
      </c>
      <c r="I8" s="8" t="s">
        <v>30</v>
      </c>
      <c r="J8" s="5">
        <v>0</v>
      </c>
      <c r="K8" s="5">
        <f t="shared" ref="K8:K71" si="5">K7+J8</f>
        <v>0</v>
      </c>
      <c r="L8" s="5">
        <v>2.9</v>
      </c>
      <c r="M8" s="5">
        <f t="shared" ref="M8:M71" si="6">M7+L8</f>
        <v>9.1999999999999993</v>
      </c>
      <c r="N8" s="9">
        <f t="shared" si="3"/>
        <v>-2.9</v>
      </c>
      <c r="O8" s="5">
        <f>O7+N8</f>
        <v>10.7</v>
      </c>
      <c r="P8" s="5">
        <v>3</v>
      </c>
      <c r="Q8" s="5">
        <v>0.35</v>
      </c>
      <c r="R8" s="10">
        <f t="shared" si="0"/>
        <v>1.0149999999999999</v>
      </c>
      <c r="S8" s="10">
        <f t="shared" si="1"/>
        <v>-1.0149999999999999</v>
      </c>
      <c r="T8" s="10">
        <f t="shared" ref="T8:T71" si="7">MIN(197.4,(T7+S8))</f>
        <v>16.694999999999997</v>
      </c>
      <c r="U8" s="8" t="s">
        <v>31</v>
      </c>
      <c r="V8" s="5">
        <v>1664.8</v>
      </c>
      <c r="W8" s="5">
        <f t="shared" si="2"/>
        <v>94.590909090909079</v>
      </c>
      <c r="X8" s="5">
        <f t="shared" ref="X8:X71" si="8">X7+V8</f>
        <v>4902.7</v>
      </c>
      <c r="Y8" s="11"/>
      <c r="Z8" s="8" t="s">
        <v>32</v>
      </c>
      <c r="AA8" s="5">
        <v>13.3172503703023</v>
      </c>
    </row>
    <row r="9" spans="1:27" s="5" customFormat="1" x14ac:dyDescent="0.25">
      <c r="A9" s="69"/>
      <c r="B9" s="6"/>
      <c r="C9" s="7">
        <v>41887</v>
      </c>
      <c r="D9" s="5">
        <v>18.3</v>
      </c>
      <c r="E9" s="5">
        <v>14.1</v>
      </c>
      <c r="F9" s="5">
        <v>22.4</v>
      </c>
      <c r="G9" s="5">
        <f t="shared" si="4"/>
        <v>70.900000000000006</v>
      </c>
      <c r="I9" s="5">
        <f>MAX(F6:F94)</f>
        <v>26.6</v>
      </c>
      <c r="J9" s="5">
        <v>0</v>
      </c>
      <c r="K9" s="5">
        <f t="shared" si="5"/>
        <v>0</v>
      </c>
      <c r="L9" s="5">
        <v>3</v>
      </c>
      <c r="M9" s="5">
        <f t="shared" si="6"/>
        <v>12.2</v>
      </c>
      <c r="N9" s="9">
        <f t="shared" si="3"/>
        <v>-3</v>
      </c>
      <c r="O9" s="5">
        <f t="shared" ref="O9:O72" si="9">O8+N9</f>
        <v>7.6999999999999993</v>
      </c>
      <c r="P9" s="5">
        <v>4</v>
      </c>
      <c r="Q9" s="5">
        <v>0.35</v>
      </c>
      <c r="R9" s="10">
        <f t="shared" si="0"/>
        <v>1.0499999999999998</v>
      </c>
      <c r="S9" s="10">
        <f t="shared" si="1"/>
        <v>-1.0499999999999998</v>
      </c>
      <c r="T9" s="10">
        <f t="shared" si="7"/>
        <v>15.644999999999996</v>
      </c>
      <c r="U9" s="5">
        <v>1</v>
      </c>
      <c r="V9" s="5">
        <v>1680.4</v>
      </c>
      <c r="W9" s="5">
        <f t="shared" si="2"/>
        <v>91.825136612021865</v>
      </c>
      <c r="X9" s="5">
        <f t="shared" si="8"/>
        <v>6583.1</v>
      </c>
      <c r="Z9" s="12">
        <f>(Z7/100)/I19</f>
        <v>0.623179822673668</v>
      </c>
      <c r="AA9" s="5">
        <v>13.2596157342212</v>
      </c>
    </row>
    <row r="10" spans="1:27" s="5" customFormat="1" x14ac:dyDescent="0.25">
      <c r="A10" s="69"/>
      <c r="B10" s="6"/>
      <c r="C10" s="7">
        <v>41888</v>
      </c>
      <c r="D10" s="5">
        <v>18.7</v>
      </c>
      <c r="E10" s="5">
        <v>16.3</v>
      </c>
      <c r="F10" s="5">
        <v>22.7</v>
      </c>
      <c r="G10" s="5">
        <f t="shared" si="4"/>
        <v>89.600000000000009</v>
      </c>
      <c r="I10" s="8" t="s">
        <v>33</v>
      </c>
      <c r="J10" s="5">
        <v>0</v>
      </c>
      <c r="K10" s="5">
        <f t="shared" si="5"/>
        <v>0</v>
      </c>
      <c r="L10" s="5">
        <v>2.9</v>
      </c>
      <c r="M10" s="5">
        <f t="shared" si="6"/>
        <v>15.1</v>
      </c>
      <c r="N10" s="9">
        <f t="shared" si="3"/>
        <v>-2.9</v>
      </c>
      <c r="O10" s="5">
        <f t="shared" si="9"/>
        <v>4.7999999999999989</v>
      </c>
      <c r="P10" s="5">
        <v>5</v>
      </c>
      <c r="Q10" s="5">
        <v>0.35</v>
      </c>
      <c r="R10" s="10">
        <f t="shared" si="0"/>
        <v>1.0149999999999999</v>
      </c>
      <c r="S10" s="10">
        <f t="shared" si="1"/>
        <v>-1.0149999999999999</v>
      </c>
      <c r="T10" s="10">
        <f t="shared" si="7"/>
        <v>14.629999999999995</v>
      </c>
      <c r="U10" s="8" t="s">
        <v>34</v>
      </c>
      <c r="V10" s="5">
        <v>1639.5</v>
      </c>
      <c r="W10" s="5">
        <f t="shared" si="2"/>
        <v>87.673796791443849</v>
      </c>
      <c r="X10" s="5">
        <f t="shared" si="8"/>
        <v>8222.6</v>
      </c>
      <c r="Y10" s="11"/>
      <c r="Z10" s="8" t="s">
        <v>35</v>
      </c>
      <c r="AA10" s="5">
        <v>13.2018513703671</v>
      </c>
    </row>
    <row r="11" spans="1:27" s="5" customFormat="1" x14ac:dyDescent="0.25">
      <c r="A11" s="69"/>
      <c r="B11" s="6"/>
      <c r="C11" s="7">
        <v>41889</v>
      </c>
      <c r="D11" s="5">
        <v>18.2</v>
      </c>
      <c r="E11" s="5">
        <v>12.5</v>
      </c>
      <c r="F11" s="5">
        <v>24.7</v>
      </c>
      <c r="G11" s="5">
        <f t="shared" si="4"/>
        <v>107.80000000000001</v>
      </c>
      <c r="I11" s="10">
        <f>AVERAGE(D6:D94)</f>
        <v>13.052808988764047</v>
      </c>
      <c r="J11" s="5">
        <v>0</v>
      </c>
      <c r="K11" s="5">
        <f t="shared" si="5"/>
        <v>0</v>
      </c>
      <c r="L11" s="5">
        <v>2.9</v>
      </c>
      <c r="M11" s="5">
        <f t="shared" si="6"/>
        <v>18</v>
      </c>
      <c r="N11" s="9">
        <f t="shared" si="3"/>
        <v>-2.9</v>
      </c>
      <c r="O11" s="5">
        <f t="shared" si="9"/>
        <v>1.899999999999999</v>
      </c>
      <c r="P11" s="5">
        <v>6</v>
      </c>
      <c r="Q11" s="5">
        <v>0.35</v>
      </c>
      <c r="R11" s="10">
        <f t="shared" si="0"/>
        <v>1.0149999999999999</v>
      </c>
      <c r="S11" s="10">
        <f t="shared" si="1"/>
        <v>-1.0149999999999999</v>
      </c>
      <c r="T11" s="10">
        <f t="shared" si="7"/>
        <v>13.614999999999995</v>
      </c>
      <c r="U11" s="5">
        <v>67</v>
      </c>
      <c r="V11" s="5">
        <v>1527.6</v>
      </c>
      <c r="W11" s="5">
        <f t="shared" si="2"/>
        <v>83.934065934065927</v>
      </c>
      <c r="X11" s="5">
        <f t="shared" si="8"/>
        <v>9750.2000000000007</v>
      </c>
      <c r="Z11" s="5">
        <v>42</v>
      </c>
      <c r="AA11" s="5">
        <v>13.1439649495344</v>
      </c>
    </row>
    <row r="12" spans="1:27" s="5" customFormat="1" x14ac:dyDescent="0.25">
      <c r="A12" s="69"/>
      <c r="B12" s="6"/>
      <c r="C12" s="7">
        <v>41890</v>
      </c>
      <c r="D12" s="5">
        <v>18.7</v>
      </c>
      <c r="E12" s="5">
        <v>13</v>
      </c>
      <c r="F12" s="5">
        <v>24.8</v>
      </c>
      <c r="G12" s="5">
        <f t="shared" si="4"/>
        <v>126.50000000000001</v>
      </c>
      <c r="I12" s="8" t="s">
        <v>36</v>
      </c>
      <c r="J12" s="5">
        <v>0</v>
      </c>
      <c r="K12" s="5">
        <f t="shared" si="5"/>
        <v>0</v>
      </c>
      <c r="L12" s="5">
        <v>3.4</v>
      </c>
      <c r="M12" s="5">
        <f t="shared" si="6"/>
        <v>21.4</v>
      </c>
      <c r="N12" s="9">
        <f t="shared" si="3"/>
        <v>-3.4</v>
      </c>
      <c r="O12" s="5">
        <v>0</v>
      </c>
      <c r="P12" s="5">
        <v>7</v>
      </c>
      <c r="Q12" s="5">
        <v>0.35</v>
      </c>
      <c r="R12" s="10">
        <f t="shared" si="0"/>
        <v>1.19</v>
      </c>
      <c r="S12" s="10">
        <f t="shared" si="1"/>
        <v>-1.19</v>
      </c>
      <c r="T12" s="10">
        <f t="shared" si="7"/>
        <v>12.424999999999995</v>
      </c>
      <c r="U12" s="8" t="s">
        <v>37</v>
      </c>
      <c r="V12" s="5">
        <v>1632.5</v>
      </c>
      <c r="W12" s="5">
        <f t="shared" si="2"/>
        <v>87.299465240641709</v>
      </c>
      <c r="X12" s="5">
        <f t="shared" si="8"/>
        <v>11382.7</v>
      </c>
      <c r="AA12" s="5">
        <v>13.085963879425</v>
      </c>
    </row>
    <row r="13" spans="1:27" s="5" customFormat="1" x14ac:dyDescent="0.25">
      <c r="A13" s="69"/>
      <c r="B13" s="6"/>
      <c r="C13" s="7">
        <v>41891</v>
      </c>
      <c r="D13" s="5">
        <v>17</v>
      </c>
      <c r="E13" s="5">
        <v>12.8</v>
      </c>
      <c r="F13" s="5">
        <v>22.5</v>
      </c>
      <c r="G13" s="5">
        <f t="shared" si="4"/>
        <v>143.5</v>
      </c>
      <c r="I13" s="5">
        <v>0</v>
      </c>
      <c r="J13" s="5">
        <v>0</v>
      </c>
      <c r="K13" s="5">
        <f t="shared" si="5"/>
        <v>0</v>
      </c>
      <c r="L13" s="5">
        <v>3.4</v>
      </c>
      <c r="M13" s="5">
        <f t="shared" si="6"/>
        <v>24.799999999999997</v>
      </c>
      <c r="N13" s="9">
        <f t="shared" si="3"/>
        <v>-3.4</v>
      </c>
      <c r="O13" s="5">
        <v>0</v>
      </c>
      <c r="P13" s="5">
        <v>8</v>
      </c>
      <c r="Q13" s="5">
        <v>0.35</v>
      </c>
      <c r="R13" s="10">
        <f t="shared" si="0"/>
        <v>1.19</v>
      </c>
      <c r="S13" s="10">
        <f t="shared" si="1"/>
        <v>-1.19</v>
      </c>
      <c r="T13" s="10">
        <f t="shared" si="7"/>
        <v>11.234999999999996</v>
      </c>
      <c r="U13" s="10">
        <v>0</v>
      </c>
      <c r="V13" s="5">
        <v>1639.5</v>
      </c>
      <c r="W13" s="5">
        <f t="shared" si="2"/>
        <v>96.441176470588232</v>
      </c>
      <c r="X13" s="5">
        <f t="shared" si="8"/>
        <v>13022.2</v>
      </c>
      <c r="AA13" s="5">
        <v>13.0278553204241</v>
      </c>
    </row>
    <row r="14" spans="1:27" s="5" customFormat="1" x14ac:dyDescent="0.25">
      <c r="A14" s="69"/>
      <c r="B14" s="6"/>
      <c r="C14" s="7">
        <v>41892</v>
      </c>
      <c r="D14" s="5">
        <v>15.1</v>
      </c>
      <c r="E14" s="5">
        <v>10.4</v>
      </c>
      <c r="F14" s="5">
        <v>20.8</v>
      </c>
      <c r="G14" s="5">
        <f t="shared" si="4"/>
        <v>158.6</v>
      </c>
      <c r="I14" s="8" t="s">
        <v>38</v>
      </c>
      <c r="J14" s="5">
        <v>0</v>
      </c>
      <c r="K14" s="5">
        <f t="shared" si="5"/>
        <v>0</v>
      </c>
      <c r="L14" s="5">
        <v>3.4</v>
      </c>
      <c r="M14" s="5">
        <f t="shared" si="6"/>
        <v>28.199999999999996</v>
      </c>
      <c r="N14" s="9">
        <f t="shared" si="3"/>
        <v>-3.4</v>
      </c>
      <c r="O14" s="5">
        <v>0</v>
      </c>
      <c r="P14" s="5">
        <v>9</v>
      </c>
      <c r="Q14" s="5">
        <f>0.35+((P14-8)/81)*(1-0.35)</f>
        <v>0.35802469135802467</v>
      </c>
      <c r="R14" s="10">
        <f t="shared" si="0"/>
        <v>1.2172839506172839</v>
      </c>
      <c r="S14" s="10">
        <f t="shared" si="1"/>
        <v>-1.2172839506172839</v>
      </c>
      <c r="T14" s="10">
        <f t="shared" si="7"/>
        <v>10.017716049382711</v>
      </c>
      <c r="U14" s="8" t="s">
        <v>39</v>
      </c>
      <c r="V14" s="5">
        <v>1805.3</v>
      </c>
      <c r="W14" s="5">
        <f t="shared" si="2"/>
        <v>119.55629139072848</v>
      </c>
      <c r="X14" s="5">
        <f t="shared" si="8"/>
        <v>14827.5</v>
      </c>
      <c r="AA14" s="5">
        <v>12.9696462014545</v>
      </c>
    </row>
    <row r="15" spans="1:27" s="5" customFormat="1" x14ac:dyDescent="0.25">
      <c r="A15" s="69"/>
      <c r="B15" s="6"/>
      <c r="C15" s="7">
        <v>41893</v>
      </c>
      <c r="D15" s="5">
        <v>14.4</v>
      </c>
      <c r="E15" s="5">
        <v>8.9</v>
      </c>
      <c r="F15" s="5">
        <v>20.2</v>
      </c>
      <c r="G15" s="5">
        <f t="shared" si="4"/>
        <v>173</v>
      </c>
      <c r="I15" s="5">
        <v>3</v>
      </c>
      <c r="J15" s="5">
        <v>0</v>
      </c>
      <c r="K15" s="5">
        <f t="shared" si="5"/>
        <v>0</v>
      </c>
      <c r="L15" s="5">
        <v>3.2</v>
      </c>
      <c r="M15" s="5">
        <f t="shared" si="6"/>
        <v>31.399999999999995</v>
      </c>
      <c r="N15" s="9">
        <f t="shared" si="3"/>
        <v>-3.2</v>
      </c>
      <c r="O15" s="5">
        <v>0</v>
      </c>
      <c r="P15" s="5">
        <v>10</v>
      </c>
      <c r="Q15" s="5">
        <f t="shared" ref="Q15:Q78" si="10">0.35+((P15-8)/81)*(1-0.35)</f>
        <v>0.36604938271604937</v>
      </c>
      <c r="R15" s="10">
        <f t="shared" si="0"/>
        <v>1.171358024691358</v>
      </c>
      <c r="S15" s="10">
        <f t="shared" si="1"/>
        <v>-1.171358024691358</v>
      </c>
      <c r="T15" s="10">
        <f t="shared" si="7"/>
        <v>8.8463580246913534</v>
      </c>
      <c r="U15" s="10">
        <f>MAX(T6:T94)</f>
        <v>103.30709876543213</v>
      </c>
      <c r="V15" s="5">
        <v>1815.8</v>
      </c>
      <c r="W15" s="5">
        <f t="shared" si="2"/>
        <v>126.09722222222221</v>
      </c>
      <c r="X15" s="5">
        <f t="shared" si="8"/>
        <v>16643.3</v>
      </c>
      <c r="AA15" s="5">
        <v>12.9113432359031</v>
      </c>
    </row>
    <row r="16" spans="1:27" s="5" customFormat="1" x14ac:dyDescent="0.25">
      <c r="A16" s="69"/>
      <c r="B16" s="6"/>
      <c r="C16" s="7">
        <v>41894</v>
      </c>
      <c r="D16" s="5">
        <v>15.2</v>
      </c>
      <c r="E16" s="5">
        <v>9.6</v>
      </c>
      <c r="F16" s="5">
        <v>20.3</v>
      </c>
      <c r="G16" s="5">
        <f t="shared" si="4"/>
        <v>188.2</v>
      </c>
      <c r="I16" s="8" t="s">
        <v>40</v>
      </c>
      <c r="J16" s="5">
        <v>0</v>
      </c>
      <c r="K16" s="5">
        <f t="shared" si="5"/>
        <v>0</v>
      </c>
      <c r="L16" s="5">
        <v>3.6</v>
      </c>
      <c r="M16" s="5">
        <f t="shared" si="6"/>
        <v>34.999999999999993</v>
      </c>
      <c r="N16" s="9">
        <f t="shared" si="3"/>
        <v>-3.6</v>
      </c>
      <c r="O16" s="5">
        <v>0</v>
      </c>
      <c r="P16" s="5">
        <v>11</v>
      </c>
      <c r="Q16" s="5">
        <f t="shared" si="10"/>
        <v>0.37407407407407406</v>
      </c>
      <c r="R16" s="10">
        <f t="shared" si="0"/>
        <v>1.3466666666666667</v>
      </c>
      <c r="S16" s="10">
        <f t="shared" si="1"/>
        <v>-1.3466666666666667</v>
      </c>
      <c r="T16" s="10">
        <f t="shared" si="7"/>
        <v>7.4996913580246867</v>
      </c>
      <c r="U16" s="8" t="s">
        <v>41</v>
      </c>
      <c r="V16" s="5">
        <v>1948.3</v>
      </c>
      <c r="W16" s="5">
        <f t="shared" si="2"/>
        <v>128.17763157894737</v>
      </c>
      <c r="X16" s="5">
        <f t="shared" si="8"/>
        <v>18591.599999999999</v>
      </c>
      <c r="AA16" s="5">
        <v>12.8529529376094</v>
      </c>
    </row>
    <row r="17" spans="1:27" s="5" customFormat="1" x14ac:dyDescent="0.25">
      <c r="A17" s="69"/>
      <c r="B17" s="6"/>
      <c r="C17" s="7">
        <v>41895</v>
      </c>
      <c r="D17" s="5">
        <v>17.2</v>
      </c>
      <c r="E17" s="5">
        <v>11.8</v>
      </c>
      <c r="F17" s="5">
        <v>22.8</v>
      </c>
      <c r="G17" s="5">
        <f t="shared" si="4"/>
        <v>205.39999999999998</v>
      </c>
      <c r="I17" s="5">
        <v>4</v>
      </c>
      <c r="J17" s="5">
        <v>0</v>
      </c>
      <c r="K17" s="5">
        <f t="shared" si="5"/>
        <v>0</v>
      </c>
      <c r="L17" s="5">
        <v>3.1</v>
      </c>
      <c r="M17" s="5">
        <f t="shared" si="6"/>
        <v>38.099999999999994</v>
      </c>
      <c r="N17" s="9">
        <f t="shared" si="3"/>
        <v>-3.1</v>
      </c>
      <c r="O17" s="5">
        <v>0</v>
      </c>
      <c r="P17" s="5">
        <v>12</v>
      </c>
      <c r="Q17" s="5">
        <f t="shared" si="10"/>
        <v>0.38209876543209875</v>
      </c>
      <c r="R17" s="10">
        <f t="shared" si="0"/>
        <v>1.1845061728395061</v>
      </c>
      <c r="S17" s="10">
        <f t="shared" si="1"/>
        <v>-1.1845061728395061</v>
      </c>
      <c r="T17" s="10">
        <f t="shared" si="7"/>
        <v>6.3151851851851806</v>
      </c>
      <c r="U17" s="12">
        <f>AVERAGE(T6:T94)</f>
        <v>46.296283811901795</v>
      </c>
      <c r="V17" s="5">
        <v>1563.7</v>
      </c>
      <c r="W17" s="5">
        <f t="shared" si="2"/>
        <v>90.912790697674424</v>
      </c>
      <c r="X17" s="5">
        <f t="shared" si="8"/>
        <v>20155.3</v>
      </c>
      <c r="AA17" s="5">
        <v>12.79448163691</v>
      </c>
    </row>
    <row r="18" spans="1:27" s="5" customFormat="1" x14ac:dyDescent="0.25">
      <c r="A18" s="69"/>
      <c r="B18" s="6"/>
      <c r="C18" s="7">
        <v>41896</v>
      </c>
      <c r="D18" s="5">
        <v>16.8</v>
      </c>
      <c r="E18" s="5">
        <v>13.8</v>
      </c>
      <c r="F18" s="5">
        <v>21.2</v>
      </c>
      <c r="G18" s="5">
        <f t="shared" si="4"/>
        <v>222.2</v>
      </c>
      <c r="I18" s="8" t="s">
        <v>42</v>
      </c>
      <c r="J18" s="5">
        <v>0</v>
      </c>
      <c r="K18" s="5">
        <f t="shared" si="5"/>
        <v>0</v>
      </c>
      <c r="L18" s="5">
        <v>2.9</v>
      </c>
      <c r="M18" s="5">
        <f t="shared" si="6"/>
        <v>40.999999999999993</v>
      </c>
      <c r="N18" s="9">
        <f t="shared" si="3"/>
        <v>-2.9</v>
      </c>
      <c r="O18" s="5">
        <v>0</v>
      </c>
      <c r="P18" s="5">
        <v>13</v>
      </c>
      <c r="Q18" s="5">
        <f t="shared" si="10"/>
        <v>0.39012345679012345</v>
      </c>
      <c r="R18" s="10">
        <f t="shared" si="0"/>
        <v>1.1313580246913579</v>
      </c>
      <c r="S18" s="10">
        <f t="shared" si="1"/>
        <v>-1.1313580246913579</v>
      </c>
      <c r="T18" s="10">
        <f t="shared" si="7"/>
        <v>5.1838271604938226</v>
      </c>
      <c r="V18" s="5">
        <v>1404.3</v>
      </c>
      <c r="W18" s="5">
        <f t="shared" si="2"/>
        <v>83.589285714285708</v>
      </c>
      <c r="X18" s="5">
        <f t="shared" si="8"/>
        <v>21559.599999999999</v>
      </c>
      <c r="AA18" s="5">
        <v>12.7359354967369</v>
      </c>
    </row>
    <row r="19" spans="1:27" s="5" customFormat="1" x14ac:dyDescent="0.25">
      <c r="A19" s="69"/>
      <c r="B19" s="6"/>
      <c r="C19" s="7">
        <v>41897</v>
      </c>
      <c r="D19" s="5">
        <v>17.100000000000001</v>
      </c>
      <c r="E19" s="5">
        <v>11.4</v>
      </c>
      <c r="F19" s="5">
        <v>23</v>
      </c>
      <c r="G19" s="5">
        <f t="shared" si="4"/>
        <v>239.29999999999998</v>
      </c>
      <c r="I19" s="5">
        <v>1161.7</v>
      </c>
      <c r="J19" s="5">
        <v>0</v>
      </c>
      <c r="K19" s="5">
        <f t="shared" si="5"/>
        <v>0</v>
      </c>
      <c r="L19" s="5">
        <v>2.9</v>
      </c>
      <c r="M19" s="5">
        <f t="shared" si="6"/>
        <v>43.899999999999991</v>
      </c>
      <c r="N19" s="9">
        <f t="shared" si="3"/>
        <v>-2.9</v>
      </c>
      <c r="O19" s="5">
        <v>0</v>
      </c>
      <c r="P19" s="5">
        <v>14</v>
      </c>
      <c r="Q19" s="5">
        <f t="shared" si="10"/>
        <v>0.39814814814814814</v>
      </c>
      <c r="R19" s="10">
        <f t="shared" si="0"/>
        <v>1.1546296296296297</v>
      </c>
      <c r="S19" s="10">
        <f t="shared" si="1"/>
        <v>-1.1546296296296297</v>
      </c>
      <c r="T19" s="10">
        <f t="shared" si="7"/>
        <v>4.0291975308641934</v>
      </c>
      <c r="U19" s="10">
        <f>(U17*100)/197.4</f>
        <v>23.453031313020158</v>
      </c>
      <c r="V19" s="5">
        <v>1591.8</v>
      </c>
      <c r="W19" s="5">
        <f t="shared" si="2"/>
        <v>93.087719298245602</v>
      </c>
      <c r="X19" s="5">
        <f t="shared" si="8"/>
        <v>23151.399999999998</v>
      </c>
      <c r="AA19" s="5">
        <v>12.6773205287652</v>
      </c>
    </row>
    <row r="20" spans="1:27" s="5" customFormat="1" x14ac:dyDescent="0.25">
      <c r="A20" s="69"/>
      <c r="B20" s="6"/>
      <c r="C20" s="7">
        <v>41898</v>
      </c>
      <c r="D20" s="5">
        <v>17.7</v>
      </c>
      <c r="E20" s="5">
        <v>10.6</v>
      </c>
      <c r="F20" s="5">
        <v>24.3</v>
      </c>
      <c r="G20" s="5">
        <f t="shared" si="4"/>
        <v>257</v>
      </c>
      <c r="J20" s="5">
        <v>0</v>
      </c>
      <c r="K20" s="5">
        <f t="shared" si="5"/>
        <v>0</v>
      </c>
      <c r="L20" s="5">
        <v>3.1</v>
      </c>
      <c r="M20" s="5">
        <f t="shared" si="6"/>
        <v>46.999999999999993</v>
      </c>
      <c r="N20" s="9">
        <f t="shared" si="3"/>
        <v>-3.1</v>
      </c>
      <c r="O20" s="5">
        <v>0</v>
      </c>
      <c r="P20" s="5">
        <v>15</v>
      </c>
      <c r="Q20" s="5">
        <f t="shared" si="10"/>
        <v>0.40617283950617283</v>
      </c>
      <c r="R20" s="10">
        <f t="shared" si="0"/>
        <v>1.2591358024691359</v>
      </c>
      <c r="S20" s="10">
        <f t="shared" si="1"/>
        <v>-1.2591358024691359</v>
      </c>
      <c r="T20" s="10">
        <f t="shared" si="7"/>
        <v>2.7700617283950573</v>
      </c>
      <c r="V20" s="5">
        <v>1712.9</v>
      </c>
      <c r="W20" s="5">
        <f t="shared" si="2"/>
        <v>96.774011299435031</v>
      </c>
      <c r="X20" s="5">
        <f t="shared" si="8"/>
        <v>24864.3</v>
      </c>
      <c r="AA20" s="5">
        <v>12.618642609610401</v>
      </c>
    </row>
    <row r="21" spans="1:27" s="5" customFormat="1" x14ac:dyDescent="0.25">
      <c r="A21" s="69"/>
      <c r="B21" s="6"/>
      <c r="C21" s="7">
        <v>41899</v>
      </c>
      <c r="D21" s="5">
        <v>19.899999999999999</v>
      </c>
      <c r="E21" s="5">
        <v>15.8</v>
      </c>
      <c r="F21" s="13">
        <v>25</v>
      </c>
      <c r="G21" s="5">
        <f t="shared" si="4"/>
        <v>276.89999999999998</v>
      </c>
      <c r="J21" s="5">
        <v>0</v>
      </c>
      <c r="K21" s="5">
        <f t="shared" si="5"/>
        <v>0</v>
      </c>
      <c r="L21" s="5">
        <v>2.1</v>
      </c>
      <c r="M21" s="5">
        <f t="shared" si="6"/>
        <v>49.099999999999994</v>
      </c>
      <c r="N21" s="9">
        <f t="shared" si="3"/>
        <v>-2.1</v>
      </c>
      <c r="O21" s="5">
        <v>0</v>
      </c>
      <c r="P21" s="5">
        <v>16</v>
      </c>
      <c r="Q21" s="5">
        <f t="shared" si="10"/>
        <v>0.41419753086419753</v>
      </c>
      <c r="R21" s="10">
        <f t="shared" si="0"/>
        <v>0.86981481481481482</v>
      </c>
      <c r="S21" s="10">
        <f t="shared" si="1"/>
        <v>-0.86981481481481482</v>
      </c>
      <c r="T21" s="10">
        <f t="shared" si="7"/>
        <v>1.9002469135802424</v>
      </c>
      <c r="V21" s="14">
        <v>865.3</v>
      </c>
      <c r="W21" s="5">
        <f t="shared" si="2"/>
        <v>43.482412060301506</v>
      </c>
      <c r="X21" s="5">
        <f t="shared" si="8"/>
        <v>25729.599999999999</v>
      </c>
      <c r="AA21" s="5">
        <v>12.5599074970745</v>
      </c>
    </row>
    <row r="22" spans="1:27" s="5" customFormat="1" x14ac:dyDescent="0.25">
      <c r="A22" s="69"/>
      <c r="B22" s="6"/>
      <c r="C22" s="7">
        <v>41900</v>
      </c>
      <c r="D22" s="5">
        <v>19.5</v>
      </c>
      <c r="E22" s="5">
        <v>15</v>
      </c>
      <c r="F22" s="13">
        <v>26.6</v>
      </c>
      <c r="G22" s="5">
        <f t="shared" si="4"/>
        <v>296.39999999999998</v>
      </c>
      <c r="J22" s="5">
        <v>6</v>
      </c>
      <c r="K22" s="5">
        <f t="shared" si="5"/>
        <v>6</v>
      </c>
      <c r="L22" s="5">
        <v>3.1</v>
      </c>
      <c r="M22" s="5">
        <f t="shared" si="6"/>
        <v>52.199999999999996</v>
      </c>
      <c r="N22" s="5">
        <f t="shared" si="3"/>
        <v>2.9</v>
      </c>
      <c r="O22" s="5">
        <f t="shared" si="9"/>
        <v>2.9</v>
      </c>
      <c r="P22" s="5">
        <v>17</v>
      </c>
      <c r="Q22" s="5">
        <f t="shared" si="10"/>
        <v>0.42222222222222217</v>
      </c>
      <c r="R22" s="10">
        <f t="shared" si="0"/>
        <v>1.3088888888888888</v>
      </c>
      <c r="S22" s="10">
        <f t="shared" si="1"/>
        <v>4.6911111111111108</v>
      </c>
      <c r="T22" s="10">
        <f t="shared" si="7"/>
        <v>6.5913580246913535</v>
      </c>
      <c r="V22" s="5">
        <v>1355.2</v>
      </c>
      <c r="W22" s="5">
        <f t="shared" si="2"/>
        <v>69.497435897435906</v>
      </c>
      <c r="X22" s="5">
        <f t="shared" si="8"/>
        <v>27084.799999999999</v>
      </c>
      <c r="AA22" s="5">
        <v>12.501120846445</v>
      </c>
    </row>
    <row r="23" spans="1:27" s="5" customFormat="1" x14ac:dyDescent="0.25">
      <c r="A23" s="69"/>
      <c r="B23" s="6"/>
      <c r="C23" s="7">
        <v>41901</v>
      </c>
      <c r="D23" s="5">
        <v>18.2</v>
      </c>
      <c r="E23" s="5">
        <v>13.9</v>
      </c>
      <c r="F23" s="5">
        <v>24.3</v>
      </c>
      <c r="G23" s="5">
        <f t="shared" si="4"/>
        <v>314.59999999999997</v>
      </c>
      <c r="J23" s="5">
        <v>0.1</v>
      </c>
      <c r="K23" s="5">
        <f t="shared" si="5"/>
        <v>6.1</v>
      </c>
      <c r="L23" s="5">
        <v>2.4</v>
      </c>
      <c r="M23" s="5">
        <f t="shared" si="6"/>
        <v>54.599999999999994</v>
      </c>
      <c r="N23" s="9">
        <f t="shared" si="3"/>
        <v>-2.2999999999999998</v>
      </c>
      <c r="O23" s="5">
        <f t="shared" si="9"/>
        <v>0.60000000000000009</v>
      </c>
      <c r="P23" s="5">
        <v>18</v>
      </c>
      <c r="Q23" s="5">
        <f t="shared" si="10"/>
        <v>0.43024691358024691</v>
      </c>
      <c r="R23" s="10">
        <f t="shared" si="0"/>
        <v>1.0325925925925925</v>
      </c>
      <c r="S23" s="10">
        <f t="shared" si="1"/>
        <v>-0.93259259259259253</v>
      </c>
      <c r="T23" s="10">
        <f t="shared" si="7"/>
        <v>5.658765432098761</v>
      </c>
      <c r="V23" s="5">
        <v>1135.2</v>
      </c>
      <c r="W23" s="5">
        <f t="shared" si="2"/>
        <v>62.373626373626379</v>
      </c>
      <c r="X23" s="5">
        <f t="shared" si="8"/>
        <v>28220</v>
      </c>
      <c r="AA23" s="5">
        <v>12.442288226845699</v>
      </c>
    </row>
    <row r="24" spans="1:27" s="5" customFormat="1" x14ac:dyDescent="0.25">
      <c r="A24" s="69"/>
      <c r="B24" s="6"/>
      <c r="C24" s="7">
        <v>41902</v>
      </c>
      <c r="D24" s="5">
        <v>18.399999999999999</v>
      </c>
      <c r="E24" s="5">
        <v>13.9</v>
      </c>
      <c r="F24" s="13">
        <v>25.6</v>
      </c>
      <c r="G24" s="5">
        <f t="shared" si="4"/>
        <v>332.99999999999994</v>
      </c>
      <c r="J24" s="5">
        <v>2.2999999999999998</v>
      </c>
      <c r="K24" s="5">
        <f t="shared" si="5"/>
        <v>8.3999999999999986</v>
      </c>
      <c r="L24" s="5">
        <v>2.5</v>
      </c>
      <c r="M24" s="5">
        <f t="shared" si="6"/>
        <v>57.099999999999994</v>
      </c>
      <c r="N24" s="9">
        <f t="shared" si="3"/>
        <v>-0.20000000000000018</v>
      </c>
      <c r="O24" s="5">
        <f t="shared" si="9"/>
        <v>0.39999999999999991</v>
      </c>
      <c r="P24" s="5">
        <v>19</v>
      </c>
      <c r="Q24" s="5">
        <f t="shared" si="10"/>
        <v>0.43827160493827155</v>
      </c>
      <c r="R24" s="10">
        <f t="shared" si="0"/>
        <v>1.0956790123456788</v>
      </c>
      <c r="S24" s="10">
        <f t="shared" si="1"/>
        <v>1.2043209876543211</v>
      </c>
      <c r="T24" s="10">
        <f t="shared" si="7"/>
        <v>6.8630864197530821</v>
      </c>
      <c r="V24" s="5">
        <v>1114.8</v>
      </c>
      <c r="W24" s="5">
        <f t="shared" si="2"/>
        <v>60.586956521739133</v>
      </c>
      <c r="X24" s="5">
        <f t="shared" si="8"/>
        <v>29334.799999999999</v>
      </c>
      <c r="AA24" s="5">
        <v>12.3834151376472</v>
      </c>
    </row>
    <row r="25" spans="1:27" s="5" customFormat="1" x14ac:dyDescent="0.25">
      <c r="A25" s="69"/>
      <c r="B25" s="6"/>
      <c r="C25" s="7">
        <v>41903</v>
      </c>
      <c r="D25" s="5">
        <v>16.3</v>
      </c>
      <c r="E25" s="5">
        <v>15.9</v>
      </c>
      <c r="F25" s="5">
        <v>19.8</v>
      </c>
      <c r="G25" s="5">
        <f t="shared" si="4"/>
        <v>349.29999999999995</v>
      </c>
      <c r="J25" s="5">
        <v>4.8</v>
      </c>
      <c r="K25" s="5">
        <f t="shared" si="5"/>
        <v>13.2</v>
      </c>
      <c r="L25" s="5">
        <v>1.7</v>
      </c>
      <c r="M25" s="5">
        <f t="shared" si="6"/>
        <v>58.8</v>
      </c>
      <c r="N25" s="5">
        <f t="shared" si="3"/>
        <v>3.0999999999999996</v>
      </c>
      <c r="O25" s="5">
        <f t="shared" si="9"/>
        <v>3.4999999999999996</v>
      </c>
      <c r="P25" s="5">
        <v>20</v>
      </c>
      <c r="Q25" s="5">
        <f t="shared" si="10"/>
        <v>0.4462962962962963</v>
      </c>
      <c r="R25" s="10">
        <f t="shared" si="0"/>
        <v>0.75870370370370366</v>
      </c>
      <c r="S25" s="10">
        <f t="shared" si="1"/>
        <v>4.0412962962962959</v>
      </c>
      <c r="T25" s="10">
        <f t="shared" si="7"/>
        <v>10.904382716049378</v>
      </c>
      <c r="V25" s="14">
        <v>722.9</v>
      </c>
      <c r="W25" s="5">
        <f t="shared" si="2"/>
        <v>44.349693251533736</v>
      </c>
      <c r="X25" s="5">
        <f t="shared" si="8"/>
        <v>30057.7</v>
      </c>
      <c r="AA25" s="5">
        <v>12.3245070249378</v>
      </c>
    </row>
    <row r="26" spans="1:27" s="5" customFormat="1" x14ac:dyDescent="0.25">
      <c r="A26" s="69"/>
      <c r="B26" s="6"/>
      <c r="C26" s="7">
        <v>41904</v>
      </c>
      <c r="D26" s="5">
        <v>12.5</v>
      </c>
      <c r="E26" s="5">
        <v>8.5</v>
      </c>
      <c r="F26" s="5">
        <v>17.2</v>
      </c>
      <c r="G26" s="5">
        <f t="shared" si="4"/>
        <v>361.79999999999995</v>
      </c>
      <c r="J26" s="5">
        <v>0</v>
      </c>
      <c r="K26" s="5">
        <f t="shared" si="5"/>
        <v>13.2</v>
      </c>
      <c r="L26" s="5">
        <v>2.1</v>
      </c>
      <c r="M26" s="5">
        <f t="shared" si="6"/>
        <v>60.9</v>
      </c>
      <c r="N26" s="9">
        <f t="shared" si="3"/>
        <v>-2.1</v>
      </c>
      <c r="O26" s="5">
        <f t="shared" si="9"/>
        <v>1.3999999999999995</v>
      </c>
      <c r="P26" s="5">
        <v>21</v>
      </c>
      <c r="Q26" s="5">
        <f t="shared" si="10"/>
        <v>0.45432098765432094</v>
      </c>
      <c r="R26" s="10">
        <f t="shared" si="0"/>
        <v>0.95407407407407396</v>
      </c>
      <c r="S26" s="10">
        <f t="shared" si="1"/>
        <v>-0.95407407407407396</v>
      </c>
      <c r="T26" s="10">
        <f t="shared" si="7"/>
        <v>9.9503086419753046</v>
      </c>
      <c r="V26" s="5">
        <v>1131.5</v>
      </c>
      <c r="W26" s="5">
        <f t="shared" si="2"/>
        <v>90.52</v>
      </c>
      <c r="X26" s="5">
        <f t="shared" si="8"/>
        <v>31189.200000000001</v>
      </c>
      <c r="AA26" s="5">
        <v>12.265569298062101</v>
      </c>
    </row>
    <row r="27" spans="1:27" s="5" customFormat="1" x14ac:dyDescent="0.25">
      <c r="A27" s="69"/>
      <c r="B27" s="6"/>
      <c r="C27" s="7">
        <v>41905</v>
      </c>
      <c r="D27" s="5">
        <v>11.7</v>
      </c>
      <c r="E27" s="5">
        <v>7.8</v>
      </c>
      <c r="F27" s="5">
        <v>17.100000000000001</v>
      </c>
      <c r="G27" s="5">
        <f t="shared" si="4"/>
        <v>373.49999999999994</v>
      </c>
      <c r="J27" s="5">
        <v>0</v>
      </c>
      <c r="K27" s="5">
        <f t="shared" si="5"/>
        <v>13.2</v>
      </c>
      <c r="L27" s="5">
        <v>2.2999999999999998</v>
      </c>
      <c r="M27" s="5">
        <f t="shared" si="6"/>
        <v>63.199999999999996</v>
      </c>
      <c r="N27" s="9">
        <f t="shared" si="3"/>
        <v>-2.2999999999999998</v>
      </c>
      <c r="O27" s="5">
        <v>0</v>
      </c>
      <c r="P27" s="5">
        <v>22</v>
      </c>
      <c r="Q27" s="5">
        <f t="shared" si="10"/>
        <v>0.46234567901234563</v>
      </c>
      <c r="R27" s="10">
        <f t="shared" si="0"/>
        <v>1.0633950617283949</v>
      </c>
      <c r="S27" s="10">
        <f t="shared" si="1"/>
        <v>-1.0633950617283949</v>
      </c>
      <c r="T27" s="10">
        <f t="shared" si="7"/>
        <v>8.8869135802469099</v>
      </c>
      <c r="V27" s="5">
        <v>1328.5</v>
      </c>
      <c r="W27" s="5">
        <f t="shared" si="2"/>
        <v>113.54700854700856</v>
      </c>
      <c r="X27" s="5">
        <f t="shared" si="8"/>
        <v>32517.7</v>
      </c>
      <c r="AA27" s="5">
        <v>12.206607346232801</v>
      </c>
    </row>
    <row r="28" spans="1:27" s="5" customFormat="1" x14ac:dyDescent="0.25">
      <c r="A28" s="69"/>
      <c r="B28" s="6"/>
      <c r="C28" s="7">
        <v>41906</v>
      </c>
      <c r="D28" s="5">
        <v>12.3</v>
      </c>
      <c r="E28" s="5">
        <v>6.4</v>
      </c>
      <c r="F28" s="5">
        <v>17.7</v>
      </c>
      <c r="G28" s="5">
        <f t="shared" si="4"/>
        <v>385.79999999999995</v>
      </c>
      <c r="J28" s="5">
        <v>0</v>
      </c>
      <c r="K28" s="5">
        <f t="shared" si="5"/>
        <v>13.2</v>
      </c>
      <c r="L28" s="5">
        <v>2.2999999999999998</v>
      </c>
      <c r="M28" s="5">
        <f t="shared" si="6"/>
        <v>65.5</v>
      </c>
      <c r="N28" s="9">
        <f t="shared" si="3"/>
        <v>-2.2999999999999998</v>
      </c>
      <c r="O28" s="5">
        <v>0</v>
      </c>
      <c r="P28" s="5">
        <v>23</v>
      </c>
      <c r="Q28" s="5">
        <f t="shared" si="10"/>
        <v>0.47037037037037033</v>
      </c>
      <c r="R28" s="10">
        <f t="shared" si="0"/>
        <v>1.0818518518518516</v>
      </c>
      <c r="S28" s="10">
        <f t="shared" si="1"/>
        <v>-1.0818518518518516</v>
      </c>
      <c r="T28" s="10">
        <f t="shared" si="7"/>
        <v>7.8050617283950583</v>
      </c>
      <c r="V28" s="5">
        <v>1378.4</v>
      </c>
      <c r="W28" s="5">
        <f t="shared" si="2"/>
        <v>112.0650406504065</v>
      </c>
      <c r="X28" s="5">
        <f t="shared" si="8"/>
        <v>33896.1</v>
      </c>
      <c r="AA28" s="5">
        <v>12.147626555220301</v>
      </c>
    </row>
    <row r="29" spans="1:27" s="5" customFormat="1" x14ac:dyDescent="0.25">
      <c r="A29" s="69"/>
      <c r="B29" s="6"/>
      <c r="C29" s="7">
        <v>41907</v>
      </c>
      <c r="D29" s="5">
        <v>12.2</v>
      </c>
      <c r="E29" s="5">
        <v>8.1999999999999993</v>
      </c>
      <c r="F29" s="5">
        <v>18</v>
      </c>
      <c r="G29" s="5">
        <f t="shared" si="4"/>
        <v>397.99999999999994</v>
      </c>
      <c r="J29" s="5">
        <v>0</v>
      </c>
      <c r="K29" s="5">
        <f t="shared" si="5"/>
        <v>13.2</v>
      </c>
      <c r="L29" s="5">
        <v>1.7</v>
      </c>
      <c r="M29" s="5">
        <f t="shared" si="6"/>
        <v>67.2</v>
      </c>
      <c r="N29" s="9">
        <f t="shared" si="3"/>
        <v>-1.7</v>
      </c>
      <c r="O29" s="5">
        <v>0</v>
      </c>
      <c r="P29" s="5">
        <v>24</v>
      </c>
      <c r="Q29" s="5">
        <f t="shared" si="10"/>
        <v>0.47839506172839508</v>
      </c>
      <c r="R29" s="10">
        <f t="shared" si="0"/>
        <v>0.81327160493827166</v>
      </c>
      <c r="S29" s="10">
        <f t="shared" si="1"/>
        <v>-0.81327160493827166</v>
      </c>
      <c r="T29" s="10">
        <f t="shared" si="7"/>
        <v>6.991790123456787</v>
      </c>
      <c r="V29" s="5">
        <v>945.8</v>
      </c>
      <c r="W29" s="5">
        <f t="shared" si="2"/>
        <v>77.524590163934434</v>
      </c>
      <c r="X29" s="5">
        <f t="shared" si="8"/>
        <v>34841.9</v>
      </c>
      <c r="AA29" s="5">
        <v>12.088632324127699</v>
      </c>
    </row>
    <row r="30" spans="1:27" s="5" customFormat="1" x14ac:dyDescent="0.25">
      <c r="A30" s="69"/>
      <c r="B30" s="6"/>
      <c r="C30" s="7">
        <v>41908</v>
      </c>
      <c r="D30" s="5">
        <v>12.8</v>
      </c>
      <c r="E30" s="5">
        <v>5.7</v>
      </c>
      <c r="F30" s="5">
        <v>20.8</v>
      </c>
      <c r="G30" s="5">
        <f t="shared" si="4"/>
        <v>410.79999999999995</v>
      </c>
      <c r="J30" s="5">
        <v>0</v>
      </c>
      <c r="K30" s="5">
        <f t="shared" si="5"/>
        <v>13.2</v>
      </c>
      <c r="L30" s="5">
        <v>2.5</v>
      </c>
      <c r="M30" s="5">
        <f t="shared" si="6"/>
        <v>69.7</v>
      </c>
      <c r="N30" s="9">
        <f t="shared" si="3"/>
        <v>-2.5</v>
      </c>
      <c r="O30" s="5">
        <v>0</v>
      </c>
      <c r="P30" s="5">
        <v>25</v>
      </c>
      <c r="Q30" s="5">
        <f t="shared" si="10"/>
        <v>0.48641975308641971</v>
      </c>
      <c r="R30" s="10">
        <f t="shared" si="0"/>
        <v>1.2160493827160492</v>
      </c>
      <c r="S30" s="10">
        <f t="shared" si="1"/>
        <v>-1.2160493827160492</v>
      </c>
      <c r="T30" s="10">
        <f t="shared" si="7"/>
        <v>5.775740740740738</v>
      </c>
      <c r="V30" s="5">
        <v>1388.8</v>
      </c>
      <c r="W30" s="5">
        <f t="shared" si="2"/>
        <v>108.49999999999999</v>
      </c>
      <c r="X30" s="5">
        <f t="shared" si="8"/>
        <v>36230.700000000004</v>
      </c>
      <c r="AA30" s="5">
        <v>12.029630082256899</v>
      </c>
    </row>
    <row r="31" spans="1:27" s="5" customFormat="1" x14ac:dyDescent="0.25">
      <c r="A31" s="69"/>
      <c r="B31" s="6"/>
      <c r="C31" s="7">
        <v>41909</v>
      </c>
      <c r="D31" s="5">
        <v>15</v>
      </c>
      <c r="E31" s="5">
        <v>7.9</v>
      </c>
      <c r="F31" s="5">
        <v>22.3</v>
      </c>
      <c r="G31" s="5">
        <f t="shared" si="4"/>
        <v>425.79999999999995</v>
      </c>
      <c r="J31" s="5">
        <v>0</v>
      </c>
      <c r="K31" s="5">
        <f t="shared" si="5"/>
        <v>13.2</v>
      </c>
      <c r="L31" s="5">
        <v>2.8</v>
      </c>
      <c r="M31" s="5">
        <f t="shared" si="6"/>
        <v>72.5</v>
      </c>
      <c r="N31" s="9">
        <f t="shared" si="3"/>
        <v>-2.8</v>
      </c>
      <c r="O31" s="5">
        <v>0</v>
      </c>
      <c r="P31" s="5">
        <v>26</v>
      </c>
      <c r="Q31" s="5">
        <f t="shared" si="10"/>
        <v>0.49444444444444441</v>
      </c>
      <c r="R31" s="10">
        <f t="shared" si="0"/>
        <v>1.3844444444444444</v>
      </c>
      <c r="S31" s="10">
        <f t="shared" si="1"/>
        <v>-1.3844444444444444</v>
      </c>
      <c r="T31" s="10">
        <f t="shared" si="7"/>
        <v>4.3912962962962938</v>
      </c>
      <c r="V31" s="5">
        <v>1537.1</v>
      </c>
      <c r="W31" s="5">
        <f t="shared" si="2"/>
        <v>102.47333333333333</v>
      </c>
      <c r="X31" s="5">
        <f t="shared" si="8"/>
        <v>37767.800000000003</v>
      </c>
      <c r="AA31" s="5">
        <v>11.9706253060723</v>
      </c>
    </row>
    <row r="32" spans="1:27" s="5" customFormat="1" x14ac:dyDescent="0.25">
      <c r="A32" s="69"/>
      <c r="B32" s="6"/>
      <c r="C32" s="7">
        <v>41910</v>
      </c>
      <c r="D32" s="5">
        <v>16</v>
      </c>
      <c r="E32" s="5">
        <v>9.1</v>
      </c>
      <c r="F32" s="5">
        <v>24</v>
      </c>
      <c r="G32" s="5">
        <f t="shared" si="4"/>
        <v>441.79999999999995</v>
      </c>
      <c r="J32" s="5">
        <v>1.5</v>
      </c>
      <c r="K32" s="5">
        <f t="shared" si="5"/>
        <v>14.7</v>
      </c>
      <c r="L32" s="5">
        <v>2.5</v>
      </c>
      <c r="M32" s="5">
        <f t="shared" si="6"/>
        <v>75</v>
      </c>
      <c r="N32" s="9">
        <f t="shared" si="3"/>
        <v>-1</v>
      </c>
      <c r="O32" s="5">
        <v>0</v>
      </c>
      <c r="P32" s="5">
        <v>27</v>
      </c>
      <c r="Q32" s="5">
        <f t="shared" si="10"/>
        <v>0.5024691358024691</v>
      </c>
      <c r="R32" s="10">
        <f t="shared" si="0"/>
        <v>1.2561728395061729</v>
      </c>
      <c r="S32" s="10">
        <f t="shared" si="1"/>
        <v>0.24382716049382713</v>
      </c>
      <c r="T32" s="10">
        <f t="shared" si="7"/>
        <v>4.6351234567901205</v>
      </c>
      <c r="V32" s="5">
        <v>1136.5999999999999</v>
      </c>
      <c r="W32" s="5">
        <f t="shared" si="2"/>
        <v>71.037499999999994</v>
      </c>
      <c r="X32" s="5">
        <f t="shared" si="8"/>
        <v>38904.400000000001</v>
      </c>
      <c r="AA32" s="5">
        <v>11.9116235362678</v>
      </c>
    </row>
    <row r="33" spans="1:27" s="5" customFormat="1" x14ac:dyDescent="0.25">
      <c r="A33" s="69"/>
      <c r="B33" s="6"/>
      <c r="C33" s="7">
        <v>41911</v>
      </c>
      <c r="D33" s="5">
        <v>16.899999999999999</v>
      </c>
      <c r="E33" s="5">
        <v>13.1</v>
      </c>
      <c r="F33" s="5">
        <v>19.2</v>
      </c>
      <c r="G33" s="5">
        <f t="shared" si="4"/>
        <v>458.69999999999993</v>
      </c>
      <c r="J33" s="5">
        <v>0.5</v>
      </c>
      <c r="K33" s="5">
        <f t="shared" si="5"/>
        <v>15.2</v>
      </c>
      <c r="L33" s="5">
        <v>0.9</v>
      </c>
      <c r="M33" s="5">
        <f t="shared" si="6"/>
        <v>75.900000000000006</v>
      </c>
      <c r="N33" s="9">
        <f t="shared" si="3"/>
        <v>-0.4</v>
      </c>
      <c r="O33" s="5">
        <v>0</v>
      </c>
      <c r="P33" s="5">
        <v>28</v>
      </c>
      <c r="Q33" s="5">
        <f t="shared" si="10"/>
        <v>0.51049382716049374</v>
      </c>
      <c r="R33" s="10">
        <f t="shared" si="0"/>
        <v>0.45944444444444438</v>
      </c>
      <c r="S33" s="10">
        <f t="shared" si="1"/>
        <v>4.0555555555555622E-2</v>
      </c>
      <c r="T33" s="10">
        <f t="shared" si="7"/>
        <v>4.6756790123456762</v>
      </c>
      <c r="V33" s="14">
        <v>485.6</v>
      </c>
      <c r="W33" s="5">
        <f t="shared" si="2"/>
        <v>28.73372781065089</v>
      </c>
      <c r="X33" s="5">
        <f t="shared" si="8"/>
        <v>39390</v>
      </c>
      <c r="AA33" s="5">
        <v>11.8526303949435</v>
      </c>
    </row>
    <row r="34" spans="1:27" s="5" customFormat="1" x14ac:dyDescent="0.25">
      <c r="A34" s="69"/>
      <c r="B34" s="6"/>
      <c r="C34" s="7">
        <v>41912</v>
      </c>
      <c r="D34" s="5">
        <v>16.5</v>
      </c>
      <c r="E34" s="5">
        <v>14.8</v>
      </c>
      <c r="F34" s="5">
        <v>20.3</v>
      </c>
      <c r="G34" s="5">
        <f t="shared" si="4"/>
        <v>475.19999999999993</v>
      </c>
      <c r="J34" s="5">
        <v>0</v>
      </c>
      <c r="K34" s="5">
        <f t="shared" si="5"/>
        <v>15.2</v>
      </c>
      <c r="L34" s="5">
        <v>2.5</v>
      </c>
      <c r="M34" s="5">
        <f t="shared" si="6"/>
        <v>78.400000000000006</v>
      </c>
      <c r="N34" s="9">
        <f t="shared" si="3"/>
        <v>-2.5</v>
      </c>
      <c r="O34" s="5">
        <v>0</v>
      </c>
      <c r="P34" s="5">
        <v>29</v>
      </c>
      <c r="Q34" s="5">
        <f t="shared" si="10"/>
        <v>0.51851851851851849</v>
      </c>
      <c r="R34" s="10">
        <f t="shared" si="0"/>
        <v>1.2962962962962963</v>
      </c>
      <c r="S34" s="10">
        <f t="shared" si="1"/>
        <v>-1.2962962962962963</v>
      </c>
      <c r="T34" s="10">
        <f t="shared" si="7"/>
        <v>3.3793827160493799</v>
      </c>
      <c r="V34" s="5">
        <v>1342.1</v>
      </c>
      <c r="W34" s="5">
        <f t="shared" si="2"/>
        <v>81.339393939393929</v>
      </c>
      <c r="X34" s="5">
        <f t="shared" si="8"/>
        <v>40732.1</v>
      </c>
      <c r="AA34" s="5">
        <v>11.7936516028964</v>
      </c>
    </row>
    <row r="35" spans="1:27" s="5" customFormat="1" x14ac:dyDescent="0.25">
      <c r="A35" s="69"/>
      <c r="B35" s="6"/>
      <c r="C35" s="7">
        <v>41913</v>
      </c>
      <c r="D35" s="5">
        <v>15.4</v>
      </c>
      <c r="E35" s="5">
        <v>10</v>
      </c>
      <c r="F35" s="5">
        <v>22.5</v>
      </c>
      <c r="G35" s="5">
        <f t="shared" si="4"/>
        <v>490.59999999999991</v>
      </c>
      <c r="J35" s="5">
        <v>0</v>
      </c>
      <c r="K35" s="5">
        <f t="shared" si="5"/>
        <v>15.2</v>
      </c>
      <c r="L35" s="5">
        <v>2.1</v>
      </c>
      <c r="M35" s="5">
        <f t="shared" si="6"/>
        <v>80.5</v>
      </c>
      <c r="N35" s="9">
        <f t="shared" si="3"/>
        <v>-2.1</v>
      </c>
      <c r="O35" s="5">
        <v>0</v>
      </c>
      <c r="P35" s="5">
        <v>30</v>
      </c>
      <c r="Q35" s="5">
        <f t="shared" si="10"/>
        <v>0.52654320987654324</v>
      </c>
      <c r="R35" s="10">
        <f t="shared" si="0"/>
        <v>1.1057407407407409</v>
      </c>
      <c r="S35" s="10">
        <f t="shared" si="1"/>
        <v>-1.1057407407407409</v>
      </c>
      <c r="T35" s="10">
        <f t="shared" si="7"/>
        <v>2.2736419753086388</v>
      </c>
      <c r="V35" s="5">
        <v>1089.9000000000001</v>
      </c>
      <c r="W35" s="5">
        <f t="shared" si="2"/>
        <v>70.77272727272728</v>
      </c>
      <c r="X35" s="5">
        <f t="shared" si="8"/>
        <v>41822</v>
      </c>
      <c r="AA35" s="5">
        <v>11.7346929970311</v>
      </c>
    </row>
    <row r="36" spans="1:27" s="5" customFormat="1" x14ac:dyDescent="0.25">
      <c r="A36" s="69"/>
      <c r="B36" s="6"/>
      <c r="C36" s="7">
        <v>41914</v>
      </c>
      <c r="D36" s="5">
        <v>15.7</v>
      </c>
      <c r="E36" s="5">
        <v>10.6</v>
      </c>
      <c r="F36" s="5">
        <v>22.5</v>
      </c>
      <c r="G36" s="5">
        <f t="shared" si="4"/>
        <v>506.2999999999999</v>
      </c>
      <c r="J36" s="5">
        <v>0</v>
      </c>
      <c r="K36" s="5">
        <f t="shared" si="5"/>
        <v>15.2</v>
      </c>
      <c r="L36" s="5">
        <v>2</v>
      </c>
      <c r="M36" s="5">
        <f t="shared" si="6"/>
        <v>82.5</v>
      </c>
      <c r="N36" s="9">
        <f t="shared" si="3"/>
        <v>-2</v>
      </c>
      <c r="O36" s="5">
        <v>0</v>
      </c>
      <c r="P36" s="5">
        <v>31</v>
      </c>
      <c r="Q36" s="5">
        <f t="shared" si="10"/>
        <v>0.53456790123456788</v>
      </c>
      <c r="R36" s="10">
        <f t="shared" si="0"/>
        <v>1.0691358024691358</v>
      </c>
      <c r="S36" s="10">
        <f t="shared" si="1"/>
        <v>-1.0691358024691358</v>
      </c>
      <c r="T36" s="10">
        <f t="shared" si="7"/>
        <v>1.204506172839503</v>
      </c>
      <c r="V36" s="5">
        <v>905.6</v>
      </c>
      <c r="W36" s="5">
        <f t="shared" si="2"/>
        <v>57.681528662420384</v>
      </c>
      <c r="X36" s="5">
        <f t="shared" si="8"/>
        <v>42727.6</v>
      </c>
      <c r="AA36" s="5">
        <v>11.675760547892301</v>
      </c>
    </row>
    <row r="37" spans="1:27" s="5" customFormat="1" x14ac:dyDescent="0.25">
      <c r="A37" s="69"/>
      <c r="B37" s="6"/>
      <c r="C37" s="7">
        <v>41915</v>
      </c>
      <c r="D37" s="5">
        <v>15.1</v>
      </c>
      <c r="E37" s="5">
        <v>9.8000000000000007</v>
      </c>
      <c r="F37" s="5">
        <v>22.6</v>
      </c>
      <c r="G37" s="5">
        <f t="shared" si="4"/>
        <v>521.39999999999986</v>
      </c>
      <c r="J37" s="5">
        <v>0</v>
      </c>
      <c r="K37" s="5">
        <f t="shared" si="5"/>
        <v>15.2</v>
      </c>
      <c r="L37" s="5">
        <v>2.9</v>
      </c>
      <c r="M37" s="5">
        <f t="shared" si="6"/>
        <v>85.4</v>
      </c>
      <c r="N37" s="9">
        <f t="shared" si="3"/>
        <v>-2.9</v>
      </c>
      <c r="O37" s="5">
        <v>0</v>
      </c>
      <c r="P37" s="5">
        <v>32</v>
      </c>
      <c r="Q37" s="5">
        <f t="shared" si="10"/>
        <v>0.54259259259259252</v>
      </c>
      <c r="R37" s="10">
        <f t="shared" si="0"/>
        <v>1.5735185185185183</v>
      </c>
      <c r="S37" s="10">
        <f t="shared" si="1"/>
        <v>-1.5735185185185183</v>
      </c>
      <c r="T37" s="10">
        <v>0</v>
      </c>
      <c r="V37" s="5">
        <v>1467.1</v>
      </c>
      <c r="W37" s="5">
        <f t="shared" si="2"/>
        <v>97.158940397350989</v>
      </c>
      <c r="X37" s="5">
        <f t="shared" si="8"/>
        <v>44194.7</v>
      </c>
      <c r="AA37" s="5">
        <v>11.616860377323899</v>
      </c>
    </row>
    <row r="38" spans="1:27" s="5" customFormat="1" x14ac:dyDescent="0.25">
      <c r="A38" s="69"/>
      <c r="B38" s="6"/>
      <c r="C38" s="7">
        <v>41916</v>
      </c>
      <c r="D38" s="5">
        <v>14.8</v>
      </c>
      <c r="E38" s="5">
        <v>7.8</v>
      </c>
      <c r="F38" s="5">
        <v>22.7</v>
      </c>
      <c r="G38" s="5">
        <f t="shared" si="4"/>
        <v>536.19999999999982</v>
      </c>
      <c r="J38" s="5">
        <v>5.9</v>
      </c>
      <c r="K38" s="5">
        <f t="shared" si="5"/>
        <v>21.1</v>
      </c>
      <c r="L38" s="5">
        <v>2.1</v>
      </c>
      <c r="M38" s="5">
        <f t="shared" si="6"/>
        <v>87.5</v>
      </c>
      <c r="N38" s="5">
        <f t="shared" si="3"/>
        <v>3.8000000000000003</v>
      </c>
      <c r="O38" s="5">
        <f t="shared" si="9"/>
        <v>3.8000000000000003</v>
      </c>
      <c r="P38" s="5">
        <v>33</v>
      </c>
      <c r="Q38" s="5">
        <f t="shared" si="10"/>
        <v>0.55061728395061726</v>
      </c>
      <c r="R38" s="10">
        <f t="shared" si="0"/>
        <v>1.1562962962962964</v>
      </c>
      <c r="S38" s="10">
        <f t="shared" si="1"/>
        <v>4.7437037037037042</v>
      </c>
      <c r="T38" s="10">
        <f t="shared" si="7"/>
        <v>4.7437037037037042</v>
      </c>
      <c r="V38" s="5">
        <v>1056.3</v>
      </c>
      <c r="W38" s="5">
        <f t="shared" si="2"/>
        <v>71.371621621621614</v>
      </c>
      <c r="X38" s="5">
        <f t="shared" si="8"/>
        <v>45251</v>
      </c>
      <c r="AA38" s="5">
        <v>11.557998776254999</v>
      </c>
    </row>
    <row r="39" spans="1:27" s="5" customFormat="1" x14ac:dyDescent="0.25">
      <c r="A39" s="69"/>
      <c r="B39" s="6"/>
      <c r="C39" s="7">
        <v>41917</v>
      </c>
      <c r="D39" s="5">
        <v>11.1</v>
      </c>
      <c r="E39" s="5">
        <v>10.199999999999999</v>
      </c>
      <c r="F39" s="5">
        <v>12.4</v>
      </c>
      <c r="G39" s="5">
        <f t="shared" si="4"/>
        <v>547.29999999999984</v>
      </c>
      <c r="J39" s="5">
        <v>0.7</v>
      </c>
      <c r="K39" s="5">
        <f t="shared" si="5"/>
        <v>21.8</v>
      </c>
      <c r="L39" s="5">
        <v>0.8</v>
      </c>
      <c r="M39" s="5">
        <f t="shared" si="6"/>
        <v>88.3</v>
      </c>
      <c r="N39" s="9">
        <f t="shared" si="3"/>
        <v>-0.10000000000000009</v>
      </c>
      <c r="O39" s="5">
        <f t="shared" si="9"/>
        <v>3.7</v>
      </c>
      <c r="P39" s="5">
        <v>34</v>
      </c>
      <c r="Q39" s="5">
        <f t="shared" si="10"/>
        <v>0.55864197530864201</v>
      </c>
      <c r="R39" s="10">
        <f t="shared" si="0"/>
        <v>0.44691358024691363</v>
      </c>
      <c r="S39" s="10">
        <f t="shared" si="1"/>
        <v>0.25308641975308632</v>
      </c>
      <c r="T39" s="10">
        <f t="shared" si="7"/>
        <v>4.9967901234567904</v>
      </c>
      <c r="V39" s="14">
        <v>327.3</v>
      </c>
      <c r="W39" s="5">
        <f t="shared" si="2"/>
        <v>29.486486486486488</v>
      </c>
      <c r="X39" s="5">
        <f t="shared" si="8"/>
        <v>45578.3</v>
      </c>
      <c r="AA39" s="5">
        <v>11.4991822226139</v>
      </c>
    </row>
    <row r="40" spans="1:27" s="5" customFormat="1" x14ac:dyDescent="0.25">
      <c r="A40" s="69"/>
      <c r="B40" s="6"/>
      <c r="C40" s="7">
        <v>41918</v>
      </c>
      <c r="D40" s="5">
        <v>12</v>
      </c>
      <c r="E40" s="5">
        <v>9.6999999999999993</v>
      </c>
      <c r="F40" s="5">
        <v>15</v>
      </c>
      <c r="G40" s="5">
        <f t="shared" si="4"/>
        <v>559.29999999999984</v>
      </c>
      <c r="J40" s="5">
        <v>10.3</v>
      </c>
      <c r="K40" s="5">
        <f t="shared" si="5"/>
        <v>32.1</v>
      </c>
      <c r="L40" s="5">
        <v>1.5</v>
      </c>
      <c r="M40" s="5">
        <f t="shared" si="6"/>
        <v>89.8</v>
      </c>
      <c r="N40" s="5">
        <f t="shared" si="3"/>
        <v>8.8000000000000007</v>
      </c>
      <c r="O40" s="5">
        <f t="shared" si="9"/>
        <v>12.5</v>
      </c>
      <c r="P40" s="5">
        <v>35</v>
      </c>
      <c r="Q40" s="5">
        <f t="shared" si="10"/>
        <v>0.56666666666666665</v>
      </c>
      <c r="R40" s="10">
        <f t="shared" si="0"/>
        <v>0.85</v>
      </c>
      <c r="S40" s="10">
        <f t="shared" si="1"/>
        <v>9.4500000000000011</v>
      </c>
      <c r="T40" s="10">
        <f t="shared" si="7"/>
        <v>14.446790123456791</v>
      </c>
      <c r="V40" s="14">
        <v>802.8</v>
      </c>
      <c r="W40" s="5">
        <f t="shared" si="2"/>
        <v>66.899999999999991</v>
      </c>
      <c r="X40" s="5">
        <f t="shared" si="8"/>
        <v>46381.100000000006</v>
      </c>
      <c r="AA40" s="5">
        <v>11.440417399368201</v>
      </c>
    </row>
    <row r="41" spans="1:27" s="5" customFormat="1" x14ac:dyDescent="0.25">
      <c r="A41" s="69"/>
      <c r="B41" s="6"/>
      <c r="C41" s="7">
        <v>41919</v>
      </c>
      <c r="D41" s="5">
        <v>13.3</v>
      </c>
      <c r="E41" s="5">
        <v>11.8</v>
      </c>
      <c r="F41" s="5">
        <v>14.2</v>
      </c>
      <c r="G41" s="5">
        <f t="shared" si="4"/>
        <v>572.5999999999998</v>
      </c>
      <c r="J41" s="5">
        <v>8.6</v>
      </c>
      <c r="K41" s="5">
        <f t="shared" si="5"/>
        <v>40.700000000000003</v>
      </c>
      <c r="L41" s="5">
        <v>1.2</v>
      </c>
      <c r="M41" s="5">
        <f t="shared" si="6"/>
        <v>91</v>
      </c>
      <c r="N41" s="5">
        <f t="shared" si="3"/>
        <v>7.3999999999999995</v>
      </c>
      <c r="O41" s="5">
        <f t="shared" si="9"/>
        <v>19.899999999999999</v>
      </c>
      <c r="P41" s="5">
        <v>36</v>
      </c>
      <c r="Q41" s="5">
        <f t="shared" si="10"/>
        <v>0.57469135802469129</v>
      </c>
      <c r="R41" s="10">
        <f t="shared" si="0"/>
        <v>0.68962962962962948</v>
      </c>
      <c r="S41" s="10">
        <f t="shared" si="1"/>
        <v>7.9103703703703703</v>
      </c>
      <c r="T41" s="10">
        <f t="shared" si="7"/>
        <v>22.357160493827163</v>
      </c>
      <c r="V41" s="14">
        <v>868.1</v>
      </c>
      <c r="W41" s="5">
        <f t="shared" si="2"/>
        <v>65.270676691729321</v>
      </c>
      <c r="X41" s="5">
        <f t="shared" si="8"/>
        <v>47249.200000000004</v>
      </c>
      <c r="AA41" s="5">
        <v>11.381711212688</v>
      </c>
    </row>
    <row r="42" spans="1:27" s="5" customFormat="1" x14ac:dyDescent="0.25">
      <c r="A42" s="69"/>
      <c r="B42" s="6"/>
      <c r="C42" s="7">
        <v>41920</v>
      </c>
      <c r="D42" s="5">
        <v>15.1</v>
      </c>
      <c r="E42" s="5">
        <v>11.7</v>
      </c>
      <c r="F42" s="5">
        <v>17.8</v>
      </c>
      <c r="G42" s="5">
        <f t="shared" si="4"/>
        <v>587.69999999999982</v>
      </c>
      <c r="J42" s="5">
        <v>28.5</v>
      </c>
      <c r="K42" s="5">
        <f t="shared" si="5"/>
        <v>69.2</v>
      </c>
      <c r="L42" s="5">
        <v>0.4</v>
      </c>
      <c r="M42" s="5">
        <f t="shared" si="6"/>
        <v>91.4</v>
      </c>
      <c r="N42" s="5">
        <f t="shared" si="3"/>
        <v>28.1</v>
      </c>
      <c r="O42" s="5">
        <f t="shared" si="9"/>
        <v>48</v>
      </c>
      <c r="P42" s="5">
        <v>37</v>
      </c>
      <c r="Q42" s="5">
        <f t="shared" si="10"/>
        <v>0.58271604938271604</v>
      </c>
      <c r="R42" s="10">
        <f t="shared" si="0"/>
        <v>0.23308641975308642</v>
      </c>
      <c r="S42" s="10">
        <f t="shared" si="1"/>
        <v>28.266913580246914</v>
      </c>
      <c r="T42" s="10">
        <f t="shared" si="7"/>
        <v>50.624074074074073</v>
      </c>
      <c r="V42" s="14">
        <v>205.4</v>
      </c>
      <c r="W42" s="5">
        <f t="shared" si="2"/>
        <v>13.602649006622517</v>
      </c>
      <c r="X42" s="5">
        <f t="shared" si="8"/>
        <v>47454.600000000006</v>
      </c>
      <c r="AA42" s="5">
        <v>11.3230708102286</v>
      </c>
    </row>
    <row r="43" spans="1:27" s="5" customFormat="1" x14ac:dyDescent="0.25">
      <c r="A43" s="69"/>
      <c r="B43" s="6"/>
      <c r="C43" s="7">
        <v>41921</v>
      </c>
      <c r="D43" s="5">
        <v>14.7</v>
      </c>
      <c r="E43" s="5">
        <v>13.9</v>
      </c>
      <c r="F43" s="5">
        <v>16.5</v>
      </c>
      <c r="G43" s="5">
        <f t="shared" si="4"/>
        <v>602.39999999999986</v>
      </c>
      <c r="J43" s="5">
        <v>1.7</v>
      </c>
      <c r="K43" s="5">
        <f t="shared" si="5"/>
        <v>70.900000000000006</v>
      </c>
      <c r="L43" s="5">
        <v>0.9</v>
      </c>
      <c r="M43" s="5">
        <f t="shared" si="6"/>
        <v>92.300000000000011</v>
      </c>
      <c r="N43" s="5">
        <f t="shared" si="3"/>
        <v>0.79999999999999993</v>
      </c>
      <c r="O43" s="5">
        <f t="shared" si="9"/>
        <v>48.8</v>
      </c>
      <c r="P43" s="5">
        <v>38</v>
      </c>
      <c r="Q43" s="5">
        <f t="shared" si="10"/>
        <v>0.59074074074074068</v>
      </c>
      <c r="R43" s="10">
        <f t="shared" si="0"/>
        <v>0.53166666666666662</v>
      </c>
      <c r="S43" s="10">
        <f t="shared" si="1"/>
        <v>1.1683333333333334</v>
      </c>
      <c r="T43" s="10">
        <f t="shared" si="7"/>
        <v>51.79240740740741</v>
      </c>
      <c r="V43" s="14">
        <v>353.2</v>
      </c>
      <c r="W43" s="5">
        <f t="shared" si="2"/>
        <v>24.027210884353742</v>
      </c>
      <c r="X43" s="5">
        <f t="shared" si="8"/>
        <v>47807.8</v>
      </c>
      <c r="AA43" s="5">
        <v>11.2645035995236</v>
      </c>
    </row>
    <row r="44" spans="1:27" s="5" customFormat="1" x14ac:dyDescent="0.25">
      <c r="A44" s="69"/>
      <c r="B44" s="6"/>
      <c r="C44" s="7">
        <v>41922</v>
      </c>
      <c r="D44" s="5">
        <v>13.4</v>
      </c>
      <c r="E44" s="5">
        <v>10.6</v>
      </c>
      <c r="F44" s="5">
        <v>16</v>
      </c>
      <c r="G44" s="5">
        <f t="shared" si="4"/>
        <v>615.79999999999984</v>
      </c>
      <c r="J44" s="5">
        <v>0.1</v>
      </c>
      <c r="K44" s="5">
        <f t="shared" si="5"/>
        <v>71</v>
      </c>
      <c r="L44" s="5">
        <v>1.4</v>
      </c>
      <c r="M44" s="5">
        <f t="shared" si="6"/>
        <v>93.700000000000017</v>
      </c>
      <c r="N44" s="9">
        <f t="shared" si="3"/>
        <v>-1.2999999999999998</v>
      </c>
      <c r="O44" s="5">
        <f t="shared" si="9"/>
        <v>47.5</v>
      </c>
      <c r="P44" s="5">
        <v>39</v>
      </c>
      <c r="Q44" s="5">
        <f t="shared" si="10"/>
        <v>0.59876543209876543</v>
      </c>
      <c r="R44" s="10">
        <f t="shared" si="0"/>
        <v>0.83827160493827158</v>
      </c>
      <c r="S44" s="10">
        <f t="shared" si="1"/>
        <v>-0.7382716049382716</v>
      </c>
      <c r="T44" s="10">
        <f t="shared" si="7"/>
        <v>51.054135802469141</v>
      </c>
      <c r="V44" s="5">
        <v>940</v>
      </c>
      <c r="W44" s="5">
        <f t="shared" si="2"/>
        <v>70.149253731343279</v>
      </c>
      <c r="X44" s="5">
        <f t="shared" si="8"/>
        <v>48747.8</v>
      </c>
      <c r="AA44" s="5">
        <v>11.206017266480901</v>
      </c>
    </row>
    <row r="45" spans="1:27" s="5" customFormat="1" x14ac:dyDescent="0.25">
      <c r="A45" s="69"/>
      <c r="B45" s="6"/>
      <c r="C45" s="7">
        <v>41923</v>
      </c>
      <c r="D45" s="5">
        <v>13.6</v>
      </c>
      <c r="E45" s="5">
        <v>12.3</v>
      </c>
      <c r="F45" s="5">
        <v>17.8</v>
      </c>
      <c r="G45" s="5">
        <f t="shared" si="4"/>
        <v>629.39999999999986</v>
      </c>
      <c r="J45" s="5">
        <v>0</v>
      </c>
      <c r="K45" s="5">
        <f t="shared" si="5"/>
        <v>71</v>
      </c>
      <c r="L45" s="5">
        <v>1.8</v>
      </c>
      <c r="M45" s="5">
        <f t="shared" si="6"/>
        <v>95.500000000000014</v>
      </c>
      <c r="N45" s="9">
        <f t="shared" si="3"/>
        <v>-1.8</v>
      </c>
      <c r="O45" s="5">
        <f t="shared" si="9"/>
        <v>45.7</v>
      </c>
      <c r="P45" s="5">
        <v>40</v>
      </c>
      <c r="Q45" s="5">
        <f t="shared" si="10"/>
        <v>0.60679012345679006</v>
      </c>
      <c r="R45" s="10">
        <f t="shared" si="0"/>
        <v>1.0922222222222222</v>
      </c>
      <c r="S45" s="10">
        <f t="shared" si="1"/>
        <v>-1.0922222222222222</v>
      </c>
      <c r="T45" s="10">
        <f t="shared" si="7"/>
        <v>49.961913580246922</v>
      </c>
      <c r="V45" s="5">
        <v>974.8</v>
      </c>
      <c r="W45" s="5">
        <f t="shared" si="2"/>
        <v>71.67647058823529</v>
      </c>
      <c r="X45" s="5">
        <f t="shared" si="8"/>
        <v>49722.600000000006</v>
      </c>
      <c r="AA45" s="5">
        <v>11.1476197939682</v>
      </c>
    </row>
    <row r="46" spans="1:27" s="5" customFormat="1" x14ac:dyDescent="0.25">
      <c r="A46" s="69"/>
      <c r="B46" s="6"/>
      <c r="C46" s="7">
        <v>41924</v>
      </c>
      <c r="D46" s="5">
        <v>13.4</v>
      </c>
      <c r="E46" s="5">
        <v>8.6999999999999993</v>
      </c>
      <c r="F46" s="5">
        <v>15.3</v>
      </c>
      <c r="G46" s="5">
        <f t="shared" si="4"/>
        <v>642.79999999999984</v>
      </c>
      <c r="J46" s="5">
        <v>7.2</v>
      </c>
      <c r="K46" s="5">
        <f t="shared" si="5"/>
        <v>78.2</v>
      </c>
      <c r="L46" s="5">
        <v>0.3</v>
      </c>
      <c r="M46" s="5">
        <f t="shared" si="6"/>
        <v>95.800000000000011</v>
      </c>
      <c r="N46" s="5">
        <f t="shared" si="3"/>
        <v>6.9</v>
      </c>
      <c r="O46" s="5">
        <f t="shared" si="9"/>
        <v>52.6</v>
      </c>
      <c r="P46" s="5">
        <v>41</v>
      </c>
      <c r="Q46" s="5">
        <f t="shared" si="10"/>
        <v>0.61481481481481481</v>
      </c>
      <c r="R46" s="10">
        <f t="shared" si="0"/>
        <v>0.18444444444444444</v>
      </c>
      <c r="S46" s="10">
        <f t="shared" si="1"/>
        <v>7.0155555555555553</v>
      </c>
      <c r="T46" s="10">
        <f t="shared" si="7"/>
        <v>56.97746913580248</v>
      </c>
      <c r="V46" s="14">
        <v>290.89999999999998</v>
      </c>
      <c r="W46" s="5">
        <f t="shared" si="2"/>
        <v>21.708955223880594</v>
      </c>
      <c r="X46" s="5">
        <f t="shared" si="8"/>
        <v>50013.500000000007</v>
      </c>
      <c r="AA46" s="5">
        <v>11.0893194804739</v>
      </c>
    </row>
    <row r="47" spans="1:27" s="5" customFormat="1" x14ac:dyDescent="0.25">
      <c r="A47" s="69"/>
      <c r="B47" s="6"/>
      <c r="C47" s="7">
        <v>41925</v>
      </c>
      <c r="D47" s="5">
        <v>13.7</v>
      </c>
      <c r="E47" s="5">
        <v>12.1</v>
      </c>
      <c r="F47" s="5">
        <v>17.7</v>
      </c>
      <c r="G47" s="5">
        <f t="shared" si="4"/>
        <v>656.49999999999989</v>
      </c>
      <c r="J47" s="5">
        <v>0</v>
      </c>
      <c r="K47" s="5">
        <f t="shared" si="5"/>
        <v>78.2</v>
      </c>
      <c r="L47" s="5">
        <v>2</v>
      </c>
      <c r="M47" s="5">
        <f t="shared" si="6"/>
        <v>97.800000000000011</v>
      </c>
      <c r="N47" s="9">
        <f t="shared" si="3"/>
        <v>-2</v>
      </c>
      <c r="O47" s="5">
        <f t="shared" si="9"/>
        <v>50.6</v>
      </c>
      <c r="P47" s="5">
        <v>42</v>
      </c>
      <c r="Q47" s="5">
        <f t="shared" si="10"/>
        <v>0.62283950617283945</v>
      </c>
      <c r="R47" s="10">
        <f t="shared" si="0"/>
        <v>1.2456790123456789</v>
      </c>
      <c r="S47" s="10">
        <f t="shared" si="1"/>
        <v>-1.2456790123456789</v>
      </c>
      <c r="T47" s="10">
        <f t="shared" si="7"/>
        <v>55.731790123456804</v>
      </c>
      <c r="V47" s="5">
        <v>950</v>
      </c>
      <c r="W47" s="5">
        <f t="shared" si="2"/>
        <v>69.34306569343066</v>
      </c>
      <c r="X47" s="5">
        <f t="shared" si="8"/>
        <v>50963.500000000007</v>
      </c>
      <c r="AA47" s="5">
        <v>11.0311249588254</v>
      </c>
    </row>
    <row r="48" spans="1:27" s="5" customFormat="1" x14ac:dyDescent="0.25">
      <c r="A48" s="69"/>
      <c r="B48" s="6"/>
      <c r="C48" s="7">
        <v>41926</v>
      </c>
      <c r="D48" s="5">
        <v>11</v>
      </c>
      <c r="E48" s="5">
        <v>6.6</v>
      </c>
      <c r="F48" s="5">
        <v>17</v>
      </c>
      <c r="G48" s="5">
        <f t="shared" si="4"/>
        <v>667.49999999999989</v>
      </c>
      <c r="J48" s="5">
        <v>0</v>
      </c>
      <c r="K48" s="5">
        <f t="shared" si="5"/>
        <v>78.2</v>
      </c>
      <c r="L48" s="5">
        <v>1.9</v>
      </c>
      <c r="M48" s="5">
        <f t="shared" si="6"/>
        <v>99.700000000000017</v>
      </c>
      <c r="N48" s="9">
        <f t="shared" si="3"/>
        <v>-1.9</v>
      </c>
      <c r="O48" s="5">
        <f t="shared" si="9"/>
        <v>48.7</v>
      </c>
      <c r="P48" s="5">
        <v>43</v>
      </c>
      <c r="Q48" s="5">
        <f t="shared" si="10"/>
        <v>0.6308641975308642</v>
      </c>
      <c r="R48" s="10">
        <f t="shared" si="0"/>
        <v>1.1986419753086419</v>
      </c>
      <c r="S48" s="10">
        <f t="shared" si="1"/>
        <v>-1.1986419753086419</v>
      </c>
      <c r="T48" s="10">
        <f t="shared" si="7"/>
        <v>54.533148148148165</v>
      </c>
      <c r="V48" s="5">
        <v>1080.4000000000001</v>
      </c>
      <c r="W48" s="5">
        <f t="shared" si="2"/>
        <v>98.218181818181833</v>
      </c>
      <c r="X48" s="5">
        <f t="shared" si="8"/>
        <v>52043.900000000009</v>
      </c>
      <c r="AA48" s="5">
        <v>10.973045214943101</v>
      </c>
    </row>
    <row r="49" spans="1:27" s="5" customFormat="1" x14ac:dyDescent="0.25">
      <c r="A49" s="69"/>
      <c r="B49" s="6"/>
      <c r="C49" s="7">
        <v>41927</v>
      </c>
      <c r="D49" s="5">
        <v>13.1</v>
      </c>
      <c r="E49" s="5">
        <v>10</v>
      </c>
      <c r="F49" s="5">
        <v>15.5</v>
      </c>
      <c r="G49" s="5">
        <f t="shared" si="4"/>
        <v>680.59999999999991</v>
      </c>
      <c r="J49" s="5">
        <v>1.6</v>
      </c>
      <c r="K49" s="5">
        <f t="shared" si="5"/>
        <v>79.8</v>
      </c>
      <c r="L49" s="5">
        <v>0.3</v>
      </c>
      <c r="M49" s="5">
        <f t="shared" si="6"/>
        <v>100.00000000000001</v>
      </c>
      <c r="N49" s="5">
        <f t="shared" si="3"/>
        <v>1.3</v>
      </c>
      <c r="O49" s="5">
        <f t="shared" si="9"/>
        <v>50</v>
      </c>
      <c r="P49" s="5">
        <v>44</v>
      </c>
      <c r="Q49" s="5">
        <f t="shared" si="10"/>
        <v>0.63888888888888884</v>
      </c>
      <c r="R49" s="10">
        <f t="shared" si="0"/>
        <v>0.19166666666666665</v>
      </c>
      <c r="S49" s="10">
        <f t="shared" si="1"/>
        <v>1.4083333333333334</v>
      </c>
      <c r="T49" s="10">
        <f t="shared" si="7"/>
        <v>55.941481481481496</v>
      </c>
      <c r="V49" s="14">
        <v>316.8</v>
      </c>
      <c r="W49" s="5">
        <f t="shared" si="2"/>
        <v>24.18320610687023</v>
      </c>
      <c r="X49" s="5">
        <f t="shared" si="8"/>
        <v>52360.700000000012</v>
      </c>
      <c r="AA49" s="5">
        <v>10.9150896066059</v>
      </c>
    </row>
    <row r="50" spans="1:27" s="5" customFormat="1" x14ac:dyDescent="0.25">
      <c r="A50" s="69"/>
      <c r="B50" s="6"/>
      <c r="C50" s="7">
        <v>41928</v>
      </c>
      <c r="D50" s="5">
        <v>15.7</v>
      </c>
      <c r="E50" s="5">
        <v>14.3</v>
      </c>
      <c r="F50" s="5">
        <v>18</v>
      </c>
      <c r="G50" s="5">
        <f t="shared" si="4"/>
        <v>696.3</v>
      </c>
      <c r="J50" s="5">
        <v>9.1999999999999993</v>
      </c>
      <c r="K50" s="5">
        <f t="shared" si="5"/>
        <v>89</v>
      </c>
      <c r="L50" s="5">
        <v>1</v>
      </c>
      <c r="M50" s="5">
        <f t="shared" si="6"/>
        <v>101.00000000000001</v>
      </c>
      <c r="N50" s="5">
        <f t="shared" si="3"/>
        <v>8.1999999999999993</v>
      </c>
      <c r="O50" s="5">
        <f t="shared" si="9"/>
        <v>58.2</v>
      </c>
      <c r="P50" s="5">
        <v>45</v>
      </c>
      <c r="Q50" s="5">
        <f t="shared" si="10"/>
        <v>0.64691358024691348</v>
      </c>
      <c r="R50" s="10">
        <f t="shared" si="0"/>
        <v>0.64691358024691348</v>
      </c>
      <c r="S50" s="10">
        <f t="shared" si="1"/>
        <v>8.553086419753086</v>
      </c>
      <c r="T50" s="10">
        <f t="shared" si="7"/>
        <v>64.494567901234575</v>
      </c>
      <c r="V50" s="14">
        <v>362.5</v>
      </c>
      <c r="W50" s="5">
        <f t="shared" si="2"/>
        <v>23.089171974522294</v>
      </c>
      <c r="X50" s="5">
        <f t="shared" si="8"/>
        <v>52723.200000000012</v>
      </c>
      <c r="AA50" s="5">
        <v>10.857267882198901</v>
      </c>
    </row>
    <row r="51" spans="1:27" s="5" customFormat="1" x14ac:dyDescent="0.25">
      <c r="A51" s="69"/>
      <c r="B51" s="6"/>
      <c r="C51" s="7">
        <v>41929</v>
      </c>
      <c r="D51" s="5">
        <v>14.8</v>
      </c>
      <c r="E51" s="5">
        <v>13.7</v>
      </c>
      <c r="F51" s="5">
        <v>17.399999999999999</v>
      </c>
      <c r="G51" s="5">
        <f t="shared" si="4"/>
        <v>711.09999999999991</v>
      </c>
      <c r="J51" s="5">
        <v>0.3</v>
      </c>
      <c r="K51" s="5">
        <f t="shared" si="5"/>
        <v>89.3</v>
      </c>
      <c r="L51" s="5">
        <v>1.2</v>
      </c>
      <c r="M51" s="5">
        <f t="shared" si="6"/>
        <v>102.20000000000002</v>
      </c>
      <c r="N51" s="9">
        <f t="shared" si="3"/>
        <v>-0.89999999999999991</v>
      </c>
      <c r="O51" s="5">
        <f t="shared" si="9"/>
        <v>57.300000000000004</v>
      </c>
      <c r="P51" s="5">
        <v>46</v>
      </c>
      <c r="Q51" s="5">
        <f t="shared" si="10"/>
        <v>0.65493827160493823</v>
      </c>
      <c r="R51" s="10">
        <f t="shared" si="0"/>
        <v>0.78592592592592581</v>
      </c>
      <c r="S51" s="10">
        <f t="shared" si="1"/>
        <v>-0.48592592592592582</v>
      </c>
      <c r="T51" s="10">
        <f t="shared" si="7"/>
        <v>64.008641975308649</v>
      </c>
      <c r="V51" s="14">
        <v>567.5</v>
      </c>
      <c r="W51" s="5">
        <f t="shared" si="2"/>
        <v>38.344594594594589</v>
      </c>
      <c r="X51" s="5">
        <f t="shared" si="8"/>
        <v>53290.700000000012</v>
      </c>
      <c r="AA51" s="5">
        <v>10.79959019941</v>
      </c>
    </row>
    <row r="52" spans="1:27" s="5" customFormat="1" x14ac:dyDescent="0.25">
      <c r="A52" s="69"/>
      <c r="B52" s="6"/>
      <c r="C52" s="7">
        <v>41930</v>
      </c>
      <c r="D52" s="5">
        <v>17.100000000000001</v>
      </c>
      <c r="E52" s="5">
        <v>12.9</v>
      </c>
      <c r="F52" s="5">
        <v>23.5</v>
      </c>
      <c r="G52" s="5">
        <f t="shared" si="4"/>
        <v>728.19999999999993</v>
      </c>
      <c r="J52" s="5">
        <v>0.1</v>
      </c>
      <c r="K52" s="5">
        <f t="shared" si="5"/>
        <v>89.399999999999991</v>
      </c>
      <c r="L52" s="5">
        <v>2.5</v>
      </c>
      <c r="M52" s="5">
        <f t="shared" si="6"/>
        <v>104.70000000000002</v>
      </c>
      <c r="N52" s="9">
        <f t="shared" si="3"/>
        <v>-2.4</v>
      </c>
      <c r="O52" s="5">
        <f t="shared" si="9"/>
        <v>54.900000000000006</v>
      </c>
      <c r="P52" s="5">
        <v>47</v>
      </c>
      <c r="Q52" s="5">
        <f t="shared" si="10"/>
        <v>0.66296296296296298</v>
      </c>
      <c r="R52" s="10">
        <f t="shared" si="0"/>
        <v>1.6574074074074074</v>
      </c>
      <c r="S52" s="10">
        <f t="shared" si="1"/>
        <v>-1.5574074074074074</v>
      </c>
      <c r="T52" s="10">
        <f t="shared" si="7"/>
        <v>62.451234567901238</v>
      </c>
      <c r="V52" s="5">
        <v>1125.0999999999999</v>
      </c>
      <c r="W52" s="5">
        <f t="shared" si="2"/>
        <v>65.795321637426895</v>
      </c>
      <c r="X52" s="5">
        <f t="shared" si="8"/>
        <v>54415.80000000001</v>
      </c>
      <c r="AA52" s="5">
        <v>10.7420671438404</v>
      </c>
    </row>
    <row r="53" spans="1:27" s="5" customFormat="1" x14ac:dyDescent="0.25">
      <c r="A53" s="69"/>
      <c r="B53" s="6"/>
      <c r="C53" s="7">
        <v>41931</v>
      </c>
      <c r="D53" s="5">
        <v>17.100000000000001</v>
      </c>
      <c r="E53" s="5">
        <v>13.6</v>
      </c>
      <c r="F53" s="5">
        <v>21.4</v>
      </c>
      <c r="G53" s="5">
        <f t="shared" si="4"/>
        <v>745.3</v>
      </c>
      <c r="J53" s="5">
        <v>0</v>
      </c>
      <c r="K53" s="5">
        <f t="shared" si="5"/>
        <v>89.399999999999991</v>
      </c>
      <c r="L53" s="5">
        <v>1.7</v>
      </c>
      <c r="M53" s="5">
        <f t="shared" si="6"/>
        <v>106.40000000000002</v>
      </c>
      <c r="N53" s="9">
        <f t="shared" si="3"/>
        <v>-1.7</v>
      </c>
      <c r="O53" s="5">
        <f t="shared" si="9"/>
        <v>53.2</v>
      </c>
      <c r="P53" s="5">
        <v>48</v>
      </c>
      <c r="Q53" s="5">
        <f t="shared" si="10"/>
        <v>0.67098765432098761</v>
      </c>
      <c r="R53" s="10">
        <f t="shared" si="0"/>
        <v>1.1406790123456789</v>
      </c>
      <c r="S53" s="10">
        <f t="shared" si="1"/>
        <v>-1.1406790123456789</v>
      </c>
      <c r="T53" s="10">
        <f t="shared" si="7"/>
        <v>61.31055555555556</v>
      </c>
      <c r="V53" s="5">
        <v>988.5</v>
      </c>
      <c r="W53" s="5">
        <f t="shared" si="2"/>
        <v>57.807017543859644</v>
      </c>
      <c r="X53" s="5">
        <f t="shared" si="8"/>
        <v>55404.30000000001</v>
      </c>
      <c r="AA53" s="5">
        <v>10.6847097474832</v>
      </c>
    </row>
    <row r="54" spans="1:27" s="5" customFormat="1" x14ac:dyDescent="0.25">
      <c r="A54" s="69"/>
      <c r="B54" s="6"/>
      <c r="C54" s="7">
        <v>41932</v>
      </c>
      <c r="D54" s="5">
        <v>13.7</v>
      </c>
      <c r="E54" s="5">
        <v>12.7</v>
      </c>
      <c r="F54" s="5">
        <v>15.7</v>
      </c>
      <c r="G54" s="5">
        <f t="shared" si="4"/>
        <v>759</v>
      </c>
      <c r="J54" s="5">
        <v>2.9</v>
      </c>
      <c r="K54" s="5">
        <f t="shared" si="5"/>
        <v>92.3</v>
      </c>
      <c r="L54" s="5">
        <v>0.6</v>
      </c>
      <c r="M54" s="5">
        <f t="shared" si="6"/>
        <v>107.00000000000001</v>
      </c>
      <c r="N54" s="5">
        <f t="shared" si="3"/>
        <v>2.2999999999999998</v>
      </c>
      <c r="O54" s="5">
        <f t="shared" si="9"/>
        <v>55.5</v>
      </c>
      <c r="P54" s="5">
        <v>49</v>
      </c>
      <c r="Q54" s="5">
        <f t="shared" si="10"/>
        <v>0.67901234567901236</v>
      </c>
      <c r="R54" s="10">
        <f t="shared" si="0"/>
        <v>0.40740740740740738</v>
      </c>
      <c r="S54" s="10">
        <f t="shared" si="1"/>
        <v>2.4925925925925925</v>
      </c>
      <c r="T54" s="10">
        <f t="shared" si="7"/>
        <v>63.803148148148153</v>
      </c>
      <c r="V54" s="14">
        <v>259.3</v>
      </c>
      <c r="W54" s="5">
        <f t="shared" si="2"/>
        <v>18.927007299270073</v>
      </c>
      <c r="X54" s="5">
        <f t="shared" si="8"/>
        <v>55663.600000000013</v>
      </c>
      <c r="AA54" s="5">
        <v>10.6275295070268</v>
      </c>
    </row>
    <row r="55" spans="1:27" s="5" customFormat="1" x14ac:dyDescent="0.25">
      <c r="A55" s="69"/>
      <c r="B55" s="6"/>
      <c r="C55" s="7">
        <v>41933</v>
      </c>
      <c r="D55" s="5">
        <v>12.1</v>
      </c>
      <c r="E55" s="5">
        <v>10.8</v>
      </c>
      <c r="F55" s="5">
        <v>15.8</v>
      </c>
      <c r="G55" s="5">
        <f t="shared" si="4"/>
        <v>771.1</v>
      </c>
      <c r="J55" s="5">
        <v>1.4</v>
      </c>
      <c r="K55" s="5">
        <f t="shared" si="5"/>
        <v>93.7</v>
      </c>
      <c r="L55" s="5">
        <v>1.3</v>
      </c>
      <c r="M55" s="5">
        <f t="shared" si="6"/>
        <v>108.30000000000001</v>
      </c>
      <c r="N55" s="5">
        <f t="shared" si="3"/>
        <v>9.9999999999999867E-2</v>
      </c>
      <c r="O55" s="5">
        <f t="shared" si="9"/>
        <v>55.6</v>
      </c>
      <c r="P55" s="5">
        <v>50</v>
      </c>
      <c r="Q55" s="5">
        <f t="shared" si="10"/>
        <v>0.687037037037037</v>
      </c>
      <c r="R55" s="10">
        <f t="shared" si="0"/>
        <v>0.89314814814814814</v>
      </c>
      <c r="S55" s="10">
        <f t="shared" si="1"/>
        <v>0.50685185185185178</v>
      </c>
      <c r="T55" s="10">
        <f t="shared" si="7"/>
        <v>64.31</v>
      </c>
      <c r="V55" s="14">
        <v>291.10000000000002</v>
      </c>
      <c r="W55" s="5">
        <f t="shared" si="2"/>
        <v>24.057851239669425</v>
      </c>
      <c r="X55" s="5">
        <f t="shared" si="8"/>
        <v>55954.700000000012</v>
      </c>
      <c r="AA55" s="5">
        <v>10.5705384019286</v>
      </c>
    </row>
    <row r="56" spans="1:27" s="5" customFormat="1" x14ac:dyDescent="0.25">
      <c r="A56" s="69"/>
      <c r="B56" s="6"/>
      <c r="C56" s="7">
        <v>41934</v>
      </c>
      <c r="D56" s="5">
        <v>8.9</v>
      </c>
      <c r="E56" s="5">
        <v>5.6</v>
      </c>
      <c r="F56" s="5">
        <v>12.3</v>
      </c>
      <c r="G56" s="5">
        <f t="shared" si="4"/>
        <v>780</v>
      </c>
      <c r="J56" s="5">
        <v>0</v>
      </c>
      <c r="K56" s="5">
        <f t="shared" si="5"/>
        <v>93.7</v>
      </c>
      <c r="L56" s="5">
        <v>1.4</v>
      </c>
      <c r="M56" s="5">
        <f t="shared" si="6"/>
        <v>109.70000000000002</v>
      </c>
      <c r="N56" s="9">
        <f t="shared" si="3"/>
        <v>-1.4</v>
      </c>
      <c r="O56" s="5">
        <f t="shared" si="9"/>
        <v>54.2</v>
      </c>
      <c r="P56" s="5">
        <v>51</v>
      </c>
      <c r="Q56" s="5">
        <f t="shared" si="10"/>
        <v>0.69506172839506175</v>
      </c>
      <c r="R56" s="10">
        <f t="shared" si="0"/>
        <v>0.97308641975308641</v>
      </c>
      <c r="S56" s="10">
        <f t="shared" si="1"/>
        <v>-0.97308641975308641</v>
      </c>
      <c r="T56" s="10">
        <f t="shared" si="7"/>
        <v>63.336913580246915</v>
      </c>
      <c r="V56" s="5">
        <v>986.6</v>
      </c>
      <c r="W56" s="5">
        <f t="shared" si="2"/>
        <v>110.85393258426966</v>
      </c>
      <c r="X56" s="5">
        <f t="shared" si="8"/>
        <v>56941.30000000001</v>
      </c>
      <c r="AA56" s="5">
        <v>10.513748912202599</v>
      </c>
    </row>
    <row r="57" spans="1:27" s="5" customFormat="1" x14ac:dyDescent="0.25">
      <c r="A57" s="69"/>
      <c r="B57" s="6"/>
      <c r="C57" s="7">
        <v>41935</v>
      </c>
      <c r="D57" s="5">
        <v>11.1</v>
      </c>
      <c r="E57" s="5">
        <v>8.9</v>
      </c>
      <c r="F57" s="5">
        <v>13.4</v>
      </c>
      <c r="G57" s="5">
        <f t="shared" si="4"/>
        <v>791.1</v>
      </c>
      <c r="J57" s="5">
        <v>0</v>
      </c>
      <c r="K57" s="5">
        <f t="shared" si="5"/>
        <v>93.7</v>
      </c>
      <c r="L57" s="5">
        <v>1</v>
      </c>
      <c r="M57" s="5">
        <f t="shared" si="6"/>
        <v>110.70000000000002</v>
      </c>
      <c r="N57" s="9">
        <f t="shared" si="3"/>
        <v>-1</v>
      </c>
      <c r="O57" s="5">
        <f t="shared" si="9"/>
        <v>53.2</v>
      </c>
      <c r="P57" s="5">
        <v>52</v>
      </c>
      <c r="Q57" s="5">
        <f t="shared" si="10"/>
        <v>0.70308641975308639</v>
      </c>
      <c r="R57" s="10">
        <f t="shared" si="0"/>
        <v>0.70308641975308639</v>
      </c>
      <c r="S57" s="10">
        <f t="shared" si="1"/>
        <v>-0.70308641975308639</v>
      </c>
      <c r="T57" s="10">
        <f t="shared" si="7"/>
        <v>62.63382716049383</v>
      </c>
      <c r="V57" s="14">
        <v>390.3</v>
      </c>
      <c r="W57" s="5">
        <f t="shared" si="2"/>
        <v>35.162162162162161</v>
      </c>
      <c r="X57" s="5">
        <f t="shared" si="8"/>
        <v>57331.600000000013</v>
      </c>
      <c r="AA57" s="5">
        <v>10.4571740358559</v>
      </c>
    </row>
    <row r="58" spans="1:27" s="5" customFormat="1" x14ac:dyDescent="0.25">
      <c r="A58" s="69"/>
      <c r="B58" s="6"/>
      <c r="C58" s="7">
        <v>41936</v>
      </c>
      <c r="D58" s="5">
        <v>11.5</v>
      </c>
      <c r="E58" s="5">
        <v>10.5</v>
      </c>
      <c r="F58" s="5">
        <v>14.5</v>
      </c>
      <c r="G58" s="5">
        <f t="shared" si="4"/>
        <v>802.6</v>
      </c>
      <c r="J58" s="5">
        <v>0.2</v>
      </c>
      <c r="K58" s="5">
        <f t="shared" si="5"/>
        <v>93.9</v>
      </c>
      <c r="L58" s="5">
        <v>0.9</v>
      </c>
      <c r="M58" s="5">
        <f t="shared" si="6"/>
        <v>111.60000000000002</v>
      </c>
      <c r="N58" s="9">
        <f t="shared" si="3"/>
        <v>-0.7</v>
      </c>
      <c r="O58" s="5">
        <f t="shared" si="9"/>
        <v>52.5</v>
      </c>
      <c r="P58" s="5">
        <v>53</v>
      </c>
      <c r="Q58" s="5">
        <f t="shared" si="10"/>
        <v>0.71111111111111114</v>
      </c>
      <c r="R58" s="10">
        <f t="shared" si="0"/>
        <v>0.64</v>
      </c>
      <c r="S58" s="10">
        <f t="shared" si="1"/>
        <v>-0.44</v>
      </c>
      <c r="T58" s="10">
        <f t="shared" si="7"/>
        <v>62.193827160493832</v>
      </c>
      <c r="V58" s="14">
        <v>315.60000000000002</v>
      </c>
      <c r="W58" s="5">
        <f t="shared" si="2"/>
        <v>27.443478260869568</v>
      </c>
      <c r="X58" s="5">
        <f t="shared" si="8"/>
        <v>57647.200000000012</v>
      </c>
      <c r="AA58" s="5">
        <v>10.400827305906301</v>
      </c>
    </row>
    <row r="59" spans="1:27" s="5" customFormat="1" x14ac:dyDescent="0.25">
      <c r="A59" s="69"/>
      <c r="B59" s="6"/>
      <c r="C59" s="7">
        <v>41937</v>
      </c>
      <c r="D59" s="5">
        <v>12.2</v>
      </c>
      <c r="E59" s="5">
        <v>8.6</v>
      </c>
      <c r="F59" s="5">
        <v>15.6</v>
      </c>
      <c r="G59" s="5">
        <f t="shared" si="4"/>
        <v>814.80000000000007</v>
      </c>
      <c r="J59" s="5">
        <v>0.2</v>
      </c>
      <c r="K59" s="5">
        <f t="shared" si="5"/>
        <v>94.100000000000009</v>
      </c>
      <c r="L59" s="5">
        <v>0.5</v>
      </c>
      <c r="M59" s="5">
        <f t="shared" si="6"/>
        <v>112.10000000000002</v>
      </c>
      <c r="N59" s="9">
        <f t="shared" si="3"/>
        <v>-0.3</v>
      </c>
      <c r="O59" s="5">
        <f t="shared" si="9"/>
        <v>52.2</v>
      </c>
      <c r="P59" s="5">
        <v>54</v>
      </c>
      <c r="Q59" s="5">
        <f t="shared" si="10"/>
        <v>0.71913580246913578</v>
      </c>
      <c r="R59" s="10">
        <f t="shared" si="0"/>
        <v>0.35956790123456789</v>
      </c>
      <c r="S59" s="10">
        <f t="shared" si="1"/>
        <v>-0.15956790123456788</v>
      </c>
      <c r="T59" s="10">
        <f t="shared" si="7"/>
        <v>62.034259259259265</v>
      </c>
      <c r="V59" s="14">
        <v>269.5</v>
      </c>
      <c r="W59" s="5">
        <f t="shared" si="2"/>
        <v>22.090163934426229</v>
      </c>
      <c r="X59" s="5">
        <f t="shared" si="8"/>
        <v>57916.700000000012</v>
      </c>
      <c r="AA59" s="5">
        <v>10.344722806903601</v>
      </c>
    </row>
    <row r="60" spans="1:27" s="5" customFormat="1" x14ac:dyDescent="0.25">
      <c r="A60" s="69"/>
      <c r="B60" s="6"/>
      <c r="C60" s="7">
        <v>41938</v>
      </c>
      <c r="D60" s="5">
        <v>12.6</v>
      </c>
      <c r="E60" s="5">
        <v>10.199999999999999</v>
      </c>
      <c r="F60" s="5">
        <v>17.100000000000001</v>
      </c>
      <c r="G60" s="5">
        <f t="shared" si="4"/>
        <v>827.40000000000009</v>
      </c>
      <c r="J60" s="5">
        <v>0</v>
      </c>
      <c r="K60" s="5">
        <f t="shared" si="5"/>
        <v>94.100000000000009</v>
      </c>
      <c r="L60" s="5">
        <v>0.9</v>
      </c>
      <c r="M60" s="5">
        <f t="shared" si="6"/>
        <v>113.00000000000003</v>
      </c>
      <c r="N60" s="9">
        <f t="shared" si="3"/>
        <v>-0.9</v>
      </c>
      <c r="O60" s="5">
        <f t="shared" si="9"/>
        <v>51.300000000000004</v>
      </c>
      <c r="P60" s="5">
        <v>55</v>
      </c>
      <c r="Q60" s="5">
        <f t="shared" si="10"/>
        <v>0.72716049382716053</v>
      </c>
      <c r="R60" s="10">
        <f t="shared" si="0"/>
        <v>0.6544444444444445</v>
      </c>
      <c r="S60" s="10">
        <f t="shared" si="1"/>
        <v>-0.6544444444444445</v>
      </c>
      <c r="T60" s="10">
        <f t="shared" si="7"/>
        <v>61.379814814814821</v>
      </c>
      <c r="V60" s="14">
        <v>430.4</v>
      </c>
      <c r="W60" s="5">
        <f t="shared" si="2"/>
        <v>34.158730158730158</v>
      </c>
      <c r="X60" s="5">
        <f t="shared" si="8"/>
        <v>58347.100000000013</v>
      </c>
      <c r="AA60" s="5">
        <v>10.288875190873799</v>
      </c>
    </row>
    <row r="61" spans="1:27" s="5" customFormat="1" x14ac:dyDescent="0.25">
      <c r="A61" s="69"/>
      <c r="B61" s="6"/>
      <c r="C61" s="7">
        <v>41939</v>
      </c>
      <c r="D61" s="5">
        <v>10.7</v>
      </c>
      <c r="E61" s="5">
        <v>7.3</v>
      </c>
      <c r="F61" s="5">
        <v>15.1</v>
      </c>
      <c r="G61" s="5">
        <f t="shared" si="4"/>
        <v>838.10000000000014</v>
      </c>
      <c r="J61" s="5">
        <v>0</v>
      </c>
      <c r="K61" s="5">
        <f t="shared" si="5"/>
        <v>94.100000000000009</v>
      </c>
      <c r="L61" s="5">
        <v>1</v>
      </c>
      <c r="M61" s="5">
        <f t="shared" si="6"/>
        <v>114.00000000000003</v>
      </c>
      <c r="N61" s="9">
        <f t="shared" si="3"/>
        <v>-1</v>
      </c>
      <c r="O61" s="5">
        <f t="shared" si="9"/>
        <v>50.300000000000004</v>
      </c>
      <c r="P61" s="5">
        <v>56</v>
      </c>
      <c r="Q61" s="5">
        <f t="shared" si="10"/>
        <v>0.73518518518518516</v>
      </c>
      <c r="R61" s="10">
        <f t="shared" si="0"/>
        <v>0.73518518518518516</v>
      </c>
      <c r="S61" s="10">
        <f t="shared" si="1"/>
        <v>-0.73518518518518516</v>
      </c>
      <c r="T61" s="10">
        <f t="shared" si="7"/>
        <v>60.644629629629634</v>
      </c>
      <c r="V61" s="14">
        <v>639.9</v>
      </c>
      <c r="W61" s="5">
        <f t="shared" si="2"/>
        <v>59.803738317757009</v>
      </c>
      <c r="X61" s="5">
        <f t="shared" si="8"/>
        <v>58987.000000000015</v>
      </c>
      <c r="AA61" s="5">
        <v>10.2332996925957</v>
      </c>
    </row>
    <row r="62" spans="1:27" s="5" customFormat="1" x14ac:dyDescent="0.25">
      <c r="A62" s="69"/>
      <c r="B62" s="6"/>
      <c r="C62" s="7">
        <v>41940</v>
      </c>
      <c r="D62" s="5">
        <v>9.1</v>
      </c>
      <c r="E62" s="5">
        <v>7.4</v>
      </c>
      <c r="F62" s="5">
        <v>10.6</v>
      </c>
      <c r="G62" s="5">
        <f t="shared" si="4"/>
        <v>847.20000000000016</v>
      </c>
      <c r="J62" s="5">
        <v>0.1</v>
      </c>
      <c r="K62" s="5">
        <f t="shared" si="5"/>
        <v>94.2</v>
      </c>
      <c r="L62" s="5">
        <v>0.4</v>
      </c>
      <c r="M62" s="5">
        <f t="shared" si="6"/>
        <v>114.40000000000003</v>
      </c>
      <c r="N62" s="9">
        <f t="shared" si="3"/>
        <v>-0.30000000000000004</v>
      </c>
      <c r="O62" s="5">
        <f t="shared" si="9"/>
        <v>50.000000000000007</v>
      </c>
      <c r="P62" s="5">
        <v>57</v>
      </c>
      <c r="Q62" s="5">
        <f t="shared" si="10"/>
        <v>0.7432098765432098</v>
      </c>
      <c r="R62" s="10">
        <f t="shared" si="0"/>
        <v>0.29728395061728391</v>
      </c>
      <c r="S62" s="10">
        <f t="shared" si="1"/>
        <v>-0.1972839506172839</v>
      </c>
      <c r="T62" s="10">
        <f t="shared" si="7"/>
        <v>60.447345679012351</v>
      </c>
      <c r="V62" s="14">
        <v>284.7</v>
      </c>
      <c r="W62" s="5">
        <f t="shared" si="2"/>
        <v>31.285714285714285</v>
      </c>
      <c r="X62" s="5">
        <f t="shared" si="8"/>
        <v>59271.700000000012</v>
      </c>
      <c r="AA62" s="5">
        <v>10.1780121441157</v>
      </c>
    </row>
    <row r="63" spans="1:27" s="5" customFormat="1" x14ac:dyDescent="0.25">
      <c r="A63" s="69"/>
      <c r="B63" s="6"/>
      <c r="C63" s="7">
        <v>41941</v>
      </c>
      <c r="D63" s="5">
        <v>10.7</v>
      </c>
      <c r="E63" s="5">
        <v>7.3</v>
      </c>
      <c r="F63" s="5">
        <v>12.8</v>
      </c>
      <c r="G63" s="5">
        <f t="shared" si="4"/>
        <v>857.9000000000002</v>
      </c>
      <c r="J63" s="5">
        <v>0</v>
      </c>
      <c r="K63" s="5">
        <f t="shared" si="5"/>
        <v>94.2</v>
      </c>
      <c r="L63" s="5">
        <v>0.7</v>
      </c>
      <c r="M63" s="5">
        <f t="shared" si="6"/>
        <v>115.10000000000004</v>
      </c>
      <c r="N63" s="9">
        <f t="shared" si="3"/>
        <v>-0.7</v>
      </c>
      <c r="O63" s="5">
        <f t="shared" si="9"/>
        <v>49.300000000000004</v>
      </c>
      <c r="P63" s="5">
        <v>58</v>
      </c>
      <c r="Q63" s="5">
        <f t="shared" si="10"/>
        <v>0.75123456790123455</v>
      </c>
      <c r="R63" s="10">
        <f t="shared" si="0"/>
        <v>0.52586419753086411</v>
      </c>
      <c r="S63" s="10">
        <f t="shared" si="1"/>
        <v>-0.52586419753086411</v>
      </c>
      <c r="T63" s="10">
        <f t="shared" si="7"/>
        <v>59.921481481481486</v>
      </c>
      <c r="V63" s="14">
        <v>580.4</v>
      </c>
      <c r="W63" s="5">
        <f t="shared" si="2"/>
        <v>54.242990654205606</v>
      </c>
      <c r="X63" s="5">
        <f t="shared" si="8"/>
        <v>59852.100000000013</v>
      </c>
      <c r="AA63" s="5">
        <v>10.1230289883966</v>
      </c>
    </row>
    <row r="64" spans="1:27" s="5" customFormat="1" x14ac:dyDescent="0.25">
      <c r="A64" s="69"/>
      <c r="B64" s="6"/>
      <c r="C64" s="7">
        <v>41942</v>
      </c>
      <c r="D64" s="5">
        <v>13.6</v>
      </c>
      <c r="E64" s="5">
        <v>8.9</v>
      </c>
      <c r="F64" s="5">
        <v>18.7</v>
      </c>
      <c r="G64" s="5">
        <f t="shared" si="4"/>
        <v>871.50000000000023</v>
      </c>
      <c r="J64" s="5">
        <v>0</v>
      </c>
      <c r="K64" s="5">
        <f t="shared" si="5"/>
        <v>94.2</v>
      </c>
      <c r="L64" s="5">
        <v>1.1000000000000001</v>
      </c>
      <c r="M64" s="5">
        <f t="shared" si="6"/>
        <v>116.20000000000003</v>
      </c>
      <c r="N64" s="9">
        <f t="shared" si="3"/>
        <v>-1.1000000000000001</v>
      </c>
      <c r="O64" s="5">
        <f t="shared" si="9"/>
        <v>48.2</v>
      </c>
      <c r="P64" s="5">
        <v>59</v>
      </c>
      <c r="Q64" s="5">
        <f t="shared" si="10"/>
        <v>0.7592592592592593</v>
      </c>
      <c r="R64" s="10">
        <f t="shared" si="0"/>
        <v>0.83518518518518525</v>
      </c>
      <c r="S64" s="10">
        <f t="shared" si="1"/>
        <v>-0.83518518518518525</v>
      </c>
      <c r="T64" s="10">
        <f t="shared" si="7"/>
        <v>59.086296296296304</v>
      </c>
      <c r="V64" s="14">
        <v>434.9</v>
      </c>
      <c r="W64" s="5">
        <f t="shared" si="2"/>
        <v>31.977941176470587</v>
      </c>
      <c r="X64" s="5">
        <f t="shared" si="8"/>
        <v>60287.000000000015</v>
      </c>
      <c r="AA64" s="5">
        <v>10.0683672919924</v>
      </c>
    </row>
    <row r="65" spans="1:27" s="5" customFormat="1" x14ac:dyDescent="0.25">
      <c r="A65" s="69"/>
      <c r="B65" s="6"/>
      <c r="C65" s="7">
        <v>41943</v>
      </c>
      <c r="D65" s="5">
        <v>14.7</v>
      </c>
      <c r="E65" s="5">
        <v>11.8</v>
      </c>
      <c r="F65" s="5">
        <v>20</v>
      </c>
      <c r="G65" s="5">
        <f t="shared" si="4"/>
        <v>886.20000000000027</v>
      </c>
      <c r="J65" s="5">
        <v>0</v>
      </c>
      <c r="K65" s="5">
        <f t="shared" si="5"/>
        <v>94.2</v>
      </c>
      <c r="L65" s="5">
        <v>1.6</v>
      </c>
      <c r="M65" s="5">
        <f t="shared" si="6"/>
        <v>117.80000000000003</v>
      </c>
      <c r="N65" s="9">
        <f t="shared" si="3"/>
        <v>-1.6</v>
      </c>
      <c r="O65" s="5">
        <f t="shared" si="9"/>
        <v>46.6</v>
      </c>
      <c r="P65" s="5">
        <v>60</v>
      </c>
      <c r="Q65" s="5">
        <f t="shared" si="10"/>
        <v>0.76728395061728394</v>
      </c>
      <c r="R65" s="10">
        <f t="shared" si="0"/>
        <v>1.2276543209876545</v>
      </c>
      <c r="S65" s="10">
        <f t="shared" si="1"/>
        <v>-1.2276543209876545</v>
      </c>
      <c r="T65" s="10">
        <f t="shared" si="7"/>
        <v>57.85864197530865</v>
      </c>
      <c r="V65" s="14">
        <v>651.1</v>
      </c>
      <c r="W65" s="5">
        <f t="shared" si="2"/>
        <v>44.292517006802726</v>
      </c>
      <c r="X65" s="5">
        <f t="shared" si="8"/>
        <v>60938.100000000013</v>
      </c>
      <c r="AA65" s="5">
        <v>10.014044756631</v>
      </c>
    </row>
    <row r="66" spans="1:27" s="5" customFormat="1" x14ac:dyDescent="0.25">
      <c r="A66" s="69"/>
      <c r="B66" s="6"/>
      <c r="C66" s="7">
        <v>41944</v>
      </c>
      <c r="D66" s="5">
        <v>14.1</v>
      </c>
      <c r="E66" s="5">
        <v>9.4</v>
      </c>
      <c r="F66" s="5">
        <v>19.600000000000001</v>
      </c>
      <c r="G66" s="5">
        <f t="shared" si="4"/>
        <v>900.3000000000003</v>
      </c>
      <c r="J66" s="5">
        <v>0</v>
      </c>
      <c r="K66" s="5">
        <f t="shared" si="5"/>
        <v>94.2</v>
      </c>
      <c r="L66" s="5">
        <v>1.7</v>
      </c>
      <c r="M66" s="5">
        <f t="shared" si="6"/>
        <v>119.50000000000003</v>
      </c>
      <c r="N66" s="9">
        <f t="shared" si="3"/>
        <v>-1.7</v>
      </c>
      <c r="O66" s="5">
        <f t="shared" si="9"/>
        <v>44.9</v>
      </c>
      <c r="P66" s="5">
        <v>61</v>
      </c>
      <c r="Q66" s="5">
        <f t="shared" si="10"/>
        <v>0.77530864197530858</v>
      </c>
      <c r="R66" s="10">
        <f t="shared" si="0"/>
        <v>1.3180246913580245</v>
      </c>
      <c r="S66" s="10">
        <f t="shared" si="1"/>
        <v>-1.3180246913580245</v>
      </c>
      <c r="T66" s="10">
        <f t="shared" si="7"/>
        <v>56.540617283950624</v>
      </c>
      <c r="V66" s="14">
        <v>898.2</v>
      </c>
      <c r="W66" s="5">
        <f t="shared" si="2"/>
        <v>63.702127659574472</v>
      </c>
      <c r="X66" s="5">
        <f t="shared" si="8"/>
        <v>61836.30000000001</v>
      </c>
      <c r="AA66" s="5">
        <v>9.9600797295821906</v>
      </c>
    </row>
    <row r="67" spans="1:27" s="5" customFormat="1" x14ac:dyDescent="0.25">
      <c r="A67" s="69"/>
      <c r="B67" s="6"/>
      <c r="C67" s="7">
        <v>41945</v>
      </c>
      <c r="D67" s="5">
        <v>14.6</v>
      </c>
      <c r="E67" s="5">
        <v>12.7</v>
      </c>
      <c r="F67" s="5">
        <v>17</v>
      </c>
      <c r="G67" s="5">
        <f t="shared" si="4"/>
        <v>914.90000000000032</v>
      </c>
      <c r="J67" s="5">
        <v>1.6</v>
      </c>
      <c r="K67" s="5">
        <f t="shared" si="5"/>
        <v>95.8</v>
      </c>
      <c r="L67" s="5">
        <v>0.9</v>
      </c>
      <c r="M67" s="5">
        <f t="shared" si="6"/>
        <v>120.40000000000003</v>
      </c>
      <c r="N67" s="5">
        <f t="shared" si="3"/>
        <v>0.70000000000000007</v>
      </c>
      <c r="O67" s="5">
        <f t="shared" si="9"/>
        <v>45.6</v>
      </c>
      <c r="P67" s="5">
        <v>62</v>
      </c>
      <c r="Q67" s="5">
        <f t="shared" si="10"/>
        <v>0.78333333333333333</v>
      </c>
      <c r="R67" s="10">
        <f t="shared" si="0"/>
        <v>0.70499999999999996</v>
      </c>
      <c r="S67" s="10">
        <f t="shared" si="1"/>
        <v>0.89500000000000013</v>
      </c>
      <c r="T67" s="10">
        <f t="shared" si="7"/>
        <v>57.435617283950627</v>
      </c>
      <c r="V67" s="14">
        <v>318.89999999999998</v>
      </c>
      <c r="W67" s="5">
        <f t="shared" si="2"/>
        <v>21.842465753424655</v>
      </c>
      <c r="X67" s="5">
        <f t="shared" si="8"/>
        <v>62155.200000000012</v>
      </c>
      <c r="AA67" s="5">
        <v>9.9064912126807894</v>
      </c>
    </row>
    <row r="68" spans="1:27" s="5" customFormat="1" x14ac:dyDescent="0.25">
      <c r="A68" s="69"/>
      <c r="B68" s="6"/>
      <c r="C68" s="7">
        <v>41946</v>
      </c>
      <c r="D68" s="5">
        <v>13</v>
      </c>
      <c r="E68" s="5">
        <v>12.8</v>
      </c>
      <c r="F68" s="5">
        <v>15.2</v>
      </c>
      <c r="G68" s="5">
        <f t="shared" si="4"/>
        <v>927.90000000000032</v>
      </c>
      <c r="J68" s="5">
        <v>8.8000000000000007</v>
      </c>
      <c r="K68" s="5">
        <f t="shared" si="5"/>
        <v>104.6</v>
      </c>
      <c r="L68" s="5">
        <v>1.7</v>
      </c>
      <c r="M68" s="5">
        <f t="shared" si="6"/>
        <v>122.10000000000004</v>
      </c>
      <c r="N68" s="5">
        <f t="shared" si="3"/>
        <v>7.1000000000000005</v>
      </c>
      <c r="O68" s="5">
        <f t="shared" si="9"/>
        <v>52.7</v>
      </c>
      <c r="P68" s="5">
        <v>63</v>
      </c>
      <c r="Q68" s="5">
        <f t="shared" si="10"/>
        <v>0.79135802469135808</v>
      </c>
      <c r="R68" s="10">
        <f t="shared" si="0"/>
        <v>1.3453086419753086</v>
      </c>
      <c r="S68" s="10">
        <f t="shared" si="1"/>
        <v>7.4546913580246921</v>
      </c>
      <c r="T68" s="10">
        <f t="shared" si="7"/>
        <v>64.890308641975324</v>
      </c>
      <c r="V68" s="14">
        <v>709.4</v>
      </c>
      <c r="W68" s="5">
        <f t="shared" si="2"/>
        <v>54.569230769230771</v>
      </c>
      <c r="X68" s="5">
        <f t="shared" si="8"/>
        <v>62864.600000000013</v>
      </c>
      <c r="AA68" s="5">
        <v>9.8532988698669008</v>
      </c>
    </row>
    <row r="69" spans="1:27" s="5" customFormat="1" x14ac:dyDescent="0.25">
      <c r="A69" s="69"/>
      <c r="B69" s="6"/>
      <c r="C69" s="7">
        <v>41947</v>
      </c>
      <c r="D69" s="5">
        <v>8.6999999999999993</v>
      </c>
      <c r="E69" s="5">
        <v>8.5</v>
      </c>
      <c r="F69" s="5">
        <v>10.1</v>
      </c>
      <c r="G69" s="5">
        <f t="shared" si="4"/>
        <v>936.60000000000036</v>
      </c>
      <c r="J69" s="5">
        <v>0</v>
      </c>
      <c r="K69" s="5">
        <f t="shared" si="5"/>
        <v>104.6</v>
      </c>
      <c r="L69" s="5">
        <v>0.5</v>
      </c>
      <c r="M69" s="5">
        <f t="shared" si="6"/>
        <v>122.60000000000004</v>
      </c>
      <c r="N69" s="9">
        <f t="shared" si="3"/>
        <v>-0.5</v>
      </c>
      <c r="O69" s="5">
        <f t="shared" si="9"/>
        <v>52.2</v>
      </c>
      <c r="P69" s="5">
        <v>64</v>
      </c>
      <c r="Q69" s="5">
        <f t="shared" si="10"/>
        <v>0.79938271604938271</v>
      </c>
      <c r="R69" s="10">
        <f t="shared" si="0"/>
        <v>0.39969135802469136</v>
      </c>
      <c r="S69" s="10">
        <f t="shared" si="1"/>
        <v>-0.39969135802469136</v>
      </c>
      <c r="T69" s="10">
        <f t="shared" si="7"/>
        <v>64.490617283950627</v>
      </c>
      <c r="V69" s="14">
        <v>401.7</v>
      </c>
      <c r="W69" s="5">
        <f t="shared" si="2"/>
        <v>46.172413793103452</v>
      </c>
      <c r="X69" s="5">
        <f t="shared" si="8"/>
        <v>63266.30000000001</v>
      </c>
      <c r="AA69" s="5">
        <v>9.8005230331015003</v>
      </c>
    </row>
    <row r="70" spans="1:27" s="5" customFormat="1" x14ac:dyDescent="0.25">
      <c r="A70" s="69"/>
      <c r="B70" s="6"/>
      <c r="C70" s="7">
        <v>41948</v>
      </c>
      <c r="D70" s="5">
        <v>6.6</v>
      </c>
      <c r="E70" s="15">
        <v>3.1</v>
      </c>
      <c r="F70" s="5">
        <v>10.6</v>
      </c>
      <c r="G70" s="5">
        <f t="shared" si="4"/>
        <v>943.20000000000039</v>
      </c>
      <c r="J70" s="5">
        <v>0.1</v>
      </c>
      <c r="K70" s="5">
        <f t="shared" si="5"/>
        <v>104.69999999999999</v>
      </c>
      <c r="L70" s="5">
        <v>0.8</v>
      </c>
      <c r="M70" s="5">
        <f t="shared" si="6"/>
        <v>123.40000000000003</v>
      </c>
      <c r="N70" s="9">
        <f t="shared" si="3"/>
        <v>-0.70000000000000007</v>
      </c>
      <c r="O70" s="5">
        <f t="shared" si="9"/>
        <v>51.5</v>
      </c>
      <c r="P70" s="5">
        <v>65</v>
      </c>
      <c r="Q70" s="5">
        <f t="shared" si="10"/>
        <v>0.80740740740740735</v>
      </c>
      <c r="R70" s="10">
        <f t="shared" ref="R70:R133" si="11">Q70*L70</f>
        <v>0.6459259259259259</v>
      </c>
      <c r="S70" s="10">
        <f t="shared" ref="S70:S133" si="12">J70-R70</f>
        <v>-0.54592592592592593</v>
      </c>
      <c r="T70" s="10">
        <f t="shared" si="7"/>
        <v>63.944691358024699</v>
      </c>
      <c r="V70" s="14">
        <v>648.79999999999995</v>
      </c>
      <c r="W70" s="5">
        <f t="shared" ref="W70:W133" si="13">V70/D70</f>
        <v>98.303030303030297</v>
      </c>
      <c r="X70" s="5">
        <f t="shared" si="8"/>
        <v>63915.100000000013</v>
      </c>
      <c r="AA70" s="5">
        <v>9.7481847065074803</v>
      </c>
    </row>
    <row r="71" spans="1:27" s="5" customFormat="1" x14ac:dyDescent="0.25">
      <c r="A71" s="69"/>
      <c r="B71" s="6"/>
      <c r="C71" s="7">
        <v>41949</v>
      </c>
      <c r="D71" s="5">
        <v>7</v>
      </c>
      <c r="E71" s="15">
        <v>3.5</v>
      </c>
      <c r="F71" s="5">
        <v>11.8</v>
      </c>
      <c r="G71" s="5">
        <f t="shared" si="4"/>
        <v>950.20000000000039</v>
      </c>
      <c r="J71" s="5">
        <v>0.1</v>
      </c>
      <c r="K71" s="5">
        <f t="shared" si="5"/>
        <v>104.79999999999998</v>
      </c>
      <c r="L71" s="5">
        <v>1.2</v>
      </c>
      <c r="M71" s="5">
        <f t="shared" si="6"/>
        <v>124.60000000000004</v>
      </c>
      <c r="N71" s="9">
        <f t="shared" ref="N71:N134" si="14">J71-L71</f>
        <v>-1.0999999999999999</v>
      </c>
      <c r="O71" s="5">
        <f t="shared" si="9"/>
        <v>50.4</v>
      </c>
      <c r="P71" s="5">
        <v>66</v>
      </c>
      <c r="Q71" s="5">
        <f t="shared" si="10"/>
        <v>0.81543209876543199</v>
      </c>
      <c r="R71" s="10">
        <f t="shared" si="11"/>
        <v>0.97851851851851834</v>
      </c>
      <c r="S71" s="10">
        <f t="shared" si="12"/>
        <v>-0.87851851851851837</v>
      </c>
      <c r="T71" s="10">
        <f t="shared" si="7"/>
        <v>63.06617283950618</v>
      </c>
      <c r="V71" s="14">
        <v>869.7</v>
      </c>
      <c r="W71" s="5">
        <f t="shared" si="13"/>
        <v>124.24285714285715</v>
      </c>
      <c r="X71" s="5">
        <f t="shared" si="8"/>
        <v>64784.80000000001</v>
      </c>
      <c r="AA71" s="5">
        <v>9.6963055685822894</v>
      </c>
    </row>
    <row r="72" spans="1:27" s="5" customFormat="1" x14ac:dyDescent="0.25">
      <c r="A72" s="69"/>
      <c r="B72" s="6"/>
      <c r="C72" s="7">
        <v>41950</v>
      </c>
      <c r="D72" s="5">
        <v>9.9</v>
      </c>
      <c r="E72" s="5">
        <v>6.6</v>
      </c>
      <c r="F72" s="5">
        <v>12.3</v>
      </c>
      <c r="G72" s="5">
        <f t="shared" ref="G72:G135" si="15">G71+D72</f>
        <v>960.10000000000036</v>
      </c>
      <c r="J72" s="5">
        <v>4.9000000000000004</v>
      </c>
      <c r="K72" s="5">
        <f t="shared" ref="K72:K135" si="16">K71+J72</f>
        <v>109.69999999999999</v>
      </c>
      <c r="L72" s="5">
        <v>1</v>
      </c>
      <c r="M72" s="5">
        <f t="shared" ref="M72:M135" si="17">M71+L72</f>
        <v>125.60000000000004</v>
      </c>
      <c r="N72" s="5">
        <f t="shared" si="14"/>
        <v>3.9000000000000004</v>
      </c>
      <c r="O72" s="5">
        <f t="shared" si="9"/>
        <v>54.3</v>
      </c>
      <c r="P72" s="5">
        <v>67</v>
      </c>
      <c r="Q72" s="5">
        <f t="shared" si="10"/>
        <v>0.82345679012345685</v>
      </c>
      <c r="R72" s="10">
        <f t="shared" si="11"/>
        <v>0.82345679012345685</v>
      </c>
      <c r="S72" s="10">
        <f t="shared" si="12"/>
        <v>4.0765432098765437</v>
      </c>
      <c r="T72" s="10">
        <f t="shared" ref="T72:T135" si="18">MIN(197.4,(T71+S72))</f>
        <v>67.142716049382727</v>
      </c>
      <c r="V72" s="14">
        <v>650.70000000000005</v>
      </c>
      <c r="W72" s="5">
        <f t="shared" si="13"/>
        <v>65.727272727272734</v>
      </c>
      <c r="X72" s="5">
        <f t="shared" ref="X72:X135" si="19">X71+V72</f>
        <v>65435.500000000007</v>
      </c>
      <c r="AA72" s="5">
        <v>9.6449079723229403</v>
      </c>
    </row>
    <row r="73" spans="1:27" s="5" customFormat="1" x14ac:dyDescent="0.25">
      <c r="A73" s="69"/>
      <c r="B73" s="6"/>
      <c r="C73" s="7">
        <v>41951</v>
      </c>
      <c r="D73" s="5">
        <v>10.4</v>
      </c>
      <c r="E73" s="5">
        <v>6.5</v>
      </c>
      <c r="F73" s="5">
        <v>14.1</v>
      </c>
      <c r="G73" s="5">
        <f t="shared" si="15"/>
        <v>970.50000000000034</v>
      </c>
      <c r="J73" s="5">
        <v>0.3</v>
      </c>
      <c r="K73" s="5">
        <f t="shared" si="16"/>
        <v>109.99999999999999</v>
      </c>
      <c r="L73" s="5">
        <v>0.8</v>
      </c>
      <c r="M73" s="5">
        <f t="shared" si="17"/>
        <v>126.40000000000003</v>
      </c>
      <c r="N73" s="9">
        <f t="shared" si="14"/>
        <v>-0.5</v>
      </c>
      <c r="O73" s="5">
        <f t="shared" ref="O73:O136" si="20">O72+N73</f>
        <v>53.8</v>
      </c>
      <c r="P73" s="5">
        <v>68</v>
      </c>
      <c r="Q73" s="5">
        <f t="shared" si="10"/>
        <v>0.83148148148148149</v>
      </c>
      <c r="R73" s="10">
        <f t="shared" si="11"/>
        <v>0.66518518518518521</v>
      </c>
      <c r="S73" s="10">
        <f t="shared" si="12"/>
        <v>-0.36518518518518522</v>
      </c>
      <c r="T73" s="10">
        <f t="shared" si="18"/>
        <v>66.777530864197544</v>
      </c>
      <c r="V73" s="14">
        <v>566.5</v>
      </c>
      <c r="W73" s="5">
        <f t="shared" si="13"/>
        <v>54.471153846153847</v>
      </c>
      <c r="X73" s="5">
        <f t="shared" si="19"/>
        <v>66002</v>
      </c>
      <c r="AA73" s="5">
        <v>9.5940149431005608</v>
      </c>
    </row>
    <row r="74" spans="1:27" s="5" customFormat="1" x14ac:dyDescent="0.25">
      <c r="A74" s="69"/>
      <c r="B74" s="6"/>
      <c r="C74" s="7">
        <v>41952</v>
      </c>
      <c r="D74" s="5">
        <v>9.8000000000000007</v>
      </c>
      <c r="E74" s="5">
        <v>8.1</v>
      </c>
      <c r="F74" s="5">
        <v>12.1</v>
      </c>
      <c r="G74" s="5">
        <f t="shared" si="15"/>
        <v>980.3000000000003</v>
      </c>
      <c r="J74" s="5">
        <v>0</v>
      </c>
      <c r="K74" s="5">
        <f t="shared" si="16"/>
        <v>109.99999999999999</v>
      </c>
      <c r="L74" s="5">
        <v>0.7</v>
      </c>
      <c r="M74" s="5">
        <f t="shared" si="17"/>
        <v>127.10000000000004</v>
      </c>
      <c r="N74" s="9">
        <f t="shared" si="14"/>
        <v>-0.7</v>
      </c>
      <c r="O74" s="5">
        <f t="shared" si="20"/>
        <v>53.099999999999994</v>
      </c>
      <c r="P74" s="5">
        <v>69</v>
      </c>
      <c r="Q74" s="5">
        <f t="shared" si="10"/>
        <v>0.83950617283950613</v>
      </c>
      <c r="R74" s="10">
        <f t="shared" si="11"/>
        <v>0.58765432098765424</v>
      </c>
      <c r="S74" s="10">
        <f t="shared" si="12"/>
        <v>-0.58765432098765424</v>
      </c>
      <c r="T74" s="10">
        <f t="shared" si="18"/>
        <v>66.189876543209891</v>
      </c>
      <c r="V74" s="14">
        <v>481.5</v>
      </c>
      <c r="W74" s="5">
        <f t="shared" si="13"/>
        <v>49.132653061224488</v>
      </c>
      <c r="X74" s="5">
        <f t="shared" si="19"/>
        <v>66483.5</v>
      </c>
      <c r="AA74" s="5">
        <v>9.5436501741186905</v>
      </c>
    </row>
    <row r="75" spans="1:27" s="5" customFormat="1" x14ac:dyDescent="0.25">
      <c r="A75" s="69"/>
      <c r="B75" s="6"/>
      <c r="C75" s="7">
        <v>41953</v>
      </c>
      <c r="D75" s="5">
        <v>7.9</v>
      </c>
      <c r="E75" s="5">
        <v>5.9</v>
      </c>
      <c r="F75" s="5">
        <v>10.7</v>
      </c>
      <c r="G75" s="5">
        <f t="shared" si="15"/>
        <v>988.20000000000027</v>
      </c>
      <c r="J75" s="5">
        <v>0</v>
      </c>
      <c r="K75" s="5">
        <f t="shared" si="16"/>
        <v>109.99999999999999</v>
      </c>
      <c r="L75" s="5">
        <v>0.7</v>
      </c>
      <c r="M75" s="5">
        <f t="shared" si="17"/>
        <v>127.80000000000004</v>
      </c>
      <c r="N75" s="9">
        <f t="shared" si="14"/>
        <v>-0.7</v>
      </c>
      <c r="O75" s="5">
        <f t="shared" si="20"/>
        <v>52.399999999999991</v>
      </c>
      <c r="P75" s="5">
        <v>70</v>
      </c>
      <c r="Q75" s="5">
        <f t="shared" si="10"/>
        <v>0.84753086419753076</v>
      </c>
      <c r="R75" s="10">
        <f t="shared" si="11"/>
        <v>0.59327160493827147</v>
      </c>
      <c r="S75" s="10">
        <f t="shared" si="12"/>
        <v>-0.59327160493827147</v>
      </c>
      <c r="T75" s="10">
        <f t="shared" si="18"/>
        <v>65.596604938271625</v>
      </c>
      <c r="V75" s="14">
        <v>357.2</v>
      </c>
      <c r="W75" s="5">
        <f t="shared" si="13"/>
        <v>45.215189873417721</v>
      </c>
      <c r="X75" s="5">
        <f t="shared" si="19"/>
        <v>66840.7</v>
      </c>
      <c r="AA75" s="5">
        <v>9.49383801928761</v>
      </c>
    </row>
    <row r="76" spans="1:27" s="5" customFormat="1" x14ac:dyDescent="0.25">
      <c r="A76" s="69"/>
      <c r="B76" s="6"/>
      <c r="C76" s="7">
        <v>41954</v>
      </c>
      <c r="D76" s="5">
        <v>10.1</v>
      </c>
      <c r="E76" s="5">
        <v>5.3</v>
      </c>
      <c r="F76" s="5">
        <v>15.3</v>
      </c>
      <c r="G76" s="5">
        <f t="shared" si="15"/>
        <v>998.3000000000003</v>
      </c>
      <c r="J76" s="5">
        <v>2.4</v>
      </c>
      <c r="K76" s="5">
        <f t="shared" si="16"/>
        <v>112.39999999999999</v>
      </c>
      <c r="L76" s="5">
        <v>1.2</v>
      </c>
      <c r="M76" s="5">
        <f t="shared" si="17"/>
        <v>129.00000000000003</v>
      </c>
      <c r="N76" s="5">
        <f t="shared" si="14"/>
        <v>1.2</v>
      </c>
      <c r="O76" s="5">
        <f t="shared" si="20"/>
        <v>53.599999999999994</v>
      </c>
      <c r="P76" s="5">
        <v>71</v>
      </c>
      <c r="Q76" s="5">
        <f t="shared" si="10"/>
        <v>0.85555555555555551</v>
      </c>
      <c r="R76" s="10">
        <f t="shared" si="11"/>
        <v>1.0266666666666666</v>
      </c>
      <c r="S76" s="10">
        <f t="shared" si="12"/>
        <v>1.3733333333333333</v>
      </c>
      <c r="T76" s="10">
        <f t="shared" si="18"/>
        <v>66.96993827160496</v>
      </c>
      <c r="V76" s="14">
        <v>660.4</v>
      </c>
      <c r="W76" s="5">
        <f t="shared" si="13"/>
        <v>65.386138613861391</v>
      </c>
      <c r="X76" s="5">
        <f t="shared" si="19"/>
        <v>67501.099999999991</v>
      </c>
      <c r="AA76" s="5">
        <v>9.4446034833460892</v>
      </c>
    </row>
    <row r="77" spans="1:27" s="5" customFormat="1" x14ac:dyDescent="0.25">
      <c r="A77" s="69"/>
      <c r="B77" s="6"/>
      <c r="C77" s="7">
        <v>41955</v>
      </c>
      <c r="D77" s="5">
        <v>9.9</v>
      </c>
      <c r="E77" s="5">
        <v>8.1</v>
      </c>
      <c r="F77" s="5">
        <v>13.2</v>
      </c>
      <c r="G77" s="5">
        <f t="shared" si="15"/>
        <v>1008.2000000000003</v>
      </c>
      <c r="J77" s="5">
        <v>0</v>
      </c>
      <c r="K77" s="5">
        <f t="shared" si="16"/>
        <v>112.39999999999999</v>
      </c>
      <c r="L77" s="5">
        <v>1</v>
      </c>
      <c r="M77" s="5">
        <f t="shared" si="17"/>
        <v>130.00000000000003</v>
      </c>
      <c r="N77" s="9">
        <f t="shared" si="14"/>
        <v>-1</v>
      </c>
      <c r="O77" s="5">
        <f t="shared" si="20"/>
        <v>52.599999999999994</v>
      </c>
      <c r="P77" s="5">
        <v>72</v>
      </c>
      <c r="Q77" s="5">
        <f t="shared" si="10"/>
        <v>0.86358024691358026</v>
      </c>
      <c r="R77" s="10">
        <f t="shared" si="11"/>
        <v>0.86358024691358026</v>
      </c>
      <c r="S77" s="10">
        <f t="shared" si="12"/>
        <v>-0.86358024691358026</v>
      </c>
      <c r="T77" s="10">
        <f t="shared" si="18"/>
        <v>66.106358024691374</v>
      </c>
      <c r="V77" s="14">
        <v>611.1</v>
      </c>
      <c r="W77" s="5">
        <f t="shared" si="13"/>
        <v>61.727272727272727</v>
      </c>
      <c r="X77" s="5">
        <f t="shared" si="19"/>
        <v>68112.2</v>
      </c>
      <c r="AA77" s="5">
        <v>9.39597220906324</v>
      </c>
    </row>
    <row r="78" spans="1:27" s="5" customFormat="1" x14ac:dyDescent="0.25">
      <c r="A78" s="69"/>
      <c r="B78" s="6"/>
      <c r="C78" s="7">
        <v>41956</v>
      </c>
      <c r="D78" s="5">
        <v>9.6</v>
      </c>
      <c r="E78" s="5">
        <v>6</v>
      </c>
      <c r="F78" s="5">
        <v>13.5</v>
      </c>
      <c r="G78" s="5">
        <f t="shared" si="15"/>
        <v>1017.8000000000003</v>
      </c>
      <c r="J78" s="5">
        <v>0</v>
      </c>
      <c r="K78" s="5">
        <f t="shared" si="16"/>
        <v>112.39999999999999</v>
      </c>
      <c r="L78" s="5">
        <v>0.8</v>
      </c>
      <c r="M78" s="5">
        <f t="shared" si="17"/>
        <v>130.80000000000004</v>
      </c>
      <c r="N78" s="9">
        <f t="shared" si="14"/>
        <v>-0.8</v>
      </c>
      <c r="O78" s="5">
        <f t="shared" si="20"/>
        <v>51.8</v>
      </c>
      <c r="P78" s="5">
        <v>73</v>
      </c>
      <c r="Q78" s="5">
        <f t="shared" si="10"/>
        <v>0.8716049382716049</v>
      </c>
      <c r="R78" s="10">
        <f t="shared" si="11"/>
        <v>0.69728395061728399</v>
      </c>
      <c r="S78" s="10">
        <f t="shared" si="12"/>
        <v>-0.69728395061728399</v>
      </c>
      <c r="T78" s="10">
        <f t="shared" si="18"/>
        <v>65.409074074074084</v>
      </c>
      <c r="V78" s="14">
        <v>487.2</v>
      </c>
      <c r="W78" s="5">
        <f t="shared" si="13"/>
        <v>50.75</v>
      </c>
      <c r="X78" s="5">
        <f t="shared" si="19"/>
        <v>68599.399999999994</v>
      </c>
      <c r="AA78" s="5">
        <v>9.3479704613550005</v>
      </c>
    </row>
    <row r="79" spans="1:27" s="5" customFormat="1" x14ac:dyDescent="0.25">
      <c r="A79" s="69"/>
      <c r="B79" s="6"/>
      <c r="C79" s="7">
        <v>41957</v>
      </c>
      <c r="D79" s="5">
        <v>9.3000000000000007</v>
      </c>
      <c r="E79" s="5">
        <v>7.8</v>
      </c>
      <c r="F79" s="5">
        <v>10.1</v>
      </c>
      <c r="G79" s="5">
        <f t="shared" si="15"/>
        <v>1027.1000000000004</v>
      </c>
      <c r="J79" s="5">
        <v>23</v>
      </c>
      <c r="K79" s="5">
        <f t="shared" si="16"/>
        <v>135.39999999999998</v>
      </c>
      <c r="L79" s="5">
        <v>0.3</v>
      </c>
      <c r="M79" s="5">
        <f t="shared" si="17"/>
        <v>131.10000000000005</v>
      </c>
      <c r="N79" s="5">
        <f t="shared" si="14"/>
        <v>22.7</v>
      </c>
      <c r="O79" s="5">
        <f t="shared" si="20"/>
        <v>74.5</v>
      </c>
      <c r="P79" s="5">
        <v>74</v>
      </c>
      <c r="Q79" s="5">
        <f t="shared" ref="Q79:Q94" si="21">0.35+((P79-8)/81)*(1-0.35)</f>
        <v>0.87962962962962965</v>
      </c>
      <c r="R79" s="10">
        <f t="shared" si="11"/>
        <v>0.2638888888888889</v>
      </c>
      <c r="S79" s="10">
        <f t="shared" si="12"/>
        <v>22.736111111111111</v>
      </c>
      <c r="T79" s="10">
        <f t="shared" si="18"/>
        <v>88.145185185185198</v>
      </c>
      <c r="V79" s="14">
        <v>120.5</v>
      </c>
      <c r="W79" s="5">
        <f t="shared" si="13"/>
        <v>12.956989247311826</v>
      </c>
      <c r="X79" s="5">
        <f t="shared" si="19"/>
        <v>68719.899999999994</v>
      </c>
      <c r="AA79" s="5">
        <v>9.3006251081541098</v>
      </c>
    </row>
    <row r="80" spans="1:27" s="5" customFormat="1" x14ac:dyDescent="0.25">
      <c r="A80" s="69"/>
      <c r="B80" s="6"/>
      <c r="C80" s="7">
        <v>41958</v>
      </c>
      <c r="D80" s="5">
        <v>9.6999999999999993</v>
      </c>
      <c r="E80" s="5">
        <v>9.1999999999999993</v>
      </c>
      <c r="F80" s="5">
        <v>11.1</v>
      </c>
      <c r="G80" s="5">
        <f t="shared" si="15"/>
        <v>1036.8000000000004</v>
      </c>
      <c r="J80" s="5">
        <v>0.5</v>
      </c>
      <c r="K80" s="5">
        <f t="shared" si="16"/>
        <v>135.89999999999998</v>
      </c>
      <c r="L80" s="5">
        <v>0.3</v>
      </c>
      <c r="M80" s="5">
        <f t="shared" si="17"/>
        <v>131.40000000000006</v>
      </c>
      <c r="N80" s="5">
        <f t="shared" si="14"/>
        <v>0.2</v>
      </c>
      <c r="O80" s="5">
        <f t="shared" si="20"/>
        <v>74.7</v>
      </c>
      <c r="P80" s="5">
        <v>75</v>
      </c>
      <c r="Q80" s="5">
        <f t="shared" si="21"/>
        <v>0.88765432098765429</v>
      </c>
      <c r="R80" s="10">
        <f t="shared" si="11"/>
        <v>0.26629629629629625</v>
      </c>
      <c r="S80" s="10">
        <f t="shared" si="12"/>
        <v>0.23370370370370375</v>
      </c>
      <c r="T80" s="10">
        <f t="shared" si="18"/>
        <v>88.378888888888909</v>
      </c>
      <c r="V80" s="14">
        <v>164.7</v>
      </c>
      <c r="W80" s="5">
        <f t="shared" si="13"/>
        <v>16.979381443298969</v>
      </c>
      <c r="X80" s="5">
        <f t="shared" si="19"/>
        <v>68884.599999999991</v>
      </c>
      <c r="AA80" s="5">
        <v>9.25396359787851</v>
      </c>
    </row>
    <row r="81" spans="1:27" s="5" customFormat="1" x14ac:dyDescent="0.25">
      <c r="A81" s="69"/>
      <c r="B81" s="6"/>
      <c r="C81" s="7">
        <v>41959</v>
      </c>
      <c r="D81" s="5">
        <v>9</v>
      </c>
      <c r="E81" s="5">
        <v>8.5</v>
      </c>
      <c r="F81" s="5">
        <v>9.8000000000000007</v>
      </c>
      <c r="G81" s="5">
        <f t="shared" si="15"/>
        <v>1045.8000000000004</v>
      </c>
      <c r="J81" s="5">
        <v>8</v>
      </c>
      <c r="K81" s="5">
        <f t="shared" si="16"/>
        <v>143.89999999999998</v>
      </c>
      <c r="L81" s="5">
        <v>0.4</v>
      </c>
      <c r="M81" s="5">
        <f t="shared" si="17"/>
        <v>131.80000000000007</v>
      </c>
      <c r="N81" s="5">
        <f t="shared" si="14"/>
        <v>7.6</v>
      </c>
      <c r="O81" s="5">
        <f t="shared" si="20"/>
        <v>82.3</v>
      </c>
      <c r="P81" s="5">
        <v>76</v>
      </c>
      <c r="Q81" s="5">
        <f t="shared" si="21"/>
        <v>0.89567901234567893</v>
      </c>
      <c r="R81" s="10">
        <f t="shared" si="11"/>
        <v>0.35827160493827159</v>
      </c>
      <c r="S81" s="10">
        <f t="shared" si="12"/>
        <v>7.6417283950617287</v>
      </c>
      <c r="T81" s="10">
        <f t="shared" si="18"/>
        <v>96.020617283950642</v>
      </c>
      <c r="V81" s="14">
        <v>170.9</v>
      </c>
      <c r="W81" s="5">
        <f t="shared" si="13"/>
        <v>18.988888888888891</v>
      </c>
      <c r="X81" s="5">
        <f t="shared" si="19"/>
        <v>69055.499999999985</v>
      </c>
      <c r="AA81" s="5">
        <v>9.2080139333511006</v>
      </c>
    </row>
    <row r="82" spans="1:27" s="5" customFormat="1" x14ac:dyDescent="0.25">
      <c r="A82" s="69"/>
      <c r="B82" s="6"/>
      <c r="C82" s="7">
        <v>41960</v>
      </c>
      <c r="D82" s="5">
        <v>8.4</v>
      </c>
      <c r="E82" s="5">
        <v>8</v>
      </c>
      <c r="F82" s="5">
        <v>9.6999999999999993</v>
      </c>
      <c r="G82" s="5">
        <f t="shared" si="15"/>
        <v>1054.2000000000005</v>
      </c>
      <c r="J82" s="5">
        <v>2.5</v>
      </c>
      <c r="K82" s="5">
        <f t="shared" si="16"/>
        <v>146.39999999999998</v>
      </c>
      <c r="L82" s="5">
        <v>0.4</v>
      </c>
      <c r="M82" s="5">
        <f t="shared" si="17"/>
        <v>132.20000000000007</v>
      </c>
      <c r="N82" s="5">
        <f t="shared" si="14"/>
        <v>2.1</v>
      </c>
      <c r="O82" s="5">
        <f t="shared" si="20"/>
        <v>84.399999999999991</v>
      </c>
      <c r="P82" s="5">
        <v>77</v>
      </c>
      <c r="Q82" s="5">
        <f t="shared" si="21"/>
        <v>0.90370370370370368</v>
      </c>
      <c r="R82" s="10">
        <f t="shared" si="11"/>
        <v>0.36148148148148151</v>
      </c>
      <c r="S82" s="10">
        <f t="shared" si="12"/>
        <v>2.1385185185185183</v>
      </c>
      <c r="T82" s="10">
        <f t="shared" si="18"/>
        <v>98.159135802469166</v>
      </c>
      <c r="V82" s="14">
        <v>255</v>
      </c>
      <c r="W82" s="5">
        <f t="shared" si="13"/>
        <v>30.357142857142854</v>
      </c>
      <c r="X82" s="5">
        <f t="shared" si="19"/>
        <v>69310.499999999985</v>
      </c>
      <c r="AA82" s="5">
        <v>9.1628046420343594</v>
      </c>
    </row>
    <row r="83" spans="1:27" s="5" customFormat="1" x14ac:dyDescent="0.25">
      <c r="A83" s="69"/>
      <c r="B83" s="6"/>
      <c r="C83" s="7">
        <v>41961</v>
      </c>
      <c r="D83" s="5">
        <v>7.8</v>
      </c>
      <c r="E83" s="5">
        <v>7.5</v>
      </c>
      <c r="F83" s="5">
        <v>9.5</v>
      </c>
      <c r="G83" s="5">
        <f t="shared" si="15"/>
        <v>1062.0000000000005</v>
      </c>
      <c r="J83" s="5">
        <v>0.7</v>
      </c>
      <c r="K83" s="5">
        <f t="shared" si="16"/>
        <v>147.09999999999997</v>
      </c>
      <c r="L83" s="5">
        <v>0.3</v>
      </c>
      <c r="M83" s="5">
        <f t="shared" si="17"/>
        <v>132.50000000000009</v>
      </c>
      <c r="N83" s="5">
        <f t="shared" si="14"/>
        <v>0.39999999999999997</v>
      </c>
      <c r="O83" s="5">
        <f t="shared" si="20"/>
        <v>84.8</v>
      </c>
      <c r="P83" s="5">
        <v>78</v>
      </c>
      <c r="Q83" s="5">
        <f t="shared" si="21"/>
        <v>0.91172839506172831</v>
      </c>
      <c r="R83" s="10">
        <f t="shared" si="11"/>
        <v>0.27351851851851849</v>
      </c>
      <c r="S83" s="10">
        <f t="shared" si="12"/>
        <v>0.42648148148148146</v>
      </c>
      <c r="T83" s="10">
        <f t="shared" si="18"/>
        <v>98.585617283950654</v>
      </c>
      <c r="V83" s="14">
        <v>149.1</v>
      </c>
      <c r="W83" s="5">
        <f t="shared" si="13"/>
        <v>19.115384615384617</v>
      </c>
      <c r="X83" s="5">
        <f t="shared" si="19"/>
        <v>69459.599999999991</v>
      </c>
      <c r="AA83" s="5">
        <v>9.1183647424560803</v>
      </c>
    </row>
    <row r="84" spans="1:27" s="5" customFormat="1" x14ac:dyDescent="0.25">
      <c r="A84" s="69"/>
      <c r="B84" s="6"/>
      <c r="C84" s="7">
        <v>41962</v>
      </c>
      <c r="D84" s="5">
        <v>5.7</v>
      </c>
      <c r="E84" s="15">
        <v>3.6</v>
      </c>
      <c r="F84" s="5">
        <v>7.2</v>
      </c>
      <c r="G84" s="5">
        <f t="shared" si="15"/>
        <v>1067.7000000000005</v>
      </c>
      <c r="J84" s="5">
        <v>0.2</v>
      </c>
      <c r="K84" s="5">
        <f t="shared" si="16"/>
        <v>147.29999999999995</v>
      </c>
      <c r="L84" s="5">
        <v>0.3</v>
      </c>
      <c r="M84" s="5">
        <f t="shared" si="17"/>
        <v>132.8000000000001</v>
      </c>
      <c r="N84" s="9">
        <f t="shared" si="14"/>
        <v>-9.9999999999999978E-2</v>
      </c>
      <c r="O84" s="5">
        <f t="shared" si="20"/>
        <v>84.7</v>
      </c>
      <c r="P84" s="5">
        <v>79</v>
      </c>
      <c r="Q84" s="5">
        <f t="shared" si="21"/>
        <v>0.91975308641975306</v>
      </c>
      <c r="R84" s="10">
        <f t="shared" si="11"/>
        <v>0.27592592592592591</v>
      </c>
      <c r="S84" s="10">
        <f t="shared" si="12"/>
        <v>-7.5925925925925897E-2</v>
      </c>
      <c r="T84" s="10">
        <f t="shared" si="18"/>
        <v>98.509691358024725</v>
      </c>
      <c r="V84" s="14">
        <v>228.7</v>
      </c>
      <c r="W84" s="5">
        <f t="shared" si="13"/>
        <v>40.122807017543856</v>
      </c>
      <c r="X84" s="5">
        <f t="shared" si="19"/>
        <v>69688.299999999988</v>
      </c>
      <c r="AA84" s="5">
        <v>9.0747237067178705</v>
      </c>
    </row>
    <row r="85" spans="1:27" s="5" customFormat="1" x14ac:dyDescent="0.25">
      <c r="A85" s="69"/>
      <c r="B85" s="6"/>
      <c r="C85" s="7">
        <v>41963</v>
      </c>
      <c r="D85" s="5">
        <v>7.2</v>
      </c>
      <c r="E85" s="5">
        <v>5.3</v>
      </c>
      <c r="F85" s="5">
        <v>8.5</v>
      </c>
      <c r="G85" s="5">
        <f t="shared" si="15"/>
        <v>1074.9000000000005</v>
      </c>
      <c r="J85" s="5">
        <v>0</v>
      </c>
      <c r="K85" s="5">
        <f t="shared" si="16"/>
        <v>147.29999999999995</v>
      </c>
      <c r="L85" s="5">
        <v>0.4</v>
      </c>
      <c r="M85" s="5">
        <f t="shared" si="17"/>
        <v>133.2000000000001</v>
      </c>
      <c r="N85" s="9">
        <f t="shared" si="14"/>
        <v>-0.4</v>
      </c>
      <c r="O85" s="5">
        <f t="shared" si="20"/>
        <v>84.3</v>
      </c>
      <c r="P85" s="5">
        <v>80</v>
      </c>
      <c r="Q85" s="5">
        <f t="shared" si="21"/>
        <v>0.9277777777777777</v>
      </c>
      <c r="R85" s="10">
        <f t="shared" si="11"/>
        <v>0.37111111111111111</v>
      </c>
      <c r="S85" s="10">
        <f t="shared" si="12"/>
        <v>-0.37111111111111111</v>
      </c>
      <c r="T85" s="10">
        <f t="shared" si="18"/>
        <v>98.138580246913619</v>
      </c>
      <c r="V85" s="14">
        <v>434.7</v>
      </c>
      <c r="W85" s="5">
        <f t="shared" si="13"/>
        <v>60.375</v>
      </c>
      <c r="X85" s="5">
        <f t="shared" si="19"/>
        <v>70122.999999999985</v>
      </c>
      <c r="AA85" s="5">
        <v>9.0319114189963194</v>
      </c>
    </row>
    <row r="86" spans="1:27" s="5" customFormat="1" x14ac:dyDescent="0.25">
      <c r="A86" s="69"/>
      <c r="B86" s="6"/>
      <c r="C86" s="7">
        <v>41964</v>
      </c>
      <c r="D86" s="5">
        <v>8.6999999999999993</v>
      </c>
      <c r="E86" s="5">
        <v>6.9</v>
      </c>
      <c r="F86" s="5">
        <v>11.7</v>
      </c>
      <c r="G86" s="5">
        <f t="shared" si="15"/>
        <v>1083.6000000000006</v>
      </c>
      <c r="J86" s="5">
        <v>0.1</v>
      </c>
      <c r="K86" s="5">
        <f t="shared" si="16"/>
        <v>147.39999999999995</v>
      </c>
      <c r="L86" s="5">
        <v>0.7</v>
      </c>
      <c r="M86" s="5">
        <f t="shared" si="17"/>
        <v>133.90000000000009</v>
      </c>
      <c r="N86" s="9">
        <f t="shared" si="14"/>
        <v>-0.6</v>
      </c>
      <c r="O86" s="5">
        <f t="shared" si="20"/>
        <v>83.7</v>
      </c>
      <c r="P86" s="5">
        <v>81</v>
      </c>
      <c r="Q86" s="5">
        <f t="shared" si="21"/>
        <v>0.93580246913580245</v>
      </c>
      <c r="R86" s="10">
        <f t="shared" si="11"/>
        <v>0.65506172839506172</v>
      </c>
      <c r="S86" s="10">
        <f t="shared" si="12"/>
        <v>-0.55506172839506174</v>
      </c>
      <c r="T86" s="10">
        <f t="shared" si="18"/>
        <v>97.583518518518559</v>
      </c>
      <c r="V86" s="14">
        <v>386.6</v>
      </c>
      <c r="W86" s="5">
        <f t="shared" si="13"/>
        <v>44.436781609195407</v>
      </c>
      <c r="X86" s="5">
        <f t="shared" si="19"/>
        <v>70509.599999999991</v>
      </c>
      <c r="AA86" s="5">
        <v>8.9899581299674605</v>
      </c>
    </row>
    <row r="87" spans="1:27" s="5" customFormat="1" x14ac:dyDescent="0.25">
      <c r="A87" s="69"/>
      <c r="B87" s="6"/>
      <c r="C87" s="7">
        <v>41965</v>
      </c>
      <c r="D87" s="5">
        <v>9.6</v>
      </c>
      <c r="E87" s="5">
        <v>6.4</v>
      </c>
      <c r="F87" s="5">
        <v>13.5</v>
      </c>
      <c r="G87" s="5">
        <f t="shared" si="15"/>
        <v>1093.2000000000005</v>
      </c>
      <c r="J87" s="5">
        <v>0</v>
      </c>
      <c r="K87" s="5">
        <f t="shared" si="16"/>
        <v>147.39999999999995</v>
      </c>
      <c r="L87" s="5">
        <v>0.7</v>
      </c>
      <c r="M87" s="5">
        <f t="shared" si="17"/>
        <v>134.60000000000008</v>
      </c>
      <c r="N87" s="9">
        <f t="shared" si="14"/>
        <v>-0.7</v>
      </c>
      <c r="O87" s="5">
        <f t="shared" si="20"/>
        <v>83</v>
      </c>
      <c r="P87" s="5">
        <v>82</v>
      </c>
      <c r="Q87" s="5">
        <f t="shared" si="21"/>
        <v>0.94382716049382709</v>
      </c>
      <c r="R87" s="10">
        <f t="shared" si="11"/>
        <v>0.66067901234567894</v>
      </c>
      <c r="S87" s="10">
        <f t="shared" si="12"/>
        <v>-0.66067901234567894</v>
      </c>
      <c r="T87" s="10">
        <f t="shared" si="18"/>
        <v>96.922839506172878</v>
      </c>
      <c r="V87" s="14">
        <v>426</v>
      </c>
      <c r="W87" s="5">
        <f t="shared" si="13"/>
        <v>44.375</v>
      </c>
      <c r="X87" s="5">
        <f t="shared" si="19"/>
        <v>70935.599999999991</v>
      </c>
      <c r="AA87" s="5">
        <v>8.9488944071088792</v>
      </c>
    </row>
    <row r="88" spans="1:27" s="5" customFormat="1" x14ac:dyDescent="0.25">
      <c r="A88" s="69"/>
      <c r="B88" s="6"/>
      <c r="C88" s="7">
        <v>41966</v>
      </c>
      <c r="D88" s="5">
        <v>11.2</v>
      </c>
      <c r="E88" s="5">
        <v>8.1</v>
      </c>
      <c r="F88" s="5">
        <v>14.8</v>
      </c>
      <c r="G88" s="5">
        <f t="shared" si="15"/>
        <v>1104.4000000000005</v>
      </c>
      <c r="J88" s="5">
        <v>0</v>
      </c>
      <c r="K88" s="5">
        <f t="shared" si="16"/>
        <v>147.39999999999995</v>
      </c>
      <c r="L88" s="5">
        <v>0.9</v>
      </c>
      <c r="M88" s="5">
        <f t="shared" si="17"/>
        <v>135.50000000000009</v>
      </c>
      <c r="N88" s="9">
        <f t="shared" si="14"/>
        <v>-0.9</v>
      </c>
      <c r="O88" s="5">
        <f t="shared" si="20"/>
        <v>82.1</v>
      </c>
      <c r="P88" s="5">
        <v>83</v>
      </c>
      <c r="Q88" s="5">
        <f t="shared" si="21"/>
        <v>0.95185185185185184</v>
      </c>
      <c r="R88" s="10">
        <f t="shared" si="11"/>
        <v>0.85666666666666669</v>
      </c>
      <c r="S88" s="10">
        <f t="shared" si="12"/>
        <v>-0.85666666666666669</v>
      </c>
      <c r="T88" s="10">
        <f t="shared" si="18"/>
        <v>96.066172839506208</v>
      </c>
      <c r="V88" s="14">
        <v>420.8</v>
      </c>
      <c r="W88" s="5">
        <f t="shared" si="13"/>
        <v>37.571428571428577</v>
      </c>
      <c r="X88" s="5">
        <f t="shared" si="19"/>
        <v>71356.399999999994</v>
      </c>
      <c r="AA88" s="5">
        <v>8.9087510808605508</v>
      </c>
    </row>
    <row r="89" spans="1:27" s="5" customFormat="1" x14ac:dyDescent="0.25">
      <c r="A89" s="69"/>
      <c r="B89" s="6"/>
      <c r="C89" s="7">
        <v>41967</v>
      </c>
      <c r="D89" s="5">
        <v>10.3</v>
      </c>
      <c r="E89" s="5">
        <v>10.1</v>
      </c>
      <c r="F89" s="5">
        <v>10.4</v>
      </c>
      <c r="G89" s="5">
        <f t="shared" si="15"/>
        <v>1114.7000000000005</v>
      </c>
      <c r="J89" s="5">
        <v>0</v>
      </c>
      <c r="K89" s="5">
        <f t="shared" si="16"/>
        <v>147.39999999999995</v>
      </c>
      <c r="L89" s="5">
        <v>0.4</v>
      </c>
      <c r="M89" s="5">
        <f t="shared" si="17"/>
        <v>135.90000000000009</v>
      </c>
      <c r="N89" s="9">
        <f t="shared" si="14"/>
        <v>-0.4</v>
      </c>
      <c r="O89" s="5">
        <f t="shared" si="20"/>
        <v>81.699999999999989</v>
      </c>
      <c r="P89" s="5">
        <v>84</v>
      </c>
      <c r="Q89" s="5">
        <f t="shared" si="21"/>
        <v>0.95987654320987648</v>
      </c>
      <c r="R89" s="10">
        <f t="shared" si="11"/>
        <v>0.38395061728395063</v>
      </c>
      <c r="S89" s="10">
        <f t="shared" si="12"/>
        <v>-0.38395061728395063</v>
      </c>
      <c r="T89" s="10">
        <f t="shared" si="18"/>
        <v>95.682222222222265</v>
      </c>
      <c r="V89" s="14">
        <v>126.1</v>
      </c>
      <c r="W89" s="5">
        <f t="shared" si="13"/>
        <v>12.242718446601941</v>
      </c>
      <c r="X89" s="5">
        <f t="shared" si="19"/>
        <v>71482.5</v>
      </c>
      <c r="AA89" s="5">
        <v>8.8695591866547794</v>
      </c>
    </row>
    <row r="90" spans="1:27" s="5" customFormat="1" x14ac:dyDescent="0.25">
      <c r="A90" s="69"/>
      <c r="B90" s="6"/>
      <c r="C90" s="7">
        <v>41968</v>
      </c>
      <c r="D90" s="5">
        <v>9.8000000000000007</v>
      </c>
      <c r="E90" s="5">
        <v>8.9</v>
      </c>
      <c r="F90" s="5">
        <v>10.6</v>
      </c>
      <c r="G90" s="5">
        <f t="shared" si="15"/>
        <v>1124.5000000000005</v>
      </c>
      <c r="J90" s="5">
        <v>8</v>
      </c>
      <c r="K90" s="5">
        <f t="shared" si="16"/>
        <v>155.39999999999995</v>
      </c>
      <c r="L90" s="5">
        <v>0.4</v>
      </c>
      <c r="M90" s="5">
        <f t="shared" si="17"/>
        <v>136.3000000000001</v>
      </c>
      <c r="N90" s="5">
        <f t="shared" si="14"/>
        <v>7.6</v>
      </c>
      <c r="O90" s="5">
        <f t="shared" si="20"/>
        <v>89.299999999999983</v>
      </c>
      <c r="P90" s="5">
        <v>85</v>
      </c>
      <c r="Q90" s="5">
        <f t="shared" si="21"/>
        <v>0.96790123456790123</v>
      </c>
      <c r="R90" s="10">
        <f t="shared" si="11"/>
        <v>0.3871604938271605</v>
      </c>
      <c r="S90" s="10">
        <f t="shared" si="12"/>
        <v>7.6128395061728398</v>
      </c>
      <c r="T90" s="10">
        <f t="shared" si="18"/>
        <v>103.2950617283951</v>
      </c>
      <c r="V90" s="14">
        <v>84.6</v>
      </c>
      <c r="W90" s="5">
        <f t="shared" si="13"/>
        <v>8.6326530612244881</v>
      </c>
      <c r="X90" s="5">
        <f t="shared" si="19"/>
        <v>71567.100000000006</v>
      </c>
      <c r="AA90" s="5">
        <v>8.8313499028578306</v>
      </c>
    </row>
    <row r="91" spans="1:27" s="5" customFormat="1" x14ac:dyDescent="0.25">
      <c r="A91" s="69"/>
      <c r="B91" s="6"/>
      <c r="C91" s="7">
        <v>41969</v>
      </c>
      <c r="D91" s="5">
        <v>10.8</v>
      </c>
      <c r="E91" s="5">
        <v>9.5</v>
      </c>
      <c r="F91" s="5">
        <v>12.7</v>
      </c>
      <c r="G91" s="5">
        <f t="shared" si="15"/>
        <v>1135.3000000000004</v>
      </c>
      <c r="J91" s="5">
        <v>0.1</v>
      </c>
      <c r="K91" s="5">
        <f t="shared" si="16"/>
        <v>155.49999999999994</v>
      </c>
      <c r="L91" s="5">
        <v>0.3</v>
      </c>
      <c r="M91" s="5">
        <f t="shared" si="17"/>
        <v>136.60000000000011</v>
      </c>
      <c r="N91" s="9">
        <f t="shared" si="14"/>
        <v>-0.19999999999999998</v>
      </c>
      <c r="O91" s="5">
        <f t="shared" si="20"/>
        <v>89.09999999999998</v>
      </c>
      <c r="P91" s="5">
        <v>86</v>
      </c>
      <c r="Q91" s="5">
        <f t="shared" si="21"/>
        <v>0.97592592592592586</v>
      </c>
      <c r="R91" s="10">
        <f t="shared" si="11"/>
        <v>0.29277777777777775</v>
      </c>
      <c r="S91" s="10">
        <f t="shared" si="12"/>
        <v>-0.19277777777777774</v>
      </c>
      <c r="T91" s="10">
        <f t="shared" si="18"/>
        <v>103.10228395061732</v>
      </c>
      <c r="V91" s="14">
        <v>111.5</v>
      </c>
      <c r="W91" s="5">
        <f t="shared" si="13"/>
        <v>10.324074074074073</v>
      </c>
      <c r="X91" s="5">
        <f t="shared" si="19"/>
        <v>71678.600000000006</v>
      </c>
      <c r="AA91" s="5">
        <v>8.7941544847007993</v>
      </c>
    </row>
    <row r="92" spans="1:27" s="5" customFormat="1" x14ac:dyDescent="0.25">
      <c r="A92" s="69"/>
      <c r="B92" s="6"/>
      <c r="C92" s="7">
        <v>41970</v>
      </c>
      <c r="D92" s="5">
        <v>10</v>
      </c>
      <c r="E92" s="5">
        <v>8.4</v>
      </c>
      <c r="F92" s="5">
        <v>11.4</v>
      </c>
      <c r="G92" s="5">
        <f t="shared" si="15"/>
        <v>1145.3000000000004</v>
      </c>
      <c r="J92" s="5">
        <v>0.5</v>
      </c>
      <c r="K92" s="5">
        <f t="shared" si="16"/>
        <v>155.99999999999994</v>
      </c>
      <c r="L92" s="5">
        <v>0.3</v>
      </c>
      <c r="M92" s="5">
        <f t="shared" si="17"/>
        <v>136.90000000000012</v>
      </c>
      <c r="N92" s="5">
        <f t="shared" si="14"/>
        <v>0.2</v>
      </c>
      <c r="O92" s="5">
        <f t="shared" si="20"/>
        <v>89.299999999999983</v>
      </c>
      <c r="P92" s="5">
        <v>87</v>
      </c>
      <c r="Q92" s="5">
        <f t="shared" si="21"/>
        <v>0.98395061728395061</v>
      </c>
      <c r="R92" s="10">
        <f t="shared" si="11"/>
        <v>0.29518518518518516</v>
      </c>
      <c r="S92" s="10">
        <f t="shared" si="12"/>
        <v>0.20481481481481484</v>
      </c>
      <c r="T92" s="10">
        <f t="shared" si="18"/>
        <v>103.30709876543213</v>
      </c>
      <c r="V92" s="14">
        <v>119.6</v>
      </c>
      <c r="W92" s="5">
        <f t="shared" si="13"/>
        <v>11.959999999999999</v>
      </c>
      <c r="X92" s="5">
        <f t="shared" si="19"/>
        <v>71798.200000000012</v>
      </c>
      <c r="AA92" s="5">
        <v>8.75800419431439</v>
      </c>
    </row>
    <row r="93" spans="1:27" s="5" customFormat="1" x14ac:dyDescent="0.25">
      <c r="A93" s="69"/>
      <c r="B93" s="6"/>
      <c r="C93" s="7">
        <v>41971</v>
      </c>
      <c r="D93" s="5">
        <v>10.6</v>
      </c>
      <c r="E93" s="5">
        <v>8.6</v>
      </c>
      <c r="F93" s="5">
        <v>13.5</v>
      </c>
      <c r="G93" s="5">
        <f t="shared" si="15"/>
        <v>1155.9000000000003</v>
      </c>
      <c r="J93" s="5">
        <v>0</v>
      </c>
      <c r="K93" s="5">
        <f t="shared" si="16"/>
        <v>155.99999999999994</v>
      </c>
      <c r="L93" s="5">
        <v>1.1000000000000001</v>
      </c>
      <c r="M93" s="5">
        <f t="shared" si="17"/>
        <v>138.00000000000011</v>
      </c>
      <c r="N93" s="9">
        <f t="shared" si="14"/>
        <v>-1.1000000000000001</v>
      </c>
      <c r="O93" s="5">
        <f t="shared" si="20"/>
        <v>88.199999999999989</v>
      </c>
      <c r="P93" s="5">
        <v>88</v>
      </c>
      <c r="Q93" s="5">
        <f t="shared" si="21"/>
        <v>0.99197530864197525</v>
      </c>
      <c r="R93" s="10">
        <f t="shared" si="11"/>
        <v>1.0911728395061728</v>
      </c>
      <c r="S93" s="10">
        <f t="shared" si="12"/>
        <v>-1.0911728395061728</v>
      </c>
      <c r="T93" s="10">
        <f t="shared" si="18"/>
        <v>102.21592592592596</v>
      </c>
      <c r="V93" s="14">
        <v>315.5</v>
      </c>
      <c r="W93" s="5">
        <f t="shared" si="13"/>
        <v>29.764150943396228</v>
      </c>
      <c r="X93" s="5">
        <f t="shared" si="19"/>
        <v>72113.700000000012</v>
      </c>
      <c r="AA93" s="5">
        <v>8.7229302270219904</v>
      </c>
    </row>
    <row r="94" spans="1:27" s="49" customFormat="1" ht="15.75" thickBot="1" x14ac:dyDescent="0.3">
      <c r="A94" s="69"/>
      <c r="B94" s="47"/>
      <c r="C94" s="48">
        <v>41972</v>
      </c>
      <c r="D94" s="49">
        <v>5.8</v>
      </c>
      <c r="E94" s="49">
        <v>5</v>
      </c>
      <c r="F94" s="49">
        <v>6.8</v>
      </c>
      <c r="G94" s="49">
        <f t="shared" si="15"/>
        <v>1161.7000000000003</v>
      </c>
      <c r="J94" s="49">
        <v>0</v>
      </c>
      <c r="K94" s="49">
        <f t="shared" si="16"/>
        <v>155.99999999999994</v>
      </c>
      <c r="L94" s="49">
        <v>1</v>
      </c>
      <c r="M94" s="49">
        <f t="shared" si="17"/>
        <v>139.00000000000011</v>
      </c>
      <c r="N94" s="49">
        <f t="shared" si="14"/>
        <v>-1</v>
      </c>
      <c r="O94" s="50">
        <f t="shared" si="20"/>
        <v>87.199999999999989</v>
      </c>
      <c r="P94" s="50">
        <v>89</v>
      </c>
      <c r="Q94" s="51">
        <f t="shared" si="21"/>
        <v>1</v>
      </c>
      <c r="R94" s="52">
        <f t="shared" si="11"/>
        <v>1</v>
      </c>
      <c r="S94" s="52">
        <f t="shared" si="12"/>
        <v>-1</v>
      </c>
      <c r="T94" s="53">
        <f t="shared" si="18"/>
        <v>101.21592592592596</v>
      </c>
      <c r="V94" s="54">
        <v>281.10000000000002</v>
      </c>
      <c r="W94" s="49">
        <f t="shared" si="13"/>
        <v>48.465517241379317</v>
      </c>
      <c r="X94" s="49">
        <f t="shared" si="19"/>
        <v>72394.800000000017</v>
      </c>
      <c r="AA94" s="50">
        <v>8.6889636340866598</v>
      </c>
    </row>
    <row r="95" spans="1:27" s="5" customFormat="1" ht="15" customHeight="1" x14ac:dyDescent="0.25">
      <c r="A95" s="70" t="s">
        <v>43</v>
      </c>
      <c r="B95" s="18"/>
      <c r="C95" s="7">
        <v>41973</v>
      </c>
      <c r="D95" s="15">
        <v>3.7</v>
      </c>
      <c r="E95" s="15">
        <v>3.2</v>
      </c>
      <c r="F95" s="5">
        <v>5.6</v>
      </c>
      <c r="G95" s="5">
        <f t="shared" si="15"/>
        <v>1165.4000000000003</v>
      </c>
      <c r="H95" s="5">
        <f>D95</f>
        <v>3.7</v>
      </c>
      <c r="I95" s="19" t="s">
        <v>27</v>
      </c>
      <c r="J95" s="5">
        <v>0.2</v>
      </c>
      <c r="K95" s="5">
        <f t="shared" si="16"/>
        <v>156.19999999999993</v>
      </c>
      <c r="L95" s="5">
        <v>0.8</v>
      </c>
      <c r="M95" s="5">
        <f t="shared" si="17"/>
        <v>139.80000000000013</v>
      </c>
      <c r="N95" s="9">
        <f t="shared" si="14"/>
        <v>-0.60000000000000009</v>
      </c>
      <c r="O95" s="5">
        <f t="shared" si="20"/>
        <v>86.6</v>
      </c>
      <c r="P95" s="5">
        <v>90</v>
      </c>
      <c r="Q95" s="5">
        <v>1</v>
      </c>
      <c r="R95" s="10">
        <f t="shared" si="11"/>
        <v>0.8</v>
      </c>
      <c r="S95" s="10">
        <f t="shared" si="12"/>
        <v>-0.60000000000000009</v>
      </c>
      <c r="T95" s="10">
        <f t="shared" si="18"/>
        <v>100.61592592592596</v>
      </c>
      <c r="U95" s="19" t="s">
        <v>28</v>
      </c>
      <c r="V95" s="14">
        <v>198</v>
      </c>
      <c r="W95" s="5">
        <f t="shared" si="13"/>
        <v>53.513513513513509</v>
      </c>
      <c r="X95" s="5">
        <f t="shared" si="19"/>
        <v>72592.800000000017</v>
      </c>
      <c r="Y95" s="5">
        <f>V95</f>
        <v>198</v>
      </c>
      <c r="Z95" s="19" t="s">
        <v>29</v>
      </c>
      <c r="AA95" s="5">
        <v>8.6561352421507003</v>
      </c>
    </row>
    <row r="96" spans="1:27" s="5" customFormat="1" x14ac:dyDescent="0.25">
      <c r="A96" s="70"/>
      <c r="B96" s="18"/>
      <c r="C96" s="7">
        <v>41974</v>
      </c>
      <c r="D96" s="15">
        <v>3.9</v>
      </c>
      <c r="E96" s="15">
        <v>3</v>
      </c>
      <c r="F96" s="5">
        <v>5.2</v>
      </c>
      <c r="G96" s="5">
        <f t="shared" si="15"/>
        <v>1169.3000000000004</v>
      </c>
      <c r="H96" s="5">
        <f>H95+D96</f>
        <v>7.6</v>
      </c>
      <c r="I96" s="5">
        <f>MIN(E95:E194)</f>
        <v>-5.8</v>
      </c>
      <c r="J96" s="5">
        <v>0.1</v>
      </c>
      <c r="K96" s="5">
        <f t="shared" si="16"/>
        <v>156.29999999999993</v>
      </c>
      <c r="L96" s="5">
        <v>0.5</v>
      </c>
      <c r="M96" s="5">
        <f t="shared" si="17"/>
        <v>140.30000000000013</v>
      </c>
      <c r="N96" s="9">
        <f t="shared" si="14"/>
        <v>-0.4</v>
      </c>
      <c r="O96" s="5">
        <f t="shared" si="20"/>
        <v>86.199999999999989</v>
      </c>
      <c r="P96" s="5">
        <v>91</v>
      </c>
      <c r="Q96" s="5">
        <v>1</v>
      </c>
      <c r="R96" s="10">
        <f t="shared" si="11"/>
        <v>0.5</v>
      </c>
      <c r="S96" s="10">
        <f t="shared" si="12"/>
        <v>-0.4</v>
      </c>
      <c r="T96" s="10">
        <f t="shared" si="18"/>
        <v>100.21592592592596</v>
      </c>
      <c r="U96" s="5">
        <v>57</v>
      </c>
      <c r="V96" s="14">
        <v>113.6</v>
      </c>
      <c r="W96" s="5">
        <f t="shared" si="13"/>
        <v>29.128205128205128</v>
      </c>
      <c r="X96" s="5">
        <f t="shared" si="19"/>
        <v>72706.400000000023</v>
      </c>
      <c r="Y96" s="5">
        <f>Y95+V96</f>
        <v>311.60000000000002</v>
      </c>
      <c r="Z96" s="5">
        <v>40902.6</v>
      </c>
      <c r="AA96" s="5">
        <v>8.6244755696502509</v>
      </c>
    </row>
    <row r="97" spans="1:27" s="5" customFormat="1" x14ac:dyDescent="0.25">
      <c r="A97" s="70"/>
      <c r="B97" s="18"/>
      <c r="C97" s="7">
        <v>41975</v>
      </c>
      <c r="D97" s="15">
        <v>2.6</v>
      </c>
      <c r="E97" s="15">
        <v>2.2000000000000002</v>
      </c>
      <c r="F97" s="15">
        <v>2.9</v>
      </c>
      <c r="G97" s="5">
        <f t="shared" si="15"/>
        <v>1171.9000000000003</v>
      </c>
      <c r="H97" s="5">
        <f t="shared" ref="H97:H160" si="22">H96+D97</f>
        <v>10.199999999999999</v>
      </c>
      <c r="I97" s="19" t="s">
        <v>30</v>
      </c>
      <c r="J97" s="5">
        <v>0.6</v>
      </c>
      <c r="K97" s="5">
        <f t="shared" si="16"/>
        <v>156.89999999999992</v>
      </c>
      <c r="L97" s="5">
        <v>0.2</v>
      </c>
      <c r="M97" s="5">
        <f t="shared" si="17"/>
        <v>140.50000000000011</v>
      </c>
      <c r="N97" s="5">
        <f t="shared" si="14"/>
        <v>0.39999999999999997</v>
      </c>
      <c r="O97" s="5">
        <f t="shared" si="20"/>
        <v>86.6</v>
      </c>
      <c r="P97" s="5">
        <v>92</v>
      </c>
      <c r="Q97" s="5">
        <v>1</v>
      </c>
      <c r="R97" s="10">
        <f t="shared" si="11"/>
        <v>0.2</v>
      </c>
      <c r="S97" s="10">
        <f t="shared" si="12"/>
        <v>0.39999999999999997</v>
      </c>
      <c r="T97" s="10">
        <f t="shared" si="18"/>
        <v>100.61592592592596</v>
      </c>
      <c r="U97" s="19" t="s">
        <v>31</v>
      </c>
      <c r="V97" s="14">
        <v>88.8</v>
      </c>
      <c r="W97" s="5">
        <f t="shared" si="13"/>
        <v>34.153846153846153</v>
      </c>
      <c r="X97" s="5">
        <f t="shared" si="19"/>
        <v>72795.200000000026</v>
      </c>
      <c r="Y97" s="5">
        <f t="shared" ref="Y97:Y160" si="23">Y96+V97</f>
        <v>400.40000000000003</v>
      </c>
      <c r="Z97" s="19" t="s">
        <v>32</v>
      </c>
      <c r="AA97" s="5">
        <v>8.5940147405319998</v>
      </c>
    </row>
    <row r="98" spans="1:27" s="5" customFormat="1" x14ac:dyDescent="0.25">
      <c r="A98" s="70"/>
      <c r="B98" s="18"/>
      <c r="C98" s="7">
        <v>41976</v>
      </c>
      <c r="D98" s="15">
        <v>2.5</v>
      </c>
      <c r="E98" s="15">
        <v>1.7</v>
      </c>
      <c r="F98" s="15">
        <v>3.1</v>
      </c>
      <c r="G98" s="5">
        <f t="shared" si="15"/>
        <v>1174.4000000000003</v>
      </c>
      <c r="H98" s="5">
        <f t="shared" si="22"/>
        <v>12.7</v>
      </c>
      <c r="I98" s="15">
        <f>MAX(F95:F194)</f>
        <v>16</v>
      </c>
      <c r="J98" s="5">
        <v>0</v>
      </c>
      <c r="K98" s="5">
        <f t="shared" si="16"/>
        <v>156.89999999999992</v>
      </c>
      <c r="L98" s="5">
        <v>0.4</v>
      </c>
      <c r="M98" s="5">
        <f t="shared" si="17"/>
        <v>140.90000000000012</v>
      </c>
      <c r="N98" s="9">
        <f t="shared" si="14"/>
        <v>-0.4</v>
      </c>
      <c r="O98" s="5">
        <f t="shared" si="20"/>
        <v>86.199999999999989</v>
      </c>
      <c r="P98" s="5">
        <v>93</v>
      </c>
      <c r="Q98" s="5">
        <v>1</v>
      </c>
      <c r="R98" s="10">
        <f t="shared" si="11"/>
        <v>0.4</v>
      </c>
      <c r="S98" s="10">
        <f t="shared" si="12"/>
        <v>-0.4</v>
      </c>
      <c r="T98" s="10">
        <f t="shared" si="18"/>
        <v>100.21592592592596</v>
      </c>
      <c r="U98" s="5">
        <v>0</v>
      </c>
      <c r="V98" s="14">
        <v>280.7</v>
      </c>
      <c r="W98" s="5">
        <f t="shared" si="13"/>
        <v>112.28</v>
      </c>
      <c r="X98" s="5">
        <f t="shared" si="19"/>
        <v>73075.900000000023</v>
      </c>
      <c r="Y98" s="5">
        <f t="shared" si="23"/>
        <v>681.1</v>
      </c>
      <c r="Z98" s="12">
        <f>(Z96/100)/I108</f>
        <v>0.94923648178231612</v>
      </c>
      <c r="AA98" s="5">
        <v>8.5647823956433307</v>
      </c>
    </row>
    <row r="99" spans="1:27" s="5" customFormat="1" x14ac:dyDescent="0.25">
      <c r="A99" s="70"/>
      <c r="B99" s="18"/>
      <c r="C99" s="7">
        <v>41977</v>
      </c>
      <c r="D99" s="15">
        <v>3.7</v>
      </c>
      <c r="E99" s="15">
        <v>2.2999999999999998</v>
      </c>
      <c r="F99" s="15">
        <v>4.5999999999999996</v>
      </c>
      <c r="G99" s="5">
        <f t="shared" si="15"/>
        <v>1178.1000000000004</v>
      </c>
      <c r="H99" s="5">
        <f t="shared" si="22"/>
        <v>16.399999999999999</v>
      </c>
      <c r="I99" s="19" t="s">
        <v>33</v>
      </c>
      <c r="J99" s="5">
        <v>0</v>
      </c>
      <c r="K99" s="5">
        <f t="shared" si="16"/>
        <v>156.89999999999992</v>
      </c>
      <c r="L99" s="5">
        <v>0.2</v>
      </c>
      <c r="M99" s="5">
        <f t="shared" si="17"/>
        <v>141.10000000000011</v>
      </c>
      <c r="N99" s="9">
        <f t="shared" si="14"/>
        <v>-0.2</v>
      </c>
      <c r="O99" s="5">
        <f t="shared" si="20"/>
        <v>85.999999999999986</v>
      </c>
      <c r="P99" s="5">
        <v>94</v>
      </c>
      <c r="Q99" s="5">
        <v>1</v>
      </c>
      <c r="R99" s="10">
        <f t="shared" si="11"/>
        <v>0.2</v>
      </c>
      <c r="S99" s="10">
        <f t="shared" si="12"/>
        <v>-0.2</v>
      </c>
      <c r="T99" s="10">
        <f t="shared" si="18"/>
        <v>100.01592592592596</v>
      </c>
      <c r="U99" s="19" t="s">
        <v>34</v>
      </c>
      <c r="V99" s="14">
        <v>130.9</v>
      </c>
      <c r="W99" s="5">
        <f t="shared" si="13"/>
        <v>35.378378378378379</v>
      </c>
      <c r="X99" s="5">
        <f t="shared" si="19"/>
        <v>73206.800000000017</v>
      </c>
      <c r="Y99" s="5">
        <f t="shared" si="23"/>
        <v>812</v>
      </c>
      <c r="Z99" s="19" t="s">
        <v>35</v>
      </c>
      <c r="AA99" s="5">
        <v>8.5368076022107804</v>
      </c>
    </row>
    <row r="100" spans="1:27" s="5" customFormat="1" x14ac:dyDescent="0.25">
      <c r="A100" s="70"/>
      <c r="B100" s="18"/>
      <c r="C100" s="7">
        <v>41978</v>
      </c>
      <c r="D100" s="15">
        <v>3.9</v>
      </c>
      <c r="E100" s="15">
        <v>3.4</v>
      </c>
      <c r="F100" s="15">
        <v>4.5</v>
      </c>
      <c r="G100" s="5">
        <f t="shared" si="15"/>
        <v>1182.0000000000005</v>
      </c>
      <c r="H100" s="5">
        <f t="shared" si="22"/>
        <v>20.299999999999997</v>
      </c>
      <c r="I100" s="10">
        <f>AVERAGE(D95:D194)</f>
        <v>4.2699999999999996</v>
      </c>
      <c r="J100" s="5">
        <v>0</v>
      </c>
      <c r="K100" s="5">
        <f t="shared" si="16"/>
        <v>156.89999999999992</v>
      </c>
      <c r="L100" s="5">
        <v>0.5</v>
      </c>
      <c r="M100" s="5">
        <f t="shared" si="17"/>
        <v>141.60000000000011</v>
      </c>
      <c r="N100" s="9">
        <f t="shared" si="14"/>
        <v>-0.5</v>
      </c>
      <c r="O100" s="5">
        <f t="shared" si="20"/>
        <v>85.499999999999986</v>
      </c>
      <c r="P100" s="5">
        <v>95</v>
      </c>
      <c r="Q100" s="5">
        <v>1</v>
      </c>
      <c r="R100" s="10">
        <f t="shared" si="11"/>
        <v>0.5</v>
      </c>
      <c r="S100" s="10">
        <f t="shared" si="12"/>
        <v>-0.5</v>
      </c>
      <c r="T100" s="10">
        <f t="shared" si="18"/>
        <v>99.515925925925956</v>
      </c>
      <c r="U100" s="5">
        <v>0</v>
      </c>
      <c r="V100" s="14">
        <v>491.1</v>
      </c>
      <c r="W100" s="5">
        <f t="shared" si="13"/>
        <v>125.92307692307693</v>
      </c>
      <c r="X100" s="5">
        <f t="shared" si="19"/>
        <v>73697.900000000023</v>
      </c>
      <c r="Y100" s="5">
        <f t="shared" si="23"/>
        <v>1303.0999999999999</v>
      </c>
      <c r="Z100" s="5">
        <v>88</v>
      </c>
      <c r="AA100" s="5">
        <v>8.5101187618640797</v>
      </c>
    </row>
    <row r="101" spans="1:27" s="5" customFormat="1" x14ac:dyDescent="0.25">
      <c r="A101" s="70"/>
      <c r="B101" s="18"/>
      <c r="C101" s="7">
        <v>41979</v>
      </c>
      <c r="D101" s="15">
        <v>4</v>
      </c>
      <c r="E101" s="15">
        <v>3.4</v>
      </c>
      <c r="F101" s="5">
        <v>5.7</v>
      </c>
      <c r="G101" s="5">
        <f t="shared" si="15"/>
        <v>1186.0000000000005</v>
      </c>
      <c r="H101" s="5">
        <f t="shared" si="22"/>
        <v>24.299999999999997</v>
      </c>
      <c r="I101" s="19" t="s">
        <v>36</v>
      </c>
      <c r="J101" s="5">
        <v>0</v>
      </c>
      <c r="K101" s="5">
        <f t="shared" si="16"/>
        <v>156.89999999999992</v>
      </c>
      <c r="L101" s="5">
        <v>0.6</v>
      </c>
      <c r="M101" s="5">
        <f t="shared" si="17"/>
        <v>142.2000000000001</v>
      </c>
      <c r="N101" s="9">
        <f t="shared" si="14"/>
        <v>-0.6</v>
      </c>
      <c r="O101" s="5">
        <f t="shared" si="20"/>
        <v>84.899999999999991</v>
      </c>
      <c r="P101" s="5">
        <v>96</v>
      </c>
      <c r="Q101" s="5">
        <v>1</v>
      </c>
      <c r="R101" s="10">
        <f t="shared" si="11"/>
        <v>0.6</v>
      </c>
      <c r="S101" s="10">
        <f t="shared" si="12"/>
        <v>-0.6</v>
      </c>
      <c r="T101" s="10">
        <f t="shared" si="18"/>
        <v>98.915925925925961</v>
      </c>
      <c r="U101" s="19" t="s">
        <v>37</v>
      </c>
      <c r="V101" s="14">
        <v>483.2</v>
      </c>
      <c r="W101" s="5">
        <f t="shared" si="13"/>
        <v>120.8</v>
      </c>
      <c r="X101" s="5">
        <f t="shared" si="19"/>
        <v>74181.10000000002</v>
      </c>
      <c r="Y101" s="5">
        <f t="shared" si="23"/>
        <v>1786.3</v>
      </c>
      <c r="AA101" s="5">
        <v>8.4847435177027197</v>
      </c>
    </row>
    <row r="102" spans="1:27" s="5" customFormat="1" x14ac:dyDescent="0.25">
      <c r="A102" s="70"/>
      <c r="B102" s="18"/>
      <c r="C102" s="7">
        <v>41980</v>
      </c>
      <c r="D102" s="15">
        <v>2.6</v>
      </c>
      <c r="E102" s="20">
        <v>-0.6</v>
      </c>
      <c r="F102" s="15">
        <v>4.7</v>
      </c>
      <c r="G102" s="5">
        <f t="shared" si="15"/>
        <v>1188.6000000000004</v>
      </c>
      <c r="H102" s="5">
        <f t="shared" si="22"/>
        <v>26.9</v>
      </c>
      <c r="I102" s="5">
        <v>33</v>
      </c>
      <c r="J102" s="5">
        <v>2</v>
      </c>
      <c r="K102" s="5">
        <f t="shared" si="16"/>
        <v>158.89999999999992</v>
      </c>
      <c r="L102" s="5">
        <v>0.1</v>
      </c>
      <c r="M102" s="5">
        <f t="shared" si="17"/>
        <v>142.3000000000001</v>
      </c>
      <c r="N102" s="5">
        <f t="shared" si="14"/>
        <v>1.9</v>
      </c>
      <c r="O102" s="5">
        <f t="shared" si="20"/>
        <v>86.8</v>
      </c>
      <c r="P102" s="5">
        <v>97</v>
      </c>
      <c r="Q102" s="5">
        <v>1</v>
      </c>
      <c r="R102" s="10">
        <f t="shared" si="11"/>
        <v>0.1</v>
      </c>
      <c r="S102" s="10">
        <f t="shared" si="12"/>
        <v>1.9</v>
      </c>
      <c r="T102" s="10">
        <f t="shared" si="18"/>
        <v>100.81592592592597</v>
      </c>
      <c r="U102" s="10">
        <f>MIN(T95:T194)</f>
        <v>98.915925925925961</v>
      </c>
      <c r="V102" s="14">
        <v>110.7</v>
      </c>
      <c r="W102" s="5">
        <f t="shared" si="13"/>
        <v>42.576923076923073</v>
      </c>
      <c r="X102" s="5">
        <f t="shared" si="19"/>
        <v>74291.800000000017</v>
      </c>
      <c r="Y102" s="5">
        <f t="shared" si="23"/>
        <v>1897</v>
      </c>
      <c r="AA102" s="5">
        <v>8.4607086609392006</v>
      </c>
    </row>
    <row r="103" spans="1:27" s="5" customFormat="1" x14ac:dyDescent="0.25">
      <c r="A103" s="70"/>
      <c r="B103" s="18"/>
      <c r="C103" s="7">
        <v>41981</v>
      </c>
      <c r="D103" s="15">
        <v>3.1</v>
      </c>
      <c r="E103" s="15">
        <v>1.2</v>
      </c>
      <c r="F103" s="5">
        <v>5.6</v>
      </c>
      <c r="G103" s="5">
        <f t="shared" si="15"/>
        <v>1191.7000000000003</v>
      </c>
      <c r="H103" s="5">
        <f t="shared" si="22"/>
        <v>30</v>
      </c>
      <c r="I103" s="19" t="s">
        <v>38</v>
      </c>
      <c r="J103" s="5">
        <v>2.2999999999999998</v>
      </c>
      <c r="K103" s="5">
        <f t="shared" si="16"/>
        <v>161.19999999999993</v>
      </c>
      <c r="L103" s="5">
        <v>0.2</v>
      </c>
      <c r="M103" s="5">
        <f t="shared" si="17"/>
        <v>142.50000000000009</v>
      </c>
      <c r="N103" s="5">
        <f t="shared" si="14"/>
        <v>2.0999999999999996</v>
      </c>
      <c r="O103" s="5">
        <f t="shared" si="20"/>
        <v>88.899999999999991</v>
      </c>
      <c r="P103" s="5">
        <v>98</v>
      </c>
      <c r="Q103" s="5">
        <v>1</v>
      </c>
      <c r="R103" s="10">
        <f t="shared" si="11"/>
        <v>0.2</v>
      </c>
      <c r="S103" s="10">
        <f t="shared" si="12"/>
        <v>2.0999999999999996</v>
      </c>
      <c r="T103" s="10">
        <f t="shared" si="18"/>
        <v>102.91592592592596</v>
      </c>
      <c r="U103" s="19" t="s">
        <v>39</v>
      </c>
      <c r="V103" s="14">
        <v>82.9</v>
      </c>
      <c r="W103" s="5">
        <f t="shared" si="13"/>
        <v>26.741935483870968</v>
      </c>
      <c r="X103" s="5">
        <f t="shared" si="19"/>
        <v>74374.700000000012</v>
      </c>
      <c r="Y103" s="5">
        <f t="shared" si="23"/>
        <v>1979.9</v>
      </c>
      <c r="AA103" s="5">
        <v>8.4380400376862106</v>
      </c>
    </row>
    <row r="104" spans="1:27" s="5" customFormat="1" x14ac:dyDescent="0.25">
      <c r="A104" s="70"/>
      <c r="B104" s="18"/>
      <c r="C104" s="7">
        <v>41982</v>
      </c>
      <c r="D104" s="15">
        <v>1.5</v>
      </c>
      <c r="E104" s="20">
        <v>-1.9</v>
      </c>
      <c r="F104" s="15">
        <v>5</v>
      </c>
      <c r="G104" s="5">
        <f t="shared" si="15"/>
        <v>1193.2000000000003</v>
      </c>
      <c r="H104" s="5">
        <f t="shared" si="22"/>
        <v>31.5</v>
      </c>
      <c r="I104" s="5">
        <v>0</v>
      </c>
      <c r="J104" s="5">
        <v>1.9</v>
      </c>
      <c r="K104" s="5">
        <f t="shared" si="16"/>
        <v>163.09999999999994</v>
      </c>
      <c r="L104" s="5">
        <v>0.4</v>
      </c>
      <c r="M104" s="5">
        <f t="shared" si="17"/>
        <v>142.90000000000009</v>
      </c>
      <c r="N104" s="5">
        <f t="shared" si="14"/>
        <v>1.5</v>
      </c>
      <c r="O104" s="5">
        <f t="shared" si="20"/>
        <v>90.399999999999991</v>
      </c>
      <c r="P104" s="5">
        <v>99</v>
      </c>
      <c r="Q104" s="5">
        <v>1</v>
      </c>
      <c r="R104" s="10">
        <f t="shared" si="11"/>
        <v>0.4</v>
      </c>
      <c r="S104" s="10">
        <f t="shared" si="12"/>
        <v>1.5</v>
      </c>
      <c r="T104" s="10">
        <f t="shared" si="18"/>
        <v>104.41592592592596</v>
      </c>
      <c r="U104" s="10">
        <f>MAX(T95:T194)</f>
        <v>197.4</v>
      </c>
      <c r="V104" s="14">
        <v>358.5</v>
      </c>
      <c r="W104" s="5">
        <f t="shared" si="13"/>
        <v>239</v>
      </c>
      <c r="X104" s="5">
        <f t="shared" si="19"/>
        <v>74733.200000000012</v>
      </c>
      <c r="Y104" s="5">
        <f t="shared" si="23"/>
        <v>2338.4</v>
      </c>
      <c r="AA104" s="5">
        <v>8.4167624564835695</v>
      </c>
    </row>
    <row r="105" spans="1:27" s="5" customFormat="1" x14ac:dyDescent="0.25">
      <c r="A105" s="70"/>
      <c r="B105" s="6"/>
      <c r="C105" s="7">
        <v>41983</v>
      </c>
      <c r="D105" s="5">
        <v>6.1</v>
      </c>
      <c r="E105" s="15">
        <v>1.2</v>
      </c>
      <c r="F105" s="5">
        <v>8.5</v>
      </c>
      <c r="G105" s="5">
        <f t="shared" si="15"/>
        <v>1199.3000000000002</v>
      </c>
      <c r="H105" s="5">
        <f t="shared" si="22"/>
        <v>37.6</v>
      </c>
      <c r="I105" s="19" t="s">
        <v>40</v>
      </c>
      <c r="J105" s="5">
        <v>1.1000000000000001</v>
      </c>
      <c r="K105" s="5">
        <f t="shared" si="16"/>
        <v>164.19999999999993</v>
      </c>
      <c r="L105" s="5">
        <v>0.1</v>
      </c>
      <c r="M105" s="5">
        <f t="shared" si="17"/>
        <v>143.00000000000009</v>
      </c>
      <c r="N105" s="5">
        <f t="shared" si="14"/>
        <v>1</v>
      </c>
      <c r="O105" s="5">
        <f t="shared" si="20"/>
        <v>91.399999999999991</v>
      </c>
      <c r="P105" s="5">
        <v>100</v>
      </c>
      <c r="Q105" s="5">
        <v>1</v>
      </c>
      <c r="R105" s="10">
        <f t="shared" si="11"/>
        <v>0.1</v>
      </c>
      <c r="S105" s="10">
        <f t="shared" si="12"/>
        <v>1</v>
      </c>
      <c r="T105" s="10">
        <f t="shared" si="18"/>
        <v>105.41592592592596</v>
      </c>
      <c r="U105" s="19" t="s">
        <v>41</v>
      </c>
      <c r="V105" s="14">
        <v>166.9</v>
      </c>
      <c r="W105" s="5">
        <f t="shared" si="13"/>
        <v>27.360655737704921</v>
      </c>
      <c r="X105" s="5">
        <f t="shared" si="19"/>
        <v>74900.100000000006</v>
      </c>
      <c r="Y105" s="5">
        <f t="shared" si="23"/>
        <v>2505.3000000000002</v>
      </c>
      <c r="AA105" s="5">
        <v>8.3968995971842908</v>
      </c>
    </row>
    <row r="106" spans="1:27" s="5" customFormat="1" x14ac:dyDescent="0.25">
      <c r="A106" s="70"/>
      <c r="B106" s="6"/>
      <c r="C106" s="7">
        <v>41984</v>
      </c>
      <c r="D106" s="5">
        <v>7.5</v>
      </c>
      <c r="E106" s="5">
        <v>5.4</v>
      </c>
      <c r="F106" s="5">
        <v>8.5</v>
      </c>
      <c r="G106" s="5">
        <f t="shared" si="15"/>
        <v>1206.8000000000002</v>
      </c>
      <c r="H106" s="5">
        <f t="shared" si="22"/>
        <v>45.1</v>
      </c>
      <c r="I106" s="5">
        <v>49</v>
      </c>
      <c r="J106" s="5">
        <v>0.9</v>
      </c>
      <c r="K106" s="5">
        <f t="shared" si="16"/>
        <v>165.09999999999994</v>
      </c>
      <c r="L106" s="5">
        <v>0.6</v>
      </c>
      <c r="M106" s="5">
        <f t="shared" si="17"/>
        <v>143.60000000000008</v>
      </c>
      <c r="N106" s="5">
        <f t="shared" si="14"/>
        <v>0.30000000000000004</v>
      </c>
      <c r="O106" s="5">
        <f t="shared" si="20"/>
        <v>91.699999999999989</v>
      </c>
      <c r="P106" s="5">
        <v>101</v>
      </c>
      <c r="Q106" s="5">
        <v>1</v>
      </c>
      <c r="R106" s="10">
        <f t="shared" si="11"/>
        <v>0.6</v>
      </c>
      <c r="S106" s="10">
        <f t="shared" si="12"/>
        <v>0.30000000000000004</v>
      </c>
      <c r="T106" s="10">
        <f t="shared" si="18"/>
        <v>105.71592592592596</v>
      </c>
      <c r="U106" s="12">
        <f>AVERAGE(T95:T194)</f>
        <v>157.7730148148149</v>
      </c>
      <c r="V106" s="14">
        <v>297.89999999999998</v>
      </c>
      <c r="W106" s="5">
        <f t="shared" si="13"/>
        <v>39.72</v>
      </c>
      <c r="X106" s="5">
        <f t="shared" si="19"/>
        <v>75198</v>
      </c>
      <c r="Y106" s="5">
        <f t="shared" si="23"/>
        <v>2803.2000000000003</v>
      </c>
      <c r="AA106" s="5">
        <v>8.3784739218361501</v>
      </c>
    </row>
    <row r="107" spans="1:27" s="5" customFormat="1" x14ac:dyDescent="0.25">
      <c r="A107" s="70"/>
      <c r="B107" s="6"/>
      <c r="C107" s="7">
        <v>41985</v>
      </c>
      <c r="D107" s="5">
        <v>9.3000000000000007</v>
      </c>
      <c r="E107" s="5">
        <v>8.4</v>
      </c>
      <c r="F107" s="5">
        <v>10.3</v>
      </c>
      <c r="G107" s="5">
        <f t="shared" si="15"/>
        <v>1216.1000000000001</v>
      </c>
      <c r="H107" s="5">
        <f t="shared" si="22"/>
        <v>54.400000000000006</v>
      </c>
      <c r="I107" s="19" t="s">
        <v>42</v>
      </c>
      <c r="J107" s="5">
        <v>10.8</v>
      </c>
      <c r="K107" s="5">
        <f t="shared" si="16"/>
        <v>175.89999999999995</v>
      </c>
      <c r="L107" s="5">
        <v>0.8</v>
      </c>
      <c r="M107" s="5">
        <f t="shared" si="17"/>
        <v>144.40000000000009</v>
      </c>
      <c r="N107" s="5">
        <f t="shared" si="14"/>
        <v>10</v>
      </c>
      <c r="O107" s="5">
        <f t="shared" si="20"/>
        <v>101.69999999999999</v>
      </c>
      <c r="P107" s="5">
        <v>102</v>
      </c>
      <c r="Q107" s="5">
        <v>1</v>
      </c>
      <c r="R107" s="10">
        <f t="shared" si="11"/>
        <v>0.8</v>
      </c>
      <c r="S107" s="10">
        <f t="shared" si="12"/>
        <v>10</v>
      </c>
      <c r="T107" s="10">
        <f t="shared" si="18"/>
        <v>115.71592592592596</v>
      </c>
      <c r="U107" s="19" t="s">
        <v>44</v>
      </c>
      <c r="V107" s="14">
        <v>119.5</v>
      </c>
      <c r="W107" s="5">
        <f t="shared" si="13"/>
        <v>12.849462365591396</v>
      </c>
      <c r="X107" s="5">
        <f t="shared" si="19"/>
        <v>75317.5</v>
      </c>
      <c r="Y107" s="5">
        <f t="shared" si="23"/>
        <v>2922.7000000000003</v>
      </c>
      <c r="AA107" s="5">
        <v>8.3615065882058808</v>
      </c>
    </row>
    <row r="108" spans="1:27" s="5" customFormat="1" x14ac:dyDescent="0.25">
      <c r="A108" s="70"/>
      <c r="B108" s="6"/>
      <c r="C108" s="7">
        <v>41986</v>
      </c>
      <c r="D108" s="5">
        <v>5.9</v>
      </c>
      <c r="E108" s="15">
        <v>3.5</v>
      </c>
      <c r="F108" s="5">
        <v>7.7</v>
      </c>
      <c r="G108" s="5">
        <f t="shared" si="15"/>
        <v>1222.0000000000002</v>
      </c>
      <c r="H108" s="5">
        <f t="shared" si="22"/>
        <v>60.300000000000004</v>
      </c>
      <c r="I108" s="5">
        <v>430.9</v>
      </c>
      <c r="J108" s="5">
        <v>8.4</v>
      </c>
      <c r="K108" s="5">
        <f t="shared" si="16"/>
        <v>184.29999999999995</v>
      </c>
      <c r="L108" s="5">
        <v>0.2</v>
      </c>
      <c r="M108" s="5">
        <f t="shared" si="17"/>
        <v>144.60000000000008</v>
      </c>
      <c r="N108" s="5">
        <f t="shared" si="14"/>
        <v>8.2000000000000011</v>
      </c>
      <c r="O108" s="5">
        <f t="shared" si="20"/>
        <v>109.89999999999999</v>
      </c>
      <c r="P108" s="5">
        <v>103</v>
      </c>
      <c r="Q108" s="5">
        <v>1</v>
      </c>
      <c r="R108" s="10">
        <f t="shared" si="11"/>
        <v>0.2</v>
      </c>
      <c r="S108" s="10">
        <f t="shared" si="12"/>
        <v>8.2000000000000011</v>
      </c>
      <c r="T108" s="10">
        <f t="shared" si="18"/>
        <v>123.91592592592596</v>
      </c>
      <c r="U108" s="5">
        <v>31</v>
      </c>
      <c r="V108" s="14">
        <v>67.7</v>
      </c>
      <c r="W108" s="5">
        <f t="shared" si="13"/>
        <v>11.474576271186441</v>
      </c>
      <c r="X108" s="5">
        <f t="shared" si="19"/>
        <v>75385.2</v>
      </c>
      <c r="Y108" s="5">
        <f t="shared" si="23"/>
        <v>2990.4</v>
      </c>
      <c r="AA108" s="5">
        <v>8.3460173665964099</v>
      </c>
    </row>
    <row r="109" spans="1:27" s="5" customFormat="1" x14ac:dyDescent="0.25">
      <c r="A109" s="70"/>
      <c r="B109" s="18"/>
      <c r="C109" s="7">
        <v>41987</v>
      </c>
      <c r="D109" s="15">
        <v>0.4</v>
      </c>
      <c r="E109" s="20">
        <v>-0.9</v>
      </c>
      <c r="F109" s="15">
        <v>1</v>
      </c>
      <c r="G109" s="5">
        <f t="shared" si="15"/>
        <v>1222.4000000000003</v>
      </c>
      <c r="H109" s="5">
        <f t="shared" si="22"/>
        <v>60.7</v>
      </c>
      <c r="J109" s="5">
        <v>0</v>
      </c>
      <c r="K109" s="5">
        <f t="shared" si="16"/>
        <v>184.29999999999995</v>
      </c>
      <c r="L109" s="5">
        <v>0.3</v>
      </c>
      <c r="M109" s="5">
        <f t="shared" si="17"/>
        <v>144.90000000000009</v>
      </c>
      <c r="N109" s="9">
        <f t="shared" si="14"/>
        <v>-0.3</v>
      </c>
      <c r="O109" s="5">
        <f t="shared" si="20"/>
        <v>109.6</v>
      </c>
      <c r="P109" s="5">
        <v>104</v>
      </c>
      <c r="Q109" s="5">
        <v>1</v>
      </c>
      <c r="R109" s="10">
        <f t="shared" si="11"/>
        <v>0.3</v>
      </c>
      <c r="S109" s="10">
        <f t="shared" si="12"/>
        <v>-0.3</v>
      </c>
      <c r="T109" s="10">
        <f t="shared" si="18"/>
        <v>123.61592592592596</v>
      </c>
      <c r="V109" s="14">
        <v>293.89999999999998</v>
      </c>
      <c r="W109" s="5">
        <f t="shared" si="13"/>
        <v>734.74999999999989</v>
      </c>
      <c r="X109" s="5">
        <f t="shared" si="19"/>
        <v>75679.099999999991</v>
      </c>
      <c r="Y109" s="5">
        <f t="shared" si="23"/>
        <v>3284.3</v>
      </c>
      <c r="AA109" s="5">
        <v>8.3320245606030294</v>
      </c>
    </row>
    <row r="110" spans="1:27" s="5" customFormat="1" x14ac:dyDescent="0.25">
      <c r="A110" s="70"/>
      <c r="B110" s="18"/>
      <c r="C110" s="7">
        <v>41988</v>
      </c>
      <c r="D110" s="15">
        <v>3</v>
      </c>
      <c r="E110" s="20">
        <v>-0.3</v>
      </c>
      <c r="F110" s="5">
        <v>5.6</v>
      </c>
      <c r="G110" s="5">
        <f t="shared" si="15"/>
        <v>1225.4000000000003</v>
      </c>
      <c r="H110" s="5">
        <f t="shared" si="22"/>
        <v>63.7</v>
      </c>
      <c r="J110" s="5">
        <v>0.9</v>
      </c>
      <c r="K110" s="5">
        <f t="shared" si="16"/>
        <v>185.19999999999996</v>
      </c>
      <c r="L110" s="5">
        <v>0.1</v>
      </c>
      <c r="M110" s="5">
        <f t="shared" si="17"/>
        <v>145.00000000000009</v>
      </c>
      <c r="N110" s="5">
        <f t="shared" si="14"/>
        <v>0.8</v>
      </c>
      <c r="O110" s="5">
        <f t="shared" si="20"/>
        <v>110.39999999999999</v>
      </c>
      <c r="P110" s="5">
        <v>105</v>
      </c>
      <c r="Q110" s="5">
        <v>1</v>
      </c>
      <c r="R110" s="10">
        <f t="shared" si="11"/>
        <v>0.1</v>
      </c>
      <c r="S110" s="10">
        <f t="shared" si="12"/>
        <v>0.8</v>
      </c>
      <c r="T110" s="10">
        <f t="shared" si="18"/>
        <v>124.41592592592596</v>
      </c>
      <c r="U110" s="10">
        <f>(U106*100)/197.4</f>
        <v>79.9255394198657</v>
      </c>
      <c r="V110" s="14">
        <v>86.2</v>
      </c>
      <c r="W110" s="5">
        <f t="shared" si="13"/>
        <v>28.733333333333334</v>
      </c>
      <c r="X110" s="5">
        <f t="shared" si="19"/>
        <v>75765.299999999988</v>
      </c>
      <c r="Y110" s="5">
        <f t="shared" si="23"/>
        <v>3370.5</v>
      </c>
      <c r="AA110" s="5">
        <v>8.3195449324420494</v>
      </c>
    </row>
    <row r="111" spans="1:27" s="5" customFormat="1" x14ac:dyDescent="0.25">
      <c r="A111" s="70"/>
      <c r="B111" s="6"/>
      <c r="C111" s="7">
        <v>41989</v>
      </c>
      <c r="D111" s="5">
        <v>6.1</v>
      </c>
      <c r="E111" s="5">
        <v>5.0999999999999996</v>
      </c>
      <c r="F111" s="5">
        <v>8.1999999999999993</v>
      </c>
      <c r="G111" s="5">
        <f t="shared" si="15"/>
        <v>1231.5000000000002</v>
      </c>
      <c r="H111" s="5">
        <f t="shared" si="22"/>
        <v>69.8</v>
      </c>
      <c r="J111" s="5">
        <v>4.9000000000000004</v>
      </c>
      <c r="K111" s="5">
        <f t="shared" si="16"/>
        <v>190.09999999999997</v>
      </c>
      <c r="L111" s="5">
        <v>0.4</v>
      </c>
      <c r="M111" s="5">
        <f t="shared" si="17"/>
        <v>145.40000000000009</v>
      </c>
      <c r="N111" s="5">
        <f t="shared" si="14"/>
        <v>4.5</v>
      </c>
      <c r="O111" s="5">
        <f t="shared" si="20"/>
        <v>114.89999999999999</v>
      </c>
      <c r="P111" s="5">
        <v>106</v>
      </c>
      <c r="Q111" s="5">
        <v>1</v>
      </c>
      <c r="R111" s="10">
        <f t="shared" si="11"/>
        <v>0.4</v>
      </c>
      <c r="S111" s="10">
        <f t="shared" si="12"/>
        <v>4.5</v>
      </c>
      <c r="T111" s="10">
        <f t="shared" si="18"/>
        <v>128.91592592592596</v>
      </c>
      <c r="V111" s="14">
        <v>219.9</v>
      </c>
      <c r="W111" s="5">
        <f t="shared" si="13"/>
        <v>36.049180327868854</v>
      </c>
      <c r="X111" s="5">
        <f t="shared" si="19"/>
        <v>75985.199999999983</v>
      </c>
      <c r="Y111" s="5">
        <f t="shared" si="23"/>
        <v>3590.4</v>
      </c>
      <c r="AA111" s="5">
        <v>8.3085936334645503</v>
      </c>
    </row>
    <row r="112" spans="1:27" s="5" customFormat="1" x14ac:dyDescent="0.25">
      <c r="A112" s="70"/>
      <c r="B112" s="6"/>
      <c r="C112" s="7">
        <v>41990</v>
      </c>
      <c r="D112" s="5">
        <v>8.6999999999999993</v>
      </c>
      <c r="E112" s="15">
        <v>4.9000000000000004</v>
      </c>
      <c r="F112" s="5">
        <v>12</v>
      </c>
      <c r="G112" s="5">
        <f t="shared" si="15"/>
        <v>1240.2000000000003</v>
      </c>
      <c r="H112" s="5">
        <f t="shared" si="22"/>
        <v>78.5</v>
      </c>
      <c r="J112" s="5">
        <v>7.4</v>
      </c>
      <c r="K112" s="5">
        <f t="shared" si="16"/>
        <v>197.49999999999997</v>
      </c>
      <c r="L112" s="5">
        <v>0.2</v>
      </c>
      <c r="M112" s="5">
        <f t="shared" si="17"/>
        <v>145.60000000000008</v>
      </c>
      <c r="N112" s="5">
        <f t="shared" si="14"/>
        <v>7.2</v>
      </c>
      <c r="O112" s="5">
        <f t="shared" si="20"/>
        <v>122.1</v>
      </c>
      <c r="P112" s="5">
        <v>107</v>
      </c>
      <c r="Q112" s="5">
        <v>1</v>
      </c>
      <c r="R112" s="10">
        <f t="shared" si="11"/>
        <v>0.2</v>
      </c>
      <c r="S112" s="10">
        <f t="shared" si="12"/>
        <v>7.2</v>
      </c>
      <c r="T112" s="10">
        <f t="shared" si="18"/>
        <v>136.11592592592595</v>
      </c>
      <c r="V112" s="14">
        <v>63.6</v>
      </c>
      <c r="W112" s="5">
        <f t="shared" si="13"/>
        <v>7.3103448275862073</v>
      </c>
      <c r="X112" s="5">
        <f t="shared" si="19"/>
        <v>76048.799999999988</v>
      </c>
      <c r="Y112" s="5">
        <f t="shared" si="23"/>
        <v>3654</v>
      </c>
      <c r="AA112" s="5">
        <v>8.2991841404390208</v>
      </c>
    </row>
    <row r="113" spans="1:27" s="5" customFormat="1" x14ac:dyDescent="0.25">
      <c r="A113" s="70"/>
      <c r="B113" s="6"/>
      <c r="C113" s="7">
        <v>41991</v>
      </c>
      <c r="D113" s="5">
        <v>11.9</v>
      </c>
      <c r="E113" s="5">
        <v>11.1</v>
      </c>
      <c r="F113" s="5">
        <v>13.3</v>
      </c>
      <c r="G113" s="5">
        <f t="shared" si="15"/>
        <v>1252.1000000000004</v>
      </c>
      <c r="H113" s="5">
        <f t="shared" si="22"/>
        <v>90.4</v>
      </c>
      <c r="J113" s="5">
        <v>0</v>
      </c>
      <c r="K113" s="5">
        <f t="shared" si="16"/>
        <v>197.49999999999997</v>
      </c>
      <c r="L113" s="5">
        <v>0.6</v>
      </c>
      <c r="M113" s="5">
        <f t="shared" si="17"/>
        <v>146.20000000000007</v>
      </c>
      <c r="N113" s="9">
        <f t="shared" si="14"/>
        <v>-0.6</v>
      </c>
      <c r="O113" s="5">
        <f t="shared" si="20"/>
        <v>121.5</v>
      </c>
      <c r="P113" s="5">
        <v>108</v>
      </c>
      <c r="Q113" s="5">
        <v>1</v>
      </c>
      <c r="R113" s="10">
        <f t="shared" si="11"/>
        <v>0.6</v>
      </c>
      <c r="S113" s="10">
        <f t="shared" si="12"/>
        <v>-0.6</v>
      </c>
      <c r="T113" s="10">
        <f t="shared" si="18"/>
        <v>135.51592592592596</v>
      </c>
      <c r="V113" s="14">
        <v>119.9</v>
      </c>
      <c r="W113" s="5">
        <f t="shared" si="13"/>
        <v>10.07563025210084</v>
      </c>
      <c r="X113" s="5">
        <f t="shared" si="19"/>
        <v>76168.699999999983</v>
      </c>
      <c r="Y113" s="5">
        <f t="shared" si="23"/>
        <v>3773.9</v>
      </c>
      <c r="AA113" s="5">
        <v>8.2913281981491203</v>
      </c>
    </row>
    <row r="114" spans="1:27" s="5" customFormat="1" x14ac:dyDescent="0.25">
      <c r="A114" s="70"/>
      <c r="B114" s="6"/>
      <c r="C114" s="7">
        <v>41992</v>
      </c>
      <c r="D114" s="5">
        <v>10.1</v>
      </c>
      <c r="E114" s="5">
        <v>10.199999999999999</v>
      </c>
      <c r="F114" s="5">
        <v>11.2</v>
      </c>
      <c r="G114" s="5">
        <f t="shared" si="15"/>
        <v>1262.2000000000003</v>
      </c>
      <c r="H114" s="5">
        <f t="shared" si="22"/>
        <v>100.5</v>
      </c>
      <c r="J114" s="5">
        <v>4.0999999999999996</v>
      </c>
      <c r="K114" s="5">
        <f t="shared" si="16"/>
        <v>201.59999999999997</v>
      </c>
      <c r="L114" s="5">
        <v>0.8</v>
      </c>
      <c r="M114" s="5">
        <f t="shared" si="17"/>
        <v>147.00000000000009</v>
      </c>
      <c r="N114" s="5">
        <f t="shared" si="14"/>
        <v>3.3</v>
      </c>
      <c r="O114" s="5">
        <f t="shared" si="20"/>
        <v>124.8</v>
      </c>
      <c r="P114" s="5">
        <v>109</v>
      </c>
      <c r="Q114" s="5">
        <v>1</v>
      </c>
      <c r="R114" s="10">
        <f t="shared" si="11"/>
        <v>0.8</v>
      </c>
      <c r="S114" s="10">
        <f t="shared" si="12"/>
        <v>3.3</v>
      </c>
      <c r="T114" s="10">
        <f t="shared" si="18"/>
        <v>138.81592592592597</v>
      </c>
      <c r="V114" s="14">
        <v>86.2</v>
      </c>
      <c r="W114" s="5">
        <f t="shared" si="13"/>
        <v>8.5346534653465351</v>
      </c>
      <c r="X114" s="5">
        <f t="shared" si="19"/>
        <v>76254.89999999998</v>
      </c>
      <c r="Y114" s="5">
        <f t="shared" si="23"/>
        <v>3860.1</v>
      </c>
      <c r="AA114" s="5">
        <v>8.2850357688081306</v>
      </c>
    </row>
    <row r="115" spans="1:27" s="5" customFormat="1" x14ac:dyDescent="0.25">
      <c r="A115" s="70"/>
      <c r="B115" s="6"/>
      <c r="C115" s="7">
        <v>41993</v>
      </c>
      <c r="D115" s="5">
        <v>7</v>
      </c>
      <c r="E115" s="5">
        <v>6.4</v>
      </c>
      <c r="F115" s="5">
        <v>8.8000000000000007</v>
      </c>
      <c r="G115" s="5">
        <f t="shared" si="15"/>
        <v>1269.2000000000003</v>
      </c>
      <c r="H115" s="5">
        <f t="shared" si="22"/>
        <v>107.5</v>
      </c>
      <c r="J115" s="5">
        <v>0</v>
      </c>
      <c r="K115" s="5">
        <f t="shared" si="16"/>
        <v>201.59999999999997</v>
      </c>
      <c r="L115" s="5">
        <v>1</v>
      </c>
      <c r="M115" s="5">
        <f t="shared" si="17"/>
        <v>148.00000000000009</v>
      </c>
      <c r="N115" s="9">
        <f t="shared" si="14"/>
        <v>-1</v>
      </c>
      <c r="O115" s="5">
        <f t="shared" si="20"/>
        <v>123.8</v>
      </c>
      <c r="P115" s="5">
        <v>110</v>
      </c>
      <c r="Q115" s="5">
        <v>1</v>
      </c>
      <c r="R115" s="10">
        <f t="shared" si="11"/>
        <v>1</v>
      </c>
      <c r="S115" s="10">
        <f t="shared" si="12"/>
        <v>-1</v>
      </c>
      <c r="T115" s="10">
        <f t="shared" si="18"/>
        <v>137.81592592592597</v>
      </c>
      <c r="V115" s="14">
        <v>217</v>
      </c>
      <c r="W115" s="5">
        <f t="shared" si="13"/>
        <v>31</v>
      </c>
      <c r="X115" s="5">
        <f t="shared" si="19"/>
        <v>76471.89999999998</v>
      </c>
      <c r="Y115" s="5">
        <f t="shared" si="23"/>
        <v>4077.1</v>
      </c>
      <c r="AA115" s="5">
        <v>8.2803149887385707</v>
      </c>
    </row>
    <row r="116" spans="1:27" s="5" customFormat="1" x14ac:dyDescent="0.25">
      <c r="A116" s="70"/>
      <c r="B116" s="6"/>
      <c r="C116" s="7">
        <v>41994</v>
      </c>
      <c r="D116" s="5">
        <v>7</v>
      </c>
      <c r="E116" s="15">
        <v>4.8</v>
      </c>
      <c r="F116" s="5">
        <v>8.3000000000000007</v>
      </c>
      <c r="G116" s="5">
        <f t="shared" si="15"/>
        <v>1276.2000000000003</v>
      </c>
      <c r="H116" s="5">
        <f t="shared" si="22"/>
        <v>114.5</v>
      </c>
      <c r="J116" s="5">
        <v>0</v>
      </c>
      <c r="K116" s="5">
        <f t="shared" si="16"/>
        <v>201.59999999999997</v>
      </c>
      <c r="L116" s="5">
        <v>0.6</v>
      </c>
      <c r="M116" s="5">
        <f t="shared" si="17"/>
        <v>148.60000000000008</v>
      </c>
      <c r="N116" s="9">
        <f t="shared" si="14"/>
        <v>-0.6</v>
      </c>
      <c r="O116" s="5">
        <f t="shared" si="20"/>
        <v>123.2</v>
      </c>
      <c r="P116" s="5">
        <v>111</v>
      </c>
      <c r="Q116" s="5">
        <v>1</v>
      </c>
      <c r="R116" s="10">
        <f t="shared" si="11"/>
        <v>0.6</v>
      </c>
      <c r="S116" s="10">
        <f t="shared" si="12"/>
        <v>-0.6</v>
      </c>
      <c r="T116" s="10">
        <f t="shared" si="18"/>
        <v>137.21592592592597</v>
      </c>
      <c r="V116" s="14">
        <v>141.80000000000001</v>
      </c>
      <c r="W116" s="5">
        <f t="shared" si="13"/>
        <v>20.25714285714286</v>
      </c>
      <c r="X116" s="5">
        <f t="shared" si="19"/>
        <v>76613.699999999983</v>
      </c>
      <c r="Y116" s="5">
        <f t="shared" si="23"/>
        <v>4218.8999999999996</v>
      </c>
      <c r="AA116" s="5">
        <v>8.2771721327067294</v>
      </c>
    </row>
    <row r="117" spans="1:27" s="5" customFormat="1" x14ac:dyDescent="0.25">
      <c r="A117" s="70"/>
      <c r="B117" s="6"/>
      <c r="C117" s="7">
        <v>41995</v>
      </c>
      <c r="D117" s="5">
        <v>8.6</v>
      </c>
      <c r="E117" s="5">
        <v>7.3</v>
      </c>
      <c r="F117" s="5">
        <v>9.6999999999999993</v>
      </c>
      <c r="G117" s="5">
        <f t="shared" si="15"/>
        <v>1284.8000000000002</v>
      </c>
      <c r="H117" s="5">
        <f t="shared" si="22"/>
        <v>123.1</v>
      </c>
      <c r="J117" s="5">
        <v>0.1</v>
      </c>
      <c r="K117" s="5">
        <f t="shared" si="16"/>
        <v>201.69999999999996</v>
      </c>
      <c r="L117" s="5">
        <v>0.7</v>
      </c>
      <c r="M117" s="5">
        <f t="shared" si="17"/>
        <v>149.30000000000007</v>
      </c>
      <c r="N117" s="9">
        <f t="shared" si="14"/>
        <v>-0.6</v>
      </c>
      <c r="O117" s="5">
        <f t="shared" si="20"/>
        <v>122.60000000000001</v>
      </c>
      <c r="P117" s="5">
        <v>112</v>
      </c>
      <c r="Q117" s="5">
        <v>1</v>
      </c>
      <c r="R117" s="10">
        <f t="shared" si="11"/>
        <v>0.7</v>
      </c>
      <c r="S117" s="10">
        <f t="shared" si="12"/>
        <v>-0.6</v>
      </c>
      <c r="T117" s="10">
        <f t="shared" si="18"/>
        <v>136.61592592592598</v>
      </c>
      <c r="V117" s="14">
        <v>135.30000000000001</v>
      </c>
      <c r="W117" s="5">
        <f t="shared" si="13"/>
        <v>15.732558139534886</v>
      </c>
      <c r="X117" s="5">
        <f t="shared" si="19"/>
        <v>76748.999999999985</v>
      </c>
      <c r="Y117" s="5">
        <f t="shared" si="23"/>
        <v>4354.2</v>
      </c>
      <c r="AA117" s="5">
        <v>8.2756115862361597</v>
      </c>
    </row>
    <row r="118" spans="1:27" s="5" customFormat="1" x14ac:dyDescent="0.25">
      <c r="A118" s="70"/>
      <c r="B118" s="6"/>
      <c r="C118" s="7">
        <v>41996</v>
      </c>
      <c r="D118" s="5">
        <v>6.8</v>
      </c>
      <c r="E118" s="5">
        <v>5.8</v>
      </c>
      <c r="F118" s="5">
        <v>7.5</v>
      </c>
      <c r="G118" s="5">
        <f t="shared" si="15"/>
        <v>1291.6000000000001</v>
      </c>
      <c r="H118" s="5">
        <f t="shared" si="22"/>
        <v>129.9</v>
      </c>
      <c r="J118" s="5">
        <v>0.1</v>
      </c>
      <c r="K118" s="5">
        <f t="shared" si="16"/>
        <v>201.79999999999995</v>
      </c>
      <c r="L118" s="5">
        <v>0.2</v>
      </c>
      <c r="M118" s="5">
        <f t="shared" si="17"/>
        <v>149.50000000000006</v>
      </c>
      <c r="N118" s="9">
        <f t="shared" si="14"/>
        <v>-0.1</v>
      </c>
      <c r="O118" s="5">
        <f t="shared" si="20"/>
        <v>122.50000000000001</v>
      </c>
      <c r="P118" s="5">
        <v>113</v>
      </c>
      <c r="Q118" s="5">
        <v>1</v>
      </c>
      <c r="R118" s="10">
        <f t="shared" si="11"/>
        <v>0.2</v>
      </c>
      <c r="S118" s="10">
        <f t="shared" si="12"/>
        <v>-0.1</v>
      </c>
      <c r="T118" s="10">
        <f t="shared" si="18"/>
        <v>136.51592592592598</v>
      </c>
      <c r="V118" s="14">
        <v>94.7</v>
      </c>
      <c r="W118" s="5">
        <f t="shared" si="13"/>
        <v>13.926470588235295</v>
      </c>
      <c r="X118" s="5">
        <f t="shared" si="19"/>
        <v>76843.699999999983</v>
      </c>
      <c r="Y118" s="5">
        <f t="shared" si="23"/>
        <v>4448.8999999999996</v>
      </c>
      <c r="AA118" s="5">
        <v>8.2756358261539393</v>
      </c>
    </row>
    <row r="119" spans="1:27" s="5" customFormat="1" x14ac:dyDescent="0.25">
      <c r="A119" s="70"/>
      <c r="B119" s="6"/>
      <c r="C119" s="7">
        <v>41997</v>
      </c>
      <c r="D119" s="5">
        <v>8.1</v>
      </c>
      <c r="E119" s="5">
        <v>5.7</v>
      </c>
      <c r="F119" s="5">
        <v>9.5</v>
      </c>
      <c r="G119" s="5">
        <f t="shared" si="15"/>
        <v>1299.7</v>
      </c>
      <c r="H119" s="5">
        <f t="shared" si="22"/>
        <v>138</v>
      </c>
      <c r="J119" s="5">
        <v>0.9</v>
      </c>
      <c r="K119" s="5">
        <f t="shared" si="16"/>
        <v>202.69999999999996</v>
      </c>
      <c r="L119" s="5">
        <v>0.3</v>
      </c>
      <c r="M119" s="5">
        <f t="shared" si="17"/>
        <v>149.80000000000007</v>
      </c>
      <c r="N119" s="5">
        <f t="shared" si="14"/>
        <v>0.60000000000000009</v>
      </c>
      <c r="O119" s="5">
        <f t="shared" si="20"/>
        <v>123.10000000000001</v>
      </c>
      <c r="P119" s="5">
        <v>114</v>
      </c>
      <c r="Q119" s="5">
        <v>1</v>
      </c>
      <c r="R119" s="10">
        <f t="shared" si="11"/>
        <v>0.3</v>
      </c>
      <c r="S119" s="10">
        <f t="shared" si="12"/>
        <v>0.60000000000000009</v>
      </c>
      <c r="T119" s="10">
        <f t="shared" si="18"/>
        <v>137.11592592592598</v>
      </c>
      <c r="V119" s="14">
        <v>125.5</v>
      </c>
      <c r="W119" s="5">
        <f t="shared" si="13"/>
        <v>15.493827160493828</v>
      </c>
      <c r="X119" s="5">
        <f t="shared" si="19"/>
        <v>76969.199999999983</v>
      </c>
      <c r="Y119" s="5">
        <f t="shared" si="23"/>
        <v>4574.3999999999996</v>
      </c>
      <c r="AA119" s="5">
        <v>8.2772454095492805</v>
      </c>
    </row>
    <row r="120" spans="1:27" s="5" customFormat="1" x14ac:dyDescent="0.25">
      <c r="A120" s="70"/>
      <c r="B120" s="18"/>
      <c r="C120" s="7">
        <v>41998</v>
      </c>
      <c r="D120" s="15">
        <v>5</v>
      </c>
      <c r="E120" s="15">
        <v>4.5</v>
      </c>
      <c r="F120" s="5">
        <v>6.9</v>
      </c>
      <c r="G120" s="5">
        <f t="shared" si="15"/>
        <v>1304.7</v>
      </c>
      <c r="H120" s="5">
        <f t="shared" si="22"/>
        <v>143</v>
      </c>
      <c r="J120" s="5">
        <v>0.1</v>
      </c>
      <c r="K120" s="5">
        <f t="shared" si="16"/>
        <v>202.79999999999995</v>
      </c>
      <c r="L120" s="5">
        <v>0.5</v>
      </c>
      <c r="M120" s="5">
        <f t="shared" si="17"/>
        <v>150.30000000000007</v>
      </c>
      <c r="N120" s="9">
        <f t="shared" si="14"/>
        <v>-0.4</v>
      </c>
      <c r="O120" s="5">
        <f t="shared" si="20"/>
        <v>122.7</v>
      </c>
      <c r="P120" s="5">
        <v>115</v>
      </c>
      <c r="Q120" s="5">
        <v>1</v>
      </c>
      <c r="R120" s="10">
        <f t="shared" si="11"/>
        <v>0.5</v>
      </c>
      <c r="S120" s="10">
        <f t="shared" si="12"/>
        <v>-0.4</v>
      </c>
      <c r="T120" s="10">
        <f t="shared" si="18"/>
        <v>136.71592592592597</v>
      </c>
      <c r="V120" s="14">
        <v>394.6</v>
      </c>
      <c r="W120" s="5">
        <f t="shared" si="13"/>
        <v>78.92</v>
      </c>
      <c r="X120" s="5">
        <f t="shared" si="19"/>
        <v>77363.799999999988</v>
      </c>
      <c r="Y120" s="5">
        <f t="shared" si="23"/>
        <v>4969</v>
      </c>
      <c r="AA120" s="5">
        <v>8.2804389712466708</v>
      </c>
    </row>
    <row r="121" spans="1:27" s="5" customFormat="1" x14ac:dyDescent="0.25">
      <c r="A121" s="70"/>
      <c r="B121" s="18"/>
      <c r="C121" s="7">
        <v>41999</v>
      </c>
      <c r="D121" s="15">
        <v>2.2000000000000002</v>
      </c>
      <c r="E121" s="20">
        <v>-1.1000000000000001</v>
      </c>
      <c r="F121" s="5">
        <v>7.4</v>
      </c>
      <c r="G121" s="5">
        <f t="shared" si="15"/>
        <v>1306.9000000000001</v>
      </c>
      <c r="H121" s="5">
        <f t="shared" si="22"/>
        <v>145.19999999999999</v>
      </c>
      <c r="J121" s="5">
        <v>12.3</v>
      </c>
      <c r="K121" s="5">
        <f t="shared" si="16"/>
        <v>215.09999999999997</v>
      </c>
      <c r="L121" s="5">
        <v>0.5</v>
      </c>
      <c r="M121" s="5">
        <f t="shared" si="17"/>
        <v>150.80000000000007</v>
      </c>
      <c r="N121" s="5">
        <f t="shared" si="14"/>
        <v>11.8</v>
      </c>
      <c r="O121" s="5">
        <f t="shared" si="20"/>
        <v>134.5</v>
      </c>
      <c r="P121" s="5">
        <v>116</v>
      </c>
      <c r="Q121" s="5">
        <v>1</v>
      </c>
      <c r="R121" s="10">
        <f t="shared" si="11"/>
        <v>0.5</v>
      </c>
      <c r="S121" s="10">
        <f t="shared" si="12"/>
        <v>11.8</v>
      </c>
      <c r="T121" s="10">
        <f t="shared" si="18"/>
        <v>148.51592592592598</v>
      </c>
      <c r="V121" s="14">
        <v>196.4</v>
      </c>
      <c r="W121" s="5">
        <f t="shared" si="13"/>
        <v>89.272727272727266</v>
      </c>
      <c r="X121" s="5">
        <f t="shared" si="19"/>
        <v>77560.199999999983</v>
      </c>
      <c r="Y121" s="5">
        <f t="shared" si="23"/>
        <v>5165.3999999999996</v>
      </c>
      <c r="AA121" s="5">
        <v>8.2852132298169998</v>
      </c>
    </row>
    <row r="122" spans="1:27" s="5" customFormat="1" x14ac:dyDescent="0.25">
      <c r="A122" s="70"/>
      <c r="B122" s="18"/>
      <c r="C122" s="7">
        <v>42000</v>
      </c>
      <c r="D122" s="15">
        <v>5</v>
      </c>
      <c r="E122" s="15">
        <v>3.5</v>
      </c>
      <c r="F122" s="5">
        <v>7.1</v>
      </c>
      <c r="G122" s="5">
        <f t="shared" si="15"/>
        <v>1311.9</v>
      </c>
      <c r="H122" s="5">
        <f t="shared" si="22"/>
        <v>150.19999999999999</v>
      </c>
      <c r="J122" s="5">
        <v>0.2</v>
      </c>
      <c r="K122" s="5">
        <f t="shared" si="16"/>
        <v>215.29999999999995</v>
      </c>
      <c r="L122" s="5">
        <v>1</v>
      </c>
      <c r="M122" s="5">
        <f t="shared" si="17"/>
        <v>151.80000000000007</v>
      </c>
      <c r="N122" s="9">
        <f t="shared" si="14"/>
        <v>-0.8</v>
      </c>
      <c r="O122" s="5">
        <f t="shared" si="20"/>
        <v>133.69999999999999</v>
      </c>
      <c r="P122" s="5">
        <v>117</v>
      </c>
      <c r="Q122" s="5">
        <v>1</v>
      </c>
      <c r="R122" s="10">
        <f t="shared" si="11"/>
        <v>1</v>
      </c>
      <c r="S122" s="10">
        <f t="shared" si="12"/>
        <v>-0.8</v>
      </c>
      <c r="T122" s="10">
        <f t="shared" si="18"/>
        <v>147.71592592592597</v>
      </c>
      <c r="V122" s="14">
        <v>150</v>
      </c>
      <c r="W122" s="5">
        <f t="shared" si="13"/>
        <v>30</v>
      </c>
      <c r="X122" s="5">
        <f t="shared" si="19"/>
        <v>77710.199999999983</v>
      </c>
      <c r="Y122" s="5">
        <f t="shared" si="23"/>
        <v>5315.4</v>
      </c>
      <c r="AA122" s="5">
        <v>8.2915630020708608</v>
      </c>
    </row>
    <row r="123" spans="1:27" s="5" customFormat="1" x14ac:dyDescent="0.25">
      <c r="A123" s="70"/>
      <c r="B123" s="18"/>
      <c r="C123" s="7">
        <v>42001</v>
      </c>
      <c r="D123" s="20">
        <v>-1.1000000000000001</v>
      </c>
      <c r="E123" s="20">
        <v>-1.9</v>
      </c>
      <c r="F123" s="20">
        <v>-0.2</v>
      </c>
      <c r="G123" s="5">
        <v>1311.9</v>
      </c>
      <c r="H123" s="5">
        <v>150.19999999999999</v>
      </c>
      <c r="J123" s="5">
        <v>0</v>
      </c>
      <c r="K123" s="5">
        <f t="shared" si="16"/>
        <v>215.29999999999995</v>
      </c>
      <c r="L123" s="5">
        <v>0.7</v>
      </c>
      <c r="M123" s="5">
        <f t="shared" si="17"/>
        <v>152.50000000000006</v>
      </c>
      <c r="N123" s="9">
        <f t="shared" si="14"/>
        <v>-0.7</v>
      </c>
      <c r="O123" s="5">
        <f t="shared" si="20"/>
        <v>133</v>
      </c>
      <c r="P123" s="5">
        <v>118</v>
      </c>
      <c r="Q123" s="5">
        <v>1</v>
      </c>
      <c r="R123" s="10">
        <f t="shared" si="11"/>
        <v>0.7</v>
      </c>
      <c r="S123" s="10">
        <f t="shared" si="12"/>
        <v>-0.7</v>
      </c>
      <c r="T123" s="10">
        <f t="shared" si="18"/>
        <v>147.01592592592598</v>
      </c>
      <c r="V123" s="14">
        <v>203.6</v>
      </c>
      <c r="W123" s="5">
        <f t="shared" si="13"/>
        <v>-185.09090909090907</v>
      </c>
      <c r="X123" s="5">
        <f t="shared" si="19"/>
        <v>77913.799999999988</v>
      </c>
      <c r="Y123" s="5">
        <f t="shared" si="23"/>
        <v>5519</v>
      </c>
      <c r="AA123" s="5">
        <v>8.2994812258999406</v>
      </c>
    </row>
    <row r="124" spans="1:27" s="5" customFormat="1" x14ac:dyDescent="0.25">
      <c r="A124" s="70"/>
      <c r="B124" s="18"/>
      <c r="C124" s="7">
        <v>42002</v>
      </c>
      <c r="D124" s="20">
        <v>-0.3</v>
      </c>
      <c r="E124" s="20">
        <v>-5.8</v>
      </c>
      <c r="F124" s="15">
        <v>3.3</v>
      </c>
      <c r="G124" s="5">
        <v>1311.9</v>
      </c>
      <c r="H124" s="5">
        <v>150.19999999999999</v>
      </c>
      <c r="J124" s="5">
        <v>0</v>
      </c>
      <c r="K124" s="5">
        <f t="shared" si="16"/>
        <v>215.29999999999995</v>
      </c>
      <c r="L124" s="5">
        <v>0.2</v>
      </c>
      <c r="M124" s="5">
        <f t="shared" si="17"/>
        <v>152.70000000000005</v>
      </c>
      <c r="N124" s="9">
        <f t="shared" si="14"/>
        <v>-0.2</v>
      </c>
      <c r="O124" s="5">
        <f t="shared" si="20"/>
        <v>132.80000000000001</v>
      </c>
      <c r="P124" s="5">
        <v>119</v>
      </c>
      <c r="Q124" s="5">
        <v>1</v>
      </c>
      <c r="R124" s="10">
        <f t="shared" si="11"/>
        <v>0.2</v>
      </c>
      <c r="S124" s="10">
        <f t="shared" si="12"/>
        <v>-0.2</v>
      </c>
      <c r="T124" s="10">
        <f t="shared" si="18"/>
        <v>146.815925925926</v>
      </c>
      <c r="V124" s="14">
        <v>477.1</v>
      </c>
      <c r="W124" s="5">
        <f t="shared" si="13"/>
        <v>-1590.3333333333335</v>
      </c>
      <c r="X124" s="5">
        <f t="shared" si="19"/>
        <v>78390.899999999994</v>
      </c>
      <c r="Y124" s="5">
        <f t="shared" si="23"/>
        <v>5996.1</v>
      </c>
      <c r="AA124" s="5">
        <v>8.3089589912561905</v>
      </c>
    </row>
    <row r="125" spans="1:27" s="5" customFormat="1" x14ac:dyDescent="0.25">
      <c r="A125" s="70"/>
      <c r="B125" s="18"/>
      <c r="C125" s="7">
        <v>42003</v>
      </c>
      <c r="D125" s="15">
        <v>2.4</v>
      </c>
      <c r="E125" s="15">
        <v>1.1000000000000001</v>
      </c>
      <c r="F125" s="15">
        <v>4.7</v>
      </c>
      <c r="G125" s="5">
        <f t="shared" si="15"/>
        <v>1314.3000000000002</v>
      </c>
      <c r="H125" s="5">
        <f t="shared" si="22"/>
        <v>152.6</v>
      </c>
      <c r="J125" s="5">
        <v>0</v>
      </c>
      <c r="K125" s="5">
        <f t="shared" si="16"/>
        <v>215.29999999999995</v>
      </c>
      <c r="L125" s="5">
        <v>0.5</v>
      </c>
      <c r="M125" s="5">
        <f t="shared" si="17"/>
        <v>153.20000000000005</v>
      </c>
      <c r="N125" s="9">
        <f t="shared" si="14"/>
        <v>-0.5</v>
      </c>
      <c r="O125" s="5">
        <f t="shared" si="20"/>
        <v>132.30000000000001</v>
      </c>
      <c r="P125" s="5">
        <v>120</v>
      </c>
      <c r="Q125" s="5">
        <v>1</v>
      </c>
      <c r="R125" s="10">
        <f t="shared" si="11"/>
        <v>0.5</v>
      </c>
      <c r="S125" s="10">
        <f t="shared" si="12"/>
        <v>-0.5</v>
      </c>
      <c r="T125" s="10">
        <f t="shared" si="18"/>
        <v>146.315925925926</v>
      </c>
      <c r="V125" s="14">
        <v>425.3</v>
      </c>
      <c r="W125" s="5">
        <f t="shared" si="13"/>
        <v>177.20833333333334</v>
      </c>
      <c r="X125" s="5">
        <f t="shared" si="19"/>
        <v>78816.2</v>
      </c>
      <c r="Y125" s="5">
        <f t="shared" si="23"/>
        <v>6421.4000000000005</v>
      </c>
      <c r="AA125" s="5">
        <v>8.3199855789856905</v>
      </c>
    </row>
    <row r="126" spans="1:27" s="5" customFormat="1" x14ac:dyDescent="0.25">
      <c r="A126" s="70"/>
      <c r="B126" s="18"/>
      <c r="C126" s="7">
        <v>42004</v>
      </c>
      <c r="D126" s="15">
        <v>1.6</v>
      </c>
      <c r="E126" s="15">
        <v>0</v>
      </c>
      <c r="F126" s="5">
        <v>5.6</v>
      </c>
      <c r="G126" s="5">
        <f t="shared" si="15"/>
        <v>1315.9</v>
      </c>
      <c r="H126" s="5">
        <f t="shared" si="22"/>
        <v>154.19999999999999</v>
      </c>
      <c r="J126" s="5">
        <v>0</v>
      </c>
      <c r="K126" s="5">
        <f t="shared" si="16"/>
        <v>215.29999999999995</v>
      </c>
      <c r="L126" s="5">
        <v>0.7</v>
      </c>
      <c r="M126" s="5">
        <f t="shared" si="17"/>
        <v>153.90000000000003</v>
      </c>
      <c r="N126" s="9">
        <f t="shared" si="14"/>
        <v>-0.7</v>
      </c>
      <c r="O126" s="5">
        <f t="shared" si="20"/>
        <v>131.60000000000002</v>
      </c>
      <c r="P126" s="5">
        <v>121</v>
      </c>
      <c r="Q126" s="5">
        <v>1</v>
      </c>
      <c r="R126" s="10">
        <f t="shared" si="11"/>
        <v>0.7</v>
      </c>
      <c r="S126" s="10">
        <f t="shared" si="12"/>
        <v>-0.7</v>
      </c>
      <c r="T126" s="10">
        <f t="shared" si="18"/>
        <v>145.61592592592601</v>
      </c>
      <c r="V126" s="14">
        <v>542.1</v>
      </c>
      <c r="W126" s="5">
        <f t="shared" si="13"/>
        <v>338.8125</v>
      </c>
      <c r="X126" s="5">
        <f t="shared" si="19"/>
        <v>79358.3</v>
      </c>
      <c r="Y126" s="5">
        <f t="shared" si="23"/>
        <v>6963.5000000000009</v>
      </c>
      <c r="AA126" s="5">
        <v>8.3325485071657397</v>
      </c>
    </row>
    <row r="127" spans="1:27" s="5" customFormat="1" x14ac:dyDescent="0.25">
      <c r="A127" s="70"/>
      <c r="B127" s="18"/>
      <c r="C127" s="7">
        <v>42005</v>
      </c>
      <c r="D127" s="15">
        <v>0.3</v>
      </c>
      <c r="E127" s="20">
        <v>-3.7</v>
      </c>
      <c r="F127" s="15">
        <v>4.4000000000000004</v>
      </c>
      <c r="G127" s="5">
        <f t="shared" si="15"/>
        <v>1316.2</v>
      </c>
      <c r="H127" s="5">
        <f t="shared" si="22"/>
        <v>154.5</v>
      </c>
      <c r="J127" s="5">
        <v>0.1</v>
      </c>
      <c r="K127" s="5">
        <f t="shared" si="16"/>
        <v>215.39999999999995</v>
      </c>
      <c r="L127" s="5">
        <v>0.5</v>
      </c>
      <c r="M127" s="5">
        <f t="shared" si="17"/>
        <v>154.40000000000003</v>
      </c>
      <c r="N127" s="9">
        <f t="shared" si="14"/>
        <v>-0.4</v>
      </c>
      <c r="O127" s="5">
        <f t="shared" si="20"/>
        <v>131.20000000000002</v>
      </c>
      <c r="P127" s="5">
        <v>122</v>
      </c>
      <c r="Q127" s="5">
        <v>1</v>
      </c>
      <c r="R127" s="10">
        <f t="shared" si="11"/>
        <v>0.5</v>
      </c>
      <c r="S127" s="10">
        <f t="shared" si="12"/>
        <v>-0.4</v>
      </c>
      <c r="T127" s="10">
        <f t="shared" si="18"/>
        <v>145.215925925926</v>
      </c>
      <c r="V127" s="14">
        <v>443.7</v>
      </c>
      <c r="W127" s="5">
        <f t="shared" si="13"/>
        <v>1479</v>
      </c>
      <c r="X127" s="5">
        <f t="shared" si="19"/>
        <v>79802</v>
      </c>
      <c r="Y127" s="5">
        <f t="shared" si="23"/>
        <v>7407.2000000000007</v>
      </c>
      <c r="AA127" s="5">
        <v>8.3511761024436897</v>
      </c>
    </row>
    <row r="128" spans="1:27" s="5" customFormat="1" x14ac:dyDescent="0.25">
      <c r="A128" s="70"/>
      <c r="B128" s="18"/>
      <c r="C128" s="7">
        <v>42006</v>
      </c>
      <c r="D128" s="15">
        <v>4.0999999999999996</v>
      </c>
      <c r="E128" s="15">
        <v>0.9</v>
      </c>
      <c r="F128" s="5">
        <v>6.1</v>
      </c>
      <c r="G128" s="5">
        <f t="shared" si="15"/>
        <v>1320.3</v>
      </c>
      <c r="H128" s="5">
        <f t="shared" si="22"/>
        <v>158.6</v>
      </c>
      <c r="J128" s="5">
        <v>2.1</v>
      </c>
      <c r="K128" s="5">
        <f t="shared" si="16"/>
        <v>217.49999999999994</v>
      </c>
      <c r="L128" s="5">
        <v>0.2</v>
      </c>
      <c r="M128" s="5">
        <f t="shared" si="17"/>
        <v>154.60000000000002</v>
      </c>
      <c r="N128" s="5">
        <f t="shared" si="14"/>
        <v>1.9000000000000001</v>
      </c>
      <c r="O128" s="5">
        <f t="shared" si="20"/>
        <v>133.10000000000002</v>
      </c>
      <c r="P128" s="5">
        <v>123</v>
      </c>
      <c r="Q128" s="5">
        <v>1</v>
      </c>
      <c r="R128" s="10">
        <f t="shared" si="11"/>
        <v>0.2</v>
      </c>
      <c r="S128" s="10">
        <f t="shared" si="12"/>
        <v>1.9000000000000001</v>
      </c>
      <c r="T128" s="10">
        <f t="shared" si="18"/>
        <v>147.11592592592601</v>
      </c>
      <c r="V128" s="14">
        <v>190.7</v>
      </c>
      <c r="W128" s="5">
        <f t="shared" si="13"/>
        <v>46.512195121951223</v>
      </c>
      <c r="X128" s="5">
        <f t="shared" si="19"/>
        <v>79992.7</v>
      </c>
      <c r="Y128" s="5">
        <f t="shared" si="23"/>
        <v>7597.9000000000005</v>
      </c>
      <c r="AA128" s="5">
        <v>8.3672182496437504</v>
      </c>
    </row>
    <row r="129" spans="1:27" s="5" customFormat="1" x14ac:dyDescent="0.25">
      <c r="A129" s="70"/>
      <c r="B129" s="6"/>
      <c r="C129" s="7">
        <v>42007</v>
      </c>
      <c r="D129" s="5">
        <v>7.7</v>
      </c>
      <c r="E129" s="15">
        <v>1.7</v>
      </c>
      <c r="F129" s="5">
        <v>12.2</v>
      </c>
      <c r="G129" s="5">
        <f t="shared" si="15"/>
        <v>1328</v>
      </c>
      <c r="H129" s="5">
        <f t="shared" si="22"/>
        <v>166.29999999999998</v>
      </c>
      <c r="J129" s="5">
        <v>5.6</v>
      </c>
      <c r="K129" s="5">
        <f t="shared" si="16"/>
        <v>223.09999999999994</v>
      </c>
      <c r="L129" s="5">
        <v>0.1</v>
      </c>
      <c r="M129" s="5">
        <f t="shared" si="17"/>
        <v>154.70000000000002</v>
      </c>
      <c r="N129" s="5">
        <f t="shared" si="14"/>
        <v>5.5</v>
      </c>
      <c r="O129" s="5">
        <f t="shared" si="20"/>
        <v>138.60000000000002</v>
      </c>
      <c r="P129" s="5">
        <v>124</v>
      </c>
      <c r="Q129" s="5">
        <v>1</v>
      </c>
      <c r="R129" s="10">
        <f t="shared" si="11"/>
        <v>0.1</v>
      </c>
      <c r="S129" s="10">
        <f t="shared" si="12"/>
        <v>5.5</v>
      </c>
      <c r="T129" s="10">
        <f t="shared" si="18"/>
        <v>152.61592592592601</v>
      </c>
      <c r="V129" s="14">
        <v>106.7</v>
      </c>
      <c r="W129" s="5">
        <f t="shared" si="13"/>
        <v>13.857142857142858</v>
      </c>
      <c r="X129" s="5">
        <f t="shared" si="19"/>
        <v>80099.399999999994</v>
      </c>
      <c r="Y129" s="5">
        <f t="shared" si="23"/>
        <v>7704.6</v>
      </c>
      <c r="AA129" s="5">
        <v>8.3847437290581297</v>
      </c>
    </row>
    <row r="130" spans="1:27" s="5" customFormat="1" x14ac:dyDescent="0.25">
      <c r="A130" s="70"/>
      <c r="B130" s="18"/>
      <c r="C130" s="7">
        <v>42008</v>
      </c>
      <c r="D130" s="15">
        <v>3.3</v>
      </c>
      <c r="E130" s="15">
        <v>0.7</v>
      </c>
      <c r="F130" s="5">
        <v>5.9</v>
      </c>
      <c r="G130" s="5">
        <f t="shared" si="15"/>
        <v>1331.3</v>
      </c>
      <c r="H130" s="5">
        <f t="shared" si="22"/>
        <v>169.6</v>
      </c>
      <c r="J130" s="5">
        <v>0</v>
      </c>
      <c r="K130" s="5">
        <f t="shared" si="16"/>
        <v>223.09999999999994</v>
      </c>
      <c r="L130" s="5">
        <v>0.2</v>
      </c>
      <c r="M130" s="5">
        <f t="shared" si="17"/>
        <v>154.9</v>
      </c>
      <c r="N130" s="9">
        <f t="shared" si="14"/>
        <v>-0.2</v>
      </c>
      <c r="O130" s="5">
        <f t="shared" si="20"/>
        <v>138.40000000000003</v>
      </c>
      <c r="P130" s="5">
        <v>125</v>
      </c>
      <c r="Q130" s="5">
        <v>1</v>
      </c>
      <c r="R130" s="10">
        <f t="shared" si="11"/>
        <v>0.2</v>
      </c>
      <c r="S130" s="10">
        <f t="shared" si="12"/>
        <v>-0.2</v>
      </c>
      <c r="T130" s="10">
        <f t="shared" si="18"/>
        <v>152.41592592592602</v>
      </c>
      <c r="V130" s="14">
        <v>175.3</v>
      </c>
      <c r="W130" s="5">
        <f t="shared" si="13"/>
        <v>53.121212121212125</v>
      </c>
      <c r="X130" s="5">
        <f t="shared" si="19"/>
        <v>80274.7</v>
      </c>
      <c r="Y130" s="5">
        <f t="shared" si="23"/>
        <v>7879.9000000000005</v>
      </c>
      <c r="AA130" s="5">
        <v>8.4037331646329996</v>
      </c>
    </row>
    <row r="131" spans="1:27" s="5" customFormat="1" x14ac:dyDescent="0.25">
      <c r="A131" s="70"/>
      <c r="B131" s="18"/>
      <c r="C131" s="7">
        <v>42009</v>
      </c>
      <c r="D131" s="20">
        <v>-0.6</v>
      </c>
      <c r="E131" s="20">
        <v>-2</v>
      </c>
      <c r="F131" s="15">
        <v>1.5</v>
      </c>
      <c r="G131" s="5">
        <v>1331.3</v>
      </c>
      <c r="H131" s="5">
        <v>169.6</v>
      </c>
      <c r="J131" s="5">
        <v>0.1</v>
      </c>
      <c r="K131" s="5">
        <f t="shared" si="16"/>
        <v>223.19999999999993</v>
      </c>
      <c r="L131" s="5">
        <v>0.2</v>
      </c>
      <c r="M131" s="5">
        <f t="shared" si="17"/>
        <v>155.1</v>
      </c>
      <c r="N131" s="9">
        <f t="shared" si="14"/>
        <v>-0.1</v>
      </c>
      <c r="O131" s="5">
        <f t="shared" si="20"/>
        <v>138.30000000000004</v>
      </c>
      <c r="P131" s="5">
        <v>126</v>
      </c>
      <c r="Q131" s="5">
        <v>1</v>
      </c>
      <c r="R131" s="10">
        <f t="shared" si="11"/>
        <v>0.2</v>
      </c>
      <c r="S131" s="10">
        <f t="shared" si="12"/>
        <v>-0.1</v>
      </c>
      <c r="T131" s="10">
        <f t="shared" si="18"/>
        <v>152.31592592592602</v>
      </c>
      <c r="V131" s="14">
        <v>143.80000000000001</v>
      </c>
      <c r="W131" s="5">
        <f t="shared" si="13"/>
        <v>-239.66666666666669</v>
      </c>
      <c r="X131" s="5">
        <f t="shared" si="19"/>
        <v>80418.5</v>
      </c>
      <c r="Y131" s="5">
        <f t="shared" si="23"/>
        <v>8023.7000000000007</v>
      </c>
      <c r="AA131" s="5">
        <v>8.42416576941892</v>
      </c>
    </row>
    <row r="132" spans="1:27" s="5" customFormat="1" x14ac:dyDescent="0.25">
      <c r="A132" s="70"/>
      <c r="B132" s="18"/>
      <c r="C132" s="7">
        <v>42010</v>
      </c>
      <c r="D132" s="15">
        <v>0.6</v>
      </c>
      <c r="E132" s="20">
        <v>-1.9</v>
      </c>
      <c r="F132" s="15">
        <v>4.2</v>
      </c>
      <c r="G132" s="5">
        <f t="shared" si="15"/>
        <v>1331.8999999999999</v>
      </c>
      <c r="H132" s="5">
        <f t="shared" si="22"/>
        <v>170.2</v>
      </c>
      <c r="J132" s="5">
        <v>0</v>
      </c>
      <c r="K132" s="5">
        <f t="shared" si="16"/>
        <v>223.19999999999993</v>
      </c>
      <c r="L132" s="5">
        <v>0.3</v>
      </c>
      <c r="M132" s="5">
        <f t="shared" si="17"/>
        <v>155.4</v>
      </c>
      <c r="N132" s="9">
        <f t="shared" si="14"/>
        <v>-0.3</v>
      </c>
      <c r="O132" s="5">
        <f t="shared" si="20"/>
        <v>138.00000000000003</v>
      </c>
      <c r="P132" s="5">
        <v>127</v>
      </c>
      <c r="Q132" s="5">
        <v>1</v>
      </c>
      <c r="R132" s="10">
        <f t="shared" si="11"/>
        <v>0.3</v>
      </c>
      <c r="S132" s="10">
        <f t="shared" si="12"/>
        <v>-0.3</v>
      </c>
      <c r="T132" s="10">
        <f t="shared" si="18"/>
        <v>152.01592592592601</v>
      </c>
      <c r="V132" s="14">
        <v>251</v>
      </c>
      <c r="W132" s="5">
        <f t="shared" si="13"/>
        <v>418.33333333333337</v>
      </c>
      <c r="X132" s="5">
        <f t="shared" si="19"/>
        <v>80669.5</v>
      </c>
      <c r="Y132" s="5">
        <f t="shared" si="23"/>
        <v>8274.7000000000007</v>
      </c>
      <c r="AA132" s="5">
        <v>8.4460194276780403</v>
      </c>
    </row>
    <row r="133" spans="1:27" s="5" customFormat="1" x14ac:dyDescent="0.25">
      <c r="A133" s="70"/>
      <c r="B133" s="18"/>
      <c r="C133" s="7">
        <v>42011</v>
      </c>
      <c r="D133" s="15">
        <v>4.0999999999999996</v>
      </c>
      <c r="E133" s="15">
        <v>2.6</v>
      </c>
      <c r="F133" s="5">
        <v>8.3000000000000007</v>
      </c>
      <c r="G133" s="5">
        <f t="shared" si="15"/>
        <v>1335.9999999999998</v>
      </c>
      <c r="H133" s="5">
        <f t="shared" si="22"/>
        <v>174.29999999999998</v>
      </c>
      <c r="J133" s="5">
        <v>0</v>
      </c>
      <c r="K133" s="5">
        <f t="shared" si="16"/>
        <v>223.19999999999993</v>
      </c>
      <c r="L133" s="5">
        <v>0.5</v>
      </c>
      <c r="M133" s="5">
        <f t="shared" si="17"/>
        <v>155.9</v>
      </c>
      <c r="N133" s="9">
        <f t="shared" si="14"/>
        <v>-0.5</v>
      </c>
      <c r="O133" s="5">
        <f t="shared" si="20"/>
        <v>137.50000000000003</v>
      </c>
      <c r="P133" s="5">
        <v>128</v>
      </c>
      <c r="Q133" s="5">
        <v>1</v>
      </c>
      <c r="R133" s="10">
        <f t="shared" si="11"/>
        <v>0.5</v>
      </c>
      <c r="S133" s="10">
        <f t="shared" si="12"/>
        <v>-0.5</v>
      </c>
      <c r="T133" s="10">
        <f t="shared" si="18"/>
        <v>151.51592592592601</v>
      </c>
      <c r="V133" s="14">
        <v>190.4</v>
      </c>
      <c r="W133" s="5">
        <f t="shared" si="13"/>
        <v>46.439024390243908</v>
      </c>
      <c r="X133" s="5">
        <f t="shared" si="19"/>
        <v>80859.899999999994</v>
      </c>
      <c r="Y133" s="5">
        <f t="shared" si="23"/>
        <v>8465.1</v>
      </c>
      <c r="AA133" s="5">
        <v>8.4692707804734209</v>
      </c>
    </row>
    <row r="134" spans="1:27" s="5" customFormat="1" x14ac:dyDescent="0.25">
      <c r="A134" s="70"/>
      <c r="B134" s="6"/>
      <c r="C134" s="7">
        <v>42012</v>
      </c>
      <c r="D134" s="5">
        <v>8</v>
      </c>
      <c r="E134" s="15">
        <v>5</v>
      </c>
      <c r="F134" s="5">
        <v>9.8000000000000007</v>
      </c>
      <c r="G134" s="5">
        <f t="shared" si="15"/>
        <v>1343.9999999999998</v>
      </c>
      <c r="H134" s="5">
        <f t="shared" si="22"/>
        <v>182.29999999999998</v>
      </c>
      <c r="J134" s="5">
        <v>3.3</v>
      </c>
      <c r="K134" s="5">
        <f t="shared" si="16"/>
        <v>226.49999999999994</v>
      </c>
      <c r="L134" s="5">
        <v>0.1</v>
      </c>
      <c r="M134" s="5">
        <f t="shared" si="17"/>
        <v>156</v>
      </c>
      <c r="N134" s="5">
        <f t="shared" si="14"/>
        <v>3.1999999999999997</v>
      </c>
      <c r="O134" s="5">
        <f t="shared" si="20"/>
        <v>140.70000000000002</v>
      </c>
      <c r="P134" s="5">
        <v>129</v>
      </c>
      <c r="Q134" s="5">
        <v>1</v>
      </c>
      <c r="R134" s="10">
        <f t="shared" ref="R134:R197" si="24">Q134*L134</f>
        <v>0.1</v>
      </c>
      <c r="S134" s="10">
        <f t="shared" ref="S134:S197" si="25">J134-R134</f>
        <v>3.1999999999999997</v>
      </c>
      <c r="T134" s="10">
        <f t="shared" si="18"/>
        <v>154.715925925926</v>
      </c>
      <c r="V134" s="14">
        <v>94.1</v>
      </c>
      <c r="W134" s="5">
        <f t="shared" ref="W134:W197" si="26">V134/D134</f>
        <v>11.762499999999999</v>
      </c>
      <c r="X134" s="5">
        <f t="shared" si="19"/>
        <v>80954</v>
      </c>
      <c r="Y134" s="5">
        <f t="shared" si="23"/>
        <v>8559.2000000000007</v>
      </c>
      <c r="AA134" s="5">
        <v>8.4938953140908708</v>
      </c>
    </row>
    <row r="135" spans="1:27" s="5" customFormat="1" x14ac:dyDescent="0.25">
      <c r="A135" s="70"/>
      <c r="B135" s="6"/>
      <c r="C135" s="7">
        <v>42013</v>
      </c>
      <c r="D135" s="5">
        <v>10.6</v>
      </c>
      <c r="E135" s="5">
        <v>6</v>
      </c>
      <c r="F135" s="5">
        <v>13.3</v>
      </c>
      <c r="G135" s="5">
        <f t="shared" si="15"/>
        <v>1354.5999999999997</v>
      </c>
      <c r="H135" s="5">
        <f t="shared" si="22"/>
        <v>192.89999999999998</v>
      </c>
      <c r="J135" s="5">
        <v>0.9</v>
      </c>
      <c r="K135" s="5">
        <f t="shared" si="16"/>
        <v>227.39999999999995</v>
      </c>
      <c r="L135" s="5">
        <v>0.2</v>
      </c>
      <c r="M135" s="5">
        <f t="shared" si="17"/>
        <v>156.19999999999999</v>
      </c>
      <c r="N135" s="5">
        <f t="shared" ref="N135:N198" si="27">J135-L135</f>
        <v>0.7</v>
      </c>
      <c r="O135" s="5">
        <f t="shared" si="20"/>
        <v>141.4</v>
      </c>
      <c r="P135" s="5">
        <v>130</v>
      </c>
      <c r="Q135" s="5">
        <v>1</v>
      </c>
      <c r="R135" s="10">
        <f t="shared" si="24"/>
        <v>0.2</v>
      </c>
      <c r="S135" s="10">
        <f t="shared" si="25"/>
        <v>0.7</v>
      </c>
      <c r="T135" s="10">
        <f t="shared" si="18"/>
        <v>155.41592592592599</v>
      </c>
      <c r="V135" s="14">
        <v>110.5</v>
      </c>
      <c r="W135" s="5">
        <f t="shared" si="26"/>
        <v>10.424528301886793</v>
      </c>
      <c r="X135" s="5">
        <f t="shared" si="19"/>
        <v>81064.5</v>
      </c>
      <c r="Y135" s="5">
        <f t="shared" si="23"/>
        <v>8669.7000000000007</v>
      </c>
      <c r="AA135" s="5">
        <v>8.5198674506445098</v>
      </c>
    </row>
    <row r="136" spans="1:27" s="5" customFormat="1" x14ac:dyDescent="0.25">
      <c r="A136" s="70"/>
      <c r="B136" s="6"/>
      <c r="C136" s="7">
        <v>42014</v>
      </c>
      <c r="D136" s="5">
        <v>11.6</v>
      </c>
      <c r="E136" s="5">
        <v>11.2</v>
      </c>
      <c r="F136" s="5">
        <v>12.6</v>
      </c>
      <c r="G136" s="5">
        <f t="shared" ref="G136:G199" si="28">G135+D136</f>
        <v>1366.1999999999996</v>
      </c>
      <c r="H136" s="5">
        <f t="shared" si="22"/>
        <v>204.49999999999997</v>
      </c>
      <c r="J136" s="5">
        <v>4.4000000000000004</v>
      </c>
      <c r="K136" s="5">
        <f t="shared" ref="K136:K199" si="29">K135+J136</f>
        <v>231.79999999999995</v>
      </c>
      <c r="L136" s="5">
        <v>0.9</v>
      </c>
      <c r="M136" s="5">
        <f t="shared" ref="M136:M199" si="30">M135+L136</f>
        <v>157.1</v>
      </c>
      <c r="N136" s="5">
        <f t="shared" si="27"/>
        <v>3.5000000000000004</v>
      </c>
      <c r="O136" s="5">
        <f t="shared" si="20"/>
        <v>144.9</v>
      </c>
      <c r="P136" s="5">
        <v>131</v>
      </c>
      <c r="Q136" s="5">
        <v>1</v>
      </c>
      <c r="R136" s="10">
        <f t="shared" si="24"/>
        <v>0.9</v>
      </c>
      <c r="S136" s="10">
        <f t="shared" si="25"/>
        <v>3.5000000000000004</v>
      </c>
      <c r="T136" s="10">
        <f t="shared" ref="T136:T199" si="31">MIN(197.4,(T135+S136))</f>
        <v>158.91592592592599</v>
      </c>
      <c r="V136" s="14">
        <v>150.1</v>
      </c>
      <c r="W136" s="5">
        <f t="shared" si="26"/>
        <v>12.939655172413794</v>
      </c>
      <c r="X136" s="5">
        <f t="shared" ref="X136:X199" si="32">X135+V136</f>
        <v>81214.600000000006</v>
      </c>
      <c r="Y136" s="5">
        <f t="shared" si="23"/>
        <v>8819.8000000000011</v>
      </c>
      <c r="AA136" s="5">
        <v>8.5471606402260303</v>
      </c>
    </row>
    <row r="137" spans="1:27" s="5" customFormat="1" x14ac:dyDescent="0.25">
      <c r="A137" s="70"/>
      <c r="B137" s="6"/>
      <c r="C137" s="7">
        <v>42015</v>
      </c>
      <c r="D137" s="5">
        <v>5.7</v>
      </c>
      <c r="E137" s="15">
        <v>4</v>
      </c>
      <c r="F137" s="5">
        <v>7.6</v>
      </c>
      <c r="G137" s="5">
        <f t="shared" si="28"/>
        <v>1371.8999999999996</v>
      </c>
      <c r="H137" s="5">
        <f t="shared" si="22"/>
        <v>210.19999999999996</v>
      </c>
      <c r="J137" s="5">
        <v>0</v>
      </c>
      <c r="K137" s="5">
        <f t="shared" si="29"/>
        <v>231.79999999999995</v>
      </c>
      <c r="L137" s="5">
        <v>0.8</v>
      </c>
      <c r="M137" s="5">
        <f t="shared" si="30"/>
        <v>157.9</v>
      </c>
      <c r="N137" s="9">
        <f t="shared" si="27"/>
        <v>-0.8</v>
      </c>
      <c r="O137" s="5">
        <f t="shared" ref="O137:O200" si="33">O136+N137</f>
        <v>144.1</v>
      </c>
      <c r="P137" s="5">
        <v>132</v>
      </c>
      <c r="Q137" s="5">
        <v>1</v>
      </c>
      <c r="R137" s="10">
        <f t="shared" si="24"/>
        <v>0.8</v>
      </c>
      <c r="S137" s="10">
        <f t="shared" si="25"/>
        <v>-0.8</v>
      </c>
      <c r="T137" s="10">
        <f t="shared" si="31"/>
        <v>158.11592592592598</v>
      </c>
      <c r="V137" s="14">
        <v>630.4</v>
      </c>
      <c r="W137" s="5">
        <f t="shared" si="26"/>
        <v>110.59649122807016</v>
      </c>
      <c r="X137" s="5">
        <f t="shared" si="32"/>
        <v>81845</v>
      </c>
      <c r="Y137" s="5">
        <f t="shared" si="23"/>
        <v>9450.2000000000007</v>
      </c>
      <c r="AA137" s="5">
        <v>8.5757474539727205</v>
      </c>
    </row>
    <row r="138" spans="1:27" s="5" customFormat="1" x14ac:dyDescent="0.25">
      <c r="A138" s="70"/>
      <c r="B138" s="6"/>
      <c r="C138" s="7">
        <v>42016</v>
      </c>
      <c r="D138" s="5">
        <v>6.8</v>
      </c>
      <c r="E138" s="15">
        <v>4.3</v>
      </c>
      <c r="F138" s="5">
        <v>7.8</v>
      </c>
      <c r="G138" s="5">
        <f t="shared" si="28"/>
        <v>1378.6999999999996</v>
      </c>
      <c r="H138" s="5">
        <f t="shared" si="22"/>
        <v>216.99999999999997</v>
      </c>
      <c r="J138" s="5">
        <v>0</v>
      </c>
      <c r="K138" s="5">
        <f t="shared" si="29"/>
        <v>231.79999999999995</v>
      </c>
      <c r="L138" s="5">
        <v>0.7</v>
      </c>
      <c r="M138" s="5">
        <f t="shared" si="30"/>
        <v>158.6</v>
      </c>
      <c r="N138" s="9">
        <f t="shared" si="27"/>
        <v>-0.7</v>
      </c>
      <c r="O138" s="5">
        <f t="shared" si="33"/>
        <v>143.4</v>
      </c>
      <c r="P138" s="5">
        <v>133</v>
      </c>
      <c r="Q138" s="5">
        <v>1</v>
      </c>
      <c r="R138" s="10">
        <f t="shared" si="24"/>
        <v>0.7</v>
      </c>
      <c r="S138" s="10">
        <f t="shared" si="25"/>
        <v>-0.7</v>
      </c>
      <c r="T138" s="10">
        <f t="shared" si="31"/>
        <v>157.41592592592599</v>
      </c>
      <c r="V138" s="14">
        <v>103</v>
      </c>
      <c r="W138" s="5">
        <f t="shared" si="26"/>
        <v>15.147058823529413</v>
      </c>
      <c r="X138" s="5">
        <f t="shared" si="32"/>
        <v>81948</v>
      </c>
      <c r="Y138" s="5">
        <f t="shared" si="23"/>
        <v>9553.2000000000007</v>
      </c>
      <c r="AA138" s="5">
        <v>8.6055996774510906</v>
      </c>
    </row>
    <row r="139" spans="1:27" s="5" customFormat="1" x14ac:dyDescent="0.25">
      <c r="A139" s="70"/>
      <c r="B139" s="6"/>
      <c r="C139" s="7">
        <v>42017</v>
      </c>
      <c r="D139" s="5">
        <v>8</v>
      </c>
      <c r="E139" s="5">
        <v>5.9</v>
      </c>
      <c r="F139" s="5">
        <v>9.6999999999999993</v>
      </c>
      <c r="G139" s="5">
        <f t="shared" si="28"/>
        <v>1386.6999999999996</v>
      </c>
      <c r="H139" s="5">
        <f t="shared" si="22"/>
        <v>224.99999999999997</v>
      </c>
      <c r="J139" s="5">
        <v>5</v>
      </c>
      <c r="K139" s="5">
        <f t="shared" si="29"/>
        <v>236.79999999999995</v>
      </c>
      <c r="L139" s="5">
        <v>0.9</v>
      </c>
      <c r="M139" s="5">
        <f t="shared" si="30"/>
        <v>159.5</v>
      </c>
      <c r="N139" s="5">
        <f t="shared" si="27"/>
        <v>4.0999999999999996</v>
      </c>
      <c r="O139" s="5">
        <f t="shared" si="33"/>
        <v>147.5</v>
      </c>
      <c r="P139" s="5">
        <v>134</v>
      </c>
      <c r="Q139" s="5">
        <v>1</v>
      </c>
      <c r="R139" s="10">
        <f t="shared" si="24"/>
        <v>0.9</v>
      </c>
      <c r="S139" s="10">
        <f t="shared" si="25"/>
        <v>4.0999999999999996</v>
      </c>
      <c r="T139" s="10">
        <f t="shared" si="31"/>
        <v>161.51592592592598</v>
      </c>
      <c r="V139" s="14">
        <v>177.9</v>
      </c>
      <c r="W139" s="5">
        <f t="shared" si="26"/>
        <v>22.237500000000001</v>
      </c>
      <c r="X139" s="5">
        <f t="shared" si="32"/>
        <v>82125.899999999994</v>
      </c>
      <c r="Y139" s="5">
        <f t="shared" si="23"/>
        <v>9731.1</v>
      </c>
      <c r="AA139" s="5">
        <v>8.6366884037798801</v>
      </c>
    </row>
    <row r="140" spans="1:27" s="5" customFormat="1" x14ac:dyDescent="0.25">
      <c r="A140" s="70"/>
      <c r="B140" s="6"/>
      <c r="C140" s="7">
        <v>42018</v>
      </c>
      <c r="D140" s="5">
        <v>6.9</v>
      </c>
      <c r="E140" s="5">
        <v>5.8</v>
      </c>
      <c r="F140" s="5">
        <v>9.1</v>
      </c>
      <c r="G140" s="5">
        <f t="shared" si="28"/>
        <v>1393.5999999999997</v>
      </c>
      <c r="H140" s="5">
        <f t="shared" si="22"/>
        <v>231.89999999999998</v>
      </c>
      <c r="J140" s="5">
        <v>1.8</v>
      </c>
      <c r="K140" s="5">
        <f t="shared" si="29"/>
        <v>238.59999999999997</v>
      </c>
      <c r="L140" s="5">
        <v>1.1000000000000001</v>
      </c>
      <c r="M140" s="5">
        <f t="shared" si="30"/>
        <v>160.6</v>
      </c>
      <c r="N140" s="5">
        <f t="shared" si="27"/>
        <v>0.7</v>
      </c>
      <c r="O140" s="5">
        <f t="shared" si="33"/>
        <v>148.19999999999999</v>
      </c>
      <c r="P140" s="5">
        <v>135</v>
      </c>
      <c r="Q140" s="5">
        <v>1</v>
      </c>
      <c r="R140" s="10">
        <f t="shared" si="24"/>
        <v>1.1000000000000001</v>
      </c>
      <c r="S140" s="10">
        <f t="shared" si="25"/>
        <v>0.7</v>
      </c>
      <c r="T140" s="10">
        <f t="shared" si="31"/>
        <v>162.21592592592597</v>
      </c>
      <c r="V140" s="14">
        <v>182</v>
      </c>
      <c r="W140" s="5">
        <f t="shared" si="26"/>
        <v>26.376811594202898</v>
      </c>
      <c r="X140" s="5">
        <f t="shared" si="32"/>
        <v>82307.899999999994</v>
      </c>
      <c r="Y140" s="5">
        <f t="shared" si="23"/>
        <v>9913.1</v>
      </c>
      <c r="AA140" s="5">
        <v>8.6689841259482403</v>
      </c>
    </row>
    <row r="141" spans="1:27" s="5" customFormat="1" x14ac:dyDescent="0.25">
      <c r="A141" s="70"/>
      <c r="B141" s="6"/>
      <c r="C141" s="7">
        <v>42019</v>
      </c>
      <c r="D141" s="5">
        <v>8.6999999999999993</v>
      </c>
      <c r="E141" s="5">
        <v>6.3</v>
      </c>
      <c r="F141" s="5">
        <v>10.8</v>
      </c>
      <c r="G141" s="5">
        <f t="shared" si="28"/>
        <v>1402.2999999999997</v>
      </c>
      <c r="H141" s="5">
        <f t="shared" si="22"/>
        <v>240.59999999999997</v>
      </c>
      <c r="J141" s="5">
        <v>3.2</v>
      </c>
      <c r="K141" s="5">
        <f t="shared" si="29"/>
        <v>241.79999999999995</v>
      </c>
      <c r="L141" s="5">
        <v>1.1000000000000001</v>
      </c>
      <c r="M141" s="5">
        <f t="shared" si="30"/>
        <v>161.69999999999999</v>
      </c>
      <c r="N141" s="5">
        <f t="shared" si="27"/>
        <v>2.1</v>
      </c>
      <c r="O141" s="5">
        <f t="shared" si="33"/>
        <v>150.29999999999998</v>
      </c>
      <c r="P141" s="5">
        <v>136</v>
      </c>
      <c r="Q141" s="5">
        <v>1</v>
      </c>
      <c r="R141" s="10">
        <f t="shared" si="24"/>
        <v>1.1000000000000001</v>
      </c>
      <c r="S141" s="10">
        <f t="shared" si="25"/>
        <v>2.1</v>
      </c>
      <c r="T141" s="10">
        <f t="shared" si="31"/>
        <v>164.31592592592597</v>
      </c>
      <c r="V141" s="14">
        <v>152.69999999999999</v>
      </c>
      <c r="W141" s="5">
        <f t="shared" si="26"/>
        <v>17.551724137931036</v>
      </c>
      <c r="X141" s="5">
        <f t="shared" si="32"/>
        <v>82460.599999999991</v>
      </c>
      <c r="Y141" s="5">
        <f t="shared" si="23"/>
        <v>10065.800000000001</v>
      </c>
      <c r="AA141" s="5">
        <v>8.7024568278207006</v>
      </c>
    </row>
    <row r="142" spans="1:27" s="5" customFormat="1" x14ac:dyDescent="0.25">
      <c r="A142" s="70"/>
      <c r="B142" s="6"/>
      <c r="C142" s="7">
        <v>42020</v>
      </c>
      <c r="D142" s="5">
        <v>5.4</v>
      </c>
      <c r="E142" s="15">
        <v>4.7</v>
      </c>
      <c r="F142" s="5">
        <v>7.1</v>
      </c>
      <c r="G142" s="5">
        <f t="shared" si="28"/>
        <v>1407.6999999999998</v>
      </c>
      <c r="H142" s="5">
        <f t="shared" si="22"/>
        <v>245.99999999999997</v>
      </c>
      <c r="J142" s="5">
        <v>0.8</v>
      </c>
      <c r="K142" s="5">
        <f t="shared" si="29"/>
        <v>242.59999999999997</v>
      </c>
      <c r="L142" s="5">
        <v>0.5</v>
      </c>
      <c r="M142" s="5">
        <f t="shared" si="30"/>
        <v>162.19999999999999</v>
      </c>
      <c r="N142" s="5">
        <f t="shared" si="27"/>
        <v>0.30000000000000004</v>
      </c>
      <c r="O142" s="5">
        <f t="shared" si="33"/>
        <v>150.6</v>
      </c>
      <c r="P142" s="5">
        <v>137</v>
      </c>
      <c r="Q142" s="5">
        <v>1</v>
      </c>
      <c r="R142" s="10">
        <f t="shared" si="24"/>
        <v>0.5</v>
      </c>
      <c r="S142" s="10">
        <f t="shared" si="25"/>
        <v>0.30000000000000004</v>
      </c>
      <c r="T142" s="10">
        <f t="shared" si="31"/>
        <v>164.61592592592598</v>
      </c>
      <c r="V142" s="14">
        <v>329</v>
      </c>
      <c r="W142" s="5">
        <f t="shared" si="26"/>
        <v>60.925925925925924</v>
      </c>
      <c r="X142" s="5">
        <f t="shared" si="32"/>
        <v>82789.599999999991</v>
      </c>
      <c r="Y142" s="5">
        <f t="shared" si="23"/>
        <v>10394.800000000001</v>
      </c>
      <c r="AA142" s="5">
        <v>8.7370760733596295</v>
      </c>
    </row>
    <row r="143" spans="1:27" s="5" customFormat="1" x14ac:dyDescent="0.25">
      <c r="A143" s="70"/>
      <c r="B143" s="18"/>
      <c r="C143" s="7">
        <v>42021</v>
      </c>
      <c r="D143" s="15">
        <v>1.4</v>
      </c>
      <c r="E143" s="15">
        <v>0</v>
      </c>
      <c r="F143" s="15">
        <v>2.2000000000000002</v>
      </c>
      <c r="G143" s="5">
        <f t="shared" si="28"/>
        <v>1409.1</v>
      </c>
      <c r="H143" s="5">
        <f t="shared" si="22"/>
        <v>247.39999999999998</v>
      </c>
      <c r="J143" s="5">
        <v>0</v>
      </c>
      <c r="K143" s="5">
        <f t="shared" si="29"/>
        <v>242.59999999999997</v>
      </c>
      <c r="L143" s="5">
        <v>0.3</v>
      </c>
      <c r="M143" s="5">
        <f t="shared" si="30"/>
        <v>162.5</v>
      </c>
      <c r="N143" s="9">
        <f t="shared" si="27"/>
        <v>-0.3</v>
      </c>
      <c r="O143" s="5">
        <f t="shared" si="33"/>
        <v>150.29999999999998</v>
      </c>
      <c r="P143" s="5">
        <v>138</v>
      </c>
      <c r="Q143" s="5">
        <v>1</v>
      </c>
      <c r="R143" s="10">
        <f t="shared" si="24"/>
        <v>0.3</v>
      </c>
      <c r="S143" s="10">
        <f t="shared" si="25"/>
        <v>-0.3</v>
      </c>
      <c r="T143" s="10">
        <f t="shared" si="31"/>
        <v>164.31592592592597</v>
      </c>
      <c r="V143" s="14">
        <v>330.9</v>
      </c>
      <c r="W143" s="5">
        <f t="shared" si="26"/>
        <v>236.35714285714286</v>
      </c>
      <c r="X143" s="5">
        <f t="shared" si="32"/>
        <v>83120.499999999985</v>
      </c>
      <c r="Y143" s="5">
        <f t="shared" si="23"/>
        <v>10725.7</v>
      </c>
      <c r="AA143" s="5">
        <v>8.7728110936374506</v>
      </c>
    </row>
    <row r="144" spans="1:27" s="5" customFormat="1" x14ac:dyDescent="0.25">
      <c r="A144" s="70"/>
      <c r="B144" s="18"/>
      <c r="C144" s="7">
        <v>42022</v>
      </c>
      <c r="D144" s="15">
        <v>1.9</v>
      </c>
      <c r="E144" s="15">
        <v>0.3</v>
      </c>
      <c r="F144" s="15">
        <v>4.9000000000000004</v>
      </c>
      <c r="G144" s="5">
        <f t="shared" si="28"/>
        <v>1411</v>
      </c>
      <c r="H144" s="5">
        <f t="shared" si="22"/>
        <v>249.29999999999998</v>
      </c>
      <c r="J144" s="5">
        <v>0</v>
      </c>
      <c r="K144" s="5">
        <f t="shared" si="29"/>
        <v>242.59999999999997</v>
      </c>
      <c r="L144" s="5">
        <v>0.6</v>
      </c>
      <c r="M144" s="5">
        <f t="shared" si="30"/>
        <v>163.1</v>
      </c>
      <c r="N144" s="9">
        <f t="shared" si="27"/>
        <v>-0.6</v>
      </c>
      <c r="O144" s="5">
        <f t="shared" si="33"/>
        <v>149.69999999999999</v>
      </c>
      <c r="P144" s="5">
        <v>139</v>
      </c>
      <c r="Q144" s="5">
        <v>1</v>
      </c>
      <c r="R144" s="10">
        <f t="shared" si="24"/>
        <v>0.6</v>
      </c>
      <c r="S144" s="10">
        <f t="shared" si="25"/>
        <v>-0.6</v>
      </c>
      <c r="T144" s="10">
        <f t="shared" si="31"/>
        <v>163.71592592592597</v>
      </c>
      <c r="V144" s="14">
        <v>482</v>
      </c>
      <c r="W144" s="5">
        <f t="shared" si="26"/>
        <v>253.68421052631581</v>
      </c>
      <c r="X144" s="5">
        <f t="shared" si="32"/>
        <v>83602.499999999985</v>
      </c>
      <c r="Y144" s="5">
        <f t="shared" si="23"/>
        <v>11207.7</v>
      </c>
      <c r="AA144" s="5">
        <v>8.8096308712539795</v>
      </c>
    </row>
    <row r="145" spans="1:28" s="5" customFormat="1" x14ac:dyDescent="0.25">
      <c r="A145" s="70"/>
      <c r="B145" s="18"/>
      <c r="C145" s="7">
        <v>42023</v>
      </c>
      <c r="D145" s="15">
        <v>0.1</v>
      </c>
      <c r="E145" s="20">
        <v>-2.1</v>
      </c>
      <c r="F145" s="15">
        <v>1.6</v>
      </c>
      <c r="G145" s="5">
        <f t="shared" si="28"/>
        <v>1411.1</v>
      </c>
      <c r="H145" s="5">
        <f t="shared" si="22"/>
        <v>249.39999999999998</v>
      </c>
      <c r="J145" s="5">
        <v>1</v>
      </c>
      <c r="K145" s="5">
        <f t="shared" si="29"/>
        <v>243.59999999999997</v>
      </c>
      <c r="L145" s="5">
        <v>0.2</v>
      </c>
      <c r="M145" s="5">
        <f t="shared" si="30"/>
        <v>163.29999999999998</v>
      </c>
      <c r="N145" s="5">
        <f t="shared" si="27"/>
        <v>0.8</v>
      </c>
      <c r="O145" s="5">
        <f t="shared" si="33"/>
        <v>150.5</v>
      </c>
      <c r="P145" s="5">
        <v>140</v>
      </c>
      <c r="Q145" s="5">
        <v>1</v>
      </c>
      <c r="R145" s="10">
        <f t="shared" si="24"/>
        <v>0.2</v>
      </c>
      <c r="S145" s="10">
        <f t="shared" si="25"/>
        <v>0.8</v>
      </c>
      <c r="T145" s="10">
        <f t="shared" si="31"/>
        <v>164.51592592592598</v>
      </c>
      <c r="V145" s="14">
        <v>144.9</v>
      </c>
      <c r="W145" s="5">
        <f t="shared" si="26"/>
        <v>1449</v>
      </c>
      <c r="X145" s="5">
        <f t="shared" si="32"/>
        <v>83747.39999999998</v>
      </c>
      <c r="Y145" s="5">
        <f t="shared" si="23"/>
        <v>11352.6</v>
      </c>
      <c r="AA145" s="5">
        <v>8.8475042218184008</v>
      </c>
    </row>
    <row r="146" spans="1:28" s="5" customFormat="1" x14ac:dyDescent="0.25">
      <c r="A146" s="70"/>
      <c r="B146" s="18"/>
      <c r="C146" s="7">
        <v>42024</v>
      </c>
      <c r="D146" s="20">
        <v>-1.5</v>
      </c>
      <c r="E146" s="20">
        <v>-2</v>
      </c>
      <c r="F146" s="20">
        <v>-0.3</v>
      </c>
      <c r="G146" s="5">
        <v>1411.1</v>
      </c>
      <c r="H146" s="5">
        <v>249.4</v>
      </c>
      <c r="J146" s="5">
        <v>0</v>
      </c>
      <c r="K146" s="5">
        <f t="shared" si="29"/>
        <v>243.59999999999997</v>
      </c>
      <c r="L146" s="5">
        <v>0.3</v>
      </c>
      <c r="M146" s="5">
        <f t="shared" si="30"/>
        <v>163.6</v>
      </c>
      <c r="N146" s="9">
        <f t="shared" si="27"/>
        <v>-0.3</v>
      </c>
      <c r="O146" s="5">
        <f t="shared" si="33"/>
        <v>150.19999999999999</v>
      </c>
      <c r="P146" s="5">
        <v>141</v>
      </c>
      <c r="Q146" s="5">
        <v>1</v>
      </c>
      <c r="R146" s="10">
        <f t="shared" si="24"/>
        <v>0.3</v>
      </c>
      <c r="S146" s="10">
        <f t="shared" si="25"/>
        <v>-0.3</v>
      </c>
      <c r="T146" s="10">
        <f t="shared" si="31"/>
        <v>164.21592592592597</v>
      </c>
      <c r="V146" s="14">
        <v>291.3</v>
      </c>
      <c r="W146" s="5">
        <f t="shared" si="26"/>
        <v>-194.20000000000002</v>
      </c>
      <c r="X146" s="5">
        <f t="shared" si="32"/>
        <v>84038.699999999983</v>
      </c>
      <c r="Y146" s="5">
        <f t="shared" si="23"/>
        <v>11643.9</v>
      </c>
      <c r="AA146" s="5">
        <v>8.88639987219997</v>
      </c>
    </row>
    <row r="147" spans="1:28" s="5" customFormat="1" x14ac:dyDescent="0.25">
      <c r="A147" s="70"/>
      <c r="B147" s="18"/>
      <c r="C147" s="7">
        <v>42025</v>
      </c>
      <c r="D147" s="15">
        <v>0.6</v>
      </c>
      <c r="E147" s="20">
        <v>-1.9</v>
      </c>
      <c r="F147" s="15">
        <v>3</v>
      </c>
      <c r="G147" s="5">
        <f t="shared" si="28"/>
        <v>1411.6999999999998</v>
      </c>
      <c r="H147" s="5">
        <f t="shared" si="22"/>
        <v>250</v>
      </c>
      <c r="J147" s="5">
        <v>0</v>
      </c>
      <c r="K147" s="5">
        <f t="shared" si="29"/>
        <v>243.59999999999997</v>
      </c>
      <c r="L147" s="5">
        <v>0.6</v>
      </c>
      <c r="M147" s="5">
        <f t="shared" si="30"/>
        <v>164.2</v>
      </c>
      <c r="N147" s="9">
        <f t="shared" si="27"/>
        <v>-0.6</v>
      </c>
      <c r="O147" s="5">
        <f t="shared" si="33"/>
        <v>149.6</v>
      </c>
      <c r="P147" s="5">
        <v>142</v>
      </c>
      <c r="Q147" s="5">
        <v>1</v>
      </c>
      <c r="R147" s="10">
        <f t="shared" si="24"/>
        <v>0.6</v>
      </c>
      <c r="S147" s="10">
        <f t="shared" si="25"/>
        <v>-0.6</v>
      </c>
      <c r="T147" s="10">
        <f t="shared" si="31"/>
        <v>163.61592592592598</v>
      </c>
      <c r="V147" s="14">
        <v>567.79999999999995</v>
      </c>
      <c r="W147" s="5">
        <f t="shared" si="26"/>
        <v>946.33333333333326</v>
      </c>
      <c r="X147" s="5">
        <f t="shared" si="32"/>
        <v>84606.499999999985</v>
      </c>
      <c r="Y147" s="5">
        <f t="shared" si="23"/>
        <v>12211.699999999999</v>
      </c>
      <c r="AA147" s="5">
        <v>8.9262865352953096</v>
      </c>
    </row>
    <row r="148" spans="1:28" s="5" customFormat="1" x14ac:dyDescent="0.25">
      <c r="A148" s="70"/>
      <c r="B148" s="18"/>
      <c r="C148" s="7">
        <v>42026</v>
      </c>
      <c r="D148" s="15">
        <v>0</v>
      </c>
      <c r="E148" s="20">
        <v>-1.3</v>
      </c>
      <c r="F148" s="15">
        <v>1.3</v>
      </c>
      <c r="G148" s="5">
        <f t="shared" si="28"/>
        <v>1411.6999999999998</v>
      </c>
      <c r="H148" s="5">
        <f t="shared" si="22"/>
        <v>250</v>
      </c>
      <c r="J148" s="5">
        <v>0</v>
      </c>
      <c r="K148" s="5">
        <f t="shared" si="29"/>
        <v>243.59999999999997</v>
      </c>
      <c r="L148" s="5">
        <v>0.4</v>
      </c>
      <c r="M148" s="5">
        <f t="shared" si="30"/>
        <v>164.6</v>
      </c>
      <c r="N148" s="9">
        <f t="shared" si="27"/>
        <v>-0.4</v>
      </c>
      <c r="O148" s="5">
        <f t="shared" si="33"/>
        <v>149.19999999999999</v>
      </c>
      <c r="P148" s="5">
        <v>143</v>
      </c>
      <c r="Q148" s="5">
        <v>1</v>
      </c>
      <c r="R148" s="10">
        <f t="shared" si="24"/>
        <v>0.4</v>
      </c>
      <c r="S148" s="10">
        <f t="shared" si="25"/>
        <v>-0.4</v>
      </c>
      <c r="T148" s="10">
        <f t="shared" si="31"/>
        <v>163.21592592592597</v>
      </c>
      <c r="V148" s="14">
        <v>240.5</v>
      </c>
      <c r="W148" s="5" t="e">
        <f t="shared" si="26"/>
        <v>#DIV/0!</v>
      </c>
      <c r="X148" s="5">
        <f t="shared" si="32"/>
        <v>84846.999999999985</v>
      </c>
      <c r="Y148" s="5">
        <f t="shared" si="23"/>
        <v>12452.199999999999</v>
      </c>
      <c r="AA148" s="5">
        <v>8.9671329811036191</v>
      </c>
    </row>
    <row r="149" spans="1:28" s="5" customFormat="1" x14ac:dyDescent="0.25">
      <c r="A149" s="70"/>
      <c r="B149" s="6"/>
      <c r="C149" s="7">
        <v>42027</v>
      </c>
      <c r="D149" s="20">
        <v>-0.1</v>
      </c>
      <c r="E149" s="20">
        <v>-0.7</v>
      </c>
      <c r="F149" s="15">
        <v>1.5</v>
      </c>
      <c r="G149" s="5">
        <v>1411.7</v>
      </c>
      <c r="H149" s="5">
        <v>250</v>
      </c>
      <c r="J149" s="5">
        <v>0.3</v>
      </c>
      <c r="K149" s="5">
        <f t="shared" si="29"/>
        <v>243.89999999999998</v>
      </c>
      <c r="L149" s="5">
        <v>0.7</v>
      </c>
      <c r="M149" s="5">
        <f t="shared" si="30"/>
        <v>165.29999999999998</v>
      </c>
      <c r="N149" s="9">
        <f t="shared" si="27"/>
        <v>-0.39999999999999997</v>
      </c>
      <c r="O149" s="5">
        <f t="shared" si="33"/>
        <v>148.79999999999998</v>
      </c>
      <c r="P149" s="5">
        <v>144</v>
      </c>
      <c r="Q149" s="5">
        <v>1</v>
      </c>
      <c r="R149" s="10">
        <f t="shared" si="24"/>
        <v>0.7</v>
      </c>
      <c r="S149" s="10">
        <f t="shared" si="25"/>
        <v>-0.39999999999999997</v>
      </c>
      <c r="T149" s="10">
        <f t="shared" si="31"/>
        <v>162.81592592592597</v>
      </c>
      <c r="V149" s="14">
        <v>644.70000000000005</v>
      </c>
      <c r="W149" s="5">
        <f t="shared" si="26"/>
        <v>-6447</v>
      </c>
      <c r="X149" s="5">
        <f t="shared" si="32"/>
        <v>85491.699999999983</v>
      </c>
      <c r="Y149" s="5">
        <f t="shared" si="23"/>
        <v>13096.9</v>
      </c>
      <c r="AA149" s="5">
        <v>9.0089081039428507</v>
      </c>
    </row>
    <row r="150" spans="1:28" s="5" customFormat="1" x14ac:dyDescent="0.25">
      <c r="A150" s="70"/>
      <c r="B150" s="6"/>
      <c r="C150" s="7">
        <v>42028</v>
      </c>
      <c r="D150" s="15">
        <v>1.4</v>
      </c>
      <c r="E150" s="20">
        <v>-1.5</v>
      </c>
      <c r="F150" s="5">
        <v>5.0999999999999996</v>
      </c>
      <c r="G150" s="5">
        <f t="shared" si="28"/>
        <v>1413.1000000000001</v>
      </c>
      <c r="H150" s="5">
        <f t="shared" si="22"/>
        <v>251.4</v>
      </c>
      <c r="J150" s="5">
        <v>1.5</v>
      </c>
      <c r="K150" s="5">
        <f t="shared" si="29"/>
        <v>245.39999999999998</v>
      </c>
      <c r="L150" s="5">
        <v>0.7</v>
      </c>
      <c r="M150" s="5">
        <f t="shared" si="30"/>
        <v>165.99999999999997</v>
      </c>
      <c r="N150" s="5">
        <f t="shared" si="27"/>
        <v>0.8</v>
      </c>
      <c r="O150" s="5">
        <f t="shared" si="33"/>
        <v>149.6</v>
      </c>
      <c r="P150" s="5">
        <v>145</v>
      </c>
      <c r="Q150" s="5">
        <v>1</v>
      </c>
      <c r="R150" s="10">
        <f t="shared" si="24"/>
        <v>0.7</v>
      </c>
      <c r="S150" s="10">
        <f t="shared" si="25"/>
        <v>0.8</v>
      </c>
      <c r="T150" s="10">
        <f t="shared" si="31"/>
        <v>163.61592592592598</v>
      </c>
      <c r="V150" s="14">
        <v>571.4</v>
      </c>
      <c r="W150" s="5">
        <f t="shared" si="26"/>
        <v>408.14285714285717</v>
      </c>
      <c r="X150" s="5">
        <f t="shared" si="32"/>
        <v>86063.099999999977</v>
      </c>
      <c r="Y150" s="5">
        <f t="shared" si="23"/>
        <v>13668.3</v>
      </c>
      <c r="AA150" s="5">
        <v>9.0515809856799194</v>
      </c>
    </row>
    <row r="151" spans="1:28" s="5" customFormat="1" x14ac:dyDescent="0.25">
      <c r="A151" s="70"/>
      <c r="B151" s="6"/>
      <c r="C151" s="7">
        <v>42029</v>
      </c>
      <c r="D151" s="15">
        <v>2.1</v>
      </c>
      <c r="E151" s="20">
        <v>-1.5</v>
      </c>
      <c r="F151" s="15">
        <v>4.3</v>
      </c>
      <c r="G151" s="5">
        <f t="shared" si="28"/>
        <v>1415.2</v>
      </c>
      <c r="H151" s="5">
        <f t="shared" si="22"/>
        <v>253.5</v>
      </c>
      <c r="J151" s="5">
        <v>0.5</v>
      </c>
      <c r="K151" s="5">
        <f t="shared" si="29"/>
        <v>245.89999999999998</v>
      </c>
      <c r="L151" s="5">
        <v>0.3</v>
      </c>
      <c r="M151" s="5">
        <f t="shared" si="30"/>
        <v>166.29999999999998</v>
      </c>
      <c r="N151" s="5">
        <f t="shared" si="27"/>
        <v>0.2</v>
      </c>
      <c r="O151" s="5">
        <f t="shared" si="33"/>
        <v>149.79999999999998</v>
      </c>
      <c r="P151" s="5">
        <v>146</v>
      </c>
      <c r="Q151" s="5">
        <v>1</v>
      </c>
      <c r="R151" s="10">
        <f t="shared" si="24"/>
        <v>0.3</v>
      </c>
      <c r="S151" s="10">
        <f t="shared" si="25"/>
        <v>0.2</v>
      </c>
      <c r="T151" s="10">
        <f t="shared" si="31"/>
        <v>163.81592592592597</v>
      </c>
      <c r="V151" s="14">
        <v>221.1</v>
      </c>
      <c r="W151" s="5">
        <f t="shared" si="26"/>
        <v>105.28571428571428</v>
      </c>
      <c r="X151" s="5">
        <f t="shared" si="32"/>
        <v>86284.199999999983</v>
      </c>
      <c r="Y151" s="5">
        <f t="shared" si="23"/>
        <v>13889.4</v>
      </c>
      <c r="AA151" s="5">
        <v>9.0951209548860596</v>
      </c>
    </row>
    <row r="152" spans="1:28" s="5" customFormat="1" x14ac:dyDescent="0.25">
      <c r="A152" s="70"/>
      <c r="B152" s="6"/>
      <c r="C152" s="7">
        <v>42030</v>
      </c>
      <c r="D152" s="5">
        <v>5.3</v>
      </c>
      <c r="E152" s="15">
        <v>3.3</v>
      </c>
      <c r="F152" s="5">
        <v>7.6</v>
      </c>
      <c r="G152" s="5">
        <f t="shared" si="28"/>
        <v>1420.5</v>
      </c>
      <c r="H152" s="5">
        <f t="shared" si="22"/>
        <v>258.8</v>
      </c>
      <c r="J152" s="5">
        <v>2.4</v>
      </c>
      <c r="K152" s="5">
        <f t="shared" si="29"/>
        <v>248.29999999999998</v>
      </c>
      <c r="L152" s="5">
        <v>0.3</v>
      </c>
      <c r="M152" s="5">
        <f t="shared" si="30"/>
        <v>166.6</v>
      </c>
      <c r="N152" s="5">
        <f t="shared" si="27"/>
        <v>2.1</v>
      </c>
      <c r="O152" s="5">
        <f t="shared" si="33"/>
        <v>151.89999999999998</v>
      </c>
      <c r="P152" s="5">
        <v>147</v>
      </c>
      <c r="Q152" s="5">
        <v>1</v>
      </c>
      <c r="R152" s="10">
        <f t="shared" si="24"/>
        <v>0.3</v>
      </c>
      <c r="S152" s="10">
        <f t="shared" si="25"/>
        <v>2.1</v>
      </c>
      <c r="T152" s="10">
        <f t="shared" si="31"/>
        <v>165.91592592592596</v>
      </c>
      <c r="V152" s="14">
        <v>137.30000000000001</v>
      </c>
      <c r="W152" s="5">
        <f t="shared" si="26"/>
        <v>25.905660377358494</v>
      </c>
      <c r="X152" s="5">
        <f t="shared" si="32"/>
        <v>86421.499999999985</v>
      </c>
      <c r="Y152" s="5">
        <f t="shared" si="23"/>
        <v>14026.699999999999</v>
      </c>
      <c r="AA152" s="5">
        <v>9.1394976418640397</v>
      </c>
    </row>
    <row r="153" spans="1:28" s="5" customFormat="1" x14ac:dyDescent="0.25">
      <c r="A153" s="70"/>
      <c r="B153" s="6">
        <v>8</v>
      </c>
      <c r="C153" s="7">
        <v>42031</v>
      </c>
      <c r="D153" s="15">
        <v>4</v>
      </c>
      <c r="E153" s="15">
        <v>0.7</v>
      </c>
      <c r="F153" s="5">
        <v>5.6</v>
      </c>
      <c r="G153" s="5">
        <f t="shared" si="28"/>
        <v>1424.5</v>
      </c>
      <c r="H153" s="5">
        <f t="shared" si="22"/>
        <v>262.8</v>
      </c>
      <c r="J153" s="5">
        <v>0</v>
      </c>
      <c r="K153" s="5">
        <f t="shared" si="29"/>
        <v>248.29999999999998</v>
      </c>
      <c r="L153" s="5">
        <v>0.4</v>
      </c>
      <c r="M153" s="5">
        <f t="shared" si="30"/>
        <v>167</v>
      </c>
      <c r="N153" s="9">
        <f t="shared" si="27"/>
        <v>-0.4</v>
      </c>
      <c r="O153" s="5">
        <f t="shared" si="33"/>
        <v>151.49999999999997</v>
      </c>
      <c r="P153" s="5">
        <v>148</v>
      </c>
      <c r="Q153" s="5">
        <v>1</v>
      </c>
      <c r="R153" s="10">
        <f t="shared" si="24"/>
        <v>0.4</v>
      </c>
      <c r="S153" s="10">
        <f t="shared" si="25"/>
        <v>-0.4</v>
      </c>
      <c r="T153" s="10">
        <f t="shared" si="31"/>
        <v>165.51592592592596</v>
      </c>
      <c r="V153" s="14">
        <v>441.1</v>
      </c>
      <c r="W153" s="5">
        <f t="shared" si="26"/>
        <v>110.27500000000001</v>
      </c>
      <c r="X153" s="5">
        <f t="shared" si="32"/>
        <v>86862.599999999991</v>
      </c>
      <c r="Y153" s="5">
        <f t="shared" si="23"/>
        <v>14467.8</v>
      </c>
      <c r="AA153" s="5">
        <v>9.1846810295265602</v>
      </c>
    </row>
    <row r="154" spans="1:28" s="5" customFormat="1" x14ac:dyDescent="0.25">
      <c r="A154" s="70"/>
      <c r="B154" s="6"/>
      <c r="C154" s="7">
        <v>42032</v>
      </c>
      <c r="D154" s="5">
        <v>5.7</v>
      </c>
      <c r="E154" s="15">
        <v>4.4000000000000004</v>
      </c>
      <c r="F154" s="5">
        <v>7.3</v>
      </c>
      <c r="G154" s="5">
        <f t="shared" si="28"/>
        <v>1430.2</v>
      </c>
      <c r="H154" s="5">
        <f t="shared" si="22"/>
        <v>268.5</v>
      </c>
      <c r="J154" s="5">
        <v>3.2</v>
      </c>
      <c r="K154" s="5">
        <f t="shared" si="29"/>
        <v>251.49999999999997</v>
      </c>
      <c r="L154" s="5">
        <v>0.4</v>
      </c>
      <c r="M154" s="5">
        <f t="shared" si="30"/>
        <v>167.4</v>
      </c>
      <c r="N154" s="5">
        <f t="shared" si="27"/>
        <v>2.8000000000000003</v>
      </c>
      <c r="O154" s="5">
        <f t="shared" si="33"/>
        <v>154.29999999999998</v>
      </c>
      <c r="P154" s="5">
        <v>149</v>
      </c>
      <c r="Q154" s="5">
        <v>1</v>
      </c>
      <c r="R154" s="10">
        <f t="shared" si="24"/>
        <v>0.4</v>
      </c>
      <c r="S154" s="10">
        <f t="shared" si="25"/>
        <v>2.8000000000000003</v>
      </c>
      <c r="T154" s="10">
        <f t="shared" si="31"/>
        <v>168.31592592592597</v>
      </c>
      <c r="V154" s="14">
        <v>146.4</v>
      </c>
      <c r="W154" s="5">
        <f t="shared" si="26"/>
        <v>25.684210526315791</v>
      </c>
      <c r="X154" s="5">
        <f t="shared" si="32"/>
        <v>87008.999999999985</v>
      </c>
      <c r="Y154" s="5">
        <f t="shared" si="23"/>
        <v>14614.199999999999</v>
      </c>
      <c r="AA154" s="5">
        <v>9.2306415001361497</v>
      </c>
    </row>
    <row r="155" spans="1:28" s="5" customFormat="1" x14ac:dyDescent="0.25">
      <c r="A155" s="70"/>
      <c r="B155" s="6"/>
      <c r="C155" s="7">
        <v>42033</v>
      </c>
      <c r="D155" s="15">
        <v>4.5</v>
      </c>
      <c r="E155" s="15">
        <v>4</v>
      </c>
      <c r="F155" s="5">
        <v>5.7</v>
      </c>
      <c r="G155" s="5">
        <f t="shared" si="28"/>
        <v>1434.7</v>
      </c>
      <c r="H155" s="5">
        <f t="shared" si="22"/>
        <v>273</v>
      </c>
      <c r="J155" s="5">
        <v>4.4000000000000004</v>
      </c>
      <c r="K155" s="5">
        <f t="shared" si="29"/>
        <v>255.89999999999998</v>
      </c>
      <c r="L155" s="5">
        <v>0.5</v>
      </c>
      <c r="M155" s="5">
        <f t="shared" si="30"/>
        <v>167.9</v>
      </c>
      <c r="N155" s="5">
        <f t="shared" si="27"/>
        <v>3.9000000000000004</v>
      </c>
      <c r="O155" s="5">
        <f t="shared" si="33"/>
        <v>158.19999999999999</v>
      </c>
      <c r="P155" s="5">
        <v>150</v>
      </c>
      <c r="Q155" s="5">
        <v>1</v>
      </c>
      <c r="R155" s="10">
        <f t="shared" si="24"/>
        <v>0.5</v>
      </c>
      <c r="S155" s="10">
        <f t="shared" si="25"/>
        <v>3.9000000000000004</v>
      </c>
      <c r="T155" s="10">
        <f t="shared" si="31"/>
        <v>172.21592592592597</v>
      </c>
      <c r="V155" s="14">
        <v>153.6</v>
      </c>
      <c r="W155" s="5">
        <f t="shared" si="26"/>
        <v>34.133333333333333</v>
      </c>
      <c r="X155" s="5">
        <f t="shared" si="32"/>
        <v>87162.599999999991</v>
      </c>
      <c r="Y155" s="5">
        <f t="shared" si="23"/>
        <v>14767.8</v>
      </c>
      <c r="AA155" s="5">
        <v>9.2773498779434505</v>
      </c>
    </row>
    <row r="156" spans="1:28" s="5" customFormat="1" x14ac:dyDescent="0.25">
      <c r="A156" s="70"/>
      <c r="B156" s="6"/>
      <c r="C156" s="7">
        <v>42034</v>
      </c>
      <c r="D156" s="15">
        <v>1.6</v>
      </c>
      <c r="E156" s="15">
        <v>1.1000000000000001</v>
      </c>
      <c r="F156" s="15">
        <v>2.7</v>
      </c>
      <c r="G156" s="5">
        <f t="shared" si="28"/>
        <v>1436.3</v>
      </c>
      <c r="H156" s="5">
        <f t="shared" si="22"/>
        <v>274.60000000000002</v>
      </c>
      <c r="J156" s="5">
        <v>2.8</v>
      </c>
      <c r="K156" s="5">
        <f t="shared" si="29"/>
        <v>258.7</v>
      </c>
      <c r="L156" s="5">
        <v>0.3</v>
      </c>
      <c r="M156" s="5">
        <f t="shared" si="30"/>
        <v>168.20000000000002</v>
      </c>
      <c r="N156" s="5">
        <f t="shared" si="27"/>
        <v>2.5</v>
      </c>
      <c r="O156" s="5">
        <f t="shared" si="33"/>
        <v>160.69999999999999</v>
      </c>
      <c r="P156" s="5">
        <v>151</v>
      </c>
      <c r="Q156" s="5">
        <v>1</v>
      </c>
      <c r="R156" s="10">
        <f t="shared" si="24"/>
        <v>0.3</v>
      </c>
      <c r="S156" s="10">
        <f t="shared" si="25"/>
        <v>2.5</v>
      </c>
      <c r="T156" s="10">
        <f t="shared" si="31"/>
        <v>174.71592592592597</v>
      </c>
      <c r="V156" s="14">
        <v>131.30000000000001</v>
      </c>
      <c r="W156" s="5">
        <f t="shared" si="26"/>
        <v>82.0625</v>
      </c>
      <c r="X156" s="5">
        <f t="shared" si="32"/>
        <v>87293.9</v>
      </c>
      <c r="Y156" s="5">
        <f t="shared" si="23"/>
        <v>14899.099999999999</v>
      </c>
      <c r="AA156" s="5">
        <v>9.3247774677859407</v>
      </c>
    </row>
    <row r="157" spans="1:28" s="5" customFormat="1" x14ac:dyDescent="0.25">
      <c r="A157" s="70"/>
      <c r="B157" s="6"/>
      <c r="C157" s="7">
        <v>42035</v>
      </c>
      <c r="D157" s="15">
        <v>2.7</v>
      </c>
      <c r="E157" s="15">
        <v>1</v>
      </c>
      <c r="F157" s="5">
        <v>5.2</v>
      </c>
      <c r="G157" s="5">
        <f t="shared" si="28"/>
        <v>1439</v>
      </c>
      <c r="H157" s="5">
        <f t="shared" si="22"/>
        <v>277.3</v>
      </c>
      <c r="J157" s="5">
        <v>2.9</v>
      </c>
      <c r="K157" s="5">
        <f t="shared" si="29"/>
        <v>261.59999999999997</v>
      </c>
      <c r="L157" s="5">
        <v>0.6</v>
      </c>
      <c r="M157" s="5">
        <f t="shared" si="30"/>
        <v>168.8</v>
      </c>
      <c r="N157" s="5">
        <f t="shared" si="27"/>
        <v>2.2999999999999998</v>
      </c>
      <c r="O157" s="5">
        <f t="shared" si="33"/>
        <v>163</v>
      </c>
      <c r="P157" s="5">
        <v>152</v>
      </c>
      <c r="Q157" s="5">
        <v>1</v>
      </c>
      <c r="R157" s="10">
        <f t="shared" si="24"/>
        <v>0.6</v>
      </c>
      <c r="S157" s="10">
        <f t="shared" si="25"/>
        <v>2.2999999999999998</v>
      </c>
      <c r="T157" s="10">
        <f t="shared" si="31"/>
        <v>177.01592592592598</v>
      </c>
      <c r="V157" s="14">
        <v>379.7</v>
      </c>
      <c r="W157" s="5">
        <f t="shared" si="26"/>
        <v>140.62962962962962</v>
      </c>
      <c r="X157" s="5">
        <f t="shared" si="32"/>
        <v>87673.599999999991</v>
      </c>
      <c r="Y157" s="5">
        <f t="shared" si="23"/>
        <v>15278.8</v>
      </c>
      <c r="AA157" s="5">
        <v>9.3728960897308102</v>
      </c>
    </row>
    <row r="158" spans="1:28" s="5" customFormat="1" x14ac:dyDescent="0.25">
      <c r="A158" s="70"/>
      <c r="B158" s="6"/>
      <c r="C158" s="7">
        <v>42036</v>
      </c>
      <c r="D158" s="15">
        <v>3</v>
      </c>
      <c r="E158" s="15">
        <v>2</v>
      </c>
      <c r="F158" s="15">
        <v>3.8</v>
      </c>
      <c r="G158" s="5">
        <f t="shared" si="28"/>
        <v>1442</v>
      </c>
      <c r="H158" s="5">
        <f t="shared" si="22"/>
        <v>280.3</v>
      </c>
      <c r="J158" s="5">
        <v>2.2000000000000002</v>
      </c>
      <c r="K158" s="5">
        <f t="shared" si="29"/>
        <v>263.79999999999995</v>
      </c>
      <c r="L158" s="5">
        <v>0.4</v>
      </c>
      <c r="M158" s="5">
        <f t="shared" si="30"/>
        <v>169.20000000000002</v>
      </c>
      <c r="N158" s="5">
        <f t="shared" si="27"/>
        <v>1.8000000000000003</v>
      </c>
      <c r="O158" s="5">
        <f t="shared" si="33"/>
        <v>164.8</v>
      </c>
      <c r="P158" s="5">
        <v>153</v>
      </c>
      <c r="Q158" s="5">
        <v>1</v>
      </c>
      <c r="R158" s="10">
        <f t="shared" si="24"/>
        <v>0.4</v>
      </c>
      <c r="S158" s="10">
        <f t="shared" si="25"/>
        <v>1.8000000000000003</v>
      </c>
      <c r="T158" s="10">
        <f t="shared" si="31"/>
        <v>178.815925925926</v>
      </c>
      <c r="V158" s="14">
        <v>225</v>
      </c>
      <c r="W158" s="5">
        <f t="shared" si="26"/>
        <v>75</v>
      </c>
      <c r="X158" s="5">
        <f t="shared" si="32"/>
        <v>87898.599999999991</v>
      </c>
      <c r="Y158" s="5">
        <f t="shared" si="23"/>
        <v>15503.8</v>
      </c>
      <c r="AA158" s="5">
        <v>9.4216781098642794</v>
      </c>
    </row>
    <row r="159" spans="1:28" s="5" customFormat="1" x14ac:dyDescent="0.25">
      <c r="A159" s="70"/>
      <c r="B159" s="6"/>
      <c r="C159" s="7">
        <v>42037</v>
      </c>
      <c r="D159" s="15">
        <v>1.3</v>
      </c>
      <c r="E159" s="15">
        <v>0.2</v>
      </c>
      <c r="F159" s="15">
        <v>3</v>
      </c>
      <c r="G159" s="5">
        <f t="shared" si="28"/>
        <v>1443.3</v>
      </c>
      <c r="H159" s="5">
        <f t="shared" si="22"/>
        <v>281.60000000000002</v>
      </c>
      <c r="J159" s="79">
        <v>1.5</v>
      </c>
      <c r="K159" s="5">
        <f t="shared" si="29"/>
        <v>265.29999999999995</v>
      </c>
      <c r="L159" s="5">
        <v>0.3</v>
      </c>
      <c r="M159" s="5">
        <f t="shared" si="30"/>
        <v>169.50000000000003</v>
      </c>
      <c r="N159" s="5">
        <f t="shared" si="27"/>
        <v>1.2</v>
      </c>
      <c r="O159" s="5">
        <f t="shared" si="33"/>
        <v>166</v>
      </c>
      <c r="P159" s="5">
        <v>154</v>
      </c>
      <c r="Q159" s="5">
        <v>1</v>
      </c>
      <c r="R159" s="10">
        <f t="shared" si="24"/>
        <v>0.3</v>
      </c>
      <c r="S159" s="10">
        <f t="shared" si="25"/>
        <v>1.2</v>
      </c>
      <c r="T159" s="10">
        <f t="shared" si="31"/>
        <v>180.01592592592598</v>
      </c>
      <c r="V159" s="14">
        <v>253.7</v>
      </c>
      <c r="W159" s="5">
        <f t="shared" si="26"/>
        <v>195.15384615384613</v>
      </c>
      <c r="X159" s="5">
        <f t="shared" si="32"/>
        <v>88152.299999999988</v>
      </c>
      <c r="Y159" s="5">
        <f t="shared" si="23"/>
        <v>15757.5</v>
      </c>
      <c r="AA159" s="5">
        <v>9.4710964673464293</v>
      </c>
      <c r="AB159" s="81" t="s">
        <v>54</v>
      </c>
    </row>
    <row r="160" spans="1:28" s="5" customFormat="1" x14ac:dyDescent="0.25">
      <c r="A160" s="70"/>
      <c r="B160" s="6">
        <v>9</v>
      </c>
      <c r="C160" s="7">
        <v>42038</v>
      </c>
      <c r="D160" s="15">
        <v>0.1</v>
      </c>
      <c r="E160" s="20">
        <v>-2.4</v>
      </c>
      <c r="F160" s="15">
        <v>3</v>
      </c>
      <c r="G160" s="5">
        <f t="shared" si="28"/>
        <v>1443.3999999999999</v>
      </c>
      <c r="H160" s="5">
        <f t="shared" si="22"/>
        <v>281.70000000000005</v>
      </c>
      <c r="J160" s="79">
        <v>0</v>
      </c>
      <c r="K160" s="5">
        <f t="shared" si="29"/>
        <v>265.29999999999995</v>
      </c>
      <c r="L160" s="5">
        <v>0.5</v>
      </c>
      <c r="M160" s="5">
        <f t="shared" si="30"/>
        <v>170.00000000000003</v>
      </c>
      <c r="N160" s="9">
        <f t="shared" si="27"/>
        <v>-0.5</v>
      </c>
      <c r="O160" s="5">
        <f t="shared" si="33"/>
        <v>165.5</v>
      </c>
      <c r="P160" s="5">
        <v>155</v>
      </c>
      <c r="Q160" s="5">
        <v>1</v>
      </c>
      <c r="R160" s="10">
        <f t="shared" si="24"/>
        <v>0.5</v>
      </c>
      <c r="S160" s="10">
        <f t="shared" si="25"/>
        <v>-0.5</v>
      </c>
      <c r="T160" s="10">
        <f t="shared" si="31"/>
        <v>179.51592592592598</v>
      </c>
      <c r="V160" s="14">
        <v>605.29999999999995</v>
      </c>
      <c r="W160" s="5">
        <f t="shared" si="26"/>
        <v>6052.9999999999991</v>
      </c>
      <c r="X160" s="5">
        <f t="shared" si="32"/>
        <v>88757.599999999991</v>
      </c>
      <c r="Y160" s="5">
        <f t="shared" si="23"/>
        <v>16362.8</v>
      </c>
      <c r="AA160" s="5">
        <v>9.52112469786376</v>
      </c>
      <c r="AB160" s="12">
        <f>AVERAGE(T166:T179)</f>
        <v>178.85164021164033</v>
      </c>
    </row>
    <row r="161" spans="1:28" s="5" customFormat="1" x14ac:dyDescent="0.25">
      <c r="A161" s="70"/>
      <c r="B161" s="6"/>
      <c r="C161" s="7">
        <v>42039</v>
      </c>
      <c r="D161" s="15">
        <v>0.7</v>
      </c>
      <c r="E161" s="20">
        <v>-1</v>
      </c>
      <c r="F161" s="15">
        <v>2.4</v>
      </c>
      <c r="G161" s="5">
        <f t="shared" si="28"/>
        <v>1444.1</v>
      </c>
      <c r="H161" s="5">
        <f t="shared" ref="H161:H224" si="34">H160+D161</f>
        <v>282.40000000000003</v>
      </c>
      <c r="J161" s="79">
        <v>0</v>
      </c>
      <c r="K161" s="5">
        <f t="shared" si="29"/>
        <v>265.29999999999995</v>
      </c>
      <c r="L161" s="5">
        <v>0.9</v>
      </c>
      <c r="M161" s="5">
        <f t="shared" si="30"/>
        <v>170.90000000000003</v>
      </c>
      <c r="N161" s="9">
        <f t="shared" si="27"/>
        <v>-0.9</v>
      </c>
      <c r="O161" s="5">
        <f t="shared" si="33"/>
        <v>164.6</v>
      </c>
      <c r="P161" s="5">
        <v>156</v>
      </c>
      <c r="Q161" s="5">
        <v>1</v>
      </c>
      <c r="R161" s="10">
        <f t="shared" si="24"/>
        <v>0.9</v>
      </c>
      <c r="S161" s="10">
        <f t="shared" si="25"/>
        <v>-0.9</v>
      </c>
      <c r="T161" s="10">
        <f t="shared" si="31"/>
        <v>178.61592592592598</v>
      </c>
      <c r="V161" s="5">
        <v>929.9</v>
      </c>
      <c r="W161" s="5">
        <f t="shared" si="26"/>
        <v>1328.4285714285716</v>
      </c>
      <c r="X161" s="5">
        <f t="shared" si="32"/>
        <v>89687.499999999985</v>
      </c>
      <c r="Y161" s="5">
        <f t="shared" ref="Y161:Y224" si="35">Y160+V161</f>
        <v>17292.7</v>
      </c>
      <c r="AA161" s="5">
        <v>9.5717369536231498</v>
      </c>
      <c r="AB161" s="81" t="s">
        <v>53</v>
      </c>
    </row>
    <row r="162" spans="1:28" s="5" customFormat="1" x14ac:dyDescent="0.25">
      <c r="A162" s="70"/>
      <c r="B162" s="6"/>
      <c r="C162" s="7">
        <v>42040</v>
      </c>
      <c r="D162" s="15">
        <v>0.6</v>
      </c>
      <c r="E162" s="20">
        <v>-0.8</v>
      </c>
      <c r="F162" s="15">
        <v>2.9</v>
      </c>
      <c r="G162" s="5">
        <f t="shared" si="28"/>
        <v>1444.6999999999998</v>
      </c>
      <c r="H162" s="5">
        <f t="shared" si="34"/>
        <v>283.00000000000006</v>
      </c>
      <c r="J162" s="79">
        <v>0</v>
      </c>
      <c r="K162" s="5">
        <f t="shared" si="29"/>
        <v>265.29999999999995</v>
      </c>
      <c r="L162" s="5">
        <v>0.9</v>
      </c>
      <c r="M162" s="5">
        <f t="shared" si="30"/>
        <v>171.80000000000004</v>
      </c>
      <c r="N162" s="9">
        <f t="shared" si="27"/>
        <v>-0.9</v>
      </c>
      <c r="O162" s="5">
        <f t="shared" si="33"/>
        <v>163.69999999999999</v>
      </c>
      <c r="P162" s="5">
        <v>157</v>
      </c>
      <c r="Q162" s="5">
        <v>1</v>
      </c>
      <c r="R162" s="10">
        <f t="shared" si="24"/>
        <v>0.9</v>
      </c>
      <c r="S162" s="10">
        <f t="shared" si="25"/>
        <v>-0.9</v>
      </c>
      <c r="T162" s="10">
        <f t="shared" si="31"/>
        <v>177.71592592592597</v>
      </c>
      <c r="V162" s="14">
        <v>591.1</v>
      </c>
      <c r="W162" s="5">
        <f t="shared" si="26"/>
        <v>985.16666666666674</v>
      </c>
      <c r="X162" s="5">
        <f t="shared" si="32"/>
        <v>90278.599999999991</v>
      </c>
      <c r="Y162" s="5">
        <f t="shared" si="35"/>
        <v>17883.8</v>
      </c>
      <c r="AA162" s="5">
        <v>9.6229080200397092</v>
      </c>
      <c r="AB162" s="5">
        <v>4</v>
      </c>
    </row>
    <row r="163" spans="1:28" s="5" customFormat="1" x14ac:dyDescent="0.25">
      <c r="A163" s="70"/>
      <c r="B163" s="6"/>
      <c r="C163" s="7">
        <v>42041</v>
      </c>
      <c r="D163" s="20">
        <v>-0.3</v>
      </c>
      <c r="E163" s="20">
        <v>-2</v>
      </c>
      <c r="F163" s="15">
        <v>1.5</v>
      </c>
      <c r="G163" s="5">
        <v>1444.7</v>
      </c>
      <c r="H163" s="5">
        <v>283</v>
      </c>
      <c r="J163" s="79">
        <v>0</v>
      </c>
      <c r="K163" s="5">
        <f t="shared" si="29"/>
        <v>265.29999999999995</v>
      </c>
      <c r="L163" s="5">
        <v>1.2</v>
      </c>
      <c r="M163" s="5">
        <f t="shared" si="30"/>
        <v>173.00000000000003</v>
      </c>
      <c r="N163" s="9">
        <f t="shared" si="27"/>
        <v>-1.2</v>
      </c>
      <c r="O163" s="5">
        <f t="shared" si="33"/>
        <v>162.5</v>
      </c>
      <c r="P163" s="5">
        <v>158</v>
      </c>
      <c r="Q163" s="5">
        <v>1</v>
      </c>
      <c r="R163" s="10">
        <f t="shared" si="24"/>
        <v>1.2</v>
      </c>
      <c r="S163" s="10">
        <f t="shared" si="25"/>
        <v>-1.2</v>
      </c>
      <c r="T163" s="10">
        <f t="shared" si="31"/>
        <v>176.51592592592598</v>
      </c>
      <c r="V163" s="5">
        <v>974.4</v>
      </c>
      <c r="W163" s="5">
        <f t="shared" si="26"/>
        <v>-3248</v>
      </c>
      <c r="X163" s="5">
        <f t="shared" si="32"/>
        <v>91252.999999999985</v>
      </c>
      <c r="Y163" s="5">
        <f t="shared" si="35"/>
        <v>18858.2</v>
      </c>
      <c r="AA163" s="5">
        <v>9.6746133292775394</v>
      </c>
      <c r="AB163" s="81" t="s">
        <v>52</v>
      </c>
    </row>
    <row r="164" spans="1:28" s="5" customFormat="1" x14ac:dyDescent="0.25">
      <c r="A164" s="70"/>
      <c r="B164" s="6"/>
      <c r="C164" s="7">
        <v>42042</v>
      </c>
      <c r="D164" s="15">
        <v>1</v>
      </c>
      <c r="E164" s="20">
        <v>-2.2999999999999998</v>
      </c>
      <c r="F164" s="15">
        <v>3.5</v>
      </c>
      <c r="G164" s="5">
        <f t="shared" si="28"/>
        <v>1445.7</v>
      </c>
      <c r="H164" s="5">
        <f t="shared" si="34"/>
        <v>284</v>
      </c>
      <c r="J164" s="79">
        <v>0.2</v>
      </c>
      <c r="K164" s="5">
        <f t="shared" si="29"/>
        <v>265.49999999999994</v>
      </c>
      <c r="L164" s="5">
        <v>1.3</v>
      </c>
      <c r="M164" s="5">
        <f t="shared" si="30"/>
        <v>174.30000000000004</v>
      </c>
      <c r="N164" s="9">
        <f t="shared" si="27"/>
        <v>-1.1000000000000001</v>
      </c>
      <c r="O164" s="5">
        <f t="shared" si="33"/>
        <v>161.4</v>
      </c>
      <c r="P164" s="5">
        <v>159</v>
      </c>
      <c r="Q164" s="5">
        <v>1</v>
      </c>
      <c r="R164" s="10">
        <f t="shared" si="24"/>
        <v>1.3</v>
      </c>
      <c r="S164" s="10">
        <f t="shared" si="25"/>
        <v>-1.1000000000000001</v>
      </c>
      <c r="T164" s="10">
        <f t="shared" si="31"/>
        <v>175.41592592592599</v>
      </c>
      <c r="V164" s="5">
        <v>983.2</v>
      </c>
      <c r="W164" s="5">
        <f t="shared" si="26"/>
        <v>983.2</v>
      </c>
      <c r="X164" s="5">
        <f t="shared" si="32"/>
        <v>92236.199999999983</v>
      </c>
      <c r="Y164" s="5">
        <f t="shared" si="35"/>
        <v>19841.400000000001</v>
      </c>
      <c r="AA164" s="5">
        <v>9.7268289708072899</v>
      </c>
      <c r="AB164" s="5">
        <v>3</v>
      </c>
    </row>
    <row r="165" spans="1:28" s="5" customFormat="1" x14ac:dyDescent="0.25">
      <c r="A165" s="70"/>
      <c r="B165" s="6"/>
      <c r="C165" s="7">
        <v>42043</v>
      </c>
      <c r="D165" s="15">
        <v>3.3</v>
      </c>
      <c r="E165" s="15">
        <v>1.7</v>
      </c>
      <c r="F165" s="5">
        <v>6.2</v>
      </c>
      <c r="G165" s="5">
        <f t="shared" si="28"/>
        <v>1449</v>
      </c>
      <c r="H165" s="5">
        <f t="shared" si="34"/>
        <v>287.3</v>
      </c>
      <c r="J165" s="79">
        <v>0</v>
      </c>
      <c r="K165" s="5">
        <f t="shared" si="29"/>
        <v>265.49999999999994</v>
      </c>
      <c r="L165" s="5">
        <v>0.9</v>
      </c>
      <c r="M165" s="5">
        <f t="shared" si="30"/>
        <v>175.20000000000005</v>
      </c>
      <c r="N165" s="9">
        <f t="shared" si="27"/>
        <v>-0.9</v>
      </c>
      <c r="O165" s="5">
        <f t="shared" si="33"/>
        <v>160.5</v>
      </c>
      <c r="P165" s="5">
        <v>160</v>
      </c>
      <c r="Q165" s="5">
        <v>1</v>
      </c>
      <c r="R165" s="10">
        <f t="shared" si="24"/>
        <v>0.9</v>
      </c>
      <c r="S165" s="10">
        <f t="shared" si="25"/>
        <v>-0.9</v>
      </c>
      <c r="T165" s="10">
        <f t="shared" si="31"/>
        <v>174.51592592592598</v>
      </c>
      <c r="V165" s="14">
        <v>474.9</v>
      </c>
      <c r="W165" s="5">
        <f t="shared" si="26"/>
        <v>143.90909090909091</v>
      </c>
      <c r="X165" s="5">
        <f t="shared" si="32"/>
        <v>92711.099999999977</v>
      </c>
      <c r="Y165" s="5">
        <f t="shared" si="35"/>
        <v>20316.300000000003</v>
      </c>
      <c r="AA165" s="5">
        <v>9.77953169914732</v>
      </c>
      <c r="AB165" s="81" t="s">
        <v>51</v>
      </c>
    </row>
    <row r="166" spans="1:28" s="5" customFormat="1" x14ac:dyDescent="0.25">
      <c r="A166" s="70"/>
      <c r="B166" s="6"/>
      <c r="C166" s="7">
        <v>42044</v>
      </c>
      <c r="D166" s="15">
        <v>2.1</v>
      </c>
      <c r="E166" s="20">
        <v>-0.2</v>
      </c>
      <c r="F166" s="15">
        <v>4.8</v>
      </c>
      <c r="G166" s="5">
        <f t="shared" si="28"/>
        <v>1451.1</v>
      </c>
      <c r="H166" s="5">
        <f t="shared" si="34"/>
        <v>289.40000000000003</v>
      </c>
      <c r="J166" s="79">
        <v>0</v>
      </c>
      <c r="K166" s="5">
        <f t="shared" si="29"/>
        <v>265.49999999999994</v>
      </c>
      <c r="L166" s="5">
        <v>0.5</v>
      </c>
      <c r="M166" s="5">
        <f t="shared" si="30"/>
        <v>175.70000000000005</v>
      </c>
      <c r="N166" s="9">
        <f t="shared" si="27"/>
        <v>-0.5</v>
      </c>
      <c r="O166" s="5">
        <f t="shared" si="33"/>
        <v>160</v>
      </c>
      <c r="P166" s="5">
        <v>161</v>
      </c>
      <c r="Q166" s="5">
        <v>1</v>
      </c>
      <c r="R166" s="10">
        <f t="shared" si="24"/>
        <v>0.5</v>
      </c>
      <c r="S166" s="10">
        <f t="shared" si="25"/>
        <v>-0.5</v>
      </c>
      <c r="T166" s="80">
        <f t="shared" si="31"/>
        <v>174.01592592592598</v>
      </c>
      <c r="V166" s="14">
        <v>318.39999999999998</v>
      </c>
      <c r="W166" s="5">
        <f t="shared" si="26"/>
        <v>151.61904761904759</v>
      </c>
      <c r="X166" s="5">
        <f t="shared" si="32"/>
        <v>93029.499999999971</v>
      </c>
      <c r="Y166" s="5">
        <f t="shared" si="35"/>
        <v>20634.700000000004</v>
      </c>
      <c r="AA166" s="5">
        <v>9.8326989389563604</v>
      </c>
      <c r="AB166" s="5">
        <v>0</v>
      </c>
    </row>
    <row r="167" spans="1:28" s="5" customFormat="1" x14ac:dyDescent="0.25">
      <c r="A167" s="70"/>
      <c r="B167" s="6">
        <v>10</v>
      </c>
      <c r="C167" s="7">
        <v>42045</v>
      </c>
      <c r="D167" s="15">
        <v>3.8</v>
      </c>
      <c r="E167" s="15">
        <v>1.7</v>
      </c>
      <c r="F167" s="5">
        <v>5.8</v>
      </c>
      <c r="G167" s="5">
        <f t="shared" si="28"/>
        <v>1454.8999999999999</v>
      </c>
      <c r="H167" s="5">
        <f t="shared" si="34"/>
        <v>293.20000000000005</v>
      </c>
      <c r="J167" s="79">
        <v>0</v>
      </c>
      <c r="K167" s="5">
        <f t="shared" si="29"/>
        <v>265.49999999999994</v>
      </c>
      <c r="L167" s="5">
        <v>0.7</v>
      </c>
      <c r="M167" s="5">
        <f t="shared" si="30"/>
        <v>176.40000000000003</v>
      </c>
      <c r="N167" s="9">
        <f t="shared" si="27"/>
        <v>-0.7</v>
      </c>
      <c r="O167" s="5">
        <f t="shared" si="33"/>
        <v>159.30000000000001</v>
      </c>
      <c r="P167" s="5">
        <v>162</v>
      </c>
      <c r="Q167" s="5">
        <v>1</v>
      </c>
      <c r="R167" s="10">
        <f t="shared" si="24"/>
        <v>0.7</v>
      </c>
      <c r="S167" s="10">
        <f t="shared" si="25"/>
        <v>-0.7</v>
      </c>
      <c r="T167" s="80">
        <f t="shared" si="31"/>
        <v>173.315925925926</v>
      </c>
      <c r="V167" s="14">
        <v>341.9</v>
      </c>
      <c r="W167" s="5">
        <f t="shared" si="26"/>
        <v>89.973684210526315</v>
      </c>
      <c r="X167" s="5">
        <f t="shared" si="32"/>
        <v>93371.399999999965</v>
      </c>
      <c r="Y167" s="5">
        <f t="shared" si="35"/>
        <v>20976.600000000006</v>
      </c>
      <c r="AA167" s="5">
        <v>9.8863087876455396</v>
      </c>
      <c r="AB167" s="81" t="s">
        <v>50</v>
      </c>
    </row>
    <row r="168" spans="1:28" s="5" customFormat="1" x14ac:dyDescent="0.25">
      <c r="A168" s="70"/>
      <c r="B168" s="6"/>
      <c r="C168" s="7">
        <v>42046</v>
      </c>
      <c r="D168" s="15">
        <v>2.8</v>
      </c>
      <c r="E168" s="15">
        <v>0.2</v>
      </c>
      <c r="F168" s="5">
        <v>6.5</v>
      </c>
      <c r="G168" s="5">
        <f t="shared" si="28"/>
        <v>1457.6999999999998</v>
      </c>
      <c r="H168" s="5">
        <f t="shared" si="34"/>
        <v>296.00000000000006</v>
      </c>
      <c r="J168" s="79">
        <v>0</v>
      </c>
      <c r="K168" s="5">
        <f t="shared" si="29"/>
        <v>265.49999999999994</v>
      </c>
      <c r="L168" s="5">
        <v>1.2</v>
      </c>
      <c r="M168" s="5">
        <f t="shared" si="30"/>
        <v>177.60000000000002</v>
      </c>
      <c r="N168" s="9">
        <f t="shared" si="27"/>
        <v>-1.2</v>
      </c>
      <c r="O168" s="5">
        <f t="shared" si="33"/>
        <v>158.10000000000002</v>
      </c>
      <c r="P168" s="5">
        <v>163</v>
      </c>
      <c r="Q168" s="5">
        <v>1</v>
      </c>
      <c r="R168" s="10">
        <f t="shared" si="24"/>
        <v>1.2</v>
      </c>
      <c r="S168" s="10">
        <f t="shared" si="25"/>
        <v>-1.2</v>
      </c>
      <c r="T168" s="80">
        <f t="shared" si="31"/>
        <v>172.11592592592601</v>
      </c>
      <c r="V168" s="5">
        <v>1027.2</v>
      </c>
      <c r="W168" s="5">
        <f t="shared" si="26"/>
        <v>366.85714285714289</v>
      </c>
      <c r="X168" s="5">
        <f t="shared" si="32"/>
        <v>94398.599999999962</v>
      </c>
      <c r="Y168" s="5">
        <f t="shared" si="35"/>
        <v>22003.800000000007</v>
      </c>
      <c r="AA168" s="5">
        <v>9.9403400156761208</v>
      </c>
      <c r="AB168" s="5">
        <f>SUM(J170:J179)</f>
        <v>28.2</v>
      </c>
    </row>
    <row r="169" spans="1:28" s="77" customFormat="1" x14ac:dyDescent="0.25">
      <c r="A169" s="70"/>
      <c r="B169" s="74" t="s">
        <v>49</v>
      </c>
      <c r="C169" s="75">
        <v>42047</v>
      </c>
      <c r="D169" s="76">
        <v>1.2</v>
      </c>
      <c r="E169" s="76">
        <v>-2.5</v>
      </c>
      <c r="F169" s="76">
        <v>5.3</v>
      </c>
      <c r="G169" s="77">
        <f t="shared" si="28"/>
        <v>1458.8999999999999</v>
      </c>
      <c r="H169" s="77">
        <f t="shared" si="34"/>
        <v>297.20000000000005</v>
      </c>
      <c r="J169" s="77">
        <v>0</v>
      </c>
      <c r="K169" s="77">
        <f t="shared" si="29"/>
        <v>265.49999999999994</v>
      </c>
      <c r="L169" s="77">
        <v>0.9</v>
      </c>
      <c r="M169" s="77">
        <f t="shared" si="30"/>
        <v>178.50000000000003</v>
      </c>
      <c r="N169" s="76">
        <f t="shared" si="27"/>
        <v>-0.9</v>
      </c>
      <c r="O169" s="77">
        <f t="shared" si="33"/>
        <v>157.20000000000002</v>
      </c>
      <c r="P169" s="77">
        <v>164</v>
      </c>
      <c r="Q169" s="77">
        <v>1</v>
      </c>
      <c r="R169" s="78">
        <f t="shared" si="24"/>
        <v>0.9</v>
      </c>
      <c r="S169" s="78">
        <f t="shared" si="25"/>
        <v>-0.9</v>
      </c>
      <c r="T169" s="78">
        <f t="shared" si="31"/>
        <v>171.215925925926</v>
      </c>
      <c r="V169" s="76">
        <v>815.5</v>
      </c>
      <c r="W169" s="77">
        <f t="shared" si="26"/>
        <v>679.58333333333337</v>
      </c>
      <c r="X169" s="77">
        <f t="shared" si="32"/>
        <v>95214.099999999962</v>
      </c>
      <c r="Y169" s="77">
        <f t="shared" si="35"/>
        <v>22819.300000000007</v>
      </c>
      <c r="AA169" s="77">
        <v>9.9947720647065594</v>
      </c>
    </row>
    <row r="170" spans="1:28" s="5" customFormat="1" x14ac:dyDescent="0.25">
      <c r="A170" s="70"/>
      <c r="B170" s="6"/>
      <c r="C170" s="7">
        <v>42048</v>
      </c>
      <c r="D170" s="5">
        <v>6.4</v>
      </c>
      <c r="E170" s="20">
        <v>-0.3</v>
      </c>
      <c r="F170" s="5">
        <v>11.7</v>
      </c>
      <c r="G170" s="5">
        <f t="shared" si="28"/>
        <v>1465.3</v>
      </c>
      <c r="H170" s="5">
        <f t="shared" si="34"/>
        <v>303.60000000000002</v>
      </c>
      <c r="J170" s="79">
        <v>3</v>
      </c>
      <c r="K170" s="5">
        <f t="shared" si="29"/>
        <v>268.49999999999994</v>
      </c>
      <c r="L170" s="5">
        <v>1.2</v>
      </c>
      <c r="M170" s="5">
        <f t="shared" si="30"/>
        <v>179.70000000000002</v>
      </c>
      <c r="N170" s="5">
        <f t="shared" si="27"/>
        <v>1.8</v>
      </c>
      <c r="O170" s="5">
        <f t="shared" si="33"/>
        <v>159.00000000000003</v>
      </c>
      <c r="P170" s="5">
        <v>165</v>
      </c>
      <c r="Q170" s="5">
        <v>1</v>
      </c>
      <c r="R170" s="10">
        <f t="shared" si="24"/>
        <v>1.2</v>
      </c>
      <c r="S170" s="10">
        <f t="shared" si="25"/>
        <v>1.8</v>
      </c>
      <c r="T170" s="80">
        <f t="shared" si="31"/>
        <v>173.01592592592601</v>
      </c>
      <c r="V170" s="14">
        <v>846.5</v>
      </c>
      <c r="W170" s="5">
        <f t="shared" si="26"/>
        <v>132.265625</v>
      </c>
      <c r="X170" s="5">
        <f t="shared" si="32"/>
        <v>96060.599999999962</v>
      </c>
      <c r="Y170" s="5">
        <f t="shared" si="35"/>
        <v>23665.800000000007</v>
      </c>
      <c r="AA170" s="5">
        <v>10.049585043749101</v>
      </c>
    </row>
    <row r="171" spans="1:28" s="5" customFormat="1" x14ac:dyDescent="0.25">
      <c r="A171" s="70"/>
      <c r="B171" s="6"/>
      <c r="C171" s="7">
        <v>42049</v>
      </c>
      <c r="D171" s="5">
        <v>6.2</v>
      </c>
      <c r="E171" s="5">
        <v>5.7</v>
      </c>
      <c r="F171" s="5">
        <v>6.8</v>
      </c>
      <c r="G171" s="5">
        <f t="shared" si="28"/>
        <v>1471.5</v>
      </c>
      <c r="H171" s="5">
        <f t="shared" si="34"/>
        <v>309.8</v>
      </c>
      <c r="J171" s="79">
        <v>7.2</v>
      </c>
      <c r="K171" s="5">
        <f t="shared" si="29"/>
        <v>275.69999999999993</v>
      </c>
      <c r="L171" s="5">
        <v>0.4</v>
      </c>
      <c r="M171" s="5">
        <f t="shared" si="30"/>
        <v>180.10000000000002</v>
      </c>
      <c r="N171" s="5">
        <f t="shared" si="27"/>
        <v>6.8</v>
      </c>
      <c r="O171" s="5">
        <f t="shared" si="33"/>
        <v>165.80000000000004</v>
      </c>
      <c r="P171" s="5">
        <v>166</v>
      </c>
      <c r="Q171" s="5">
        <v>1</v>
      </c>
      <c r="R171" s="10">
        <f t="shared" si="24"/>
        <v>0.4</v>
      </c>
      <c r="S171" s="10">
        <f t="shared" si="25"/>
        <v>6.8</v>
      </c>
      <c r="T171" s="80">
        <f t="shared" si="31"/>
        <v>179.81592592592602</v>
      </c>
      <c r="V171" s="14">
        <v>184.7</v>
      </c>
      <c r="W171" s="5">
        <f t="shared" si="26"/>
        <v>29.79032258064516</v>
      </c>
      <c r="X171" s="5">
        <f t="shared" si="32"/>
        <v>96245.299999999959</v>
      </c>
      <c r="Y171" s="5">
        <f t="shared" si="35"/>
        <v>23850.500000000007</v>
      </c>
      <c r="AA171" s="5">
        <v>10.104759723491201</v>
      </c>
    </row>
    <row r="172" spans="1:28" s="5" customFormat="1" x14ac:dyDescent="0.25">
      <c r="A172" s="70"/>
      <c r="B172" s="6"/>
      <c r="C172" s="7">
        <v>42050</v>
      </c>
      <c r="D172" s="5">
        <v>5.5</v>
      </c>
      <c r="E172" s="15">
        <v>4.9000000000000004</v>
      </c>
      <c r="F172" s="5">
        <v>6.9</v>
      </c>
      <c r="G172" s="5">
        <f t="shared" si="28"/>
        <v>1477</v>
      </c>
      <c r="H172" s="5">
        <f t="shared" si="34"/>
        <v>315.3</v>
      </c>
      <c r="J172" s="79">
        <v>0.2</v>
      </c>
      <c r="K172" s="5">
        <f t="shared" si="29"/>
        <v>275.89999999999992</v>
      </c>
      <c r="L172" s="5">
        <v>0.4</v>
      </c>
      <c r="M172" s="5">
        <f t="shared" si="30"/>
        <v>180.50000000000003</v>
      </c>
      <c r="N172" s="9">
        <f t="shared" si="27"/>
        <v>-0.2</v>
      </c>
      <c r="O172" s="5">
        <f t="shared" si="33"/>
        <v>165.60000000000005</v>
      </c>
      <c r="P172" s="5">
        <v>167</v>
      </c>
      <c r="Q172" s="5">
        <v>1</v>
      </c>
      <c r="R172" s="10">
        <f t="shared" si="24"/>
        <v>0.4</v>
      </c>
      <c r="S172" s="10">
        <f t="shared" si="25"/>
        <v>-0.2</v>
      </c>
      <c r="T172" s="80">
        <f t="shared" si="31"/>
        <v>179.61592592592604</v>
      </c>
      <c r="V172" s="14">
        <v>269.10000000000002</v>
      </c>
      <c r="W172" s="5">
        <f t="shared" si="26"/>
        <v>48.927272727272729</v>
      </c>
      <c r="X172" s="5">
        <f t="shared" si="32"/>
        <v>96514.399999999965</v>
      </c>
      <c r="Y172" s="5">
        <f t="shared" si="35"/>
        <v>24119.600000000006</v>
      </c>
      <c r="AA172" s="5">
        <v>10.160277528933401</v>
      </c>
    </row>
    <row r="173" spans="1:28" s="5" customFormat="1" x14ac:dyDescent="0.25">
      <c r="A173" s="70"/>
      <c r="B173" s="6"/>
      <c r="C173" s="7">
        <v>42051</v>
      </c>
      <c r="D173" s="15">
        <v>2.4</v>
      </c>
      <c r="E173" s="20">
        <v>-0.1</v>
      </c>
      <c r="F173" s="15">
        <v>4.2</v>
      </c>
      <c r="G173" s="5">
        <f t="shared" si="28"/>
        <v>1479.4</v>
      </c>
      <c r="H173" s="5">
        <f t="shared" si="34"/>
        <v>317.7</v>
      </c>
      <c r="J173" s="79">
        <v>0</v>
      </c>
      <c r="K173" s="5">
        <f t="shared" si="29"/>
        <v>275.89999999999992</v>
      </c>
      <c r="L173" s="5">
        <v>0.5</v>
      </c>
      <c r="M173" s="5">
        <f t="shared" si="30"/>
        <v>181.00000000000003</v>
      </c>
      <c r="N173" s="9">
        <f t="shared" si="27"/>
        <v>-0.5</v>
      </c>
      <c r="O173" s="5">
        <f t="shared" si="33"/>
        <v>165.10000000000005</v>
      </c>
      <c r="P173" s="5">
        <v>168</v>
      </c>
      <c r="Q173" s="5">
        <v>1</v>
      </c>
      <c r="R173" s="10">
        <f t="shared" si="24"/>
        <v>0.5</v>
      </c>
      <c r="S173" s="10">
        <f t="shared" si="25"/>
        <v>-0.5</v>
      </c>
      <c r="T173" s="80">
        <f t="shared" si="31"/>
        <v>179.11592592592604</v>
      </c>
      <c r="V173" s="14">
        <v>473.8</v>
      </c>
      <c r="W173" s="5">
        <f t="shared" si="26"/>
        <v>197.41666666666669</v>
      </c>
      <c r="X173" s="5">
        <f t="shared" si="32"/>
        <v>96988.199999999968</v>
      </c>
      <c r="Y173" s="5">
        <f t="shared" si="35"/>
        <v>24593.400000000005</v>
      </c>
      <c r="AA173" s="5">
        <v>10.216120530486601</v>
      </c>
    </row>
    <row r="174" spans="1:28" s="5" customFormat="1" x14ac:dyDescent="0.25">
      <c r="A174" s="70"/>
      <c r="B174" s="6"/>
      <c r="C174" s="7">
        <v>42052</v>
      </c>
      <c r="D174" s="15">
        <v>4.2</v>
      </c>
      <c r="E174" s="15">
        <v>1.5</v>
      </c>
      <c r="F174" s="5">
        <v>6</v>
      </c>
      <c r="G174" s="5">
        <f t="shared" si="28"/>
        <v>1483.6000000000001</v>
      </c>
      <c r="H174" s="5">
        <f t="shared" si="34"/>
        <v>321.89999999999998</v>
      </c>
      <c r="J174" s="79">
        <v>0.2</v>
      </c>
      <c r="K174" s="5">
        <f t="shared" si="29"/>
        <v>276.09999999999991</v>
      </c>
      <c r="L174" s="5">
        <v>0.4</v>
      </c>
      <c r="M174" s="5">
        <f t="shared" si="30"/>
        <v>181.40000000000003</v>
      </c>
      <c r="N174" s="9">
        <f t="shared" si="27"/>
        <v>-0.2</v>
      </c>
      <c r="O174" s="5">
        <f t="shared" si="33"/>
        <v>164.90000000000006</v>
      </c>
      <c r="P174" s="5">
        <v>169</v>
      </c>
      <c r="Q174" s="5">
        <v>1</v>
      </c>
      <c r="R174" s="10">
        <f t="shared" si="24"/>
        <v>0.4</v>
      </c>
      <c r="S174" s="10">
        <f t="shared" si="25"/>
        <v>-0.2</v>
      </c>
      <c r="T174" s="80">
        <f t="shared" si="31"/>
        <v>178.91592592592605</v>
      </c>
      <c r="V174" s="14">
        <v>406.4</v>
      </c>
      <c r="W174" s="5">
        <f t="shared" si="26"/>
        <v>96.761904761904759</v>
      </c>
      <c r="X174" s="5">
        <f t="shared" si="32"/>
        <v>97394.599999999962</v>
      </c>
      <c r="Y174" s="5">
        <f t="shared" si="35"/>
        <v>24999.800000000007</v>
      </c>
      <c r="AA174" s="5">
        <v>10.2722714336698</v>
      </c>
    </row>
    <row r="175" spans="1:28" s="5" customFormat="1" x14ac:dyDescent="0.25">
      <c r="A175" s="70"/>
      <c r="B175" s="6"/>
      <c r="C175" s="7">
        <v>42053</v>
      </c>
      <c r="D175" s="15">
        <v>3</v>
      </c>
      <c r="E175" s="15">
        <v>1</v>
      </c>
      <c r="F175" s="15">
        <v>4.9000000000000004</v>
      </c>
      <c r="G175" s="5">
        <f t="shared" si="28"/>
        <v>1486.6000000000001</v>
      </c>
      <c r="H175" s="5">
        <f t="shared" si="34"/>
        <v>324.89999999999998</v>
      </c>
      <c r="J175" s="79">
        <v>0</v>
      </c>
      <c r="K175" s="5">
        <f t="shared" si="29"/>
        <v>276.09999999999991</v>
      </c>
      <c r="L175" s="5">
        <v>0.5</v>
      </c>
      <c r="M175" s="5">
        <f t="shared" si="30"/>
        <v>181.90000000000003</v>
      </c>
      <c r="N175" s="9">
        <f t="shared" si="27"/>
        <v>-0.5</v>
      </c>
      <c r="O175" s="5">
        <f t="shared" si="33"/>
        <v>164.40000000000006</v>
      </c>
      <c r="P175" s="5">
        <v>170</v>
      </c>
      <c r="Q175" s="5">
        <v>1</v>
      </c>
      <c r="R175" s="10">
        <f t="shared" si="24"/>
        <v>0.5</v>
      </c>
      <c r="S175" s="10">
        <f t="shared" si="25"/>
        <v>-0.5</v>
      </c>
      <c r="T175" s="80">
        <f t="shared" si="31"/>
        <v>178.41592592592605</v>
      </c>
      <c r="V175" s="14">
        <v>367.9</v>
      </c>
      <c r="W175" s="5">
        <f t="shared" si="26"/>
        <v>122.63333333333333</v>
      </c>
      <c r="X175" s="5">
        <f t="shared" si="32"/>
        <v>97762.499999999956</v>
      </c>
      <c r="Y175" s="5">
        <f t="shared" si="35"/>
        <v>25367.700000000008</v>
      </c>
      <c r="AA175" s="5">
        <v>10.3287135675388</v>
      </c>
    </row>
    <row r="176" spans="1:28" s="5" customFormat="1" x14ac:dyDescent="0.25">
      <c r="A176" s="70"/>
      <c r="B176" s="6"/>
      <c r="C176" s="7">
        <v>42054</v>
      </c>
      <c r="D176" s="15">
        <v>3.3</v>
      </c>
      <c r="E176" s="20">
        <v>-1.3</v>
      </c>
      <c r="F176" s="5">
        <v>6.5</v>
      </c>
      <c r="G176" s="5">
        <f t="shared" si="28"/>
        <v>1489.9</v>
      </c>
      <c r="H176" s="5">
        <f t="shared" si="34"/>
        <v>328.2</v>
      </c>
      <c r="J176" s="79">
        <v>0</v>
      </c>
      <c r="K176" s="5">
        <f t="shared" si="29"/>
        <v>276.09999999999991</v>
      </c>
      <c r="L176" s="5">
        <v>1</v>
      </c>
      <c r="M176" s="5">
        <f t="shared" si="30"/>
        <v>182.90000000000003</v>
      </c>
      <c r="N176" s="9">
        <f t="shared" si="27"/>
        <v>-1</v>
      </c>
      <c r="O176" s="5">
        <f t="shared" si="33"/>
        <v>163.40000000000006</v>
      </c>
      <c r="P176" s="5">
        <v>171</v>
      </c>
      <c r="Q176" s="5">
        <v>1</v>
      </c>
      <c r="R176" s="10">
        <f t="shared" si="24"/>
        <v>1</v>
      </c>
      <c r="S176" s="10">
        <f t="shared" si="25"/>
        <v>-1</v>
      </c>
      <c r="T176" s="80">
        <f t="shared" si="31"/>
        <v>177.41592592592605</v>
      </c>
      <c r="V176" s="5">
        <v>1108.5999999999999</v>
      </c>
      <c r="W176" s="5">
        <f t="shared" si="26"/>
        <v>335.93939393939394</v>
      </c>
      <c r="X176" s="5">
        <f t="shared" si="32"/>
        <v>98871.099999999962</v>
      </c>
      <c r="Y176" s="5">
        <f t="shared" si="35"/>
        <v>26476.300000000007</v>
      </c>
      <c r="AA176" s="5">
        <v>10.3854308719719</v>
      </c>
    </row>
    <row r="177" spans="1:27" s="5" customFormat="1" x14ac:dyDescent="0.25">
      <c r="A177" s="70"/>
      <c r="B177" s="6"/>
      <c r="C177" s="7">
        <v>42055</v>
      </c>
      <c r="D177" s="5">
        <v>6.2</v>
      </c>
      <c r="E177" s="15">
        <v>4.7</v>
      </c>
      <c r="F177" s="5">
        <v>8</v>
      </c>
      <c r="G177" s="5">
        <f t="shared" si="28"/>
        <v>1496.1000000000001</v>
      </c>
      <c r="H177" s="5">
        <f t="shared" si="34"/>
        <v>334.4</v>
      </c>
      <c r="J177" s="79">
        <v>9.8000000000000007</v>
      </c>
      <c r="K177" s="5">
        <f t="shared" si="29"/>
        <v>285.89999999999992</v>
      </c>
      <c r="L177" s="5">
        <v>0.8</v>
      </c>
      <c r="M177" s="5">
        <f t="shared" si="30"/>
        <v>183.70000000000005</v>
      </c>
      <c r="N177" s="5">
        <f t="shared" si="27"/>
        <v>9</v>
      </c>
      <c r="O177" s="5">
        <f t="shared" si="33"/>
        <v>172.40000000000006</v>
      </c>
      <c r="P177" s="5">
        <v>172</v>
      </c>
      <c r="Q177" s="5">
        <v>1</v>
      </c>
      <c r="R177" s="10">
        <f t="shared" si="24"/>
        <v>0.8</v>
      </c>
      <c r="S177" s="10">
        <f t="shared" si="25"/>
        <v>9</v>
      </c>
      <c r="T177" s="80">
        <f t="shared" si="31"/>
        <v>186.41592592592605</v>
      </c>
      <c r="V177" s="14">
        <v>209.5</v>
      </c>
      <c r="W177" s="5">
        <f t="shared" si="26"/>
        <v>33.79032258064516</v>
      </c>
      <c r="X177" s="5">
        <f t="shared" si="32"/>
        <v>99080.599999999962</v>
      </c>
      <c r="Y177" s="5">
        <f t="shared" si="35"/>
        <v>26685.800000000007</v>
      </c>
      <c r="AA177" s="5">
        <v>10.4424078839322</v>
      </c>
    </row>
    <row r="178" spans="1:27" s="5" customFormat="1" x14ac:dyDescent="0.25">
      <c r="A178" s="70"/>
      <c r="B178" s="6"/>
      <c r="C178" s="7">
        <v>42056</v>
      </c>
      <c r="D178" s="15">
        <v>2.7</v>
      </c>
      <c r="E178" s="15">
        <v>1.9</v>
      </c>
      <c r="F178" s="15">
        <v>3.2</v>
      </c>
      <c r="G178" s="5">
        <f t="shared" si="28"/>
        <v>1498.8000000000002</v>
      </c>
      <c r="H178" s="5">
        <f t="shared" si="34"/>
        <v>337.09999999999997</v>
      </c>
      <c r="J178" s="79">
        <v>1.5</v>
      </c>
      <c r="K178" s="5">
        <f t="shared" si="29"/>
        <v>287.39999999999992</v>
      </c>
      <c r="L178" s="5">
        <v>0.3</v>
      </c>
      <c r="M178" s="5">
        <f t="shared" si="30"/>
        <v>184.00000000000006</v>
      </c>
      <c r="N178" s="5">
        <f t="shared" si="27"/>
        <v>1.2</v>
      </c>
      <c r="O178" s="5">
        <f t="shared" si="33"/>
        <v>173.60000000000005</v>
      </c>
      <c r="P178" s="5">
        <v>173</v>
      </c>
      <c r="Q178" s="5">
        <v>1</v>
      </c>
      <c r="R178" s="10">
        <f t="shared" si="24"/>
        <v>0.3</v>
      </c>
      <c r="S178" s="10">
        <f t="shared" si="25"/>
        <v>1.2</v>
      </c>
      <c r="T178" s="80">
        <f t="shared" si="31"/>
        <v>187.61592592592604</v>
      </c>
      <c r="V178" s="14">
        <v>288.60000000000002</v>
      </c>
      <c r="W178" s="5">
        <f t="shared" si="26"/>
        <v>106.88888888888889</v>
      </c>
      <c r="X178" s="5">
        <f t="shared" si="32"/>
        <v>99369.199999999968</v>
      </c>
      <c r="Y178" s="5">
        <f t="shared" si="35"/>
        <v>26974.400000000005</v>
      </c>
      <c r="AA178" s="5">
        <v>10.499629722816501</v>
      </c>
    </row>
    <row r="179" spans="1:27" s="5" customFormat="1" x14ac:dyDescent="0.25">
      <c r="A179" s="70"/>
      <c r="B179" s="6"/>
      <c r="C179" s="7">
        <v>42057</v>
      </c>
      <c r="D179" s="15">
        <v>3.1</v>
      </c>
      <c r="E179" s="20">
        <v>-1.7</v>
      </c>
      <c r="F179" s="5">
        <v>7.6</v>
      </c>
      <c r="G179" s="5">
        <f t="shared" si="28"/>
        <v>1501.9</v>
      </c>
      <c r="H179" s="5">
        <f t="shared" si="34"/>
        <v>340.2</v>
      </c>
      <c r="J179" s="79">
        <v>6.3</v>
      </c>
      <c r="K179" s="5">
        <f t="shared" si="29"/>
        <v>293.69999999999993</v>
      </c>
      <c r="L179" s="5">
        <v>1</v>
      </c>
      <c r="M179" s="5">
        <f t="shared" si="30"/>
        <v>185.00000000000006</v>
      </c>
      <c r="N179" s="5">
        <f t="shared" si="27"/>
        <v>5.3</v>
      </c>
      <c r="O179" s="5">
        <f t="shared" si="33"/>
        <v>178.90000000000006</v>
      </c>
      <c r="P179" s="5">
        <v>174</v>
      </c>
      <c r="Q179" s="5">
        <v>1</v>
      </c>
      <c r="R179" s="10">
        <f t="shared" si="24"/>
        <v>1</v>
      </c>
      <c r="S179" s="10">
        <f t="shared" si="25"/>
        <v>5.3</v>
      </c>
      <c r="T179" s="80">
        <f t="shared" si="31"/>
        <v>192.91592592592605</v>
      </c>
      <c r="V179" s="5">
        <v>967.6</v>
      </c>
      <c r="W179" s="5">
        <f t="shared" si="26"/>
        <v>312.12903225806451</v>
      </c>
      <c r="X179" s="5">
        <f t="shared" si="32"/>
        <v>100336.79999999997</v>
      </c>
      <c r="Y179" s="5">
        <f t="shared" si="35"/>
        <v>27942.000000000004</v>
      </c>
      <c r="AA179" s="5">
        <v>10.5570820749976</v>
      </c>
    </row>
    <row r="180" spans="1:27" s="5" customFormat="1" x14ac:dyDescent="0.25">
      <c r="A180" s="70"/>
      <c r="B180" s="6"/>
      <c r="C180" s="7">
        <v>42058</v>
      </c>
      <c r="D180" s="5">
        <v>6.2</v>
      </c>
      <c r="E180" s="15">
        <v>3.6</v>
      </c>
      <c r="F180" s="5">
        <v>10</v>
      </c>
      <c r="G180" s="5">
        <f t="shared" si="28"/>
        <v>1508.1000000000001</v>
      </c>
      <c r="H180" s="5">
        <f t="shared" si="34"/>
        <v>346.4</v>
      </c>
      <c r="J180" s="5">
        <v>3.9</v>
      </c>
      <c r="K180" s="5">
        <f t="shared" si="29"/>
        <v>297.59999999999991</v>
      </c>
      <c r="L180" s="5">
        <v>1.2</v>
      </c>
      <c r="M180" s="5">
        <f t="shared" si="30"/>
        <v>186.20000000000005</v>
      </c>
      <c r="N180" s="5">
        <f t="shared" si="27"/>
        <v>2.7</v>
      </c>
      <c r="O180" s="5">
        <f t="shared" si="33"/>
        <v>181.60000000000005</v>
      </c>
      <c r="P180" s="5">
        <v>175</v>
      </c>
      <c r="Q180" s="5">
        <v>1</v>
      </c>
      <c r="R180" s="10">
        <f t="shared" si="24"/>
        <v>1.2</v>
      </c>
      <c r="S180" s="10">
        <f t="shared" si="25"/>
        <v>2.7</v>
      </c>
      <c r="T180" s="10">
        <f t="shared" si="31"/>
        <v>195.61592592592604</v>
      </c>
      <c r="V180" s="14">
        <v>592.70000000000005</v>
      </c>
      <c r="W180" s="5">
        <f t="shared" si="26"/>
        <v>95.596774193548399</v>
      </c>
      <c r="X180" s="5">
        <f t="shared" si="32"/>
        <v>100929.49999999997</v>
      </c>
      <c r="Y180" s="5">
        <f t="shared" si="35"/>
        <v>28534.700000000004</v>
      </c>
      <c r="AA180" s="5">
        <v>10.6147511776557</v>
      </c>
    </row>
    <row r="181" spans="1:27" s="5" customFormat="1" x14ac:dyDescent="0.25">
      <c r="A181" s="70"/>
      <c r="B181" s="6"/>
      <c r="C181" s="7">
        <v>42059</v>
      </c>
      <c r="D181" s="15">
        <v>3.9</v>
      </c>
      <c r="E181" s="15">
        <v>1.9</v>
      </c>
      <c r="F181" s="5">
        <v>6.9</v>
      </c>
      <c r="G181" s="5">
        <f t="shared" si="28"/>
        <v>1512.0000000000002</v>
      </c>
      <c r="H181" s="5">
        <f t="shared" si="34"/>
        <v>350.29999999999995</v>
      </c>
      <c r="J181" s="5">
        <v>0.3</v>
      </c>
      <c r="K181" s="5">
        <f t="shared" si="29"/>
        <v>297.89999999999992</v>
      </c>
      <c r="L181" s="5">
        <v>0.7</v>
      </c>
      <c r="M181" s="5">
        <f t="shared" si="30"/>
        <v>186.90000000000003</v>
      </c>
      <c r="N181" s="9">
        <f t="shared" si="27"/>
        <v>-0.39999999999999997</v>
      </c>
      <c r="O181" s="5">
        <f t="shared" si="33"/>
        <v>181.20000000000005</v>
      </c>
      <c r="P181" s="5">
        <v>176</v>
      </c>
      <c r="Q181" s="5">
        <v>1</v>
      </c>
      <c r="R181" s="10">
        <f t="shared" si="24"/>
        <v>0.7</v>
      </c>
      <c r="S181" s="10">
        <f t="shared" si="25"/>
        <v>-0.39999999999999997</v>
      </c>
      <c r="T181" s="10">
        <f t="shared" si="31"/>
        <v>195.21592592592603</v>
      </c>
      <c r="V181" s="14">
        <v>578.29999999999995</v>
      </c>
      <c r="W181" s="5">
        <f t="shared" si="26"/>
        <v>148.28205128205127</v>
      </c>
      <c r="X181" s="5">
        <f t="shared" si="32"/>
        <v>101507.79999999997</v>
      </c>
      <c r="Y181" s="5">
        <f t="shared" si="35"/>
        <v>29113.000000000004</v>
      </c>
      <c r="AA181" s="5">
        <v>10.6726238019919</v>
      </c>
    </row>
    <row r="182" spans="1:27" s="5" customFormat="1" x14ac:dyDescent="0.25">
      <c r="A182" s="70"/>
      <c r="B182" s="6"/>
      <c r="C182" s="7">
        <v>42060</v>
      </c>
      <c r="D182" s="15">
        <v>4.8</v>
      </c>
      <c r="E182" s="15">
        <v>1.5</v>
      </c>
      <c r="F182" s="5">
        <v>6.6</v>
      </c>
      <c r="G182" s="5">
        <f t="shared" si="28"/>
        <v>1516.8000000000002</v>
      </c>
      <c r="H182" s="5">
        <f t="shared" si="34"/>
        <v>355.09999999999997</v>
      </c>
      <c r="J182" s="5">
        <v>1.4</v>
      </c>
      <c r="K182" s="5">
        <f t="shared" si="29"/>
        <v>299.2999999999999</v>
      </c>
      <c r="L182" s="5">
        <v>0.2</v>
      </c>
      <c r="M182" s="5">
        <f t="shared" si="30"/>
        <v>187.10000000000002</v>
      </c>
      <c r="N182" s="5">
        <f t="shared" si="27"/>
        <v>1.2</v>
      </c>
      <c r="O182" s="5">
        <f t="shared" si="33"/>
        <v>182.40000000000003</v>
      </c>
      <c r="P182" s="5">
        <v>177</v>
      </c>
      <c r="Q182" s="5">
        <v>1</v>
      </c>
      <c r="R182" s="10">
        <f t="shared" si="24"/>
        <v>0.2</v>
      </c>
      <c r="S182" s="10">
        <f t="shared" si="25"/>
        <v>1.2</v>
      </c>
      <c r="T182" s="10">
        <f t="shared" si="31"/>
        <v>196.41592592592602</v>
      </c>
      <c r="V182" s="14">
        <v>188.2</v>
      </c>
      <c r="W182" s="5">
        <f t="shared" si="26"/>
        <v>39.208333333333336</v>
      </c>
      <c r="X182" s="5">
        <f t="shared" si="32"/>
        <v>101695.99999999997</v>
      </c>
      <c r="Y182" s="5">
        <f t="shared" si="35"/>
        <v>29301.200000000004</v>
      </c>
      <c r="AA182" s="5">
        <v>10.730687235906601</v>
      </c>
    </row>
    <row r="183" spans="1:27" s="5" customFormat="1" x14ac:dyDescent="0.25">
      <c r="A183" s="70"/>
      <c r="B183" s="6"/>
      <c r="C183" s="7">
        <v>42061</v>
      </c>
      <c r="D183" s="5">
        <v>8.1</v>
      </c>
      <c r="E183" s="15">
        <v>5.9</v>
      </c>
      <c r="F183" s="5">
        <v>10.1</v>
      </c>
      <c r="G183" s="5">
        <f t="shared" si="28"/>
        <v>1524.9</v>
      </c>
      <c r="H183" s="5">
        <f t="shared" si="34"/>
        <v>363.2</v>
      </c>
      <c r="J183" s="5">
        <v>6.3</v>
      </c>
      <c r="K183" s="5">
        <f t="shared" si="29"/>
        <v>305.59999999999991</v>
      </c>
      <c r="L183" s="5">
        <v>0.5</v>
      </c>
      <c r="M183" s="5">
        <f t="shared" si="30"/>
        <v>187.60000000000002</v>
      </c>
      <c r="N183" s="5">
        <f t="shared" si="27"/>
        <v>5.8</v>
      </c>
      <c r="O183" s="5">
        <f t="shared" si="33"/>
        <v>188.20000000000005</v>
      </c>
      <c r="P183" s="5">
        <v>178</v>
      </c>
      <c r="Q183" s="5">
        <v>1</v>
      </c>
      <c r="R183" s="10">
        <f t="shared" si="24"/>
        <v>0.5</v>
      </c>
      <c r="S183" s="10">
        <f t="shared" si="25"/>
        <v>5.8</v>
      </c>
      <c r="T183" s="10">
        <f t="shared" si="31"/>
        <v>197.4</v>
      </c>
      <c r="V183" s="14">
        <v>333.1</v>
      </c>
      <c r="W183" s="5">
        <f t="shared" si="26"/>
        <v>41.123456790123463</v>
      </c>
      <c r="X183" s="5">
        <f t="shared" si="32"/>
        <v>102029.09999999998</v>
      </c>
      <c r="Y183" s="5">
        <f t="shared" si="35"/>
        <v>29634.300000000003</v>
      </c>
      <c r="AA183" s="5">
        <v>10.788929266221301</v>
      </c>
    </row>
    <row r="184" spans="1:27" s="5" customFormat="1" x14ac:dyDescent="0.25">
      <c r="A184" s="70"/>
      <c r="B184" s="6"/>
      <c r="C184" s="7">
        <v>42062</v>
      </c>
      <c r="D184" s="15">
        <v>4.9000000000000004</v>
      </c>
      <c r="E184" s="15">
        <v>4.0999999999999996</v>
      </c>
      <c r="F184" s="5">
        <v>7.9</v>
      </c>
      <c r="G184" s="5">
        <f t="shared" si="28"/>
        <v>1529.8000000000002</v>
      </c>
      <c r="H184" s="5">
        <f t="shared" si="34"/>
        <v>368.09999999999997</v>
      </c>
      <c r="J184" s="5">
        <v>0</v>
      </c>
      <c r="K184" s="5">
        <f t="shared" si="29"/>
        <v>305.59999999999991</v>
      </c>
      <c r="L184" s="5">
        <v>1.6</v>
      </c>
      <c r="M184" s="5">
        <f t="shared" si="30"/>
        <v>189.20000000000002</v>
      </c>
      <c r="N184" s="9">
        <f t="shared" si="27"/>
        <v>-1.6</v>
      </c>
      <c r="O184" s="5">
        <f t="shared" si="33"/>
        <v>186.60000000000005</v>
      </c>
      <c r="P184" s="5">
        <v>179</v>
      </c>
      <c r="Q184" s="5">
        <v>1</v>
      </c>
      <c r="R184" s="10">
        <f t="shared" si="24"/>
        <v>1.6</v>
      </c>
      <c r="S184" s="10">
        <f t="shared" si="25"/>
        <v>-1.6</v>
      </c>
      <c r="T184" s="10">
        <f t="shared" si="31"/>
        <v>195.8</v>
      </c>
      <c r="V184" s="14">
        <v>876.4</v>
      </c>
      <c r="W184" s="5">
        <f t="shared" si="26"/>
        <v>178.85714285714283</v>
      </c>
      <c r="X184" s="5">
        <f t="shared" si="32"/>
        <v>102905.49999999997</v>
      </c>
      <c r="Y184" s="5">
        <f t="shared" si="35"/>
        <v>30510.700000000004</v>
      </c>
      <c r="AA184" s="5">
        <v>10.8473381605151</v>
      </c>
    </row>
    <row r="185" spans="1:27" s="5" customFormat="1" x14ac:dyDescent="0.25">
      <c r="A185" s="70"/>
      <c r="B185" s="6"/>
      <c r="C185" s="7">
        <v>42063</v>
      </c>
      <c r="D185" s="15">
        <v>4.7</v>
      </c>
      <c r="E185" s="20">
        <v>-1.2</v>
      </c>
      <c r="F185" s="5">
        <v>10</v>
      </c>
      <c r="G185" s="5">
        <f t="shared" si="28"/>
        <v>1534.5000000000002</v>
      </c>
      <c r="H185" s="5">
        <f t="shared" si="34"/>
        <v>372.79999999999995</v>
      </c>
      <c r="J185" s="5">
        <v>5</v>
      </c>
      <c r="K185" s="5">
        <f t="shared" si="29"/>
        <v>310.59999999999991</v>
      </c>
      <c r="L185" s="5">
        <v>1.1000000000000001</v>
      </c>
      <c r="M185" s="5">
        <f t="shared" si="30"/>
        <v>190.3</v>
      </c>
      <c r="N185" s="5">
        <f t="shared" si="27"/>
        <v>3.9</v>
      </c>
      <c r="O185" s="5">
        <f t="shared" si="33"/>
        <v>190.50000000000006</v>
      </c>
      <c r="P185" s="5">
        <v>180</v>
      </c>
      <c r="Q185" s="5">
        <v>1</v>
      </c>
      <c r="R185" s="10">
        <f t="shared" si="24"/>
        <v>1.1000000000000001</v>
      </c>
      <c r="S185" s="10">
        <f t="shared" si="25"/>
        <v>3.9</v>
      </c>
      <c r="T185" s="10">
        <f t="shared" si="31"/>
        <v>197.4</v>
      </c>
      <c r="V185" s="14">
        <v>583.5</v>
      </c>
      <c r="W185" s="5">
        <f t="shared" si="26"/>
        <v>124.14893617021276</v>
      </c>
      <c r="X185" s="5">
        <f t="shared" si="32"/>
        <v>103488.99999999997</v>
      </c>
      <c r="Y185" s="5">
        <f t="shared" si="35"/>
        <v>31094.200000000004</v>
      </c>
      <c r="AA185" s="5">
        <v>10.905902648641099</v>
      </c>
    </row>
    <row r="186" spans="1:27" s="5" customFormat="1" x14ac:dyDescent="0.25">
      <c r="A186" s="70"/>
      <c r="B186" s="6"/>
      <c r="C186" s="7">
        <v>42064</v>
      </c>
      <c r="D186" s="5">
        <v>9.9</v>
      </c>
      <c r="E186" s="5">
        <v>7</v>
      </c>
      <c r="F186" s="5">
        <v>11</v>
      </c>
      <c r="G186" s="5">
        <f t="shared" si="28"/>
        <v>1544.4000000000003</v>
      </c>
      <c r="H186" s="5">
        <f t="shared" si="34"/>
        <v>382.69999999999993</v>
      </c>
      <c r="J186" s="5">
        <v>1.8</v>
      </c>
      <c r="K186" s="5">
        <f t="shared" si="29"/>
        <v>312.39999999999992</v>
      </c>
      <c r="L186" s="5">
        <v>0.8</v>
      </c>
      <c r="M186" s="5">
        <f t="shared" si="30"/>
        <v>191.10000000000002</v>
      </c>
      <c r="N186" s="5">
        <f t="shared" si="27"/>
        <v>1</v>
      </c>
      <c r="O186" s="5">
        <f t="shared" si="33"/>
        <v>191.50000000000006</v>
      </c>
      <c r="P186" s="5">
        <v>181</v>
      </c>
      <c r="Q186" s="5">
        <v>1</v>
      </c>
      <c r="R186" s="10">
        <f t="shared" si="24"/>
        <v>0.8</v>
      </c>
      <c r="S186" s="10">
        <f t="shared" si="25"/>
        <v>1</v>
      </c>
      <c r="T186" s="10">
        <f t="shared" si="31"/>
        <v>197.4</v>
      </c>
      <c r="V186" s="14">
        <v>460</v>
      </c>
      <c r="W186" s="5">
        <f t="shared" si="26"/>
        <v>46.464646464646464</v>
      </c>
      <c r="X186" s="5">
        <f t="shared" si="32"/>
        <v>103948.99999999997</v>
      </c>
      <c r="Y186" s="5">
        <f t="shared" si="35"/>
        <v>31554.200000000004</v>
      </c>
      <c r="AA186" s="5">
        <v>10.964611903982499</v>
      </c>
    </row>
    <row r="187" spans="1:27" s="5" customFormat="1" x14ac:dyDescent="0.25">
      <c r="A187" s="70"/>
      <c r="B187" s="6"/>
      <c r="C187" s="7">
        <v>42065</v>
      </c>
      <c r="D187" s="5">
        <v>7.3</v>
      </c>
      <c r="E187" s="5">
        <v>6</v>
      </c>
      <c r="F187" s="5">
        <v>9.6999999999999993</v>
      </c>
      <c r="G187" s="5">
        <f t="shared" si="28"/>
        <v>1551.7000000000003</v>
      </c>
      <c r="H187" s="5">
        <f t="shared" si="34"/>
        <v>389.99999999999994</v>
      </c>
      <c r="J187" s="5">
        <v>0.8</v>
      </c>
      <c r="K187" s="5">
        <f t="shared" si="29"/>
        <v>313.19999999999993</v>
      </c>
      <c r="L187" s="5">
        <v>1.6</v>
      </c>
      <c r="M187" s="5">
        <f t="shared" si="30"/>
        <v>192.70000000000002</v>
      </c>
      <c r="N187" s="9">
        <f t="shared" si="27"/>
        <v>-0.8</v>
      </c>
      <c r="O187" s="5">
        <f t="shared" si="33"/>
        <v>190.70000000000005</v>
      </c>
      <c r="P187" s="5">
        <v>182</v>
      </c>
      <c r="Q187" s="5">
        <v>1</v>
      </c>
      <c r="R187" s="10">
        <f t="shared" si="24"/>
        <v>1.6</v>
      </c>
      <c r="S187" s="10">
        <f t="shared" si="25"/>
        <v>-0.8</v>
      </c>
      <c r="T187" s="10">
        <f t="shared" si="31"/>
        <v>196.6</v>
      </c>
      <c r="V187" s="14">
        <v>893</v>
      </c>
      <c r="W187" s="5">
        <f t="shared" si="26"/>
        <v>122.32876712328768</v>
      </c>
      <c r="X187" s="5">
        <f t="shared" si="32"/>
        <v>104841.99999999997</v>
      </c>
      <c r="Y187" s="5">
        <f t="shared" si="35"/>
        <v>32447.200000000004</v>
      </c>
      <c r="AA187" s="5">
        <v>11.0234555245018</v>
      </c>
    </row>
    <row r="188" spans="1:27" s="5" customFormat="1" x14ac:dyDescent="0.25">
      <c r="A188" s="70"/>
      <c r="B188" s="6"/>
      <c r="C188" s="7">
        <v>42066</v>
      </c>
      <c r="D188" s="5">
        <v>5.4</v>
      </c>
      <c r="E188" s="15">
        <v>2.8</v>
      </c>
      <c r="F188" s="5">
        <v>10.1</v>
      </c>
      <c r="G188" s="5">
        <f t="shared" si="28"/>
        <v>1557.1000000000004</v>
      </c>
      <c r="H188" s="5">
        <f t="shared" si="34"/>
        <v>395.39999999999992</v>
      </c>
      <c r="J188" s="5">
        <v>1.3</v>
      </c>
      <c r="K188" s="5">
        <f t="shared" si="29"/>
        <v>314.49999999999994</v>
      </c>
      <c r="L188" s="5">
        <v>1.4</v>
      </c>
      <c r="M188" s="5">
        <f t="shared" si="30"/>
        <v>194.10000000000002</v>
      </c>
      <c r="N188" s="9">
        <f t="shared" si="27"/>
        <v>-9.9999999999999867E-2</v>
      </c>
      <c r="O188" s="5">
        <f t="shared" si="33"/>
        <v>190.60000000000005</v>
      </c>
      <c r="P188" s="5">
        <v>183</v>
      </c>
      <c r="Q188" s="5">
        <v>1</v>
      </c>
      <c r="R188" s="10">
        <f t="shared" si="24"/>
        <v>1.4</v>
      </c>
      <c r="S188" s="10">
        <f t="shared" si="25"/>
        <v>-9.9999999999999867E-2</v>
      </c>
      <c r="T188" s="10">
        <f t="shared" si="31"/>
        <v>196.5</v>
      </c>
      <c r="V188" s="14">
        <v>897.2</v>
      </c>
      <c r="W188" s="5">
        <f t="shared" si="26"/>
        <v>166.14814814814815</v>
      </c>
      <c r="X188" s="5">
        <f t="shared" si="32"/>
        <v>105739.19999999997</v>
      </c>
      <c r="Y188" s="5">
        <f t="shared" si="35"/>
        <v>33344.400000000001</v>
      </c>
      <c r="AA188" s="5">
        <v>11.0824235136319</v>
      </c>
    </row>
    <row r="189" spans="1:27" s="5" customFormat="1" x14ac:dyDescent="0.25">
      <c r="A189" s="70"/>
      <c r="B189" s="6"/>
      <c r="C189" s="7">
        <v>42067</v>
      </c>
      <c r="D189" s="15">
        <v>4</v>
      </c>
      <c r="E189" s="15">
        <v>0.2</v>
      </c>
      <c r="F189" s="5">
        <v>7.5</v>
      </c>
      <c r="G189" s="5">
        <f t="shared" si="28"/>
        <v>1561.1000000000004</v>
      </c>
      <c r="H189" s="5">
        <f t="shared" si="34"/>
        <v>399.39999999999992</v>
      </c>
      <c r="J189" s="5">
        <v>0.1</v>
      </c>
      <c r="K189" s="5">
        <f t="shared" si="29"/>
        <v>314.59999999999997</v>
      </c>
      <c r="L189" s="5">
        <v>1.2</v>
      </c>
      <c r="M189" s="5">
        <f t="shared" si="30"/>
        <v>195.3</v>
      </c>
      <c r="N189" s="9">
        <f t="shared" si="27"/>
        <v>-1.0999999999999999</v>
      </c>
      <c r="O189" s="5">
        <f t="shared" si="33"/>
        <v>189.50000000000006</v>
      </c>
      <c r="P189" s="5">
        <v>184</v>
      </c>
      <c r="Q189" s="5">
        <v>1</v>
      </c>
      <c r="R189" s="10">
        <f t="shared" si="24"/>
        <v>1.2</v>
      </c>
      <c r="S189" s="10">
        <f t="shared" si="25"/>
        <v>-1.0999999999999999</v>
      </c>
      <c r="T189" s="10">
        <f t="shared" si="31"/>
        <v>195.4</v>
      </c>
      <c r="V189" s="5">
        <v>1016.1</v>
      </c>
      <c r="W189" s="5">
        <f t="shared" si="26"/>
        <v>254.02500000000001</v>
      </c>
      <c r="X189" s="5">
        <f t="shared" si="32"/>
        <v>106755.29999999997</v>
      </c>
      <c r="Y189" s="5">
        <f t="shared" si="35"/>
        <v>34360.5</v>
      </c>
      <c r="AA189" s="5">
        <v>11.1415062610532</v>
      </c>
    </row>
    <row r="190" spans="1:27" s="5" customFormat="1" x14ac:dyDescent="0.25">
      <c r="A190" s="70"/>
      <c r="B190" s="6"/>
      <c r="C190" s="7">
        <v>42068</v>
      </c>
      <c r="D190" s="15">
        <v>4.5999999999999996</v>
      </c>
      <c r="E190" s="20">
        <v>-0.4</v>
      </c>
      <c r="F190" s="5">
        <v>10</v>
      </c>
      <c r="G190" s="5">
        <f t="shared" si="28"/>
        <v>1565.7000000000003</v>
      </c>
      <c r="H190" s="5">
        <f t="shared" si="34"/>
        <v>403.99999999999994</v>
      </c>
      <c r="J190" s="5">
        <v>0</v>
      </c>
      <c r="K190" s="5">
        <f t="shared" si="29"/>
        <v>314.59999999999997</v>
      </c>
      <c r="L190" s="5">
        <v>1.3</v>
      </c>
      <c r="M190" s="5">
        <f t="shared" si="30"/>
        <v>196.60000000000002</v>
      </c>
      <c r="N190" s="9">
        <f t="shared" si="27"/>
        <v>-1.3</v>
      </c>
      <c r="O190" s="5">
        <f t="shared" si="33"/>
        <v>188.20000000000005</v>
      </c>
      <c r="P190" s="5">
        <v>185</v>
      </c>
      <c r="Q190" s="5">
        <v>1</v>
      </c>
      <c r="R190" s="10">
        <f t="shared" si="24"/>
        <v>1.3</v>
      </c>
      <c r="S190" s="10">
        <f t="shared" si="25"/>
        <v>-1.3</v>
      </c>
      <c r="T190" s="10">
        <f t="shared" si="31"/>
        <v>194.1</v>
      </c>
      <c r="V190" s="5">
        <v>953.4</v>
      </c>
      <c r="W190" s="5">
        <f t="shared" si="26"/>
        <v>207.2608695652174</v>
      </c>
      <c r="X190" s="5">
        <f t="shared" si="32"/>
        <v>107708.69999999997</v>
      </c>
      <c r="Y190" s="5">
        <f t="shared" si="35"/>
        <v>35313.9</v>
      </c>
      <c r="AA190" s="5">
        <v>11.200694523393601</v>
      </c>
    </row>
    <row r="191" spans="1:27" s="5" customFormat="1" x14ac:dyDescent="0.25">
      <c r="A191" s="70"/>
      <c r="B191" s="6"/>
      <c r="C191" s="7">
        <v>42069</v>
      </c>
      <c r="D191" s="15">
        <v>4.4000000000000004</v>
      </c>
      <c r="E191" s="20">
        <v>-1.2</v>
      </c>
      <c r="F191" s="5">
        <v>10.6</v>
      </c>
      <c r="G191" s="5">
        <f t="shared" si="28"/>
        <v>1570.1000000000004</v>
      </c>
      <c r="H191" s="5">
        <f t="shared" si="34"/>
        <v>408.39999999999992</v>
      </c>
      <c r="J191" s="5">
        <v>0</v>
      </c>
      <c r="K191" s="5">
        <f t="shared" si="29"/>
        <v>314.59999999999997</v>
      </c>
      <c r="L191" s="5">
        <v>1.9</v>
      </c>
      <c r="M191" s="5">
        <f t="shared" si="30"/>
        <v>198.50000000000003</v>
      </c>
      <c r="N191" s="9">
        <f t="shared" si="27"/>
        <v>-1.9</v>
      </c>
      <c r="O191" s="5">
        <f t="shared" si="33"/>
        <v>186.30000000000004</v>
      </c>
      <c r="P191" s="5">
        <v>186</v>
      </c>
      <c r="Q191" s="5">
        <v>1</v>
      </c>
      <c r="R191" s="10">
        <f t="shared" si="24"/>
        <v>1.9</v>
      </c>
      <c r="S191" s="10">
        <f t="shared" si="25"/>
        <v>-1.9</v>
      </c>
      <c r="T191" s="10">
        <f t="shared" si="31"/>
        <v>192.2</v>
      </c>
      <c r="V191" s="5">
        <v>1485.6</v>
      </c>
      <c r="W191" s="5">
        <f t="shared" si="26"/>
        <v>337.63636363636357</v>
      </c>
      <c r="X191" s="5">
        <f t="shared" si="32"/>
        <v>109194.29999999997</v>
      </c>
      <c r="Y191" s="5">
        <f t="shared" si="35"/>
        <v>36799.5</v>
      </c>
      <c r="AA191" s="5">
        <v>11.259979404888499</v>
      </c>
    </row>
    <row r="192" spans="1:27" s="5" customFormat="1" x14ac:dyDescent="0.25">
      <c r="A192" s="70"/>
      <c r="B192" s="6"/>
      <c r="C192" s="7">
        <v>42070</v>
      </c>
      <c r="D192" s="5">
        <v>5.5</v>
      </c>
      <c r="E192" s="20">
        <v>-0.9</v>
      </c>
      <c r="F192" s="5">
        <v>12.1</v>
      </c>
      <c r="G192" s="5">
        <f t="shared" si="28"/>
        <v>1575.6000000000004</v>
      </c>
      <c r="H192" s="5">
        <f t="shared" si="34"/>
        <v>413.89999999999992</v>
      </c>
      <c r="J192" s="5">
        <v>0</v>
      </c>
      <c r="K192" s="5">
        <f t="shared" si="29"/>
        <v>314.59999999999997</v>
      </c>
      <c r="L192" s="5">
        <v>2.1</v>
      </c>
      <c r="M192" s="5">
        <f t="shared" si="30"/>
        <v>200.60000000000002</v>
      </c>
      <c r="N192" s="9">
        <f t="shared" si="27"/>
        <v>-2.1</v>
      </c>
      <c r="O192" s="5">
        <f t="shared" si="33"/>
        <v>184.20000000000005</v>
      </c>
      <c r="P192" s="5">
        <v>187</v>
      </c>
      <c r="Q192" s="5">
        <v>1</v>
      </c>
      <c r="R192" s="10">
        <f t="shared" si="24"/>
        <v>2.1</v>
      </c>
      <c r="S192" s="10">
        <f t="shared" si="25"/>
        <v>-2.1</v>
      </c>
      <c r="T192" s="10">
        <f t="shared" si="31"/>
        <v>190.1</v>
      </c>
      <c r="V192" s="5">
        <v>1483.7</v>
      </c>
      <c r="W192" s="5">
        <f t="shared" si="26"/>
        <v>269.76363636363635</v>
      </c>
      <c r="X192" s="5">
        <f t="shared" si="32"/>
        <v>110677.99999999997</v>
      </c>
      <c r="Y192" s="5">
        <f t="shared" si="35"/>
        <v>38283.199999999997</v>
      </c>
      <c r="AA192" s="5">
        <v>11.3193523380277</v>
      </c>
    </row>
    <row r="193" spans="1:27" s="5" customFormat="1" x14ac:dyDescent="0.25">
      <c r="A193" s="70"/>
      <c r="B193" s="6"/>
      <c r="C193" s="7">
        <v>42071</v>
      </c>
      <c r="D193" s="5">
        <v>8.1999999999999993</v>
      </c>
      <c r="E193" s="20">
        <v>-0.4</v>
      </c>
      <c r="F193" s="5">
        <v>16</v>
      </c>
      <c r="G193" s="5">
        <f t="shared" si="28"/>
        <v>1583.8000000000004</v>
      </c>
      <c r="H193" s="5">
        <f t="shared" si="34"/>
        <v>422.09999999999991</v>
      </c>
      <c r="J193" s="5">
        <v>0</v>
      </c>
      <c r="K193" s="5">
        <f t="shared" si="29"/>
        <v>314.59999999999997</v>
      </c>
      <c r="L193" s="5">
        <v>2.4</v>
      </c>
      <c r="M193" s="5">
        <f t="shared" si="30"/>
        <v>203.00000000000003</v>
      </c>
      <c r="N193" s="9">
        <f t="shared" si="27"/>
        <v>-2.4</v>
      </c>
      <c r="O193" s="5">
        <f t="shared" si="33"/>
        <v>181.80000000000004</v>
      </c>
      <c r="P193" s="5">
        <v>188</v>
      </c>
      <c r="Q193" s="5">
        <v>1</v>
      </c>
      <c r="R193" s="10">
        <f t="shared" si="24"/>
        <v>2.4</v>
      </c>
      <c r="S193" s="10">
        <f t="shared" si="25"/>
        <v>-2.4</v>
      </c>
      <c r="T193" s="10">
        <f t="shared" si="31"/>
        <v>187.7</v>
      </c>
      <c r="V193" s="5">
        <v>1433.8</v>
      </c>
      <c r="W193" s="5">
        <f t="shared" si="26"/>
        <v>174.85365853658539</v>
      </c>
      <c r="X193" s="5">
        <f t="shared" si="32"/>
        <v>112111.79999999997</v>
      </c>
      <c r="Y193" s="5">
        <f t="shared" si="35"/>
        <v>39717</v>
      </c>
      <c r="AA193" s="5">
        <v>11.3788050642179</v>
      </c>
    </row>
    <row r="194" spans="1:27" s="49" customFormat="1" ht="15.75" thickBot="1" x14ac:dyDescent="0.3">
      <c r="A194" s="70"/>
      <c r="B194" s="47"/>
      <c r="C194" s="48">
        <v>42072</v>
      </c>
      <c r="D194" s="49">
        <v>8.8000000000000007</v>
      </c>
      <c r="E194" s="49">
        <v>6.4</v>
      </c>
      <c r="F194" s="49">
        <v>12</v>
      </c>
      <c r="G194" s="49">
        <f t="shared" si="28"/>
        <v>1592.6000000000004</v>
      </c>
      <c r="H194" s="50">
        <f t="shared" si="34"/>
        <v>430.89999999999992</v>
      </c>
      <c r="J194" s="49">
        <v>0</v>
      </c>
      <c r="K194" s="49">
        <f t="shared" si="29"/>
        <v>314.59999999999997</v>
      </c>
      <c r="L194" s="49">
        <v>1.7</v>
      </c>
      <c r="M194" s="49">
        <f t="shared" si="30"/>
        <v>204.70000000000002</v>
      </c>
      <c r="N194" s="49">
        <f t="shared" si="27"/>
        <v>-1.7</v>
      </c>
      <c r="O194" s="50">
        <f t="shared" si="33"/>
        <v>180.10000000000005</v>
      </c>
      <c r="P194" s="50">
        <v>189</v>
      </c>
      <c r="Q194" s="55">
        <v>1</v>
      </c>
      <c r="R194" s="52">
        <f t="shared" si="24"/>
        <v>1.7</v>
      </c>
      <c r="S194" s="52">
        <f t="shared" si="25"/>
        <v>-1.7</v>
      </c>
      <c r="T194" s="56">
        <f t="shared" si="31"/>
        <v>186</v>
      </c>
      <c r="V194" s="49">
        <v>1185.5999999999999</v>
      </c>
      <c r="W194" s="49">
        <f t="shared" si="26"/>
        <v>134.72727272727272</v>
      </c>
      <c r="X194" s="49">
        <f t="shared" si="32"/>
        <v>113297.39999999998</v>
      </c>
      <c r="Y194" s="55">
        <f t="shared" si="35"/>
        <v>40902.6</v>
      </c>
      <c r="AA194" s="55">
        <v>11.4383296144815</v>
      </c>
    </row>
    <row r="195" spans="1:27" s="5" customFormat="1" ht="15" customHeight="1" x14ac:dyDescent="0.25">
      <c r="A195" s="71" t="s">
        <v>45</v>
      </c>
      <c r="B195" s="6"/>
      <c r="C195" s="7">
        <v>42073</v>
      </c>
      <c r="D195" s="5">
        <v>8.9</v>
      </c>
      <c r="E195" s="5">
        <v>5.3</v>
      </c>
      <c r="F195" s="5">
        <v>12.5</v>
      </c>
      <c r="G195" s="5">
        <f t="shared" si="28"/>
        <v>1601.5000000000005</v>
      </c>
      <c r="H195" s="5">
        <v>8.9</v>
      </c>
      <c r="I195" s="21" t="s">
        <v>27</v>
      </c>
      <c r="J195" s="5">
        <v>0.1</v>
      </c>
      <c r="K195" s="5">
        <f t="shared" si="29"/>
        <v>314.7</v>
      </c>
      <c r="L195" s="5">
        <v>0.5</v>
      </c>
      <c r="M195" s="5">
        <f t="shared" si="30"/>
        <v>205.20000000000002</v>
      </c>
      <c r="N195" s="9">
        <f t="shared" si="27"/>
        <v>-0.4</v>
      </c>
      <c r="O195" s="5">
        <f t="shared" si="33"/>
        <v>179.70000000000005</v>
      </c>
      <c r="P195" s="5">
        <v>190</v>
      </c>
      <c r="Q195" s="12">
        <f>1+((P195-189)/35)*(1.15-1)</f>
        <v>1.0042857142857142</v>
      </c>
      <c r="R195" s="10">
        <f t="shared" si="24"/>
        <v>0.50214285714285711</v>
      </c>
      <c r="S195" s="10">
        <f t="shared" si="25"/>
        <v>-0.40214285714285714</v>
      </c>
      <c r="T195" s="10">
        <f t="shared" si="31"/>
        <v>185.59785714285715</v>
      </c>
      <c r="U195" s="21" t="s">
        <v>28</v>
      </c>
      <c r="V195" s="14">
        <v>344.7</v>
      </c>
      <c r="W195" s="5">
        <f t="shared" si="26"/>
        <v>38.730337078651679</v>
      </c>
      <c r="X195" s="5">
        <f t="shared" si="32"/>
        <v>113642.09999999998</v>
      </c>
      <c r="Y195" s="5">
        <v>344.7</v>
      </c>
      <c r="Z195" s="21" t="s">
        <v>29</v>
      </c>
      <c r="AA195" s="5">
        <v>11.4979182902117</v>
      </c>
    </row>
    <row r="196" spans="1:27" s="5" customFormat="1" x14ac:dyDescent="0.25">
      <c r="A196" s="71"/>
      <c r="B196" s="6"/>
      <c r="C196" s="7">
        <v>42074</v>
      </c>
      <c r="D196" s="5">
        <v>7.8</v>
      </c>
      <c r="E196" s="15">
        <v>4.7</v>
      </c>
      <c r="F196" s="5">
        <v>12.4</v>
      </c>
      <c r="G196" s="5">
        <f t="shared" si="28"/>
        <v>1609.3000000000004</v>
      </c>
      <c r="H196" s="5">
        <f t="shared" si="34"/>
        <v>16.7</v>
      </c>
      <c r="I196" s="5">
        <f>MIN(E195:E229)</f>
        <v>-1.4</v>
      </c>
      <c r="J196" s="5">
        <v>0</v>
      </c>
      <c r="K196" s="5">
        <f t="shared" si="29"/>
        <v>314.7</v>
      </c>
      <c r="L196" s="5">
        <v>2.1</v>
      </c>
      <c r="M196" s="5">
        <f t="shared" si="30"/>
        <v>207.3</v>
      </c>
      <c r="N196" s="9">
        <f t="shared" si="27"/>
        <v>-2.1</v>
      </c>
      <c r="O196" s="5">
        <f t="shared" si="33"/>
        <v>177.60000000000005</v>
      </c>
      <c r="P196" s="5">
        <v>191</v>
      </c>
      <c r="Q196" s="12">
        <f t="shared" ref="Q196:Q229" si="36">1+((P196-189)/35)*(1.15-1)</f>
        <v>1.0085714285714287</v>
      </c>
      <c r="R196" s="10">
        <f t="shared" si="24"/>
        <v>2.1180000000000003</v>
      </c>
      <c r="S196" s="10">
        <f t="shared" si="25"/>
        <v>-2.1180000000000003</v>
      </c>
      <c r="T196" s="10">
        <f t="shared" si="31"/>
        <v>183.47985714285716</v>
      </c>
      <c r="U196" s="5">
        <v>29</v>
      </c>
      <c r="V196" s="5">
        <v>1490.7</v>
      </c>
      <c r="W196" s="5">
        <f t="shared" si="26"/>
        <v>191.11538461538461</v>
      </c>
      <c r="X196" s="5">
        <f t="shared" si="32"/>
        <v>115132.79999999997</v>
      </c>
      <c r="Y196" s="5">
        <f t="shared" si="35"/>
        <v>1835.4</v>
      </c>
      <c r="Z196" s="5">
        <v>41995.899999999994</v>
      </c>
      <c r="AA196" s="5">
        <v>11.557563643999201</v>
      </c>
    </row>
    <row r="197" spans="1:27" s="5" customFormat="1" x14ac:dyDescent="0.25">
      <c r="A197" s="71"/>
      <c r="B197" s="6"/>
      <c r="C197" s="7">
        <v>42075</v>
      </c>
      <c r="D197" s="5">
        <v>6.5</v>
      </c>
      <c r="E197" s="15">
        <v>0.1</v>
      </c>
      <c r="F197" s="5">
        <v>12</v>
      </c>
      <c r="G197" s="5">
        <f t="shared" si="28"/>
        <v>1615.8000000000004</v>
      </c>
      <c r="H197" s="5">
        <f t="shared" si="34"/>
        <v>23.2</v>
      </c>
      <c r="I197" s="21" t="s">
        <v>30</v>
      </c>
      <c r="J197" s="5">
        <v>0</v>
      </c>
      <c r="K197" s="5">
        <f t="shared" si="29"/>
        <v>314.7</v>
      </c>
      <c r="L197" s="5">
        <v>2.2000000000000002</v>
      </c>
      <c r="M197" s="5">
        <f t="shared" si="30"/>
        <v>209.5</v>
      </c>
      <c r="N197" s="9">
        <f t="shared" si="27"/>
        <v>-2.2000000000000002</v>
      </c>
      <c r="O197" s="5">
        <f t="shared" si="33"/>
        <v>175.40000000000006</v>
      </c>
      <c r="P197" s="5">
        <v>192</v>
      </c>
      <c r="Q197" s="12">
        <f t="shared" si="36"/>
        <v>1.0128571428571429</v>
      </c>
      <c r="R197" s="10">
        <f t="shared" si="24"/>
        <v>2.2282857142857146</v>
      </c>
      <c r="S197" s="10">
        <f t="shared" si="25"/>
        <v>-2.2282857142857146</v>
      </c>
      <c r="T197" s="10">
        <f t="shared" si="31"/>
        <v>181.25157142857145</v>
      </c>
      <c r="U197" s="21" t="s">
        <v>31</v>
      </c>
      <c r="V197" s="5">
        <v>1638.3</v>
      </c>
      <c r="W197" s="5">
        <f t="shared" si="26"/>
        <v>252.04615384615383</v>
      </c>
      <c r="X197" s="5">
        <f t="shared" si="32"/>
        <v>116771.09999999998</v>
      </c>
      <c r="Y197" s="5">
        <f t="shared" si="35"/>
        <v>3473.7</v>
      </c>
      <c r="Z197" s="21" t="s">
        <v>32</v>
      </c>
      <c r="AA197" s="5">
        <v>11.6172584605448</v>
      </c>
    </row>
    <row r="198" spans="1:27" s="5" customFormat="1" x14ac:dyDescent="0.25">
      <c r="A198" s="71"/>
      <c r="B198" s="6"/>
      <c r="C198" s="7">
        <v>42076</v>
      </c>
      <c r="D198" s="5">
        <v>5.6</v>
      </c>
      <c r="E198" s="15">
        <v>0.8</v>
      </c>
      <c r="F198" s="5">
        <v>10.9</v>
      </c>
      <c r="G198" s="5">
        <f t="shared" si="28"/>
        <v>1621.4000000000003</v>
      </c>
      <c r="H198" s="5">
        <f t="shared" si="34"/>
        <v>28.799999999999997</v>
      </c>
      <c r="I198" s="5">
        <f>MAX(F195:F229)</f>
        <v>20.7</v>
      </c>
      <c r="J198" s="5">
        <v>0</v>
      </c>
      <c r="K198" s="5">
        <f t="shared" si="29"/>
        <v>314.7</v>
      </c>
      <c r="L198" s="5">
        <v>1.3</v>
      </c>
      <c r="M198" s="5">
        <f t="shared" si="30"/>
        <v>210.8</v>
      </c>
      <c r="N198" s="9">
        <f t="shared" si="27"/>
        <v>-1.3</v>
      </c>
      <c r="O198" s="5">
        <f t="shared" si="33"/>
        <v>174.10000000000005</v>
      </c>
      <c r="P198" s="5">
        <v>193</v>
      </c>
      <c r="Q198" s="12">
        <f t="shared" si="36"/>
        <v>1.0171428571428571</v>
      </c>
      <c r="R198" s="10">
        <f t="shared" ref="R198:R261" si="37">Q198*L198</f>
        <v>1.3222857142857143</v>
      </c>
      <c r="S198" s="10">
        <f t="shared" ref="S198:S261" si="38">J198-R198</f>
        <v>-1.3222857142857143</v>
      </c>
      <c r="T198" s="10">
        <f t="shared" si="31"/>
        <v>179.92928571428573</v>
      </c>
      <c r="U198" s="5">
        <v>0</v>
      </c>
      <c r="V198" s="5">
        <v>1004.2</v>
      </c>
      <c r="W198" s="5">
        <f t="shared" ref="W198:W261" si="39">V198/D198</f>
        <v>179.32142857142858</v>
      </c>
      <c r="X198" s="5">
        <f t="shared" si="32"/>
        <v>117775.29999999997</v>
      </c>
      <c r="Y198" s="5">
        <f t="shared" si="35"/>
        <v>4477.8999999999996</v>
      </c>
      <c r="Z198" s="12">
        <f>(Z196/100)/I208</f>
        <v>1.4714751226348983</v>
      </c>
      <c r="AA198" s="5">
        <v>11.676995737666299</v>
      </c>
    </row>
    <row r="199" spans="1:27" s="5" customFormat="1" x14ac:dyDescent="0.25">
      <c r="A199" s="71"/>
      <c r="B199" s="6"/>
      <c r="C199" s="7">
        <v>42077</v>
      </c>
      <c r="D199" s="5">
        <v>6.1</v>
      </c>
      <c r="E199" s="15">
        <v>2.9</v>
      </c>
      <c r="F199" s="5">
        <v>8.5</v>
      </c>
      <c r="G199" s="5">
        <f t="shared" si="28"/>
        <v>1627.5000000000002</v>
      </c>
      <c r="H199" s="5">
        <f t="shared" si="34"/>
        <v>34.9</v>
      </c>
      <c r="I199" s="21" t="s">
        <v>33</v>
      </c>
      <c r="J199" s="5">
        <v>0</v>
      </c>
      <c r="K199" s="5">
        <f t="shared" si="29"/>
        <v>314.7</v>
      </c>
      <c r="L199" s="5">
        <v>1.6</v>
      </c>
      <c r="M199" s="5">
        <f t="shared" si="30"/>
        <v>212.4</v>
      </c>
      <c r="N199" s="9">
        <f t="shared" ref="N199:N262" si="40">J199-L199</f>
        <v>-1.6</v>
      </c>
      <c r="O199" s="5">
        <f t="shared" si="33"/>
        <v>172.50000000000006</v>
      </c>
      <c r="P199" s="5">
        <v>194</v>
      </c>
      <c r="Q199" s="12">
        <f t="shared" si="36"/>
        <v>1.0214285714285714</v>
      </c>
      <c r="R199" s="10">
        <f t="shared" si="37"/>
        <v>1.6342857142857143</v>
      </c>
      <c r="S199" s="10">
        <f t="shared" si="38"/>
        <v>-1.6342857142857143</v>
      </c>
      <c r="T199" s="10">
        <f t="shared" si="31"/>
        <v>178.29500000000002</v>
      </c>
      <c r="U199" s="21" t="s">
        <v>34</v>
      </c>
      <c r="V199" s="5">
        <v>1322.1</v>
      </c>
      <c r="W199" s="5">
        <f t="shared" si="39"/>
        <v>216.73770491803279</v>
      </c>
      <c r="X199" s="5">
        <f t="shared" si="32"/>
        <v>119097.39999999998</v>
      </c>
      <c r="Y199" s="5">
        <f t="shared" si="35"/>
        <v>5800</v>
      </c>
      <c r="Z199" s="21" t="s">
        <v>35</v>
      </c>
      <c r="AA199" s="5">
        <v>11.7367686674097</v>
      </c>
    </row>
    <row r="200" spans="1:27" s="5" customFormat="1" x14ac:dyDescent="0.25">
      <c r="A200" s="71"/>
      <c r="B200" s="6"/>
      <c r="C200" s="7">
        <v>42078</v>
      </c>
      <c r="D200" s="5">
        <v>5.6</v>
      </c>
      <c r="E200" s="15">
        <v>4.5</v>
      </c>
      <c r="F200" s="5">
        <v>7.5</v>
      </c>
      <c r="G200" s="5">
        <f t="shared" ref="G200:G263" si="41">G199+D200</f>
        <v>1633.1000000000001</v>
      </c>
      <c r="H200" s="5">
        <f t="shared" si="34"/>
        <v>40.5</v>
      </c>
      <c r="I200" s="10">
        <f>AVERAGE(D195:D229)</f>
        <v>8.154285714285713</v>
      </c>
      <c r="J200" s="5">
        <v>0</v>
      </c>
      <c r="K200" s="5">
        <f t="shared" ref="K200:K263" si="42">K199+J200</f>
        <v>314.7</v>
      </c>
      <c r="L200" s="5">
        <v>0.8</v>
      </c>
      <c r="M200" s="5">
        <f t="shared" ref="M200:M263" si="43">M199+L200</f>
        <v>213.20000000000002</v>
      </c>
      <c r="N200" s="9">
        <f t="shared" si="40"/>
        <v>-0.8</v>
      </c>
      <c r="O200" s="5">
        <f t="shared" si="33"/>
        <v>171.70000000000005</v>
      </c>
      <c r="P200" s="5">
        <v>195</v>
      </c>
      <c r="Q200" s="12">
        <f t="shared" si="36"/>
        <v>1.0257142857142858</v>
      </c>
      <c r="R200" s="10">
        <f t="shared" si="37"/>
        <v>0.82057142857142873</v>
      </c>
      <c r="S200" s="10">
        <f t="shared" si="38"/>
        <v>-0.82057142857142873</v>
      </c>
      <c r="T200" s="10">
        <f t="shared" ref="T200:T263" si="44">MIN(197.4,(T199+S200))</f>
        <v>177.47442857142858</v>
      </c>
      <c r="U200" s="5">
        <v>0</v>
      </c>
      <c r="V200" s="14">
        <v>609.5</v>
      </c>
      <c r="W200" s="5">
        <f t="shared" si="39"/>
        <v>108.83928571428572</v>
      </c>
      <c r="X200" s="5">
        <f t="shared" ref="X200:X263" si="45">X199+V200</f>
        <v>119706.89999999998</v>
      </c>
      <c r="Y200" s="5">
        <f t="shared" si="35"/>
        <v>6409.5</v>
      </c>
      <c r="Z200" s="5">
        <v>11</v>
      </c>
      <c r="AA200" s="5">
        <v>11.7965706172693</v>
      </c>
    </row>
    <row r="201" spans="1:27" s="5" customFormat="1" x14ac:dyDescent="0.25">
      <c r="A201" s="71"/>
      <c r="B201" s="6"/>
      <c r="C201" s="7">
        <v>42079</v>
      </c>
      <c r="D201" s="5">
        <v>6.4</v>
      </c>
      <c r="E201" s="15">
        <v>0.7</v>
      </c>
      <c r="F201" s="5">
        <v>10.8</v>
      </c>
      <c r="G201" s="5">
        <f t="shared" si="41"/>
        <v>1639.5000000000002</v>
      </c>
      <c r="H201" s="5">
        <f t="shared" si="34"/>
        <v>46.9</v>
      </c>
      <c r="I201" s="21" t="s">
        <v>36</v>
      </c>
      <c r="J201" s="5">
        <v>0</v>
      </c>
      <c r="K201" s="5">
        <f t="shared" si="42"/>
        <v>314.7</v>
      </c>
      <c r="L201" s="5">
        <v>1.5</v>
      </c>
      <c r="M201" s="5">
        <f t="shared" si="43"/>
        <v>214.70000000000002</v>
      </c>
      <c r="N201" s="9">
        <f t="shared" si="40"/>
        <v>-1.5</v>
      </c>
      <c r="O201" s="5">
        <f t="shared" ref="O201:O264" si="46">O200+N201</f>
        <v>170.20000000000005</v>
      </c>
      <c r="P201" s="5">
        <v>196</v>
      </c>
      <c r="Q201" s="12">
        <f t="shared" si="36"/>
        <v>1.03</v>
      </c>
      <c r="R201" s="10">
        <f t="shared" si="37"/>
        <v>1.5449999999999999</v>
      </c>
      <c r="S201" s="10">
        <f t="shared" si="38"/>
        <v>-1.5449999999999999</v>
      </c>
      <c r="T201" s="10">
        <f t="shared" si="44"/>
        <v>175.92942857142859</v>
      </c>
      <c r="U201" s="21" t="s">
        <v>37</v>
      </c>
      <c r="V201" s="5">
        <v>1258.9000000000001</v>
      </c>
      <c r="W201" s="5">
        <f t="shared" si="39"/>
        <v>196.703125</v>
      </c>
      <c r="X201" s="5">
        <f t="shared" si="45"/>
        <v>120965.79999999997</v>
      </c>
      <c r="Y201" s="5">
        <f t="shared" si="35"/>
        <v>7668.4</v>
      </c>
      <c r="AA201" s="5">
        <v>11.8563951115219</v>
      </c>
    </row>
    <row r="202" spans="1:27" s="5" customFormat="1" x14ac:dyDescent="0.25">
      <c r="A202" s="71"/>
      <c r="B202" s="6"/>
      <c r="C202" s="7">
        <v>42080</v>
      </c>
      <c r="D202" s="5">
        <v>8.6</v>
      </c>
      <c r="E202" s="15">
        <v>0.3</v>
      </c>
      <c r="F202" s="5">
        <v>15.7</v>
      </c>
      <c r="G202" s="5">
        <f t="shared" si="41"/>
        <v>1648.1000000000001</v>
      </c>
      <c r="H202" s="5">
        <f t="shared" si="34"/>
        <v>55.5</v>
      </c>
      <c r="I202" s="5">
        <v>2</v>
      </c>
      <c r="J202" s="5">
        <v>0</v>
      </c>
      <c r="K202" s="5">
        <f t="shared" si="42"/>
        <v>314.7</v>
      </c>
      <c r="L202" s="5">
        <v>2</v>
      </c>
      <c r="M202" s="5">
        <f t="shared" si="43"/>
        <v>216.70000000000002</v>
      </c>
      <c r="N202" s="9">
        <f t="shared" si="40"/>
        <v>-2</v>
      </c>
      <c r="O202" s="5">
        <f t="shared" si="46"/>
        <v>168.20000000000005</v>
      </c>
      <c r="P202" s="5">
        <v>197</v>
      </c>
      <c r="Q202" s="12">
        <f t="shared" si="36"/>
        <v>1.0342857142857143</v>
      </c>
      <c r="R202" s="10">
        <f t="shared" si="37"/>
        <v>2.0685714285714285</v>
      </c>
      <c r="S202" s="10">
        <f t="shared" si="38"/>
        <v>-2.0685714285714285</v>
      </c>
      <c r="T202" s="10">
        <f t="shared" si="44"/>
        <v>173.86085714285716</v>
      </c>
      <c r="U202" s="10">
        <f>MIN(T195:T229)</f>
        <v>161.36600000000001</v>
      </c>
      <c r="V202" s="5">
        <v>1391.3</v>
      </c>
      <c r="W202" s="5">
        <f t="shared" si="39"/>
        <v>161.77906976744185</v>
      </c>
      <c r="X202" s="5">
        <f t="shared" si="45"/>
        <v>122357.09999999998</v>
      </c>
      <c r="Y202" s="5">
        <f t="shared" si="35"/>
        <v>9059.6999999999989</v>
      </c>
      <c r="AA202" s="5">
        <v>11.916235812676099</v>
      </c>
    </row>
    <row r="203" spans="1:27" s="5" customFormat="1" x14ac:dyDescent="0.25">
      <c r="A203" s="71"/>
      <c r="B203" s="6"/>
      <c r="C203" s="7">
        <v>42081</v>
      </c>
      <c r="D203" s="5">
        <v>9.3000000000000007</v>
      </c>
      <c r="E203" s="15">
        <v>3.4</v>
      </c>
      <c r="F203" s="5">
        <v>14.9</v>
      </c>
      <c r="G203" s="5">
        <f t="shared" si="41"/>
        <v>1657.4</v>
      </c>
      <c r="H203" s="5">
        <f t="shared" si="34"/>
        <v>64.8</v>
      </c>
      <c r="I203" s="21" t="s">
        <v>38</v>
      </c>
      <c r="J203" s="5">
        <v>0</v>
      </c>
      <c r="K203" s="5">
        <f t="shared" si="42"/>
        <v>314.7</v>
      </c>
      <c r="L203" s="5">
        <v>1.7</v>
      </c>
      <c r="M203" s="5">
        <f t="shared" si="43"/>
        <v>218.4</v>
      </c>
      <c r="N203" s="9">
        <f t="shared" si="40"/>
        <v>-1.7</v>
      </c>
      <c r="O203" s="5">
        <f t="shared" si="46"/>
        <v>166.50000000000006</v>
      </c>
      <c r="P203" s="5">
        <v>198</v>
      </c>
      <c r="Q203" s="12">
        <f t="shared" si="36"/>
        <v>1.0385714285714285</v>
      </c>
      <c r="R203" s="10">
        <f t="shared" si="37"/>
        <v>1.7655714285714283</v>
      </c>
      <c r="S203" s="10">
        <f t="shared" si="38"/>
        <v>-1.7655714285714283</v>
      </c>
      <c r="T203" s="10">
        <f t="shared" si="44"/>
        <v>172.09528571428572</v>
      </c>
      <c r="U203" s="21" t="s">
        <v>39</v>
      </c>
      <c r="V203" s="5">
        <v>957.2</v>
      </c>
      <c r="W203" s="5">
        <f t="shared" si="39"/>
        <v>102.9247311827957</v>
      </c>
      <c r="X203" s="5">
        <f t="shared" si="45"/>
        <v>123314.29999999997</v>
      </c>
      <c r="Y203" s="5">
        <f t="shared" si="35"/>
        <v>10016.9</v>
      </c>
      <c r="AA203" s="5">
        <v>11.976086503037999</v>
      </c>
    </row>
    <row r="204" spans="1:27" s="5" customFormat="1" x14ac:dyDescent="0.25">
      <c r="A204" s="71"/>
      <c r="B204" s="6"/>
      <c r="C204" s="7">
        <v>42082</v>
      </c>
      <c r="D204" s="5">
        <v>6.5</v>
      </c>
      <c r="E204" s="15">
        <v>5</v>
      </c>
      <c r="F204" s="5">
        <v>7.8</v>
      </c>
      <c r="G204" s="5">
        <f t="shared" si="41"/>
        <v>1663.9</v>
      </c>
      <c r="H204" s="5">
        <f t="shared" si="34"/>
        <v>71.3</v>
      </c>
      <c r="I204" s="5">
        <v>0</v>
      </c>
      <c r="J204" s="5">
        <v>0</v>
      </c>
      <c r="K204" s="5">
        <f t="shared" si="42"/>
        <v>314.7</v>
      </c>
      <c r="L204" s="5">
        <v>1.3</v>
      </c>
      <c r="M204" s="5">
        <f t="shared" si="43"/>
        <v>219.70000000000002</v>
      </c>
      <c r="N204" s="9">
        <f t="shared" si="40"/>
        <v>-1.3</v>
      </c>
      <c r="O204" s="5">
        <f t="shared" si="46"/>
        <v>165.20000000000005</v>
      </c>
      <c r="P204" s="5">
        <v>199</v>
      </c>
      <c r="Q204" s="12">
        <f t="shared" si="36"/>
        <v>1.0428571428571429</v>
      </c>
      <c r="R204" s="10">
        <f t="shared" si="37"/>
        <v>1.3557142857142859</v>
      </c>
      <c r="S204" s="10">
        <f t="shared" si="38"/>
        <v>-1.3557142857142859</v>
      </c>
      <c r="T204" s="10">
        <f t="shared" si="44"/>
        <v>170.73957142857142</v>
      </c>
      <c r="U204" s="10">
        <f>MAX(T195:T229)</f>
        <v>186.66128571428567</v>
      </c>
      <c r="V204" s="14">
        <v>758.4</v>
      </c>
      <c r="W204" s="5">
        <f t="shared" si="39"/>
        <v>116.67692307692307</v>
      </c>
      <c r="X204" s="5">
        <f t="shared" si="45"/>
        <v>124072.69999999997</v>
      </c>
      <c r="Y204" s="5">
        <f t="shared" si="35"/>
        <v>10775.3</v>
      </c>
      <c r="AA204" s="5">
        <v>12.0359410663935</v>
      </c>
    </row>
    <row r="205" spans="1:27" s="5" customFormat="1" x14ac:dyDescent="0.25">
      <c r="A205" s="71"/>
      <c r="B205" s="6"/>
      <c r="C205" s="7">
        <v>42083</v>
      </c>
      <c r="D205" s="5">
        <v>7.5</v>
      </c>
      <c r="E205" s="5">
        <v>5.9</v>
      </c>
      <c r="F205" s="5">
        <v>9.6999999999999993</v>
      </c>
      <c r="G205" s="5">
        <f t="shared" si="41"/>
        <v>1671.4</v>
      </c>
      <c r="H205" s="5">
        <f t="shared" si="34"/>
        <v>78.8</v>
      </c>
      <c r="I205" s="21" t="s">
        <v>40</v>
      </c>
      <c r="J205" s="5">
        <v>0</v>
      </c>
      <c r="K205" s="5">
        <f t="shared" si="42"/>
        <v>314.7</v>
      </c>
      <c r="L205" s="5">
        <v>1.8</v>
      </c>
      <c r="M205" s="5">
        <f t="shared" si="43"/>
        <v>221.50000000000003</v>
      </c>
      <c r="N205" s="9">
        <f t="shared" si="40"/>
        <v>-1.8</v>
      </c>
      <c r="O205" s="5">
        <f t="shared" si="46"/>
        <v>163.40000000000003</v>
      </c>
      <c r="P205" s="5">
        <v>200</v>
      </c>
      <c r="Q205" s="12">
        <f t="shared" si="36"/>
        <v>1.0471428571428572</v>
      </c>
      <c r="R205" s="10">
        <f t="shared" si="37"/>
        <v>1.884857142857143</v>
      </c>
      <c r="S205" s="10">
        <f t="shared" si="38"/>
        <v>-1.884857142857143</v>
      </c>
      <c r="T205" s="10">
        <f t="shared" si="44"/>
        <v>168.85471428571429</v>
      </c>
      <c r="U205" s="21" t="s">
        <v>41</v>
      </c>
      <c r="V205" s="5">
        <v>1284.9000000000001</v>
      </c>
      <c r="W205" s="5">
        <f t="shared" si="39"/>
        <v>171.32000000000002</v>
      </c>
      <c r="X205" s="5">
        <f t="shared" si="45"/>
        <v>125357.59999999996</v>
      </c>
      <c r="Y205" s="5">
        <f t="shared" si="35"/>
        <v>12060.199999999999</v>
      </c>
      <c r="AA205" s="5">
        <v>12.0957934698047</v>
      </c>
    </row>
    <row r="206" spans="1:27" s="5" customFormat="1" x14ac:dyDescent="0.25">
      <c r="A206" s="71"/>
      <c r="B206" s="6"/>
      <c r="C206" s="7">
        <v>42084</v>
      </c>
      <c r="D206" s="5">
        <v>5.6</v>
      </c>
      <c r="E206" s="15">
        <v>3.4</v>
      </c>
      <c r="F206" s="5">
        <v>7.2</v>
      </c>
      <c r="G206" s="5">
        <f t="shared" si="41"/>
        <v>1677</v>
      </c>
      <c r="H206" s="5">
        <f t="shared" si="34"/>
        <v>84.399999999999991</v>
      </c>
      <c r="I206" s="5">
        <v>21</v>
      </c>
      <c r="J206" s="5">
        <v>0</v>
      </c>
      <c r="K206" s="5">
        <f t="shared" si="42"/>
        <v>314.7</v>
      </c>
      <c r="L206" s="5">
        <v>0.9</v>
      </c>
      <c r="M206" s="5">
        <f t="shared" si="43"/>
        <v>222.40000000000003</v>
      </c>
      <c r="N206" s="9">
        <f t="shared" si="40"/>
        <v>-0.9</v>
      </c>
      <c r="O206" s="5">
        <f t="shared" si="46"/>
        <v>162.50000000000003</v>
      </c>
      <c r="P206" s="5">
        <v>201</v>
      </c>
      <c r="Q206" s="12">
        <f t="shared" si="36"/>
        <v>1.0514285714285714</v>
      </c>
      <c r="R206" s="10">
        <f t="shared" si="37"/>
        <v>0.94628571428571429</v>
      </c>
      <c r="S206" s="10">
        <f t="shared" si="38"/>
        <v>-0.94628571428571429</v>
      </c>
      <c r="T206" s="10">
        <f t="shared" si="44"/>
        <v>167.90842857142857</v>
      </c>
      <c r="U206" s="12">
        <f>AVERAGE(T195:T229)</f>
        <v>174.61666938775505</v>
      </c>
      <c r="V206" s="14">
        <v>772.6</v>
      </c>
      <c r="W206" s="5">
        <f t="shared" si="39"/>
        <v>137.96428571428572</v>
      </c>
      <c r="X206" s="5">
        <f t="shared" si="45"/>
        <v>126130.19999999997</v>
      </c>
      <c r="Y206" s="5">
        <f t="shared" si="35"/>
        <v>12832.8</v>
      </c>
      <c r="AA206" s="5">
        <v>12.1556377455172</v>
      </c>
    </row>
    <row r="207" spans="1:27" s="5" customFormat="1" x14ac:dyDescent="0.25">
      <c r="A207" s="71"/>
      <c r="B207" s="6"/>
      <c r="C207" s="7">
        <v>42085</v>
      </c>
      <c r="D207" s="5">
        <v>6.4</v>
      </c>
      <c r="E207" s="15">
        <v>5</v>
      </c>
      <c r="F207" s="5">
        <v>9.6</v>
      </c>
      <c r="G207" s="5">
        <f t="shared" si="41"/>
        <v>1683.4</v>
      </c>
      <c r="H207" s="5">
        <f t="shared" si="34"/>
        <v>90.8</v>
      </c>
      <c r="I207" s="21" t="s">
        <v>42</v>
      </c>
      <c r="J207" s="5">
        <v>0</v>
      </c>
      <c r="K207" s="5">
        <f t="shared" si="42"/>
        <v>314.7</v>
      </c>
      <c r="L207" s="5">
        <v>2.4</v>
      </c>
      <c r="M207" s="5">
        <f t="shared" si="43"/>
        <v>224.80000000000004</v>
      </c>
      <c r="N207" s="9">
        <f t="shared" si="40"/>
        <v>-2.4</v>
      </c>
      <c r="O207" s="5">
        <f t="shared" si="46"/>
        <v>160.10000000000002</v>
      </c>
      <c r="P207" s="5">
        <v>202</v>
      </c>
      <c r="Q207" s="12">
        <f t="shared" si="36"/>
        <v>1.0557142857142856</v>
      </c>
      <c r="R207" s="10">
        <f t="shared" si="37"/>
        <v>2.5337142857142854</v>
      </c>
      <c r="S207" s="10">
        <f t="shared" si="38"/>
        <v>-2.5337142857142854</v>
      </c>
      <c r="T207" s="10">
        <f t="shared" si="44"/>
        <v>165.37471428571428</v>
      </c>
      <c r="V207" s="5">
        <v>1723.9</v>
      </c>
      <c r="W207" s="5">
        <f t="shared" si="39"/>
        <v>269.359375</v>
      </c>
      <c r="X207" s="5">
        <f t="shared" si="45"/>
        <v>127854.09999999996</v>
      </c>
      <c r="Y207" s="5">
        <f t="shared" si="35"/>
        <v>14556.699999999999</v>
      </c>
      <c r="AA207" s="5">
        <v>12.2154679729778</v>
      </c>
    </row>
    <row r="208" spans="1:27" s="5" customFormat="1" x14ac:dyDescent="0.25">
      <c r="A208" s="71"/>
      <c r="B208" s="6"/>
      <c r="C208" s="7">
        <v>42086</v>
      </c>
      <c r="D208" s="5">
        <v>6.2</v>
      </c>
      <c r="E208" s="20">
        <v>-1.4</v>
      </c>
      <c r="F208" s="5">
        <v>12.5</v>
      </c>
      <c r="G208" s="5">
        <f t="shared" si="41"/>
        <v>1689.6000000000001</v>
      </c>
      <c r="H208" s="5">
        <f t="shared" si="34"/>
        <v>97</v>
      </c>
      <c r="I208" s="5">
        <v>285.39999999999998</v>
      </c>
      <c r="J208" s="5">
        <v>0</v>
      </c>
      <c r="K208" s="5">
        <f t="shared" si="42"/>
        <v>314.7</v>
      </c>
      <c r="L208" s="5">
        <v>2</v>
      </c>
      <c r="M208" s="5">
        <f t="shared" si="43"/>
        <v>226.80000000000004</v>
      </c>
      <c r="N208" s="9">
        <f t="shared" si="40"/>
        <v>-2</v>
      </c>
      <c r="O208" s="5">
        <f t="shared" si="46"/>
        <v>158.10000000000002</v>
      </c>
      <c r="P208" s="5">
        <v>203</v>
      </c>
      <c r="Q208" s="12">
        <f t="shared" si="36"/>
        <v>1.06</v>
      </c>
      <c r="R208" s="10">
        <f t="shared" si="37"/>
        <v>2.12</v>
      </c>
      <c r="S208" s="10">
        <f t="shared" si="38"/>
        <v>-2.12</v>
      </c>
      <c r="T208" s="10">
        <f t="shared" si="44"/>
        <v>163.25471428571427</v>
      </c>
      <c r="U208" s="10">
        <f>(U206*100)/197.4</f>
        <v>88.458292496329818</v>
      </c>
      <c r="V208" s="5">
        <v>1724.1</v>
      </c>
      <c r="W208" s="5">
        <f t="shared" si="39"/>
        <v>278.08064516129031</v>
      </c>
      <c r="X208" s="5">
        <f t="shared" si="45"/>
        <v>129578.19999999997</v>
      </c>
      <c r="Y208" s="5">
        <f t="shared" si="35"/>
        <v>16280.8</v>
      </c>
      <c r="AA208" s="5">
        <v>12.275278260955</v>
      </c>
    </row>
    <row r="209" spans="1:27" s="5" customFormat="1" x14ac:dyDescent="0.25">
      <c r="A209" s="71"/>
      <c r="B209" s="6"/>
      <c r="C209" s="7">
        <v>42087</v>
      </c>
      <c r="D209" s="5">
        <v>6</v>
      </c>
      <c r="E209" s="15">
        <v>4.9000000000000004</v>
      </c>
      <c r="F209" s="5">
        <v>8.6</v>
      </c>
      <c r="G209" s="5">
        <f t="shared" si="41"/>
        <v>1695.6000000000001</v>
      </c>
      <c r="H209" s="5">
        <f t="shared" si="34"/>
        <v>103</v>
      </c>
      <c r="J209" s="5">
        <v>8.5</v>
      </c>
      <c r="K209" s="5">
        <f t="shared" si="42"/>
        <v>323.2</v>
      </c>
      <c r="L209" s="5">
        <v>1.6</v>
      </c>
      <c r="M209" s="5">
        <f t="shared" si="43"/>
        <v>228.40000000000003</v>
      </c>
      <c r="N209" s="5">
        <f t="shared" si="40"/>
        <v>6.9</v>
      </c>
      <c r="O209" s="5">
        <f t="shared" si="46"/>
        <v>165.00000000000003</v>
      </c>
      <c r="P209" s="5">
        <v>204</v>
      </c>
      <c r="Q209" s="12">
        <f t="shared" si="36"/>
        <v>1.0642857142857143</v>
      </c>
      <c r="R209" s="10">
        <f t="shared" si="37"/>
        <v>1.7028571428571428</v>
      </c>
      <c r="S209" s="10">
        <f t="shared" si="38"/>
        <v>6.7971428571428572</v>
      </c>
      <c r="T209" s="10">
        <f t="shared" si="44"/>
        <v>170.05185714285713</v>
      </c>
      <c r="V209" s="5">
        <v>1176.3</v>
      </c>
      <c r="W209" s="5">
        <f t="shared" si="39"/>
        <v>196.04999999999998</v>
      </c>
      <c r="X209" s="5">
        <f t="shared" si="45"/>
        <v>130754.49999999997</v>
      </c>
      <c r="Y209" s="5">
        <f t="shared" si="35"/>
        <v>17457.099999999999</v>
      </c>
      <c r="AA209" s="5">
        <v>12.335062729761299</v>
      </c>
    </row>
    <row r="210" spans="1:27" s="5" customFormat="1" x14ac:dyDescent="0.25">
      <c r="A210" s="71"/>
      <c r="B210" s="6"/>
      <c r="C210" s="7">
        <v>42088</v>
      </c>
      <c r="D210" s="15">
        <v>4.9000000000000004</v>
      </c>
      <c r="E210" s="15">
        <v>3.9</v>
      </c>
      <c r="F210" s="5">
        <v>7.7</v>
      </c>
      <c r="G210" s="5">
        <f t="shared" si="41"/>
        <v>1700.5000000000002</v>
      </c>
      <c r="H210" s="5">
        <f t="shared" si="34"/>
        <v>107.9</v>
      </c>
      <c r="J210" s="5">
        <v>0.1</v>
      </c>
      <c r="K210" s="5">
        <f t="shared" si="42"/>
        <v>323.3</v>
      </c>
      <c r="L210" s="5">
        <v>1.3</v>
      </c>
      <c r="M210" s="5">
        <f t="shared" si="43"/>
        <v>229.70000000000005</v>
      </c>
      <c r="N210" s="9">
        <f t="shared" si="40"/>
        <v>-1.2</v>
      </c>
      <c r="O210" s="5">
        <f t="shared" si="46"/>
        <v>163.80000000000004</v>
      </c>
      <c r="P210" s="5">
        <v>205</v>
      </c>
      <c r="Q210" s="12">
        <f t="shared" si="36"/>
        <v>1.0685714285714285</v>
      </c>
      <c r="R210" s="10">
        <f t="shared" si="37"/>
        <v>1.389142857142857</v>
      </c>
      <c r="S210" s="10">
        <f t="shared" si="38"/>
        <v>-1.2891428571428569</v>
      </c>
      <c r="T210" s="10">
        <f t="shared" si="44"/>
        <v>168.76271428571428</v>
      </c>
      <c r="V210" s="5">
        <v>966.3</v>
      </c>
      <c r="W210" s="5">
        <f t="shared" si="39"/>
        <v>197.20408163265304</v>
      </c>
      <c r="X210" s="5">
        <f t="shared" si="45"/>
        <v>131720.79999999996</v>
      </c>
      <c r="Y210" s="5">
        <f t="shared" si="35"/>
        <v>18423.399999999998</v>
      </c>
      <c r="AA210" s="5">
        <v>12.3948154935711</v>
      </c>
    </row>
    <row r="211" spans="1:27" s="5" customFormat="1" x14ac:dyDescent="0.25">
      <c r="A211" s="71"/>
      <c r="B211" s="6"/>
      <c r="C211" s="7">
        <v>42089</v>
      </c>
      <c r="D211" s="15">
        <v>4.3</v>
      </c>
      <c r="E211" s="20">
        <v>-1.2</v>
      </c>
      <c r="F211" s="5">
        <v>7.4</v>
      </c>
      <c r="G211" s="5">
        <f t="shared" si="41"/>
        <v>1704.8000000000002</v>
      </c>
      <c r="H211" s="5">
        <f t="shared" si="34"/>
        <v>112.2</v>
      </c>
      <c r="J211" s="5">
        <v>1.5</v>
      </c>
      <c r="K211" s="5">
        <f t="shared" si="42"/>
        <v>324.8</v>
      </c>
      <c r="L211" s="5">
        <v>0.7</v>
      </c>
      <c r="M211" s="5">
        <f t="shared" si="43"/>
        <v>230.40000000000003</v>
      </c>
      <c r="N211" s="5">
        <f t="shared" si="40"/>
        <v>0.8</v>
      </c>
      <c r="O211" s="5">
        <f t="shared" si="46"/>
        <v>164.60000000000005</v>
      </c>
      <c r="P211" s="5">
        <v>206</v>
      </c>
      <c r="Q211" s="12">
        <f t="shared" si="36"/>
        <v>1.0728571428571427</v>
      </c>
      <c r="R211" s="10">
        <f t="shared" si="37"/>
        <v>0.75099999999999989</v>
      </c>
      <c r="S211" s="10">
        <f t="shared" si="38"/>
        <v>0.74900000000000011</v>
      </c>
      <c r="T211" s="10">
        <f t="shared" si="44"/>
        <v>169.51171428571428</v>
      </c>
      <c r="V211" s="14">
        <v>804.8</v>
      </c>
      <c r="W211" s="5">
        <f t="shared" si="39"/>
        <v>187.16279069767441</v>
      </c>
      <c r="X211" s="5">
        <f t="shared" si="45"/>
        <v>132525.59999999995</v>
      </c>
      <c r="Y211" s="5">
        <f t="shared" si="35"/>
        <v>19228.199999999997</v>
      </c>
      <c r="AA211" s="5">
        <v>12.454530642830299</v>
      </c>
    </row>
    <row r="212" spans="1:27" s="5" customFormat="1" x14ac:dyDescent="0.25">
      <c r="A212" s="71"/>
      <c r="B212" s="6"/>
      <c r="C212" s="7">
        <v>42090</v>
      </c>
      <c r="D212" s="5">
        <v>7</v>
      </c>
      <c r="E212" s="15">
        <v>2.2999999999999998</v>
      </c>
      <c r="F212" s="5">
        <v>11.2</v>
      </c>
      <c r="G212" s="5">
        <f t="shared" si="41"/>
        <v>1711.8000000000002</v>
      </c>
      <c r="H212" s="5">
        <f t="shared" si="34"/>
        <v>119.2</v>
      </c>
      <c r="J212" s="5">
        <v>0.7</v>
      </c>
      <c r="K212" s="5">
        <f t="shared" si="42"/>
        <v>325.5</v>
      </c>
      <c r="L212" s="5">
        <v>1.1000000000000001</v>
      </c>
      <c r="M212" s="5">
        <f t="shared" si="43"/>
        <v>231.50000000000003</v>
      </c>
      <c r="N212" s="9">
        <f t="shared" si="40"/>
        <v>-0.40000000000000013</v>
      </c>
      <c r="O212" s="5">
        <f t="shared" si="46"/>
        <v>164.20000000000005</v>
      </c>
      <c r="P212" s="5">
        <v>207</v>
      </c>
      <c r="Q212" s="12">
        <f t="shared" si="36"/>
        <v>1.0771428571428572</v>
      </c>
      <c r="R212" s="10">
        <f t="shared" si="37"/>
        <v>1.1848571428571431</v>
      </c>
      <c r="S212" s="10">
        <f t="shared" si="38"/>
        <v>-0.4848571428571431</v>
      </c>
      <c r="T212" s="10">
        <f t="shared" si="44"/>
        <v>169.02685714285712</v>
      </c>
      <c r="V212" s="14">
        <v>727.4</v>
      </c>
      <c r="W212" s="5">
        <f t="shared" si="39"/>
        <v>103.91428571428571</v>
      </c>
      <c r="X212" s="5">
        <f t="shared" si="45"/>
        <v>133252.99999999994</v>
      </c>
      <c r="Y212" s="5">
        <f t="shared" si="35"/>
        <v>19955.599999999999</v>
      </c>
      <c r="AA212" s="5">
        <v>12.5142022267535</v>
      </c>
    </row>
    <row r="213" spans="1:27" s="5" customFormat="1" x14ac:dyDescent="0.25">
      <c r="A213" s="71"/>
      <c r="B213" s="6"/>
      <c r="C213" s="7">
        <v>42091</v>
      </c>
      <c r="D213" s="5">
        <v>9.9</v>
      </c>
      <c r="E213" s="15">
        <v>4.3</v>
      </c>
      <c r="F213" s="5">
        <v>12.2</v>
      </c>
      <c r="G213" s="5">
        <f t="shared" si="41"/>
        <v>1721.7000000000003</v>
      </c>
      <c r="H213" s="5">
        <f t="shared" si="34"/>
        <v>129.1</v>
      </c>
      <c r="J213" s="5">
        <v>2.7</v>
      </c>
      <c r="K213" s="5">
        <f t="shared" si="42"/>
        <v>328.2</v>
      </c>
      <c r="L213" s="5">
        <v>0.4</v>
      </c>
      <c r="M213" s="5">
        <f t="shared" si="43"/>
        <v>231.90000000000003</v>
      </c>
      <c r="N213" s="5">
        <f t="shared" si="40"/>
        <v>2.3000000000000003</v>
      </c>
      <c r="O213" s="5">
        <f t="shared" si="46"/>
        <v>166.50000000000006</v>
      </c>
      <c r="P213" s="5">
        <v>208</v>
      </c>
      <c r="Q213" s="12">
        <f t="shared" si="36"/>
        <v>1.0814285714285714</v>
      </c>
      <c r="R213" s="10">
        <f t="shared" si="37"/>
        <v>0.43257142857142861</v>
      </c>
      <c r="S213" s="10">
        <f t="shared" si="38"/>
        <v>2.2674285714285718</v>
      </c>
      <c r="T213" s="10">
        <f t="shared" si="44"/>
        <v>171.29428571428571</v>
      </c>
      <c r="V213" s="14">
        <v>473</v>
      </c>
      <c r="W213" s="5">
        <f t="shared" si="39"/>
        <v>47.777777777777779</v>
      </c>
      <c r="X213" s="5">
        <f t="shared" si="45"/>
        <v>133725.99999999994</v>
      </c>
      <c r="Y213" s="5">
        <f t="shared" si="35"/>
        <v>20428.599999999999</v>
      </c>
      <c r="AA213" s="5">
        <v>12.573824235903899</v>
      </c>
    </row>
    <row r="214" spans="1:27" s="5" customFormat="1" x14ac:dyDescent="0.25">
      <c r="A214" s="71"/>
      <c r="B214" s="6"/>
      <c r="C214" s="7">
        <v>42092</v>
      </c>
      <c r="D214" s="5">
        <v>11.2</v>
      </c>
      <c r="E214" s="5">
        <v>9.8000000000000007</v>
      </c>
      <c r="F214" s="5">
        <v>12.6</v>
      </c>
      <c r="G214" s="5">
        <f t="shared" si="41"/>
        <v>1732.9000000000003</v>
      </c>
      <c r="H214" s="5">
        <f t="shared" si="34"/>
        <v>140.29999999999998</v>
      </c>
      <c r="J214" s="5">
        <v>12.4</v>
      </c>
      <c r="K214" s="5">
        <f t="shared" si="42"/>
        <v>340.59999999999997</v>
      </c>
      <c r="L214" s="5">
        <v>0.7</v>
      </c>
      <c r="M214" s="5">
        <f t="shared" si="43"/>
        <v>232.60000000000002</v>
      </c>
      <c r="N214" s="5">
        <f t="shared" si="40"/>
        <v>11.700000000000001</v>
      </c>
      <c r="O214" s="5">
        <f t="shared" si="46"/>
        <v>178.20000000000005</v>
      </c>
      <c r="P214" s="5">
        <v>209</v>
      </c>
      <c r="Q214" s="12">
        <f t="shared" si="36"/>
        <v>1.0857142857142856</v>
      </c>
      <c r="R214" s="10">
        <f t="shared" si="37"/>
        <v>0.7599999999999999</v>
      </c>
      <c r="S214" s="10">
        <f t="shared" si="38"/>
        <v>11.64</v>
      </c>
      <c r="T214" s="10">
        <f t="shared" si="44"/>
        <v>182.93428571428569</v>
      </c>
      <c r="V214" s="14">
        <v>238.6</v>
      </c>
      <c r="W214" s="5">
        <f t="shared" si="39"/>
        <v>21.303571428571431</v>
      </c>
      <c r="X214" s="5">
        <f t="shared" si="45"/>
        <v>133964.59999999995</v>
      </c>
      <c r="Y214" s="5">
        <f t="shared" si="35"/>
        <v>20667.199999999997</v>
      </c>
      <c r="AA214" s="5">
        <v>12.633390584853201</v>
      </c>
    </row>
    <row r="215" spans="1:27" s="5" customFormat="1" x14ac:dyDescent="0.25">
      <c r="A215" s="71"/>
      <c r="B215" s="6"/>
      <c r="C215" s="7">
        <v>42093</v>
      </c>
      <c r="D215" s="5">
        <v>10.7</v>
      </c>
      <c r="E215" s="5">
        <v>9</v>
      </c>
      <c r="F215" s="5">
        <v>12.3</v>
      </c>
      <c r="G215" s="5">
        <f t="shared" si="41"/>
        <v>1743.6000000000004</v>
      </c>
      <c r="H215" s="5">
        <f t="shared" si="34"/>
        <v>150.99999999999997</v>
      </c>
      <c r="J215" s="5">
        <v>0.1</v>
      </c>
      <c r="K215" s="5">
        <f t="shared" si="42"/>
        <v>340.7</v>
      </c>
      <c r="L215" s="5">
        <v>2.4</v>
      </c>
      <c r="M215" s="5">
        <f t="shared" si="43"/>
        <v>235.00000000000003</v>
      </c>
      <c r="N215" s="9">
        <f>J215-L215</f>
        <v>-2.2999999999999998</v>
      </c>
      <c r="O215" s="5">
        <f t="shared" si="46"/>
        <v>175.90000000000003</v>
      </c>
      <c r="P215" s="5">
        <v>210</v>
      </c>
      <c r="Q215" s="12">
        <f t="shared" si="36"/>
        <v>1.0899999999999999</v>
      </c>
      <c r="R215" s="10">
        <f t="shared" si="37"/>
        <v>2.6159999999999997</v>
      </c>
      <c r="S215" s="10">
        <f t="shared" si="38"/>
        <v>-2.5159999999999996</v>
      </c>
      <c r="T215" s="10">
        <f t="shared" si="44"/>
        <v>180.4182857142857</v>
      </c>
      <c r="V215" s="5">
        <v>1496.2</v>
      </c>
      <c r="W215" s="5">
        <f t="shared" si="39"/>
        <v>139.8317757009346</v>
      </c>
      <c r="X215" s="5">
        <f t="shared" si="45"/>
        <v>135460.79999999996</v>
      </c>
      <c r="Y215" s="5">
        <f t="shared" si="35"/>
        <v>22163.399999999998</v>
      </c>
      <c r="AA215" s="5">
        <v>12.692895094917899</v>
      </c>
    </row>
    <row r="216" spans="1:27" s="5" customFormat="1" x14ac:dyDescent="0.25">
      <c r="A216" s="71"/>
      <c r="B216" s="6"/>
      <c r="C216" s="7">
        <v>42094</v>
      </c>
      <c r="D216" s="5">
        <v>10.9</v>
      </c>
      <c r="E216" s="5">
        <v>10</v>
      </c>
      <c r="F216" s="5">
        <v>13.1</v>
      </c>
      <c r="G216" s="5">
        <f t="shared" si="41"/>
        <v>1754.5000000000005</v>
      </c>
      <c r="H216" s="5">
        <f t="shared" si="34"/>
        <v>161.89999999999998</v>
      </c>
      <c r="J216" s="5">
        <v>0.4</v>
      </c>
      <c r="K216" s="5">
        <f t="shared" si="42"/>
        <v>341.09999999999997</v>
      </c>
      <c r="L216" s="5">
        <v>2.9</v>
      </c>
      <c r="M216" s="5">
        <f t="shared" si="43"/>
        <v>237.90000000000003</v>
      </c>
      <c r="N216" s="9">
        <f t="shared" si="40"/>
        <v>-2.5</v>
      </c>
      <c r="O216" s="5">
        <f t="shared" si="46"/>
        <v>173.40000000000003</v>
      </c>
      <c r="P216" s="5">
        <v>211</v>
      </c>
      <c r="Q216" s="12">
        <f t="shared" si="36"/>
        <v>1.0942857142857143</v>
      </c>
      <c r="R216" s="10">
        <f t="shared" si="37"/>
        <v>3.1734285714285715</v>
      </c>
      <c r="S216" s="10">
        <f t="shared" si="38"/>
        <v>-2.7734285714285716</v>
      </c>
      <c r="T216" s="10">
        <f t="shared" si="44"/>
        <v>177.64485714285712</v>
      </c>
      <c r="V216" s="5">
        <v>1511.9</v>
      </c>
      <c r="W216" s="5">
        <f t="shared" si="39"/>
        <v>138.70642201834863</v>
      </c>
      <c r="X216" s="5">
        <f t="shared" si="45"/>
        <v>136972.69999999995</v>
      </c>
      <c r="Y216" s="5">
        <f t="shared" si="35"/>
        <v>23675.3</v>
      </c>
      <c r="AA216" s="5">
        <v>12.7523314769699</v>
      </c>
    </row>
    <row r="217" spans="1:27" s="5" customFormat="1" x14ac:dyDescent="0.25">
      <c r="A217" s="71"/>
      <c r="B217" s="6"/>
      <c r="C217" s="7">
        <v>42095</v>
      </c>
      <c r="D217" s="5">
        <v>8</v>
      </c>
      <c r="E217" s="15">
        <v>4.8</v>
      </c>
      <c r="F217" s="5">
        <v>10.9</v>
      </c>
      <c r="G217" s="5">
        <f t="shared" si="41"/>
        <v>1762.5000000000005</v>
      </c>
      <c r="H217" s="5">
        <f t="shared" si="34"/>
        <v>169.89999999999998</v>
      </c>
      <c r="J217" s="5">
        <v>0</v>
      </c>
      <c r="K217" s="5">
        <f t="shared" si="42"/>
        <v>341.09999999999997</v>
      </c>
      <c r="L217" s="5">
        <v>2.2999999999999998</v>
      </c>
      <c r="M217" s="5">
        <f t="shared" si="43"/>
        <v>240.20000000000005</v>
      </c>
      <c r="N217" s="9">
        <f t="shared" si="40"/>
        <v>-2.2999999999999998</v>
      </c>
      <c r="O217" s="5">
        <f t="shared" si="46"/>
        <v>171.10000000000002</v>
      </c>
      <c r="P217" s="5">
        <v>212</v>
      </c>
      <c r="Q217" s="12">
        <f t="shared" si="36"/>
        <v>1.0985714285714285</v>
      </c>
      <c r="R217" s="10">
        <f t="shared" si="37"/>
        <v>2.5267142857142852</v>
      </c>
      <c r="S217" s="10">
        <f t="shared" si="38"/>
        <v>-2.5267142857142852</v>
      </c>
      <c r="T217" s="10">
        <f t="shared" si="44"/>
        <v>175.11814285714283</v>
      </c>
      <c r="V217" s="5">
        <v>1399.6</v>
      </c>
      <c r="W217" s="5">
        <f t="shared" si="39"/>
        <v>174.95</v>
      </c>
      <c r="X217" s="5">
        <f t="shared" si="45"/>
        <v>138372.29999999996</v>
      </c>
      <c r="Y217" s="5">
        <f t="shared" si="35"/>
        <v>25074.899999999998</v>
      </c>
      <c r="AA217" s="5">
        <v>12.8116933143195</v>
      </c>
    </row>
    <row r="218" spans="1:27" s="5" customFormat="1" x14ac:dyDescent="0.25">
      <c r="A218" s="71"/>
      <c r="B218" s="6"/>
      <c r="C218" s="7">
        <v>42096</v>
      </c>
      <c r="D218" s="5">
        <v>8.4</v>
      </c>
      <c r="E218" s="5">
        <v>7.1</v>
      </c>
      <c r="F218" s="5">
        <v>11</v>
      </c>
      <c r="G218" s="5">
        <f t="shared" si="41"/>
        <v>1770.9000000000005</v>
      </c>
      <c r="H218" s="5">
        <f t="shared" si="34"/>
        <v>178.29999999999998</v>
      </c>
      <c r="J218" s="5">
        <v>4</v>
      </c>
      <c r="K218" s="5">
        <f t="shared" si="42"/>
        <v>345.09999999999997</v>
      </c>
      <c r="L218" s="5">
        <v>0.9</v>
      </c>
      <c r="M218" s="5">
        <f t="shared" si="43"/>
        <v>241.10000000000005</v>
      </c>
      <c r="N218" s="5">
        <f t="shared" si="40"/>
        <v>3.1</v>
      </c>
      <c r="O218" s="5">
        <f t="shared" si="46"/>
        <v>174.20000000000002</v>
      </c>
      <c r="P218" s="5">
        <v>213</v>
      </c>
      <c r="Q218" s="12">
        <f t="shared" si="36"/>
        <v>1.1028571428571428</v>
      </c>
      <c r="R218" s="10">
        <f t="shared" si="37"/>
        <v>0.99257142857142855</v>
      </c>
      <c r="S218" s="10">
        <f t="shared" si="38"/>
        <v>3.0074285714285716</v>
      </c>
      <c r="T218" s="10">
        <f t="shared" si="44"/>
        <v>178.12557142857139</v>
      </c>
      <c r="V218" s="14">
        <v>461.3</v>
      </c>
      <c r="W218" s="5">
        <f t="shared" si="39"/>
        <v>54.916666666666664</v>
      </c>
      <c r="X218" s="5">
        <f t="shared" si="45"/>
        <v>138833.59999999995</v>
      </c>
      <c r="Y218" s="5">
        <f t="shared" si="35"/>
        <v>25536.199999999997</v>
      </c>
      <c r="AA218" s="5">
        <v>12.870974045671501</v>
      </c>
    </row>
    <row r="219" spans="1:27" s="5" customFormat="1" x14ac:dyDescent="0.25">
      <c r="A219" s="71"/>
      <c r="B219" s="6"/>
      <c r="C219" s="7">
        <v>42097</v>
      </c>
      <c r="D219" s="5">
        <v>8.5</v>
      </c>
      <c r="E219" s="5">
        <v>7.1</v>
      </c>
      <c r="F219" s="5">
        <v>10.4</v>
      </c>
      <c r="G219" s="5">
        <f t="shared" si="41"/>
        <v>1779.4000000000005</v>
      </c>
      <c r="H219" s="5">
        <f t="shared" si="34"/>
        <v>186.79999999999998</v>
      </c>
      <c r="J219" s="5">
        <v>9.1999999999999993</v>
      </c>
      <c r="K219" s="5">
        <f t="shared" si="42"/>
        <v>354.29999999999995</v>
      </c>
      <c r="L219" s="5">
        <v>0.6</v>
      </c>
      <c r="M219" s="5">
        <f t="shared" si="43"/>
        <v>241.70000000000005</v>
      </c>
      <c r="N219" s="5">
        <f t="shared" si="40"/>
        <v>8.6</v>
      </c>
      <c r="O219" s="5">
        <f t="shared" si="46"/>
        <v>182.8</v>
      </c>
      <c r="P219" s="5">
        <v>214</v>
      </c>
      <c r="Q219" s="12">
        <f t="shared" si="36"/>
        <v>1.107142857142857</v>
      </c>
      <c r="R219" s="10">
        <f t="shared" si="37"/>
        <v>0.66428571428571415</v>
      </c>
      <c r="S219" s="10">
        <f t="shared" si="38"/>
        <v>8.5357142857142847</v>
      </c>
      <c r="T219" s="10">
        <f t="shared" si="44"/>
        <v>186.66128571428567</v>
      </c>
      <c r="V219" s="14">
        <v>317.10000000000002</v>
      </c>
      <c r="W219" s="5">
        <f t="shared" si="39"/>
        <v>37.305882352941182</v>
      </c>
      <c r="X219" s="5">
        <f t="shared" si="45"/>
        <v>139150.69999999995</v>
      </c>
      <c r="Y219" s="5">
        <f t="shared" si="35"/>
        <v>25853.299999999996</v>
      </c>
      <c r="AA219" s="5">
        <v>12.9301669481539</v>
      </c>
    </row>
    <row r="220" spans="1:27" s="5" customFormat="1" x14ac:dyDescent="0.25">
      <c r="A220" s="71"/>
      <c r="B220" s="6"/>
      <c r="C220" s="7">
        <v>42098</v>
      </c>
      <c r="D220" s="5">
        <v>7.2</v>
      </c>
      <c r="E220" s="5">
        <v>6.4</v>
      </c>
      <c r="F220" s="5">
        <v>9.8000000000000007</v>
      </c>
      <c r="G220" s="5">
        <f t="shared" si="41"/>
        <v>1786.6000000000006</v>
      </c>
      <c r="H220" s="5">
        <f t="shared" si="34"/>
        <v>193.99999999999997</v>
      </c>
      <c r="J220" s="5">
        <v>0.9</v>
      </c>
      <c r="K220" s="5">
        <f t="shared" si="42"/>
        <v>355.19999999999993</v>
      </c>
      <c r="L220" s="5">
        <v>1</v>
      </c>
      <c r="M220" s="5">
        <f t="shared" si="43"/>
        <v>242.70000000000005</v>
      </c>
      <c r="N220" s="9">
        <f t="shared" si="40"/>
        <v>-9.9999999999999978E-2</v>
      </c>
      <c r="O220" s="5">
        <f t="shared" si="46"/>
        <v>182.70000000000002</v>
      </c>
      <c r="P220" s="5">
        <v>215</v>
      </c>
      <c r="Q220" s="12">
        <f t="shared" si="36"/>
        <v>1.1114285714285714</v>
      </c>
      <c r="R220" s="10">
        <f t="shared" si="37"/>
        <v>1.1114285714285714</v>
      </c>
      <c r="S220" s="10">
        <f t="shared" si="38"/>
        <v>-0.21142857142857141</v>
      </c>
      <c r="T220" s="10">
        <f t="shared" si="44"/>
        <v>186.4498571428571</v>
      </c>
      <c r="V220" s="14">
        <v>753.7</v>
      </c>
      <c r="W220" s="5">
        <f t="shared" si="39"/>
        <v>104.68055555555556</v>
      </c>
      <c r="X220" s="5">
        <f t="shared" si="45"/>
        <v>139904.39999999997</v>
      </c>
      <c r="Y220" s="5">
        <f t="shared" si="35"/>
        <v>26606.999999999996</v>
      </c>
      <c r="AA220" s="5">
        <v>12.9892651204229</v>
      </c>
    </row>
    <row r="221" spans="1:27" s="5" customFormat="1" x14ac:dyDescent="0.25">
      <c r="A221" s="71"/>
      <c r="B221" s="6"/>
      <c r="C221" s="7">
        <v>42099</v>
      </c>
      <c r="D221" s="5">
        <v>5.8</v>
      </c>
      <c r="E221" s="15">
        <v>1.6</v>
      </c>
      <c r="F221" s="5">
        <v>10.199999999999999</v>
      </c>
      <c r="G221" s="5">
        <f t="shared" si="41"/>
        <v>1792.4000000000005</v>
      </c>
      <c r="H221" s="5">
        <f t="shared" si="34"/>
        <v>199.79999999999998</v>
      </c>
      <c r="J221" s="5">
        <v>0</v>
      </c>
      <c r="K221" s="5">
        <f t="shared" si="42"/>
        <v>355.19999999999993</v>
      </c>
      <c r="L221" s="5">
        <v>2.1</v>
      </c>
      <c r="M221" s="5">
        <f t="shared" si="43"/>
        <v>244.80000000000004</v>
      </c>
      <c r="N221" s="9">
        <f t="shared" si="40"/>
        <v>-2.1</v>
      </c>
      <c r="O221" s="5">
        <f t="shared" si="46"/>
        <v>180.60000000000002</v>
      </c>
      <c r="P221" s="5">
        <v>216</v>
      </c>
      <c r="Q221" s="12">
        <f t="shared" si="36"/>
        <v>1.1157142857142857</v>
      </c>
      <c r="R221" s="10">
        <f t="shared" si="37"/>
        <v>2.343</v>
      </c>
      <c r="S221" s="10">
        <f t="shared" si="38"/>
        <v>-2.343</v>
      </c>
      <c r="T221" s="10">
        <f t="shared" si="44"/>
        <v>184.10685714285711</v>
      </c>
      <c r="V221" s="5">
        <v>1611.7</v>
      </c>
      <c r="W221" s="5">
        <f t="shared" si="39"/>
        <v>277.87931034482762</v>
      </c>
      <c r="X221" s="5">
        <f t="shared" si="45"/>
        <v>141516.09999999998</v>
      </c>
      <c r="Y221" s="5">
        <f t="shared" si="35"/>
        <v>28218.699999999997</v>
      </c>
      <c r="AA221" s="5">
        <v>13.048261465845901</v>
      </c>
    </row>
    <row r="222" spans="1:27" s="24" customFormat="1" x14ac:dyDescent="0.25">
      <c r="A222" s="71"/>
      <c r="B222" s="22"/>
      <c r="C222" s="23">
        <v>42100</v>
      </c>
      <c r="D222" s="24">
        <v>7.1</v>
      </c>
      <c r="E222" s="25">
        <v>0</v>
      </c>
      <c r="F222" s="24">
        <v>13</v>
      </c>
      <c r="G222" s="24">
        <f t="shared" si="41"/>
        <v>1799.5000000000005</v>
      </c>
      <c r="H222" s="24">
        <f t="shared" si="34"/>
        <v>206.89999999999998</v>
      </c>
      <c r="J222" s="24">
        <v>0</v>
      </c>
      <c r="K222" s="24">
        <f t="shared" si="42"/>
        <v>355.19999999999993</v>
      </c>
      <c r="L222" s="24">
        <v>2.4</v>
      </c>
      <c r="M222" s="24">
        <f t="shared" si="43"/>
        <v>247.20000000000005</v>
      </c>
      <c r="N222" s="26">
        <f t="shared" si="40"/>
        <v>-2.4</v>
      </c>
      <c r="O222" s="24">
        <f t="shared" si="46"/>
        <v>178.20000000000002</v>
      </c>
      <c r="P222" s="24">
        <v>217</v>
      </c>
      <c r="Q222" s="12">
        <f t="shared" si="36"/>
        <v>1.1199999999999999</v>
      </c>
      <c r="R222" s="27">
        <f t="shared" si="37"/>
        <v>2.6879999999999997</v>
      </c>
      <c r="S222" s="27">
        <f t="shared" si="38"/>
        <v>-2.6879999999999997</v>
      </c>
      <c r="T222" s="10">
        <f t="shared" si="44"/>
        <v>181.41885714285712</v>
      </c>
      <c r="V222" s="24">
        <v>1877.2</v>
      </c>
      <c r="W222" s="24">
        <f t="shared" si="39"/>
        <v>264.3943661971831</v>
      </c>
      <c r="X222" s="24">
        <f t="shared" si="45"/>
        <v>143393.29999999999</v>
      </c>
      <c r="Y222" s="5">
        <f t="shared" si="35"/>
        <v>30095.899999999998</v>
      </c>
      <c r="AA222" s="5">
        <v>13.1071486757708</v>
      </c>
    </row>
    <row r="223" spans="1:27" s="5" customFormat="1" x14ac:dyDescent="0.25">
      <c r="A223" s="71"/>
      <c r="B223" s="28"/>
      <c r="C223" s="29">
        <v>42101</v>
      </c>
      <c r="D223" s="5">
        <v>7.9</v>
      </c>
      <c r="E223" s="5">
        <v>1.7</v>
      </c>
      <c r="F223" s="5">
        <v>13.1</v>
      </c>
      <c r="G223" s="5">
        <f t="shared" si="41"/>
        <v>1807.4000000000005</v>
      </c>
      <c r="H223" s="5">
        <f t="shared" si="34"/>
        <v>214.79999999999998</v>
      </c>
      <c r="J223" s="5">
        <v>0</v>
      </c>
      <c r="K223" s="5">
        <f t="shared" si="42"/>
        <v>355.19999999999993</v>
      </c>
      <c r="L223" s="5">
        <v>2.8</v>
      </c>
      <c r="M223" s="5">
        <f t="shared" si="43"/>
        <v>250.00000000000006</v>
      </c>
      <c r="N223" s="5">
        <f t="shared" si="40"/>
        <v>-2.8</v>
      </c>
      <c r="O223" s="5">
        <f t="shared" si="46"/>
        <v>175.4</v>
      </c>
      <c r="P223" s="5">
        <v>218</v>
      </c>
      <c r="Q223" s="12">
        <f t="shared" si="36"/>
        <v>1.1242857142857141</v>
      </c>
      <c r="R223" s="10">
        <f t="shared" si="37"/>
        <v>3.1479999999999992</v>
      </c>
      <c r="S223" s="10">
        <f t="shared" si="38"/>
        <v>-3.1479999999999992</v>
      </c>
      <c r="T223" s="10">
        <f t="shared" si="44"/>
        <v>178.27085714285712</v>
      </c>
      <c r="V223" s="5">
        <v>2058.9</v>
      </c>
      <c r="W223" s="5">
        <f t="shared" si="39"/>
        <v>260.62025316455697</v>
      </c>
      <c r="X223" s="5">
        <f t="shared" si="45"/>
        <v>145452.19999999998</v>
      </c>
      <c r="Y223" s="5">
        <f t="shared" si="35"/>
        <v>32154.799999999999</v>
      </c>
      <c r="AA223" s="5">
        <v>13.1659192128855</v>
      </c>
    </row>
    <row r="224" spans="1:27" s="5" customFormat="1" x14ac:dyDescent="0.25">
      <c r="A224" s="71"/>
      <c r="B224" s="28"/>
      <c r="C224" s="7">
        <v>42102</v>
      </c>
      <c r="D224" s="5">
        <v>9.1</v>
      </c>
      <c r="E224" s="15">
        <v>1.3</v>
      </c>
      <c r="F224" s="5">
        <v>15.9</v>
      </c>
      <c r="G224" s="5">
        <f t="shared" si="41"/>
        <v>1816.5000000000005</v>
      </c>
      <c r="H224" s="5">
        <f t="shared" si="34"/>
        <v>223.89999999999998</v>
      </c>
      <c r="J224" s="5">
        <v>0</v>
      </c>
      <c r="K224" s="5">
        <f t="shared" si="42"/>
        <v>355.19999999999993</v>
      </c>
      <c r="L224" s="5">
        <v>2.9</v>
      </c>
      <c r="M224" s="5">
        <f t="shared" si="43"/>
        <v>252.90000000000006</v>
      </c>
      <c r="N224" s="9">
        <f t="shared" si="40"/>
        <v>-2.9</v>
      </c>
      <c r="O224" s="5">
        <f t="shared" si="46"/>
        <v>172.5</v>
      </c>
      <c r="P224" s="5">
        <v>219</v>
      </c>
      <c r="Q224" s="12">
        <f t="shared" si="36"/>
        <v>1.1285714285714286</v>
      </c>
      <c r="R224" s="10">
        <f t="shared" si="37"/>
        <v>3.2728571428571427</v>
      </c>
      <c r="S224" s="10">
        <f t="shared" si="38"/>
        <v>-3.2728571428571427</v>
      </c>
      <c r="T224" s="10">
        <f t="shared" si="44"/>
        <v>174.99799999999999</v>
      </c>
      <c r="V224" s="5">
        <v>1932.3</v>
      </c>
      <c r="W224" s="5">
        <f t="shared" si="39"/>
        <v>212.34065934065936</v>
      </c>
      <c r="X224" s="5">
        <f t="shared" si="45"/>
        <v>147384.49999999997</v>
      </c>
      <c r="Y224" s="5">
        <f t="shared" si="35"/>
        <v>34087.1</v>
      </c>
      <c r="AA224" s="5">
        <v>13.2245652946806</v>
      </c>
    </row>
    <row r="225" spans="1:27" s="5" customFormat="1" x14ac:dyDescent="0.25">
      <c r="A225" s="71"/>
      <c r="B225" s="28"/>
      <c r="C225" s="7">
        <v>42103</v>
      </c>
      <c r="D225" s="5">
        <v>11.7</v>
      </c>
      <c r="E225" s="15">
        <v>2.5</v>
      </c>
      <c r="F225" s="5">
        <v>19.2</v>
      </c>
      <c r="G225" s="5">
        <f t="shared" si="41"/>
        <v>1828.2000000000005</v>
      </c>
      <c r="H225" s="5">
        <f t="shared" ref="H225:H288" si="47">H224+D225</f>
        <v>235.59999999999997</v>
      </c>
      <c r="J225" s="5">
        <v>0</v>
      </c>
      <c r="K225" s="5">
        <f t="shared" si="42"/>
        <v>355.19999999999993</v>
      </c>
      <c r="L225" s="5">
        <v>3.1</v>
      </c>
      <c r="M225" s="5">
        <f t="shared" si="43"/>
        <v>256.00000000000006</v>
      </c>
      <c r="N225" s="9">
        <f t="shared" si="40"/>
        <v>-3.1</v>
      </c>
      <c r="O225" s="5">
        <f t="shared" si="46"/>
        <v>169.4</v>
      </c>
      <c r="P225" s="5">
        <v>220</v>
      </c>
      <c r="Q225" s="12">
        <f t="shared" si="36"/>
        <v>1.1328571428571428</v>
      </c>
      <c r="R225" s="10">
        <f t="shared" si="37"/>
        <v>3.5118571428571426</v>
      </c>
      <c r="S225" s="10">
        <f t="shared" si="38"/>
        <v>-3.5118571428571426</v>
      </c>
      <c r="T225" s="10">
        <f t="shared" si="44"/>
        <v>171.48614285714285</v>
      </c>
      <c r="V225" s="5">
        <v>1891.6</v>
      </c>
      <c r="W225" s="5">
        <f t="shared" si="39"/>
        <v>161.67521367521368</v>
      </c>
      <c r="X225" s="5">
        <f t="shared" si="45"/>
        <v>149276.09999999998</v>
      </c>
      <c r="Y225" s="5">
        <f t="shared" ref="Y225:Y288" si="48">Y224+V225</f>
        <v>35978.699999999997</v>
      </c>
      <c r="AA225" s="5">
        <v>13.2830788770229</v>
      </c>
    </row>
    <row r="226" spans="1:27" s="5" customFormat="1" x14ac:dyDescent="0.25">
      <c r="A226" s="71"/>
      <c r="B226" s="28"/>
      <c r="C226" s="7">
        <v>42104</v>
      </c>
      <c r="D226" s="5">
        <v>13.4</v>
      </c>
      <c r="E226" s="5">
        <v>5.6</v>
      </c>
      <c r="F226" s="5">
        <v>20.7</v>
      </c>
      <c r="G226" s="5">
        <f t="shared" si="41"/>
        <v>1841.6000000000006</v>
      </c>
      <c r="H226" s="5">
        <f t="shared" si="47"/>
        <v>248.99999999999997</v>
      </c>
      <c r="J226" s="5">
        <v>0</v>
      </c>
      <c r="K226" s="5">
        <f t="shared" si="42"/>
        <v>355.19999999999993</v>
      </c>
      <c r="L226" s="5">
        <v>3.6</v>
      </c>
      <c r="M226" s="5">
        <f t="shared" si="43"/>
        <v>259.60000000000008</v>
      </c>
      <c r="N226" s="9">
        <f t="shared" si="40"/>
        <v>-3.6</v>
      </c>
      <c r="O226" s="5">
        <f t="shared" si="46"/>
        <v>165.8</v>
      </c>
      <c r="P226" s="5">
        <v>221</v>
      </c>
      <c r="Q226" s="12">
        <f t="shared" si="36"/>
        <v>1.137142857142857</v>
      </c>
      <c r="R226" s="10">
        <f t="shared" si="37"/>
        <v>4.0937142857142854</v>
      </c>
      <c r="S226" s="10">
        <f t="shared" si="38"/>
        <v>-4.0937142857142854</v>
      </c>
      <c r="T226" s="10">
        <f t="shared" si="44"/>
        <v>167.39242857142855</v>
      </c>
      <c r="V226" s="5">
        <v>1849.5</v>
      </c>
      <c r="W226" s="5">
        <f t="shared" si="39"/>
        <v>138.02238805970148</v>
      </c>
      <c r="X226" s="5">
        <f t="shared" si="45"/>
        <v>151125.59999999998</v>
      </c>
      <c r="Y226" s="5">
        <f t="shared" si="48"/>
        <v>37828.199999999997</v>
      </c>
      <c r="AA226" s="5">
        <v>13.341451637856601</v>
      </c>
    </row>
    <row r="227" spans="1:27" s="5" customFormat="1" x14ac:dyDescent="0.25">
      <c r="A227" s="71"/>
      <c r="B227" s="28"/>
      <c r="C227" s="7">
        <v>42105</v>
      </c>
      <c r="D227" s="5">
        <v>11.8</v>
      </c>
      <c r="E227" s="5">
        <v>11.6</v>
      </c>
      <c r="F227" s="5">
        <v>14.4</v>
      </c>
      <c r="G227" s="5">
        <f t="shared" si="41"/>
        <v>1853.4000000000005</v>
      </c>
      <c r="H227" s="5">
        <f t="shared" si="47"/>
        <v>260.79999999999995</v>
      </c>
      <c r="J227" s="5">
        <v>2</v>
      </c>
      <c r="K227" s="5">
        <f t="shared" si="42"/>
        <v>357.19999999999993</v>
      </c>
      <c r="L227" s="5">
        <v>1.8</v>
      </c>
      <c r="M227" s="5">
        <f t="shared" si="43"/>
        <v>261.40000000000009</v>
      </c>
      <c r="N227" s="5">
        <f t="shared" si="40"/>
        <v>0.19999999999999996</v>
      </c>
      <c r="O227" s="5">
        <f t="shared" si="46"/>
        <v>166</v>
      </c>
      <c r="P227" s="5">
        <v>222</v>
      </c>
      <c r="Q227" s="12">
        <f t="shared" si="36"/>
        <v>1.1414285714285715</v>
      </c>
      <c r="R227" s="10">
        <f t="shared" si="37"/>
        <v>2.0545714285714287</v>
      </c>
      <c r="S227" s="10">
        <f t="shared" si="38"/>
        <v>-5.4571428571428715E-2</v>
      </c>
      <c r="T227" s="10">
        <f t="shared" si="44"/>
        <v>167.33785714285713</v>
      </c>
      <c r="V227" s="5">
        <v>794.9</v>
      </c>
      <c r="W227" s="5">
        <f t="shared" si="39"/>
        <v>67.36440677966101</v>
      </c>
      <c r="X227" s="5">
        <f t="shared" si="45"/>
        <v>151920.49999999997</v>
      </c>
      <c r="Y227" s="5">
        <f t="shared" si="48"/>
        <v>38623.1</v>
      </c>
      <c r="AA227" s="5">
        <v>13.399674961047801</v>
      </c>
    </row>
    <row r="228" spans="1:27" s="5" customFormat="1" x14ac:dyDescent="0.25">
      <c r="A228" s="71"/>
      <c r="B228" s="28"/>
      <c r="C228" s="7">
        <v>42106</v>
      </c>
      <c r="D228" s="5">
        <v>11.6</v>
      </c>
      <c r="E228" s="15">
        <v>3.7</v>
      </c>
      <c r="F228" s="5">
        <v>17.5</v>
      </c>
      <c r="G228" s="5">
        <f t="shared" si="41"/>
        <v>1865.0000000000005</v>
      </c>
      <c r="H228" s="5">
        <f t="shared" si="47"/>
        <v>272.39999999999998</v>
      </c>
      <c r="J228" s="5">
        <v>0</v>
      </c>
      <c r="K228" s="5">
        <f t="shared" si="42"/>
        <v>357.19999999999993</v>
      </c>
      <c r="L228" s="5">
        <v>1.9</v>
      </c>
      <c r="M228" s="5">
        <f t="shared" si="43"/>
        <v>263.30000000000007</v>
      </c>
      <c r="N228" s="9">
        <f t="shared" si="40"/>
        <v>-1.9</v>
      </c>
      <c r="O228" s="5">
        <f t="shared" si="46"/>
        <v>164.1</v>
      </c>
      <c r="P228" s="5">
        <v>223</v>
      </c>
      <c r="Q228" s="12">
        <f t="shared" si="36"/>
        <v>1.1457142857142857</v>
      </c>
      <c r="R228" s="10">
        <f t="shared" si="37"/>
        <v>2.1768571428571426</v>
      </c>
      <c r="S228" s="10">
        <f t="shared" si="38"/>
        <v>-2.1768571428571426</v>
      </c>
      <c r="T228" s="10">
        <f t="shared" si="44"/>
        <v>165.161</v>
      </c>
      <c r="V228" s="5">
        <v>1293.2</v>
      </c>
      <c r="W228" s="5">
        <f t="shared" si="39"/>
        <v>111.48275862068967</v>
      </c>
      <c r="X228" s="5">
        <f t="shared" si="45"/>
        <v>153213.69999999998</v>
      </c>
      <c r="Y228" s="5">
        <f t="shared" si="48"/>
        <v>39916.299999999996</v>
      </c>
      <c r="AA228" s="5">
        <v>13.457739920389299</v>
      </c>
    </row>
    <row r="229" spans="1:27" s="50" customFormat="1" ht="15.75" thickBot="1" x14ac:dyDescent="0.3">
      <c r="A229" s="71"/>
      <c r="B229" s="47"/>
      <c r="C229" s="57">
        <v>42107</v>
      </c>
      <c r="D229" s="50">
        <v>13</v>
      </c>
      <c r="E229" s="50">
        <v>5.3</v>
      </c>
      <c r="F229" s="50">
        <v>19.100000000000001</v>
      </c>
      <c r="G229" s="50">
        <f t="shared" si="41"/>
        <v>1878.0000000000005</v>
      </c>
      <c r="H229" s="50">
        <f t="shared" si="47"/>
        <v>285.39999999999998</v>
      </c>
      <c r="J229" s="50">
        <v>0</v>
      </c>
      <c r="K229" s="50">
        <f t="shared" si="42"/>
        <v>357.19999999999993</v>
      </c>
      <c r="L229" s="50">
        <v>3.3</v>
      </c>
      <c r="M229" s="50">
        <f t="shared" si="43"/>
        <v>266.60000000000008</v>
      </c>
      <c r="N229" s="58">
        <f t="shared" si="40"/>
        <v>-3.3</v>
      </c>
      <c r="O229" s="50">
        <f t="shared" si="46"/>
        <v>160.79999999999998</v>
      </c>
      <c r="P229" s="50">
        <v>224</v>
      </c>
      <c r="Q229" s="59">
        <f t="shared" si="36"/>
        <v>1.1499999999999999</v>
      </c>
      <c r="R229" s="52">
        <f t="shared" si="37"/>
        <v>3.7949999999999995</v>
      </c>
      <c r="S229" s="52">
        <f t="shared" si="38"/>
        <v>-3.7949999999999995</v>
      </c>
      <c r="T229" s="56">
        <f t="shared" si="44"/>
        <v>161.36600000000001</v>
      </c>
      <c r="V229" s="50">
        <v>2079.6</v>
      </c>
      <c r="W229" s="50">
        <f t="shared" si="39"/>
        <v>159.96923076923076</v>
      </c>
      <c r="X229" s="50">
        <f t="shared" si="45"/>
        <v>155293.29999999999</v>
      </c>
      <c r="Y229" s="55">
        <f t="shared" si="48"/>
        <v>41995.899999999994</v>
      </c>
      <c r="AA229" s="55">
        <v>13.515637263791101</v>
      </c>
    </row>
    <row r="230" spans="1:27" s="5" customFormat="1" x14ac:dyDescent="0.25">
      <c r="A230" s="33" t="s">
        <v>46</v>
      </c>
      <c r="B230" s="34"/>
      <c r="C230" s="7">
        <v>42108</v>
      </c>
      <c r="D230" s="5">
        <v>15.6</v>
      </c>
      <c r="E230" s="5">
        <v>7.8</v>
      </c>
      <c r="F230" s="5">
        <v>22.8</v>
      </c>
      <c r="G230" s="5">
        <f t="shared" si="41"/>
        <v>1893.6000000000004</v>
      </c>
      <c r="H230" s="5">
        <v>15.6</v>
      </c>
      <c r="I230" s="35" t="s">
        <v>27</v>
      </c>
      <c r="J230" s="5">
        <v>0</v>
      </c>
      <c r="K230" s="5">
        <f t="shared" si="42"/>
        <v>357.19999999999993</v>
      </c>
      <c r="L230" s="5">
        <v>3.8</v>
      </c>
      <c r="M230" s="5">
        <f t="shared" si="43"/>
        <v>270.40000000000009</v>
      </c>
      <c r="N230" s="9">
        <f t="shared" si="40"/>
        <v>-3.8</v>
      </c>
      <c r="O230" s="5">
        <f t="shared" si="46"/>
        <v>156.99999999999997</v>
      </c>
      <c r="P230" s="5">
        <v>225</v>
      </c>
      <c r="Q230" s="5">
        <v>1.1499999999999999</v>
      </c>
      <c r="R230" s="10">
        <f t="shared" si="37"/>
        <v>4.3699999999999992</v>
      </c>
      <c r="S230" s="10">
        <f t="shared" si="38"/>
        <v>-4.3699999999999992</v>
      </c>
      <c r="T230" s="10">
        <f t="shared" si="44"/>
        <v>156.99600000000001</v>
      </c>
      <c r="U230" s="35" t="s">
        <v>28</v>
      </c>
      <c r="V230" s="5">
        <v>2001.5</v>
      </c>
      <c r="W230" s="5">
        <f t="shared" si="39"/>
        <v>128.30128205128204</v>
      </c>
      <c r="X230" s="5">
        <f t="shared" si="45"/>
        <v>157294.79999999999</v>
      </c>
      <c r="Y230" s="5">
        <v>2001.5</v>
      </c>
      <c r="Z230" s="35" t="s">
        <v>29</v>
      </c>
      <c r="AA230" s="5">
        <v>13.5733573976781</v>
      </c>
    </row>
    <row r="231" spans="1:27" s="5" customFormat="1" x14ac:dyDescent="0.25">
      <c r="A231" s="33"/>
      <c r="B231" s="34"/>
      <c r="C231" s="7">
        <v>42109</v>
      </c>
      <c r="D231" s="5">
        <v>16.899999999999999</v>
      </c>
      <c r="E231" s="5">
        <v>9</v>
      </c>
      <c r="F231" s="5">
        <v>24.1</v>
      </c>
      <c r="G231" s="5">
        <f t="shared" si="41"/>
        <v>1910.5000000000005</v>
      </c>
      <c r="H231" s="5">
        <f t="shared" si="47"/>
        <v>32.5</v>
      </c>
      <c r="I231" s="5">
        <f>MIN(E230:E250)</f>
        <v>4.5</v>
      </c>
      <c r="J231" s="5">
        <v>0</v>
      </c>
      <c r="K231" s="5">
        <f t="shared" si="42"/>
        <v>357.19999999999993</v>
      </c>
      <c r="L231" s="5">
        <v>3.5</v>
      </c>
      <c r="M231" s="5">
        <f t="shared" si="43"/>
        <v>273.90000000000009</v>
      </c>
      <c r="N231" s="9">
        <f t="shared" si="40"/>
        <v>-3.5</v>
      </c>
      <c r="O231" s="5">
        <f t="shared" si="46"/>
        <v>153.49999999999997</v>
      </c>
      <c r="P231" s="5">
        <v>226</v>
      </c>
      <c r="Q231" s="5">
        <v>1.1499999999999999</v>
      </c>
      <c r="R231" s="10">
        <f t="shared" si="37"/>
        <v>4.0249999999999995</v>
      </c>
      <c r="S231" s="10">
        <f t="shared" si="38"/>
        <v>-4.0249999999999995</v>
      </c>
      <c r="T231" s="10">
        <f t="shared" si="44"/>
        <v>152.971</v>
      </c>
      <c r="U231" s="5">
        <v>13</v>
      </c>
      <c r="V231" s="5">
        <v>1952.8</v>
      </c>
      <c r="W231" s="5">
        <f t="shared" si="39"/>
        <v>115.55029585798817</v>
      </c>
      <c r="X231" s="5">
        <f t="shared" si="45"/>
        <v>159247.59999999998</v>
      </c>
      <c r="Y231" s="5">
        <f t="shared" si="48"/>
        <v>3954.3</v>
      </c>
      <c r="Z231" s="5">
        <v>34493.900000000009</v>
      </c>
      <c r="AA231" s="5">
        <v>13.6308903716257</v>
      </c>
    </row>
    <row r="232" spans="1:27" s="5" customFormat="1" x14ac:dyDescent="0.25">
      <c r="A232" s="33"/>
      <c r="B232" s="34"/>
      <c r="C232" s="7">
        <v>42110</v>
      </c>
      <c r="D232" s="5">
        <v>16.100000000000001</v>
      </c>
      <c r="E232" s="5">
        <v>10.1</v>
      </c>
      <c r="F232" s="5">
        <v>21.7</v>
      </c>
      <c r="G232" s="5">
        <f t="shared" si="41"/>
        <v>1926.6000000000004</v>
      </c>
      <c r="H232" s="5">
        <f t="shared" si="47"/>
        <v>48.6</v>
      </c>
      <c r="I232" s="35" t="s">
        <v>30</v>
      </c>
      <c r="J232" s="5">
        <v>0.3</v>
      </c>
      <c r="K232" s="5">
        <f t="shared" si="42"/>
        <v>357.49999999999994</v>
      </c>
      <c r="L232" s="5">
        <v>3</v>
      </c>
      <c r="M232" s="5">
        <f t="shared" si="43"/>
        <v>276.90000000000009</v>
      </c>
      <c r="N232" s="9">
        <f t="shared" si="40"/>
        <v>-2.7</v>
      </c>
      <c r="O232" s="5">
        <f t="shared" si="46"/>
        <v>150.79999999999998</v>
      </c>
      <c r="P232" s="5">
        <v>227</v>
      </c>
      <c r="Q232" s="5">
        <v>1.1499999999999999</v>
      </c>
      <c r="R232" s="10">
        <f t="shared" si="37"/>
        <v>3.4499999999999997</v>
      </c>
      <c r="S232" s="10">
        <f t="shared" si="38"/>
        <v>-3.15</v>
      </c>
      <c r="T232" s="10">
        <f t="shared" si="44"/>
        <v>149.821</v>
      </c>
      <c r="U232" s="35" t="s">
        <v>31</v>
      </c>
      <c r="V232" s="5">
        <v>1618.8</v>
      </c>
      <c r="W232" s="5">
        <f t="shared" si="39"/>
        <v>100.54658385093167</v>
      </c>
      <c r="X232" s="5">
        <f t="shared" si="45"/>
        <v>160866.39999999997</v>
      </c>
      <c r="Y232" s="5">
        <f t="shared" si="48"/>
        <v>5573.1</v>
      </c>
      <c r="Z232" s="35" t="s">
        <v>32</v>
      </c>
      <c r="AA232" s="5">
        <v>13.6882258632629</v>
      </c>
    </row>
    <row r="233" spans="1:27" s="5" customFormat="1" x14ac:dyDescent="0.25">
      <c r="A233" s="33"/>
      <c r="B233" s="34"/>
      <c r="C233" s="7">
        <v>42111</v>
      </c>
      <c r="D233" s="5">
        <v>13.9</v>
      </c>
      <c r="E233" s="5">
        <v>12.4</v>
      </c>
      <c r="F233" s="5">
        <v>17.3</v>
      </c>
      <c r="G233" s="5">
        <f t="shared" si="41"/>
        <v>1940.5000000000005</v>
      </c>
      <c r="H233" s="5">
        <f t="shared" si="47"/>
        <v>62.5</v>
      </c>
      <c r="I233" s="5">
        <f>MAX(F230:F250)</f>
        <v>24.1</v>
      </c>
      <c r="J233" s="5">
        <v>2.5</v>
      </c>
      <c r="K233" s="5">
        <f t="shared" si="42"/>
        <v>359.99999999999994</v>
      </c>
      <c r="L233" s="5">
        <v>1.8</v>
      </c>
      <c r="M233" s="5">
        <f t="shared" si="43"/>
        <v>278.7000000000001</v>
      </c>
      <c r="N233" s="5">
        <f t="shared" si="40"/>
        <v>0.7</v>
      </c>
      <c r="O233" s="5">
        <f t="shared" si="46"/>
        <v>151.49999999999997</v>
      </c>
      <c r="P233" s="5">
        <v>228</v>
      </c>
      <c r="Q233" s="5">
        <v>1.1499999999999999</v>
      </c>
      <c r="R233" s="10">
        <f t="shared" si="37"/>
        <v>2.0699999999999998</v>
      </c>
      <c r="S233" s="10">
        <f t="shared" si="38"/>
        <v>0.43000000000000016</v>
      </c>
      <c r="T233" s="10">
        <f t="shared" si="44"/>
        <v>150.251</v>
      </c>
      <c r="U233" s="5">
        <v>0</v>
      </c>
      <c r="V233" s="5">
        <v>1031.3</v>
      </c>
      <c r="W233" s="5">
        <f t="shared" si="39"/>
        <v>74.194244604316538</v>
      </c>
      <c r="X233" s="5">
        <f t="shared" si="45"/>
        <v>161897.69999999995</v>
      </c>
      <c r="Y233" s="5">
        <f t="shared" si="48"/>
        <v>6604.4000000000005</v>
      </c>
      <c r="Z233" s="12">
        <f>(Z231/100)/I243</f>
        <v>1.2818246005202529</v>
      </c>
      <c r="AA233" s="5">
        <v>13.745353163479001</v>
      </c>
    </row>
    <row r="234" spans="1:27" s="5" customFormat="1" x14ac:dyDescent="0.25">
      <c r="A234" s="33"/>
      <c r="B234" s="34"/>
      <c r="C234" s="7">
        <v>42112</v>
      </c>
      <c r="D234" s="5">
        <v>11.1</v>
      </c>
      <c r="E234" s="5">
        <v>7.7</v>
      </c>
      <c r="F234" s="5">
        <v>14.6</v>
      </c>
      <c r="G234" s="5">
        <f t="shared" si="41"/>
        <v>1951.6000000000004</v>
      </c>
      <c r="H234" s="5">
        <f t="shared" si="47"/>
        <v>73.599999999999994</v>
      </c>
      <c r="I234" s="35" t="s">
        <v>33</v>
      </c>
      <c r="J234" s="5">
        <v>0</v>
      </c>
      <c r="K234" s="5">
        <f t="shared" si="42"/>
        <v>359.99999999999994</v>
      </c>
      <c r="L234" s="5">
        <v>3.9</v>
      </c>
      <c r="M234" s="5">
        <f t="shared" si="43"/>
        <v>282.60000000000008</v>
      </c>
      <c r="N234" s="9">
        <f t="shared" si="40"/>
        <v>-3.9</v>
      </c>
      <c r="O234" s="5">
        <f t="shared" si="46"/>
        <v>147.59999999999997</v>
      </c>
      <c r="P234" s="5">
        <v>229</v>
      </c>
      <c r="Q234" s="5">
        <v>1.1499999999999999</v>
      </c>
      <c r="R234" s="10">
        <f t="shared" si="37"/>
        <v>4.4849999999999994</v>
      </c>
      <c r="S234" s="10">
        <f t="shared" si="38"/>
        <v>-4.4849999999999994</v>
      </c>
      <c r="T234" s="10">
        <f t="shared" si="44"/>
        <v>145.76600000000002</v>
      </c>
      <c r="U234" s="35" t="s">
        <v>34</v>
      </c>
      <c r="V234" s="5">
        <v>2182.6</v>
      </c>
      <c r="W234" s="5">
        <f t="shared" si="39"/>
        <v>196.63063063063063</v>
      </c>
      <c r="X234" s="5">
        <f t="shared" si="45"/>
        <v>164080.29999999996</v>
      </c>
      <c r="Y234" s="5">
        <f t="shared" si="48"/>
        <v>8787</v>
      </c>
      <c r="Z234" s="35" t="s">
        <v>35</v>
      </c>
      <c r="AA234" s="5">
        <v>13.802261161972</v>
      </c>
    </row>
    <row r="235" spans="1:27" s="5" customFormat="1" x14ac:dyDescent="0.25">
      <c r="A235" s="33"/>
      <c r="B235" s="34"/>
      <c r="C235" s="7">
        <v>42113</v>
      </c>
      <c r="D235" s="5">
        <v>11</v>
      </c>
      <c r="E235" s="5">
        <v>5.0999999999999996</v>
      </c>
      <c r="F235" s="5">
        <v>17.2</v>
      </c>
      <c r="G235" s="5">
        <f t="shared" si="41"/>
        <v>1962.6000000000004</v>
      </c>
      <c r="H235" s="5">
        <f t="shared" si="47"/>
        <v>84.6</v>
      </c>
      <c r="I235" s="10">
        <f>AVERAGE(D230:D250)</f>
        <v>12.814285714285713</v>
      </c>
      <c r="J235" s="5">
        <v>0</v>
      </c>
      <c r="K235" s="5">
        <f t="shared" si="42"/>
        <v>359.99999999999994</v>
      </c>
      <c r="L235" s="5">
        <v>4.3</v>
      </c>
      <c r="M235" s="5">
        <f t="shared" si="43"/>
        <v>286.90000000000009</v>
      </c>
      <c r="N235" s="9">
        <f t="shared" si="40"/>
        <v>-4.3</v>
      </c>
      <c r="O235" s="5">
        <f t="shared" si="46"/>
        <v>143.29999999999995</v>
      </c>
      <c r="P235" s="5">
        <v>230</v>
      </c>
      <c r="Q235" s="5">
        <v>1.1499999999999999</v>
      </c>
      <c r="R235" s="10">
        <f t="shared" si="37"/>
        <v>4.9449999999999994</v>
      </c>
      <c r="S235" s="10">
        <f t="shared" si="38"/>
        <v>-4.9449999999999994</v>
      </c>
      <c r="T235" s="10">
        <f t="shared" si="44"/>
        <v>140.82100000000003</v>
      </c>
      <c r="U235" s="5">
        <v>0</v>
      </c>
      <c r="V235" s="5">
        <v>2551.9</v>
      </c>
      <c r="W235" s="5">
        <f t="shared" si="39"/>
        <v>231.9909090909091</v>
      </c>
      <c r="X235" s="5">
        <f t="shared" si="45"/>
        <v>166632.19999999995</v>
      </c>
      <c r="Y235" s="5">
        <f t="shared" si="48"/>
        <v>11338.9</v>
      </c>
      <c r="Z235" s="5">
        <v>4</v>
      </c>
      <c r="AA235" s="5">
        <v>13.8589383331813</v>
      </c>
    </row>
    <row r="236" spans="1:27" s="5" customFormat="1" x14ac:dyDescent="0.25">
      <c r="A236" s="33"/>
      <c r="B236" s="34"/>
      <c r="C236" s="7">
        <v>42114</v>
      </c>
      <c r="D236" s="5">
        <v>12.8</v>
      </c>
      <c r="E236" s="5">
        <v>5.0999999999999996</v>
      </c>
      <c r="F236" s="5">
        <v>19.8</v>
      </c>
      <c r="G236" s="5">
        <f t="shared" si="41"/>
        <v>1975.4000000000003</v>
      </c>
      <c r="H236" s="5">
        <f t="shared" si="47"/>
        <v>97.399999999999991</v>
      </c>
      <c r="I236" s="35" t="s">
        <v>36</v>
      </c>
      <c r="J236" s="5">
        <v>0</v>
      </c>
      <c r="K236" s="5">
        <f t="shared" si="42"/>
        <v>359.99999999999994</v>
      </c>
      <c r="L236" s="5">
        <v>4.2</v>
      </c>
      <c r="M236" s="5">
        <f t="shared" si="43"/>
        <v>291.10000000000008</v>
      </c>
      <c r="N236" s="9">
        <f t="shared" si="40"/>
        <v>-4.2</v>
      </c>
      <c r="O236" s="5">
        <f t="shared" si="46"/>
        <v>139.09999999999997</v>
      </c>
      <c r="P236" s="5">
        <v>231</v>
      </c>
      <c r="Q236" s="5">
        <v>1.1499999999999999</v>
      </c>
      <c r="R236" s="10">
        <f t="shared" si="37"/>
        <v>4.83</v>
      </c>
      <c r="S236" s="10">
        <f t="shared" si="38"/>
        <v>-4.83</v>
      </c>
      <c r="T236" s="10">
        <f t="shared" si="44"/>
        <v>135.99100000000001</v>
      </c>
      <c r="U236" s="35" t="s">
        <v>37</v>
      </c>
      <c r="V236" s="5">
        <v>2434.3000000000002</v>
      </c>
      <c r="W236" s="5">
        <f t="shared" si="39"/>
        <v>190.1796875</v>
      </c>
      <c r="X236" s="5">
        <f t="shared" si="45"/>
        <v>169066.49999999994</v>
      </c>
      <c r="Y236" s="5">
        <f t="shared" si="48"/>
        <v>13773.2</v>
      </c>
      <c r="AA236" s="5">
        <v>13.915372722650901</v>
      </c>
    </row>
    <row r="237" spans="1:27" s="5" customFormat="1" x14ac:dyDescent="0.25">
      <c r="A237" s="33"/>
      <c r="B237" s="34"/>
      <c r="C237" s="7">
        <v>42115</v>
      </c>
      <c r="D237" s="5">
        <v>14.3</v>
      </c>
      <c r="E237" s="5">
        <v>6.5</v>
      </c>
      <c r="F237" s="5">
        <v>21.4</v>
      </c>
      <c r="G237" s="5">
        <f t="shared" si="41"/>
        <v>1989.7000000000003</v>
      </c>
      <c r="H237" s="5">
        <f t="shared" si="47"/>
        <v>111.69999999999999</v>
      </c>
      <c r="I237" s="5">
        <v>0</v>
      </c>
      <c r="J237" s="5">
        <v>0</v>
      </c>
      <c r="K237" s="5">
        <f t="shared" si="42"/>
        <v>359.99999999999994</v>
      </c>
      <c r="L237" s="5">
        <v>4.3</v>
      </c>
      <c r="M237" s="5">
        <f t="shared" si="43"/>
        <v>295.40000000000009</v>
      </c>
      <c r="N237" s="9">
        <f t="shared" si="40"/>
        <v>-4.3</v>
      </c>
      <c r="O237" s="5">
        <f t="shared" si="46"/>
        <v>134.79999999999995</v>
      </c>
      <c r="P237" s="5">
        <v>232</v>
      </c>
      <c r="Q237" s="5">
        <v>1.1499999999999999</v>
      </c>
      <c r="R237" s="10">
        <f t="shared" si="37"/>
        <v>4.9449999999999994</v>
      </c>
      <c r="S237" s="10">
        <f t="shared" si="38"/>
        <v>-4.9449999999999994</v>
      </c>
      <c r="T237" s="10">
        <f t="shared" si="44"/>
        <v>131.04600000000002</v>
      </c>
      <c r="U237" s="10">
        <f>MIN(T230:T250)</f>
        <v>119.44100000000003</v>
      </c>
      <c r="V237" s="5">
        <v>2447.6999999999998</v>
      </c>
      <c r="W237" s="5">
        <f t="shared" si="39"/>
        <v>171.16783216783216</v>
      </c>
      <c r="X237" s="5">
        <f t="shared" si="45"/>
        <v>171514.19999999995</v>
      </c>
      <c r="Y237" s="5">
        <f t="shared" si="48"/>
        <v>16220.900000000001</v>
      </c>
      <c r="AA237" s="5">
        <v>13.971551933874199</v>
      </c>
    </row>
    <row r="238" spans="1:27" s="5" customFormat="1" x14ac:dyDescent="0.25">
      <c r="A238" s="33"/>
      <c r="B238" s="34"/>
      <c r="C238" s="7">
        <v>42116</v>
      </c>
      <c r="D238" s="5">
        <v>14.4</v>
      </c>
      <c r="E238" s="5">
        <v>8.8000000000000007</v>
      </c>
      <c r="F238" s="5">
        <v>21.6</v>
      </c>
      <c r="G238" s="5">
        <f t="shared" si="41"/>
        <v>2004.1000000000004</v>
      </c>
      <c r="H238" s="5">
        <f t="shared" si="47"/>
        <v>126.1</v>
      </c>
      <c r="I238" s="35" t="s">
        <v>38</v>
      </c>
      <c r="J238" s="5">
        <v>0</v>
      </c>
      <c r="K238" s="5">
        <f t="shared" si="42"/>
        <v>359.99999999999994</v>
      </c>
      <c r="L238" s="5">
        <v>5</v>
      </c>
      <c r="M238" s="5">
        <f t="shared" si="43"/>
        <v>300.40000000000009</v>
      </c>
      <c r="N238" s="9">
        <f t="shared" si="40"/>
        <v>-5</v>
      </c>
      <c r="O238" s="5">
        <f t="shared" si="46"/>
        <v>129.79999999999995</v>
      </c>
      <c r="P238" s="5">
        <v>233</v>
      </c>
      <c r="Q238" s="5">
        <v>1.1499999999999999</v>
      </c>
      <c r="R238" s="10">
        <f t="shared" si="37"/>
        <v>5.75</v>
      </c>
      <c r="S238" s="10">
        <f t="shared" si="38"/>
        <v>-5.75</v>
      </c>
      <c r="T238" s="10">
        <f t="shared" si="44"/>
        <v>125.29600000000002</v>
      </c>
      <c r="U238" s="35" t="s">
        <v>39</v>
      </c>
      <c r="V238" s="5">
        <v>2643.2</v>
      </c>
      <c r="W238" s="5">
        <f t="shared" si="39"/>
        <v>183.55555555555554</v>
      </c>
      <c r="X238" s="5">
        <f t="shared" si="45"/>
        <v>174157.39999999997</v>
      </c>
      <c r="Y238" s="5">
        <f t="shared" si="48"/>
        <v>18864.100000000002</v>
      </c>
      <c r="AA238" s="5">
        <v>14.027463115674299</v>
      </c>
    </row>
    <row r="239" spans="1:27" s="24" customFormat="1" x14ac:dyDescent="0.25">
      <c r="A239" s="33"/>
      <c r="C239" s="36">
        <v>42117</v>
      </c>
      <c r="D239" s="24">
        <v>13.3</v>
      </c>
      <c r="E239" s="24">
        <v>6.5</v>
      </c>
      <c r="F239" s="24">
        <v>19.5</v>
      </c>
      <c r="G239" s="24">
        <f t="shared" si="41"/>
        <v>2017.4000000000003</v>
      </c>
      <c r="H239" s="24">
        <f t="shared" si="47"/>
        <v>139.4</v>
      </c>
      <c r="I239" s="24">
        <v>0</v>
      </c>
      <c r="J239" s="24">
        <v>0</v>
      </c>
      <c r="K239" s="24">
        <f t="shared" si="42"/>
        <v>359.99999999999994</v>
      </c>
      <c r="L239" s="24">
        <v>4.3</v>
      </c>
      <c r="M239" s="24">
        <f t="shared" si="43"/>
        <v>304.7000000000001</v>
      </c>
      <c r="N239" s="24">
        <f t="shared" si="40"/>
        <v>-4.3</v>
      </c>
      <c r="O239" s="24">
        <f t="shared" si="46"/>
        <v>125.49999999999996</v>
      </c>
      <c r="P239" s="24">
        <v>234</v>
      </c>
      <c r="Q239" s="5">
        <v>1.1499999999999999</v>
      </c>
      <c r="R239" s="27">
        <f t="shared" si="37"/>
        <v>4.9449999999999994</v>
      </c>
      <c r="S239" s="27">
        <f t="shared" si="38"/>
        <v>-4.9449999999999994</v>
      </c>
      <c r="T239" s="10">
        <f t="shared" si="44"/>
        <v>120.35100000000003</v>
      </c>
      <c r="U239" s="10">
        <f>MAX(T230:T250)</f>
        <v>158.48600000000002</v>
      </c>
      <c r="V239" s="24">
        <v>2657.7</v>
      </c>
      <c r="W239" s="24">
        <f t="shared" si="39"/>
        <v>199.82706766917292</v>
      </c>
      <c r="X239" s="24">
        <f t="shared" si="45"/>
        <v>176815.09999999998</v>
      </c>
      <c r="Y239" s="5">
        <f t="shared" si="48"/>
        <v>21521.800000000003</v>
      </c>
      <c r="AA239" s="5">
        <v>14.0830929501791</v>
      </c>
    </row>
    <row r="240" spans="1:27" s="5" customFormat="1" ht="15" customHeight="1" x14ac:dyDescent="0.25">
      <c r="A240" s="37"/>
      <c r="B240" s="34"/>
      <c r="C240" s="7">
        <v>42118</v>
      </c>
      <c r="D240" s="5">
        <v>12.2</v>
      </c>
      <c r="E240" s="5">
        <v>7.4</v>
      </c>
      <c r="F240" s="5">
        <v>15.8</v>
      </c>
      <c r="G240" s="5">
        <f t="shared" si="41"/>
        <v>2029.6000000000004</v>
      </c>
      <c r="H240" s="5">
        <f t="shared" si="47"/>
        <v>151.6</v>
      </c>
      <c r="I240" s="35" t="s">
        <v>40</v>
      </c>
      <c r="J240" s="5">
        <v>0.7</v>
      </c>
      <c r="K240" s="5">
        <f t="shared" si="42"/>
        <v>360.69999999999993</v>
      </c>
      <c r="L240" s="5">
        <v>1.4</v>
      </c>
      <c r="M240" s="5">
        <f t="shared" si="43"/>
        <v>306.10000000000008</v>
      </c>
      <c r="N240" s="9">
        <f t="shared" si="40"/>
        <v>-0.7</v>
      </c>
      <c r="O240" s="5">
        <f t="shared" si="46"/>
        <v>124.79999999999995</v>
      </c>
      <c r="P240" s="5">
        <v>235</v>
      </c>
      <c r="Q240" s="5">
        <v>1.1499999999999999</v>
      </c>
      <c r="R240" s="10">
        <f t="shared" si="37"/>
        <v>1.6099999999999999</v>
      </c>
      <c r="S240" s="10">
        <f t="shared" si="38"/>
        <v>-0.90999999999999992</v>
      </c>
      <c r="T240" s="10">
        <f t="shared" si="44"/>
        <v>119.44100000000003</v>
      </c>
      <c r="U240" s="35" t="s">
        <v>41</v>
      </c>
      <c r="V240" s="5">
        <v>926.7</v>
      </c>
      <c r="W240" s="5">
        <f t="shared" si="39"/>
        <v>75.959016393442624</v>
      </c>
      <c r="X240" s="5">
        <f t="shared" si="45"/>
        <v>177741.8</v>
      </c>
      <c r="Y240" s="5">
        <f t="shared" si="48"/>
        <v>22448.500000000004</v>
      </c>
      <c r="AA240" s="5">
        <v>14.1384276414545</v>
      </c>
    </row>
    <row r="241" spans="1:27" s="5" customFormat="1" x14ac:dyDescent="0.25">
      <c r="A241" s="37"/>
      <c r="B241" s="34"/>
      <c r="C241" s="7">
        <v>42119</v>
      </c>
      <c r="D241" s="5">
        <v>14.2</v>
      </c>
      <c r="E241" s="5">
        <v>12</v>
      </c>
      <c r="F241" s="5">
        <v>16.5</v>
      </c>
      <c r="G241" s="5">
        <f t="shared" si="41"/>
        <v>2043.8000000000004</v>
      </c>
      <c r="H241" s="5">
        <f t="shared" si="47"/>
        <v>165.79999999999998</v>
      </c>
      <c r="I241" s="5">
        <v>2</v>
      </c>
      <c r="J241" s="5">
        <v>8.1999999999999993</v>
      </c>
      <c r="K241" s="5">
        <f t="shared" si="42"/>
        <v>368.89999999999992</v>
      </c>
      <c r="L241" s="5">
        <v>2.2000000000000002</v>
      </c>
      <c r="M241" s="5">
        <f t="shared" si="43"/>
        <v>308.30000000000007</v>
      </c>
      <c r="N241" s="5">
        <f t="shared" si="40"/>
        <v>5.9999999999999991</v>
      </c>
      <c r="O241" s="5">
        <f t="shared" si="46"/>
        <v>130.79999999999995</v>
      </c>
      <c r="P241" s="5">
        <v>236</v>
      </c>
      <c r="Q241" s="5">
        <v>1.1499999999999999</v>
      </c>
      <c r="R241" s="10">
        <f t="shared" si="37"/>
        <v>2.5299999999999998</v>
      </c>
      <c r="S241" s="10">
        <f t="shared" si="38"/>
        <v>5.67</v>
      </c>
      <c r="T241" s="10">
        <f t="shared" si="44"/>
        <v>125.11100000000003</v>
      </c>
      <c r="U241" s="12">
        <f>AVERAGE(T230:T250)</f>
        <v>138.37338095238098</v>
      </c>
      <c r="V241" s="5">
        <v>1474</v>
      </c>
      <c r="W241" s="5">
        <f t="shared" si="39"/>
        <v>103.80281690140846</v>
      </c>
      <c r="X241" s="5">
        <f t="shared" si="45"/>
        <v>179215.8</v>
      </c>
      <c r="Y241" s="5">
        <f t="shared" si="48"/>
        <v>23922.500000000004</v>
      </c>
      <c r="AA241" s="5">
        <v>14.1934529048636</v>
      </c>
    </row>
    <row r="242" spans="1:27" s="5" customFormat="1" x14ac:dyDescent="0.25">
      <c r="A242" s="37"/>
      <c r="B242" s="34"/>
      <c r="C242" s="7">
        <v>42120</v>
      </c>
      <c r="D242" s="5">
        <v>13.1</v>
      </c>
      <c r="E242" s="5">
        <v>10.199999999999999</v>
      </c>
      <c r="F242" s="5">
        <v>16.7</v>
      </c>
      <c r="G242" s="5">
        <f t="shared" si="41"/>
        <v>2056.9000000000005</v>
      </c>
      <c r="H242" s="5">
        <f t="shared" si="47"/>
        <v>178.89999999999998</v>
      </c>
      <c r="I242" s="35" t="s">
        <v>42</v>
      </c>
      <c r="J242" s="5">
        <v>8.1999999999999993</v>
      </c>
      <c r="K242" s="5">
        <f t="shared" si="42"/>
        <v>377.09999999999991</v>
      </c>
      <c r="L242" s="5">
        <v>2.2000000000000002</v>
      </c>
      <c r="M242" s="5">
        <f t="shared" si="43"/>
        <v>310.50000000000006</v>
      </c>
      <c r="N242" s="5">
        <f t="shared" si="40"/>
        <v>5.9999999999999991</v>
      </c>
      <c r="O242" s="5">
        <f t="shared" si="46"/>
        <v>136.79999999999995</v>
      </c>
      <c r="P242" s="5">
        <v>237</v>
      </c>
      <c r="Q242" s="5">
        <v>1.1499999999999999</v>
      </c>
      <c r="R242" s="10">
        <f t="shared" si="37"/>
        <v>2.5299999999999998</v>
      </c>
      <c r="S242" s="10">
        <f t="shared" si="38"/>
        <v>5.67</v>
      </c>
      <c r="T242" s="10">
        <f t="shared" si="44"/>
        <v>130.78100000000003</v>
      </c>
      <c r="V242" s="5">
        <v>1358.9</v>
      </c>
      <c r="W242" s="5">
        <f t="shared" si="39"/>
        <v>103.73282442748092</v>
      </c>
      <c r="X242" s="5">
        <f t="shared" si="45"/>
        <v>180574.69999999998</v>
      </c>
      <c r="Y242" s="5">
        <f t="shared" si="48"/>
        <v>25281.400000000005</v>
      </c>
      <c r="AA242" s="5">
        <v>14.248153957224</v>
      </c>
    </row>
    <row r="243" spans="1:27" s="5" customFormat="1" x14ac:dyDescent="0.25">
      <c r="A243" s="37"/>
      <c r="B243" s="34"/>
      <c r="C243" s="7">
        <v>42121</v>
      </c>
      <c r="D243" s="5">
        <v>10.199999999999999</v>
      </c>
      <c r="E243" s="5">
        <v>9.1</v>
      </c>
      <c r="F243" s="5">
        <v>11.7</v>
      </c>
      <c r="G243" s="5">
        <f t="shared" si="41"/>
        <v>2067.1000000000004</v>
      </c>
      <c r="H243" s="5">
        <f t="shared" si="47"/>
        <v>189.09999999999997</v>
      </c>
      <c r="I243" s="5">
        <v>269.10000000000002</v>
      </c>
      <c r="J243" s="5">
        <v>0</v>
      </c>
      <c r="K243" s="5">
        <f t="shared" si="42"/>
        <v>377.09999999999991</v>
      </c>
      <c r="L243" s="5">
        <v>2.1</v>
      </c>
      <c r="M243" s="5">
        <f t="shared" si="43"/>
        <v>312.60000000000008</v>
      </c>
      <c r="N243" s="9">
        <f t="shared" si="40"/>
        <v>-2.1</v>
      </c>
      <c r="O243" s="5">
        <f t="shared" si="46"/>
        <v>134.69999999999996</v>
      </c>
      <c r="P243" s="5">
        <v>238</v>
      </c>
      <c r="Q243" s="5">
        <v>1.1499999999999999</v>
      </c>
      <c r="R243" s="10">
        <f t="shared" si="37"/>
        <v>2.415</v>
      </c>
      <c r="S243" s="10">
        <f t="shared" si="38"/>
        <v>-2.415</v>
      </c>
      <c r="T243" s="10">
        <f t="shared" si="44"/>
        <v>128.36600000000004</v>
      </c>
      <c r="U243" s="5">
        <f>(U241*100)/197.4</f>
        <v>70.097964008298362</v>
      </c>
      <c r="V243" s="5">
        <v>1506.7</v>
      </c>
      <c r="W243" s="5">
        <f t="shared" si="39"/>
        <v>147.71568627450981</v>
      </c>
      <c r="X243" s="5">
        <f t="shared" si="45"/>
        <v>182081.4</v>
      </c>
      <c r="Y243" s="5">
        <f t="shared" si="48"/>
        <v>26788.100000000006</v>
      </c>
      <c r="AA243" s="5">
        <v>14.3025155078395</v>
      </c>
    </row>
    <row r="244" spans="1:27" s="5" customFormat="1" x14ac:dyDescent="0.25">
      <c r="A244" s="37"/>
      <c r="B244" s="34"/>
      <c r="C244" s="7">
        <v>42122</v>
      </c>
      <c r="D244" s="5">
        <v>8.9</v>
      </c>
      <c r="E244" s="15">
        <v>4.5</v>
      </c>
      <c r="F244" s="5">
        <v>13</v>
      </c>
      <c r="G244" s="5">
        <f t="shared" si="41"/>
        <v>2076.0000000000005</v>
      </c>
      <c r="H244" s="5">
        <f t="shared" si="47"/>
        <v>197.99999999999997</v>
      </c>
      <c r="J244" s="5">
        <v>0</v>
      </c>
      <c r="K244" s="5">
        <f t="shared" si="42"/>
        <v>377.09999999999991</v>
      </c>
      <c r="L244" s="5">
        <v>2.9</v>
      </c>
      <c r="M244" s="5">
        <f t="shared" si="43"/>
        <v>315.50000000000006</v>
      </c>
      <c r="N244" s="9">
        <f t="shared" si="40"/>
        <v>-2.9</v>
      </c>
      <c r="O244" s="5">
        <f t="shared" si="46"/>
        <v>131.79999999999995</v>
      </c>
      <c r="P244" s="5">
        <v>239</v>
      </c>
      <c r="Q244" s="5">
        <v>1.1499999999999999</v>
      </c>
      <c r="R244" s="10">
        <f t="shared" si="37"/>
        <v>3.3349999999999995</v>
      </c>
      <c r="S244" s="10">
        <f t="shared" si="38"/>
        <v>-3.3349999999999995</v>
      </c>
      <c r="T244" s="10">
        <f t="shared" si="44"/>
        <v>125.03100000000005</v>
      </c>
      <c r="V244" s="5">
        <v>2190.3000000000002</v>
      </c>
      <c r="W244" s="5">
        <f t="shared" si="39"/>
        <v>246.10112359550564</v>
      </c>
      <c r="X244" s="5">
        <f t="shared" si="45"/>
        <v>184271.69999999998</v>
      </c>
      <c r="Y244" s="5">
        <f t="shared" si="48"/>
        <v>28978.400000000005</v>
      </c>
      <c r="AA244" s="5">
        <v>14.356521750487399</v>
      </c>
    </row>
    <row r="245" spans="1:27" s="5" customFormat="1" x14ac:dyDescent="0.25">
      <c r="A245" s="37"/>
      <c r="B245" s="34"/>
      <c r="C245" s="7">
        <v>42123</v>
      </c>
      <c r="D245" s="5">
        <v>10</v>
      </c>
      <c r="E245" s="15">
        <v>4.8</v>
      </c>
      <c r="F245" s="5">
        <v>14.9</v>
      </c>
      <c r="G245" s="5">
        <f t="shared" si="41"/>
        <v>2086.0000000000005</v>
      </c>
      <c r="H245" s="5">
        <f t="shared" si="47"/>
        <v>207.99999999999997</v>
      </c>
      <c r="J245" s="5">
        <v>0.3</v>
      </c>
      <c r="K245" s="5">
        <f t="shared" si="42"/>
        <v>377.39999999999992</v>
      </c>
      <c r="L245" s="5">
        <v>2.8</v>
      </c>
      <c r="M245" s="5">
        <f t="shared" si="43"/>
        <v>318.30000000000007</v>
      </c>
      <c r="N245" s="9">
        <f t="shared" si="40"/>
        <v>-2.5</v>
      </c>
      <c r="O245" s="5">
        <f t="shared" si="46"/>
        <v>129.29999999999995</v>
      </c>
      <c r="P245" s="5">
        <v>240</v>
      </c>
      <c r="Q245" s="5">
        <v>1.1499999999999999</v>
      </c>
      <c r="R245" s="10">
        <f t="shared" si="37"/>
        <v>3.2199999999999998</v>
      </c>
      <c r="S245" s="10">
        <f t="shared" si="38"/>
        <v>-2.92</v>
      </c>
      <c r="T245" s="10">
        <f t="shared" si="44"/>
        <v>122.11100000000005</v>
      </c>
      <c r="V245" s="5">
        <v>1908.4</v>
      </c>
      <c r="W245" s="5">
        <f t="shared" si="39"/>
        <v>190.84</v>
      </c>
      <c r="X245" s="5">
        <f t="shared" si="45"/>
        <v>186180.09999999998</v>
      </c>
      <c r="Y245" s="5">
        <f t="shared" si="48"/>
        <v>30886.800000000007</v>
      </c>
      <c r="AA245" s="5">
        <v>14.4101563564467</v>
      </c>
    </row>
    <row r="246" spans="1:27" s="5" customFormat="1" x14ac:dyDescent="0.25">
      <c r="A246" s="37"/>
      <c r="B246" s="34"/>
      <c r="C246" s="7">
        <v>42124</v>
      </c>
      <c r="D246" s="5">
        <v>9.6</v>
      </c>
      <c r="E246" s="5">
        <v>8</v>
      </c>
      <c r="F246" s="5">
        <v>10.7</v>
      </c>
      <c r="G246" s="5">
        <f t="shared" si="41"/>
        <v>2095.6000000000004</v>
      </c>
      <c r="H246" s="5">
        <f t="shared" si="47"/>
        <v>217.59999999999997</v>
      </c>
      <c r="J246" s="5">
        <v>18</v>
      </c>
      <c r="K246" s="5">
        <f t="shared" si="42"/>
        <v>395.39999999999992</v>
      </c>
      <c r="L246" s="5">
        <v>0.8</v>
      </c>
      <c r="M246" s="5">
        <f t="shared" si="43"/>
        <v>319.10000000000008</v>
      </c>
      <c r="N246" s="5">
        <f t="shared" si="40"/>
        <v>17.2</v>
      </c>
      <c r="O246" s="5">
        <f t="shared" si="46"/>
        <v>146.49999999999994</v>
      </c>
      <c r="P246" s="5">
        <v>241</v>
      </c>
      <c r="Q246" s="5">
        <v>1.1499999999999999</v>
      </c>
      <c r="R246" s="10">
        <f t="shared" si="37"/>
        <v>0.91999999999999993</v>
      </c>
      <c r="S246" s="10">
        <f t="shared" si="38"/>
        <v>17.079999999999998</v>
      </c>
      <c r="T246" s="10">
        <f t="shared" si="44"/>
        <v>139.19100000000003</v>
      </c>
      <c r="V246" s="14">
        <v>460</v>
      </c>
      <c r="W246" s="5">
        <f t="shared" si="39"/>
        <v>47.916666666666671</v>
      </c>
      <c r="X246" s="5">
        <f t="shared" si="45"/>
        <v>186640.09999999998</v>
      </c>
      <c r="Y246" s="5">
        <f t="shared" si="48"/>
        <v>31346.800000000007</v>
      </c>
      <c r="AA246" s="5">
        <v>14.4634024686567</v>
      </c>
    </row>
    <row r="247" spans="1:27" s="5" customFormat="1" x14ac:dyDescent="0.25">
      <c r="A247" s="37"/>
      <c r="B247" s="34"/>
      <c r="C247" s="7">
        <v>42125</v>
      </c>
      <c r="D247" s="5">
        <v>9.5</v>
      </c>
      <c r="E247" s="5">
        <v>8.1</v>
      </c>
      <c r="F247" s="5">
        <v>10.7</v>
      </c>
      <c r="G247" s="5">
        <f t="shared" si="41"/>
        <v>2105.1000000000004</v>
      </c>
      <c r="H247" s="5">
        <f t="shared" si="47"/>
        <v>227.09999999999997</v>
      </c>
      <c r="J247" s="5">
        <v>3.6</v>
      </c>
      <c r="K247" s="5">
        <f t="shared" si="42"/>
        <v>398.99999999999994</v>
      </c>
      <c r="L247" s="5">
        <v>0.6</v>
      </c>
      <c r="M247" s="5">
        <f t="shared" si="43"/>
        <v>319.7000000000001</v>
      </c>
      <c r="N247" s="5">
        <f t="shared" si="40"/>
        <v>3</v>
      </c>
      <c r="O247" s="5">
        <f t="shared" si="46"/>
        <v>149.49999999999994</v>
      </c>
      <c r="P247" s="5">
        <v>242</v>
      </c>
      <c r="Q247" s="5">
        <v>1.1499999999999999</v>
      </c>
      <c r="R247" s="10">
        <f t="shared" si="37"/>
        <v>0.69</v>
      </c>
      <c r="S247" s="10">
        <f t="shared" si="38"/>
        <v>2.91</v>
      </c>
      <c r="T247" s="10">
        <f t="shared" si="44"/>
        <v>142.10100000000003</v>
      </c>
      <c r="V247" s="14">
        <v>393.7</v>
      </c>
      <c r="W247" s="5">
        <f t="shared" si="39"/>
        <v>41.442105263157892</v>
      </c>
      <c r="X247" s="5">
        <f t="shared" si="45"/>
        <v>187033.8</v>
      </c>
      <c r="Y247" s="5">
        <f t="shared" si="48"/>
        <v>31740.500000000007</v>
      </c>
      <c r="AA247" s="5">
        <v>14.5162426970988</v>
      </c>
    </row>
    <row r="248" spans="1:27" s="5" customFormat="1" x14ac:dyDescent="0.25">
      <c r="A248" s="37"/>
      <c r="B248" s="34"/>
      <c r="C248" s="7">
        <v>42126</v>
      </c>
      <c r="D248" s="5">
        <v>11.5</v>
      </c>
      <c r="E248" s="5">
        <v>8.8000000000000007</v>
      </c>
      <c r="F248" s="5">
        <v>13.8</v>
      </c>
      <c r="G248" s="5">
        <f t="shared" si="41"/>
        <v>2116.6000000000004</v>
      </c>
      <c r="H248" s="5">
        <f t="shared" si="47"/>
        <v>238.59999999999997</v>
      </c>
      <c r="J248" s="5">
        <v>9.1999999999999993</v>
      </c>
      <c r="K248" s="5">
        <f t="shared" si="42"/>
        <v>408.19999999999993</v>
      </c>
      <c r="L248" s="5">
        <v>0.7</v>
      </c>
      <c r="M248" s="5">
        <f t="shared" si="43"/>
        <v>320.40000000000009</v>
      </c>
      <c r="N248" s="5">
        <f t="shared" si="40"/>
        <v>8.5</v>
      </c>
      <c r="O248" s="5">
        <f t="shared" si="46"/>
        <v>157.99999999999994</v>
      </c>
      <c r="P248" s="5">
        <v>243</v>
      </c>
      <c r="Q248" s="5">
        <v>1.1499999999999999</v>
      </c>
      <c r="R248" s="10">
        <f t="shared" si="37"/>
        <v>0.80499999999999994</v>
      </c>
      <c r="S248" s="10">
        <f t="shared" si="38"/>
        <v>8.3949999999999996</v>
      </c>
      <c r="T248" s="10">
        <f t="shared" si="44"/>
        <v>150.49600000000004</v>
      </c>
      <c r="V248" s="14">
        <v>477.7</v>
      </c>
      <c r="W248" s="5">
        <f t="shared" si="39"/>
        <v>41.539130434782606</v>
      </c>
      <c r="X248" s="5">
        <f t="shared" si="45"/>
        <v>187511.5</v>
      </c>
      <c r="Y248" s="5">
        <f t="shared" si="48"/>
        <v>32218.200000000008</v>
      </c>
      <c r="AA248" s="5">
        <v>14.568659115499299</v>
      </c>
    </row>
    <row r="249" spans="1:27" s="5" customFormat="1" x14ac:dyDescent="0.25">
      <c r="A249" s="37"/>
      <c r="B249" s="34"/>
      <c r="C249" s="7">
        <v>42127</v>
      </c>
      <c r="D249" s="5">
        <v>15.5</v>
      </c>
      <c r="E249" s="5">
        <v>12.4</v>
      </c>
      <c r="F249" s="5">
        <v>18.100000000000001</v>
      </c>
      <c r="G249" s="5">
        <f t="shared" si="41"/>
        <v>2132.1000000000004</v>
      </c>
      <c r="H249" s="5">
        <f t="shared" si="47"/>
        <v>254.09999999999997</v>
      </c>
      <c r="J249" s="5">
        <v>6.3</v>
      </c>
      <c r="K249" s="5">
        <f t="shared" si="42"/>
        <v>414.49999999999994</v>
      </c>
      <c r="L249" s="5">
        <v>1.2</v>
      </c>
      <c r="M249" s="5">
        <f t="shared" si="43"/>
        <v>321.60000000000008</v>
      </c>
      <c r="N249" s="5">
        <f t="shared" si="40"/>
        <v>5.0999999999999996</v>
      </c>
      <c r="O249" s="5">
        <f t="shared" si="46"/>
        <v>163.09999999999994</v>
      </c>
      <c r="P249" s="5">
        <v>244</v>
      </c>
      <c r="Q249" s="5">
        <v>1.1499999999999999</v>
      </c>
      <c r="R249" s="10">
        <f t="shared" si="37"/>
        <v>1.38</v>
      </c>
      <c r="S249" s="10">
        <f t="shared" si="38"/>
        <v>4.92</v>
      </c>
      <c r="T249" s="10">
        <f t="shared" si="44"/>
        <v>155.41600000000003</v>
      </c>
      <c r="V249" s="14">
        <v>830</v>
      </c>
      <c r="W249" s="5">
        <f t="shared" si="39"/>
        <v>53.548387096774192</v>
      </c>
      <c r="X249" s="5">
        <f t="shared" si="45"/>
        <v>188341.5</v>
      </c>
      <c r="Y249" s="5">
        <f t="shared" si="48"/>
        <v>33048.200000000012</v>
      </c>
      <c r="AA249" s="5">
        <v>14.6206332594533</v>
      </c>
    </row>
    <row r="250" spans="1:27" s="50" customFormat="1" ht="15.75" thickBot="1" x14ac:dyDescent="0.3">
      <c r="A250" s="60" t="s">
        <v>47</v>
      </c>
      <c r="B250" s="61"/>
      <c r="C250" s="57">
        <v>42128</v>
      </c>
      <c r="D250" s="50">
        <v>15</v>
      </c>
      <c r="E250" s="50">
        <v>11.2</v>
      </c>
      <c r="F250" s="50">
        <v>17.3</v>
      </c>
      <c r="G250" s="50">
        <f t="shared" si="41"/>
        <v>2147.1000000000004</v>
      </c>
      <c r="H250" s="50">
        <f t="shared" si="47"/>
        <v>269.09999999999997</v>
      </c>
      <c r="J250" s="50">
        <v>5.6</v>
      </c>
      <c r="K250" s="50">
        <f t="shared" si="42"/>
        <v>420.09999999999997</v>
      </c>
      <c r="L250" s="50">
        <v>2.2000000000000002</v>
      </c>
      <c r="M250" s="50">
        <f t="shared" si="43"/>
        <v>323.80000000000007</v>
      </c>
      <c r="N250" s="50">
        <f t="shared" si="40"/>
        <v>3.3999999999999995</v>
      </c>
      <c r="O250" s="50">
        <f t="shared" si="46"/>
        <v>166.49999999999994</v>
      </c>
      <c r="P250" s="50">
        <v>245</v>
      </c>
      <c r="Q250" s="50">
        <v>1.1499999999999999</v>
      </c>
      <c r="R250" s="52">
        <f t="shared" si="37"/>
        <v>2.5299999999999998</v>
      </c>
      <c r="S250" s="52">
        <f t="shared" si="38"/>
        <v>3.07</v>
      </c>
      <c r="T250" s="56">
        <f t="shared" si="44"/>
        <v>158.48600000000002</v>
      </c>
      <c r="V250" s="50">
        <v>1445.7</v>
      </c>
      <c r="W250" s="50">
        <f t="shared" si="39"/>
        <v>96.38000000000001</v>
      </c>
      <c r="X250" s="50">
        <f t="shared" si="45"/>
        <v>189787.2</v>
      </c>
      <c r="Y250" s="55">
        <f t="shared" si="48"/>
        <v>34493.900000000009</v>
      </c>
      <c r="AA250" s="55">
        <v>14.6721461260732</v>
      </c>
    </row>
    <row r="251" spans="1:27" s="5" customFormat="1" x14ac:dyDescent="0.25">
      <c r="A251" s="72">
        <v>300</v>
      </c>
      <c r="B251" s="6"/>
      <c r="C251" s="7">
        <v>42129</v>
      </c>
      <c r="D251" s="5">
        <v>15.5</v>
      </c>
      <c r="E251" s="5">
        <v>15.9</v>
      </c>
      <c r="F251" s="5">
        <v>17</v>
      </c>
      <c r="G251" s="5">
        <f t="shared" si="41"/>
        <v>2162.6000000000004</v>
      </c>
      <c r="H251" s="5">
        <v>15.5</v>
      </c>
      <c r="I251" s="38" t="s">
        <v>27</v>
      </c>
      <c r="J251" s="5">
        <v>1.8</v>
      </c>
      <c r="K251" s="5">
        <f t="shared" si="42"/>
        <v>421.9</v>
      </c>
      <c r="L251" s="5">
        <v>4.0999999999999996</v>
      </c>
      <c r="M251" s="5">
        <f t="shared" si="43"/>
        <v>327.90000000000009</v>
      </c>
      <c r="N251" s="9">
        <f t="shared" si="40"/>
        <v>-2.2999999999999998</v>
      </c>
      <c r="O251" s="5">
        <f t="shared" si="46"/>
        <v>164.19999999999993</v>
      </c>
      <c r="P251" s="5">
        <v>246</v>
      </c>
      <c r="Q251" s="5">
        <v>1.1499999999999999</v>
      </c>
      <c r="R251" s="10">
        <f t="shared" si="37"/>
        <v>4.714999999999999</v>
      </c>
      <c r="S251" s="10">
        <f t="shared" si="38"/>
        <v>-2.9149999999999991</v>
      </c>
      <c r="T251" s="10">
        <f t="shared" si="44"/>
        <v>155.57100000000003</v>
      </c>
      <c r="U251" s="38" t="s">
        <v>28</v>
      </c>
      <c r="V251" s="5">
        <v>2148</v>
      </c>
      <c r="W251" s="5">
        <f t="shared" si="39"/>
        <v>138.58064516129033</v>
      </c>
      <c r="X251" s="5">
        <f t="shared" si="45"/>
        <v>191935.2</v>
      </c>
      <c r="Y251" s="5">
        <v>2148</v>
      </c>
      <c r="Z251" s="38" t="s">
        <v>29</v>
      </c>
      <c r="AA251" s="5">
        <v>14.723178175268</v>
      </c>
    </row>
    <row r="252" spans="1:27" s="5" customFormat="1" x14ac:dyDescent="0.25">
      <c r="A252" s="72"/>
      <c r="B252" s="6"/>
      <c r="C252" s="7">
        <v>42130</v>
      </c>
      <c r="D252" s="5">
        <v>12.2</v>
      </c>
      <c r="E252" s="5">
        <v>9.6</v>
      </c>
      <c r="F252" s="5">
        <v>15.2</v>
      </c>
      <c r="G252" s="5">
        <f t="shared" si="41"/>
        <v>2174.8000000000002</v>
      </c>
      <c r="H252" s="5">
        <f t="shared" si="47"/>
        <v>27.7</v>
      </c>
      <c r="I252" s="5">
        <f>MIN(E251:E272)</f>
        <v>5.2</v>
      </c>
      <c r="J252" s="5">
        <v>1.4</v>
      </c>
      <c r="K252" s="5">
        <f t="shared" si="42"/>
        <v>423.29999999999995</v>
      </c>
      <c r="L252" s="5">
        <v>3.6</v>
      </c>
      <c r="M252" s="5">
        <f t="shared" si="43"/>
        <v>331.50000000000011</v>
      </c>
      <c r="N252" s="9">
        <f t="shared" si="40"/>
        <v>-2.2000000000000002</v>
      </c>
      <c r="O252" s="5">
        <f t="shared" si="46"/>
        <v>161.99999999999994</v>
      </c>
      <c r="P252" s="5">
        <v>247</v>
      </c>
      <c r="Q252" s="5">
        <v>1.1499999999999999</v>
      </c>
      <c r="R252" s="10">
        <f t="shared" si="37"/>
        <v>4.1399999999999997</v>
      </c>
      <c r="S252" s="10">
        <f t="shared" si="38"/>
        <v>-2.7399999999999998</v>
      </c>
      <c r="T252" s="10">
        <f t="shared" si="44"/>
        <v>152.83100000000002</v>
      </c>
      <c r="U252" s="5">
        <v>21</v>
      </c>
      <c r="V252" s="5">
        <v>2281.1</v>
      </c>
      <c r="W252" s="5">
        <f t="shared" si="39"/>
        <v>186.97540983606558</v>
      </c>
      <c r="X252" s="5">
        <f t="shared" si="45"/>
        <v>194216.30000000002</v>
      </c>
      <c r="Y252" s="5">
        <f t="shared" si="48"/>
        <v>4429.1000000000004</v>
      </c>
      <c r="Z252" s="5">
        <v>44451.599999999991</v>
      </c>
      <c r="AA252" s="5">
        <v>14.7737093327615</v>
      </c>
    </row>
    <row r="253" spans="1:27" s="5" customFormat="1" x14ac:dyDescent="0.25">
      <c r="A253" s="72"/>
      <c r="B253" s="6"/>
      <c r="C253" s="7">
        <v>42131</v>
      </c>
      <c r="D253" s="5">
        <v>12.2</v>
      </c>
      <c r="E253" s="5">
        <v>7.4</v>
      </c>
      <c r="F253" s="5">
        <v>16.399999999999999</v>
      </c>
      <c r="G253" s="5">
        <f t="shared" si="41"/>
        <v>2187</v>
      </c>
      <c r="H253" s="5">
        <f t="shared" si="47"/>
        <v>39.9</v>
      </c>
      <c r="I253" s="38" t="s">
        <v>30</v>
      </c>
      <c r="J253" s="5">
        <v>0</v>
      </c>
      <c r="K253" s="5">
        <f t="shared" si="42"/>
        <v>423.29999999999995</v>
      </c>
      <c r="L253" s="5">
        <v>3.3</v>
      </c>
      <c r="M253" s="5">
        <f t="shared" si="43"/>
        <v>334.80000000000013</v>
      </c>
      <c r="N253" s="9">
        <f t="shared" si="40"/>
        <v>-3.3</v>
      </c>
      <c r="O253" s="5">
        <f t="shared" si="46"/>
        <v>158.69999999999993</v>
      </c>
      <c r="P253" s="5">
        <v>248</v>
      </c>
      <c r="Q253" s="5">
        <v>1.1499999999999999</v>
      </c>
      <c r="R253" s="10">
        <f t="shared" si="37"/>
        <v>3.7949999999999995</v>
      </c>
      <c r="S253" s="10">
        <f t="shared" si="38"/>
        <v>-3.7949999999999995</v>
      </c>
      <c r="T253" s="10">
        <f t="shared" si="44"/>
        <v>149.03600000000003</v>
      </c>
      <c r="U253" s="38" t="s">
        <v>31</v>
      </c>
      <c r="V253" s="5">
        <v>2187.3000000000002</v>
      </c>
      <c r="W253" s="5">
        <f t="shared" si="39"/>
        <v>179.28688524590166</v>
      </c>
      <c r="X253" s="5">
        <f t="shared" si="45"/>
        <v>196403.6</v>
      </c>
      <c r="Y253" s="5">
        <f t="shared" si="48"/>
        <v>6616.4000000000005</v>
      </c>
      <c r="Z253" s="38" t="s">
        <v>32</v>
      </c>
      <c r="AA253" s="5">
        <v>14.823718994958901</v>
      </c>
    </row>
    <row r="254" spans="1:27" s="5" customFormat="1" x14ac:dyDescent="0.25">
      <c r="A254" s="72"/>
      <c r="B254" s="6"/>
      <c r="C254" s="7">
        <v>42132</v>
      </c>
      <c r="D254" s="5">
        <v>14</v>
      </c>
      <c r="E254" s="5">
        <v>9.9</v>
      </c>
      <c r="F254" s="5">
        <v>18.2</v>
      </c>
      <c r="G254" s="5">
        <f t="shared" si="41"/>
        <v>2201</v>
      </c>
      <c r="H254" s="5">
        <f t="shared" si="47"/>
        <v>53.9</v>
      </c>
      <c r="I254" s="5">
        <f>MAX(F251:F272)</f>
        <v>25.4</v>
      </c>
      <c r="J254" s="5">
        <v>0.2</v>
      </c>
      <c r="K254" s="5">
        <f t="shared" si="42"/>
        <v>423.49999999999994</v>
      </c>
      <c r="L254" s="5">
        <v>2.1</v>
      </c>
      <c r="M254" s="5">
        <f t="shared" si="43"/>
        <v>336.90000000000015</v>
      </c>
      <c r="N254" s="9">
        <f t="shared" si="40"/>
        <v>-1.9000000000000001</v>
      </c>
      <c r="O254" s="5">
        <f t="shared" si="46"/>
        <v>156.79999999999993</v>
      </c>
      <c r="P254" s="5">
        <v>249</v>
      </c>
      <c r="Q254" s="5">
        <v>1.1499999999999999</v>
      </c>
      <c r="R254" s="10">
        <f t="shared" si="37"/>
        <v>2.415</v>
      </c>
      <c r="S254" s="10">
        <f t="shared" si="38"/>
        <v>-2.2149999999999999</v>
      </c>
      <c r="T254" s="10">
        <f t="shared" si="44"/>
        <v>146.82100000000003</v>
      </c>
      <c r="U254" s="5">
        <v>0</v>
      </c>
      <c r="V254" s="5">
        <v>1391.3</v>
      </c>
      <c r="W254" s="5">
        <f t="shared" si="39"/>
        <v>99.378571428571419</v>
      </c>
      <c r="X254" s="5">
        <f t="shared" si="45"/>
        <v>197794.9</v>
      </c>
      <c r="Y254" s="5">
        <f t="shared" si="48"/>
        <v>8007.7000000000007</v>
      </c>
      <c r="Z254" s="12">
        <f>(Z252/100)/I264</f>
        <v>1.4636680935133353</v>
      </c>
      <c r="AA254" s="5">
        <v>14.8731860357722</v>
      </c>
    </row>
    <row r="255" spans="1:27" s="5" customFormat="1" x14ac:dyDescent="0.25">
      <c r="A255" s="72"/>
      <c r="B255" s="6"/>
      <c r="C255" s="7">
        <v>42133</v>
      </c>
      <c r="D255" s="5">
        <v>15.7</v>
      </c>
      <c r="E255" s="5">
        <v>13.5</v>
      </c>
      <c r="F255" s="5">
        <v>18.899999999999999</v>
      </c>
      <c r="G255" s="5">
        <f t="shared" si="41"/>
        <v>2216.6999999999998</v>
      </c>
      <c r="H255" s="5">
        <f t="shared" si="47"/>
        <v>69.599999999999994</v>
      </c>
      <c r="I255" s="38" t="s">
        <v>33</v>
      </c>
      <c r="J255" s="5">
        <v>0</v>
      </c>
      <c r="K255" s="5">
        <f t="shared" si="42"/>
        <v>423.49999999999994</v>
      </c>
      <c r="L255" s="5">
        <v>4</v>
      </c>
      <c r="M255" s="5">
        <f t="shared" si="43"/>
        <v>340.90000000000015</v>
      </c>
      <c r="N255" s="9">
        <f t="shared" si="40"/>
        <v>-4</v>
      </c>
      <c r="O255" s="5">
        <f t="shared" si="46"/>
        <v>152.79999999999993</v>
      </c>
      <c r="P255" s="5">
        <v>250</v>
      </c>
      <c r="Q255" s="5">
        <v>1.1499999999999999</v>
      </c>
      <c r="R255" s="10">
        <f t="shared" si="37"/>
        <v>4.5999999999999996</v>
      </c>
      <c r="S255" s="10">
        <f t="shared" si="38"/>
        <v>-4.5999999999999996</v>
      </c>
      <c r="T255" s="10">
        <f t="shared" si="44"/>
        <v>142.22100000000003</v>
      </c>
      <c r="U255" s="38" t="s">
        <v>34</v>
      </c>
      <c r="V255" s="5">
        <v>2127.1</v>
      </c>
      <c r="W255" s="5">
        <f t="shared" si="39"/>
        <v>135.48407643312103</v>
      </c>
      <c r="X255" s="5">
        <f t="shared" si="45"/>
        <v>199922</v>
      </c>
      <c r="Y255" s="5">
        <f t="shared" si="48"/>
        <v>10134.800000000001</v>
      </c>
      <c r="Z255" s="38" t="s">
        <v>35</v>
      </c>
      <c r="AA255" s="5">
        <v>14.922088815515</v>
      </c>
    </row>
    <row r="256" spans="1:27" s="5" customFormat="1" x14ac:dyDescent="0.25">
      <c r="A256" s="72"/>
      <c r="B256" s="6"/>
      <c r="C256" s="7">
        <v>42134</v>
      </c>
      <c r="D256" s="5">
        <v>15.8</v>
      </c>
      <c r="E256" s="5">
        <v>10.6</v>
      </c>
      <c r="F256" s="5">
        <v>21</v>
      </c>
      <c r="G256" s="5">
        <f t="shared" si="41"/>
        <v>2232.5</v>
      </c>
      <c r="H256" s="5">
        <f t="shared" si="47"/>
        <v>85.399999999999991</v>
      </c>
      <c r="I256" s="10">
        <f>AVERAGE(D251:D272)</f>
        <v>13.804545454545455</v>
      </c>
      <c r="J256" s="5">
        <v>0</v>
      </c>
      <c r="K256" s="5">
        <f t="shared" si="42"/>
        <v>423.49999999999994</v>
      </c>
      <c r="L256" s="5">
        <v>4.2</v>
      </c>
      <c r="M256" s="5">
        <f t="shared" si="43"/>
        <v>345.10000000000014</v>
      </c>
      <c r="N256" s="9">
        <f t="shared" si="40"/>
        <v>-4.2</v>
      </c>
      <c r="O256" s="5">
        <f t="shared" si="46"/>
        <v>148.59999999999994</v>
      </c>
      <c r="P256" s="5">
        <v>251</v>
      </c>
      <c r="Q256" s="5">
        <v>1.1499999999999999</v>
      </c>
      <c r="R256" s="10">
        <f t="shared" si="37"/>
        <v>4.83</v>
      </c>
      <c r="S256" s="10">
        <f t="shared" si="38"/>
        <v>-4.83</v>
      </c>
      <c r="T256" s="10">
        <f t="shared" si="44"/>
        <v>137.39100000000002</v>
      </c>
      <c r="U256" s="5">
        <v>0</v>
      </c>
      <c r="V256" s="5">
        <v>2504.8000000000002</v>
      </c>
      <c r="W256" s="5">
        <f t="shared" si="39"/>
        <v>158.53164556962025</v>
      </c>
      <c r="X256" s="5">
        <f t="shared" si="45"/>
        <v>202426.8</v>
      </c>
      <c r="Y256" s="5">
        <f t="shared" si="48"/>
        <v>12639.600000000002</v>
      </c>
      <c r="Z256" s="5">
        <v>0</v>
      </c>
      <c r="AA256" s="5">
        <v>14.970405191975001</v>
      </c>
    </row>
    <row r="257" spans="1:27" s="5" customFormat="1" x14ac:dyDescent="0.25">
      <c r="A257" s="72"/>
      <c r="B257" s="6"/>
      <c r="C257" s="7">
        <v>42135</v>
      </c>
      <c r="D257" s="5">
        <v>19.2</v>
      </c>
      <c r="E257" s="5">
        <v>12.1</v>
      </c>
      <c r="F257" s="13">
        <v>25.4</v>
      </c>
      <c r="G257" s="5">
        <f t="shared" si="41"/>
        <v>2251.6999999999998</v>
      </c>
      <c r="H257" s="5">
        <f t="shared" si="47"/>
        <v>104.6</v>
      </c>
      <c r="I257" s="38" t="s">
        <v>36</v>
      </c>
      <c r="J257" s="5">
        <v>0</v>
      </c>
      <c r="K257" s="5">
        <f t="shared" si="42"/>
        <v>423.49999999999994</v>
      </c>
      <c r="L257" s="5">
        <v>3.6</v>
      </c>
      <c r="M257" s="5">
        <f t="shared" si="43"/>
        <v>348.70000000000016</v>
      </c>
      <c r="N257" s="9">
        <f t="shared" si="40"/>
        <v>-3.6</v>
      </c>
      <c r="O257" s="5">
        <f t="shared" si="46"/>
        <v>144.99999999999994</v>
      </c>
      <c r="P257" s="5">
        <v>252</v>
      </c>
      <c r="Q257" s="5">
        <v>1.1499999999999999</v>
      </c>
      <c r="R257" s="10">
        <f t="shared" si="37"/>
        <v>4.1399999999999997</v>
      </c>
      <c r="S257" s="10">
        <f t="shared" si="38"/>
        <v>-4.1399999999999997</v>
      </c>
      <c r="T257" s="10">
        <f t="shared" si="44"/>
        <v>133.25100000000003</v>
      </c>
      <c r="U257" s="38" t="s">
        <v>37</v>
      </c>
      <c r="V257" s="5">
        <v>2073.4</v>
      </c>
      <c r="W257" s="5">
        <f t="shared" si="39"/>
        <v>107.98958333333334</v>
      </c>
      <c r="X257" s="5">
        <f t="shared" si="45"/>
        <v>204500.19999999998</v>
      </c>
      <c r="Y257" s="5">
        <f t="shared" si="48"/>
        <v>14713.000000000002</v>
      </c>
      <c r="AA257" s="5">
        <v>15.018112533772101</v>
      </c>
    </row>
    <row r="258" spans="1:27" s="5" customFormat="1" x14ac:dyDescent="0.25">
      <c r="A258" s="72"/>
      <c r="B258" s="6"/>
      <c r="C258" s="7">
        <v>42136</v>
      </c>
      <c r="D258" s="5">
        <v>16.5</v>
      </c>
      <c r="E258" s="5">
        <v>14.7</v>
      </c>
      <c r="F258" s="5">
        <v>20.9</v>
      </c>
      <c r="G258" s="5">
        <f t="shared" si="41"/>
        <v>2268.1999999999998</v>
      </c>
      <c r="H258" s="5">
        <f t="shared" si="47"/>
        <v>121.1</v>
      </c>
      <c r="I258" s="5">
        <v>0</v>
      </c>
      <c r="J258" s="5">
        <v>0</v>
      </c>
      <c r="K258" s="5">
        <f t="shared" si="42"/>
        <v>423.49999999999994</v>
      </c>
      <c r="L258" s="5">
        <v>3.3</v>
      </c>
      <c r="M258" s="5">
        <f t="shared" si="43"/>
        <v>352.00000000000017</v>
      </c>
      <c r="N258" s="9">
        <f t="shared" si="40"/>
        <v>-3.3</v>
      </c>
      <c r="O258" s="5">
        <f t="shared" si="46"/>
        <v>141.69999999999993</v>
      </c>
      <c r="P258" s="5">
        <v>253</v>
      </c>
      <c r="Q258" s="5">
        <v>1.1499999999999999</v>
      </c>
      <c r="R258" s="10">
        <f t="shared" si="37"/>
        <v>3.7949999999999995</v>
      </c>
      <c r="S258" s="10">
        <f t="shared" si="38"/>
        <v>-3.7949999999999995</v>
      </c>
      <c r="T258" s="10">
        <f t="shared" si="44"/>
        <v>129.45600000000005</v>
      </c>
      <c r="U258" s="10">
        <f>MIN(T251:T272)</f>
        <v>86.386000000000067</v>
      </c>
      <c r="V258" s="5">
        <v>1617.8</v>
      </c>
      <c r="W258" s="5">
        <f t="shared" si="39"/>
        <v>98.048484848484847</v>
      </c>
      <c r="X258" s="5">
        <f t="shared" si="45"/>
        <v>206117.99999999997</v>
      </c>
      <c r="Y258" s="5">
        <f t="shared" si="48"/>
        <v>16330.800000000001</v>
      </c>
      <c r="AA258" s="5">
        <v>15.065187736106999</v>
      </c>
    </row>
    <row r="259" spans="1:27" s="5" customFormat="1" x14ac:dyDescent="0.25">
      <c r="A259" s="72"/>
      <c r="B259" s="6"/>
      <c r="C259" s="7">
        <v>42137</v>
      </c>
      <c r="D259" s="5">
        <v>15.9</v>
      </c>
      <c r="E259" s="5">
        <v>10</v>
      </c>
      <c r="F259" s="5">
        <v>20.5</v>
      </c>
      <c r="G259" s="5">
        <f t="shared" si="41"/>
        <v>2284.1</v>
      </c>
      <c r="H259" s="5">
        <f t="shared" si="47"/>
        <v>137</v>
      </c>
      <c r="I259" s="38" t="s">
        <v>38</v>
      </c>
      <c r="J259" s="5">
        <v>0</v>
      </c>
      <c r="K259" s="5">
        <f t="shared" si="42"/>
        <v>423.49999999999994</v>
      </c>
      <c r="L259" s="5">
        <v>3.2</v>
      </c>
      <c r="M259" s="5">
        <f t="shared" si="43"/>
        <v>355.20000000000016</v>
      </c>
      <c r="N259" s="9">
        <f t="shared" si="40"/>
        <v>-3.2</v>
      </c>
      <c r="O259" s="5">
        <f t="shared" si="46"/>
        <v>138.49999999999994</v>
      </c>
      <c r="P259" s="5">
        <v>254</v>
      </c>
      <c r="Q259" s="5">
        <v>1.1499999999999999</v>
      </c>
      <c r="R259" s="10">
        <f t="shared" si="37"/>
        <v>3.6799999999999997</v>
      </c>
      <c r="S259" s="10">
        <f t="shared" si="38"/>
        <v>-3.6799999999999997</v>
      </c>
      <c r="T259" s="10">
        <f t="shared" si="44"/>
        <v>125.77600000000004</v>
      </c>
      <c r="U259" s="38" t="s">
        <v>39</v>
      </c>
      <c r="V259" s="5">
        <v>1800.2</v>
      </c>
      <c r="W259" s="5">
        <f t="shared" si="39"/>
        <v>113.22012578616352</v>
      </c>
      <c r="X259" s="5">
        <f t="shared" si="45"/>
        <v>207918.19999999998</v>
      </c>
      <c r="Y259" s="5">
        <f t="shared" si="48"/>
        <v>18131</v>
      </c>
      <c r="AA259" s="5">
        <v>15.1116072389986</v>
      </c>
    </row>
    <row r="260" spans="1:27" s="5" customFormat="1" x14ac:dyDescent="0.25">
      <c r="A260" s="72"/>
      <c r="B260" s="6"/>
      <c r="C260" s="7">
        <v>42138</v>
      </c>
      <c r="D260" s="5">
        <v>13.5</v>
      </c>
      <c r="E260" s="5">
        <v>12.3</v>
      </c>
      <c r="F260" s="5">
        <v>16</v>
      </c>
      <c r="G260" s="5">
        <f t="shared" si="41"/>
        <v>2297.6</v>
      </c>
      <c r="H260" s="5">
        <f t="shared" si="47"/>
        <v>150.5</v>
      </c>
      <c r="I260" s="5">
        <v>1</v>
      </c>
      <c r="J260" s="5">
        <v>5.7</v>
      </c>
      <c r="K260" s="5">
        <f t="shared" si="42"/>
        <v>429.19999999999993</v>
      </c>
      <c r="L260" s="5">
        <v>1.6</v>
      </c>
      <c r="M260" s="5">
        <f t="shared" si="43"/>
        <v>356.80000000000018</v>
      </c>
      <c r="N260" s="5">
        <f t="shared" si="40"/>
        <v>4.0999999999999996</v>
      </c>
      <c r="O260" s="5">
        <f t="shared" si="46"/>
        <v>142.59999999999994</v>
      </c>
      <c r="P260" s="5">
        <v>255</v>
      </c>
      <c r="Q260" s="5">
        <v>1.1499999999999999</v>
      </c>
      <c r="R260" s="10">
        <f t="shared" si="37"/>
        <v>1.8399999999999999</v>
      </c>
      <c r="S260" s="10">
        <f t="shared" si="38"/>
        <v>3.8600000000000003</v>
      </c>
      <c r="T260" s="10">
        <f t="shared" si="44"/>
        <v>129.63600000000005</v>
      </c>
      <c r="U260" s="10">
        <f>MAX(T251:T272)</f>
        <v>155.57100000000003</v>
      </c>
      <c r="V260" s="5">
        <v>993.8</v>
      </c>
      <c r="W260" s="5">
        <f t="shared" si="39"/>
        <v>73.614814814814807</v>
      </c>
      <c r="X260" s="5">
        <f t="shared" si="45"/>
        <v>208911.99999999997</v>
      </c>
      <c r="Y260" s="5">
        <f t="shared" si="48"/>
        <v>19124.8</v>
      </c>
      <c r="AA260" s="5">
        <v>15.1573470481062</v>
      </c>
    </row>
    <row r="261" spans="1:27" s="5" customFormat="1" x14ac:dyDescent="0.25">
      <c r="A261" s="72"/>
      <c r="B261" s="6"/>
      <c r="C261" s="7">
        <v>42139</v>
      </c>
      <c r="D261" s="5">
        <v>11</v>
      </c>
      <c r="E261" s="5">
        <v>8.9</v>
      </c>
      <c r="F261" s="5">
        <v>14</v>
      </c>
      <c r="G261" s="5">
        <f t="shared" si="41"/>
        <v>2308.6</v>
      </c>
      <c r="H261" s="5">
        <f t="shared" si="47"/>
        <v>161.5</v>
      </c>
      <c r="I261" s="38" t="s">
        <v>40</v>
      </c>
      <c r="J261" s="5">
        <v>0</v>
      </c>
      <c r="K261" s="5">
        <f t="shared" si="42"/>
        <v>429.19999999999993</v>
      </c>
      <c r="L261" s="5">
        <v>1.6</v>
      </c>
      <c r="M261" s="5">
        <f t="shared" si="43"/>
        <v>358.4000000000002</v>
      </c>
      <c r="N261" s="9">
        <f t="shared" si="40"/>
        <v>-1.6</v>
      </c>
      <c r="O261" s="5">
        <f t="shared" si="46"/>
        <v>140.99999999999994</v>
      </c>
      <c r="P261" s="5">
        <v>256</v>
      </c>
      <c r="Q261" s="5">
        <v>1.1499999999999999</v>
      </c>
      <c r="R261" s="10">
        <f t="shared" si="37"/>
        <v>1.8399999999999999</v>
      </c>
      <c r="S261" s="10">
        <f t="shared" si="38"/>
        <v>-1.8399999999999999</v>
      </c>
      <c r="T261" s="10">
        <f t="shared" si="44"/>
        <v>127.79600000000005</v>
      </c>
      <c r="U261" s="38" t="s">
        <v>41</v>
      </c>
      <c r="V261" s="5">
        <v>1108.0999999999999</v>
      </c>
      <c r="W261" s="5">
        <f t="shared" si="39"/>
        <v>100.73636363636363</v>
      </c>
      <c r="X261" s="5">
        <f t="shared" si="45"/>
        <v>210020.09999999998</v>
      </c>
      <c r="Y261" s="5">
        <f t="shared" si="48"/>
        <v>20232.899999999998</v>
      </c>
      <c r="AA261" s="5">
        <v>15.2023827582232</v>
      </c>
    </row>
    <row r="262" spans="1:27" s="24" customFormat="1" x14ac:dyDescent="0.25">
      <c r="A262" s="72"/>
      <c r="B262" s="22"/>
      <c r="C262" s="23">
        <v>42140</v>
      </c>
      <c r="D262" s="24">
        <v>11.6</v>
      </c>
      <c r="E262" s="24">
        <v>8</v>
      </c>
      <c r="F262" s="24">
        <v>16.100000000000001</v>
      </c>
      <c r="G262" s="24">
        <f t="shared" si="41"/>
        <v>2320.1999999999998</v>
      </c>
      <c r="H262" s="24">
        <f t="shared" si="47"/>
        <v>173.1</v>
      </c>
      <c r="I262" s="24">
        <v>0</v>
      </c>
      <c r="J262" s="24">
        <v>0</v>
      </c>
      <c r="K262" s="24">
        <f t="shared" si="42"/>
        <v>429.19999999999993</v>
      </c>
      <c r="L262" s="24">
        <v>1.8</v>
      </c>
      <c r="M262" s="24">
        <f t="shared" si="43"/>
        <v>360.20000000000022</v>
      </c>
      <c r="N262" s="26">
        <f t="shared" si="40"/>
        <v>-1.8</v>
      </c>
      <c r="O262" s="24">
        <f t="shared" si="46"/>
        <v>139.19999999999993</v>
      </c>
      <c r="P262" s="24">
        <v>257</v>
      </c>
      <c r="Q262" s="5">
        <v>1.1499999999999999</v>
      </c>
      <c r="R262" s="27">
        <f t="shared" ref="R262:R325" si="49">Q262*L262</f>
        <v>2.0699999999999998</v>
      </c>
      <c r="S262" s="27">
        <f t="shared" ref="S262:S325" si="50">J262-R262</f>
        <v>-2.0699999999999998</v>
      </c>
      <c r="T262" s="10">
        <f t="shared" si="44"/>
        <v>125.72600000000006</v>
      </c>
      <c r="U262" s="62">
        <f>AVERAGE(T251:T272)</f>
        <v>122.60668181818185</v>
      </c>
      <c r="V262" s="24">
        <v>1126.8</v>
      </c>
      <c r="W262" s="24">
        <f t="shared" ref="W262:W325" si="51">V262/D262</f>
        <v>97.137931034482762</v>
      </c>
      <c r="X262" s="24">
        <f t="shared" si="45"/>
        <v>211146.89999999997</v>
      </c>
      <c r="Y262" s="5">
        <f t="shared" si="48"/>
        <v>21359.699999999997</v>
      </c>
      <c r="AA262" s="5">
        <v>15.2466895795214</v>
      </c>
    </row>
    <row r="263" spans="1:27" s="5" customFormat="1" ht="15" customHeight="1" x14ac:dyDescent="0.25">
      <c r="A263" s="72"/>
      <c r="B263" s="6"/>
      <c r="C263" s="7">
        <v>42141</v>
      </c>
      <c r="D263" s="5">
        <v>13</v>
      </c>
      <c r="E263" s="5">
        <v>7.9</v>
      </c>
      <c r="F263" s="5">
        <v>17.899999999999999</v>
      </c>
      <c r="G263" s="5">
        <f t="shared" si="41"/>
        <v>2333.1999999999998</v>
      </c>
      <c r="H263" s="5">
        <f t="shared" si="47"/>
        <v>186.1</v>
      </c>
      <c r="I263" s="38" t="s">
        <v>42</v>
      </c>
      <c r="J263" s="5">
        <v>0</v>
      </c>
      <c r="K263" s="5">
        <f t="shared" si="42"/>
        <v>429.19999999999993</v>
      </c>
      <c r="L263" s="5">
        <v>3.6</v>
      </c>
      <c r="M263" s="5">
        <f t="shared" si="43"/>
        <v>363.80000000000024</v>
      </c>
      <c r="N263" s="9">
        <f t="shared" ref="N263:N326" si="52">J263-L263</f>
        <v>-3.6</v>
      </c>
      <c r="O263" s="5">
        <f t="shared" si="46"/>
        <v>135.59999999999994</v>
      </c>
      <c r="P263" s="5">
        <v>258</v>
      </c>
      <c r="Q263" s="5">
        <v>1.1499999999999999</v>
      </c>
      <c r="R263" s="10">
        <f t="shared" si="49"/>
        <v>4.1399999999999997</v>
      </c>
      <c r="S263" s="10">
        <f t="shared" si="50"/>
        <v>-4.1399999999999997</v>
      </c>
      <c r="T263" s="10">
        <f t="shared" si="44"/>
        <v>121.58600000000006</v>
      </c>
      <c r="V263" s="5">
        <v>2294.8000000000002</v>
      </c>
      <c r="W263" s="5">
        <f t="shared" si="51"/>
        <v>176.52307692307693</v>
      </c>
      <c r="X263" s="5">
        <f t="shared" si="45"/>
        <v>213441.69999999995</v>
      </c>
      <c r="Y263" s="5">
        <f t="shared" si="48"/>
        <v>23654.499999999996</v>
      </c>
      <c r="AA263" s="5">
        <v>15.2902423666155</v>
      </c>
    </row>
    <row r="264" spans="1:27" s="5" customFormat="1" x14ac:dyDescent="0.25">
      <c r="A264" s="72"/>
      <c r="B264" s="6"/>
      <c r="C264" s="7">
        <v>42142</v>
      </c>
      <c r="D264" s="5">
        <v>13.3</v>
      </c>
      <c r="E264" s="5">
        <v>8.6</v>
      </c>
      <c r="F264" s="5">
        <v>19.5</v>
      </c>
      <c r="G264" s="5">
        <f t="shared" ref="G264:G326" si="53">G263+D264</f>
        <v>2346.5</v>
      </c>
      <c r="H264" s="5">
        <f t="shared" si="47"/>
        <v>199.4</v>
      </c>
      <c r="I264" s="5">
        <v>303.7</v>
      </c>
      <c r="J264" s="5">
        <v>0.4</v>
      </c>
      <c r="K264" s="5">
        <f t="shared" ref="K264:K326" si="54">K263+J264</f>
        <v>429.59999999999991</v>
      </c>
      <c r="L264" s="5">
        <v>4.0999999999999996</v>
      </c>
      <c r="M264" s="5">
        <f t="shared" ref="M264:M326" si="55">M263+L264</f>
        <v>367.90000000000026</v>
      </c>
      <c r="N264" s="9">
        <f t="shared" si="52"/>
        <v>-3.6999999999999997</v>
      </c>
      <c r="O264" s="5">
        <f t="shared" si="46"/>
        <v>131.89999999999995</v>
      </c>
      <c r="P264" s="5">
        <v>259</v>
      </c>
      <c r="Q264" s="5">
        <v>1.1499999999999999</v>
      </c>
      <c r="R264" s="10">
        <f t="shared" si="49"/>
        <v>4.714999999999999</v>
      </c>
      <c r="S264" s="10">
        <f t="shared" si="50"/>
        <v>-4.3149999999999986</v>
      </c>
      <c r="T264" s="10">
        <f t="shared" ref="T264:T326" si="56">MIN(197.4,(T263+S264))</f>
        <v>117.27100000000006</v>
      </c>
      <c r="U264" s="5">
        <f>(U262*100)/197.4</f>
        <v>62.110781062908742</v>
      </c>
      <c r="V264" s="5">
        <v>2238.4</v>
      </c>
      <c r="W264" s="5">
        <f t="shared" si="51"/>
        <v>168.30075187969925</v>
      </c>
      <c r="X264" s="5">
        <f t="shared" ref="X264:X326" si="57">X263+V264</f>
        <v>215680.09999999995</v>
      </c>
      <c r="Y264" s="5">
        <f t="shared" si="48"/>
        <v>25892.899999999998</v>
      </c>
      <c r="AA264" s="5">
        <v>15.3330156505037</v>
      </c>
    </row>
    <row r="265" spans="1:27" s="5" customFormat="1" x14ac:dyDescent="0.25">
      <c r="A265" s="72"/>
      <c r="B265" s="6"/>
      <c r="C265" s="7">
        <v>42143</v>
      </c>
      <c r="D265" s="5">
        <v>10.1</v>
      </c>
      <c r="E265" s="5">
        <v>8</v>
      </c>
      <c r="F265" s="5">
        <v>14.8</v>
      </c>
      <c r="G265" s="5">
        <f t="shared" si="53"/>
        <v>2356.6</v>
      </c>
      <c r="H265" s="5">
        <f t="shared" si="47"/>
        <v>209.5</v>
      </c>
      <c r="J265" s="5">
        <v>0.7</v>
      </c>
      <c r="K265" s="5">
        <f t="shared" si="54"/>
        <v>430.2999999999999</v>
      </c>
      <c r="L265" s="5">
        <v>4.0999999999999996</v>
      </c>
      <c r="M265" s="5">
        <f t="shared" si="55"/>
        <v>372.00000000000028</v>
      </c>
      <c r="N265" s="9">
        <f t="shared" si="52"/>
        <v>-3.3999999999999995</v>
      </c>
      <c r="O265" s="5">
        <f t="shared" ref="O265:O326" si="58">O264+N265</f>
        <v>128.49999999999994</v>
      </c>
      <c r="P265" s="5">
        <v>260</v>
      </c>
      <c r="Q265" s="5">
        <v>1.1499999999999999</v>
      </c>
      <c r="R265" s="10">
        <f t="shared" si="49"/>
        <v>4.714999999999999</v>
      </c>
      <c r="S265" s="10">
        <f t="shared" si="50"/>
        <v>-4.0149999999999988</v>
      </c>
      <c r="T265" s="10">
        <f t="shared" si="56"/>
        <v>113.25600000000006</v>
      </c>
      <c r="V265" s="5">
        <v>2634.1</v>
      </c>
      <c r="W265" s="5">
        <f t="shared" si="51"/>
        <v>260.80198019801981</v>
      </c>
      <c r="X265" s="5">
        <f t="shared" si="57"/>
        <v>218314.19999999995</v>
      </c>
      <c r="Y265" s="5">
        <f t="shared" si="48"/>
        <v>28526.999999999996</v>
      </c>
      <c r="AA265" s="5">
        <v>15.3749836734314</v>
      </c>
    </row>
    <row r="266" spans="1:27" s="5" customFormat="1" x14ac:dyDescent="0.25">
      <c r="A266" s="72"/>
      <c r="B266" s="6"/>
      <c r="C266" s="7">
        <v>42144</v>
      </c>
      <c r="D266" s="5">
        <v>9.1999999999999993</v>
      </c>
      <c r="E266" s="5">
        <v>5.9</v>
      </c>
      <c r="F266" s="5">
        <v>12.7</v>
      </c>
      <c r="G266" s="5">
        <f t="shared" si="53"/>
        <v>2365.7999999999997</v>
      </c>
      <c r="H266" s="5">
        <f t="shared" si="47"/>
        <v>218.7</v>
      </c>
      <c r="J266" s="5">
        <v>0.3</v>
      </c>
      <c r="K266" s="5">
        <f t="shared" si="54"/>
        <v>430.59999999999991</v>
      </c>
      <c r="L266" s="5">
        <v>2.7</v>
      </c>
      <c r="M266" s="5">
        <f t="shared" si="55"/>
        <v>374.70000000000027</v>
      </c>
      <c r="N266" s="9">
        <f t="shared" si="52"/>
        <v>-2.4000000000000004</v>
      </c>
      <c r="O266" s="5">
        <f t="shared" si="58"/>
        <v>126.09999999999994</v>
      </c>
      <c r="P266" s="5">
        <v>261</v>
      </c>
      <c r="Q266" s="5">
        <v>1.1499999999999999</v>
      </c>
      <c r="R266" s="10">
        <f t="shared" si="49"/>
        <v>3.105</v>
      </c>
      <c r="S266" s="10">
        <f t="shared" si="50"/>
        <v>-2.8050000000000002</v>
      </c>
      <c r="T266" s="10">
        <f t="shared" si="56"/>
        <v>110.45100000000005</v>
      </c>
      <c r="V266" s="5">
        <v>2015.8</v>
      </c>
      <c r="W266" s="5">
        <f t="shared" si="51"/>
        <v>219.10869565217394</v>
      </c>
      <c r="X266" s="5">
        <f t="shared" si="57"/>
        <v>220329.99999999994</v>
      </c>
      <c r="Y266" s="5">
        <f t="shared" si="48"/>
        <v>30542.799999999996</v>
      </c>
      <c r="AA266" s="5">
        <v>15.4161204267035</v>
      </c>
    </row>
    <row r="267" spans="1:27" s="5" customFormat="1" x14ac:dyDescent="0.25">
      <c r="A267" s="72"/>
      <c r="B267" s="6"/>
      <c r="C267" s="7">
        <v>42145</v>
      </c>
      <c r="D267" s="5">
        <v>11.8</v>
      </c>
      <c r="E267" s="5">
        <v>5.2</v>
      </c>
      <c r="F267" s="5">
        <v>16.600000000000001</v>
      </c>
      <c r="G267" s="5">
        <f t="shared" si="53"/>
        <v>2377.6</v>
      </c>
      <c r="H267" s="5">
        <f t="shared" si="47"/>
        <v>230.5</v>
      </c>
      <c r="J267" s="5">
        <v>0</v>
      </c>
      <c r="K267" s="5">
        <f t="shared" si="54"/>
        <v>430.59999999999991</v>
      </c>
      <c r="L267" s="5">
        <v>3.7</v>
      </c>
      <c r="M267" s="5">
        <f t="shared" si="55"/>
        <v>378.40000000000026</v>
      </c>
      <c r="N267" s="9">
        <f t="shared" si="52"/>
        <v>-3.7</v>
      </c>
      <c r="O267" s="5">
        <f t="shared" si="58"/>
        <v>122.39999999999993</v>
      </c>
      <c r="P267" s="5">
        <v>262</v>
      </c>
      <c r="Q267" s="5">
        <v>1.1499999999999999</v>
      </c>
      <c r="R267" s="10">
        <f t="shared" si="49"/>
        <v>4.2549999999999999</v>
      </c>
      <c r="S267" s="10">
        <f t="shared" si="50"/>
        <v>-4.2549999999999999</v>
      </c>
      <c r="T267" s="10">
        <f t="shared" si="56"/>
        <v>106.19600000000005</v>
      </c>
      <c r="V267" s="5">
        <v>2581.5</v>
      </c>
      <c r="W267" s="5">
        <f t="shared" si="51"/>
        <v>218.77118644067795</v>
      </c>
      <c r="X267" s="5">
        <f t="shared" si="57"/>
        <v>222911.49999999994</v>
      </c>
      <c r="Y267" s="5">
        <f t="shared" si="48"/>
        <v>33124.299999999996</v>
      </c>
      <c r="AA267" s="5">
        <v>15.456399691461</v>
      </c>
    </row>
    <row r="268" spans="1:27" s="5" customFormat="1" x14ac:dyDescent="0.25">
      <c r="A268" s="72"/>
      <c r="B268" s="6"/>
      <c r="C268" s="7">
        <v>42146</v>
      </c>
      <c r="D268" s="5">
        <v>13.5</v>
      </c>
      <c r="E268" s="5">
        <v>8.5</v>
      </c>
      <c r="F268" s="5">
        <v>18.2</v>
      </c>
      <c r="G268" s="5">
        <f t="shared" si="53"/>
        <v>2391.1</v>
      </c>
      <c r="H268" s="5">
        <f t="shared" si="47"/>
        <v>244</v>
      </c>
      <c r="J268" s="5">
        <v>0</v>
      </c>
      <c r="K268" s="5">
        <f t="shared" si="54"/>
        <v>430.59999999999991</v>
      </c>
      <c r="L268" s="5">
        <v>3.4</v>
      </c>
      <c r="M268" s="5">
        <f t="shared" si="55"/>
        <v>381.80000000000024</v>
      </c>
      <c r="N268" s="9">
        <f t="shared" si="52"/>
        <v>-3.4</v>
      </c>
      <c r="O268" s="5">
        <f t="shared" si="58"/>
        <v>118.99999999999993</v>
      </c>
      <c r="P268" s="5">
        <v>263</v>
      </c>
      <c r="Q268" s="5">
        <v>1.1499999999999999</v>
      </c>
      <c r="R268" s="10">
        <f t="shared" si="49"/>
        <v>3.9099999999999997</v>
      </c>
      <c r="S268" s="10">
        <f t="shared" si="50"/>
        <v>-3.9099999999999997</v>
      </c>
      <c r="T268" s="10">
        <f t="shared" si="56"/>
        <v>102.28600000000006</v>
      </c>
      <c r="V268" s="5">
        <v>2067.6999999999998</v>
      </c>
      <c r="W268" s="5">
        <f t="shared" si="51"/>
        <v>153.16296296296295</v>
      </c>
      <c r="X268" s="5">
        <f t="shared" si="57"/>
        <v>224979.19999999995</v>
      </c>
      <c r="Y268" s="5">
        <f t="shared" si="48"/>
        <v>35191.999999999993</v>
      </c>
      <c r="AA268" s="5">
        <v>15.495795082413499</v>
      </c>
    </row>
    <row r="269" spans="1:27" s="5" customFormat="1" x14ac:dyDescent="0.25">
      <c r="A269" s="72"/>
      <c r="B269" s="6"/>
      <c r="C269" s="7">
        <v>42147</v>
      </c>
      <c r="D269" s="5">
        <v>15.2</v>
      </c>
      <c r="E269" s="5">
        <v>10</v>
      </c>
      <c r="F269" s="5">
        <v>20.2</v>
      </c>
      <c r="G269" s="5">
        <f t="shared" si="53"/>
        <v>2406.2999999999997</v>
      </c>
      <c r="H269" s="5">
        <f t="shared" si="47"/>
        <v>259.2</v>
      </c>
      <c r="J269" s="5">
        <v>0</v>
      </c>
      <c r="K269" s="5">
        <f t="shared" si="54"/>
        <v>430.59999999999991</v>
      </c>
      <c r="L269" s="5">
        <v>3.6</v>
      </c>
      <c r="M269" s="5">
        <f t="shared" si="55"/>
        <v>385.40000000000026</v>
      </c>
      <c r="N269" s="9">
        <f t="shared" si="52"/>
        <v>-3.6</v>
      </c>
      <c r="O269" s="5">
        <f t="shared" si="58"/>
        <v>115.39999999999993</v>
      </c>
      <c r="P269" s="5">
        <v>264</v>
      </c>
      <c r="Q269" s="5">
        <v>1.1499999999999999</v>
      </c>
      <c r="R269" s="10">
        <f t="shared" si="49"/>
        <v>4.1399999999999997</v>
      </c>
      <c r="S269" s="10">
        <f t="shared" si="50"/>
        <v>-4.1399999999999997</v>
      </c>
      <c r="T269" s="10">
        <f t="shared" si="56"/>
        <v>98.146000000000058</v>
      </c>
      <c r="V269" s="5">
        <v>2055.9</v>
      </c>
      <c r="W269" s="5">
        <f t="shared" si="51"/>
        <v>135.25657894736844</v>
      </c>
      <c r="X269" s="5">
        <f t="shared" si="57"/>
        <v>227035.09999999995</v>
      </c>
      <c r="Y269" s="5">
        <f t="shared" si="48"/>
        <v>37247.899999999994</v>
      </c>
      <c r="AA269" s="5">
        <v>15.5342800945023</v>
      </c>
    </row>
    <row r="270" spans="1:27" s="5" customFormat="1" x14ac:dyDescent="0.25">
      <c r="A270" s="72"/>
      <c r="B270" s="6"/>
      <c r="C270" s="7">
        <v>42148</v>
      </c>
      <c r="D270" s="5">
        <v>15.7</v>
      </c>
      <c r="E270" s="5">
        <v>12</v>
      </c>
      <c r="F270" s="5">
        <v>19.7</v>
      </c>
      <c r="G270" s="5">
        <f t="shared" si="53"/>
        <v>2421.9999999999995</v>
      </c>
      <c r="H270" s="5">
        <f t="shared" si="47"/>
        <v>274.89999999999998</v>
      </c>
      <c r="J270" s="5">
        <v>2.2999999999999998</v>
      </c>
      <c r="K270" s="5">
        <f t="shared" si="54"/>
        <v>432.89999999999992</v>
      </c>
      <c r="L270" s="5">
        <v>4.5</v>
      </c>
      <c r="M270" s="5">
        <f t="shared" si="55"/>
        <v>389.90000000000026</v>
      </c>
      <c r="N270" s="9">
        <f t="shared" si="52"/>
        <v>-2.2000000000000002</v>
      </c>
      <c r="O270" s="5">
        <f t="shared" si="58"/>
        <v>113.19999999999993</v>
      </c>
      <c r="P270" s="5">
        <v>265</v>
      </c>
      <c r="Q270" s="5">
        <v>1.1499999999999999</v>
      </c>
      <c r="R270" s="10">
        <f t="shared" si="49"/>
        <v>5.1749999999999998</v>
      </c>
      <c r="S270" s="10">
        <f t="shared" si="50"/>
        <v>-2.875</v>
      </c>
      <c r="T270" s="10">
        <f t="shared" si="56"/>
        <v>95.271000000000058</v>
      </c>
      <c r="V270" s="5">
        <v>2604.6</v>
      </c>
      <c r="W270" s="5">
        <f t="shared" si="51"/>
        <v>165.89808917197453</v>
      </c>
      <c r="X270" s="5">
        <f t="shared" si="57"/>
        <v>229639.69999999995</v>
      </c>
      <c r="Y270" s="5">
        <f t="shared" si="48"/>
        <v>39852.499999999993</v>
      </c>
      <c r="AA270" s="5">
        <v>15.571828152445701</v>
      </c>
    </row>
    <row r="271" spans="1:27" s="5" customFormat="1" x14ac:dyDescent="0.25">
      <c r="A271" s="72"/>
      <c r="B271" s="6"/>
      <c r="C271" s="7">
        <v>42149</v>
      </c>
      <c r="D271" s="5">
        <v>14.7</v>
      </c>
      <c r="E271" s="5">
        <v>13</v>
      </c>
      <c r="F271" s="5">
        <v>18.5</v>
      </c>
      <c r="G271" s="5">
        <f t="shared" si="53"/>
        <v>2436.6999999999994</v>
      </c>
      <c r="H271" s="5">
        <f t="shared" si="47"/>
        <v>289.59999999999997</v>
      </c>
      <c r="J271" s="5">
        <v>0.2</v>
      </c>
      <c r="K271" s="5">
        <f t="shared" si="54"/>
        <v>433.09999999999991</v>
      </c>
      <c r="L271" s="5">
        <v>3.9</v>
      </c>
      <c r="M271" s="5">
        <f t="shared" si="55"/>
        <v>393.80000000000024</v>
      </c>
      <c r="N271" s="9">
        <f t="shared" si="52"/>
        <v>-3.6999999999999997</v>
      </c>
      <c r="O271" s="5">
        <f t="shared" si="58"/>
        <v>109.49999999999993</v>
      </c>
      <c r="P271" s="5">
        <v>266</v>
      </c>
      <c r="Q271" s="5">
        <v>1.1499999999999999</v>
      </c>
      <c r="R271" s="10">
        <f t="shared" si="49"/>
        <v>4.4849999999999994</v>
      </c>
      <c r="S271" s="10">
        <f t="shared" si="50"/>
        <v>-4.2849999999999993</v>
      </c>
      <c r="T271" s="10">
        <f t="shared" si="56"/>
        <v>90.986000000000061</v>
      </c>
      <c r="V271" s="5">
        <v>2142.6999999999998</v>
      </c>
      <c r="W271" s="5">
        <f t="shared" si="51"/>
        <v>145.76190476190476</v>
      </c>
      <c r="X271" s="5">
        <f t="shared" si="57"/>
        <v>231782.39999999997</v>
      </c>
      <c r="Y271" s="5">
        <f t="shared" si="48"/>
        <v>41995.19999999999</v>
      </c>
      <c r="AA271" s="5">
        <v>15.6084126630948</v>
      </c>
    </row>
    <row r="272" spans="1:27" s="50" customFormat="1" ht="15.75" thickBot="1" x14ac:dyDescent="0.3">
      <c r="A272" s="72"/>
      <c r="B272" s="47">
        <v>300</v>
      </c>
      <c r="C272" s="57">
        <v>42150</v>
      </c>
      <c r="D272" s="50">
        <v>14.1</v>
      </c>
      <c r="E272" s="50">
        <v>10.6</v>
      </c>
      <c r="F272" s="50">
        <v>17.399999999999999</v>
      </c>
      <c r="G272" s="50">
        <f t="shared" si="53"/>
        <v>2450.7999999999993</v>
      </c>
      <c r="H272" s="50">
        <f t="shared" si="47"/>
        <v>303.7</v>
      </c>
      <c r="J272" s="50">
        <v>0</v>
      </c>
      <c r="K272" s="50">
        <f t="shared" si="54"/>
        <v>433.09999999999991</v>
      </c>
      <c r="L272" s="50">
        <v>4</v>
      </c>
      <c r="M272" s="50">
        <f t="shared" si="55"/>
        <v>397.80000000000024</v>
      </c>
      <c r="N272" s="58">
        <f t="shared" si="52"/>
        <v>-4</v>
      </c>
      <c r="O272" s="50">
        <f t="shared" si="58"/>
        <v>105.49999999999993</v>
      </c>
      <c r="P272" s="50">
        <v>267</v>
      </c>
      <c r="Q272" s="50">
        <v>1.1499999999999999</v>
      </c>
      <c r="R272" s="52">
        <f t="shared" si="49"/>
        <v>4.5999999999999996</v>
      </c>
      <c r="S272" s="52">
        <f t="shared" si="50"/>
        <v>-4.5999999999999996</v>
      </c>
      <c r="T272" s="56">
        <f t="shared" si="56"/>
        <v>86.386000000000067</v>
      </c>
      <c r="V272" s="50">
        <v>2456.4</v>
      </c>
      <c r="W272" s="50">
        <f t="shared" si="51"/>
        <v>174.21276595744681</v>
      </c>
      <c r="X272" s="50">
        <f t="shared" si="57"/>
        <v>234238.79999999996</v>
      </c>
      <c r="Y272" s="55">
        <f t="shared" si="48"/>
        <v>44451.599999999991</v>
      </c>
      <c r="AA272" s="55">
        <v>15.644007070503401</v>
      </c>
    </row>
    <row r="273" spans="1:27" s="5" customFormat="1" x14ac:dyDescent="0.25">
      <c r="A273" s="73">
        <v>600</v>
      </c>
      <c r="B273" s="6"/>
      <c r="C273" s="7">
        <v>42151</v>
      </c>
      <c r="D273" s="5">
        <v>15.1</v>
      </c>
      <c r="E273" s="5">
        <v>10.6</v>
      </c>
      <c r="F273" s="5">
        <v>19.899999999999999</v>
      </c>
      <c r="G273" s="5">
        <f t="shared" si="53"/>
        <v>2465.8999999999992</v>
      </c>
      <c r="H273" s="5">
        <v>15.1</v>
      </c>
      <c r="I273" s="39" t="s">
        <v>27</v>
      </c>
      <c r="J273" s="5">
        <v>0</v>
      </c>
      <c r="K273" s="5">
        <f t="shared" si="54"/>
        <v>433.09999999999991</v>
      </c>
      <c r="L273" s="5">
        <v>3.9</v>
      </c>
      <c r="M273" s="5">
        <f t="shared" si="55"/>
        <v>401.70000000000022</v>
      </c>
      <c r="N273" s="9">
        <f t="shared" si="52"/>
        <v>-3.9</v>
      </c>
      <c r="O273" s="5">
        <f t="shared" si="58"/>
        <v>101.59999999999992</v>
      </c>
      <c r="P273" s="5">
        <v>268</v>
      </c>
      <c r="Q273" s="12">
        <f>1.15+((P273-267)/54)*(0.35-1.15)</f>
        <v>1.1351851851851851</v>
      </c>
      <c r="R273" s="10">
        <f t="shared" si="49"/>
        <v>4.4272222222222215</v>
      </c>
      <c r="S273" s="10">
        <f t="shared" si="50"/>
        <v>-4.4272222222222215</v>
      </c>
      <c r="T273" s="10">
        <f t="shared" si="56"/>
        <v>81.95877777777784</v>
      </c>
      <c r="U273" s="39" t="s">
        <v>28</v>
      </c>
      <c r="V273" s="5">
        <v>2269.1</v>
      </c>
      <c r="W273" s="5">
        <f t="shared" si="51"/>
        <v>150.27152317880794</v>
      </c>
      <c r="X273" s="5">
        <f t="shared" si="57"/>
        <v>236507.89999999997</v>
      </c>
      <c r="Y273" s="5">
        <v>2269.1</v>
      </c>
      <c r="Z273" s="39" t="s">
        <v>29</v>
      </c>
      <c r="AA273" s="5">
        <v>15.6785849135895</v>
      </c>
    </row>
    <row r="274" spans="1:27" s="5" customFormat="1" x14ac:dyDescent="0.25">
      <c r="A274" s="73"/>
      <c r="B274" s="6"/>
      <c r="C274" s="7">
        <v>42152</v>
      </c>
      <c r="D274" s="5">
        <v>14.4</v>
      </c>
      <c r="E274" s="5">
        <v>11</v>
      </c>
      <c r="F274" s="5">
        <v>19.600000000000001</v>
      </c>
      <c r="G274" s="5">
        <f t="shared" si="53"/>
        <v>2480.2999999999993</v>
      </c>
      <c r="H274" s="5">
        <f t="shared" si="47"/>
        <v>29.5</v>
      </c>
      <c r="I274" s="5">
        <f>MIN(E273:E290)</f>
        <v>9.9</v>
      </c>
      <c r="J274" s="5">
        <v>0</v>
      </c>
      <c r="K274" s="5">
        <f t="shared" si="54"/>
        <v>433.09999999999991</v>
      </c>
      <c r="L274" s="5">
        <v>3.9</v>
      </c>
      <c r="M274" s="5">
        <f t="shared" si="55"/>
        <v>405.60000000000019</v>
      </c>
      <c r="N274" s="9">
        <f t="shared" si="52"/>
        <v>-3.9</v>
      </c>
      <c r="O274" s="5">
        <f t="shared" si="58"/>
        <v>97.699999999999918</v>
      </c>
      <c r="P274" s="5">
        <v>269</v>
      </c>
      <c r="Q274" s="12">
        <f t="shared" ref="Q274:Q326" si="59">1.15+((P274-267)/54)*(0.35-1.15)</f>
        <v>1.1203703703703702</v>
      </c>
      <c r="R274" s="10">
        <f t="shared" si="49"/>
        <v>4.3694444444444436</v>
      </c>
      <c r="S274" s="10">
        <f t="shared" si="50"/>
        <v>-4.3694444444444436</v>
      </c>
      <c r="T274" s="10">
        <f t="shared" si="56"/>
        <v>77.5893333333334</v>
      </c>
      <c r="U274" s="5">
        <v>17</v>
      </c>
      <c r="V274" s="5">
        <v>2161.9</v>
      </c>
      <c r="W274" s="5">
        <f t="shared" si="51"/>
        <v>150.13194444444446</v>
      </c>
      <c r="X274" s="5">
        <f t="shared" si="57"/>
        <v>238669.79999999996</v>
      </c>
      <c r="Y274" s="5">
        <f t="shared" si="48"/>
        <v>4431</v>
      </c>
      <c r="Z274" s="5">
        <v>40268.700000000004</v>
      </c>
      <c r="AA274" s="5">
        <v>15.7121198862393</v>
      </c>
    </row>
    <row r="275" spans="1:27" s="5" customFormat="1" x14ac:dyDescent="0.25">
      <c r="A275" s="73"/>
      <c r="B275" s="6"/>
      <c r="C275" s="7">
        <v>42153</v>
      </c>
      <c r="D275" s="5">
        <v>14.3</v>
      </c>
      <c r="E275" s="5">
        <v>9.9</v>
      </c>
      <c r="F275" s="5">
        <v>17.2</v>
      </c>
      <c r="G275" s="5">
        <f t="shared" si="53"/>
        <v>2494.5999999999995</v>
      </c>
      <c r="H275" s="5">
        <f t="shared" si="47"/>
        <v>43.8</v>
      </c>
      <c r="I275" s="39" t="s">
        <v>30</v>
      </c>
      <c r="J275" s="5">
        <v>1</v>
      </c>
      <c r="K275" s="5">
        <f t="shared" si="54"/>
        <v>434.09999999999991</v>
      </c>
      <c r="L275" s="5">
        <v>3</v>
      </c>
      <c r="M275" s="5">
        <f t="shared" si="55"/>
        <v>408.60000000000019</v>
      </c>
      <c r="N275" s="9">
        <f t="shared" si="52"/>
        <v>-2</v>
      </c>
      <c r="O275" s="5">
        <f t="shared" si="58"/>
        <v>95.699999999999918</v>
      </c>
      <c r="P275" s="5">
        <v>270</v>
      </c>
      <c r="Q275" s="12">
        <f t="shared" si="59"/>
        <v>1.1055555555555554</v>
      </c>
      <c r="R275" s="10">
        <f t="shared" si="49"/>
        <v>3.3166666666666664</v>
      </c>
      <c r="S275" s="10">
        <f t="shared" si="50"/>
        <v>-2.3166666666666664</v>
      </c>
      <c r="T275" s="10">
        <f t="shared" si="56"/>
        <v>75.272666666666737</v>
      </c>
      <c r="U275" s="39" t="s">
        <v>31</v>
      </c>
      <c r="V275" s="5">
        <v>1586</v>
      </c>
      <c r="W275" s="5">
        <f t="shared" si="51"/>
        <v>110.90909090909091</v>
      </c>
      <c r="X275" s="5">
        <f t="shared" si="57"/>
        <v>240255.79999999996</v>
      </c>
      <c r="Y275" s="5">
        <f t="shared" si="48"/>
        <v>6017</v>
      </c>
      <c r="Z275" s="39" t="s">
        <v>32</v>
      </c>
      <c r="AA275" s="5">
        <v>15.744585899674799</v>
      </c>
    </row>
    <row r="276" spans="1:27" s="5" customFormat="1" x14ac:dyDescent="0.25">
      <c r="A276" s="73"/>
      <c r="B276" s="6"/>
      <c r="C276" s="7">
        <v>42154</v>
      </c>
      <c r="D276" s="5">
        <v>14</v>
      </c>
      <c r="E276" s="5">
        <v>10.6</v>
      </c>
      <c r="F276" s="5">
        <v>17.3</v>
      </c>
      <c r="G276" s="5">
        <f t="shared" si="53"/>
        <v>2508.5999999999995</v>
      </c>
      <c r="H276" s="5">
        <f t="shared" si="47"/>
        <v>57.8</v>
      </c>
      <c r="I276" s="5">
        <f>MAX(F273:F290)</f>
        <v>32.5</v>
      </c>
      <c r="J276" s="5">
        <v>0</v>
      </c>
      <c r="K276" s="5">
        <f t="shared" si="54"/>
        <v>434.09999999999991</v>
      </c>
      <c r="L276" s="5">
        <v>3.9</v>
      </c>
      <c r="M276" s="5">
        <f t="shared" si="55"/>
        <v>412.50000000000017</v>
      </c>
      <c r="N276" s="9">
        <f t="shared" si="52"/>
        <v>-3.9</v>
      </c>
      <c r="O276" s="5">
        <f t="shared" si="58"/>
        <v>91.799999999999912</v>
      </c>
      <c r="P276" s="5">
        <v>271</v>
      </c>
      <c r="Q276" s="12">
        <f t="shared" si="59"/>
        <v>1.0907407407407406</v>
      </c>
      <c r="R276" s="10">
        <f t="shared" si="49"/>
        <v>4.2538888888888877</v>
      </c>
      <c r="S276" s="10">
        <f t="shared" si="50"/>
        <v>-4.2538888888888877</v>
      </c>
      <c r="T276" s="10">
        <f t="shared" si="56"/>
        <v>71.018777777777842</v>
      </c>
      <c r="U276" s="5">
        <v>0</v>
      </c>
      <c r="V276" s="5">
        <v>2321.9</v>
      </c>
      <c r="W276" s="5">
        <f t="shared" si="51"/>
        <v>165.85</v>
      </c>
      <c r="X276" s="5">
        <f t="shared" si="57"/>
        <v>242577.69999999995</v>
      </c>
      <c r="Y276" s="5">
        <f t="shared" si="48"/>
        <v>8338.9</v>
      </c>
      <c r="Z276" s="12">
        <f>(Z274/100)/I286</f>
        <v>1.3070009737098347</v>
      </c>
      <c r="AA276" s="5">
        <v>15.7759571468813</v>
      </c>
    </row>
    <row r="277" spans="1:27" s="5" customFormat="1" x14ac:dyDescent="0.25">
      <c r="A277" s="73"/>
      <c r="B277" s="6"/>
      <c r="C277" s="7">
        <v>42155</v>
      </c>
      <c r="D277" s="5">
        <v>14.2</v>
      </c>
      <c r="E277" s="5">
        <v>10</v>
      </c>
      <c r="F277" s="5">
        <v>17</v>
      </c>
      <c r="G277" s="5">
        <f t="shared" si="53"/>
        <v>2522.7999999999993</v>
      </c>
      <c r="H277" s="5">
        <f t="shared" si="47"/>
        <v>72</v>
      </c>
      <c r="I277" s="39" t="s">
        <v>33</v>
      </c>
      <c r="J277" s="5">
        <v>3.6</v>
      </c>
      <c r="K277" s="5">
        <f t="shared" si="54"/>
        <v>437.69999999999993</v>
      </c>
      <c r="L277" s="5">
        <v>1.4</v>
      </c>
      <c r="M277" s="5">
        <f t="shared" si="55"/>
        <v>413.90000000000015</v>
      </c>
      <c r="N277" s="5">
        <f t="shared" si="52"/>
        <v>2.2000000000000002</v>
      </c>
      <c r="O277" s="5">
        <f t="shared" si="58"/>
        <v>93.999999999999915</v>
      </c>
      <c r="P277" s="5">
        <v>272</v>
      </c>
      <c r="Q277" s="12">
        <f t="shared" si="59"/>
        <v>1.075925925925926</v>
      </c>
      <c r="R277" s="10">
        <f t="shared" si="49"/>
        <v>1.5062962962962962</v>
      </c>
      <c r="S277" s="10">
        <f t="shared" si="50"/>
        <v>2.0937037037037038</v>
      </c>
      <c r="T277" s="10">
        <f t="shared" si="56"/>
        <v>73.112481481481552</v>
      </c>
      <c r="U277" s="39" t="s">
        <v>34</v>
      </c>
      <c r="V277" s="14">
        <v>731.5</v>
      </c>
      <c r="W277" s="5">
        <f t="shared" si="51"/>
        <v>51.514084507042256</v>
      </c>
      <c r="X277" s="5">
        <f t="shared" si="57"/>
        <v>243309.19999999995</v>
      </c>
      <c r="Y277" s="5">
        <f t="shared" si="48"/>
        <v>9070.4</v>
      </c>
      <c r="Z277" s="39" t="s">
        <v>35</v>
      </c>
      <c r="AA277" s="5">
        <v>15.8062081688572</v>
      </c>
    </row>
    <row r="278" spans="1:27" s="5" customFormat="1" x14ac:dyDescent="0.25">
      <c r="A278" s="73"/>
      <c r="B278" s="6"/>
      <c r="C278" s="7">
        <v>42156</v>
      </c>
      <c r="D278" s="5">
        <v>13.2</v>
      </c>
      <c r="E278" s="5">
        <v>10.199999999999999</v>
      </c>
      <c r="F278" s="5">
        <v>15.5</v>
      </c>
      <c r="G278" s="5">
        <f t="shared" si="53"/>
        <v>2535.9999999999991</v>
      </c>
      <c r="H278" s="5">
        <f t="shared" si="47"/>
        <v>85.2</v>
      </c>
      <c r="I278" s="10">
        <f>AVERAGE(D273:D290)</f>
        <v>17.116666666666664</v>
      </c>
      <c r="J278" s="5">
        <v>0</v>
      </c>
      <c r="K278" s="5">
        <f t="shared" si="54"/>
        <v>437.69999999999993</v>
      </c>
      <c r="L278" s="5">
        <v>2.8</v>
      </c>
      <c r="M278" s="5">
        <f t="shared" si="55"/>
        <v>416.70000000000016</v>
      </c>
      <c r="N278" s="5">
        <f t="shared" si="52"/>
        <v>-2.8</v>
      </c>
      <c r="O278" s="5">
        <f t="shared" si="58"/>
        <v>91.199999999999918</v>
      </c>
      <c r="P278" s="5">
        <v>273</v>
      </c>
      <c r="Q278" s="12">
        <f t="shared" si="59"/>
        <v>1.0611111111111111</v>
      </c>
      <c r="R278" s="10">
        <f t="shared" si="49"/>
        <v>2.971111111111111</v>
      </c>
      <c r="S278" s="10">
        <f t="shared" si="50"/>
        <v>-2.971111111111111</v>
      </c>
      <c r="T278" s="10">
        <f t="shared" si="56"/>
        <v>70.141370370370439</v>
      </c>
      <c r="U278" s="5">
        <v>12</v>
      </c>
      <c r="V278" s="5">
        <v>1707.5</v>
      </c>
      <c r="W278" s="5">
        <f t="shared" si="51"/>
        <v>129.35606060606062</v>
      </c>
      <c r="X278" s="5">
        <f t="shared" si="57"/>
        <v>245016.69999999995</v>
      </c>
      <c r="Y278" s="5">
        <f t="shared" si="48"/>
        <v>10777.9</v>
      </c>
      <c r="Z278" s="5">
        <v>1</v>
      </c>
      <c r="AA278" s="5">
        <v>15.8353139224259</v>
      </c>
    </row>
    <row r="279" spans="1:27" s="5" customFormat="1" x14ac:dyDescent="0.25">
      <c r="A279" s="73"/>
      <c r="B279" s="6"/>
      <c r="C279" s="7">
        <v>42157</v>
      </c>
      <c r="D279" s="5">
        <v>17.899999999999999</v>
      </c>
      <c r="E279" s="5">
        <v>12.4</v>
      </c>
      <c r="F279" s="5">
        <v>22.3</v>
      </c>
      <c r="G279" s="5">
        <f t="shared" si="53"/>
        <v>2553.8999999999992</v>
      </c>
      <c r="H279" s="5">
        <f t="shared" si="47"/>
        <v>103.1</v>
      </c>
      <c r="I279" s="39" t="s">
        <v>36</v>
      </c>
      <c r="J279" s="5">
        <v>0</v>
      </c>
      <c r="K279" s="5">
        <f t="shared" si="54"/>
        <v>437.69999999999993</v>
      </c>
      <c r="L279" s="5">
        <v>4.5</v>
      </c>
      <c r="M279" s="5">
        <f t="shared" si="55"/>
        <v>421.20000000000016</v>
      </c>
      <c r="N279" s="9">
        <f t="shared" si="52"/>
        <v>-4.5</v>
      </c>
      <c r="O279" s="5">
        <f t="shared" si="58"/>
        <v>86.699999999999918</v>
      </c>
      <c r="P279" s="5">
        <v>274</v>
      </c>
      <c r="Q279" s="12">
        <f t="shared" si="59"/>
        <v>1.0462962962962963</v>
      </c>
      <c r="R279" s="10">
        <f t="shared" si="49"/>
        <v>4.708333333333333</v>
      </c>
      <c r="S279" s="10">
        <f t="shared" si="50"/>
        <v>-4.708333333333333</v>
      </c>
      <c r="T279" s="10">
        <f t="shared" si="56"/>
        <v>65.43303703703711</v>
      </c>
      <c r="U279" s="39" t="s">
        <v>37</v>
      </c>
      <c r="V279" s="5">
        <v>1877</v>
      </c>
      <c r="W279" s="5">
        <f t="shared" si="51"/>
        <v>104.86033519553074</v>
      </c>
      <c r="X279" s="5">
        <f t="shared" si="57"/>
        <v>246893.69999999995</v>
      </c>
      <c r="Y279" s="5">
        <f t="shared" si="48"/>
        <v>12654.9</v>
      </c>
      <c r="AA279" s="5">
        <v>15.863249849316601</v>
      </c>
    </row>
    <row r="280" spans="1:27" s="5" customFormat="1" x14ac:dyDescent="0.25">
      <c r="A280" s="73"/>
      <c r="B280" s="6"/>
      <c r="C280" s="7">
        <v>42158</v>
      </c>
      <c r="D280" s="5">
        <v>16.8</v>
      </c>
      <c r="E280" s="5">
        <v>15.5</v>
      </c>
      <c r="F280" s="5">
        <v>20.3</v>
      </c>
      <c r="G280" s="5">
        <f t="shared" si="53"/>
        <v>2570.6999999999994</v>
      </c>
      <c r="H280" s="5">
        <f t="shared" si="47"/>
        <v>119.89999999999999</v>
      </c>
      <c r="I280" s="5">
        <v>0</v>
      </c>
      <c r="J280" s="5">
        <v>0.2</v>
      </c>
      <c r="K280" s="5">
        <f t="shared" si="54"/>
        <v>437.89999999999992</v>
      </c>
      <c r="L280" s="5">
        <v>3.7</v>
      </c>
      <c r="M280" s="5">
        <f t="shared" si="55"/>
        <v>424.90000000000015</v>
      </c>
      <c r="N280" s="9">
        <f t="shared" si="52"/>
        <v>-3.5</v>
      </c>
      <c r="O280" s="5">
        <f t="shared" si="58"/>
        <v>83.199999999999918</v>
      </c>
      <c r="P280" s="5">
        <v>275</v>
      </c>
      <c r="Q280" s="12">
        <f t="shared" si="59"/>
        <v>1.0314814814814814</v>
      </c>
      <c r="R280" s="10">
        <f t="shared" si="49"/>
        <v>3.8164814814814814</v>
      </c>
      <c r="S280" s="10">
        <f t="shared" si="50"/>
        <v>-3.6164814814814812</v>
      </c>
      <c r="T280" s="10">
        <f t="shared" si="56"/>
        <v>61.816555555555631</v>
      </c>
      <c r="U280" s="10">
        <f>MIN(T273:T290)</f>
        <v>13.318592592592669</v>
      </c>
      <c r="V280" s="5">
        <v>1821.5</v>
      </c>
      <c r="W280" s="5">
        <f t="shared" si="51"/>
        <v>108.42261904761904</v>
      </c>
      <c r="X280" s="5">
        <f t="shared" si="57"/>
        <v>248715.19999999995</v>
      </c>
      <c r="Y280" s="5">
        <f t="shared" si="48"/>
        <v>14476.4</v>
      </c>
      <c r="AA280" s="5">
        <v>15.8899919461976</v>
      </c>
    </row>
    <row r="281" spans="1:27" s="5" customFormat="1" x14ac:dyDescent="0.25">
      <c r="A281" s="73"/>
      <c r="B281" s="6"/>
      <c r="C281" s="7">
        <v>42159</v>
      </c>
      <c r="D281" s="5">
        <v>19</v>
      </c>
      <c r="E281" s="5">
        <v>10.4</v>
      </c>
      <c r="F281" s="13">
        <v>25.7</v>
      </c>
      <c r="G281" s="5">
        <f t="shared" si="53"/>
        <v>2589.6999999999994</v>
      </c>
      <c r="H281" s="5">
        <f t="shared" si="47"/>
        <v>138.89999999999998</v>
      </c>
      <c r="I281" s="39" t="s">
        <v>38</v>
      </c>
      <c r="J281" s="5">
        <v>0</v>
      </c>
      <c r="K281" s="5">
        <f t="shared" si="54"/>
        <v>437.89999999999992</v>
      </c>
      <c r="L281" s="5">
        <v>5.8</v>
      </c>
      <c r="M281" s="5">
        <f t="shared" si="55"/>
        <v>430.70000000000016</v>
      </c>
      <c r="N281" s="9">
        <f t="shared" si="52"/>
        <v>-5.8</v>
      </c>
      <c r="O281" s="5">
        <f t="shared" si="58"/>
        <v>77.39999999999992</v>
      </c>
      <c r="P281" s="5">
        <v>276</v>
      </c>
      <c r="Q281" s="12">
        <f t="shared" si="59"/>
        <v>1.0166666666666666</v>
      </c>
      <c r="R281" s="10">
        <f t="shared" si="49"/>
        <v>5.8966666666666665</v>
      </c>
      <c r="S281" s="10">
        <f t="shared" si="50"/>
        <v>-5.8966666666666665</v>
      </c>
      <c r="T281" s="10">
        <f t="shared" si="56"/>
        <v>55.919888888888963</v>
      </c>
      <c r="U281" s="39" t="s">
        <v>39</v>
      </c>
      <c r="V281" s="5">
        <v>3145.9</v>
      </c>
      <c r="W281" s="5">
        <f t="shared" si="51"/>
        <v>165.57368421052632</v>
      </c>
      <c r="X281" s="5">
        <f t="shared" si="57"/>
        <v>251861.09999999995</v>
      </c>
      <c r="Y281" s="5">
        <f t="shared" si="48"/>
        <v>17622.3</v>
      </c>
      <c r="AA281" s="5">
        <v>15.915516835317099</v>
      </c>
    </row>
    <row r="282" spans="1:27" s="5" customFormat="1" x14ac:dyDescent="0.25">
      <c r="A282" s="73"/>
      <c r="B282" s="6"/>
      <c r="C282" s="7">
        <v>42160</v>
      </c>
      <c r="D282" s="5">
        <v>23.8</v>
      </c>
      <c r="E282" s="5">
        <v>16.5</v>
      </c>
      <c r="F282" s="13">
        <v>32.5</v>
      </c>
      <c r="G282" s="5">
        <f t="shared" si="53"/>
        <v>2613.4999999999995</v>
      </c>
      <c r="H282" s="5">
        <f t="shared" si="47"/>
        <v>162.69999999999999</v>
      </c>
      <c r="I282" s="5">
        <v>4</v>
      </c>
      <c r="J282" s="5">
        <v>0</v>
      </c>
      <c r="K282" s="5">
        <f t="shared" si="54"/>
        <v>437.89999999999992</v>
      </c>
      <c r="L282" s="5">
        <v>5.5</v>
      </c>
      <c r="M282" s="5">
        <f t="shared" si="55"/>
        <v>436.20000000000016</v>
      </c>
      <c r="N282" s="9">
        <f t="shared" si="52"/>
        <v>-5.5</v>
      </c>
      <c r="O282" s="5">
        <f t="shared" si="58"/>
        <v>71.89999999999992</v>
      </c>
      <c r="P282" s="5">
        <v>277</v>
      </c>
      <c r="Q282" s="12">
        <f t="shared" si="59"/>
        <v>1.0018518518518518</v>
      </c>
      <c r="R282" s="10">
        <f t="shared" si="49"/>
        <v>5.5101851851851844</v>
      </c>
      <c r="S282" s="10">
        <f t="shared" si="50"/>
        <v>-5.5101851851851844</v>
      </c>
      <c r="T282" s="10">
        <f t="shared" si="56"/>
        <v>50.409703703703777</v>
      </c>
      <c r="U282" s="10">
        <f>MAX(T273:T290)</f>
        <v>81.95877777777784</v>
      </c>
      <c r="V282" s="5">
        <v>2299.1</v>
      </c>
      <c r="W282" s="5">
        <f t="shared" si="51"/>
        <v>96.600840336134453</v>
      </c>
      <c r="X282" s="5">
        <f t="shared" si="57"/>
        <v>254160.19999999995</v>
      </c>
      <c r="Y282" s="5">
        <f t="shared" si="48"/>
        <v>19921.399999999998</v>
      </c>
      <c r="AA282" s="5">
        <v>15.939801835385699</v>
      </c>
    </row>
    <row r="283" spans="1:27" s="24" customFormat="1" x14ac:dyDescent="0.25">
      <c r="A283" s="73"/>
      <c r="B283" s="22"/>
      <c r="C283" s="23">
        <v>42161</v>
      </c>
      <c r="D283" s="24">
        <v>17</v>
      </c>
      <c r="E283" s="24">
        <v>14.1</v>
      </c>
      <c r="F283" s="24">
        <v>20.7</v>
      </c>
      <c r="G283" s="24">
        <f t="shared" si="53"/>
        <v>2630.4999999999995</v>
      </c>
      <c r="H283" s="24">
        <f t="shared" si="47"/>
        <v>179.7</v>
      </c>
      <c r="I283" s="39" t="s">
        <v>40</v>
      </c>
      <c r="J283" s="24">
        <v>0</v>
      </c>
      <c r="K283" s="24">
        <f t="shared" si="54"/>
        <v>437.89999999999992</v>
      </c>
      <c r="L283" s="24">
        <v>5.7</v>
      </c>
      <c r="M283" s="24">
        <f t="shared" si="55"/>
        <v>441.90000000000015</v>
      </c>
      <c r="N283" s="26">
        <f t="shared" si="52"/>
        <v>-5.7</v>
      </c>
      <c r="O283" s="24">
        <f t="shared" si="58"/>
        <v>66.199999999999918</v>
      </c>
      <c r="P283" s="24">
        <v>278</v>
      </c>
      <c r="Q283" s="12">
        <f t="shared" si="59"/>
        <v>0.98703703703703694</v>
      </c>
      <c r="R283" s="27">
        <f t="shared" si="49"/>
        <v>5.6261111111111104</v>
      </c>
      <c r="S283" s="27">
        <f t="shared" si="50"/>
        <v>-5.6261111111111104</v>
      </c>
      <c r="T283" s="10">
        <f t="shared" si="56"/>
        <v>44.783592592592669</v>
      </c>
      <c r="U283" s="39" t="s">
        <v>41</v>
      </c>
      <c r="V283" s="24">
        <v>2797.9</v>
      </c>
      <c r="W283" s="24">
        <f t="shared" si="51"/>
        <v>164.58235294117648</v>
      </c>
      <c r="X283" s="24">
        <f t="shared" si="57"/>
        <v>256958.09999999995</v>
      </c>
      <c r="Y283" s="5">
        <f t="shared" si="48"/>
        <v>22719.3</v>
      </c>
      <c r="AA283" s="5">
        <v>15.9628250323111</v>
      </c>
    </row>
    <row r="284" spans="1:27" s="5" customFormat="1" ht="15" customHeight="1" x14ac:dyDescent="0.25">
      <c r="A284" s="73"/>
      <c r="B284" s="6"/>
      <c r="C284" s="7">
        <v>42162</v>
      </c>
      <c r="D284" s="5">
        <v>16.2</v>
      </c>
      <c r="E284" s="5">
        <v>11.1</v>
      </c>
      <c r="F284" s="5">
        <v>20.9</v>
      </c>
      <c r="G284" s="5">
        <f t="shared" si="53"/>
        <v>2646.6999999999994</v>
      </c>
      <c r="H284" s="5">
        <f t="shared" si="47"/>
        <v>195.89999999999998</v>
      </c>
      <c r="I284" s="5">
        <v>0</v>
      </c>
      <c r="J284" s="5">
        <v>0</v>
      </c>
      <c r="K284" s="5">
        <f t="shared" si="54"/>
        <v>437.89999999999992</v>
      </c>
      <c r="L284" s="5">
        <v>5.0999999999999996</v>
      </c>
      <c r="M284" s="5">
        <f t="shared" si="55"/>
        <v>447.00000000000017</v>
      </c>
      <c r="N284" s="9">
        <f t="shared" si="52"/>
        <v>-5.0999999999999996</v>
      </c>
      <c r="O284" s="5">
        <f t="shared" si="58"/>
        <v>61.099999999999916</v>
      </c>
      <c r="P284" s="5">
        <v>279</v>
      </c>
      <c r="Q284" s="12">
        <f t="shared" si="59"/>
        <v>0.9722222222222221</v>
      </c>
      <c r="R284" s="10">
        <f t="shared" si="49"/>
        <v>4.9583333333333321</v>
      </c>
      <c r="S284" s="10">
        <f t="shared" si="50"/>
        <v>-4.9583333333333321</v>
      </c>
      <c r="T284" s="10">
        <f t="shared" si="56"/>
        <v>39.82525925925934</v>
      </c>
      <c r="U284" s="63">
        <f>AVERAGE(T273:T290)</f>
        <v>50.413664609053576</v>
      </c>
      <c r="V284" s="5">
        <v>2625.8</v>
      </c>
      <c r="W284" s="5">
        <f t="shared" si="51"/>
        <v>162.08641975308643</v>
      </c>
      <c r="X284" s="5">
        <f t="shared" si="57"/>
        <v>259583.89999999994</v>
      </c>
      <c r="Y284" s="5">
        <f t="shared" si="48"/>
        <v>25345.1</v>
      </c>
      <c r="AA284" s="5">
        <v>15.984565349378901</v>
      </c>
    </row>
    <row r="285" spans="1:27" s="5" customFormat="1" x14ac:dyDescent="0.25">
      <c r="A285" s="73"/>
      <c r="B285" s="6"/>
      <c r="C285" s="7">
        <v>42163</v>
      </c>
      <c r="D285" s="5">
        <v>15.5</v>
      </c>
      <c r="E285" s="5">
        <v>11.8</v>
      </c>
      <c r="F285" s="5">
        <v>19.7</v>
      </c>
      <c r="G285" s="5">
        <f t="shared" si="53"/>
        <v>2662.1999999999994</v>
      </c>
      <c r="H285" s="5">
        <f t="shared" si="47"/>
        <v>211.39999999999998</v>
      </c>
      <c r="I285" s="39" t="s">
        <v>42</v>
      </c>
      <c r="J285" s="5">
        <v>0</v>
      </c>
      <c r="K285" s="5">
        <f t="shared" si="54"/>
        <v>437.89999999999992</v>
      </c>
      <c r="L285" s="5">
        <v>6.2</v>
      </c>
      <c r="M285" s="5">
        <f t="shared" si="55"/>
        <v>453.20000000000016</v>
      </c>
      <c r="N285" s="9">
        <f t="shared" si="52"/>
        <v>-6.2</v>
      </c>
      <c r="O285" s="5">
        <f t="shared" si="58"/>
        <v>54.899999999999913</v>
      </c>
      <c r="P285" s="5">
        <v>280</v>
      </c>
      <c r="Q285" s="12">
        <f t="shared" si="59"/>
        <v>0.95740740740740737</v>
      </c>
      <c r="R285" s="10">
        <f t="shared" si="49"/>
        <v>5.9359259259259263</v>
      </c>
      <c r="S285" s="10">
        <f t="shared" si="50"/>
        <v>-5.9359259259259263</v>
      </c>
      <c r="T285" s="10">
        <f t="shared" si="56"/>
        <v>33.889333333333411</v>
      </c>
      <c r="V285" s="5">
        <v>3311.4</v>
      </c>
      <c r="W285" s="5">
        <f t="shared" si="51"/>
        <v>213.63870967741937</v>
      </c>
      <c r="X285" s="5">
        <f t="shared" si="57"/>
        <v>262895.29999999993</v>
      </c>
      <c r="Y285" s="5">
        <f t="shared" si="48"/>
        <v>28656.5</v>
      </c>
      <c r="AA285" s="5">
        <v>16.005002616456299</v>
      </c>
    </row>
    <row r="286" spans="1:27" s="5" customFormat="1" x14ac:dyDescent="0.25">
      <c r="A286" s="73"/>
      <c r="B286" s="6"/>
      <c r="C286" s="7">
        <v>42164</v>
      </c>
      <c r="D286" s="5">
        <v>15.4</v>
      </c>
      <c r="E286" s="5">
        <v>11.2</v>
      </c>
      <c r="F286" s="5">
        <v>19.8</v>
      </c>
      <c r="G286" s="5">
        <f t="shared" si="53"/>
        <v>2677.5999999999995</v>
      </c>
      <c r="H286" s="5">
        <f t="shared" si="47"/>
        <v>226.79999999999998</v>
      </c>
      <c r="I286" s="5">
        <v>308.10000000000002</v>
      </c>
      <c r="J286" s="5">
        <v>0</v>
      </c>
      <c r="K286" s="5">
        <f t="shared" si="54"/>
        <v>437.89999999999992</v>
      </c>
      <c r="L286" s="5">
        <v>5.2</v>
      </c>
      <c r="M286" s="5">
        <f t="shared" si="55"/>
        <v>458.40000000000015</v>
      </c>
      <c r="N286" s="9">
        <f t="shared" si="52"/>
        <v>-5.2</v>
      </c>
      <c r="O286" s="5">
        <f t="shared" si="58"/>
        <v>49.69999999999991</v>
      </c>
      <c r="P286" s="5">
        <v>281</v>
      </c>
      <c r="Q286" s="12">
        <f t="shared" si="59"/>
        <v>0.94259259259259254</v>
      </c>
      <c r="R286" s="10">
        <f t="shared" si="49"/>
        <v>4.9014814814814818</v>
      </c>
      <c r="S286" s="10">
        <f t="shared" si="50"/>
        <v>-4.9014814814814818</v>
      </c>
      <c r="T286" s="10">
        <f t="shared" si="56"/>
        <v>28.987851851851929</v>
      </c>
      <c r="U286" s="5">
        <f>(U284*100)/197.4</f>
        <v>25.538837187970401</v>
      </c>
      <c r="V286" s="5">
        <v>2618.4</v>
      </c>
      <c r="W286" s="5">
        <f t="shared" si="51"/>
        <v>170.02597402597402</v>
      </c>
      <c r="X286" s="5">
        <f t="shared" si="57"/>
        <v>265513.69999999995</v>
      </c>
      <c r="Y286" s="5">
        <f t="shared" si="48"/>
        <v>31274.9</v>
      </c>
      <c r="AA286" s="5">
        <v>16.0241176377864</v>
      </c>
    </row>
    <row r="287" spans="1:27" s="5" customFormat="1" x14ac:dyDescent="0.25">
      <c r="A287" s="73"/>
      <c r="B287" s="6"/>
      <c r="C287" s="7">
        <v>42165</v>
      </c>
      <c r="D287" s="5">
        <v>17.600000000000001</v>
      </c>
      <c r="E287" s="5">
        <v>13</v>
      </c>
      <c r="F287" s="5">
        <v>21.5</v>
      </c>
      <c r="G287" s="5">
        <f t="shared" si="53"/>
        <v>2695.1999999999994</v>
      </c>
      <c r="H287" s="5">
        <f t="shared" si="47"/>
        <v>244.39999999999998</v>
      </c>
      <c r="J287" s="5">
        <v>0</v>
      </c>
      <c r="K287" s="5">
        <f t="shared" si="54"/>
        <v>437.89999999999992</v>
      </c>
      <c r="L287" s="5">
        <v>4.8</v>
      </c>
      <c r="M287" s="5">
        <f t="shared" si="55"/>
        <v>463.20000000000016</v>
      </c>
      <c r="N287" s="9">
        <f t="shared" si="52"/>
        <v>-4.8</v>
      </c>
      <c r="O287" s="5">
        <f t="shared" si="58"/>
        <v>44.899999999999913</v>
      </c>
      <c r="P287" s="5">
        <v>282</v>
      </c>
      <c r="Q287" s="12">
        <f t="shared" si="59"/>
        <v>0.9277777777777777</v>
      </c>
      <c r="R287" s="10">
        <f t="shared" si="49"/>
        <v>4.4533333333333331</v>
      </c>
      <c r="S287" s="10">
        <f t="shared" si="50"/>
        <v>-4.4533333333333331</v>
      </c>
      <c r="T287" s="10">
        <f t="shared" si="56"/>
        <v>24.534518518518595</v>
      </c>
      <c r="V287" s="5">
        <v>2179.5</v>
      </c>
      <c r="W287" s="5">
        <f t="shared" si="51"/>
        <v>123.83522727272727</v>
      </c>
      <c r="X287" s="5">
        <f t="shared" si="57"/>
        <v>267693.19999999995</v>
      </c>
      <c r="Y287" s="5">
        <f t="shared" si="48"/>
        <v>33454.400000000001</v>
      </c>
      <c r="AA287" s="5">
        <v>16.0418922579304</v>
      </c>
    </row>
    <row r="288" spans="1:27" s="5" customFormat="1" x14ac:dyDescent="0.25">
      <c r="A288" s="73"/>
      <c r="B288" s="6"/>
      <c r="C288" s="7">
        <v>42166</v>
      </c>
      <c r="D288" s="5">
        <v>22.2</v>
      </c>
      <c r="E288" s="5">
        <v>15.8</v>
      </c>
      <c r="F288" s="13">
        <v>27.8</v>
      </c>
      <c r="G288" s="5">
        <f t="shared" si="53"/>
        <v>2717.3999999999992</v>
      </c>
      <c r="H288" s="5">
        <f t="shared" si="47"/>
        <v>266.59999999999997</v>
      </c>
      <c r="J288" s="5">
        <v>1.9</v>
      </c>
      <c r="K288" s="5">
        <f t="shared" si="54"/>
        <v>439.7999999999999</v>
      </c>
      <c r="L288" s="5">
        <v>4.8</v>
      </c>
      <c r="M288" s="5">
        <f t="shared" si="55"/>
        <v>468.00000000000017</v>
      </c>
      <c r="N288" s="9">
        <f t="shared" si="52"/>
        <v>-2.9</v>
      </c>
      <c r="O288" s="5">
        <f t="shared" si="58"/>
        <v>41.999999999999915</v>
      </c>
      <c r="P288" s="5">
        <v>283</v>
      </c>
      <c r="Q288" s="12">
        <f t="shared" si="59"/>
        <v>0.91296296296296298</v>
      </c>
      <c r="R288" s="10">
        <f t="shared" si="49"/>
        <v>4.3822222222222225</v>
      </c>
      <c r="S288" s="10">
        <f t="shared" si="50"/>
        <v>-2.4822222222222226</v>
      </c>
      <c r="T288" s="10">
        <f t="shared" si="56"/>
        <v>22.052296296296372</v>
      </c>
      <c r="V288" s="5">
        <v>2270.4</v>
      </c>
      <c r="W288" s="5">
        <f t="shared" si="51"/>
        <v>102.27027027027027</v>
      </c>
      <c r="X288" s="5">
        <f t="shared" si="57"/>
        <v>269963.59999999998</v>
      </c>
      <c r="Y288" s="5">
        <f t="shared" si="48"/>
        <v>35724.800000000003</v>
      </c>
      <c r="AA288" s="5">
        <v>16.0583094254145</v>
      </c>
    </row>
    <row r="289" spans="1:27" s="5" customFormat="1" x14ac:dyDescent="0.25">
      <c r="A289" s="73"/>
      <c r="B289" s="6"/>
      <c r="C289" s="7">
        <v>42167</v>
      </c>
      <c r="D289" s="5">
        <v>21.5</v>
      </c>
      <c r="E289" s="5">
        <v>19.2</v>
      </c>
      <c r="F289" s="13">
        <v>26.2</v>
      </c>
      <c r="G289" s="5">
        <f t="shared" si="53"/>
        <v>2738.8999999999992</v>
      </c>
      <c r="H289" s="5">
        <f t="shared" ref="H289:H326" si="60">H288+D289</f>
        <v>288.09999999999997</v>
      </c>
      <c r="J289" s="5">
        <v>0</v>
      </c>
      <c r="K289" s="5">
        <f t="shared" si="54"/>
        <v>439.7999999999999</v>
      </c>
      <c r="L289" s="5">
        <v>5.2</v>
      </c>
      <c r="M289" s="5">
        <f t="shared" si="55"/>
        <v>473.20000000000016</v>
      </c>
      <c r="N289" s="9">
        <f t="shared" si="52"/>
        <v>-5.2</v>
      </c>
      <c r="O289" s="5">
        <f t="shared" si="58"/>
        <v>36.799999999999912</v>
      </c>
      <c r="P289" s="5">
        <v>284</v>
      </c>
      <c r="Q289" s="12">
        <f t="shared" si="59"/>
        <v>0.89814814814814814</v>
      </c>
      <c r="R289" s="10">
        <f t="shared" si="49"/>
        <v>4.6703703703703701</v>
      </c>
      <c r="S289" s="10">
        <f t="shared" si="50"/>
        <v>-4.6703703703703701</v>
      </c>
      <c r="T289" s="10">
        <f t="shared" si="56"/>
        <v>17.381925925926001</v>
      </c>
      <c r="V289" s="5">
        <v>2208.3000000000002</v>
      </c>
      <c r="W289" s="5">
        <f t="shared" si="51"/>
        <v>102.71162790697676</v>
      </c>
      <c r="X289" s="5">
        <f t="shared" si="57"/>
        <v>272171.89999999997</v>
      </c>
      <c r="Y289" s="5">
        <f t="shared" ref="Y289:Y326" si="61">Y288+V289</f>
        <v>37933.100000000006</v>
      </c>
      <c r="AA289" s="5">
        <v>16.073353253639102</v>
      </c>
    </row>
    <row r="290" spans="1:27" s="50" customFormat="1" ht="15.75" thickBot="1" x14ac:dyDescent="0.3">
      <c r="A290" s="73"/>
      <c r="B290" s="47">
        <v>600</v>
      </c>
      <c r="C290" s="57">
        <v>42168</v>
      </c>
      <c r="D290" s="50">
        <v>20</v>
      </c>
      <c r="E290" s="50">
        <v>16.2</v>
      </c>
      <c r="F290" s="50">
        <v>24.1</v>
      </c>
      <c r="G290" s="50">
        <f t="shared" si="53"/>
        <v>2758.8999999999992</v>
      </c>
      <c r="H290" s="50">
        <f t="shared" si="60"/>
        <v>308.09999999999997</v>
      </c>
      <c r="J290" s="50">
        <v>0</v>
      </c>
      <c r="K290" s="50">
        <f t="shared" si="54"/>
        <v>439.7999999999999</v>
      </c>
      <c r="L290" s="50">
        <v>4.5999999999999996</v>
      </c>
      <c r="M290" s="50">
        <f t="shared" si="55"/>
        <v>477.80000000000018</v>
      </c>
      <c r="N290" s="58">
        <f t="shared" si="52"/>
        <v>-4.5999999999999996</v>
      </c>
      <c r="O290" s="50">
        <f t="shared" si="58"/>
        <v>32.19999999999991</v>
      </c>
      <c r="P290" s="50">
        <v>285</v>
      </c>
      <c r="Q290" s="59">
        <f t="shared" si="59"/>
        <v>0.8833333333333333</v>
      </c>
      <c r="R290" s="52">
        <f t="shared" si="49"/>
        <v>4.0633333333333326</v>
      </c>
      <c r="S290" s="52">
        <f t="shared" si="50"/>
        <v>-4.0633333333333326</v>
      </c>
      <c r="T290" s="53">
        <f t="shared" si="56"/>
        <v>13.318592592592669</v>
      </c>
      <c r="V290" s="50">
        <v>2335.6</v>
      </c>
      <c r="W290" s="50">
        <f t="shared" si="51"/>
        <v>116.78</v>
      </c>
      <c r="X290" s="50">
        <f t="shared" si="57"/>
        <v>274507.49999999994</v>
      </c>
      <c r="Y290" s="51">
        <f t="shared" si="61"/>
        <v>40268.700000000004</v>
      </c>
      <c r="AA290" s="51">
        <v>16.087009078613999</v>
      </c>
    </row>
    <row r="291" spans="1:27" s="5" customFormat="1" x14ac:dyDescent="0.25">
      <c r="A291" s="66">
        <v>1000</v>
      </c>
      <c r="B291" s="6"/>
      <c r="C291" s="7">
        <v>42169</v>
      </c>
      <c r="D291" s="5">
        <v>18.899999999999999</v>
      </c>
      <c r="E291" s="5">
        <v>15.1</v>
      </c>
      <c r="F291" s="5">
        <v>24</v>
      </c>
      <c r="G291" s="5">
        <f t="shared" si="53"/>
        <v>2777.7999999999993</v>
      </c>
      <c r="H291" s="5">
        <v>18.899999999999999</v>
      </c>
      <c r="I291" s="40" t="s">
        <v>27</v>
      </c>
      <c r="J291" s="5">
        <v>0</v>
      </c>
      <c r="K291" s="5">
        <f t="shared" si="54"/>
        <v>439.7999999999999</v>
      </c>
      <c r="L291" s="5">
        <v>4.2</v>
      </c>
      <c r="M291" s="5">
        <f t="shared" si="55"/>
        <v>482.00000000000017</v>
      </c>
      <c r="N291" s="9">
        <f t="shared" si="52"/>
        <v>-4.2</v>
      </c>
      <c r="O291" s="5">
        <f t="shared" si="58"/>
        <v>27.999999999999911</v>
      </c>
      <c r="P291" s="5">
        <v>286</v>
      </c>
      <c r="Q291" s="12">
        <f t="shared" si="59"/>
        <v>0.86851851851851847</v>
      </c>
      <c r="R291" s="10">
        <f t="shared" si="49"/>
        <v>3.6477777777777778</v>
      </c>
      <c r="S291" s="10">
        <f t="shared" si="50"/>
        <v>-3.6477777777777778</v>
      </c>
      <c r="T291" s="10">
        <f t="shared" si="56"/>
        <v>9.6708148148148911</v>
      </c>
      <c r="U291" s="40" t="s">
        <v>28</v>
      </c>
      <c r="V291" s="5">
        <v>1701.9</v>
      </c>
      <c r="W291" s="5">
        <f t="shared" si="51"/>
        <v>90.047619047619065</v>
      </c>
      <c r="X291" s="5">
        <f t="shared" si="57"/>
        <v>276209.39999999997</v>
      </c>
      <c r="Y291" s="5">
        <v>1701.9</v>
      </c>
      <c r="Z291" s="40" t="s">
        <v>29</v>
      </c>
      <c r="AA291" s="5">
        <v>16.099263513096201</v>
      </c>
    </row>
    <row r="292" spans="1:27" s="5" customFormat="1" x14ac:dyDescent="0.25">
      <c r="A292" s="66"/>
      <c r="B292" s="6"/>
      <c r="C292" s="7">
        <v>42170</v>
      </c>
      <c r="D292" s="5">
        <v>17.399999999999999</v>
      </c>
      <c r="E292" s="5">
        <v>15</v>
      </c>
      <c r="F292" s="5">
        <v>20.5</v>
      </c>
      <c r="G292" s="5">
        <f t="shared" si="53"/>
        <v>2795.1999999999994</v>
      </c>
      <c r="H292" s="5">
        <f t="shared" si="60"/>
        <v>36.299999999999997</v>
      </c>
      <c r="I292" s="5">
        <f>MIN(E291:E311)</f>
        <v>9.1</v>
      </c>
      <c r="J292" s="5">
        <v>0</v>
      </c>
      <c r="K292" s="5">
        <f t="shared" si="54"/>
        <v>439.7999999999999</v>
      </c>
      <c r="L292" s="5">
        <v>3.9</v>
      </c>
      <c r="M292" s="5">
        <f t="shared" si="55"/>
        <v>485.90000000000015</v>
      </c>
      <c r="N292" s="9">
        <f t="shared" si="52"/>
        <v>-3.9</v>
      </c>
      <c r="O292" s="5">
        <f t="shared" si="58"/>
        <v>24.099999999999913</v>
      </c>
      <c r="P292" s="5">
        <v>287</v>
      </c>
      <c r="Q292" s="12">
        <f t="shared" si="59"/>
        <v>0.85370370370370363</v>
      </c>
      <c r="R292" s="10">
        <f t="shared" si="49"/>
        <v>3.329444444444444</v>
      </c>
      <c r="S292" s="10">
        <f t="shared" si="50"/>
        <v>-3.329444444444444</v>
      </c>
      <c r="T292" s="10">
        <f t="shared" si="56"/>
        <v>6.3413703703704467</v>
      </c>
      <c r="U292" s="5">
        <v>20</v>
      </c>
      <c r="V292" s="5">
        <v>2022.3</v>
      </c>
      <c r="W292" s="5">
        <f t="shared" si="51"/>
        <v>116.22413793103449</v>
      </c>
      <c r="X292" s="5">
        <f t="shared" si="57"/>
        <v>278231.69999999995</v>
      </c>
      <c r="Y292" s="5">
        <f t="shared" si="61"/>
        <v>3724.2</v>
      </c>
      <c r="Z292" s="5">
        <v>47902.69999999999</v>
      </c>
      <c r="AA292" s="5">
        <v>16.110104496722698</v>
      </c>
    </row>
    <row r="293" spans="1:27" s="5" customFormat="1" x14ac:dyDescent="0.25">
      <c r="A293" s="66"/>
      <c r="B293" s="6"/>
      <c r="C293" s="7">
        <v>42171</v>
      </c>
      <c r="D293" s="5">
        <v>16.3</v>
      </c>
      <c r="E293" s="5">
        <v>11.7</v>
      </c>
      <c r="F293" s="5">
        <v>21</v>
      </c>
      <c r="G293" s="5">
        <f t="shared" si="53"/>
        <v>2811.4999999999995</v>
      </c>
      <c r="H293" s="5">
        <f t="shared" si="60"/>
        <v>52.599999999999994</v>
      </c>
      <c r="I293" s="40" t="s">
        <v>30</v>
      </c>
      <c r="J293" s="5">
        <v>0</v>
      </c>
      <c r="K293" s="5">
        <f t="shared" si="54"/>
        <v>439.7999999999999</v>
      </c>
      <c r="L293" s="5">
        <v>4.4000000000000004</v>
      </c>
      <c r="M293" s="5">
        <f t="shared" si="55"/>
        <v>490.30000000000013</v>
      </c>
      <c r="N293" s="9">
        <f t="shared" si="52"/>
        <v>-4.4000000000000004</v>
      </c>
      <c r="O293" s="5">
        <f t="shared" si="58"/>
        <v>19.69999999999991</v>
      </c>
      <c r="P293" s="5">
        <v>288</v>
      </c>
      <c r="Q293" s="12">
        <f t="shared" si="59"/>
        <v>0.8388888888888888</v>
      </c>
      <c r="R293" s="10">
        <f t="shared" si="49"/>
        <v>3.6911111111111108</v>
      </c>
      <c r="S293" s="10">
        <f t="shared" si="50"/>
        <v>-3.6911111111111108</v>
      </c>
      <c r="T293" s="10">
        <f t="shared" si="56"/>
        <v>2.6502592592593359</v>
      </c>
      <c r="U293" s="40" t="s">
        <v>31</v>
      </c>
      <c r="V293" s="5">
        <v>1945</v>
      </c>
      <c r="W293" s="5">
        <f t="shared" si="51"/>
        <v>119.32515337423312</v>
      </c>
      <c r="X293" s="5">
        <f t="shared" si="57"/>
        <v>280176.69999999995</v>
      </c>
      <c r="Y293" s="5">
        <f t="shared" si="61"/>
        <v>5669.2</v>
      </c>
      <c r="Z293" s="40" t="s">
        <v>32</v>
      </c>
      <c r="AA293" s="5">
        <v>16.1195213417536</v>
      </c>
    </row>
    <row r="294" spans="1:27" s="5" customFormat="1" x14ac:dyDescent="0.25">
      <c r="A294" s="66"/>
      <c r="B294" s="6"/>
      <c r="C294" s="7">
        <v>42172</v>
      </c>
      <c r="D294" s="5">
        <v>18.5</v>
      </c>
      <c r="E294" s="5">
        <v>11.3</v>
      </c>
      <c r="F294" s="5">
        <v>23.7</v>
      </c>
      <c r="G294" s="5">
        <f t="shared" si="53"/>
        <v>2829.9999999999995</v>
      </c>
      <c r="H294" s="5">
        <f t="shared" si="60"/>
        <v>71.099999999999994</v>
      </c>
      <c r="I294" s="5">
        <f>MAX(F291:F311)</f>
        <v>36.200000000000003</v>
      </c>
      <c r="J294" s="5">
        <v>0</v>
      </c>
      <c r="K294" s="5">
        <f t="shared" si="54"/>
        <v>439.7999999999999</v>
      </c>
      <c r="L294" s="5">
        <v>5.0999999999999996</v>
      </c>
      <c r="M294" s="5">
        <f t="shared" si="55"/>
        <v>495.40000000000015</v>
      </c>
      <c r="N294" s="9">
        <f t="shared" si="52"/>
        <v>-5.0999999999999996</v>
      </c>
      <c r="O294" s="5">
        <f t="shared" si="58"/>
        <v>14.599999999999911</v>
      </c>
      <c r="P294" s="5">
        <v>289</v>
      </c>
      <c r="Q294" s="12">
        <f t="shared" si="59"/>
        <v>0.82407407407407396</v>
      </c>
      <c r="R294" s="10">
        <f t="shared" si="49"/>
        <v>4.2027777777777766</v>
      </c>
      <c r="S294" s="10">
        <f t="shared" si="50"/>
        <v>-4.2027777777777766</v>
      </c>
      <c r="T294" s="10">
        <v>0</v>
      </c>
      <c r="U294" s="5">
        <v>17</v>
      </c>
      <c r="V294" s="5">
        <v>2768.6</v>
      </c>
      <c r="W294" s="5">
        <f t="shared" si="51"/>
        <v>149.65405405405406</v>
      </c>
      <c r="X294" s="5">
        <f t="shared" si="57"/>
        <v>282945.29999999993</v>
      </c>
      <c r="Y294" s="5">
        <f t="shared" si="61"/>
        <v>8437.7999999999993</v>
      </c>
      <c r="Z294" s="12">
        <f>(Z292/100)/I304</f>
        <v>1.1311145218417942</v>
      </c>
      <c r="AA294" s="5">
        <v>16.1275047740674</v>
      </c>
    </row>
    <row r="295" spans="1:27" s="5" customFormat="1" x14ac:dyDescent="0.25">
      <c r="A295" s="66"/>
      <c r="B295" s="6"/>
      <c r="C295" s="7">
        <v>42173</v>
      </c>
      <c r="D295" s="5">
        <v>17.2</v>
      </c>
      <c r="E295" s="5">
        <v>16.600000000000001</v>
      </c>
      <c r="F295" s="5">
        <v>19.600000000000001</v>
      </c>
      <c r="G295" s="5">
        <f t="shared" si="53"/>
        <v>2847.1999999999994</v>
      </c>
      <c r="H295" s="5">
        <f t="shared" si="60"/>
        <v>88.3</v>
      </c>
      <c r="I295" s="40" t="s">
        <v>33</v>
      </c>
      <c r="J295" s="5">
        <v>0.3</v>
      </c>
      <c r="K295" s="5">
        <f t="shared" si="54"/>
        <v>440.09999999999991</v>
      </c>
      <c r="L295" s="5">
        <v>2.6</v>
      </c>
      <c r="M295" s="5">
        <f t="shared" si="55"/>
        <v>498.00000000000017</v>
      </c>
      <c r="N295" s="9">
        <f t="shared" si="52"/>
        <v>-2.3000000000000003</v>
      </c>
      <c r="O295" s="5">
        <f t="shared" si="58"/>
        <v>12.29999999999991</v>
      </c>
      <c r="P295" s="5">
        <v>290</v>
      </c>
      <c r="Q295" s="12">
        <f t="shared" si="59"/>
        <v>0.80925925925925912</v>
      </c>
      <c r="R295" s="10">
        <f t="shared" si="49"/>
        <v>2.1040740740740738</v>
      </c>
      <c r="S295" s="10">
        <f t="shared" si="50"/>
        <v>-1.8040740740740737</v>
      </c>
      <c r="T295" s="10">
        <v>0</v>
      </c>
      <c r="U295" s="40" t="s">
        <v>34</v>
      </c>
      <c r="V295" s="5">
        <v>1212.2</v>
      </c>
      <c r="W295" s="5">
        <f t="shared" si="51"/>
        <v>70.476744186046517</v>
      </c>
      <c r="X295" s="5">
        <f t="shared" si="57"/>
        <v>284157.49999999994</v>
      </c>
      <c r="Y295" s="5">
        <f t="shared" si="61"/>
        <v>9650</v>
      </c>
      <c r="Z295" s="40" t="s">
        <v>35</v>
      </c>
      <c r="AA295" s="5">
        <v>16.1340469690827</v>
      </c>
    </row>
    <row r="296" spans="1:27" s="5" customFormat="1" x14ac:dyDescent="0.25">
      <c r="A296" s="66"/>
      <c r="B296" s="6"/>
      <c r="C296" s="7">
        <v>42174</v>
      </c>
      <c r="D296" s="5">
        <v>16.2</v>
      </c>
      <c r="E296" s="5">
        <v>11.8</v>
      </c>
      <c r="F296" s="5">
        <v>21.3</v>
      </c>
      <c r="G296" s="5">
        <f t="shared" si="53"/>
        <v>2863.3999999999992</v>
      </c>
      <c r="H296" s="5">
        <f t="shared" si="60"/>
        <v>104.5</v>
      </c>
      <c r="I296" s="10">
        <f>AVERAGE(D291:D311)</f>
        <v>20.166666666666668</v>
      </c>
      <c r="J296" s="5">
        <v>0</v>
      </c>
      <c r="K296" s="5">
        <f t="shared" si="54"/>
        <v>440.09999999999991</v>
      </c>
      <c r="L296" s="5">
        <v>4.7</v>
      </c>
      <c r="M296" s="5">
        <f t="shared" si="55"/>
        <v>502.70000000000016</v>
      </c>
      <c r="N296" s="9">
        <f t="shared" si="52"/>
        <v>-4.7</v>
      </c>
      <c r="O296" s="5">
        <f t="shared" si="58"/>
        <v>7.5999999999999099</v>
      </c>
      <c r="P296" s="5">
        <v>291</v>
      </c>
      <c r="Q296" s="12">
        <f t="shared" si="59"/>
        <v>0.7944444444444444</v>
      </c>
      <c r="R296" s="10">
        <f t="shared" si="49"/>
        <v>3.7338888888888886</v>
      </c>
      <c r="S296" s="10">
        <f t="shared" si="50"/>
        <v>-3.7338888888888886</v>
      </c>
      <c r="T296" s="10">
        <v>0</v>
      </c>
      <c r="U296" s="5">
        <v>4</v>
      </c>
      <c r="V296" s="5">
        <v>2509.3000000000002</v>
      </c>
      <c r="W296" s="5">
        <f t="shared" si="51"/>
        <v>154.89506172839509</v>
      </c>
      <c r="X296" s="5">
        <f t="shared" si="57"/>
        <v>286666.79999999993</v>
      </c>
      <c r="Y296" s="5">
        <f t="shared" si="61"/>
        <v>12159.3</v>
      </c>
      <c r="Z296" s="5">
        <v>0</v>
      </c>
      <c r="AA296" s="5">
        <v>16.139141582315698</v>
      </c>
    </row>
    <row r="297" spans="1:27" s="5" customFormat="1" x14ac:dyDescent="0.25">
      <c r="A297" s="66"/>
      <c r="B297" s="6"/>
      <c r="C297" s="7">
        <v>42175</v>
      </c>
      <c r="D297" s="5">
        <v>16.5</v>
      </c>
      <c r="E297" s="5">
        <v>9.9</v>
      </c>
      <c r="F297" s="5">
        <v>20.2</v>
      </c>
      <c r="G297" s="5">
        <f t="shared" si="53"/>
        <v>2879.8999999999992</v>
      </c>
      <c r="H297" s="5">
        <f t="shared" si="60"/>
        <v>121</v>
      </c>
      <c r="I297" s="40" t="s">
        <v>36</v>
      </c>
      <c r="J297" s="5">
        <v>0</v>
      </c>
      <c r="K297" s="5">
        <f t="shared" si="54"/>
        <v>440.09999999999991</v>
      </c>
      <c r="L297" s="5">
        <v>3.3</v>
      </c>
      <c r="M297" s="5">
        <f t="shared" si="55"/>
        <v>506.00000000000017</v>
      </c>
      <c r="N297" s="9">
        <f t="shared" si="52"/>
        <v>-3.3</v>
      </c>
      <c r="O297" s="5">
        <f t="shared" si="58"/>
        <v>4.2999999999999101</v>
      </c>
      <c r="P297" s="5">
        <v>292</v>
      </c>
      <c r="Q297" s="12">
        <f t="shared" si="59"/>
        <v>0.77962962962962956</v>
      </c>
      <c r="R297" s="10">
        <f t="shared" si="49"/>
        <v>2.5727777777777776</v>
      </c>
      <c r="S297" s="10">
        <f t="shared" si="50"/>
        <v>-2.5727777777777776</v>
      </c>
      <c r="T297" s="10">
        <v>0</v>
      </c>
      <c r="U297" s="40" t="s">
        <v>37</v>
      </c>
      <c r="V297" s="5">
        <v>1965.1</v>
      </c>
      <c r="W297" s="5">
        <f t="shared" si="51"/>
        <v>119.09696969696969</v>
      </c>
      <c r="X297" s="5">
        <f t="shared" si="57"/>
        <v>288631.89999999991</v>
      </c>
      <c r="Y297" s="5">
        <f t="shared" si="61"/>
        <v>14124.4</v>
      </c>
      <c r="AA297" s="5">
        <v>16.142783774324499</v>
      </c>
    </row>
    <row r="298" spans="1:27" s="5" customFormat="1" x14ac:dyDescent="0.25">
      <c r="A298" s="66"/>
      <c r="B298" s="6"/>
      <c r="C298" s="7">
        <v>42176</v>
      </c>
      <c r="D298" s="5">
        <v>18.2</v>
      </c>
      <c r="E298" s="5">
        <v>15.8</v>
      </c>
      <c r="F298" s="5">
        <v>21.1</v>
      </c>
      <c r="G298" s="5">
        <f t="shared" si="53"/>
        <v>2898.099999999999</v>
      </c>
      <c r="H298" s="5">
        <f t="shared" si="60"/>
        <v>139.19999999999999</v>
      </c>
      <c r="I298" s="5">
        <v>0</v>
      </c>
      <c r="J298" s="5">
        <v>0</v>
      </c>
      <c r="K298" s="5">
        <f t="shared" si="54"/>
        <v>440.09999999999991</v>
      </c>
      <c r="L298" s="5">
        <v>4.5</v>
      </c>
      <c r="M298" s="5">
        <f t="shared" si="55"/>
        <v>510.50000000000017</v>
      </c>
      <c r="N298" s="9">
        <f t="shared" si="52"/>
        <v>-4.5</v>
      </c>
      <c r="O298" s="5">
        <v>0</v>
      </c>
      <c r="P298" s="5">
        <v>293</v>
      </c>
      <c r="Q298" s="12">
        <f t="shared" si="59"/>
        <v>0.76481481481481484</v>
      </c>
      <c r="R298" s="10">
        <f t="shared" si="49"/>
        <v>3.4416666666666669</v>
      </c>
      <c r="S298" s="10">
        <f t="shared" si="50"/>
        <v>-3.4416666666666669</v>
      </c>
      <c r="T298" s="10">
        <v>0</v>
      </c>
      <c r="U298" s="10">
        <v>0</v>
      </c>
      <c r="V298" s="5">
        <v>2416.6</v>
      </c>
      <c r="W298" s="5">
        <f t="shared" si="51"/>
        <v>132.78021978021977</v>
      </c>
      <c r="X298" s="5">
        <f t="shared" si="57"/>
        <v>291048.49999999988</v>
      </c>
      <c r="Y298" s="5">
        <f t="shared" si="61"/>
        <v>16541</v>
      </c>
      <c r="AA298" s="5">
        <v>16.1449702298335</v>
      </c>
    </row>
    <row r="299" spans="1:27" s="5" customFormat="1" x14ac:dyDescent="0.25">
      <c r="A299" s="66"/>
      <c r="B299" s="6"/>
      <c r="C299" s="7">
        <v>42177</v>
      </c>
      <c r="D299" s="5">
        <v>14.3</v>
      </c>
      <c r="E299" s="5">
        <v>12.6</v>
      </c>
      <c r="F299" s="5">
        <v>19.100000000000001</v>
      </c>
      <c r="G299" s="5">
        <f t="shared" si="53"/>
        <v>2912.3999999999992</v>
      </c>
      <c r="H299" s="5">
        <f t="shared" si="60"/>
        <v>153.5</v>
      </c>
      <c r="I299" s="40" t="s">
        <v>38</v>
      </c>
      <c r="J299" s="5">
        <v>3.6</v>
      </c>
      <c r="K299" s="5">
        <f t="shared" si="54"/>
        <v>443.69999999999993</v>
      </c>
      <c r="L299" s="5">
        <v>2.8</v>
      </c>
      <c r="M299" s="5">
        <f t="shared" si="55"/>
        <v>513.30000000000018</v>
      </c>
      <c r="N299" s="5">
        <f t="shared" si="52"/>
        <v>0.80000000000000027</v>
      </c>
      <c r="O299" s="5">
        <f t="shared" si="58"/>
        <v>0.80000000000000027</v>
      </c>
      <c r="P299" s="5">
        <v>294</v>
      </c>
      <c r="Q299" s="12">
        <f t="shared" si="59"/>
        <v>0.75</v>
      </c>
      <c r="R299" s="10">
        <f t="shared" si="49"/>
        <v>2.0999999999999996</v>
      </c>
      <c r="S299" s="10">
        <f t="shared" si="50"/>
        <v>1.5000000000000004</v>
      </c>
      <c r="T299" s="10">
        <f t="shared" si="56"/>
        <v>1.5000000000000004</v>
      </c>
      <c r="U299" s="40" t="s">
        <v>39</v>
      </c>
      <c r="V299" s="5">
        <v>1236.5</v>
      </c>
      <c r="W299" s="5">
        <f t="shared" si="51"/>
        <v>86.468531468531467</v>
      </c>
      <c r="X299" s="5">
        <f t="shared" si="57"/>
        <v>292284.99999999988</v>
      </c>
      <c r="Y299" s="5">
        <f t="shared" si="61"/>
        <v>17777.5</v>
      </c>
      <c r="AA299" s="5">
        <v>16.145699170880199</v>
      </c>
    </row>
    <row r="300" spans="1:27" s="5" customFormat="1" x14ac:dyDescent="0.25">
      <c r="A300" s="66"/>
      <c r="B300" s="6"/>
      <c r="C300" s="7">
        <v>42178</v>
      </c>
      <c r="D300" s="5">
        <v>13.8</v>
      </c>
      <c r="E300" s="5">
        <v>10.3</v>
      </c>
      <c r="F300" s="5">
        <v>17.5</v>
      </c>
      <c r="G300" s="5">
        <f t="shared" si="53"/>
        <v>2926.1999999999994</v>
      </c>
      <c r="H300" s="5">
        <f t="shared" si="60"/>
        <v>167.3</v>
      </c>
      <c r="I300" s="5">
        <v>9</v>
      </c>
      <c r="J300" s="5">
        <v>0</v>
      </c>
      <c r="K300" s="5">
        <f t="shared" si="54"/>
        <v>443.69999999999993</v>
      </c>
      <c r="L300" s="5">
        <v>3.2</v>
      </c>
      <c r="M300" s="5">
        <f t="shared" si="55"/>
        <v>516.50000000000023</v>
      </c>
      <c r="N300" s="9">
        <f t="shared" si="52"/>
        <v>-3.2</v>
      </c>
      <c r="O300" s="5">
        <v>0</v>
      </c>
      <c r="P300" s="5">
        <v>295</v>
      </c>
      <c r="Q300" s="12">
        <f t="shared" si="59"/>
        <v>0.73518518518518516</v>
      </c>
      <c r="R300" s="10">
        <f t="shared" si="49"/>
        <v>2.3525925925925928</v>
      </c>
      <c r="S300" s="10">
        <f t="shared" si="50"/>
        <v>-2.3525925925925928</v>
      </c>
      <c r="T300" s="10">
        <v>0</v>
      </c>
      <c r="U300" s="10">
        <v>9.6999999999999993</v>
      </c>
      <c r="V300" s="5">
        <v>1798.7</v>
      </c>
      <c r="W300" s="5">
        <f t="shared" si="51"/>
        <v>130.34057971014494</v>
      </c>
      <c r="X300" s="5">
        <f t="shared" si="57"/>
        <v>294083.6999999999</v>
      </c>
      <c r="Y300" s="5">
        <f t="shared" si="61"/>
        <v>19576.2</v>
      </c>
      <c r="AA300" s="5">
        <v>16.144970363872599</v>
      </c>
    </row>
    <row r="301" spans="1:27" s="5" customFormat="1" x14ac:dyDescent="0.25">
      <c r="A301" s="66"/>
      <c r="B301" s="6"/>
      <c r="C301" s="7">
        <v>42179</v>
      </c>
      <c r="D301" s="5">
        <v>17</v>
      </c>
      <c r="E301" s="5">
        <v>9.1</v>
      </c>
      <c r="F301" s="5">
        <v>23.7</v>
      </c>
      <c r="G301" s="5">
        <f t="shared" si="53"/>
        <v>2943.1999999999994</v>
      </c>
      <c r="H301" s="5">
        <f t="shared" si="60"/>
        <v>184.3</v>
      </c>
      <c r="I301" s="40" t="s">
        <v>40</v>
      </c>
      <c r="J301" s="5">
        <v>0</v>
      </c>
      <c r="K301" s="5">
        <f t="shared" si="54"/>
        <v>443.69999999999993</v>
      </c>
      <c r="L301" s="5">
        <v>4.2</v>
      </c>
      <c r="M301" s="5">
        <f t="shared" si="55"/>
        <v>520.70000000000027</v>
      </c>
      <c r="N301" s="9">
        <f t="shared" si="52"/>
        <v>-4.2</v>
      </c>
      <c r="O301" s="5">
        <v>0</v>
      </c>
      <c r="P301" s="5">
        <v>296</v>
      </c>
      <c r="Q301" s="12">
        <f t="shared" si="59"/>
        <v>0.72037037037037033</v>
      </c>
      <c r="R301" s="10">
        <f t="shared" si="49"/>
        <v>3.0255555555555556</v>
      </c>
      <c r="S301" s="10">
        <f t="shared" si="50"/>
        <v>-3.0255555555555556</v>
      </c>
      <c r="T301" s="10">
        <v>0</v>
      </c>
      <c r="U301" s="40" t="s">
        <v>41</v>
      </c>
      <c r="V301" s="5">
        <v>2410.6</v>
      </c>
      <c r="W301" s="5">
        <f t="shared" si="51"/>
        <v>141.79999999999998</v>
      </c>
      <c r="X301" s="5">
        <f t="shared" si="57"/>
        <v>296494.29999999987</v>
      </c>
      <c r="Y301" s="5">
        <f t="shared" si="61"/>
        <v>21986.799999999999</v>
      </c>
      <c r="AA301" s="5">
        <v>16.1427851204995</v>
      </c>
    </row>
    <row r="302" spans="1:27" s="5" customFormat="1" x14ac:dyDescent="0.25">
      <c r="A302" s="66"/>
      <c r="B302" s="6"/>
      <c r="C302" s="7">
        <v>42180</v>
      </c>
      <c r="D302" s="5">
        <v>20.3</v>
      </c>
      <c r="E302" s="5">
        <v>13.1</v>
      </c>
      <c r="F302" s="13">
        <v>27</v>
      </c>
      <c r="G302" s="5">
        <f t="shared" si="53"/>
        <v>2963.4999999999995</v>
      </c>
      <c r="H302" s="5">
        <f t="shared" si="60"/>
        <v>204.60000000000002</v>
      </c>
      <c r="I302" s="5">
        <v>0</v>
      </c>
      <c r="J302" s="5">
        <v>0</v>
      </c>
      <c r="K302" s="5">
        <f t="shared" si="54"/>
        <v>443.69999999999993</v>
      </c>
      <c r="L302" s="5">
        <v>3.9</v>
      </c>
      <c r="M302" s="5">
        <f t="shared" si="55"/>
        <v>524.60000000000025</v>
      </c>
      <c r="N302" s="9">
        <f t="shared" si="52"/>
        <v>-3.9</v>
      </c>
      <c r="O302" s="5">
        <v>0</v>
      </c>
      <c r="P302" s="5">
        <v>297</v>
      </c>
      <c r="Q302" s="12">
        <f t="shared" si="59"/>
        <v>0.70555555555555549</v>
      </c>
      <c r="R302" s="10">
        <f t="shared" si="49"/>
        <v>2.7516666666666665</v>
      </c>
      <c r="S302" s="10">
        <f t="shared" si="50"/>
        <v>-2.7516666666666665</v>
      </c>
      <c r="T302" s="10">
        <v>0</v>
      </c>
      <c r="U302" s="12">
        <f>AVERAGE(T291:T311)</f>
        <v>0.96011640211641303</v>
      </c>
      <c r="V302" s="5">
        <v>2056.9</v>
      </c>
      <c r="W302" s="5">
        <f t="shared" si="51"/>
        <v>101.32512315270937</v>
      </c>
      <c r="X302" s="5">
        <f t="shared" si="57"/>
        <v>298551.1999999999</v>
      </c>
      <c r="Y302" s="5">
        <f t="shared" si="61"/>
        <v>24043.7</v>
      </c>
      <c r="AA302" s="5">
        <v>16.139146292484501</v>
      </c>
    </row>
    <row r="303" spans="1:27" s="5" customFormat="1" x14ac:dyDescent="0.25">
      <c r="A303" s="66"/>
      <c r="B303" s="6"/>
      <c r="C303" s="7">
        <v>42181</v>
      </c>
      <c r="D303" s="5">
        <v>23</v>
      </c>
      <c r="E303" s="5">
        <v>15.3</v>
      </c>
      <c r="F303" s="13">
        <v>29.6</v>
      </c>
      <c r="G303" s="5">
        <f t="shared" si="53"/>
        <v>2986.4999999999995</v>
      </c>
      <c r="H303" s="5">
        <f t="shared" si="60"/>
        <v>227.60000000000002</v>
      </c>
      <c r="I303" s="40" t="s">
        <v>42</v>
      </c>
      <c r="J303" s="5">
        <v>0</v>
      </c>
      <c r="K303" s="5">
        <f t="shared" si="54"/>
        <v>443.69999999999993</v>
      </c>
      <c r="L303" s="5">
        <v>5.0999999999999996</v>
      </c>
      <c r="M303" s="5">
        <f t="shared" si="55"/>
        <v>529.70000000000027</v>
      </c>
      <c r="N303" s="9">
        <f t="shared" si="52"/>
        <v>-5.0999999999999996</v>
      </c>
      <c r="O303" s="5">
        <v>0</v>
      </c>
      <c r="P303" s="5">
        <v>298</v>
      </c>
      <c r="Q303" s="12">
        <f t="shared" si="59"/>
        <v>0.69074074074074066</v>
      </c>
      <c r="R303" s="10">
        <f t="shared" si="49"/>
        <v>3.5227777777777769</v>
      </c>
      <c r="S303" s="10">
        <f t="shared" si="50"/>
        <v>-3.5227777777777769</v>
      </c>
      <c r="T303" s="10">
        <v>0</v>
      </c>
      <c r="V303" s="5">
        <v>2230.8000000000002</v>
      </c>
      <c r="W303" s="5">
        <f t="shared" si="51"/>
        <v>96.991304347826102</v>
      </c>
      <c r="X303" s="5">
        <f t="shared" si="57"/>
        <v>300781.99999999988</v>
      </c>
      <c r="Y303" s="5">
        <f t="shared" si="61"/>
        <v>26274.5</v>
      </c>
      <c r="AA303" s="5">
        <v>16.134058260228201</v>
      </c>
    </row>
    <row r="304" spans="1:27" s="5" customFormat="1" x14ac:dyDescent="0.25">
      <c r="A304" s="66"/>
      <c r="B304" s="6"/>
      <c r="C304" s="7">
        <v>42182</v>
      </c>
      <c r="D304" s="5">
        <v>20.5</v>
      </c>
      <c r="E304" s="5">
        <v>17.7</v>
      </c>
      <c r="F304" s="5">
        <v>24.4</v>
      </c>
      <c r="G304" s="5">
        <f t="shared" si="53"/>
        <v>3006.9999999999995</v>
      </c>
      <c r="H304" s="5">
        <f t="shared" si="60"/>
        <v>248.10000000000002</v>
      </c>
      <c r="I304" s="5">
        <v>423.5</v>
      </c>
      <c r="J304" s="5">
        <v>0</v>
      </c>
      <c r="K304" s="5">
        <f t="shared" si="54"/>
        <v>443.69999999999993</v>
      </c>
      <c r="L304" s="5">
        <v>6.1</v>
      </c>
      <c r="M304" s="5">
        <f t="shared" si="55"/>
        <v>535.8000000000003</v>
      </c>
      <c r="N304" s="9">
        <f t="shared" si="52"/>
        <v>-6.1</v>
      </c>
      <c r="O304" s="5">
        <v>0</v>
      </c>
      <c r="P304" s="5">
        <v>299</v>
      </c>
      <c r="Q304" s="12">
        <f t="shared" si="59"/>
        <v>0.67592592592592593</v>
      </c>
      <c r="R304" s="10">
        <f t="shared" si="49"/>
        <v>4.1231481481481476</v>
      </c>
      <c r="S304" s="10">
        <f t="shared" si="50"/>
        <v>-4.1231481481481476</v>
      </c>
      <c r="T304" s="10">
        <v>0</v>
      </c>
      <c r="U304" s="5">
        <f>(U302*100)/197.4</f>
        <v>0.48638115608734195</v>
      </c>
      <c r="V304" s="5">
        <v>2790.4</v>
      </c>
      <c r="W304" s="5">
        <f t="shared" si="51"/>
        <v>136.11707317073171</v>
      </c>
      <c r="X304" s="5">
        <f t="shared" si="57"/>
        <v>303572.39999999991</v>
      </c>
      <c r="Y304" s="5">
        <f t="shared" si="61"/>
        <v>29064.9</v>
      </c>
      <c r="AA304" s="5">
        <v>16.127526915433201</v>
      </c>
    </row>
    <row r="305" spans="1:27" s="5" customFormat="1" x14ac:dyDescent="0.25">
      <c r="A305" s="66"/>
      <c r="B305" s="6"/>
      <c r="C305" s="7">
        <v>42183</v>
      </c>
      <c r="D305" s="5">
        <v>21.9</v>
      </c>
      <c r="E305" s="5">
        <v>12.9</v>
      </c>
      <c r="F305" s="13">
        <v>28.3</v>
      </c>
      <c r="G305" s="5">
        <f t="shared" si="53"/>
        <v>3028.8999999999996</v>
      </c>
      <c r="H305" s="5">
        <f t="shared" si="60"/>
        <v>270</v>
      </c>
      <c r="J305" s="5">
        <v>0</v>
      </c>
      <c r="K305" s="5">
        <f t="shared" si="54"/>
        <v>443.69999999999993</v>
      </c>
      <c r="L305" s="5">
        <v>5.3</v>
      </c>
      <c r="M305" s="5">
        <f t="shared" si="55"/>
        <v>541.10000000000025</v>
      </c>
      <c r="N305" s="9">
        <f t="shared" si="52"/>
        <v>-5.3</v>
      </c>
      <c r="O305" s="5">
        <v>0</v>
      </c>
      <c r="P305" s="5">
        <v>300</v>
      </c>
      <c r="Q305" s="12">
        <f t="shared" si="59"/>
        <v>0.66111111111111098</v>
      </c>
      <c r="R305" s="10">
        <f t="shared" si="49"/>
        <v>3.5038888888888882</v>
      </c>
      <c r="S305" s="10">
        <f t="shared" si="50"/>
        <v>-3.5038888888888882</v>
      </c>
      <c r="T305" s="10">
        <v>0</v>
      </c>
      <c r="V305" s="5">
        <v>2684.1</v>
      </c>
      <c r="W305" s="5">
        <f t="shared" si="51"/>
        <v>122.56164383561644</v>
      </c>
      <c r="X305" s="5">
        <f t="shared" si="57"/>
        <v>306256.49999999988</v>
      </c>
      <c r="Y305" s="5">
        <f t="shared" si="61"/>
        <v>31749</v>
      </c>
      <c r="AA305" s="5">
        <v>16.119559637856501</v>
      </c>
    </row>
    <row r="306" spans="1:27" s="24" customFormat="1" x14ac:dyDescent="0.25">
      <c r="A306" s="66"/>
      <c r="B306" s="22"/>
      <c r="C306" s="23">
        <v>42184</v>
      </c>
      <c r="D306" s="24">
        <v>21.9</v>
      </c>
      <c r="E306" s="24">
        <v>17</v>
      </c>
      <c r="F306" s="41">
        <v>28.4</v>
      </c>
      <c r="G306" s="24">
        <f t="shared" si="53"/>
        <v>3050.7999999999997</v>
      </c>
      <c r="H306" s="24">
        <f t="shared" si="60"/>
        <v>291.89999999999998</v>
      </c>
      <c r="J306" s="24">
        <v>0</v>
      </c>
      <c r="K306" s="24">
        <f t="shared" si="54"/>
        <v>443.69999999999993</v>
      </c>
      <c r="L306" s="24">
        <v>6.1</v>
      </c>
      <c r="M306" s="24">
        <f t="shared" si="55"/>
        <v>547.20000000000027</v>
      </c>
      <c r="N306" s="26">
        <f t="shared" si="52"/>
        <v>-6.1</v>
      </c>
      <c r="O306" s="24">
        <v>0</v>
      </c>
      <c r="P306" s="24">
        <v>301</v>
      </c>
      <c r="Q306" s="12">
        <f t="shared" si="59"/>
        <v>0.64629629629629626</v>
      </c>
      <c r="R306" s="27">
        <f t="shared" si="49"/>
        <v>3.9424074074074071</v>
      </c>
      <c r="S306" s="27">
        <f t="shared" si="50"/>
        <v>-3.9424074074074071</v>
      </c>
      <c r="T306" s="10">
        <v>0</v>
      </c>
      <c r="V306" s="24">
        <v>2853.8</v>
      </c>
      <c r="W306" s="24">
        <f t="shared" si="51"/>
        <v>130.31050228310505</v>
      </c>
      <c r="X306" s="24">
        <f t="shared" si="57"/>
        <v>309110.29999999987</v>
      </c>
      <c r="Y306" s="5">
        <f t="shared" si="61"/>
        <v>34602.800000000003</v>
      </c>
      <c r="AA306" s="5">
        <v>16.110165266381198</v>
      </c>
    </row>
    <row r="307" spans="1:27" s="5" customFormat="1" ht="15" customHeight="1" x14ac:dyDescent="0.25">
      <c r="A307" s="66"/>
      <c r="B307" s="42"/>
      <c r="C307" s="7">
        <v>42185</v>
      </c>
      <c r="D307" s="5">
        <v>24.5</v>
      </c>
      <c r="E307" s="5">
        <v>14.7</v>
      </c>
      <c r="F307" s="13">
        <v>32.1</v>
      </c>
      <c r="G307" s="5">
        <f t="shared" si="53"/>
        <v>3075.2999999999997</v>
      </c>
      <c r="H307" s="5">
        <f t="shared" si="60"/>
        <v>316.39999999999998</v>
      </c>
      <c r="J307" s="5">
        <v>0</v>
      </c>
      <c r="K307" s="5">
        <f t="shared" si="54"/>
        <v>443.69999999999993</v>
      </c>
      <c r="L307" s="5">
        <v>7.9</v>
      </c>
      <c r="M307" s="5">
        <f t="shared" si="55"/>
        <v>555.10000000000025</v>
      </c>
      <c r="N307" s="9">
        <f t="shared" si="52"/>
        <v>-7.9</v>
      </c>
      <c r="O307" s="5">
        <v>0</v>
      </c>
      <c r="P307" s="5">
        <v>302</v>
      </c>
      <c r="Q307" s="12">
        <f t="shared" si="59"/>
        <v>0.63148148148148142</v>
      </c>
      <c r="R307" s="10">
        <f t="shared" si="49"/>
        <v>4.9887037037037034</v>
      </c>
      <c r="S307" s="10">
        <f t="shared" si="50"/>
        <v>-4.9887037037037034</v>
      </c>
      <c r="T307" s="10">
        <v>0</v>
      </c>
      <c r="U307" s="11"/>
      <c r="V307" s="5">
        <v>3263.2</v>
      </c>
      <c r="W307" s="5">
        <f t="shared" si="51"/>
        <v>133.19183673469388</v>
      </c>
      <c r="X307" s="5">
        <f t="shared" si="57"/>
        <v>312373.49999999988</v>
      </c>
      <c r="Y307" s="5">
        <f t="shared" si="61"/>
        <v>37866</v>
      </c>
      <c r="Z307" s="11"/>
      <c r="AA307" s="5">
        <v>16.099354064644</v>
      </c>
    </row>
    <row r="308" spans="1:27" s="5" customFormat="1" x14ac:dyDescent="0.25">
      <c r="A308" s="66"/>
      <c r="B308" s="42"/>
      <c r="C308" s="7">
        <v>42186</v>
      </c>
      <c r="D308" s="13">
        <v>29.1</v>
      </c>
      <c r="E308" s="5">
        <v>19.899999999999999</v>
      </c>
      <c r="F308" s="13">
        <v>36.200000000000003</v>
      </c>
      <c r="G308" s="5">
        <f t="shared" si="53"/>
        <v>3104.3999999999996</v>
      </c>
      <c r="H308" s="5">
        <f t="shared" si="60"/>
        <v>345.5</v>
      </c>
      <c r="J308" s="5">
        <v>0</v>
      </c>
      <c r="K308" s="5">
        <f t="shared" si="54"/>
        <v>443.69999999999993</v>
      </c>
      <c r="L308" s="5">
        <v>8</v>
      </c>
      <c r="M308" s="5">
        <f t="shared" si="55"/>
        <v>563.10000000000025</v>
      </c>
      <c r="N308" s="9">
        <f t="shared" si="52"/>
        <v>-8</v>
      </c>
      <c r="O308" s="5">
        <v>0</v>
      </c>
      <c r="P308" s="5">
        <v>303</v>
      </c>
      <c r="Q308" s="12">
        <f t="shared" si="59"/>
        <v>0.6166666666666667</v>
      </c>
      <c r="R308" s="10">
        <f t="shared" si="49"/>
        <v>4.9333333333333336</v>
      </c>
      <c r="S308" s="10">
        <f t="shared" si="50"/>
        <v>-4.9333333333333336</v>
      </c>
      <c r="T308" s="10">
        <v>0</v>
      </c>
      <c r="V308" s="5">
        <v>2902.7</v>
      </c>
      <c r="W308" s="5">
        <f t="shared" si="51"/>
        <v>99.749140893470781</v>
      </c>
      <c r="X308" s="5">
        <f t="shared" si="57"/>
        <v>315276.1999999999</v>
      </c>
      <c r="Y308" s="5">
        <f t="shared" si="61"/>
        <v>40768.699999999997</v>
      </c>
      <c r="AA308" s="5">
        <v>16.087137681497101</v>
      </c>
    </row>
    <row r="309" spans="1:27" s="5" customFormat="1" x14ac:dyDescent="0.25">
      <c r="A309" s="66"/>
      <c r="B309" s="42"/>
      <c r="C309" s="7">
        <v>42187</v>
      </c>
      <c r="D309" s="13">
        <v>26.2</v>
      </c>
      <c r="E309" s="5">
        <v>22.7</v>
      </c>
      <c r="F309" s="13">
        <v>30.4</v>
      </c>
      <c r="G309" s="5">
        <f t="shared" si="53"/>
        <v>3130.5999999999995</v>
      </c>
      <c r="H309" s="5">
        <f t="shared" si="60"/>
        <v>371.7</v>
      </c>
      <c r="J309" s="5">
        <v>0.2</v>
      </c>
      <c r="K309" s="5">
        <f t="shared" si="54"/>
        <v>443.89999999999992</v>
      </c>
      <c r="L309" s="5">
        <v>6</v>
      </c>
      <c r="M309" s="5">
        <f t="shared" si="55"/>
        <v>569.10000000000025</v>
      </c>
      <c r="N309" s="9">
        <f t="shared" si="52"/>
        <v>-5.8</v>
      </c>
      <c r="O309" s="5">
        <v>0</v>
      </c>
      <c r="P309" s="5">
        <v>304</v>
      </c>
      <c r="Q309" s="12">
        <f t="shared" si="59"/>
        <v>0.60185185185185175</v>
      </c>
      <c r="R309" s="10">
        <f t="shared" si="49"/>
        <v>3.6111111111111107</v>
      </c>
      <c r="S309" s="10">
        <f t="shared" si="50"/>
        <v>-3.4111111111111105</v>
      </c>
      <c r="T309" s="10">
        <v>0</v>
      </c>
      <c r="U309" s="11"/>
      <c r="V309" s="5">
        <v>2542.1999999999998</v>
      </c>
      <c r="W309" s="5">
        <f t="shared" si="51"/>
        <v>97.030534351145036</v>
      </c>
      <c r="X309" s="5">
        <f t="shared" si="57"/>
        <v>317818.39999999991</v>
      </c>
      <c r="Y309" s="5">
        <f t="shared" si="61"/>
        <v>43310.899999999994</v>
      </c>
      <c r="Z309" s="11"/>
      <c r="AA309" s="5">
        <v>16.0735291066208</v>
      </c>
    </row>
    <row r="310" spans="1:27" s="5" customFormat="1" x14ac:dyDescent="0.25">
      <c r="A310" s="66"/>
      <c r="B310" s="42"/>
      <c r="C310" s="7">
        <v>42188</v>
      </c>
      <c r="D310" s="13">
        <v>27.1</v>
      </c>
      <c r="E310" s="5">
        <v>19.2</v>
      </c>
      <c r="F310" s="13">
        <v>34.9</v>
      </c>
      <c r="G310" s="5">
        <f t="shared" si="53"/>
        <v>3157.6999999999994</v>
      </c>
      <c r="H310" s="5">
        <f t="shared" si="60"/>
        <v>398.8</v>
      </c>
      <c r="J310" s="5">
        <v>0</v>
      </c>
      <c r="K310" s="5">
        <f t="shared" si="54"/>
        <v>443.89999999999992</v>
      </c>
      <c r="L310" s="5">
        <v>6.9</v>
      </c>
      <c r="M310" s="5">
        <f t="shared" si="55"/>
        <v>576.00000000000023</v>
      </c>
      <c r="N310" s="9">
        <f t="shared" si="52"/>
        <v>-6.9</v>
      </c>
      <c r="O310" s="5">
        <v>0</v>
      </c>
      <c r="P310" s="5">
        <v>305</v>
      </c>
      <c r="Q310" s="12">
        <f t="shared" si="59"/>
        <v>0.58703703703703702</v>
      </c>
      <c r="R310" s="10">
        <f t="shared" si="49"/>
        <v>4.0505555555555555</v>
      </c>
      <c r="S310" s="10">
        <f t="shared" si="50"/>
        <v>-4.0505555555555555</v>
      </c>
      <c r="T310" s="10">
        <v>0</v>
      </c>
      <c r="V310" s="5">
        <v>2749.6</v>
      </c>
      <c r="W310" s="5">
        <f t="shared" si="51"/>
        <v>101.46125461254611</v>
      </c>
      <c r="X310" s="5">
        <f t="shared" si="57"/>
        <v>320567.99999999988</v>
      </c>
      <c r="Y310" s="5">
        <f t="shared" si="61"/>
        <v>46060.499999999993</v>
      </c>
      <c r="AA310" s="5">
        <v>16.0585426216341</v>
      </c>
    </row>
    <row r="311" spans="1:27" s="16" customFormat="1" x14ac:dyDescent="0.25">
      <c r="A311" s="66"/>
      <c r="B311" s="43">
        <v>1000</v>
      </c>
      <c r="C311" s="30">
        <v>42189</v>
      </c>
      <c r="D311" s="16">
        <v>24.7</v>
      </c>
      <c r="E311" s="16">
        <v>22.5</v>
      </c>
      <c r="F311" s="44">
        <v>28.6</v>
      </c>
      <c r="G311" s="16">
        <f t="shared" si="53"/>
        <v>3182.3999999999992</v>
      </c>
      <c r="H311" s="16">
        <f t="shared" si="60"/>
        <v>423.5</v>
      </c>
      <c r="J311" s="16">
        <v>0.5</v>
      </c>
      <c r="K311" s="16">
        <f t="shared" si="54"/>
        <v>444.39999999999992</v>
      </c>
      <c r="L311" s="16">
        <v>3.8</v>
      </c>
      <c r="M311" s="16">
        <f t="shared" si="55"/>
        <v>579.80000000000018</v>
      </c>
      <c r="N311" s="31">
        <f t="shared" si="52"/>
        <v>-3.3</v>
      </c>
      <c r="O311" s="16">
        <v>0</v>
      </c>
      <c r="P311" s="16">
        <v>306</v>
      </c>
      <c r="Q311" s="32">
        <f t="shared" si="59"/>
        <v>0.57222222222222219</v>
      </c>
      <c r="R311" s="17">
        <f t="shared" si="49"/>
        <v>2.1744444444444442</v>
      </c>
      <c r="S311" s="17">
        <f t="shared" si="50"/>
        <v>-1.6744444444444442</v>
      </c>
      <c r="T311" s="10">
        <v>0</v>
      </c>
      <c r="V311" s="16">
        <v>1842.2</v>
      </c>
      <c r="W311" s="16">
        <f t="shared" si="51"/>
        <v>74.582995951417004</v>
      </c>
      <c r="X311" s="16">
        <f t="shared" si="57"/>
        <v>322410.1999999999</v>
      </c>
      <c r="Y311" s="5">
        <f t="shared" si="61"/>
        <v>47902.69999999999</v>
      </c>
      <c r="AA311" s="5">
        <v>16.042193747083399</v>
      </c>
    </row>
    <row r="312" spans="1:27" s="5" customFormat="1" x14ac:dyDescent="0.25">
      <c r="A312" s="45"/>
      <c r="B312" s="42"/>
      <c r="C312" s="7">
        <v>42190</v>
      </c>
      <c r="D312" s="5">
        <v>21.5</v>
      </c>
      <c r="E312" s="5">
        <v>18.7</v>
      </c>
      <c r="F312" s="5">
        <v>26.7</v>
      </c>
      <c r="G312" s="5">
        <f t="shared" si="53"/>
        <v>3203.8999999999992</v>
      </c>
      <c r="H312" s="5">
        <v>21.5</v>
      </c>
      <c r="J312" s="5">
        <v>0.1</v>
      </c>
      <c r="K312" s="5">
        <f t="shared" si="54"/>
        <v>444.49999999999994</v>
      </c>
      <c r="L312" s="5">
        <v>5.2</v>
      </c>
      <c r="M312" s="5">
        <f t="shared" si="55"/>
        <v>585.00000000000023</v>
      </c>
      <c r="N312" s="9">
        <f t="shared" si="52"/>
        <v>-5.1000000000000005</v>
      </c>
      <c r="O312" s="5">
        <v>0</v>
      </c>
      <c r="P312" s="5">
        <v>307</v>
      </c>
      <c r="Q312" s="12">
        <f t="shared" si="59"/>
        <v>0.55740740740740735</v>
      </c>
      <c r="R312" s="10">
        <f t="shared" si="49"/>
        <v>2.8985185185185185</v>
      </c>
      <c r="S312" s="10">
        <f t="shared" si="50"/>
        <v>-2.7985185185185184</v>
      </c>
      <c r="T312" s="10">
        <v>0</v>
      </c>
      <c r="V312" s="5">
        <v>2184.6</v>
      </c>
      <c r="W312" s="5">
        <f t="shared" si="51"/>
        <v>101.6093023255814</v>
      </c>
      <c r="X312" s="5">
        <f t="shared" si="57"/>
        <v>324594.79999999987</v>
      </c>
      <c r="Y312" s="5">
        <f t="shared" si="61"/>
        <v>50087.299999999988</v>
      </c>
      <c r="AA312" s="5">
        <v>16.024499185708201</v>
      </c>
    </row>
    <row r="313" spans="1:27" s="5" customFormat="1" x14ac:dyDescent="0.25">
      <c r="A313" s="45"/>
      <c r="B313" s="42"/>
      <c r="C313" s="7">
        <v>42191</v>
      </c>
      <c r="D313" s="5">
        <v>22.4</v>
      </c>
      <c r="E313" s="5">
        <v>13.4</v>
      </c>
      <c r="F313" s="5">
        <v>29.7</v>
      </c>
      <c r="G313" s="5">
        <f t="shared" si="53"/>
        <v>3226.2999999999993</v>
      </c>
      <c r="H313" s="5">
        <f t="shared" si="60"/>
        <v>43.9</v>
      </c>
      <c r="J313" s="5">
        <v>0</v>
      </c>
      <c r="K313" s="5">
        <f t="shared" si="54"/>
        <v>444.49999999999994</v>
      </c>
      <c r="L313" s="5">
        <v>6.5</v>
      </c>
      <c r="M313" s="5">
        <f t="shared" si="55"/>
        <v>591.50000000000023</v>
      </c>
      <c r="N313" s="9">
        <f t="shared" si="52"/>
        <v>-6.5</v>
      </c>
      <c r="O313" s="5">
        <v>0</v>
      </c>
      <c r="P313" s="5">
        <v>308</v>
      </c>
      <c r="Q313" s="12">
        <f t="shared" si="59"/>
        <v>0.54259259259259252</v>
      </c>
      <c r="R313" s="10">
        <f t="shared" si="49"/>
        <v>3.5268518518518515</v>
      </c>
      <c r="S313" s="10">
        <f t="shared" si="50"/>
        <v>-3.5268518518518515</v>
      </c>
      <c r="T313" s="10">
        <v>0</v>
      </c>
      <c r="V313" s="5">
        <v>2948.6</v>
      </c>
      <c r="W313" s="5">
        <f t="shared" si="51"/>
        <v>131.63392857142858</v>
      </c>
      <c r="X313" s="5">
        <f t="shared" si="57"/>
        <v>327543.39999999985</v>
      </c>
      <c r="Y313" s="5">
        <f t="shared" si="61"/>
        <v>53035.899999999987</v>
      </c>
      <c r="AA313" s="5">
        <v>16.005476762405198</v>
      </c>
    </row>
    <row r="314" spans="1:27" s="5" customFormat="1" x14ac:dyDescent="0.25">
      <c r="A314" s="45"/>
      <c r="B314" s="42"/>
      <c r="C314" s="7">
        <v>42192</v>
      </c>
      <c r="D314" s="5">
        <v>21.4</v>
      </c>
      <c r="E314" s="5">
        <v>17.899999999999999</v>
      </c>
      <c r="F314" s="5">
        <v>27.3</v>
      </c>
      <c r="G314" s="5">
        <f t="shared" si="53"/>
        <v>3247.6999999999994</v>
      </c>
      <c r="H314" s="5">
        <f t="shared" si="60"/>
        <v>65.3</v>
      </c>
      <c r="J314" s="5">
        <v>0.2</v>
      </c>
      <c r="K314" s="5">
        <f t="shared" si="54"/>
        <v>444.69999999999993</v>
      </c>
      <c r="L314" s="5">
        <v>5.0999999999999996</v>
      </c>
      <c r="M314" s="5">
        <f t="shared" si="55"/>
        <v>596.60000000000025</v>
      </c>
      <c r="N314" s="9">
        <f t="shared" si="52"/>
        <v>-4.8999999999999995</v>
      </c>
      <c r="O314" s="5">
        <v>0</v>
      </c>
      <c r="P314" s="5">
        <v>309</v>
      </c>
      <c r="Q314" s="12">
        <f t="shared" si="59"/>
        <v>0.52777777777777768</v>
      </c>
      <c r="R314" s="10">
        <f t="shared" si="49"/>
        <v>2.691666666666666</v>
      </c>
      <c r="S314" s="10">
        <f t="shared" si="50"/>
        <v>-2.4916666666666658</v>
      </c>
      <c r="T314" s="10">
        <v>0</v>
      </c>
      <c r="V314" s="5">
        <v>1774.2</v>
      </c>
      <c r="W314" s="5">
        <f t="shared" si="51"/>
        <v>82.90654205607477</v>
      </c>
      <c r="X314" s="5">
        <f t="shared" si="57"/>
        <v>329317.59999999986</v>
      </c>
      <c r="Y314" s="5">
        <f t="shared" si="61"/>
        <v>54810.099999999984</v>
      </c>
      <c r="AA314" s="5">
        <v>15.9851453613226</v>
      </c>
    </row>
    <row r="315" spans="1:27" s="5" customFormat="1" x14ac:dyDescent="0.25">
      <c r="A315" s="45"/>
      <c r="B315" s="42"/>
      <c r="C315" s="7">
        <v>42193</v>
      </c>
      <c r="D315" s="5">
        <v>17.5</v>
      </c>
      <c r="E315" s="5">
        <v>16.2</v>
      </c>
      <c r="F315" s="5">
        <v>20.5</v>
      </c>
      <c r="G315" s="5">
        <f t="shared" si="53"/>
        <v>3265.1999999999994</v>
      </c>
      <c r="H315" s="5">
        <f t="shared" si="60"/>
        <v>82.8</v>
      </c>
      <c r="J315" s="5">
        <v>0</v>
      </c>
      <c r="K315" s="5">
        <f t="shared" si="54"/>
        <v>444.69999999999993</v>
      </c>
      <c r="L315" s="5">
        <v>5.9</v>
      </c>
      <c r="M315" s="5">
        <f t="shared" si="55"/>
        <v>602.50000000000023</v>
      </c>
      <c r="N315" s="9">
        <f t="shared" si="52"/>
        <v>-5.9</v>
      </c>
      <c r="O315" s="5">
        <v>0</v>
      </c>
      <c r="P315" s="5">
        <v>310</v>
      </c>
      <c r="Q315" s="12">
        <f t="shared" si="59"/>
        <v>0.51296296296296295</v>
      </c>
      <c r="R315" s="10">
        <f t="shared" si="49"/>
        <v>3.0264814814814818</v>
      </c>
      <c r="S315" s="10">
        <f t="shared" si="50"/>
        <v>-3.0264814814814818</v>
      </c>
      <c r="T315" s="10">
        <v>0</v>
      </c>
      <c r="V315" s="5">
        <v>2769.2</v>
      </c>
      <c r="W315" s="5">
        <f t="shared" si="51"/>
        <v>158.23999999999998</v>
      </c>
      <c r="X315" s="5">
        <f t="shared" si="57"/>
        <v>332086.79999999987</v>
      </c>
      <c r="Y315" s="5">
        <f t="shared" si="61"/>
        <v>57579.299999999981</v>
      </c>
      <c r="AA315" s="5">
        <v>15.9635248605274</v>
      </c>
    </row>
    <row r="316" spans="1:27" s="5" customFormat="1" x14ac:dyDescent="0.25">
      <c r="A316" s="45"/>
      <c r="B316" s="42"/>
      <c r="C316" s="7">
        <v>42194</v>
      </c>
      <c r="D316" s="5">
        <v>17.3</v>
      </c>
      <c r="E316" s="5">
        <v>13.3</v>
      </c>
      <c r="F316" s="5">
        <v>22.4</v>
      </c>
      <c r="G316" s="5">
        <f t="shared" si="53"/>
        <v>3282.4999999999995</v>
      </c>
      <c r="H316" s="5">
        <f t="shared" si="60"/>
        <v>100.1</v>
      </c>
      <c r="J316" s="5">
        <v>0</v>
      </c>
      <c r="K316" s="5">
        <f t="shared" si="54"/>
        <v>444.69999999999993</v>
      </c>
      <c r="L316" s="5">
        <v>6.2</v>
      </c>
      <c r="M316" s="5">
        <f t="shared" si="55"/>
        <v>608.70000000000027</v>
      </c>
      <c r="N316" s="9">
        <f t="shared" si="52"/>
        <v>-6.2</v>
      </c>
      <c r="O316" s="5">
        <v>0</v>
      </c>
      <c r="P316" s="5">
        <v>311</v>
      </c>
      <c r="Q316" s="12">
        <f t="shared" si="59"/>
        <v>0.49814814814814812</v>
      </c>
      <c r="R316" s="10">
        <f t="shared" si="49"/>
        <v>3.0885185185185184</v>
      </c>
      <c r="S316" s="10">
        <f t="shared" si="50"/>
        <v>-3.0885185185185184</v>
      </c>
      <c r="T316" s="10">
        <v>0</v>
      </c>
      <c r="V316" s="5">
        <v>3143.7</v>
      </c>
      <c r="W316" s="5">
        <f t="shared" si="51"/>
        <v>181.71676300578034</v>
      </c>
      <c r="X316" s="5">
        <f t="shared" si="57"/>
        <v>335230.49999999988</v>
      </c>
      <c r="Y316" s="5">
        <f t="shared" si="61"/>
        <v>60722.999999999978</v>
      </c>
      <c r="AA316" s="5">
        <v>15.9406360646887</v>
      </c>
    </row>
    <row r="317" spans="1:27" s="5" customFormat="1" x14ac:dyDescent="0.25">
      <c r="A317" s="45"/>
      <c r="B317" s="42"/>
      <c r="C317" s="7">
        <v>42195</v>
      </c>
      <c r="D317" s="5">
        <v>19.7</v>
      </c>
      <c r="E317" s="5">
        <v>10.6</v>
      </c>
      <c r="F317" s="5">
        <v>27.1</v>
      </c>
      <c r="G317" s="5">
        <f t="shared" si="53"/>
        <v>3302.1999999999994</v>
      </c>
      <c r="H317" s="5">
        <f t="shared" si="60"/>
        <v>119.8</v>
      </c>
      <c r="J317" s="5">
        <v>0</v>
      </c>
      <c r="K317" s="5">
        <f t="shared" si="54"/>
        <v>444.69999999999993</v>
      </c>
      <c r="L317" s="5">
        <v>7.1</v>
      </c>
      <c r="M317" s="5">
        <f t="shared" si="55"/>
        <v>615.8000000000003</v>
      </c>
      <c r="N317" s="9">
        <f t="shared" si="52"/>
        <v>-7.1</v>
      </c>
      <c r="O317" s="5">
        <v>0</v>
      </c>
      <c r="P317" s="5">
        <v>312</v>
      </c>
      <c r="Q317" s="12">
        <f t="shared" si="59"/>
        <v>0.48333333333333328</v>
      </c>
      <c r="R317" s="10">
        <f t="shared" si="49"/>
        <v>3.4316666666666662</v>
      </c>
      <c r="S317" s="10">
        <f t="shared" si="50"/>
        <v>-3.4316666666666662</v>
      </c>
      <c r="T317" s="10">
        <v>0</v>
      </c>
      <c r="V317" s="5">
        <v>3236.4</v>
      </c>
      <c r="W317" s="5">
        <f t="shared" si="51"/>
        <v>164.28426395939087</v>
      </c>
      <c r="X317" s="5">
        <f t="shared" si="57"/>
        <v>338466.89999999991</v>
      </c>
      <c r="Y317" s="5">
        <f t="shared" si="61"/>
        <v>63959.39999999998</v>
      </c>
      <c r="AA317" s="5">
        <v>15.9165006362207</v>
      </c>
    </row>
    <row r="318" spans="1:27" s="5" customFormat="1" x14ac:dyDescent="0.25">
      <c r="A318" s="45"/>
      <c r="B318" s="42"/>
      <c r="C318" s="7">
        <v>42196</v>
      </c>
      <c r="D318" s="5">
        <v>20.9</v>
      </c>
      <c r="E318" s="5">
        <v>13.9</v>
      </c>
      <c r="F318" s="5">
        <v>27.7</v>
      </c>
      <c r="G318" s="5">
        <f t="shared" si="53"/>
        <v>3323.0999999999995</v>
      </c>
      <c r="H318" s="5">
        <f t="shared" si="60"/>
        <v>140.69999999999999</v>
      </c>
      <c r="J318" s="5">
        <v>0</v>
      </c>
      <c r="K318" s="5">
        <f t="shared" si="54"/>
        <v>444.69999999999993</v>
      </c>
      <c r="L318" s="5">
        <v>7.1</v>
      </c>
      <c r="M318" s="5">
        <f t="shared" si="55"/>
        <v>622.90000000000032</v>
      </c>
      <c r="N318" s="9">
        <f t="shared" si="52"/>
        <v>-7.1</v>
      </c>
      <c r="O318" s="5">
        <v>0</v>
      </c>
      <c r="P318" s="5">
        <v>313</v>
      </c>
      <c r="Q318" s="12">
        <f t="shared" si="59"/>
        <v>0.46851851851851845</v>
      </c>
      <c r="R318" s="10">
        <f t="shared" si="49"/>
        <v>3.3264814814814807</v>
      </c>
      <c r="S318" s="10">
        <f t="shared" si="50"/>
        <v>-3.3264814814814807</v>
      </c>
      <c r="T318" s="10">
        <v>0</v>
      </c>
      <c r="V318" s="5">
        <v>3209.5</v>
      </c>
      <c r="W318" s="5">
        <f t="shared" si="51"/>
        <v>153.56459330143542</v>
      </c>
      <c r="X318" s="5">
        <f t="shared" si="57"/>
        <v>341676.39999999991</v>
      </c>
      <c r="Y318" s="5">
        <f t="shared" si="61"/>
        <v>67168.89999999998</v>
      </c>
      <c r="AA318" s="5">
        <v>15.8911410253227</v>
      </c>
    </row>
    <row r="319" spans="1:27" s="5" customFormat="1" x14ac:dyDescent="0.25">
      <c r="A319" s="45"/>
      <c r="B319" s="42"/>
      <c r="C319" s="7">
        <v>42197</v>
      </c>
      <c r="D319" s="5">
        <v>19</v>
      </c>
      <c r="E319" s="5">
        <v>14</v>
      </c>
      <c r="F319" s="5">
        <v>24.7</v>
      </c>
      <c r="G319" s="5">
        <f t="shared" si="53"/>
        <v>3342.0999999999995</v>
      </c>
      <c r="H319" s="5">
        <f t="shared" si="60"/>
        <v>159.69999999999999</v>
      </c>
      <c r="J319" s="5">
        <v>0</v>
      </c>
      <c r="K319" s="5">
        <f t="shared" si="54"/>
        <v>444.69999999999993</v>
      </c>
      <c r="L319" s="5">
        <v>4.7</v>
      </c>
      <c r="M319" s="5">
        <f t="shared" si="55"/>
        <v>627.60000000000036</v>
      </c>
      <c r="N319" s="9">
        <f t="shared" si="52"/>
        <v>-4.7</v>
      </c>
      <c r="O319" s="5">
        <v>0</v>
      </c>
      <c r="P319" s="5">
        <v>314</v>
      </c>
      <c r="Q319" s="12">
        <f t="shared" si="59"/>
        <v>0.45370370370370372</v>
      </c>
      <c r="R319" s="10">
        <f t="shared" si="49"/>
        <v>2.1324074074074075</v>
      </c>
      <c r="S319" s="10">
        <f t="shared" si="50"/>
        <v>-2.1324074074074075</v>
      </c>
      <c r="T319" s="10">
        <v>0</v>
      </c>
      <c r="V319" s="5">
        <v>2285.9</v>
      </c>
      <c r="W319" s="5">
        <f t="shared" si="51"/>
        <v>120.31052631578947</v>
      </c>
      <c r="X319" s="5">
        <f t="shared" si="57"/>
        <v>343962.29999999993</v>
      </c>
      <c r="Y319" s="5">
        <f t="shared" si="61"/>
        <v>69454.799999999974</v>
      </c>
      <c r="AA319" s="5">
        <v>15.864580399340699</v>
      </c>
    </row>
    <row r="320" spans="1:27" s="5" customFormat="1" x14ac:dyDescent="0.25">
      <c r="A320" s="45"/>
      <c r="B320" s="42"/>
      <c r="C320" s="7">
        <v>42198</v>
      </c>
      <c r="D320" s="5">
        <v>21.1</v>
      </c>
      <c r="E320" s="5">
        <v>17.399999999999999</v>
      </c>
      <c r="F320" s="5">
        <v>24.9</v>
      </c>
      <c r="G320" s="5">
        <f t="shared" si="53"/>
        <v>3363.1999999999994</v>
      </c>
      <c r="H320" s="5">
        <f t="shared" si="60"/>
        <v>180.79999999999998</v>
      </c>
      <c r="J320" s="5">
        <v>0</v>
      </c>
      <c r="K320" s="5">
        <f t="shared" si="54"/>
        <v>444.69999999999993</v>
      </c>
      <c r="L320" s="5">
        <v>5.4</v>
      </c>
      <c r="M320" s="5">
        <f t="shared" si="55"/>
        <v>633.00000000000034</v>
      </c>
      <c r="N320" s="9">
        <f t="shared" si="52"/>
        <v>-5.4</v>
      </c>
      <c r="O320" s="5">
        <v>0</v>
      </c>
      <c r="P320" s="5">
        <v>315</v>
      </c>
      <c r="Q320" s="12">
        <f t="shared" si="59"/>
        <v>0.43888888888888888</v>
      </c>
      <c r="R320" s="10">
        <f t="shared" si="49"/>
        <v>2.37</v>
      </c>
      <c r="S320" s="10">
        <f t="shared" si="50"/>
        <v>-2.37</v>
      </c>
      <c r="T320" s="10">
        <v>0</v>
      </c>
      <c r="V320" s="5">
        <v>2303.4</v>
      </c>
      <c r="W320" s="5">
        <f t="shared" si="51"/>
        <v>109.16587677725119</v>
      </c>
      <c r="X320" s="5">
        <f t="shared" si="57"/>
        <v>346265.69999999995</v>
      </c>
      <c r="Y320" s="5">
        <f t="shared" si="61"/>
        <v>71758.199999999968</v>
      </c>
      <c r="AA320" s="5">
        <v>15.8368425718651</v>
      </c>
    </row>
    <row r="321" spans="1:27" s="5" customFormat="1" x14ac:dyDescent="0.25">
      <c r="A321" s="45"/>
      <c r="B321" s="42"/>
      <c r="C321" s="7">
        <v>42199</v>
      </c>
      <c r="D321" s="5">
        <v>20.3</v>
      </c>
      <c r="E321" s="5">
        <v>16.100000000000001</v>
      </c>
      <c r="F321" s="5">
        <v>25.3</v>
      </c>
      <c r="G321" s="5">
        <f t="shared" si="53"/>
        <v>3383.4999999999995</v>
      </c>
      <c r="H321" s="5">
        <f t="shared" si="60"/>
        <v>201.1</v>
      </c>
      <c r="J321" s="5">
        <v>0</v>
      </c>
      <c r="K321" s="5">
        <f t="shared" si="54"/>
        <v>444.69999999999993</v>
      </c>
      <c r="L321" s="5">
        <v>4</v>
      </c>
      <c r="M321" s="5">
        <f t="shared" si="55"/>
        <v>637.00000000000034</v>
      </c>
      <c r="N321" s="9">
        <f t="shared" si="52"/>
        <v>-4</v>
      </c>
      <c r="O321" s="5">
        <v>0</v>
      </c>
      <c r="P321" s="5">
        <v>316</v>
      </c>
      <c r="Q321" s="12">
        <f t="shared" si="59"/>
        <v>0.42407407407407405</v>
      </c>
      <c r="R321" s="10">
        <f t="shared" si="49"/>
        <v>1.6962962962962962</v>
      </c>
      <c r="S321" s="10">
        <f t="shared" si="50"/>
        <v>-1.6962962962962962</v>
      </c>
      <c r="T321" s="10">
        <v>0</v>
      </c>
      <c r="V321" s="5">
        <v>1729.6</v>
      </c>
      <c r="W321" s="5">
        <f t="shared" si="51"/>
        <v>85.201970443349751</v>
      </c>
      <c r="X321" s="5">
        <f t="shared" si="57"/>
        <v>347995.29999999993</v>
      </c>
      <c r="Y321" s="5">
        <f t="shared" si="61"/>
        <v>73487.799999999974</v>
      </c>
      <c r="AA321" s="5">
        <v>15.8079519319573</v>
      </c>
    </row>
    <row r="322" spans="1:27" s="5" customFormat="1" x14ac:dyDescent="0.25">
      <c r="A322" s="45"/>
      <c r="B322" s="42"/>
      <c r="C322" s="7">
        <v>42200</v>
      </c>
      <c r="D322" s="5">
        <v>23.1</v>
      </c>
      <c r="E322" s="5">
        <v>14.8</v>
      </c>
      <c r="F322" s="5">
        <v>29.2</v>
      </c>
      <c r="G322" s="5">
        <f t="shared" si="53"/>
        <v>3406.5999999999995</v>
      </c>
      <c r="H322" s="5">
        <f t="shared" si="60"/>
        <v>224.2</v>
      </c>
      <c r="J322" s="5">
        <v>0</v>
      </c>
      <c r="K322" s="5">
        <f t="shared" si="54"/>
        <v>444.69999999999993</v>
      </c>
      <c r="L322" s="5">
        <v>6.1</v>
      </c>
      <c r="M322" s="5">
        <f t="shared" si="55"/>
        <v>643.10000000000036</v>
      </c>
      <c r="N322" s="9">
        <f t="shared" si="52"/>
        <v>-6.1</v>
      </c>
      <c r="O322" s="5">
        <v>0</v>
      </c>
      <c r="P322" s="5">
        <v>317</v>
      </c>
      <c r="Q322" s="12">
        <f t="shared" si="59"/>
        <v>0.40925925925925921</v>
      </c>
      <c r="R322" s="10">
        <f t="shared" si="49"/>
        <v>2.4964814814814811</v>
      </c>
      <c r="S322" s="10">
        <f t="shared" si="50"/>
        <v>-2.4964814814814811</v>
      </c>
      <c r="T322" s="10">
        <v>0</v>
      </c>
      <c r="V322" s="5">
        <v>2941.7</v>
      </c>
      <c r="W322" s="5">
        <f t="shared" si="51"/>
        <v>127.34632034632033</v>
      </c>
      <c r="X322" s="5">
        <f t="shared" si="57"/>
        <v>350936.99999999994</v>
      </c>
      <c r="Y322" s="5">
        <f t="shared" si="61"/>
        <v>76429.499999999971</v>
      </c>
      <c r="AA322" s="5">
        <v>15.777933373879801</v>
      </c>
    </row>
    <row r="323" spans="1:27" s="5" customFormat="1" x14ac:dyDescent="0.25">
      <c r="A323" s="45"/>
      <c r="B323" s="42"/>
      <c r="C323" s="7">
        <v>42201</v>
      </c>
      <c r="D323" s="5">
        <v>27.3</v>
      </c>
      <c r="E323" s="5">
        <v>19.100000000000001</v>
      </c>
      <c r="F323" s="5">
        <v>34</v>
      </c>
      <c r="G323" s="5">
        <f t="shared" si="53"/>
        <v>3433.8999999999996</v>
      </c>
      <c r="H323" s="5">
        <f t="shared" si="60"/>
        <v>251.5</v>
      </c>
      <c r="J323" s="5">
        <v>0</v>
      </c>
      <c r="K323" s="5">
        <f t="shared" si="54"/>
        <v>444.69999999999993</v>
      </c>
      <c r="L323" s="5">
        <v>8</v>
      </c>
      <c r="M323" s="5">
        <f t="shared" si="55"/>
        <v>651.10000000000036</v>
      </c>
      <c r="N323" s="9">
        <f t="shared" si="52"/>
        <v>-8</v>
      </c>
      <c r="O323" s="5">
        <v>0</v>
      </c>
      <c r="P323" s="5">
        <v>318</v>
      </c>
      <c r="Q323" s="12">
        <f t="shared" si="59"/>
        <v>0.39444444444444449</v>
      </c>
      <c r="R323" s="10">
        <f t="shared" si="49"/>
        <v>3.1555555555555559</v>
      </c>
      <c r="S323" s="10">
        <f t="shared" si="50"/>
        <v>-3.1555555555555559</v>
      </c>
      <c r="T323" s="10">
        <v>0</v>
      </c>
      <c r="V323" s="5">
        <v>2900.6</v>
      </c>
      <c r="W323" s="5">
        <f t="shared" si="51"/>
        <v>106.24908424908425</v>
      </c>
      <c r="X323" s="5">
        <f t="shared" si="57"/>
        <v>353837.59999999992</v>
      </c>
      <c r="Y323" s="5">
        <f t="shared" si="61"/>
        <v>79330.099999999977</v>
      </c>
      <c r="AA323" s="5">
        <v>15.746812227681099</v>
      </c>
    </row>
    <row r="324" spans="1:27" s="5" customFormat="1" x14ac:dyDescent="0.25">
      <c r="A324" s="45"/>
      <c r="B324" s="42"/>
      <c r="C324" s="7">
        <v>42202</v>
      </c>
      <c r="D324" s="5">
        <v>24.2</v>
      </c>
      <c r="E324" s="5">
        <v>19.8</v>
      </c>
      <c r="F324" s="5">
        <v>28</v>
      </c>
      <c r="G324" s="5">
        <f t="shared" si="53"/>
        <v>3458.0999999999995</v>
      </c>
      <c r="H324" s="5">
        <f t="shared" si="60"/>
        <v>275.7</v>
      </c>
      <c r="J324" s="5">
        <v>0</v>
      </c>
      <c r="K324" s="5">
        <f t="shared" si="54"/>
        <v>444.69999999999993</v>
      </c>
      <c r="L324" s="5">
        <v>6.5</v>
      </c>
      <c r="M324" s="5">
        <f t="shared" si="55"/>
        <v>657.60000000000036</v>
      </c>
      <c r="N324" s="9">
        <f t="shared" si="52"/>
        <v>-6.5</v>
      </c>
      <c r="O324" s="5">
        <v>0</v>
      </c>
      <c r="P324" s="5">
        <v>319</v>
      </c>
      <c r="Q324" s="12">
        <f t="shared" si="59"/>
        <v>0.37962962962962965</v>
      </c>
      <c r="R324" s="10">
        <f t="shared" si="49"/>
        <v>2.4675925925925926</v>
      </c>
      <c r="S324" s="10">
        <f t="shared" si="50"/>
        <v>-2.4675925925925926</v>
      </c>
      <c r="T324" s="10">
        <v>0</v>
      </c>
      <c r="V324" s="5">
        <v>2751.3</v>
      </c>
      <c r="W324" s="5">
        <f t="shared" si="51"/>
        <v>113.69008264462811</v>
      </c>
      <c r="X324" s="5">
        <f t="shared" si="57"/>
        <v>356588.89999999991</v>
      </c>
      <c r="Y324" s="5">
        <f t="shared" si="61"/>
        <v>82081.39999999998</v>
      </c>
      <c r="AA324" s="5">
        <v>15.7146141909609</v>
      </c>
    </row>
    <row r="325" spans="1:27" s="5" customFormat="1" x14ac:dyDescent="0.25">
      <c r="A325" s="45"/>
      <c r="B325" s="42"/>
      <c r="C325" s="7">
        <v>42203</v>
      </c>
      <c r="D325" s="5">
        <v>23</v>
      </c>
      <c r="E325" s="5">
        <v>18.100000000000001</v>
      </c>
      <c r="F325" s="5">
        <v>28.3</v>
      </c>
      <c r="G325" s="5">
        <f t="shared" si="53"/>
        <v>3481.0999999999995</v>
      </c>
      <c r="H325" s="5">
        <f t="shared" si="60"/>
        <v>298.7</v>
      </c>
      <c r="J325" s="5">
        <v>14.5</v>
      </c>
      <c r="K325" s="5">
        <f t="shared" si="54"/>
        <v>459.19999999999993</v>
      </c>
      <c r="L325" s="5">
        <v>4.3</v>
      </c>
      <c r="M325" s="5">
        <f t="shared" si="55"/>
        <v>661.90000000000032</v>
      </c>
      <c r="N325" s="5">
        <f t="shared" si="52"/>
        <v>10.199999999999999</v>
      </c>
      <c r="O325" s="5">
        <f t="shared" si="58"/>
        <v>10.199999999999999</v>
      </c>
      <c r="P325" s="5">
        <v>320</v>
      </c>
      <c r="Q325" s="12">
        <f t="shared" si="59"/>
        <v>0.36481481481481481</v>
      </c>
      <c r="R325" s="10">
        <f t="shared" si="49"/>
        <v>1.5687037037037037</v>
      </c>
      <c r="S325" s="10">
        <f t="shared" si="50"/>
        <v>12.931296296296296</v>
      </c>
      <c r="T325" s="10">
        <f t="shared" si="56"/>
        <v>12.931296296296296</v>
      </c>
      <c r="V325" s="5">
        <v>1952.8</v>
      </c>
      <c r="W325" s="5">
        <f t="shared" si="51"/>
        <v>84.904347826086948</v>
      </c>
      <c r="X325" s="5">
        <f t="shared" si="57"/>
        <v>358541.6999999999</v>
      </c>
      <c r="Y325" s="5">
        <f t="shared" si="61"/>
        <v>84034.199999999983</v>
      </c>
      <c r="AA325" s="5">
        <v>15.681365262113999</v>
      </c>
    </row>
    <row r="326" spans="1:27" s="5" customFormat="1" x14ac:dyDescent="0.25">
      <c r="A326" s="45"/>
      <c r="B326" s="42"/>
      <c r="C326" s="7">
        <v>42204</v>
      </c>
      <c r="D326" s="5">
        <v>20.8</v>
      </c>
      <c r="E326" s="5">
        <v>17.2</v>
      </c>
      <c r="F326" s="5">
        <v>23.6</v>
      </c>
      <c r="G326" s="5">
        <f t="shared" si="53"/>
        <v>3501.8999999999996</v>
      </c>
      <c r="H326" s="5">
        <f t="shared" si="60"/>
        <v>319.5</v>
      </c>
      <c r="J326" s="5">
        <v>0</v>
      </c>
      <c r="K326" s="5">
        <f t="shared" si="54"/>
        <v>459.19999999999993</v>
      </c>
      <c r="L326" s="5">
        <v>4.0999999999999996</v>
      </c>
      <c r="M326" s="5">
        <f t="shared" si="55"/>
        <v>666.00000000000034</v>
      </c>
      <c r="N326" s="9">
        <f t="shared" si="52"/>
        <v>-4.0999999999999996</v>
      </c>
      <c r="O326" s="5">
        <f t="shared" si="58"/>
        <v>6.1</v>
      </c>
      <c r="P326" s="5">
        <v>321</v>
      </c>
      <c r="Q326" s="12">
        <f t="shared" si="59"/>
        <v>0.35</v>
      </c>
      <c r="R326" s="10">
        <f t="shared" ref="R326" si="62">Q326*L326</f>
        <v>1.4349999999999998</v>
      </c>
      <c r="S326" s="10">
        <f t="shared" ref="S326" si="63">J326-R326</f>
        <v>-1.4349999999999998</v>
      </c>
      <c r="T326" s="10">
        <f t="shared" si="56"/>
        <v>11.496296296296295</v>
      </c>
      <c r="V326" s="5">
        <v>1895.2</v>
      </c>
      <c r="W326" s="5">
        <f t="shared" ref="W326" si="64">V326/D326</f>
        <v>91.115384615384613</v>
      </c>
      <c r="X326" s="5">
        <f t="shared" si="57"/>
        <v>360436.89999999991</v>
      </c>
      <c r="Y326" s="5">
        <f t="shared" si="61"/>
        <v>85929.39999999998</v>
      </c>
      <c r="AA326" s="5">
        <v>15.647091675326299</v>
      </c>
    </row>
    <row r="327" spans="1:27" s="5" customFormat="1" x14ac:dyDescent="0.25">
      <c r="A327" s="45"/>
      <c r="B327" s="67" t="s">
        <v>48</v>
      </c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</sheetData>
  <mergeCells count="14">
    <mergeCell ref="A291:A311"/>
    <mergeCell ref="B327:Z327"/>
    <mergeCell ref="A5:Z5"/>
    <mergeCell ref="A6:A94"/>
    <mergeCell ref="A95:A194"/>
    <mergeCell ref="A195:A229"/>
    <mergeCell ref="A251:A272"/>
    <mergeCell ref="A273:A290"/>
    <mergeCell ref="D1:I2"/>
    <mergeCell ref="J1:U2"/>
    <mergeCell ref="V1:Z2"/>
    <mergeCell ref="P3:T3"/>
    <mergeCell ref="G4:H4"/>
    <mergeCell ref="X4:Y4"/>
  </mergeCells>
  <conditionalFormatting sqref="T1:T4">
    <cfRule type="cellIs" dxfId="9" priority="4" operator="equal">
      <formula>0</formula>
    </cfRule>
    <cfRule type="cellIs" dxfId="8" priority="5" operator="lessThanOrEqual">
      <formula>65.8</formula>
    </cfRule>
  </conditionalFormatting>
  <conditionalFormatting sqref="S6:S326">
    <cfRule type="cellIs" dxfId="7" priority="3" operator="lessThanOrEqual">
      <formula>0</formula>
    </cfRule>
  </conditionalFormatting>
  <conditionalFormatting sqref="T5:T326">
    <cfRule type="cellIs" dxfId="6" priority="1" operator="equal">
      <formula>0</formula>
    </cfRule>
    <cfRule type="cellIs" dxfId="5" priority="2" operator="lessThanOrEqual">
      <formula>65.8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7"/>
  <sheetViews>
    <sheetView tabSelected="1" topLeftCell="A154" zoomScale="70" zoomScaleNormal="70" workbookViewId="0">
      <selection activeCell="AD184" sqref="AD184"/>
    </sheetView>
  </sheetViews>
  <sheetFormatPr baseColWidth="10" defaultRowHeight="15" x14ac:dyDescent="0.25"/>
  <sheetData>
    <row r="1" spans="1:27" x14ac:dyDescent="0.25">
      <c r="B1" s="1"/>
      <c r="C1" s="2"/>
      <c r="D1" s="64" t="s">
        <v>0</v>
      </c>
      <c r="E1" s="64"/>
      <c r="F1" s="64"/>
      <c r="G1" s="64"/>
      <c r="H1" s="64"/>
      <c r="I1" s="64"/>
      <c r="J1" s="64" t="s">
        <v>1</v>
      </c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 t="s">
        <v>2</v>
      </c>
      <c r="W1" s="64"/>
      <c r="X1" s="64"/>
      <c r="Y1" s="64"/>
      <c r="Z1" s="64"/>
    </row>
    <row r="2" spans="1:27" x14ac:dyDescent="0.25">
      <c r="B2" s="1"/>
      <c r="C2" s="3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spans="1:27" x14ac:dyDescent="0.25">
      <c r="B3" s="1"/>
      <c r="C3" s="3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64" t="s">
        <v>3</v>
      </c>
      <c r="Q3" s="64"/>
      <c r="R3" s="64"/>
      <c r="S3" s="64"/>
      <c r="T3" s="64"/>
      <c r="U3" s="46"/>
      <c r="V3" s="46"/>
      <c r="W3" s="46"/>
      <c r="X3" s="46"/>
      <c r="Y3" s="46"/>
      <c r="Z3" s="46"/>
    </row>
    <row r="4" spans="1:27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65" t="s">
        <v>9</v>
      </c>
      <c r="H4" s="65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65" t="s">
        <v>24</v>
      </c>
      <c r="Y4" s="65"/>
      <c r="Z4" t="s">
        <v>10</v>
      </c>
    </row>
    <row r="5" spans="1:27" s="5" customFormat="1" x14ac:dyDescent="0.25">
      <c r="A5" s="68" t="s">
        <v>25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7" s="5" customFormat="1" x14ac:dyDescent="0.25">
      <c r="A6" s="69" t="s">
        <v>26</v>
      </c>
      <c r="B6" s="6"/>
      <c r="C6" s="7">
        <v>41884</v>
      </c>
      <c r="D6" s="5">
        <v>17.600000000000001</v>
      </c>
      <c r="E6" s="5">
        <v>13.4</v>
      </c>
      <c r="F6" s="5">
        <v>21.9</v>
      </c>
      <c r="G6" s="5">
        <f>D6</f>
        <v>17.600000000000001</v>
      </c>
      <c r="I6" s="8" t="s">
        <v>27</v>
      </c>
      <c r="J6" s="5">
        <v>0</v>
      </c>
      <c r="K6" s="5">
        <f>J6</f>
        <v>0</v>
      </c>
      <c r="L6" s="5">
        <v>2.9</v>
      </c>
      <c r="M6" s="5">
        <f>L6</f>
        <v>2.9</v>
      </c>
      <c r="N6" s="9">
        <f>J6-L6</f>
        <v>-2.9</v>
      </c>
      <c r="O6" s="5">
        <v>17</v>
      </c>
      <c r="P6" s="5">
        <v>1</v>
      </c>
      <c r="Q6" s="5">
        <v>0.35</v>
      </c>
      <c r="R6" s="10">
        <f t="shared" ref="R6:R69" si="0">Q6*L6</f>
        <v>1.0149999999999999</v>
      </c>
      <c r="S6" s="10">
        <f t="shared" ref="S6:S69" si="1">J6-R6</f>
        <v>-1.0149999999999999</v>
      </c>
      <c r="T6" s="10">
        <v>18.899999999999999</v>
      </c>
      <c r="U6" s="8" t="s">
        <v>28</v>
      </c>
      <c r="V6" s="5">
        <v>1455.1</v>
      </c>
      <c r="W6" s="5">
        <f t="shared" ref="W6:W69" si="2">V6/D6</f>
        <v>82.676136363636346</v>
      </c>
      <c r="X6" s="5">
        <f>V6</f>
        <v>1455.1</v>
      </c>
      <c r="Y6" s="11"/>
      <c r="Z6" s="8" t="s">
        <v>29</v>
      </c>
      <c r="AA6" s="5">
        <v>13.432098366522199</v>
      </c>
    </row>
    <row r="7" spans="1:27" s="5" customFormat="1" x14ac:dyDescent="0.25">
      <c r="A7" s="69"/>
      <c r="B7" s="6"/>
      <c r="C7" s="7">
        <v>41885</v>
      </c>
      <c r="D7" s="5">
        <v>17.399999999999999</v>
      </c>
      <c r="E7" s="5">
        <v>12.4</v>
      </c>
      <c r="F7" s="5">
        <v>22.2</v>
      </c>
      <c r="G7" s="5">
        <f>G6+D7</f>
        <v>35</v>
      </c>
      <c r="I7" s="5">
        <f>MIN(E6:E94)</f>
        <v>3.1</v>
      </c>
      <c r="J7" s="5">
        <v>0</v>
      </c>
      <c r="K7" s="5">
        <f>K6+J7</f>
        <v>0</v>
      </c>
      <c r="L7" s="5">
        <v>3.4</v>
      </c>
      <c r="M7" s="5">
        <f>M6+L7</f>
        <v>6.3</v>
      </c>
      <c r="N7" s="9">
        <f t="shared" ref="N7:N70" si="3">J7-L7</f>
        <v>-3.4</v>
      </c>
      <c r="O7" s="5">
        <f>O6+N7</f>
        <v>13.6</v>
      </c>
      <c r="P7" s="5">
        <v>2</v>
      </c>
      <c r="Q7" s="5">
        <v>0.35</v>
      </c>
      <c r="R7" s="10">
        <f t="shared" si="0"/>
        <v>1.19</v>
      </c>
      <c r="S7" s="10">
        <f t="shared" si="1"/>
        <v>-1.19</v>
      </c>
      <c r="T7" s="10">
        <f>MIN(197.4,(T6+S7))</f>
        <v>17.709999999999997</v>
      </c>
      <c r="U7" s="5">
        <v>62</v>
      </c>
      <c r="V7" s="5">
        <v>1782.8</v>
      </c>
      <c r="W7" s="5">
        <f t="shared" si="2"/>
        <v>102.45977011494253</v>
      </c>
      <c r="X7" s="5">
        <f>X6+V7</f>
        <v>3237.8999999999996</v>
      </c>
      <c r="Z7" s="5">
        <v>72394.800000000017</v>
      </c>
      <c r="AA7" s="5">
        <v>13.374747329041799</v>
      </c>
    </row>
    <row r="8" spans="1:27" s="5" customFormat="1" x14ac:dyDescent="0.25">
      <c r="A8" s="69"/>
      <c r="B8" s="6"/>
      <c r="C8" s="7">
        <v>41886</v>
      </c>
      <c r="D8" s="5">
        <v>17.600000000000001</v>
      </c>
      <c r="E8" s="5">
        <v>14.3</v>
      </c>
      <c r="F8" s="5">
        <v>21</v>
      </c>
      <c r="G8" s="5">
        <f t="shared" ref="G8:G71" si="4">G7+D8</f>
        <v>52.6</v>
      </c>
      <c r="I8" s="8" t="s">
        <v>30</v>
      </c>
      <c r="J8" s="5">
        <v>0</v>
      </c>
      <c r="K8" s="5">
        <f t="shared" ref="K8:K71" si="5">K7+J8</f>
        <v>0</v>
      </c>
      <c r="L8" s="5">
        <v>2.9</v>
      </c>
      <c r="M8" s="5">
        <f t="shared" ref="M8:M71" si="6">M7+L8</f>
        <v>9.1999999999999993</v>
      </c>
      <c r="N8" s="9">
        <f t="shared" si="3"/>
        <v>-2.9</v>
      </c>
      <c r="O8" s="5">
        <f>O7+N8</f>
        <v>10.7</v>
      </c>
      <c r="P8" s="5">
        <v>3</v>
      </c>
      <c r="Q8" s="5">
        <v>0.35</v>
      </c>
      <c r="R8" s="10">
        <f t="shared" si="0"/>
        <v>1.0149999999999999</v>
      </c>
      <c r="S8" s="10">
        <f t="shared" si="1"/>
        <v>-1.0149999999999999</v>
      </c>
      <c r="T8" s="10">
        <f t="shared" ref="T8:T71" si="7">MIN(197.4,(T7+S8))</f>
        <v>16.694999999999997</v>
      </c>
      <c r="U8" s="8" t="s">
        <v>31</v>
      </c>
      <c r="V8" s="5">
        <v>1664.8</v>
      </c>
      <c r="W8" s="5">
        <f t="shared" si="2"/>
        <v>94.590909090909079</v>
      </c>
      <c r="X8" s="5">
        <f t="shared" ref="X8:X71" si="8">X7+V8</f>
        <v>4902.7</v>
      </c>
      <c r="Y8" s="11"/>
      <c r="Z8" s="8" t="s">
        <v>32</v>
      </c>
      <c r="AA8" s="5">
        <v>13.3172503703023</v>
      </c>
    </row>
    <row r="9" spans="1:27" s="5" customFormat="1" x14ac:dyDescent="0.25">
      <c r="A9" s="69"/>
      <c r="B9" s="6"/>
      <c r="C9" s="7">
        <v>41887</v>
      </c>
      <c r="D9" s="5">
        <v>18.3</v>
      </c>
      <c r="E9" s="5">
        <v>14.1</v>
      </c>
      <c r="F9" s="5">
        <v>22.4</v>
      </c>
      <c r="G9" s="5">
        <f t="shared" si="4"/>
        <v>70.900000000000006</v>
      </c>
      <c r="I9" s="5">
        <f>MAX(F6:F94)</f>
        <v>26.6</v>
      </c>
      <c r="J9" s="5">
        <v>0</v>
      </c>
      <c r="K9" s="5">
        <f t="shared" si="5"/>
        <v>0</v>
      </c>
      <c r="L9" s="5">
        <v>3</v>
      </c>
      <c r="M9" s="5">
        <f t="shared" si="6"/>
        <v>12.2</v>
      </c>
      <c r="N9" s="9">
        <f t="shared" si="3"/>
        <v>-3</v>
      </c>
      <c r="O9" s="5">
        <f t="shared" ref="O9:O72" si="9">O8+N9</f>
        <v>7.6999999999999993</v>
      </c>
      <c r="P9" s="5">
        <v>4</v>
      </c>
      <c r="Q9" s="5">
        <v>0.35</v>
      </c>
      <c r="R9" s="10">
        <f t="shared" si="0"/>
        <v>1.0499999999999998</v>
      </c>
      <c r="S9" s="10">
        <f t="shared" si="1"/>
        <v>-1.0499999999999998</v>
      </c>
      <c r="T9" s="10">
        <f t="shared" si="7"/>
        <v>15.644999999999996</v>
      </c>
      <c r="U9" s="5">
        <v>1</v>
      </c>
      <c r="V9" s="5">
        <v>1680.4</v>
      </c>
      <c r="W9" s="5">
        <f t="shared" si="2"/>
        <v>91.825136612021865</v>
      </c>
      <c r="X9" s="5">
        <f t="shared" si="8"/>
        <v>6583.1</v>
      </c>
      <c r="Z9" s="12">
        <f>(Z7/100)/I19</f>
        <v>0.623179822673668</v>
      </c>
      <c r="AA9" s="5">
        <v>13.2596157342212</v>
      </c>
    </row>
    <row r="10" spans="1:27" s="5" customFormat="1" x14ac:dyDescent="0.25">
      <c r="A10" s="69"/>
      <c r="B10" s="6"/>
      <c r="C10" s="7">
        <v>41888</v>
      </c>
      <c r="D10" s="5">
        <v>18.7</v>
      </c>
      <c r="E10" s="5">
        <v>16.3</v>
      </c>
      <c r="F10" s="5">
        <v>22.7</v>
      </c>
      <c r="G10" s="5">
        <f t="shared" si="4"/>
        <v>89.600000000000009</v>
      </c>
      <c r="I10" s="8" t="s">
        <v>33</v>
      </c>
      <c r="J10" s="5">
        <v>0</v>
      </c>
      <c r="K10" s="5">
        <f t="shared" si="5"/>
        <v>0</v>
      </c>
      <c r="L10" s="5">
        <v>2.9</v>
      </c>
      <c r="M10" s="5">
        <f t="shared" si="6"/>
        <v>15.1</v>
      </c>
      <c r="N10" s="9">
        <f t="shared" si="3"/>
        <v>-2.9</v>
      </c>
      <c r="O10" s="5">
        <f t="shared" si="9"/>
        <v>4.7999999999999989</v>
      </c>
      <c r="P10" s="5">
        <v>5</v>
      </c>
      <c r="Q10" s="5">
        <v>0.35</v>
      </c>
      <c r="R10" s="10">
        <f t="shared" si="0"/>
        <v>1.0149999999999999</v>
      </c>
      <c r="S10" s="10">
        <f t="shared" si="1"/>
        <v>-1.0149999999999999</v>
      </c>
      <c r="T10" s="10">
        <f t="shared" si="7"/>
        <v>14.629999999999995</v>
      </c>
      <c r="U10" s="8" t="s">
        <v>34</v>
      </c>
      <c r="V10" s="5">
        <v>1639.5</v>
      </c>
      <c r="W10" s="5">
        <f t="shared" si="2"/>
        <v>87.673796791443849</v>
      </c>
      <c r="X10" s="5">
        <f t="shared" si="8"/>
        <v>8222.6</v>
      </c>
      <c r="Y10" s="11"/>
      <c r="Z10" s="8" t="s">
        <v>35</v>
      </c>
      <c r="AA10" s="5">
        <v>13.2018513703671</v>
      </c>
    </row>
    <row r="11" spans="1:27" s="5" customFormat="1" x14ac:dyDescent="0.25">
      <c r="A11" s="69"/>
      <c r="B11" s="6"/>
      <c r="C11" s="7">
        <v>41889</v>
      </c>
      <c r="D11" s="5">
        <v>18.2</v>
      </c>
      <c r="E11" s="5">
        <v>12.5</v>
      </c>
      <c r="F11" s="5">
        <v>24.7</v>
      </c>
      <c r="G11" s="5">
        <f t="shared" si="4"/>
        <v>107.80000000000001</v>
      </c>
      <c r="I11" s="10">
        <f>AVERAGE(D6:D94)</f>
        <v>13.052808988764047</v>
      </c>
      <c r="J11" s="5">
        <v>0</v>
      </c>
      <c r="K11" s="5">
        <f t="shared" si="5"/>
        <v>0</v>
      </c>
      <c r="L11" s="5">
        <v>2.9</v>
      </c>
      <c r="M11" s="5">
        <f t="shared" si="6"/>
        <v>18</v>
      </c>
      <c r="N11" s="9">
        <f t="shared" si="3"/>
        <v>-2.9</v>
      </c>
      <c r="O11" s="5">
        <f t="shared" si="9"/>
        <v>1.899999999999999</v>
      </c>
      <c r="P11" s="5">
        <v>6</v>
      </c>
      <c r="Q11" s="5">
        <v>0.35</v>
      </c>
      <c r="R11" s="10">
        <f t="shared" si="0"/>
        <v>1.0149999999999999</v>
      </c>
      <c r="S11" s="10">
        <f t="shared" si="1"/>
        <v>-1.0149999999999999</v>
      </c>
      <c r="T11" s="10">
        <f t="shared" si="7"/>
        <v>13.614999999999995</v>
      </c>
      <c r="U11" s="5">
        <v>67</v>
      </c>
      <c r="V11" s="5">
        <v>1527.6</v>
      </c>
      <c r="W11" s="5">
        <f t="shared" si="2"/>
        <v>83.934065934065927</v>
      </c>
      <c r="X11" s="5">
        <f t="shared" si="8"/>
        <v>9750.2000000000007</v>
      </c>
      <c r="Z11" s="5">
        <v>42</v>
      </c>
      <c r="AA11" s="5">
        <v>13.1439649495344</v>
      </c>
    </row>
    <row r="12" spans="1:27" s="5" customFormat="1" x14ac:dyDescent="0.25">
      <c r="A12" s="69"/>
      <c r="B12" s="6"/>
      <c r="C12" s="7">
        <v>41890</v>
      </c>
      <c r="D12" s="5">
        <v>18.7</v>
      </c>
      <c r="E12" s="5">
        <v>13</v>
      </c>
      <c r="F12" s="5">
        <v>24.8</v>
      </c>
      <c r="G12" s="5">
        <f t="shared" si="4"/>
        <v>126.50000000000001</v>
      </c>
      <c r="I12" s="8" t="s">
        <v>36</v>
      </c>
      <c r="J12" s="5">
        <v>0</v>
      </c>
      <c r="K12" s="5">
        <f t="shared" si="5"/>
        <v>0</v>
      </c>
      <c r="L12" s="5">
        <v>3.4</v>
      </c>
      <c r="M12" s="5">
        <f t="shared" si="6"/>
        <v>21.4</v>
      </c>
      <c r="N12" s="9">
        <f t="shared" si="3"/>
        <v>-3.4</v>
      </c>
      <c r="O12" s="5">
        <v>0</v>
      </c>
      <c r="P12" s="5">
        <v>7</v>
      </c>
      <c r="Q12" s="5">
        <v>0.35</v>
      </c>
      <c r="R12" s="10">
        <f t="shared" si="0"/>
        <v>1.19</v>
      </c>
      <c r="S12" s="10">
        <f t="shared" si="1"/>
        <v>-1.19</v>
      </c>
      <c r="T12" s="10">
        <f t="shared" si="7"/>
        <v>12.424999999999995</v>
      </c>
      <c r="U12" s="8" t="s">
        <v>37</v>
      </c>
      <c r="V12" s="5">
        <v>1632.5</v>
      </c>
      <c r="W12" s="5">
        <f t="shared" si="2"/>
        <v>87.299465240641709</v>
      </c>
      <c r="X12" s="5">
        <f t="shared" si="8"/>
        <v>11382.7</v>
      </c>
      <c r="AA12" s="5">
        <v>13.085963879425</v>
      </c>
    </row>
    <row r="13" spans="1:27" s="5" customFormat="1" x14ac:dyDescent="0.25">
      <c r="A13" s="69"/>
      <c r="B13" s="6"/>
      <c r="C13" s="7">
        <v>41891</v>
      </c>
      <c r="D13" s="5">
        <v>17</v>
      </c>
      <c r="E13" s="5">
        <v>12.8</v>
      </c>
      <c r="F13" s="5">
        <v>22.5</v>
      </c>
      <c r="G13" s="5">
        <f t="shared" si="4"/>
        <v>143.5</v>
      </c>
      <c r="I13" s="5">
        <v>0</v>
      </c>
      <c r="J13" s="5">
        <v>0</v>
      </c>
      <c r="K13" s="5">
        <f t="shared" si="5"/>
        <v>0</v>
      </c>
      <c r="L13" s="5">
        <v>3.4</v>
      </c>
      <c r="M13" s="5">
        <f t="shared" si="6"/>
        <v>24.799999999999997</v>
      </c>
      <c r="N13" s="9">
        <f t="shared" si="3"/>
        <v>-3.4</v>
      </c>
      <c r="O13" s="5">
        <v>0</v>
      </c>
      <c r="P13" s="5">
        <v>8</v>
      </c>
      <c r="Q13" s="5">
        <v>0.35</v>
      </c>
      <c r="R13" s="10">
        <f t="shared" si="0"/>
        <v>1.19</v>
      </c>
      <c r="S13" s="10">
        <f t="shared" si="1"/>
        <v>-1.19</v>
      </c>
      <c r="T13" s="10">
        <f t="shared" si="7"/>
        <v>11.234999999999996</v>
      </c>
      <c r="U13" s="10">
        <v>0</v>
      </c>
      <c r="V13" s="5">
        <v>1639.5</v>
      </c>
      <c r="W13" s="5">
        <f t="shared" si="2"/>
        <v>96.441176470588232</v>
      </c>
      <c r="X13" s="5">
        <f t="shared" si="8"/>
        <v>13022.2</v>
      </c>
      <c r="AA13" s="5">
        <v>13.0278553204241</v>
      </c>
    </row>
    <row r="14" spans="1:27" s="5" customFormat="1" x14ac:dyDescent="0.25">
      <c r="A14" s="69"/>
      <c r="B14" s="6"/>
      <c r="C14" s="7">
        <v>41892</v>
      </c>
      <c r="D14" s="5">
        <v>15.1</v>
      </c>
      <c r="E14" s="5">
        <v>10.4</v>
      </c>
      <c r="F14" s="5">
        <v>20.8</v>
      </c>
      <c r="G14" s="5">
        <f t="shared" si="4"/>
        <v>158.6</v>
      </c>
      <c r="I14" s="8" t="s">
        <v>38</v>
      </c>
      <c r="J14" s="5">
        <v>0</v>
      </c>
      <c r="K14" s="5">
        <f t="shared" si="5"/>
        <v>0</v>
      </c>
      <c r="L14" s="5">
        <v>3.4</v>
      </c>
      <c r="M14" s="5">
        <f t="shared" si="6"/>
        <v>28.199999999999996</v>
      </c>
      <c r="N14" s="9">
        <f t="shared" si="3"/>
        <v>-3.4</v>
      </c>
      <c r="O14" s="5">
        <v>0</v>
      </c>
      <c r="P14" s="5">
        <v>9</v>
      </c>
      <c r="Q14" s="5">
        <f>0.35+((P14-8)/81)*(1-0.35)</f>
        <v>0.35802469135802467</v>
      </c>
      <c r="R14" s="10">
        <f t="shared" si="0"/>
        <v>1.2172839506172839</v>
      </c>
      <c r="S14" s="10">
        <f t="shared" si="1"/>
        <v>-1.2172839506172839</v>
      </c>
      <c r="T14" s="10">
        <f t="shared" si="7"/>
        <v>10.017716049382711</v>
      </c>
      <c r="U14" s="8" t="s">
        <v>39</v>
      </c>
      <c r="V14" s="5">
        <v>1805.3</v>
      </c>
      <c r="W14" s="5">
        <f t="shared" si="2"/>
        <v>119.55629139072848</v>
      </c>
      <c r="X14" s="5">
        <f t="shared" si="8"/>
        <v>14827.5</v>
      </c>
      <c r="AA14" s="5">
        <v>12.9696462014545</v>
      </c>
    </row>
    <row r="15" spans="1:27" s="5" customFormat="1" x14ac:dyDescent="0.25">
      <c r="A15" s="69"/>
      <c r="B15" s="6"/>
      <c r="C15" s="7">
        <v>41893</v>
      </c>
      <c r="D15" s="5">
        <v>14.4</v>
      </c>
      <c r="E15" s="5">
        <v>8.9</v>
      </c>
      <c r="F15" s="5">
        <v>20.2</v>
      </c>
      <c r="G15" s="5">
        <f t="shared" si="4"/>
        <v>173</v>
      </c>
      <c r="I15" s="5">
        <v>3</v>
      </c>
      <c r="J15" s="5">
        <v>0</v>
      </c>
      <c r="K15" s="5">
        <f t="shared" si="5"/>
        <v>0</v>
      </c>
      <c r="L15" s="5">
        <v>3.2</v>
      </c>
      <c r="M15" s="5">
        <f t="shared" si="6"/>
        <v>31.399999999999995</v>
      </c>
      <c r="N15" s="9">
        <f t="shared" si="3"/>
        <v>-3.2</v>
      </c>
      <c r="O15" s="5">
        <v>0</v>
      </c>
      <c r="P15" s="5">
        <v>10</v>
      </c>
      <c r="Q15" s="5">
        <f t="shared" ref="Q15:Q78" si="10">0.35+((P15-8)/81)*(1-0.35)</f>
        <v>0.36604938271604937</v>
      </c>
      <c r="R15" s="10">
        <f t="shared" si="0"/>
        <v>1.171358024691358</v>
      </c>
      <c r="S15" s="10">
        <f t="shared" si="1"/>
        <v>-1.171358024691358</v>
      </c>
      <c r="T15" s="10">
        <f t="shared" si="7"/>
        <v>8.8463580246913534</v>
      </c>
      <c r="U15" s="10">
        <f>MAX(T6:T94)</f>
        <v>103.30709876543213</v>
      </c>
      <c r="V15" s="5">
        <v>1815.8</v>
      </c>
      <c r="W15" s="5">
        <f t="shared" si="2"/>
        <v>126.09722222222221</v>
      </c>
      <c r="X15" s="5">
        <f t="shared" si="8"/>
        <v>16643.3</v>
      </c>
      <c r="AA15" s="5">
        <v>12.9113432359031</v>
      </c>
    </row>
    <row r="16" spans="1:27" s="5" customFormat="1" x14ac:dyDescent="0.25">
      <c r="A16" s="69"/>
      <c r="B16" s="6"/>
      <c r="C16" s="7">
        <v>41894</v>
      </c>
      <c r="D16" s="5">
        <v>15.2</v>
      </c>
      <c r="E16" s="5">
        <v>9.6</v>
      </c>
      <c r="F16" s="5">
        <v>20.3</v>
      </c>
      <c r="G16" s="5">
        <f t="shared" si="4"/>
        <v>188.2</v>
      </c>
      <c r="I16" s="8" t="s">
        <v>40</v>
      </c>
      <c r="J16" s="5">
        <v>0</v>
      </c>
      <c r="K16" s="5">
        <f t="shared" si="5"/>
        <v>0</v>
      </c>
      <c r="L16" s="5">
        <v>3.6</v>
      </c>
      <c r="M16" s="5">
        <f t="shared" si="6"/>
        <v>34.999999999999993</v>
      </c>
      <c r="N16" s="9">
        <f t="shared" si="3"/>
        <v>-3.6</v>
      </c>
      <c r="O16" s="5">
        <v>0</v>
      </c>
      <c r="P16" s="5">
        <v>11</v>
      </c>
      <c r="Q16" s="5">
        <f t="shared" si="10"/>
        <v>0.37407407407407406</v>
      </c>
      <c r="R16" s="10">
        <f t="shared" si="0"/>
        <v>1.3466666666666667</v>
      </c>
      <c r="S16" s="10">
        <f t="shared" si="1"/>
        <v>-1.3466666666666667</v>
      </c>
      <c r="T16" s="10">
        <f t="shared" si="7"/>
        <v>7.4996913580246867</v>
      </c>
      <c r="U16" s="8" t="s">
        <v>41</v>
      </c>
      <c r="V16" s="5">
        <v>1948.3</v>
      </c>
      <c r="W16" s="5">
        <f t="shared" si="2"/>
        <v>128.17763157894737</v>
      </c>
      <c r="X16" s="5">
        <f t="shared" si="8"/>
        <v>18591.599999999999</v>
      </c>
      <c r="AA16" s="5">
        <v>12.8529529376094</v>
      </c>
    </row>
    <row r="17" spans="1:27" s="5" customFormat="1" x14ac:dyDescent="0.25">
      <c r="A17" s="69"/>
      <c r="B17" s="6"/>
      <c r="C17" s="7">
        <v>41895</v>
      </c>
      <c r="D17" s="5">
        <v>17.2</v>
      </c>
      <c r="E17" s="5">
        <v>11.8</v>
      </c>
      <c r="F17" s="5">
        <v>22.8</v>
      </c>
      <c r="G17" s="5">
        <f t="shared" si="4"/>
        <v>205.39999999999998</v>
      </c>
      <c r="I17" s="5">
        <v>4</v>
      </c>
      <c r="J17" s="5">
        <v>0</v>
      </c>
      <c r="K17" s="5">
        <f t="shared" si="5"/>
        <v>0</v>
      </c>
      <c r="L17" s="5">
        <v>3.1</v>
      </c>
      <c r="M17" s="5">
        <f t="shared" si="6"/>
        <v>38.099999999999994</v>
      </c>
      <c r="N17" s="9">
        <f t="shared" si="3"/>
        <v>-3.1</v>
      </c>
      <c r="O17" s="5">
        <v>0</v>
      </c>
      <c r="P17" s="5">
        <v>12</v>
      </c>
      <c r="Q17" s="5">
        <f t="shared" si="10"/>
        <v>0.38209876543209875</v>
      </c>
      <c r="R17" s="10">
        <f t="shared" si="0"/>
        <v>1.1845061728395061</v>
      </c>
      <c r="S17" s="10">
        <f t="shared" si="1"/>
        <v>-1.1845061728395061</v>
      </c>
      <c r="T17" s="10">
        <f t="shared" si="7"/>
        <v>6.3151851851851806</v>
      </c>
      <c r="U17" s="12">
        <f>AVERAGE(T6:T94)</f>
        <v>46.296283811901795</v>
      </c>
      <c r="V17" s="5">
        <v>1563.7</v>
      </c>
      <c r="W17" s="5">
        <f t="shared" si="2"/>
        <v>90.912790697674424</v>
      </c>
      <c r="X17" s="5">
        <f t="shared" si="8"/>
        <v>20155.3</v>
      </c>
      <c r="AA17" s="5">
        <v>12.79448163691</v>
      </c>
    </row>
    <row r="18" spans="1:27" s="5" customFormat="1" x14ac:dyDescent="0.25">
      <c r="A18" s="69"/>
      <c r="B18" s="6"/>
      <c r="C18" s="7">
        <v>41896</v>
      </c>
      <c r="D18" s="5">
        <v>16.8</v>
      </c>
      <c r="E18" s="5">
        <v>13.8</v>
      </c>
      <c r="F18" s="5">
        <v>21.2</v>
      </c>
      <c r="G18" s="5">
        <f t="shared" si="4"/>
        <v>222.2</v>
      </c>
      <c r="I18" s="8" t="s">
        <v>42</v>
      </c>
      <c r="J18" s="5">
        <v>0</v>
      </c>
      <c r="K18" s="5">
        <f t="shared" si="5"/>
        <v>0</v>
      </c>
      <c r="L18" s="5">
        <v>2.9</v>
      </c>
      <c r="M18" s="5">
        <f t="shared" si="6"/>
        <v>40.999999999999993</v>
      </c>
      <c r="N18" s="9">
        <f t="shared" si="3"/>
        <v>-2.9</v>
      </c>
      <c r="O18" s="5">
        <v>0</v>
      </c>
      <c r="P18" s="5">
        <v>13</v>
      </c>
      <c r="Q18" s="5">
        <f t="shared" si="10"/>
        <v>0.39012345679012345</v>
      </c>
      <c r="R18" s="10">
        <f t="shared" si="0"/>
        <v>1.1313580246913579</v>
      </c>
      <c r="S18" s="10">
        <f t="shared" si="1"/>
        <v>-1.1313580246913579</v>
      </c>
      <c r="T18" s="10">
        <f t="shared" si="7"/>
        <v>5.1838271604938226</v>
      </c>
      <c r="V18" s="5">
        <v>1404.3</v>
      </c>
      <c r="W18" s="5">
        <f t="shared" si="2"/>
        <v>83.589285714285708</v>
      </c>
      <c r="X18" s="5">
        <f t="shared" si="8"/>
        <v>21559.599999999999</v>
      </c>
      <c r="AA18" s="5">
        <v>12.7359354967369</v>
      </c>
    </row>
    <row r="19" spans="1:27" s="5" customFormat="1" x14ac:dyDescent="0.25">
      <c r="A19" s="69"/>
      <c r="B19" s="6"/>
      <c r="C19" s="7">
        <v>41897</v>
      </c>
      <c r="D19" s="5">
        <v>17.100000000000001</v>
      </c>
      <c r="E19" s="5">
        <v>11.4</v>
      </c>
      <c r="F19" s="5">
        <v>23</v>
      </c>
      <c r="G19" s="5">
        <f t="shared" si="4"/>
        <v>239.29999999999998</v>
      </c>
      <c r="I19" s="5">
        <v>1161.7</v>
      </c>
      <c r="J19" s="5">
        <v>0</v>
      </c>
      <c r="K19" s="5">
        <f t="shared" si="5"/>
        <v>0</v>
      </c>
      <c r="L19" s="5">
        <v>2.9</v>
      </c>
      <c r="M19" s="5">
        <f t="shared" si="6"/>
        <v>43.899999999999991</v>
      </c>
      <c r="N19" s="9">
        <f t="shared" si="3"/>
        <v>-2.9</v>
      </c>
      <c r="O19" s="5">
        <v>0</v>
      </c>
      <c r="P19" s="5">
        <v>14</v>
      </c>
      <c r="Q19" s="5">
        <f t="shared" si="10"/>
        <v>0.39814814814814814</v>
      </c>
      <c r="R19" s="10">
        <f t="shared" si="0"/>
        <v>1.1546296296296297</v>
      </c>
      <c r="S19" s="10">
        <f t="shared" si="1"/>
        <v>-1.1546296296296297</v>
      </c>
      <c r="T19" s="10">
        <f t="shared" si="7"/>
        <v>4.0291975308641934</v>
      </c>
      <c r="U19" s="10">
        <f>(U17*100)/197.4</f>
        <v>23.453031313020158</v>
      </c>
      <c r="V19" s="5">
        <v>1591.8</v>
      </c>
      <c r="W19" s="5">
        <f t="shared" si="2"/>
        <v>93.087719298245602</v>
      </c>
      <c r="X19" s="5">
        <f t="shared" si="8"/>
        <v>23151.399999999998</v>
      </c>
      <c r="AA19" s="5">
        <v>12.6773205287652</v>
      </c>
    </row>
    <row r="20" spans="1:27" s="5" customFormat="1" x14ac:dyDescent="0.25">
      <c r="A20" s="69"/>
      <c r="B20" s="6"/>
      <c r="C20" s="7">
        <v>41898</v>
      </c>
      <c r="D20" s="5">
        <v>17.7</v>
      </c>
      <c r="E20" s="5">
        <v>10.6</v>
      </c>
      <c r="F20" s="5">
        <v>24.3</v>
      </c>
      <c r="G20" s="5">
        <f t="shared" si="4"/>
        <v>257</v>
      </c>
      <c r="J20" s="5">
        <v>0</v>
      </c>
      <c r="K20" s="5">
        <f t="shared" si="5"/>
        <v>0</v>
      </c>
      <c r="L20" s="5">
        <v>3.1</v>
      </c>
      <c r="M20" s="5">
        <f t="shared" si="6"/>
        <v>46.999999999999993</v>
      </c>
      <c r="N20" s="9">
        <f t="shared" si="3"/>
        <v>-3.1</v>
      </c>
      <c r="O20" s="5">
        <v>0</v>
      </c>
      <c r="P20" s="5">
        <v>15</v>
      </c>
      <c r="Q20" s="5">
        <f t="shared" si="10"/>
        <v>0.40617283950617283</v>
      </c>
      <c r="R20" s="10">
        <f t="shared" si="0"/>
        <v>1.2591358024691359</v>
      </c>
      <c r="S20" s="10">
        <f t="shared" si="1"/>
        <v>-1.2591358024691359</v>
      </c>
      <c r="T20" s="10">
        <f t="shared" si="7"/>
        <v>2.7700617283950573</v>
      </c>
      <c r="V20" s="5">
        <v>1712.9</v>
      </c>
      <c r="W20" s="5">
        <f t="shared" si="2"/>
        <v>96.774011299435031</v>
      </c>
      <c r="X20" s="5">
        <f t="shared" si="8"/>
        <v>24864.3</v>
      </c>
      <c r="AA20" s="5">
        <v>12.618642609610401</v>
      </c>
    </row>
    <row r="21" spans="1:27" s="5" customFormat="1" x14ac:dyDescent="0.25">
      <c r="A21" s="69"/>
      <c r="B21" s="6"/>
      <c r="C21" s="7">
        <v>41899</v>
      </c>
      <c r="D21" s="5">
        <v>19.899999999999999</v>
      </c>
      <c r="E21" s="5">
        <v>15.8</v>
      </c>
      <c r="F21" s="13">
        <v>25</v>
      </c>
      <c r="G21" s="5">
        <f t="shared" si="4"/>
        <v>276.89999999999998</v>
      </c>
      <c r="J21" s="5">
        <v>0</v>
      </c>
      <c r="K21" s="5">
        <f t="shared" si="5"/>
        <v>0</v>
      </c>
      <c r="L21" s="5">
        <v>2.1</v>
      </c>
      <c r="M21" s="5">
        <f t="shared" si="6"/>
        <v>49.099999999999994</v>
      </c>
      <c r="N21" s="9">
        <f t="shared" si="3"/>
        <v>-2.1</v>
      </c>
      <c r="O21" s="5">
        <v>0</v>
      </c>
      <c r="P21" s="5">
        <v>16</v>
      </c>
      <c r="Q21" s="5">
        <f t="shared" si="10"/>
        <v>0.41419753086419753</v>
      </c>
      <c r="R21" s="10">
        <f t="shared" si="0"/>
        <v>0.86981481481481482</v>
      </c>
      <c r="S21" s="10">
        <f t="shared" si="1"/>
        <v>-0.86981481481481482</v>
      </c>
      <c r="T21" s="10">
        <f t="shared" si="7"/>
        <v>1.9002469135802424</v>
      </c>
      <c r="V21" s="14">
        <v>865.3</v>
      </c>
      <c r="W21" s="5">
        <f t="shared" si="2"/>
        <v>43.482412060301506</v>
      </c>
      <c r="X21" s="5">
        <f t="shared" si="8"/>
        <v>25729.599999999999</v>
      </c>
      <c r="AA21" s="5">
        <v>12.5599074970745</v>
      </c>
    </row>
    <row r="22" spans="1:27" s="5" customFormat="1" x14ac:dyDescent="0.25">
      <c r="A22" s="69"/>
      <c r="B22" s="6"/>
      <c r="C22" s="7">
        <v>41900</v>
      </c>
      <c r="D22" s="5">
        <v>19.5</v>
      </c>
      <c r="E22" s="5">
        <v>15</v>
      </c>
      <c r="F22" s="13">
        <v>26.6</v>
      </c>
      <c r="G22" s="5">
        <f t="shared" si="4"/>
        <v>296.39999999999998</v>
      </c>
      <c r="J22" s="5">
        <v>6</v>
      </c>
      <c r="K22" s="5">
        <f t="shared" si="5"/>
        <v>6</v>
      </c>
      <c r="L22" s="5">
        <v>3.1</v>
      </c>
      <c r="M22" s="5">
        <f t="shared" si="6"/>
        <v>52.199999999999996</v>
      </c>
      <c r="N22" s="5">
        <f t="shared" si="3"/>
        <v>2.9</v>
      </c>
      <c r="O22" s="5">
        <f t="shared" si="9"/>
        <v>2.9</v>
      </c>
      <c r="P22" s="5">
        <v>17</v>
      </c>
      <c r="Q22" s="5">
        <f t="shared" si="10"/>
        <v>0.42222222222222217</v>
      </c>
      <c r="R22" s="10">
        <f t="shared" si="0"/>
        <v>1.3088888888888888</v>
      </c>
      <c r="S22" s="10">
        <f t="shared" si="1"/>
        <v>4.6911111111111108</v>
      </c>
      <c r="T22" s="10">
        <f t="shared" si="7"/>
        <v>6.5913580246913535</v>
      </c>
      <c r="V22" s="5">
        <v>1355.2</v>
      </c>
      <c r="W22" s="5">
        <f t="shared" si="2"/>
        <v>69.497435897435906</v>
      </c>
      <c r="X22" s="5">
        <f t="shared" si="8"/>
        <v>27084.799999999999</v>
      </c>
      <c r="AA22" s="5">
        <v>12.501120846445</v>
      </c>
    </row>
    <row r="23" spans="1:27" s="5" customFormat="1" x14ac:dyDescent="0.25">
      <c r="A23" s="69"/>
      <c r="B23" s="6"/>
      <c r="C23" s="7">
        <v>41901</v>
      </c>
      <c r="D23" s="5">
        <v>18.2</v>
      </c>
      <c r="E23" s="5">
        <v>13.9</v>
      </c>
      <c r="F23" s="5">
        <v>24.3</v>
      </c>
      <c r="G23" s="5">
        <f t="shared" si="4"/>
        <v>314.59999999999997</v>
      </c>
      <c r="J23" s="5">
        <v>0.1</v>
      </c>
      <c r="K23" s="5">
        <f t="shared" si="5"/>
        <v>6.1</v>
      </c>
      <c r="L23" s="5">
        <v>2.4</v>
      </c>
      <c r="M23" s="5">
        <f t="shared" si="6"/>
        <v>54.599999999999994</v>
      </c>
      <c r="N23" s="9">
        <f t="shared" si="3"/>
        <v>-2.2999999999999998</v>
      </c>
      <c r="O23" s="5">
        <f t="shared" si="9"/>
        <v>0.60000000000000009</v>
      </c>
      <c r="P23" s="5">
        <v>18</v>
      </c>
      <c r="Q23" s="5">
        <f t="shared" si="10"/>
        <v>0.43024691358024691</v>
      </c>
      <c r="R23" s="10">
        <f t="shared" si="0"/>
        <v>1.0325925925925925</v>
      </c>
      <c r="S23" s="10">
        <f t="shared" si="1"/>
        <v>-0.93259259259259253</v>
      </c>
      <c r="T23" s="10">
        <f t="shared" si="7"/>
        <v>5.658765432098761</v>
      </c>
      <c r="V23" s="5">
        <v>1135.2</v>
      </c>
      <c r="W23" s="5">
        <f t="shared" si="2"/>
        <v>62.373626373626379</v>
      </c>
      <c r="X23" s="5">
        <f t="shared" si="8"/>
        <v>28220</v>
      </c>
      <c r="AA23" s="5">
        <v>12.442288226845699</v>
      </c>
    </row>
    <row r="24" spans="1:27" s="5" customFormat="1" x14ac:dyDescent="0.25">
      <c r="A24" s="69"/>
      <c r="B24" s="6"/>
      <c r="C24" s="7">
        <v>41902</v>
      </c>
      <c r="D24" s="5">
        <v>18.399999999999999</v>
      </c>
      <c r="E24" s="5">
        <v>13.9</v>
      </c>
      <c r="F24" s="13">
        <v>25.6</v>
      </c>
      <c r="G24" s="5">
        <f t="shared" si="4"/>
        <v>332.99999999999994</v>
      </c>
      <c r="J24" s="5">
        <v>2.2999999999999998</v>
      </c>
      <c r="K24" s="5">
        <f t="shared" si="5"/>
        <v>8.3999999999999986</v>
      </c>
      <c r="L24" s="5">
        <v>2.5</v>
      </c>
      <c r="M24" s="5">
        <f t="shared" si="6"/>
        <v>57.099999999999994</v>
      </c>
      <c r="N24" s="9">
        <f t="shared" si="3"/>
        <v>-0.20000000000000018</v>
      </c>
      <c r="O24" s="5">
        <f t="shared" si="9"/>
        <v>0.39999999999999991</v>
      </c>
      <c r="P24" s="5">
        <v>19</v>
      </c>
      <c r="Q24" s="5">
        <f t="shared" si="10"/>
        <v>0.43827160493827155</v>
      </c>
      <c r="R24" s="10">
        <f t="shared" si="0"/>
        <v>1.0956790123456788</v>
      </c>
      <c r="S24" s="10">
        <f t="shared" si="1"/>
        <v>1.2043209876543211</v>
      </c>
      <c r="T24" s="10">
        <f t="shared" si="7"/>
        <v>6.8630864197530821</v>
      </c>
      <c r="V24" s="5">
        <v>1114.8</v>
      </c>
      <c r="W24" s="5">
        <f t="shared" si="2"/>
        <v>60.586956521739133</v>
      </c>
      <c r="X24" s="5">
        <f t="shared" si="8"/>
        <v>29334.799999999999</v>
      </c>
      <c r="AA24" s="5">
        <v>12.3834151376472</v>
      </c>
    </row>
    <row r="25" spans="1:27" s="5" customFormat="1" x14ac:dyDescent="0.25">
      <c r="A25" s="69"/>
      <c r="B25" s="6"/>
      <c r="C25" s="7">
        <v>41903</v>
      </c>
      <c r="D25" s="5">
        <v>16.3</v>
      </c>
      <c r="E25" s="5">
        <v>15.9</v>
      </c>
      <c r="F25" s="5">
        <v>19.8</v>
      </c>
      <c r="G25" s="5">
        <f t="shared" si="4"/>
        <v>349.29999999999995</v>
      </c>
      <c r="J25" s="5">
        <v>4.8</v>
      </c>
      <c r="K25" s="5">
        <f t="shared" si="5"/>
        <v>13.2</v>
      </c>
      <c r="L25" s="5">
        <v>1.7</v>
      </c>
      <c r="M25" s="5">
        <f t="shared" si="6"/>
        <v>58.8</v>
      </c>
      <c r="N25" s="5">
        <f t="shared" si="3"/>
        <v>3.0999999999999996</v>
      </c>
      <c r="O25" s="5">
        <f t="shared" si="9"/>
        <v>3.4999999999999996</v>
      </c>
      <c r="P25" s="5">
        <v>20</v>
      </c>
      <c r="Q25" s="5">
        <f t="shared" si="10"/>
        <v>0.4462962962962963</v>
      </c>
      <c r="R25" s="10">
        <f t="shared" si="0"/>
        <v>0.75870370370370366</v>
      </c>
      <c r="S25" s="10">
        <f t="shared" si="1"/>
        <v>4.0412962962962959</v>
      </c>
      <c r="T25" s="10">
        <f t="shared" si="7"/>
        <v>10.904382716049378</v>
      </c>
      <c r="V25" s="14">
        <v>722.9</v>
      </c>
      <c r="W25" s="5">
        <f t="shared" si="2"/>
        <v>44.349693251533736</v>
      </c>
      <c r="X25" s="5">
        <f t="shared" si="8"/>
        <v>30057.7</v>
      </c>
      <c r="AA25" s="5">
        <v>12.3245070249378</v>
      </c>
    </row>
    <row r="26" spans="1:27" s="5" customFormat="1" x14ac:dyDescent="0.25">
      <c r="A26" s="69"/>
      <c r="B26" s="6"/>
      <c r="C26" s="7">
        <v>41904</v>
      </c>
      <c r="D26" s="5">
        <v>12.5</v>
      </c>
      <c r="E26" s="5">
        <v>8.5</v>
      </c>
      <c r="F26" s="5">
        <v>17.2</v>
      </c>
      <c r="G26" s="5">
        <f t="shared" si="4"/>
        <v>361.79999999999995</v>
      </c>
      <c r="J26" s="5">
        <v>0</v>
      </c>
      <c r="K26" s="5">
        <f t="shared" si="5"/>
        <v>13.2</v>
      </c>
      <c r="L26" s="5">
        <v>2.1</v>
      </c>
      <c r="M26" s="5">
        <f t="shared" si="6"/>
        <v>60.9</v>
      </c>
      <c r="N26" s="9">
        <f t="shared" si="3"/>
        <v>-2.1</v>
      </c>
      <c r="O26" s="5">
        <f t="shared" si="9"/>
        <v>1.3999999999999995</v>
      </c>
      <c r="P26" s="5">
        <v>21</v>
      </c>
      <c r="Q26" s="5">
        <f t="shared" si="10"/>
        <v>0.45432098765432094</v>
      </c>
      <c r="R26" s="10">
        <f t="shared" si="0"/>
        <v>0.95407407407407396</v>
      </c>
      <c r="S26" s="10">
        <f t="shared" si="1"/>
        <v>-0.95407407407407396</v>
      </c>
      <c r="T26" s="10">
        <f t="shared" si="7"/>
        <v>9.9503086419753046</v>
      </c>
      <c r="V26" s="5">
        <v>1131.5</v>
      </c>
      <c r="W26" s="5">
        <f t="shared" si="2"/>
        <v>90.52</v>
      </c>
      <c r="X26" s="5">
        <f t="shared" si="8"/>
        <v>31189.200000000001</v>
      </c>
      <c r="AA26" s="5">
        <v>12.265569298062101</v>
      </c>
    </row>
    <row r="27" spans="1:27" s="5" customFormat="1" x14ac:dyDescent="0.25">
      <c r="A27" s="69"/>
      <c r="B27" s="6"/>
      <c r="C27" s="7">
        <v>41905</v>
      </c>
      <c r="D27" s="5">
        <v>11.7</v>
      </c>
      <c r="E27" s="5">
        <v>7.8</v>
      </c>
      <c r="F27" s="5">
        <v>17.100000000000001</v>
      </c>
      <c r="G27" s="5">
        <f t="shared" si="4"/>
        <v>373.49999999999994</v>
      </c>
      <c r="J27" s="5">
        <v>0</v>
      </c>
      <c r="K27" s="5">
        <f t="shared" si="5"/>
        <v>13.2</v>
      </c>
      <c r="L27" s="5">
        <v>2.2999999999999998</v>
      </c>
      <c r="M27" s="5">
        <f t="shared" si="6"/>
        <v>63.199999999999996</v>
      </c>
      <c r="N27" s="9">
        <f t="shared" si="3"/>
        <v>-2.2999999999999998</v>
      </c>
      <c r="O27" s="5">
        <v>0</v>
      </c>
      <c r="P27" s="5">
        <v>22</v>
      </c>
      <c r="Q27" s="5">
        <f t="shared" si="10"/>
        <v>0.46234567901234563</v>
      </c>
      <c r="R27" s="10">
        <f t="shared" si="0"/>
        <v>1.0633950617283949</v>
      </c>
      <c r="S27" s="10">
        <f t="shared" si="1"/>
        <v>-1.0633950617283949</v>
      </c>
      <c r="T27" s="10">
        <f t="shared" si="7"/>
        <v>8.8869135802469099</v>
      </c>
      <c r="V27" s="5">
        <v>1328.5</v>
      </c>
      <c r="W27" s="5">
        <f t="shared" si="2"/>
        <v>113.54700854700856</v>
      </c>
      <c r="X27" s="5">
        <f t="shared" si="8"/>
        <v>32517.7</v>
      </c>
      <c r="AA27" s="5">
        <v>12.206607346232801</v>
      </c>
    </row>
    <row r="28" spans="1:27" s="5" customFormat="1" x14ac:dyDescent="0.25">
      <c r="A28" s="69"/>
      <c r="B28" s="6"/>
      <c r="C28" s="7">
        <v>41906</v>
      </c>
      <c r="D28" s="5">
        <v>12.3</v>
      </c>
      <c r="E28" s="5">
        <v>6.4</v>
      </c>
      <c r="F28" s="5">
        <v>17.7</v>
      </c>
      <c r="G28" s="5">
        <f t="shared" si="4"/>
        <v>385.79999999999995</v>
      </c>
      <c r="J28" s="5">
        <v>0</v>
      </c>
      <c r="K28" s="5">
        <f t="shared" si="5"/>
        <v>13.2</v>
      </c>
      <c r="L28" s="5">
        <v>2.2999999999999998</v>
      </c>
      <c r="M28" s="5">
        <f t="shared" si="6"/>
        <v>65.5</v>
      </c>
      <c r="N28" s="9">
        <f t="shared" si="3"/>
        <v>-2.2999999999999998</v>
      </c>
      <c r="O28" s="5">
        <v>0</v>
      </c>
      <c r="P28" s="5">
        <v>23</v>
      </c>
      <c r="Q28" s="5">
        <f t="shared" si="10"/>
        <v>0.47037037037037033</v>
      </c>
      <c r="R28" s="10">
        <f t="shared" si="0"/>
        <v>1.0818518518518516</v>
      </c>
      <c r="S28" s="10">
        <f t="shared" si="1"/>
        <v>-1.0818518518518516</v>
      </c>
      <c r="T28" s="10">
        <f t="shared" si="7"/>
        <v>7.8050617283950583</v>
      </c>
      <c r="V28" s="5">
        <v>1378.4</v>
      </c>
      <c r="W28" s="5">
        <f t="shared" si="2"/>
        <v>112.0650406504065</v>
      </c>
      <c r="X28" s="5">
        <f t="shared" si="8"/>
        <v>33896.1</v>
      </c>
      <c r="AA28" s="5">
        <v>12.147626555220301</v>
      </c>
    </row>
    <row r="29" spans="1:27" s="5" customFormat="1" x14ac:dyDescent="0.25">
      <c r="A29" s="69"/>
      <c r="B29" s="6"/>
      <c r="C29" s="7">
        <v>41907</v>
      </c>
      <c r="D29" s="5">
        <v>12.2</v>
      </c>
      <c r="E29" s="5">
        <v>8.1999999999999993</v>
      </c>
      <c r="F29" s="5">
        <v>18</v>
      </c>
      <c r="G29" s="5">
        <f t="shared" si="4"/>
        <v>397.99999999999994</v>
      </c>
      <c r="J29" s="5">
        <v>0</v>
      </c>
      <c r="K29" s="5">
        <f t="shared" si="5"/>
        <v>13.2</v>
      </c>
      <c r="L29" s="5">
        <v>1.7</v>
      </c>
      <c r="M29" s="5">
        <f t="shared" si="6"/>
        <v>67.2</v>
      </c>
      <c r="N29" s="9">
        <f t="shared" si="3"/>
        <v>-1.7</v>
      </c>
      <c r="O29" s="5">
        <v>0</v>
      </c>
      <c r="P29" s="5">
        <v>24</v>
      </c>
      <c r="Q29" s="5">
        <f t="shared" si="10"/>
        <v>0.47839506172839508</v>
      </c>
      <c r="R29" s="10">
        <f t="shared" si="0"/>
        <v>0.81327160493827166</v>
      </c>
      <c r="S29" s="10">
        <f t="shared" si="1"/>
        <v>-0.81327160493827166</v>
      </c>
      <c r="T29" s="10">
        <f t="shared" si="7"/>
        <v>6.991790123456787</v>
      </c>
      <c r="V29" s="5">
        <v>945.8</v>
      </c>
      <c r="W29" s="5">
        <f t="shared" si="2"/>
        <v>77.524590163934434</v>
      </c>
      <c r="X29" s="5">
        <f t="shared" si="8"/>
        <v>34841.9</v>
      </c>
      <c r="AA29" s="5">
        <v>12.088632324127699</v>
      </c>
    </row>
    <row r="30" spans="1:27" s="5" customFormat="1" x14ac:dyDescent="0.25">
      <c r="A30" s="69"/>
      <c r="B30" s="6"/>
      <c r="C30" s="7">
        <v>41908</v>
      </c>
      <c r="D30" s="5">
        <v>12.8</v>
      </c>
      <c r="E30" s="5">
        <v>5.7</v>
      </c>
      <c r="F30" s="5">
        <v>20.8</v>
      </c>
      <c r="G30" s="5">
        <f t="shared" si="4"/>
        <v>410.79999999999995</v>
      </c>
      <c r="J30" s="5">
        <v>0</v>
      </c>
      <c r="K30" s="5">
        <f t="shared" si="5"/>
        <v>13.2</v>
      </c>
      <c r="L30" s="5">
        <v>2.5</v>
      </c>
      <c r="M30" s="5">
        <f t="shared" si="6"/>
        <v>69.7</v>
      </c>
      <c r="N30" s="9">
        <f t="shared" si="3"/>
        <v>-2.5</v>
      </c>
      <c r="O30" s="5">
        <v>0</v>
      </c>
      <c r="P30" s="5">
        <v>25</v>
      </c>
      <c r="Q30" s="5">
        <f t="shared" si="10"/>
        <v>0.48641975308641971</v>
      </c>
      <c r="R30" s="10">
        <f t="shared" si="0"/>
        <v>1.2160493827160492</v>
      </c>
      <c r="S30" s="10">
        <f t="shared" si="1"/>
        <v>-1.2160493827160492</v>
      </c>
      <c r="T30" s="10">
        <f t="shared" si="7"/>
        <v>5.775740740740738</v>
      </c>
      <c r="V30" s="5">
        <v>1388.8</v>
      </c>
      <c r="W30" s="5">
        <f t="shared" si="2"/>
        <v>108.49999999999999</v>
      </c>
      <c r="X30" s="5">
        <f t="shared" si="8"/>
        <v>36230.700000000004</v>
      </c>
      <c r="AA30" s="5">
        <v>12.029630082256899</v>
      </c>
    </row>
    <row r="31" spans="1:27" s="5" customFormat="1" x14ac:dyDescent="0.25">
      <c r="A31" s="69"/>
      <c r="B31" s="6"/>
      <c r="C31" s="7">
        <v>41909</v>
      </c>
      <c r="D31" s="5">
        <v>15</v>
      </c>
      <c r="E31" s="5">
        <v>7.9</v>
      </c>
      <c r="F31" s="5">
        <v>22.3</v>
      </c>
      <c r="G31" s="5">
        <f t="shared" si="4"/>
        <v>425.79999999999995</v>
      </c>
      <c r="J31" s="5">
        <v>0</v>
      </c>
      <c r="K31" s="5">
        <f t="shared" si="5"/>
        <v>13.2</v>
      </c>
      <c r="L31" s="5">
        <v>2.8</v>
      </c>
      <c r="M31" s="5">
        <f t="shared" si="6"/>
        <v>72.5</v>
      </c>
      <c r="N31" s="9">
        <f t="shared" si="3"/>
        <v>-2.8</v>
      </c>
      <c r="O31" s="5">
        <v>0</v>
      </c>
      <c r="P31" s="5">
        <v>26</v>
      </c>
      <c r="Q31" s="5">
        <f t="shared" si="10"/>
        <v>0.49444444444444441</v>
      </c>
      <c r="R31" s="10">
        <f t="shared" si="0"/>
        <v>1.3844444444444444</v>
      </c>
      <c r="S31" s="10">
        <f t="shared" si="1"/>
        <v>-1.3844444444444444</v>
      </c>
      <c r="T31" s="10">
        <f t="shared" si="7"/>
        <v>4.3912962962962938</v>
      </c>
      <c r="V31" s="5">
        <v>1537.1</v>
      </c>
      <c r="W31" s="5">
        <f t="shared" si="2"/>
        <v>102.47333333333333</v>
      </c>
      <c r="X31" s="5">
        <f t="shared" si="8"/>
        <v>37767.800000000003</v>
      </c>
      <c r="AA31" s="5">
        <v>11.9706253060723</v>
      </c>
    </row>
    <row r="32" spans="1:27" s="5" customFormat="1" x14ac:dyDescent="0.25">
      <c r="A32" s="69"/>
      <c r="B32" s="6"/>
      <c r="C32" s="7">
        <v>41910</v>
      </c>
      <c r="D32" s="5">
        <v>16</v>
      </c>
      <c r="E32" s="5">
        <v>9.1</v>
      </c>
      <c r="F32" s="5">
        <v>24</v>
      </c>
      <c r="G32" s="5">
        <f t="shared" si="4"/>
        <v>441.79999999999995</v>
      </c>
      <c r="J32" s="5">
        <v>1.5</v>
      </c>
      <c r="K32" s="5">
        <f t="shared" si="5"/>
        <v>14.7</v>
      </c>
      <c r="L32" s="5">
        <v>2.5</v>
      </c>
      <c r="M32" s="5">
        <f t="shared" si="6"/>
        <v>75</v>
      </c>
      <c r="N32" s="9">
        <f t="shared" si="3"/>
        <v>-1</v>
      </c>
      <c r="O32" s="5">
        <v>0</v>
      </c>
      <c r="P32" s="5">
        <v>27</v>
      </c>
      <c r="Q32" s="5">
        <f t="shared" si="10"/>
        <v>0.5024691358024691</v>
      </c>
      <c r="R32" s="10">
        <f t="shared" si="0"/>
        <v>1.2561728395061729</v>
      </c>
      <c r="S32" s="10">
        <f t="shared" si="1"/>
        <v>0.24382716049382713</v>
      </c>
      <c r="T32" s="10">
        <f t="shared" si="7"/>
        <v>4.6351234567901205</v>
      </c>
      <c r="V32" s="5">
        <v>1136.5999999999999</v>
      </c>
      <c r="W32" s="5">
        <f t="shared" si="2"/>
        <v>71.037499999999994</v>
      </c>
      <c r="X32" s="5">
        <f t="shared" si="8"/>
        <v>38904.400000000001</v>
      </c>
      <c r="AA32" s="5">
        <v>11.9116235362678</v>
      </c>
    </row>
    <row r="33" spans="1:27" s="5" customFormat="1" x14ac:dyDescent="0.25">
      <c r="A33" s="69"/>
      <c r="B33" s="6"/>
      <c r="C33" s="7">
        <v>41911</v>
      </c>
      <c r="D33" s="5">
        <v>16.899999999999999</v>
      </c>
      <c r="E33" s="5">
        <v>13.1</v>
      </c>
      <c r="F33" s="5">
        <v>19.2</v>
      </c>
      <c r="G33" s="5">
        <f t="shared" si="4"/>
        <v>458.69999999999993</v>
      </c>
      <c r="J33" s="5">
        <v>0.5</v>
      </c>
      <c r="K33" s="5">
        <f t="shared" si="5"/>
        <v>15.2</v>
      </c>
      <c r="L33" s="5">
        <v>0.9</v>
      </c>
      <c r="M33" s="5">
        <f t="shared" si="6"/>
        <v>75.900000000000006</v>
      </c>
      <c r="N33" s="9">
        <f t="shared" si="3"/>
        <v>-0.4</v>
      </c>
      <c r="O33" s="5">
        <v>0</v>
      </c>
      <c r="P33" s="5">
        <v>28</v>
      </c>
      <c r="Q33" s="5">
        <f t="shared" si="10"/>
        <v>0.51049382716049374</v>
      </c>
      <c r="R33" s="10">
        <f t="shared" si="0"/>
        <v>0.45944444444444438</v>
      </c>
      <c r="S33" s="10">
        <f t="shared" si="1"/>
        <v>4.0555555555555622E-2</v>
      </c>
      <c r="T33" s="10">
        <f t="shared" si="7"/>
        <v>4.6756790123456762</v>
      </c>
      <c r="V33" s="14">
        <v>485.6</v>
      </c>
      <c r="W33" s="5">
        <f t="shared" si="2"/>
        <v>28.73372781065089</v>
      </c>
      <c r="X33" s="5">
        <f t="shared" si="8"/>
        <v>39390</v>
      </c>
      <c r="AA33" s="5">
        <v>11.8526303949435</v>
      </c>
    </row>
    <row r="34" spans="1:27" s="5" customFormat="1" x14ac:dyDescent="0.25">
      <c r="A34" s="69"/>
      <c r="B34" s="6"/>
      <c r="C34" s="7">
        <v>41912</v>
      </c>
      <c r="D34" s="5">
        <v>16.5</v>
      </c>
      <c r="E34" s="5">
        <v>14.8</v>
      </c>
      <c r="F34" s="5">
        <v>20.3</v>
      </c>
      <c r="G34" s="5">
        <f t="shared" si="4"/>
        <v>475.19999999999993</v>
      </c>
      <c r="J34" s="5">
        <v>0</v>
      </c>
      <c r="K34" s="5">
        <f t="shared" si="5"/>
        <v>15.2</v>
      </c>
      <c r="L34" s="5">
        <v>2.5</v>
      </c>
      <c r="M34" s="5">
        <f t="shared" si="6"/>
        <v>78.400000000000006</v>
      </c>
      <c r="N34" s="9">
        <f t="shared" si="3"/>
        <v>-2.5</v>
      </c>
      <c r="O34" s="5">
        <v>0</v>
      </c>
      <c r="P34" s="5">
        <v>29</v>
      </c>
      <c r="Q34" s="5">
        <f t="shared" si="10"/>
        <v>0.51851851851851849</v>
      </c>
      <c r="R34" s="10">
        <f t="shared" si="0"/>
        <v>1.2962962962962963</v>
      </c>
      <c r="S34" s="10">
        <f t="shared" si="1"/>
        <v>-1.2962962962962963</v>
      </c>
      <c r="T34" s="10">
        <f t="shared" si="7"/>
        <v>3.3793827160493799</v>
      </c>
      <c r="V34" s="5">
        <v>1342.1</v>
      </c>
      <c r="W34" s="5">
        <f t="shared" si="2"/>
        <v>81.339393939393929</v>
      </c>
      <c r="X34" s="5">
        <f t="shared" si="8"/>
        <v>40732.1</v>
      </c>
      <c r="AA34" s="5">
        <v>11.7936516028964</v>
      </c>
    </row>
    <row r="35" spans="1:27" s="5" customFormat="1" x14ac:dyDescent="0.25">
      <c r="A35" s="69"/>
      <c r="B35" s="6"/>
      <c r="C35" s="7">
        <v>41913</v>
      </c>
      <c r="D35" s="5">
        <v>15.4</v>
      </c>
      <c r="E35" s="5">
        <v>10</v>
      </c>
      <c r="F35" s="5">
        <v>22.5</v>
      </c>
      <c r="G35" s="5">
        <f t="shared" si="4"/>
        <v>490.59999999999991</v>
      </c>
      <c r="J35" s="5">
        <v>0</v>
      </c>
      <c r="K35" s="5">
        <f t="shared" si="5"/>
        <v>15.2</v>
      </c>
      <c r="L35" s="5">
        <v>2.1</v>
      </c>
      <c r="M35" s="5">
        <f t="shared" si="6"/>
        <v>80.5</v>
      </c>
      <c r="N35" s="9">
        <f t="shared" si="3"/>
        <v>-2.1</v>
      </c>
      <c r="O35" s="5">
        <v>0</v>
      </c>
      <c r="P35" s="5">
        <v>30</v>
      </c>
      <c r="Q35" s="5">
        <f t="shared" si="10"/>
        <v>0.52654320987654324</v>
      </c>
      <c r="R35" s="10">
        <f t="shared" si="0"/>
        <v>1.1057407407407409</v>
      </c>
      <c r="S35" s="10">
        <f t="shared" si="1"/>
        <v>-1.1057407407407409</v>
      </c>
      <c r="T35" s="10">
        <f t="shared" si="7"/>
        <v>2.2736419753086388</v>
      </c>
      <c r="V35" s="5">
        <v>1089.9000000000001</v>
      </c>
      <c r="W35" s="5">
        <f t="shared" si="2"/>
        <v>70.77272727272728</v>
      </c>
      <c r="X35" s="5">
        <f t="shared" si="8"/>
        <v>41822</v>
      </c>
      <c r="AA35" s="5">
        <v>11.7346929970311</v>
      </c>
    </row>
    <row r="36" spans="1:27" s="5" customFormat="1" x14ac:dyDescent="0.25">
      <c r="A36" s="69"/>
      <c r="B36" s="6"/>
      <c r="C36" s="7">
        <v>41914</v>
      </c>
      <c r="D36" s="5">
        <v>15.7</v>
      </c>
      <c r="E36" s="5">
        <v>10.6</v>
      </c>
      <c r="F36" s="5">
        <v>22.5</v>
      </c>
      <c r="G36" s="5">
        <f t="shared" si="4"/>
        <v>506.2999999999999</v>
      </c>
      <c r="J36" s="5">
        <v>0</v>
      </c>
      <c r="K36" s="5">
        <f t="shared" si="5"/>
        <v>15.2</v>
      </c>
      <c r="L36" s="5">
        <v>2</v>
      </c>
      <c r="M36" s="5">
        <f t="shared" si="6"/>
        <v>82.5</v>
      </c>
      <c r="N36" s="9">
        <f t="shared" si="3"/>
        <v>-2</v>
      </c>
      <c r="O36" s="5">
        <v>0</v>
      </c>
      <c r="P36" s="5">
        <v>31</v>
      </c>
      <c r="Q36" s="5">
        <f t="shared" si="10"/>
        <v>0.53456790123456788</v>
      </c>
      <c r="R36" s="10">
        <f t="shared" si="0"/>
        <v>1.0691358024691358</v>
      </c>
      <c r="S36" s="10">
        <f t="shared" si="1"/>
        <v>-1.0691358024691358</v>
      </c>
      <c r="T36" s="10">
        <f t="shared" si="7"/>
        <v>1.204506172839503</v>
      </c>
      <c r="V36" s="5">
        <v>905.6</v>
      </c>
      <c r="W36" s="5">
        <f t="shared" si="2"/>
        <v>57.681528662420384</v>
      </c>
      <c r="X36" s="5">
        <f t="shared" si="8"/>
        <v>42727.6</v>
      </c>
      <c r="AA36" s="5">
        <v>11.675760547892301</v>
      </c>
    </row>
    <row r="37" spans="1:27" s="5" customFormat="1" x14ac:dyDescent="0.25">
      <c r="A37" s="69"/>
      <c r="B37" s="6"/>
      <c r="C37" s="7">
        <v>41915</v>
      </c>
      <c r="D37" s="5">
        <v>15.1</v>
      </c>
      <c r="E37" s="5">
        <v>9.8000000000000007</v>
      </c>
      <c r="F37" s="5">
        <v>22.6</v>
      </c>
      <c r="G37" s="5">
        <f t="shared" si="4"/>
        <v>521.39999999999986</v>
      </c>
      <c r="J37" s="5">
        <v>0</v>
      </c>
      <c r="K37" s="5">
        <f t="shared" si="5"/>
        <v>15.2</v>
      </c>
      <c r="L37" s="5">
        <v>2.9</v>
      </c>
      <c r="M37" s="5">
        <f t="shared" si="6"/>
        <v>85.4</v>
      </c>
      <c r="N37" s="9">
        <f t="shared" si="3"/>
        <v>-2.9</v>
      </c>
      <c r="O37" s="5">
        <v>0</v>
      </c>
      <c r="P37" s="5">
        <v>32</v>
      </c>
      <c r="Q37" s="5">
        <f t="shared" si="10"/>
        <v>0.54259259259259252</v>
      </c>
      <c r="R37" s="10">
        <f t="shared" si="0"/>
        <v>1.5735185185185183</v>
      </c>
      <c r="S37" s="10">
        <f t="shared" si="1"/>
        <v>-1.5735185185185183</v>
      </c>
      <c r="T37" s="10">
        <v>0</v>
      </c>
      <c r="V37" s="5">
        <v>1467.1</v>
      </c>
      <c r="W37" s="5">
        <f t="shared" si="2"/>
        <v>97.158940397350989</v>
      </c>
      <c r="X37" s="5">
        <f t="shared" si="8"/>
        <v>44194.7</v>
      </c>
      <c r="AA37" s="5">
        <v>11.616860377323899</v>
      </c>
    </row>
    <row r="38" spans="1:27" s="5" customFormat="1" x14ac:dyDescent="0.25">
      <c r="A38" s="69"/>
      <c r="B38" s="6"/>
      <c r="C38" s="7">
        <v>41916</v>
      </c>
      <c r="D38" s="5">
        <v>14.8</v>
      </c>
      <c r="E38" s="5">
        <v>7.8</v>
      </c>
      <c r="F38" s="5">
        <v>22.7</v>
      </c>
      <c r="G38" s="5">
        <f t="shared" si="4"/>
        <v>536.19999999999982</v>
      </c>
      <c r="J38" s="5">
        <v>5.9</v>
      </c>
      <c r="K38" s="5">
        <f t="shared" si="5"/>
        <v>21.1</v>
      </c>
      <c r="L38" s="5">
        <v>2.1</v>
      </c>
      <c r="M38" s="5">
        <f t="shared" si="6"/>
        <v>87.5</v>
      </c>
      <c r="N38" s="5">
        <f t="shared" si="3"/>
        <v>3.8000000000000003</v>
      </c>
      <c r="O38" s="5">
        <f t="shared" si="9"/>
        <v>3.8000000000000003</v>
      </c>
      <c r="P38" s="5">
        <v>33</v>
      </c>
      <c r="Q38" s="5">
        <f t="shared" si="10"/>
        <v>0.55061728395061726</v>
      </c>
      <c r="R38" s="10">
        <f t="shared" si="0"/>
        <v>1.1562962962962964</v>
      </c>
      <c r="S38" s="10">
        <f t="shared" si="1"/>
        <v>4.7437037037037042</v>
      </c>
      <c r="T38" s="10">
        <f t="shared" si="7"/>
        <v>4.7437037037037042</v>
      </c>
      <c r="V38" s="5">
        <v>1056.3</v>
      </c>
      <c r="W38" s="5">
        <f t="shared" si="2"/>
        <v>71.371621621621614</v>
      </c>
      <c r="X38" s="5">
        <f t="shared" si="8"/>
        <v>45251</v>
      </c>
      <c r="AA38" s="5">
        <v>11.557998776254999</v>
      </c>
    </row>
    <row r="39" spans="1:27" s="5" customFormat="1" x14ac:dyDescent="0.25">
      <c r="A39" s="69"/>
      <c r="B39" s="6"/>
      <c r="C39" s="7">
        <v>41917</v>
      </c>
      <c r="D39" s="5">
        <v>11.1</v>
      </c>
      <c r="E39" s="5">
        <v>10.199999999999999</v>
      </c>
      <c r="F39" s="5">
        <v>12.4</v>
      </c>
      <c r="G39" s="5">
        <f t="shared" si="4"/>
        <v>547.29999999999984</v>
      </c>
      <c r="J39" s="5">
        <v>0.7</v>
      </c>
      <c r="K39" s="5">
        <f t="shared" si="5"/>
        <v>21.8</v>
      </c>
      <c r="L39" s="5">
        <v>0.8</v>
      </c>
      <c r="M39" s="5">
        <f t="shared" si="6"/>
        <v>88.3</v>
      </c>
      <c r="N39" s="9">
        <f t="shared" si="3"/>
        <v>-0.10000000000000009</v>
      </c>
      <c r="O39" s="5">
        <f t="shared" si="9"/>
        <v>3.7</v>
      </c>
      <c r="P39" s="5">
        <v>34</v>
      </c>
      <c r="Q39" s="5">
        <f t="shared" si="10"/>
        <v>0.55864197530864201</v>
      </c>
      <c r="R39" s="10">
        <f t="shared" si="0"/>
        <v>0.44691358024691363</v>
      </c>
      <c r="S39" s="10">
        <f t="shared" si="1"/>
        <v>0.25308641975308632</v>
      </c>
      <c r="T39" s="10">
        <f t="shared" si="7"/>
        <v>4.9967901234567904</v>
      </c>
      <c r="V39" s="14">
        <v>327.3</v>
      </c>
      <c r="W39" s="5">
        <f t="shared" si="2"/>
        <v>29.486486486486488</v>
      </c>
      <c r="X39" s="5">
        <f t="shared" si="8"/>
        <v>45578.3</v>
      </c>
      <c r="AA39" s="5">
        <v>11.4991822226139</v>
      </c>
    </row>
    <row r="40" spans="1:27" s="5" customFormat="1" x14ac:dyDescent="0.25">
      <c r="A40" s="69"/>
      <c r="B40" s="6"/>
      <c r="C40" s="7">
        <v>41918</v>
      </c>
      <c r="D40" s="5">
        <v>12</v>
      </c>
      <c r="E40" s="5">
        <v>9.6999999999999993</v>
      </c>
      <c r="F40" s="5">
        <v>15</v>
      </c>
      <c r="G40" s="5">
        <f t="shared" si="4"/>
        <v>559.29999999999984</v>
      </c>
      <c r="J40" s="5">
        <v>10.3</v>
      </c>
      <c r="K40" s="5">
        <f t="shared" si="5"/>
        <v>32.1</v>
      </c>
      <c r="L40" s="5">
        <v>1.5</v>
      </c>
      <c r="M40" s="5">
        <f t="shared" si="6"/>
        <v>89.8</v>
      </c>
      <c r="N40" s="5">
        <f t="shared" si="3"/>
        <v>8.8000000000000007</v>
      </c>
      <c r="O40" s="5">
        <f t="shared" si="9"/>
        <v>12.5</v>
      </c>
      <c r="P40" s="5">
        <v>35</v>
      </c>
      <c r="Q40" s="5">
        <f t="shared" si="10"/>
        <v>0.56666666666666665</v>
      </c>
      <c r="R40" s="10">
        <f t="shared" si="0"/>
        <v>0.85</v>
      </c>
      <c r="S40" s="10">
        <f t="shared" si="1"/>
        <v>9.4500000000000011</v>
      </c>
      <c r="T40" s="10">
        <f t="shared" si="7"/>
        <v>14.446790123456791</v>
      </c>
      <c r="V40" s="14">
        <v>802.8</v>
      </c>
      <c r="W40" s="5">
        <f t="shared" si="2"/>
        <v>66.899999999999991</v>
      </c>
      <c r="X40" s="5">
        <f t="shared" si="8"/>
        <v>46381.100000000006</v>
      </c>
      <c r="AA40" s="5">
        <v>11.440417399368201</v>
      </c>
    </row>
    <row r="41" spans="1:27" s="5" customFormat="1" x14ac:dyDescent="0.25">
      <c r="A41" s="69"/>
      <c r="B41" s="6"/>
      <c r="C41" s="7">
        <v>41919</v>
      </c>
      <c r="D41" s="5">
        <v>13.3</v>
      </c>
      <c r="E41" s="5">
        <v>11.8</v>
      </c>
      <c r="F41" s="5">
        <v>14.2</v>
      </c>
      <c r="G41" s="5">
        <f t="shared" si="4"/>
        <v>572.5999999999998</v>
      </c>
      <c r="J41" s="5">
        <v>8.6</v>
      </c>
      <c r="K41" s="5">
        <f t="shared" si="5"/>
        <v>40.700000000000003</v>
      </c>
      <c r="L41" s="5">
        <v>1.2</v>
      </c>
      <c r="M41" s="5">
        <f t="shared" si="6"/>
        <v>91</v>
      </c>
      <c r="N41" s="5">
        <f t="shared" si="3"/>
        <v>7.3999999999999995</v>
      </c>
      <c r="O41" s="5">
        <f t="shared" si="9"/>
        <v>19.899999999999999</v>
      </c>
      <c r="P41" s="5">
        <v>36</v>
      </c>
      <c r="Q41" s="5">
        <f t="shared" si="10"/>
        <v>0.57469135802469129</v>
      </c>
      <c r="R41" s="10">
        <f t="shared" si="0"/>
        <v>0.68962962962962948</v>
      </c>
      <c r="S41" s="10">
        <f t="shared" si="1"/>
        <v>7.9103703703703703</v>
      </c>
      <c r="T41" s="10">
        <f t="shared" si="7"/>
        <v>22.357160493827163</v>
      </c>
      <c r="V41" s="14">
        <v>868.1</v>
      </c>
      <c r="W41" s="5">
        <f t="shared" si="2"/>
        <v>65.270676691729321</v>
      </c>
      <c r="X41" s="5">
        <f t="shared" si="8"/>
        <v>47249.200000000004</v>
      </c>
      <c r="AA41" s="5">
        <v>11.381711212688</v>
      </c>
    </row>
    <row r="42" spans="1:27" s="5" customFormat="1" x14ac:dyDescent="0.25">
      <c r="A42" s="69"/>
      <c r="B42" s="6"/>
      <c r="C42" s="7">
        <v>41920</v>
      </c>
      <c r="D42" s="5">
        <v>15.1</v>
      </c>
      <c r="E42" s="5">
        <v>11.7</v>
      </c>
      <c r="F42" s="5">
        <v>17.8</v>
      </c>
      <c r="G42" s="5">
        <f t="shared" si="4"/>
        <v>587.69999999999982</v>
      </c>
      <c r="J42" s="5">
        <v>28.5</v>
      </c>
      <c r="K42" s="5">
        <f t="shared" si="5"/>
        <v>69.2</v>
      </c>
      <c r="L42" s="5">
        <v>0.4</v>
      </c>
      <c r="M42" s="5">
        <f t="shared" si="6"/>
        <v>91.4</v>
      </c>
      <c r="N42" s="5">
        <f t="shared" si="3"/>
        <v>28.1</v>
      </c>
      <c r="O42" s="5">
        <f t="shared" si="9"/>
        <v>48</v>
      </c>
      <c r="P42" s="5">
        <v>37</v>
      </c>
      <c r="Q42" s="5">
        <f t="shared" si="10"/>
        <v>0.58271604938271604</v>
      </c>
      <c r="R42" s="10">
        <f t="shared" si="0"/>
        <v>0.23308641975308642</v>
      </c>
      <c r="S42" s="10">
        <f t="shared" si="1"/>
        <v>28.266913580246914</v>
      </c>
      <c r="T42" s="10">
        <f t="shared" si="7"/>
        <v>50.624074074074073</v>
      </c>
      <c r="V42" s="14">
        <v>205.4</v>
      </c>
      <c r="W42" s="5">
        <f t="shared" si="2"/>
        <v>13.602649006622517</v>
      </c>
      <c r="X42" s="5">
        <f t="shared" si="8"/>
        <v>47454.600000000006</v>
      </c>
      <c r="AA42" s="5">
        <v>11.3230708102286</v>
      </c>
    </row>
    <row r="43" spans="1:27" s="5" customFormat="1" x14ac:dyDescent="0.25">
      <c r="A43" s="69"/>
      <c r="B43" s="6"/>
      <c r="C43" s="7">
        <v>41921</v>
      </c>
      <c r="D43" s="5">
        <v>14.7</v>
      </c>
      <c r="E43" s="5">
        <v>13.9</v>
      </c>
      <c r="F43" s="5">
        <v>16.5</v>
      </c>
      <c r="G43" s="5">
        <f t="shared" si="4"/>
        <v>602.39999999999986</v>
      </c>
      <c r="J43" s="5">
        <v>1.7</v>
      </c>
      <c r="K43" s="5">
        <f t="shared" si="5"/>
        <v>70.900000000000006</v>
      </c>
      <c r="L43" s="5">
        <v>0.9</v>
      </c>
      <c r="M43" s="5">
        <f t="shared" si="6"/>
        <v>92.300000000000011</v>
      </c>
      <c r="N43" s="5">
        <f t="shared" si="3"/>
        <v>0.79999999999999993</v>
      </c>
      <c r="O43" s="5">
        <f t="shared" si="9"/>
        <v>48.8</v>
      </c>
      <c r="P43" s="5">
        <v>38</v>
      </c>
      <c r="Q43" s="5">
        <f t="shared" si="10"/>
        <v>0.59074074074074068</v>
      </c>
      <c r="R43" s="10">
        <f t="shared" si="0"/>
        <v>0.53166666666666662</v>
      </c>
      <c r="S43" s="10">
        <f t="shared" si="1"/>
        <v>1.1683333333333334</v>
      </c>
      <c r="T43" s="10">
        <f t="shared" si="7"/>
        <v>51.79240740740741</v>
      </c>
      <c r="V43" s="14">
        <v>353.2</v>
      </c>
      <c r="W43" s="5">
        <f t="shared" si="2"/>
        <v>24.027210884353742</v>
      </c>
      <c r="X43" s="5">
        <f t="shared" si="8"/>
        <v>47807.8</v>
      </c>
      <c r="AA43" s="5">
        <v>11.2645035995236</v>
      </c>
    </row>
    <row r="44" spans="1:27" s="5" customFormat="1" x14ac:dyDescent="0.25">
      <c r="A44" s="69"/>
      <c r="B44" s="6"/>
      <c r="C44" s="7">
        <v>41922</v>
      </c>
      <c r="D44" s="5">
        <v>13.4</v>
      </c>
      <c r="E44" s="5">
        <v>10.6</v>
      </c>
      <c r="F44" s="5">
        <v>16</v>
      </c>
      <c r="G44" s="5">
        <f t="shared" si="4"/>
        <v>615.79999999999984</v>
      </c>
      <c r="J44" s="5">
        <v>0.1</v>
      </c>
      <c r="K44" s="5">
        <f t="shared" si="5"/>
        <v>71</v>
      </c>
      <c r="L44" s="5">
        <v>1.4</v>
      </c>
      <c r="M44" s="5">
        <f t="shared" si="6"/>
        <v>93.700000000000017</v>
      </c>
      <c r="N44" s="9">
        <f t="shared" si="3"/>
        <v>-1.2999999999999998</v>
      </c>
      <c r="O44" s="5">
        <f t="shared" si="9"/>
        <v>47.5</v>
      </c>
      <c r="P44" s="5">
        <v>39</v>
      </c>
      <c r="Q44" s="5">
        <f t="shared" si="10"/>
        <v>0.59876543209876543</v>
      </c>
      <c r="R44" s="10">
        <f t="shared" si="0"/>
        <v>0.83827160493827158</v>
      </c>
      <c r="S44" s="10">
        <f t="shared" si="1"/>
        <v>-0.7382716049382716</v>
      </c>
      <c r="T44" s="10">
        <f t="shared" si="7"/>
        <v>51.054135802469141</v>
      </c>
      <c r="V44" s="5">
        <v>940</v>
      </c>
      <c r="W44" s="5">
        <f t="shared" si="2"/>
        <v>70.149253731343279</v>
      </c>
      <c r="X44" s="5">
        <f t="shared" si="8"/>
        <v>48747.8</v>
      </c>
      <c r="AA44" s="5">
        <v>11.206017266480901</v>
      </c>
    </row>
    <row r="45" spans="1:27" s="5" customFormat="1" x14ac:dyDescent="0.25">
      <c r="A45" s="69"/>
      <c r="B45" s="6"/>
      <c r="C45" s="7">
        <v>41923</v>
      </c>
      <c r="D45" s="5">
        <v>13.6</v>
      </c>
      <c r="E45" s="5">
        <v>12.3</v>
      </c>
      <c r="F45" s="5">
        <v>17.8</v>
      </c>
      <c r="G45" s="5">
        <f t="shared" si="4"/>
        <v>629.39999999999986</v>
      </c>
      <c r="J45" s="5">
        <v>0</v>
      </c>
      <c r="K45" s="5">
        <f t="shared" si="5"/>
        <v>71</v>
      </c>
      <c r="L45" s="5">
        <v>1.8</v>
      </c>
      <c r="M45" s="5">
        <f t="shared" si="6"/>
        <v>95.500000000000014</v>
      </c>
      <c r="N45" s="9">
        <f t="shared" si="3"/>
        <v>-1.8</v>
      </c>
      <c r="O45" s="5">
        <f t="shared" si="9"/>
        <v>45.7</v>
      </c>
      <c r="P45" s="5">
        <v>40</v>
      </c>
      <c r="Q45" s="5">
        <f t="shared" si="10"/>
        <v>0.60679012345679006</v>
      </c>
      <c r="R45" s="10">
        <f t="shared" si="0"/>
        <v>1.0922222222222222</v>
      </c>
      <c r="S45" s="10">
        <f t="shared" si="1"/>
        <v>-1.0922222222222222</v>
      </c>
      <c r="T45" s="10">
        <f t="shared" si="7"/>
        <v>49.961913580246922</v>
      </c>
      <c r="V45" s="5">
        <v>974.8</v>
      </c>
      <c r="W45" s="5">
        <f t="shared" si="2"/>
        <v>71.67647058823529</v>
      </c>
      <c r="X45" s="5">
        <f t="shared" si="8"/>
        <v>49722.600000000006</v>
      </c>
      <c r="AA45" s="5">
        <v>11.1476197939682</v>
      </c>
    </row>
    <row r="46" spans="1:27" s="5" customFormat="1" x14ac:dyDescent="0.25">
      <c r="A46" s="69"/>
      <c r="B46" s="6"/>
      <c r="C46" s="7">
        <v>41924</v>
      </c>
      <c r="D46" s="5">
        <v>13.4</v>
      </c>
      <c r="E46" s="5">
        <v>8.6999999999999993</v>
      </c>
      <c r="F46" s="5">
        <v>15.3</v>
      </c>
      <c r="G46" s="5">
        <f t="shared" si="4"/>
        <v>642.79999999999984</v>
      </c>
      <c r="J46" s="5">
        <v>7.2</v>
      </c>
      <c r="K46" s="5">
        <f t="shared" si="5"/>
        <v>78.2</v>
      </c>
      <c r="L46" s="5">
        <v>0.3</v>
      </c>
      <c r="M46" s="5">
        <f t="shared" si="6"/>
        <v>95.800000000000011</v>
      </c>
      <c r="N46" s="5">
        <f t="shared" si="3"/>
        <v>6.9</v>
      </c>
      <c r="O46" s="5">
        <f t="shared" si="9"/>
        <v>52.6</v>
      </c>
      <c r="P46" s="5">
        <v>41</v>
      </c>
      <c r="Q46" s="5">
        <f t="shared" si="10"/>
        <v>0.61481481481481481</v>
      </c>
      <c r="R46" s="10">
        <f t="shared" si="0"/>
        <v>0.18444444444444444</v>
      </c>
      <c r="S46" s="10">
        <f t="shared" si="1"/>
        <v>7.0155555555555553</v>
      </c>
      <c r="T46" s="10">
        <f t="shared" si="7"/>
        <v>56.97746913580248</v>
      </c>
      <c r="V46" s="14">
        <v>290.89999999999998</v>
      </c>
      <c r="W46" s="5">
        <f t="shared" si="2"/>
        <v>21.708955223880594</v>
      </c>
      <c r="X46" s="5">
        <f t="shared" si="8"/>
        <v>50013.500000000007</v>
      </c>
      <c r="AA46" s="5">
        <v>11.0893194804739</v>
      </c>
    </row>
    <row r="47" spans="1:27" s="5" customFormat="1" x14ac:dyDescent="0.25">
      <c r="A47" s="69"/>
      <c r="B47" s="6"/>
      <c r="C47" s="7">
        <v>41925</v>
      </c>
      <c r="D47" s="5">
        <v>13.7</v>
      </c>
      <c r="E47" s="5">
        <v>12.1</v>
      </c>
      <c r="F47" s="5">
        <v>17.7</v>
      </c>
      <c r="G47" s="5">
        <f t="shared" si="4"/>
        <v>656.49999999999989</v>
      </c>
      <c r="J47" s="5">
        <v>0</v>
      </c>
      <c r="K47" s="5">
        <f t="shared" si="5"/>
        <v>78.2</v>
      </c>
      <c r="L47" s="5">
        <v>2</v>
      </c>
      <c r="M47" s="5">
        <f t="shared" si="6"/>
        <v>97.800000000000011</v>
      </c>
      <c r="N47" s="9">
        <f t="shared" si="3"/>
        <v>-2</v>
      </c>
      <c r="O47" s="5">
        <f t="shared" si="9"/>
        <v>50.6</v>
      </c>
      <c r="P47" s="5">
        <v>42</v>
      </c>
      <c r="Q47" s="5">
        <f t="shared" si="10"/>
        <v>0.62283950617283945</v>
      </c>
      <c r="R47" s="10">
        <f t="shared" si="0"/>
        <v>1.2456790123456789</v>
      </c>
      <c r="S47" s="10">
        <f t="shared" si="1"/>
        <v>-1.2456790123456789</v>
      </c>
      <c r="T47" s="10">
        <f t="shared" si="7"/>
        <v>55.731790123456804</v>
      </c>
      <c r="V47" s="5">
        <v>950</v>
      </c>
      <c r="W47" s="5">
        <f t="shared" si="2"/>
        <v>69.34306569343066</v>
      </c>
      <c r="X47" s="5">
        <f t="shared" si="8"/>
        <v>50963.500000000007</v>
      </c>
      <c r="AA47" s="5">
        <v>11.0311249588254</v>
      </c>
    </row>
    <row r="48" spans="1:27" s="5" customFormat="1" x14ac:dyDescent="0.25">
      <c r="A48" s="69"/>
      <c r="B48" s="6"/>
      <c r="C48" s="7">
        <v>41926</v>
      </c>
      <c r="D48" s="5">
        <v>11</v>
      </c>
      <c r="E48" s="5">
        <v>6.6</v>
      </c>
      <c r="F48" s="5">
        <v>17</v>
      </c>
      <c r="G48" s="5">
        <f t="shared" si="4"/>
        <v>667.49999999999989</v>
      </c>
      <c r="J48" s="5">
        <v>0</v>
      </c>
      <c r="K48" s="5">
        <f t="shared" si="5"/>
        <v>78.2</v>
      </c>
      <c r="L48" s="5">
        <v>1.9</v>
      </c>
      <c r="M48" s="5">
        <f t="shared" si="6"/>
        <v>99.700000000000017</v>
      </c>
      <c r="N48" s="9">
        <f t="shared" si="3"/>
        <v>-1.9</v>
      </c>
      <c r="O48" s="5">
        <f t="shared" si="9"/>
        <v>48.7</v>
      </c>
      <c r="P48" s="5">
        <v>43</v>
      </c>
      <c r="Q48" s="5">
        <f t="shared" si="10"/>
        <v>0.6308641975308642</v>
      </c>
      <c r="R48" s="10">
        <f t="shared" si="0"/>
        <v>1.1986419753086419</v>
      </c>
      <c r="S48" s="10">
        <f t="shared" si="1"/>
        <v>-1.1986419753086419</v>
      </c>
      <c r="T48" s="10">
        <f t="shared" si="7"/>
        <v>54.533148148148165</v>
      </c>
      <c r="V48" s="5">
        <v>1080.4000000000001</v>
      </c>
      <c r="W48" s="5">
        <f t="shared" si="2"/>
        <v>98.218181818181833</v>
      </c>
      <c r="X48" s="5">
        <f t="shared" si="8"/>
        <v>52043.900000000009</v>
      </c>
      <c r="AA48" s="5">
        <v>10.973045214943101</v>
      </c>
    </row>
    <row r="49" spans="1:27" s="5" customFormat="1" x14ac:dyDescent="0.25">
      <c r="A49" s="69"/>
      <c r="B49" s="6"/>
      <c r="C49" s="7">
        <v>41927</v>
      </c>
      <c r="D49" s="5">
        <v>13.1</v>
      </c>
      <c r="E49" s="5">
        <v>10</v>
      </c>
      <c r="F49" s="5">
        <v>15.5</v>
      </c>
      <c r="G49" s="5">
        <f t="shared" si="4"/>
        <v>680.59999999999991</v>
      </c>
      <c r="J49" s="5">
        <v>1.6</v>
      </c>
      <c r="K49" s="5">
        <f t="shared" si="5"/>
        <v>79.8</v>
      </c>
      <c r="L49" s="5">
        <v>0.3</v>
      </c>
      <c r="M49" s="5">
        <f t="shared" si="6"/>
        <v>100.00000000000001</v>
      </c>
      <c r="N49" s="5">
        <f t="shared" si="3"/>
        <v>1.3</v>
      </c>
      <c r="O49" s="5">
        <f t="shared" si="9"/>
        <v>50</v>
      </c>
      <c r="P49" s="5">
        <v>44</v>
      </c>
      <c r="Q49" s="5">
        <f t="shared" si="10"/>
        <v>0.63888888888888884</v>
      </c>
      <c r="R49" s="10">
        <f t="shared" si="0"/>
        <v>0.19166666666666665</v>
      </c>
      <c r="S49" s="10">
        <f t="shared" si="1"/>
        <v>1.4083333333333334</v>
      </c>
      <c r="T49" s="10">
        <f t="shared" si="7"/>
        <v>55.941481481481496</v>
      </c>
      <c r="V49" s="14">
        <v>316.8</v>
      </c>
      <c r="W49" s="5">
        <f t="shared" si="2"/>
        <v>24.18320610687023</v>
      </c>
      <c r="X49" s="5">
        <f t="shared" si="8"/>
        <v>52360.700000000012</v>
      </c>
      <c r="AA49" s="5">
        <v>10.9150896066059</v>
      </c>
    </row>
    <row r="50" spans="1:27" s="5" customFormat="1" x14ac:dyDescent="0.25">
      <c r="A50" s="69"/>
      <c r="B50" s="6"/>
      <c r="C50" s="7">
        <v>41928</v>
      </c>
      <c r="D50" s="5">
        <v>15.7</v>
      </c>
      <c r="E50" s="5">
        <v>14.3</v>
      </c>
      <c r="F50" s="5">
        <v>18</v>
      </c>
      <c r="G50" s="5">
        <f t="shared" si="4"/>
        <v>696.3</v>
      </c>
      <c r="J50" s="5">
        <v>9.1999999999999993</v>
      </c>
      <c r="K50" s="5">
        <f t="shared" si="5"/>
        <v>89</v>
      </c>
      <c r="L50" s="5">
        <v>1</v>
      </c>
      <c r="M50" s="5">
        <f t="shared" si="6"/>
        <v>101.00000000000001</v>
      </c>
      <c r="N50" s="5">
        <f t="shared" si="3"/>
        <v>8.1999999999999993</v>
      </c>
      <c r="O50" s="5">
        <f t="shared" si="9"/>
        <v>58.2</v>
      </c>
      <c r="P50" s="5">
        <v>45</v>
      </c>
      <c r="Q50" s="5">
        <f t="shared" si="10"/>
        <v>0.64691358024691348</v>
      </c>
      <c r="R50" s="10">
        <f t="shared" si="0"/>
        <v>0.64691358024691348</v>
      </c>
      <c r="S50" s="10">
        <f t="shared" si="1"/>
        <v>8.553086419753086</v>
      </c>
      <c r="T50" s="10">
        <f t="shared" si="7"/>
        <v>64.494567901234575</v>
      </c>
      <c r="V50" s="14">
        <v>362.5</v>
      </c>
      <c r="W50" s="5">
        <f t="shared" si="2"/>
        <v>23.089171974522294</v>
      </c>
      <c r="X50" s="5">
        <f t="shared" si="8"/>
        <v>52723.200000000012</v>
      </c>
      <c r="AA50" s="5">
        <v>10.857267882198901</v>
      </c>
    </row>
    <row r="51" spans="1:27" s="5" customFormat="1" x14ac:dyDescent="0.25">
      <c r="A51" s="69"/>
      <c r="B51" s="6"/>
      <c r="C51" s="7">
        <v>41929</v>
      </c>
      <c r="D51" s="5">
        <v>14.8</v>
      </c>
      <c r="E51" s="5">
        <v>13.7</v>
      </c>
      <c r="F51" s="5">
        <v>17.399999999999999</v>
      </c>
      <c r="G51" s="5">
        <f t="shared" si="4"/>
        <v>711.09999999999991</v>
      </c>
      <c r="J51" s="5">
        <v>0.3</v>
      </c>
      <c r="K51" s="5">
        <f t="shared" si="5"/>
        <v>89.3</v>
      </c>
      <c r="L51" s="5">
        <v>1.2</v>
      </c>
      <c r="M51" s="5">
        <f t="shared" si="6"/>
        <v>102.20000000000002</v>
      </c>
      <c r="N51" s="9">
        <f t="shared" si="3"/>
        <v>-0.89999999999999991</v>
      </c>
      <c r="O51" s="5">
        <f t="shared" si="9"/>
        <v>57.300000000000004</v>
      </c>
      <c r="P51" s="5">
        <v>46</v>
      </c>
      <c r="Q51" s="5">
        <f t="shared" si="10"/>
        <v>0.65493827160493823</v>
      </c>
      <c r="R51" s="10">
        <f t="shared" si="0"/>
        <v>0.78592592592592581</v>
      </c>
      <c r="S51" s="10">
        <f t="shared" si="1"/>
        <v>-0.48592592592592582</v>
      </c>
      <c r="T51" s="10">
        <f t="shared" si="7"/>
        <v>64.008641975308649</v>
      </c>
      <c r="V51" s="14">
        <v>567.5</v>
      </c>
      <c r="W51" s="5">
        <f t="shared" si="2"/>
        <v>38.344594594594589</v>
      </c>
      <c r="X51" s="5">
        <f t="shared" si="8"/>
        <v>53290.700000000012</v>
      </c>
      <c r="AA51" s="5">
        <v>10.79959019941</v>
      </c>
    </row>
    <row r="52" spans="1:27" s="5" customFormat="1" x14ac:dyDescent="0.25">
      <c r="A52" s="69"/>
      <c r="B52" s="6"/>
      <c r="C52" s="7">
        <v>41930</v>
      </c>
      <c r="D52" s="5">
        <v>17.100000000000001</v>
      </c>
      <c r="E52" s="5">
        <v>12.9</v>
      </c>
      <c r="F52" s="5">
        <v>23.5</v>
      </c>
      <c r="G52" s="5">
        <f t="shared" si="4"/>
        <v>728.19999999999993</v>
      </c>
      <c r="J52" s="5">
        <v>0.1</v>
      </c>
      <c r="K52" s="5">
        <f t="shared" si="5"/>
        <v>89.399999999999991</v>
      </c>
      <c r="L52" s="5">
        <v>2.5</v>
      </c>
      <c r="M52" s="5">
        <f t="shared" si="6"/>
        <v>104.70000000000002</v>
      </c>
      <c r="N52" s="9">
        <f t="shared" si="3"/>
        <v>-2.4</v>
      </c>
      <c r="O52" s="5">
        <f t="shared" si="9"/>
        <v>54.900000000000006</v>
      </c>
      <c r="P52" s="5">
        <v>47</v>
      </c>
      <c r="Q52" s="5">
        <f t="shared" si="10"/>
        <v>0.66296296296296298</v>
      </c>
      <c r="R52" s="10">
        <f t="shared" si="0"/>
        <v>1.6574074074074074</v>
      </c>
      <c r="S52" s="10">
        <f t="shared" si="1"/>
        <v>-1.5574074074074074</v>
      </c>
      <c r="T52" s="10">
        <f t="shared" si="7"/>
        <v>62.451234567901238</v>
      </c>
      <c r="V52" s="5">
        <v>1125.0999999999999</v>
      </c>
      <c r="W52" s="5">
        <f t="shared" si="2"/>
        <v>65.795321637426895</v>
      </c>
      <c r="X52" s="5">
        <f t="shared" si="8"/>
        <v>54415.80000000001</v>
      </c>
      <c r="AA52" s="5">
        <v>10.7420671438404</v>
      </c>
    </row>
    <row r="53" spans="1:27" s="5" customFormat="1" x14ac:dyDescent="0.25">
      <c r="A53" s="69"/>
      <c r="B53" s="6"/>
      <c r="C53" s="7">
        <v>41931</v>
      </c>
      <c r="D53" s="5">
        <v>17.100000000000001</v>
      </c>
      <c r="E53" s="5">
        <v>13.6</v>
      </c>
      <c r="F53" s="5">
        <v>21.4</v>
      </c>
      <c r="G53" s="5">
        <f t="shared" si="4"/>
        <v>745.3</v>
      </c>
      <c r="J53" s="5">
        <v>0</v>
      </c>
      <c r="K53" s="5">
        <f t="shared" si="5"/>
        <v>89.399999999999991</v>
      </c>
      <c r="L53" s="5">
        <v>1.7</v>
      </c>
      <c r="M53" s="5">
        <f t="shared" si="6"/>
        <v>106.40000000000002</v>
      </c>
      <c r="N53" s="9">
        <f t="shared" si="3"/>
        <v>-1.7</v>
      </c>
      <c r="O53" s="5">
        <f t="shared" si="9"/>
        <v>53.2</v>
      </c>
      <c r="P53" s="5">
        <v>48</v>
      </c>
      <c r="Q53" s="5">
        <f t="shared" si="10"/>
        <v>0.67098765432098761</v>
      </c>
      <c r="R53" s="10">
        <f t="shared" si="0"/>
        <v>1.1406790123456789</v>
      </c>
      <c r="S53" s="10">
        <f t="shared" si="1"/>
        <v>-1.1406790123456789</v>
      </c>
      <c r="T53" s="10">
        <f t="shared" si="7"/>
        <v>61.31055555555556</v>
      </c>
      <c r="V53" s="5">
        <v>988.5</v>
      </c>
      <c r="W53" s="5">
        <f t="shared" si="2"/>
        <v>57.807017543859644</v>
      </c>
      <c r="X53" s="5">
        <f t="shared" si="8"/>
        <v>55404.30000000001</v>
      </c>
      <c r="AA53" s="5">
        <v>10.6847097474832</v>
      </c>
    </row>
    <row r="54" spans="1:27" s="5" customFormat="1" x14ac:dyDescent="0.25">
      <c r="A54" s="69"/>
      <c r="B54" s="6"/>
      <c r="C54" s="7">
        <v>41932</v>
      </c>
      <c r="D54" s="5">
        <v>13.7</v>
      </c>
      <c r="E54" s="5">
        <v>12.7</v>
      </c>
      <c r="F54" s="5">
        <v>15.7</v>
      </c>
      <c r="G54" s="5">
        <f t="shared" si="4"/>
        <v>759</v>
      </c>
      <c r="J54" s="5">
        <v>2.9</v>
      </c>
      <c r="K54" s="5">
        <f t="shared" si="5"/>
        <v>92.3</v>
      </c>
      <c r="L54" s="5">
        <v>0.6</v>
      </c>
      <c r="M54" s="5">
        <f t="shared" si="6"/>
        <v>107.00000000000001</v>
      </c>
      <c r="N54" s="5">
        <f t="shared" si="3"/>
        <v>2.2999999999999998</v>
      </c>
      <c r="O54" s="5">
        <f t="shared" si="9"/>
        <v>55.5</v>
      </c>
      <c r="P54" s="5">
        <v>49</v>
      </c>
      <c r="Q54" s="5">
        <f t="shared" si="10"/>
        <v>0.67901234567901236</v>
      </c>
      <c r="R54" s="10">
        <f t="shared" si="0"/>
        <v>0.40740740740740738</v>
      </c>
      <c r="S54" s="10">
        <f t="shared" si="1"/>
        <v>2.4925925925925925</v>
      </c>
      <c r="T54" s="10">
        <f t="shared" si="7"/>
        <v>63.803148148148153</v>
      </c>
      <c r="V54" s="14">
        <v>259.3</v>
      </c>
      <c r="W54" s="5">
        <f t="shared" si="2"/>
        <v>18.927007299270073</v>
      </c>
      <c r="X54" s="5">
        <f t="shared" si="8"/>
        <v>55663.600000000013</v>
      </c>
      <c r="AA54" s="5">
        <v>10.6275295070268</v>
      </c>
    </row>
    <row r="55" spans="1:27" s="5" customFormat="1" x14ac:dyDescent="0.25">
      <c r="A55" s="69"/>
      <c r="B55" s="6"/>
      <c r="C55" s="7">
        <v>41933</v>
      </c>
      <c r="D55" s="5">
        <v>12.1</v>
      </c>
      <c r="E55" s="5">
        <v>10.8</v>
      </c>
      <c r="F55" s="5">
        <v>15.8</v>
      </c>
      <c r="G55" s="5">
        <f t="shared" si="4"/>
        <v>771.1</v>
      </c>
      <c r="J55" s="5">
        <v>1.4</v>
      </c>
      <c r="K55" s="5">
        <f t="shared" si="5"/>
        <v>93.7</v>
      </c>
      <c r="L55" s="5">
        <v>1.3</v>
      </c>
      <c r="M55" s="5">
        <f t="shared" si="6"/>
        <v>108.30000000000001</v>
      </c>
      <c r="N55" s="5">
        <f t="shared" si="3"/>
        <v>9.9999999999999867E-2</v>
      </c>
      <c r="O55" s="5">
        <f t="shared" si="9"/>
        <v>55.6</v>
      </c>
      <c r="P55" s="5">
        <v>50</v>
      </c>
      <c r="Q55" s="5">
        <f t="shared" si="10"/>
        <v>0.687037037037037</v>
      </c>
      <c r="R55" s="10">
        <f t="shared" si="0"/>
        <v>0.89314814814814814</v>
      </c>
      <c r="S55" s="10">
        <f t="shared" si="1"/>
        <v>0.50685185185185178</v>
      </c>
      <c r="T55" s="10">
        <f t="shared" si="7"/>
        <v>64.31</v>
      </c>
      <c r="V55" s="14">
        <v>291.10000000000002</v>
      </c>
      <c r="W55" s="5">
        <f t="shared" si="2"/>
        <v>24.057851239669425</v>
      </c>
      <c r="X55" s="5">
        <f t="shared" si="8"/>
        <v>55954.700000000012</v>
      </c>
      <c r="AA55" s="5">
        <v>10.5705384019286</v>
      </c>
    </row>
    <row r="56" spans="1:27" s="5" customFormat="1" x14ac:dyDescent="0.25">
      <c r="A56" s="69"/>
      <c r="B56" s="6"/>
      <c r="C56" s="7">
        <v>41934</v>
      </c>
      <c r="D56" s="5">
        <v>8.9</v>
      </c>
      <c r="E56" s="5">
        <v>5.6</v>
      </c>
      <c r="F56" s="5">
        <v>12.3</v>
      </c>
      <c r="G56" s="5">
        <f t="shared" si="4"/>
        <v>780</v>
      </c>
      <c r="J56" s="5">
        <v>0</v>
      </c>
      <c r="K56" s="5">
        <f t="shared" si="5"/>
        <v>93.7</v>
      </c>
      <c r="L56" s="5">
        <v>1.4</v>
      </c>
      <c r="M56" s="5">
        <f t="shared" si="6"/>
        <v>109.70000000000002</v>
      </c>
      <c r="N56" s="9">
        <f t="shared" si="3"/>
        <v>-1.4</v>
      </c>
      <c r="O56" s="5">
        <f t="shared" si="9"/>
        <v>54.2</v>
      </c>
      <c r="P56" s="5">
        <v>51</v>
      </c>
      <c r="Q56" s="5">
        <f t="shared" si="10"/>
        <v>0.69506172839506175</v>
      </c>
      <c r="R56" s="10">
        <f t="shared" si="0"/>
        <v>0.97308641975308641</v>
      </c>
      <c r="S56" s="10">
        <f t="shared" si="1"/>
        <v>-0.97308641975308641</v>
      </c>
      <c r="T56" s="10">
        <f t="shared" si="7"/>
        <v>63.336913580246915</v>
      </c>
      <c r="V56" s="5">
        <v>986.6</v>
      </c>
      <c r="W56" s="5">
        <f t="shared" si="2"/>
        <v>110.85393258426966</v>
      </c>
      <c r="X56" s="5">
        <f t="shared" si="8"/>
        <v>56941.30000000001</v>
      </c>
      <c r="AA56" s="5">
        <v>10.513748912202599</v>
      </c>
    </row>
    <row r="57" spans="1:27" s="5" customFormat="1" x14ac:dyDescent="0.25">
      <c r="A57" s="69"/>
      <c r="B57" s="6"/>
      <c r="C57" s="7">
        <v>41935</v>
      </c>
      <c r="D57" s="5">
        <v>11.1</v>
      </c>
      <c r="E57" s="5">
        <v>8.9</v>
      </c>
      <c r="F57" s="5">
        <v>13.4</v>
      </c>
      <c r="G57" s="5">
        <f t="shared" si="4"/>
        <v>791.1</v>
      </c>
      <c r="J57" s="5">
        <v>0</v>
      </c>
      <c r="K57" s="5">
        <f t="shared" si="5"/>
        <v>93.7</v>
      </c>
      <c r="L57" s="5">
        <v>1</v>
      </c>
      <c r="M57" s="5">
        <f t="shared" si="6"/>
        <v>110.70000000000002</v>
      </c>
      <c r="N57" s="9">
        <f t="shared" si="3"/>
        <v>-1</v>
      </c>
      <c r="O57" s="5">
        <f t="shared" si="9"/>
        <v>53.2</v>
      </c>
      <c r="P57" s="5">
        <v>52</v>
      </c>
      <c r="Q57" s="5">
        <f t="shared" si="10"/>
        <v>0.70308641975308639</v>
      </c>
      <c r="R57" s="10">
        <f t="shared" si="0"/>
        <v>0.70308641975308639</v>
      </c>
      <c r="S57" s="10">
        <f t="shared" si="1"/>
        <v>-0.70308641975308639</v>
      </c>
      <c r="T57" s="10">
        <f t="shared" si="7"/>
        <v>62.63382716049383</v>
      </c>
      <c r="V57" s="14">
        <v>390.3</v>
      </c>
      <c r="W57" s="5">
        <f t="shared" si="2"/>
        <v>35.162162162162161</v>
      </c>
      <c r="X57" s="5">
        <f t="shared" si="8"/>
        <v>57331.600000000013</v>
      </c>
      <c r="AA57" s="5">
        <v>10.4571740358559</v>
      </c>
    </row>
    <row r="58" spans="1:27" s="5" customFormat="1" x14ac:dyDescent="0.25">
      <c r="A58" s="69"/>
      <c r="B58" s="6"/>
      <c r="C58" s="7">
        <v>41936</v>
      </c>
      <c r="D58" s="5">
        <v>11.5</v>
      </c>
      <c r="E58" s="5">
        <v>10.5</v>
      </c>
      <c r="F58" s="5">
        <v>14.5</v>
      </c>
      <c r="G58" s="5">
        <f t="shared" si="4"/>
        <v>802.6</v>
      </c>
      <c r="J58" s="5">
        <v>0.2</v>
      </c>
      <c r="K58" s="5">
        <f t="shared" si="5"/>
        <v>93.9</v>
      </c>
      <c r="L58" s="5">
        <v>0.9</v>
      </c>
      <c r="M58" s="5">
        <f t="shared" si="6"/>
        <v>111.60000000000002</v>
      </c>
      <c r="N58" s="9">
        <f t="shared" si="3"/>
        <v>-0.7</v>
      </c>
      <c r="O58" s="5">
        <f t="shared" si="9"/>
        <v>52.5</v>
      </c>
      <c r="P58" s="5">
        <v>53</v>
      </c>
      <c r="Q58" s="5">
        <f t="shared" si="10"/>
        <v>0.71111111111111114</v>
      </c>
      <c r="R58" s="10">
        <f t="shared" si="0"/>
        <v>0.64</v>
      </c>
      <c r="S58" s="10">
        <f t="shared" si="1"/>
        <v>-0.44</v>
      </c>
      <c r="T58" s="10">
        <f t="shared" si="7"/>
        <v>62.193827160493832</v>
      </c>
      <c r="V58" s="14">
        <v>315.60000000000002</v>
      </c>
      <c r="W58" s="5">
        <f t="shared" si="2"/>
        <v>27.443478260869568</v>
      </c>
      <c r="X58" s="5">
        <f t="shared" si="8"/>
        <v>57647.200000000012</v>
      </c>
      <c r="AA58" s="5">
        <v>10.400827305906301</v>
      </c>
    </row>
    <row r="59" spans="1:27" s="5" customFormat="1" x14ac:dyDescent="0.25">
      <c r="A59" s="69"/>
      <c r="B59" s="6"/>
      <c r="C59" s="7">
        <v>41937</v>
      </c>
      <c r="D59" s="5">
        <v>12.2</v>
      </c>
      <c r="E59" s="5">
        <v>8.6</v>
      </c>
      <c r="F59" s="5">
        <v>15.6</v>
      </c>
      <c r="G59" s="5">
        <f t="shared" si="4"/>
        <v>814.80000000000007</v>
      </c>
      <c r="J59" s="5">
        <v>0.2</v>
      </c>
      <c r="K59" s="5">
        <f t="shared" si="5"/>
        <v>94.100000000000009</v>
      </c>
      <c r="L59" s="5">
        <v>0.5</v>
      </c>
      <c r="M59" s="5">
        <f t="shared" si="6"/>
        <v>112.10000000000002</v>
      </c>
      <c r="N59" s="9">
        <f t="shared" si="3"/>
        <v>-0.3</v>
      </c>
      <c r="O59" s="5">
        <f t="shared" si="9"/>
        <v>52.2</v>
      </c>
      <c r="P59" s="5">
        <v>54</v>
      </c>
      <c r="Q59" s="5">
        <f t="shared" si="10"/>
        <v>0.71913580246913578</v>
      </c>
      <c r="R59" s="10">
        <f t="shared" si="0"/>
        <v>0.35956790123456789</v>
      </c>
      <c r="S59" s="10">
        <f t="shared" si="1"/>
        <v>-0.15956790123456788</v>
      </c>
      <c r="T59" s="10">
        <f t="shared" si="7"/>
        <v>62.034259259259265</v>
      </c>
      <c r="V59" s="14">
        <v>269.5</v>
      </c>
      <c r="W59" s="5">
        <f t="shared" si="2"/>
        <v>22.090163934426229</v>
      </c>
      <c r="X59" s="5">
        <f t="shared" si="8"/>
        <v>57916.700000000012</v>
      </c>
      <c r="AA59" s="5">
        <v>10.344722806903601</v>
      </c>
    </row>
    <row r="60" spans="1:27" s="5" customFormat="1" x14ac:dyDescent="0.25">
      <c r="A60" s="69"/>
      <c r="B60" s="6"/>
      <c r="C60" s="7">
        <v>41938</v>
      </c>
      <c r="D60" s="5">
        <v>12.6</v>
      </c>
      <c r="E60" s="5">
        <v>10.199999999999999</v>
      </c>
      <c r="F60" s="5">
        <v>17.100000000000001</v>
      </c>
      <c r="G60" s="5">
        <f t="shared" si="4"/>
        <v>827.40000000000009</v>
      </c>
      <c r="J60" s="5">
        <v>0</v>
      </c>
      <c r="K60" s="5">
        <f t="shared" si="5"/>
        <v>94.100000000000009</v>
      </c>
      <c r="L60" s="5">
        <v>0.9</v>
      </c>
      <c r="M60" s="5">
        <f t="shared" si="6"/>
        <v>113.00000000000003</v>
      </c>
      <c r="N60" s="9">
        <f t="shared" si="3"/>
        <v>-0.9</v>
      </c>
      <c r="O60" s="5">
        <f t="shared" si="9"/>
        <v>51.300000000000004</v>
      </c>
      <c r="P60" s="5">
        <v>55</v>
      </c>
      <c r="Q60" s="5">
        <f t="shared" si="10"/>
        <v>0.72716049382716053</v>
      </c>
      <c r="R60" s="10">
        <f t="shared" si="0"/>
        <v>0.6544444444444445</v>
      </c>
      <c r="S60" s="10">
        <f t="shared" si="1"/>
        <v>-0.6544444444444445</v>
      </c>
      <c r="T60" s="10">
        <f t="shared" si="7"/>
        <v>61.379814814814821</v>
      </c>
      <c r="V60" s="14">
        <v>430.4</v>
      </c>
      <c r="W60" s="5">
        <f t="shared" si="2"/>
        <v>34.158730158730158</v>
      </c>
      <c r="X60" s="5">
        <f t="shared" si="8"/>
        <v>58347.100000000013</v>
      </c>
      <c r="AA60" s="5">
        <v>10.288875190873799</v>
      </c>
    </row>
    <row r="61" spans="1:27" s="5" customFormat="1" x14ac:dyDescent="0.25">
      <c r="A61" s="69"/>
      <c r="B61" s="6"/>
      <c r="C61" s="7">
        <v>41939</v>
      </c>
      <c r="D61" s="5">
        <v>10.7</v>
      </c>
      <c r="E61" s="5">
        <v>7.3</v>
      </c>
      <c r="F61" s="5">
        <v>15.1</v>
      </c>
      <c r="G61" s="5">
        <f t="shared" si="4"/>
        <v>838.10000000000014</v>
      </c>
      <c r="J61" s="5">
        <v>0</v>
      </c>
      <c r="K61" s="5">
        <f t="shared" si="5"/>
        <v>94.100000000000009</v>
      </c>
      <c r="L61" s="5">
        <v>1</v>
      </c>
      <c r="M61" s="5">
        <f t="shared" si="6"/>
        <v>114.00000000000003</v>
      </c>
      <c r="N61" s="9">
        <f t="shared" si="3"/>
        <v>-1</v>
      </c>
      <c r="O61" s="5">
        <f t="shared" si="9"/>
        <v>50.300000000000004</v>
      </c>
      <c r="P61" s="5">
        <v>56</v>
      </c>
      <c r="Q61" s="5">
        <f t="shared" si="10"/>
        <v>0.73518518518518516</v>
      </c>
      <c r="R61" s="10">
        <f t="shared" si="0"/>
        <v>0.73518518518518516</v>
      </c>
      <c r="S61" s="10">
        <f t="shared" si="1"/>
        <v>-0.73518518518518516</v>
      </c>
      <c r="T61" s="10">
        <f t="shared" si="7"/>
        <v>60.644629629629634</v>
      </c>
      <c r="V61" s="14">
        <v>639.9</v>
      </c>
      <c r="W61" s="5">
        <f t="shared" si="2"/>
        <v>59.803738317757009</v>
      </c>
      <c r="X61" s="5">
        <f t="shared" si="8"/>
        <v>58987.000000000015</v>
      </c>
      <c r="AA61" s="5">
        <v>10.2332996925957</v>
      </c>
    </row>
    <row r="62" spans="1:27" s="5" customFormat="1" x14ac:dyDescent="0.25">
      <c r="A62" s="69"/>
      <c r="B62" s="6"/>
      <c r="C62" s="7">
        <v>41940</v>
      </c>
      <c r="D62" s="5">
        <v>9.1</v>
      </c>
      <c r="E62" s="5">
        <v>7.4</v>
      </c>
      <c r="F62" s="5">
        <v>10.6</v>
      </c>
      <c r="G62" s="5">
        <f t="shared" si="4"/>
        <v>847.20000000000016</v>
      </c>
      <c r="J62" s="5">
        <v>0.1</v>
      </c>
      <c r="K62" s="5">
        <f t="shared" si="5"/>
        <v>94.2</v>
      </c>
      <c r="L62" s="5">
        <v>0.4</v>
      </c>
      <c r="M62" s="5">
        <f t="shared" si="6"/>
        <v>114.40000000000003</v>
      </c>
      <c r="N62" s="9">
        <f t="shared" si="3"/>
        <v>-0.30000000000000004</v>
      </c>
      <c r="O62" s="5">
        <f t="shared" si="9"/>
        <v>50.000000000000007</v>
      </c>
      <c r="P62" s="5">
        <v>57</v>
      </c>
      <c r="Q62" s="5">
        <f t="shared" si="10"/>
        <v>0.7432098765432098</v>
      </c>
      <c r="R62" s="10">
        <f t="shared" si="0"/>
        <v>0.29728395061728391</v>
      </c>
      <c r="S62" s="10">
        <f t="shared" si="1"/>
        <v>-0.1972839506172839</v>
      </c>
      <c r="T62" s="10">
        <f t="shared" si="7"/>
        <v>60.447345679012351</v>
      </c>
      <c r="V62" s="14">
        <v>284.7</v>
      </c>
      <c r="W62" s="5">
        <f t="shared" si="2"/>
        <v>31.285714285714285</v>
      </c>
      <c r="X62" s="5">
        <f t="shared" si="8"/>
        <v>59271.700000000012</v>
      </c>
      <c r="AA62" s="5">
        <v>10.1780121441157</v>
      </c>
    </row>
    <row r="63" spans="1:27" s="5" customFormat="1" x14ac:dyDescent="0.25">
      <c r="A63" s="69"/>
      <c r="B63" s="6"/>
      <c r="C63" s="7">
        <v>41941</v>
      </c>
      <c r="D63" s="5">
        <v>10.7</v>
      </c>
      <c r="E63" s="5">
        <v>7.3</v>
      </c>
      <c r="F63" s="5">
        <v>12.8</v>
      </c>
      <c r="G63" s="5">
        <f t="shared" si="4"/>
        <v>857.9000000000002</v>
      </c>
      <c r="J63" s="5">
        <v>0</v>
      </c>
      <c r="K63" s="5">
        <f t="shared" si="5"/>
        <v>94.2</v>
      </c>
      <c r="L63" s="5">
        <v>0.7</v>
      </c>
      <c r="M63" s="5">
        <f t="shared" si="6"/>
        <v>115.10000000000004</v>
      </c>
      <c r="N63" s="9">
        <f t="shared" si="3"/>
        <v>-0.7</v>
      </c>
      <c r="O63" s="5">
        <f t="shared" si="9"/>
        <v>49.300000000000004</v>
      </c>
      <c r="P63" s="5">
        <v>58</v>
      </c>
      <c r="Q63" s="5">
        <f t="shared" si="10"/>
        <v>0.75123456790123455</v>
      </c>
      <c r="R63" s="10">
        <f t="shared" si="0"/>
        <v>0.52586419753086411</v>
      </c>
      <c r="S63" s="10">
        <f t="shared" si="1"/>
        <v>-0.52586419753086411</v>
      </c>
      <c r="T63" s="10">
        <f t="shared" si="7"/>
        <v>59.921481481481486</v>
      </c>
      <c r="V63" s="14">
        <v>580.4</v>
      </c>
      <c r="W63" s="5">
        <f t="shared" si="2"/>
        <v>54.242990654205606</v>
      </c>
      <c r="X63" s="5">
        <f t="shared" si="8"/>
        <v>59852.100000000013</v>
      </c>
      <c r="AA63" s="5">
        <v>10.1230289883966</v>
      </c>
    </row>
    <row r="64" spans="1:27" s="5" customFormat="1" x14ac:dyDescent="0.25">
      <c r="A64" s="69"/>
      <c r="B64" s="6"/>
      <c r="C64" s="7">
        <v>41942</v>
      </c>
      <c r="D64" s="5">
        <v>13.6</v>
      </c>
      <c r="E64" s="5">
        <v>8.9</v>
      </c>
      <c r="F64" s="5">
        <v>18.7</v>
      </c>
      <c r="G64" s="5">
        <f t="shared" si="4"/>
        <v>871.50000000000023</v>
      </c>
      <c r="J64" s="5">
        <v>0</v>
      </c>
      <c r="K64" s="5">
        <f t="shared" si="5"/>
        <v>94.2</v>
      </c>
      <c r="L64" s="5">
        <v>1.1000000000000001</v>
      </c>
      <c r="M64" s="5">
        <f t="shared" si="6"/>
        <v>116.20000000000003</v>
      </c>
      <c r="N64" s="9">
        <f t="shared" si="3"/>
        <v>-1.1000000000000001</v>
      </c>
      <c r="O64" s="5">
        <f t="shared" si="9"/>
        <v>48.2</v>
      </c>
      <c r="P64" s="5">
        <v>59</v>
      </c>
      <c r="Q64" s="5">
        <f t="shared" si="10"/>
        <v>0.7592592592592593</v>
      </c>
      <c r="R64" s="10">
        <f t="shared" si="0"/>
        <v>0.83518518518518525</v>
      </c>
      <c r="S64" s="10">
        <f t="shared" si="1"/>
        <v>-0.83518518518518525</v>
      </c>
      <c r="T64" s="10">
        <f t="shared" si="7"/>
        <v>59.086296296296304</v>
      </c>
      <c r="V64" s="14">
        <v>434.9</v>
      </c>
      <c r="W64" s="5">
        <f t="shared" si="2"/>
        <v>31.977941176470587</v>
      </c>
      <c r="X64" s="5">
        <f t="shared" si="8"/>
        <v>60287.000000000015</v>
      </c>
      <c r="AA64" s="5">
        <v>10.0683672919924</v>
      </c>
    </row>
    <row r="65" spans="1:27" s="5" customFormat="1" x14ac:dyDescent="0.25">
      <c r="A65" s="69"/>
      <c r="B65" s="6"/>
      <c r="C65" s="7">
        <v>41943</v>
      </c>
      <c r="D65" s="5">
        <v>14.7</v>
      </c>
      <c r="E65" s="5">
        <v>11.8</v>
      </c>
      <c r="F65" s="5">
        <v>20</v>
      </c>
      <c r="G65" s="5">
        <f t="shared" si="4"/>
        <v>886.20000000000027</v>
      </c>
      <c r="J65" s="5">
        <v>0</v>
      </c>
      <c r="K65" s="5">
        <f t="shared" si="5"/>
        <v>94.2</v>
      </c>
      <c r="L65" s="5">
        <v>1.6</v>
      </c>
      <c r="M65" s="5">
        <f t="shared" si="6"/>
        <v>117.80000000000003</v>
      </c>
      <c r="N65" s="9">
        <f t="shared" si="3"/>
        <v>-1.6</v>
      </c>
      <c r="O65" s="5">
        <f t="shared" si="9"/>
        <v>46.6</v>
      </c>
      <c r="P65" s="5">
        <v>60</v>
      </c>
      <c r="Q65" s="5">
        <f t="shared" si="10"/>
        <v>0.76728395061728394</v>
      </c>
      <c r="R65" s="10">
        <f t="shared" si="0"/>
        <v>1.2276543209876545</v>
      </c>
      <c r="S65" s="10">
        <f t="shared" si="1"/>
        <v>-1.2276543209876545</v>
      </c>
      <c r="T65" s="10">
        <f t="shared" si="7"/>
        <v>57.85864197530865</v>
      </c>
      <c r="V65" s="14">
        <v>651.1</v>
      </c>
      <c r="W65" s="5">
        <f t="shared" si="2"/>
        <v>44.292517006802726</v>
      </c>
      <c r="X65" s="5">
        <f t="shared" si="8"/>
        <v>60938.100000000013</v>
      </c>
      <c r="AA65" s="5">
        <v>10.014044756631</v>
      </c>
    </row>
    <row r="66" spans="1:27" s="5" customFormat="1" x14ac:dyDescent="0.25">
      <c r="A66" s="69"/>
      <c r="B66" s="6"/>
      <c r="C66" s="7">
        <v>41944</v>
      </c>
      <c r="D66" s="5">
        <v>14.1</v>
      </c>
      <c r="E66" s="5">
        <v>9.4</v>
      </c>
      <c r="F66" s="5">
        <v>19.600000000000001</v>
      </c>
      <c r="G66" s="5">
        <f t="shared" si="4"/>
        <v>900.3000000000003</v>
      </c>
      <c r="J66" s="5">
        <v>0</v>
      </c>
      <c r="K66" s="5">
        <f t="shared" si="5"/>
        <v>94.2</v>
      </c>
      <c r="L66" s="5">
        <v>1.7</v>
      </c>
      <c r="M66" s="5">
        <f t="shared" si="6"/>
        <v>119.50000000000003</v>
      </c>
      <c r="N66" s="9">
        <f t="shared" si="3"/>
        <v>-1.7</v>
      </c>
      <c r="O66" s="5">
        <f t="shared" si="9"/>
        <v>44.9</v>
      </c>
      <c r="P66" s="5">
        <v>61</v>
      </c>
      <c r="Q66" s="5">
        <f t="shared" si="10"/>
        <v>0.77530864197530858</v>
      </c>
      <c r="R66" s="10">
        <f t="shared" si="0"/>
        <v>1.3180246913580245</v>
      </c>
      <c r="S66" s="10">
        <f t="shared" si="1"/>
        <v>-1.3180246913580245</v>
      </c>
      <c r="T66" s="10">
        <f t="shared" si="7"/>
        <v>56.540617283950624</v>
      </c>
      <c r="V66" s="14">
        <v>898.2</v>
      </c>
      <c r="W66" s="5">
        <f t="shared" si="2"/>
        <v>63.702127659574472</v>
      </c>
      <c r="X66" s="5">
        <f t="shared" si="8"/>
        <v>61836.30000000001</v>
      </c>
      <c r="AA66" s="5">
        <v>9.9600797295821906</v>
      </c>
    </row>
    <row r="67" spans="1:27" s="5" customFormat="1" x14ac:dyDescent="0.25">
      <c r="A67" s="69"/>
      <c r="B67" s="6"/>
      <c r="C67" s="7">
        <v>41945</v>
      </c>
      <c r="D67" s="5">
        <v>14.6</v>
      </c>
      <c r="E67" s="5">
        <v>12.7</v>
      </c>
      <c r="F67" s="5">
        <v>17</v>
      </c>
      <c r="G67" s="5">
        <f t="shared" si="4"/>
        <v>914.90000000000032</v>
      </c>
      <c r="J67" s="5">
        <v>1.6</v>
      </c>
      <c r="K67" s="5">
        <f t="shared" si="5"/>
        <v>95.8</v>
      </c>
      <c r="L67" s="5">
        <v>0.9</v>
      </c>
      <c r="M67" s="5">
        <f t="shared" si="6"/>
        <v>120.40000000000003</v>
      </c>
      <c r="N67" s="5">
        <f t="shared" si="3"/>
        <v>0.70000000000000007</v>
      </c>
      <c r="O67" s="5">
        <f t="shared" si="9"/>
        <v>45.6</v>
      </c>
      <c r="P67" s="5">
        <v>62</v>
      </c>
      <c r="Q67" s="5">
        <f t="shared" si="10"/>
        <v>0.78333333333333333</v>
      </c>
      <c r="R67" s="10">
        <f t="shared" si="0"/>
        <v>0.70499999999999996</v>
      </c>
      <c r="S67" s="10">
        <f t="shared" si="1"/>
        <v>0.89500000000000013</v>
      </c>
      <c r="T67" s="10">
        <f t="shared" si="7"/>
        <v>57.435617283950627</v>
      </c>
      <c r="V67" s="14">
        <v>318.89999999999998</v>
      </c>
      <c r="W67" s="5">
        <f t="shared" si="2"/>
        <v>21.842465753424655</v>
      </c>
      <c r="X67" s="5">
        <f t="shared" si="8"/>
        <v>62155.200000000012</v>
      </c>
      <c r="AA67" s="5">
        <v>9.9064912126807894</v>
      </c>
    </row>
    <row r="68" spans="1:27" s="5" customFormat="1" x14ac:dyDescent="0.25">
      <c r="A68" s="69"/>
      <c r="B68" s="6"/>
      <c r="C68" s="7">
        <v>41946</v>
      </c>
      <c r="D68" s="5">
        <v>13</v>
      </c>
      <c r="E68" s="5">
        <v>12.8</v>
      </c>
      <c r="F68" s="5">
        <v>15.2</v>
      </c>
      <c r="G68" s="5">
        <f t="shared" si="4"/>
        <v>927.90000000000032</v>
      </c>
      <c r="J68" s="5">
        <v>8.8000000000000007</v>
      </c>
      <c r="K68" s="5">
        <f t="shared" si="5"/>
        <v>104.6</v>
      </c>
      <c r="L68" s="5">
        <v>1.7</v>
      </c>
      <c r="M68" s="5">
        <f t="shared" si="6"/>
        <v>122.10000000000004</v>
      </c>
      <c r="N68" s="5">
        <f t="shared" si="3"/>
        <v>7.1000000000000005</v>
      </c>
      <c r="O68" s="5">
        <f t="shared" si="9"/>
        <v>52.7</v>
      </c>
      <c r="P68" s="5">
        <v>63</v>
      </c>
      <c r="Q68" s="5">
        <f t="shared" si="10"/>
        <v>0.79135802469135808</v>
      </c>
      <c r="R68" s="10">
        <f t="shared" si="0"/>
        <v>1.3453086419753086</v>
      </c>
      <c r="S68" s="10">
        <f t="shared" si="1"/>
        <v>7.4546913580246921</v>
      </c>
      <c r="T68" s="10">
        <f t="shared" si="7"/>
        <v>64.890308641975324</v>
      </c>
      <c r="V68" s="14">
        <v>709.4</v>
      </c>
      <c r="W68" s="5">
        <f t="shared" si="2"/>
        <v>54.569230769230771</v>
      </c>
      <c r="X68" s="5">
        <f t="shared" si="8"/>
        <v>62864.600000000013</v>
      </c>
      <c r="AA68" s="5">
        <v>9.8532988698669008</v>
      </c>
    </row>
    <row r="69" spans="1:27" s="5" customFormat="1" x14ac:dyDescent="0.25">
      <c r="A69" s="69"/>
      <c r="B69" s="6"/>
      <c r="C69" s="7">
        <v>41947</v>
      </c>
      <c r="D69" s="5">
        <v>8.6999999999999993</v>
      </c>
      <c r="E69" s="5">
        <v>8.5</v>
      </c>
      <c r="F69" s="5">
        <v>10.1</v>
      </c>
      <c r="G69" s="5">
        <f t="shared" si="4"/>
        <v>936.60000000000036</v>
      </c>
      <c r="J69" s="5">
        <v>0</v>
      </c>
      <c r="K69" s="5">
        <f t="shared" si="5"/>
        <v>104.6</v>
      </c>
      <c r="L69" s="5">
        <v>0.5</v>
      </c>
      <c r="M69" s="5">
        <f t="shared" si="6"/>
        <v>122.60000000000004</v>
      </c>
      <c r="N69" s="9">
        <f t="shared" si="3"/>
        <v>-0.5</v>
      </c>
      <c r="O69" s="5">
        <f t="shared" si="9"/>
        <v>52.2</v>
      </c>
      <c r="P69" s="5">
        <v>64</v>
      </c>
      <c r="Q69" s="5">
        <f t="shared" si="10"/>
        <v>0.79938271604938271</v>
      </c>
      <c r="R69" s="10">
        <f t="shared" si="0"/>
        <v>0.39969135802469136</v>
      </c>
      <c r="S69" s="10">
        <f t="shared" si="1"/>
        <v>-0.39969135802469136</v>
      </c>
      <c r="T69" s="10">
        <f t="shared" si="7"/>
        <v>64.490617283950627</v>
      </c>
      <c r="V69" s="14">
        <v>401.7</v>
      </c>
      <c r="W69" s="5">
        <f t="shared" si="2"/>
        <v>46.172413793103452</v>
      </c>
      <c r="X69" s="5">
        <f t="shared" si="8"/>
        <v>63266.30000000001</v>
      </c>
      <c r="AA69" s="5">
        <v>9.8005230331015003</v>
      </c>
    </row>
    <row r="70" spans="1:27" s="5" customFormat="1" x14ac:dyDescent="0.25">
      <c r="A70" s="69"/>
      <c r="B70" s="6"/>
      <c r="C70" s="7">
        <v>41948</v>
      </c>
      <c r="D70" s="5">
        <v>6.6</v>
      </c>
      <c r="E70" s="15">
        <v>3.1</v>
      </c>
      <c r="F70" s="5">
        <v>10.6</v>
      </c>
      <c r="G70" s="5">
        <f t="shared" si="4"/>
        <v>943.20000000000039</v>
      </c>
      <c r="J70" s="5">
        <v>0.1</v>
      </c>
      <c r="K70" s="5">
        <f t="shared" si="5"/>
        <v>104.69999999999999</v>
      </c>
      <c r="L70" s="5">
        <v>0.8</v>
      </c>
      <c r="M70" s="5">
        <f t="shared" si="6"/>
        <v>123.40000000000003</v>
      </c>
      <c r="N70" s="9">
        <f t="shared" si="3"/>
        <v>-0.70000000000000007</v>
      </c>
      <c r="O70" s="5">
        <f t="shared" si="9"/>
        <v>51.5</v>
      </c>
      <c r="P70" s="5">
        <v>65</v>
      </c>
      <c r="Q70" s="5">
        <f t="shared" si="10"/>
        <v>0.80740740740740735</v>
      </c>
      <c r="R70" s="10">
        <f t="shared" ref="R70:R133" si="11">Q70*L70</f>
        <v>0.6459259259259259</v>
      </c>
      <c r="S70" s="10">
        <f t="shared" ref="S70:S133" si="12">J70-R70</f>
        <v>-0.54592592592592593</v>
      </c>
      <c r="T70" s="10">
        <f t="shared" si="7"/>
        <v>63.944691358024699</v>
      </c>
      <c r="V70" s="14">
        <v>648.79999999999995</v>
      </c>
      <c r="W70" s="5">
        <f t="shared" ref="W70:W133" si="13">V70/D70</f>
        <v>98.303030303030297</v>
      </c>
      <c r="X70" s="5">
        <f t="shared" si="8"/>
        <v>63915.100000000013</v>
      </c>
      <c r="AA70" s="5">
        <v>9.7481847065074803</v>
      </c>
    </row>
    <row r="71" spans="1:27" s="5" customFormat="1" x14ac:dyDescent="0.25">
      <c r="A71" s="69"/>
      <c r="B71" s="6"/>
      <c r="C71" s="7">
        <v>41949</v>
      </c>
      <c r="D71" s="5">
        <v>7</v>
      </c>
      <c r="E71" s="15">
        <v>3.5</v>
      </c>
      <c r="F71" s="5">
        <v>11.8</v>
      </c>
      <c r="G71" s="5">
        <f t="shared" si="4"/>
        <v>950.20000000000039</v>
      </c>
      <c r="J71" s="5">
        <v>0.1</v>
      </c>
      <c r="K71" s="5">
        <f t="shared" si="5"/>
        <v>104.79999999999998</v>
      </c>
      <c r="L71" s="5">
        <v>1.2</v>
      </c>
      <c r="M71" s="5">
        <f t="shared" si="6"/>
        <v>124.60000000000004</v>
      </c>
      <c r="N71" s="9">
        <f t="shared" ref="N71:N134" si="14">J71-L71</f>
        <v>-1.0999999999999999</v>
      </c>
      <c r="O71" s="5">
        <f t="shared" si="9"/>
        <v>50.4</v>
      </c>
      <c r="P71" s="5">
        <v>66</v>
      </c>
      <c r="Q71" s="5">
        <f t="shared" si="10"/>
        <v>0.81543209876543199</v>
      </c>
      <c r="R71" s="10">
        <f t="shared" si="11"/>
        <v>0.97851851851851834</v>
      </c>
      <c r="S71" s="10">
        <f t="shared" si="12"/>
        <v>-0.87851851851851837</v>
      </c>
      <c r="T71" s="10">
        <f t="shared" si="7"/>
        <v>63.06617283950618</v>
      </c>
      <c r="V71" s="14">
        <v>869.7</v>
      </c>
      <c r="W71" s="5">
        <f t="shared" si="13"/>
        <v>124.24285714285715</v>
      </c>
      <c r="X71" s="5">
        <f t="shared" si="8"/>
        <v>64784.80000000001</v>
      </c>
      <c r="AA71" s="5">
        <v>9.6963055685822894</v>
      </c>
    </row>
    <row r="72" spans="1:27" s="5" customFormat="1" x14ac:dyDescent="0.25">
      <c r="A72" s="69"/>
      <c r="B72" s="6"/>
      <c r="C72" s="7">
        <v>41950</v>
      </c>
      <c r="D72" s="5">
        <v>9.9</v>
      </c>
      <c r="E72" s="5">
        <v>6.6</v>
      </c>
      <c r="F72" s="5">
        <v>12.3</v>
      </c>
      <c r="G72" s="5">
        <f t="shared" ref="G72:G135" si="15">G71+D72</f>
        <v>960.10000000000036</v>
      </c>
      <c r="J72" s="5">
        <v>4.9000000000000004</v>
      </c>
      <c r="K72" s="5">
        <f t="shared" ref="K72:K135" si="16">K71+J72</f>
        <v>109.69999999999999</v>
      </c>
      <c r="L72" s="5">
        <v>1</v>
      </c>
      <c r="M72" s="5">
        <f t="shared" ref="M72:M135" si="17">M71+L72</f>
        <v>125.60000000000004</v>
      </c>
      <c r="N72" s="5">
        <f t="shared" si="14"/>
        <v>3.9000000000000004</v>
      </c>
      <c r="O72" s="5">
        <f t="shared" si="9"/>
        <v>54.3</v>
      </c>
      <c r="P72" s="5">
        <v>67</v>
      </c>
      <c r="Q72" s="5">
        <f t="shared" si="10"/>
        <v>0.82345679012345685</v>
      </c>
      <c r="R72" s="10">
        <f t="shared" si="11"/>
        <v>0.82345679012345685</v>
      </c>
      <c r="S72" s="10">
        <f t="shared" si="12"/>
        <v>4.0765432098765437</v>
      </c>
      <c r="T72" s="10">
        <f t="shared" ref="T72:T135" si="18">MIN(197.4,(T71+S72))</f>
        <v>67.142716049382727</v>
      </c>
      <c r="V72" s="14">
        <v>650.70000000000005</v>
      </c>
      <c r="W72" s="5">
        <f t="shared" si="13"/>
        <v>65.727272727272734</v>
      </c>
      <c r="X72" s="5">
        <f t="shared" ref="X72:X135" si="19">X71+V72</f>
        <v>65435.500000000007</v>
      </c>
      <c r="AA72" s="5">
        <v>9.6449079723229403</v>
      </c>
    </row>
    <row r="73" spans="1:27" s="5" customFormat="1" x14ac:dyDescent="0.25">
      <c r="A73" s="69"/>
      <c r="B73" s="6"/>
      <c r="C73" s="7">
        <v>41951</v>
      </c>
      <c r="D73" s="5">
        <v>10.4</v>
      </c>
      <c r="E73" s="5">
        <v>6.5</v>
      </c>
      <c r="F73" s="5">
        <v>14.1</v>
      </c>
      <c r="G73" s="5">
        <f t="shared" si="15"/>
        <v>970.50000000000034</v>
      </c>
      <c r="J73" s="5">
        <v>0.3</v>
      </c>
      <c r="K73" s="5">
        <f t="shared" si="16"/>
        <v>109.99999999999999</v>
      </c>
      <c r="L73" s="5">
        <v>0.8</v>
      </c>
      <c r="M73" s="5">
        <f t="shared" si="17"/>
        <v>126.40000000000003</v>
      </c>
      <c r="N73" s="9">
        <f t="shared" si="14"/>
        <v>-0.5</v>
      </c>
      <c r="O73" s="5">
        <f t="shared" ref="O73:O136" si="20">O72+N73</f>
        <v>53.8</v>
      </c>
      <c r="P73" s="5">
        <v>68</v>
      </c>
      <c r="Q73" s="5">
        <f t="shared" si="10"/>
        <v>0.83148148148148149</v>
      </c>
      <c r="R73" s="10">
        <f t="shared" si="11"/>
        <v>0.66518518518518521</v>
      </c>
      <c r="S73" s="10">
        <f t="shared" si="12"/>
        <v>-0.36518518518518522</v>
      </c>
      <c r="T73" s="10">
        <f t="shared" si="18"/>
        <v>66.777530864197544</v>
      </c>
      <c r="V73" s="14">
        <v>566.5</v>
      </c>
      <c r="W73" s="5">
        <f t="shared" si="13"/>
        <v>54.471153846153847</v>
      </c>
      <c r="X73" s="5">
        <f t="shared" si="19"/>
        <v>66002</v>
      </c>
      <c r="AA73" s="5">
        <v>9.5940149431005608</v>
      </c>
    </row>
    <row r="74" spans="1:27" s="5" customFormat="1" x14ac:dyDescent="0.25">
      <c r="A74" s="69"/>
      <c r="B74" s="6"/>
      <c r="C74" s="7">
        <v>41952</v>
      </c>
      <c r="D74" s="5">
        <v>9.8000000000000007</v>
      </c>
      <c r="E74" s="5">
        <v>8.1</v>
      </c>
      <c r="F74" s="5">
        <v>12.1</v>
      </c>
      <c r="G74" s="5">
        <f t="shared" si="15"/>
        <v>980.3000000000003</v>
      </c>
      <c r="J74" s="5">
        <v>0</v>
      </c>
      <c r="K74" s="5">
        <f t="shared" si="16"/>
        <v>109.99999999999999</v>
      </c>
      <c r="L74" s="5">
        <v>0.7</v>
      </c>
      <c r="M74" s="5">
        <f t="shared" si="17"/>
        <v>127.10000000000004</v>
      </c>
      <c r="N74" s="9">
        <f t="shared" si="14"/>
        <v>-0.7</v>
      </c>
      <c r="O74" s="5">
        <f t="shared" si="20"/>
        <v>53.099999999999994</v>
      </c>
      <c r="P74" s="5">
        <v>69</v>
      </c>
      <c r="Q74" s="5">
        <f t="shared" si="10"/>
        <v>0.83950617283950613</v>
      </c>
      <c r="R74" s="10">
        <f t="shared" si="11"/>
        <v>0.58765432098765424</v>
      </c>
      <c r="S74" s="10">
        <f t="shared" si="12"/>
        <v>-0.58765432098765424</v>
      </c>
      <c r="T74" s="10">
        <f t="shared" si="18"/>
        <v>66.189876543209891</v>
      </c>
      <c r="V74" s="14">
        <v>481.5</v>
      </c>
      <c r="W74" s="5">
        <f t="shared" si="13"/>
        <v>49.132653061224488</v>
      </c>
      <c r="X74" s="5">
        <f t="shared" si="19"/>
        <v>66483.5</v>
      </c>
      <c r="AA74" s="5">
        <v>9.5436501741186905</v>
      </c>
    </row>
    <row r="75" spans="1:27" s="5" customFormat="1" x14ac:dyDescent="0.25">
      <c r="A75" s="69"/>
      <c r="B75" s="6"/>
      <c r="C75" s="7">
        <v>41953</v>
      </c>
      <c r="D75" s="5">
        <v>7.9</v>
      </c>
      <c r="E75" s="5">
        <v>5.9</v>
      </c>
      <c r="F75" s="5">
        <v>10.7</v>
      </c>
      <c r="G75" s="5">
        <f t="shared" si="15"/>
        <v>988.20000000000027</v>
      </c>
      <c r="J75" s="5">
        <v>0</v>
      </c>
      <c r="K75" s="5">
        <f t="shared" si="16"/>
        <v>109.99999999999999</v>
      </c>
      <c r="L75" s="5">
        <v>0.7</v>
      </c>
      <c r="M75" s="5">
        <f t="shared" si="17"/>
        <v>127.80000000000004</v>
      </c>
      <c r="N75" s="9">
        <f t="shared" si="14"/>
        <v>-0.7</v>
      </c>
      <c r="O75" s="5">
        <f t="shared" si="20"/>
        <v>52.399999999999991</v>
      </c>
      <c r="P75" s="5">
        <v>70</v>
      </c>
      <c r="Q75" s="5">
        <f t="shared" si="10"/>
        <v>0.84753086419753076</v>
      </c>
      <c r="R75" s="10">
        <f t="shared" si="11"/>
        <v>0.59327160493827147</v>
      </c>
      <c r="S75" s="10">
        <f t="shared" si="12"/>
        <v>-0.59327160493827147</v>
      </c>
      <c r="T75" s="10">
        <f t="shared" si="18"/>
        <v>65.596604938271625</v>
      </c>
      <c r="V75" s="14">
        <v>357.2</v>
      </c>
      <c r="W75" s="5">
        <f t="shared" si="13"/>
        <v>45.215189873417721</v>
      </c>
      <c r="X75" s="5">
        <f t="shared" si="19"/>
        <v>66840.7</v>
      </c>
      <c r="AA75" s="5">
        <v>9.49383801928761</v>
      </c>
    </row>
    <row r="76" spans="1:27" s="5" customFormat="1" x14ac:dyDescent="0.25">
      <c r="A76" s="69"/>
      <c r="B76" s="6"/>
      <c r="C76" s="7">
        <v>41954</v>
      </c>
      <c r="D76" s="5">
        <v>10.1</v>
      </c>
      <c r="E76" s="5">
        <v>5.3</v>
      </c>
      <c r="F76" s="5">
        <v>15.3</v>
      </c>
      <c r="G76" s="5">
        <f t="shared" si="15"/>
        <v>998.3000000000003</v>
      </c>
      <c r="J76" s="5">
        <v>2.4</v>
      </c>
      <c r="K76" s="5">
        <f t="shared" si="16"/>
        <v>112.39999999999999</v>
      </c>
      <c r="L76" s="5">
        <v>1.2</v>
      </c>
      <c r="M76" s="5">
        <f t="shared" si="17"/>
        <v>129.00000000000003</v>
      </c>
      <c r="N76" s="5">
        <f t="shared" si="14"/>
        <v>1.2</v>
      </c>
      <c r="O76" s="5">
        <f t="shared" si="20"/>
        <v>53.599999999999994</v>
      </c>
      <c r="P76" s="5">
        <v>71</v>
      </c>
      <c r="Q76" s="5">
        <f t="shared" si="10"/>
        <v>0.85555555555555551</v>
      </c>
      <c r="R76" s="10">
        <f t="shared" si="11"/>
        <v>1.0266666666666666</v>
      </c>
      <c r="S76" s="10">
        <f t="shared" si="12"/>
        <v>1.3733333333333333</v>
      </c>
      <c r="T76" s="10">
        <f t="shared" si="18"/>
        <v>66.96993827160496</v>
      </c>
      <c r="V76" s="14">
        <v>660.4</v>
      </c>
      <c r="W76" s="5">
        <f t="shared" si="13"/>
        <v>65.386138613861391</v>
      </c>
      <c r="X76" s="5">
        <f t="shared" si="19"/>
        <v>67501.099999999991</v>
      </c>
      <c r="AA76" s="5">
        <v>9.4446034833460892</v>
      </c>
    </row>
    <row r="77" spans="1:27" s="5" customFormat="1" x14ac:dyDescent="0.25">
      <c r="A77" s="69"/>
      <c r="B77" s="6"/>
      <c r="C77" s="7">
        <v>41955</v>
      </c>
      <c r="D77" s="5">
        <v>9.9</v>
      </c>
      <c r="E77" s="5">
        <v>8.1</v>
      </c>
      <c r="F77" s="5">
        <v>13.2</v>
      </c>
      <c r="G77" s="5">
        <f t="shared" si="15"/>
        <v>1008.2000000000003</v>
      </c>
      <c r="J77" s="5">
        <v>0</v>
      </c>
      <c r="K77" s="5">
        <f t="shared" si="16"/>
        <v>112.39999999999999</v>
      </c>
      <c r="L77" s="5">
        <v>1</v>
      </c>
      <c r="M77" s="5">
        <f t="shared" si="17"/>
        <v>130.00000000000003</v>
      </c>
      <c r="N77" s="9">
        <f t="shared" si="14"/>
        <v>-1</v>
      </c>
      <c r="O77" s="5">
        <f t="shared" si="20"/>
        <v>52.599999999999994</v>
      </c>
      <c r="P77" s="5">
        <v>72</v>
      </c>
      <c r="Q77" s="5">
        <f t="shared" si="10"/>
        <v>0.86358024691358026</v>
      </c>
      <c r="R77" s="10">
        <f t="shared" si="11"/>
        <v>0.86358024691358026</v>
      </c>
      <c r="S77" s="10">
        <f t="shared" si="12"/>
        <v>-0.86358024691358026</v>
      </c>
      <c r="T77" s="10">
        <f t="shared" si="18"/>
        <v>66.106358024691374</v>
      </c>
      <c r="V77" s="14">
        <v>611.1</v>
      </c>
      <c r="W77" s="5">
        <f t="shared" si="13"/>
        <v>61.727272727272727</v>
      </c>
      <c r="X77" s="5">
        <f t="shared" si="19"/>
        <v>68112.2</v>
      </c>
      <c r="AA77" s="5">
        <v>9.39597220906324</v>
      </c>
    </row>
    <row r="78" spans="1:27" s="5" customFormat="1" x14ac:dyDescent="0.25">
      <c r="A78" s="69"/>
      <c r="B78" s="6"/>
      <c r="C78" s="7">
        <v>41956</v>
      </c>
      <c r="D78" s="5">
        <v>9.6</v>
      </c>
      <c r="E78" s="5">
        <v>6</v>
      </c>
      <c r="F78" s="5">
        <v>13.5</v>
      </c>
      <c r="G78" s="5">
        <f t="shared" si="15"/>
        <v>1017.8000000000003</v>
      </c>
      <c r="J78" s="5">
        <v>0</v>
      </c>
      <c r="K78" s="5">
        <f t="shared" si="16"/>
        <v>112.39999999999999</v>
      </c>
      <c r="L78" s="5">
        <v>0.8</v>
      </c>
      <c r="M78" s="5">
        <f t="shared" si="17"/>
        <v>130.80000000000004</v>
      </c>
      <c r="N78" s="9">
        <f t="shared" si="14"/>
        <v>-0.8</v>
      </c>
      <c r="O78" s="5">
        <f t="shared" si="20"/>
        <v>51.8</v>
      </c>
      <c r="P78" s="5">
        <v>73</v>
      </c>
      <c r="Q78" s="5">
        <f t="shared" si="10"/>
        <v>0.8716049382716049</v>
      </c>
      <c r="R78" s="10">
        <f t="shared" si="11"/>
        <v>0.69728395061728399</v>
      </c>
      <c r="S78" s="10">
        <f t="shared" si="12"/>
        <v>-0.69728395061728399</v>
      </c>
      <c r="T78" s="10">
        <f t="shared" si="18"/>
        <v>65.409074074074084</v>
      </c>
      <c r="V78" s="14">
        <v>487.2</v>
      </c>
      <c r="W78" s="5">
        <f t="shared" si="13"/>
        <v>50.75</v>
      </c>
      <c r="X78" s="5">
        <f t="shared" si="19"/>
        <v>68599.399999999994</v>
      </c>
      <c r="AA78" s="5">
        <v>9.3479704613550005</v>
      </c>
    </row>
    <row r="79" spans="1:27" s="5" customFormat="1" x14ac:dyDescent="0.25">
      <c r="A79" s="69"/>
      <c r="B79" s="6"/>
      <c r="C79" s="7">
        <v>41957</v>
      </c>
      <c r="D79" s="5">
        <v>9.3000000000000007</v>
      </c>
      <c r="E79" s="5">
        <v>7.8</v>
      </c>
      <c r="F79" s="5">
        <v>10.1</v>
      </c>
      <c r="G79" s="5">
        <f t="shared" si="15"/>
        <v>1027.1000000000004</v>
      </c>
      <c r="J79" s="5">
        <v>23</v>
      </c>
      <c r="K79" s="5">
        <f t="shared" si="16"/>
        <v>135.39999999999998</v>
      </c>
      <c r="L79" s="5">
        <v>0.3</v>
      </c>
      <c r="M79" s="5">
        <f t="shared" si="17"/>
        <v>131.10000000000005</v>
      </c>
      <c r="N79" s="5">
        <f t="shared" si="14"/>
        <v>22.7</v>
      </c>
      <c r="O79" s="5">
        <f t="shared" si="20"/>
        <v>74.5</v>
      </c>
      <c r="P79" s="5">
        <v>74</v>
      </c>
      <c r="Q79" s="5">
        <f t="shared" ref="Q79:Q94" si="21">0.35+((P79-8)/81)*(1-0.35)</f>
        <v>0.87962962962962965</v>
      </c>
      <c r="R79" s="10">
        <f t="shared" si="11"/>
        <v>0.2638888888888889</v>
      </c>
      <c r="S79" s="10">
        <f t="shared" si="12"/>
        <v>22.736111111111111</v>
      </c>
      <c r="T79" s="10">
        <f t="shared" si="18"/>
        <v>88.145185185185198</v>
      </c>
      <c r="V79" s="14">
        <v>120.5</v>
      </c>
      <c r="W79" s="5">
        <f t="shared" si="13"/>
        <v>12.956989247311826</v>
      </c>
      <c r="X79" s="5">
        <f t="shared" si="19"/>
        <v>68719.899999999994</v>
      </c>
      <c r="AA79" s="5">
        <v>9.3006251081541098</v>
      </c>
    </row>
    <row r="80" spans="1:27" s="5" customFormat="1" x14ac:dyDescent="0.25">
      <c r="A80" s="69"/>
      <c r="B80" s="6"/>
      <c r="C80" s="7">
        <v>41958</v>
      </c>
      <c r="D80" s="5">
        <v>9.6999999999999993</v>
      </c>
      <c r="E80" s="5">
        <v>9.1999999999999993</v>
      </c>
      <c r="F80" s="5">
        <v>11.1</v>
      </c>
      <c r="G80" s="5">
        <f t="shared" si="15"/>
        <v>1036.8000000000004</v>
      </c>
      <c r="J80" s="5">
        <v>0.5</v>
      </c>
      <c r="K80" s="5">
        <f t="shared" si="16"/>
        <v>135.89999999999998</v>
      </c>
      <c r="L80" s="5">
        <v>0.3</v>
      </c>
      <c r="M80" s="5">
        <f t="shared" si="17"/>
        <v>131.40000000000006</v>
      </c>
      <c r="N80" s="5">
        <f t="shared" si="14"/>
        <v>0.2</v>
      </c>
      <c r="O80" s="5">
        <f t="shared" si="20"/>
        <v>74.7</v>
      </c>
      <c r="P80" s="5">
        <v>75</v>
      </c>
      <c r="Q80" s="5">
        <f t="shared" si="21"/>
        <v>0.88765432098765429</v>
      </c>
      <c r="R80" s="10">
        <f t="shared" si="11"/>
        <v>0.26629629629629625</v>
      </c>
      <c r="S80" s="10">
        <f t="shared" si="12"/>
        <v>0.23370370370370375</v>
      </c>
      <c r="T80" s="10">
        <f t="shared" si="18"/>
        <v>88.378888888888909</v>
      </c>
      <c r="V80" s="14">
        <v>164.7</v>
      </c>
      <c r="W80" s="5">
        <f t="shared" si="13"/>
        <v>16.979381443298969</v>
      </c>
      <c r="X80" s="5">
        <f t="shared" si="19"/>
        <v>68884.599999999991</v>
      </c>
      <c r="AA80" s="5">
        <v>9.25396359787851</v>
      </c>
    </row>
    <row r="81" spans="1:27" s="5" customFormat="1" x14ac:dyDescent="0.25">
      <c r="A81" s="69"/>
      <c r="B81" s="6"/>
      <c r="C81" s="7">
        <v>41959</v>
      </c>
      <c r="D81" s="5">
        <v>9</v>
      </c>
      <c r="E81" s="5">
        <v>8.5</v>
      </c>
      <c r="F81" s="5">
        <v>9.8000000000000007</v>
      </c>
      <c r="G81" s="5">
        <f t="shared" si="15"/>
        <v>1045.8000000000004</v>
      </c>
      <c r="J81" s="5">
        <v>8</v>
      </c>
      <c r="K81" s="5">
        <f t="shared" si="16"/>
        <v>143.89999999999998</v>
      </c>
      <c r="L81" s="5">
        <v>0.4</v>
      </c>
      <c r="M81" s="5">
        <f t="shared" si="17"/>
        <v>131.80000000000007</v>
      </c>
      <c r="N81" s="5">
        <f t="shared" si="14"/>
        <v>7.6</v>
      </c>
      <c r="O81" s="5">
        <f t="shared" si="20"/>
        <v>82.3</v>
      </c>
      <c r="P81" s="5">
        <v>76</v>
      </c>
      <c r="Q81" s="5">
        <f t="shared" si="21"/>
        <v>0.89567901234567893</v>
      </c>
      <c r="R81" s="10">
        <f t="shared" si="11"/>
        <v>0.35827160493827159</v>
      </c>
      <c r="S81" s="10">
        <f t="shared" si="12"/>
        <v>7.6417283950617287</v>
      </c>
      <c r="T81" s="10">
        <f t="shared" si="18"/>
        <v>96.020617283950642</v>
      </c>
      <c r="V81" s="14">
        <v>170.9</v>
      </c>
      <c r="W81" s="5">
        <f t="shared" si="13"/>
        <v>18.988888888888891</v>
      </c>
      <c r="X81" s="5">
        <f t="shared" si="19"/>
        <v>69055.499999999985</v>
      </c>
      <c r="AA81" s="5">
        <v>9.2080139333511006</v>
      </c>
    </row>
    <row r="82" spans="1:27" s="5" customFormat="1" x14ac:dyDescent="0.25">
      <c r="A82" s="69"/>
      <c r="B82" s="6"/>
      <c r="C82" s="7">
        <v>41960</v>
      </c>
      <c r="D82" s="5">
        <v>8.4</v>
      </c>
      <c r="E82" s="5">
        <v>8</v>
      </c>
      <c r="F82" s="5">
        <v>9.6999999999999993</v>
      </c>
      <c r="G82" s="5">
        <f t="shared" si="15"/>
        <v>1054.2000000000005</v>
      </c>
      <c r="J82" s="5">
        <v>2.5</v>
      </c>
      <c r="K82" s="5">
        <f t="shared" si="16"/>
        <v>146.39999999999998</v>
      </c>
      <c r="L82" s="5">
        <v>0.4</v>
      </c>
      <c r="M82" s="5">
        <f t="shared" si="17"/>
        <v>132.20000000000007</v>
      </c>
      <c r="N82" s="5">
        <f t="shared" si="14"/>
        <v>2.1</v>
      </c>
      <c r="O82" s="5">
        <f t="shared" si="20"/>
        <v>84.399999999999991</v>
      </c>
      <c r="P82" s="5">
        <v>77</v>
      </c>
      <c r="Q82" s="5">
        <f t="shared" si="21"/>
        <v>0.90370370370370368</v>
      </c>
      <c r="R82" s="10">
        <f t="shared" si="11"/>
        <v>0.36148148148148151</v>
      </c>
      <c r="S82" s="10">
        <f t="shared" si="12"/>
        <v>2.1385185185185183</v>
      </c>
      <c r="T82" s="10">
        <f t="shared" si="18"/>
        <v>98.159135802469166</v>
      </c>
      <c r="V82" s="14">
        <v>255</v>
      </c>
      <c r="W82" s="5">
        <f t="shared" si="13"/>
        <v>30.357142857142854</v>
      </c>
      <c r="X82" s="5">
        <f t="shared" si="19"/>
        <v>69310.499999999985</v>
      </c>
      <c r="AA82" s="5">
        <v>9.1628046420343594</v>
      </c>
    </row>
    <row r="83" spans="1:27" s="5" customFormat="1" x14ac:dyDescent="0.25">
      <c r="A83" s="69"/>
      <c r="B83" s="6"/>
      <c r="C83" s="7">
        <v>41961</v>
      </c>
      <c r="D83" s="5">
        <v>7.8</v>
      </c>
      <c r="E83" s="5">
        <v>7.5</v>
      </c>
      <c r="F83" s="5">
        <v>9.5</v>
      </c>
      <c r="G83" s="5">
        <f t="shared" si="15"/>
        <v>1062.0000000000005</v>
      </c>
      <c r="J83" s="5">
        <v>0.7</v>
      </c>
      <c r="K83" s="5">
        <f t="shared" si="16"/>
        <v>147.09999999999997</v>
      </c>
      <c r="L83" s="5">
        <v>0.3</v>
      </c>
      <c r="M83" s="5">
        <f t="shared" si="17"/>
        <v>132.50000000000009</v>
      </c>
      <c r="N83" s="5">
        <f t="shared" si="14"/>
        <v>0.39999999999999997</v>
      </c>
      <c r="O83" s="5">
        <f t="shared" si="20"/>
        <v>84.8</v>
      </c>
      <c r="P83" s="5">
        <v>78</v>
      </c>
      <c r="Q83" s="5">
        <f t="shared" si="21"/>
        <v>0.91172839506172831</v>
      </c>
      <c r="R83" s="10">
        <f t="shared" si="11"/>
        <v>0.27351851851851849</v>
      </c>
      <c r="S83" s="10">
        <f t="shared" si="12"/>
        <v>0.42648148148148146</v>
      </c>
      <c r="T83" s="10">
        <f t="shared" si="18"/>
        <v>98.585617283950654</v>
      </c>
      <c r="V83" s="14">
        <v>149.1</v>
      </c>
      <c r="W83" s="5">
        <f t="shared" si="13"/>
        <v>19.115384615384617</v>
      </c>
      <c r="X83" s="5">
        <f t="shared" si="19"/>
        <v>69459.599999999991</v>
      </c>
      <c r="AA83" s="5">
        <v>9.1183647424560803</v>
      </c>
    </row>
    <row r="84" spans="1:27" s="5" customFormat="1" x14ac:dyDescent="0.25">
      <c r="A84" s="69"/>
      <c r="B84" s="6"/>
      <c r="C84" s="7">
        <v>41962</v>
      </c>
      <c r="D84" s="5">
        <v>5.7</v>
      </c>
      <c r="E84" s="15">
        <v>3.6</v>
      </c>
      <c r="F84" s="5">
        <v>7.2</v>
      </c>
      <c r="G84" s="5">
        <f t="shared" si="15"/>
        <v>1067.7000000000005</v>
      </c>
      <c r="J84" s="5">
        <v>0.2</v>
      </c>
      <c r="K84" s="5">
        <f t="shared" si="16"/>
        <v>147.29999999999995</v>
      </c>
      <c r="L84" s="5">
        <v>0.3</v>
      </c>
      <c r="M84" s="5">
        <f t="shared" si="17"/>
        <v>132.8000000000001</v>
      </c>
      <c r="N84" s="9">
        <f t="shared" si="14"/>
        <v>-9.9999999999999978E-2</v>
      </c>
      <c r="O84" s="5">
        <f t="shared" si="20"/>
        <v>84.7</v>
      </c>
      <c r="P84" s="5">
        <v>79</v>
      </c>
      <c r="Q84" s="5">
        <f t="shared" si="21"/>
        <v>0.91975308641975306</v>
      </c>
      <c r="R84" s="10">
        <f t="shared" si="11"/>
        <v>0.27592592592592591</v>
      </c>
      <c r="S84" s="10">
        <f t="shared" si="12"/>
        <v>-7.5925925925925897E-2</v>
      </c>
      <c r="T84" s="10">
        <f t="shared" si="18"/>
        <v>98.509691358024725</v>
      </c>
      <c r="V84" s="14">
        <v>228.7</v>
      </c>
      <c r="W84" s="5">
        <f t="shared" si="13"/>
        <v>40.122807017543856</v>
      </c>
      <c r="X84" s="5">
        <f t="shared" si="19"/>
        <v>69688.299999999988</v>
      </c>
      <c r="AA84" s="5">
        <v>9.0747237067178705</v>
      </c>
    </row>
    <row r="85" spans="1:27" s="5" customFormat="1" x14ac:dyDescent="0.25">
      <c r="A85" s="69"/>
      <c r="B85" s="6"/>
      <c r="C85" s="7">
        <v>41963</v>
      </c>
      <c r="D85" s="5">
        <v>7.2</v>
      </c>
      <c r="E85" s="5">
        <v>5.3</v>
      </c>
      <c r="F85" s="5">
        <v>8.5</v>
      </c>
      <c r="G85" s="5">
        <f t="shared" si="15"/>
        <v>1074.9000000000005</v>
      </c>
      <c r="J85" s="5">
        <v>0</v>
      </c>
      <c r="K85" s="5">
        <f t="shared" si="16"/>
        <v>147.29999999999995</v>
      </c>
      <c r="L85" s="5">
        <v>0.4</v>
      </c>
      <c r="M85" s="5">
        <f t="shared" si="17"/>
        <v>133.2000000000001</v>
      </c>
      <c r="N85" s="9">
        <f t="shared" si="14"/>
        <v>-0.4</v>
      </c>
      <c r="O85" s="5">
        <f t="shared" si="20"/>
        <v>84.3</v>
      </c>
      <c r="P85" s="5">
        <v>80</v>
      </c>
      <c r="Q85" s="5">
        <f t="shared" si="21"/>
        <v>0.9277777777777777</v>
      </c>
      <c r="R85" s="10">
        <f t="shared" si="11"/>
        <v>0.37111111111111111</v>
      </c>
      <c r="S85" s="10">
        <f t="shared" si="12"/>
        <v>-0.37111111111111111</v>
      </c>
      <c r="T85" s="10">
        <f t="shared" si="18"/>
        <v>98.138580246913619</v>
      </c>
      <c r="V85" s="14">
        <v>434.7</v>
      </c>
      <c r="W85" s="5">
        <f t="shared" si="13"/>
        <v>60.375</v>
      </c>
      <c r="X85" s="5">
        <f t="shared" si="19"/>
        <v>70122.999999999985</v>
      </c>
      <c r="AA85" s="5">
        <v>9.0319114189963194</v>
      </c>
    </row>
    <row r="86" spans="1:27" s="5" customFormat="1" x14ac:dyDescent="0.25">
      <c r="A86" s="69"/>
      <c r="B86" s="6"/>
      <c r="C86" s="7">
        <v>41964</v>
      </c>
      <c r="D86" s="5">
        <v>8.6999999999999993</v>
      </c>
      <c r="E86" s="5">
        <v>6.9</v>
      </c>
      <c r="F86" s="5">
        <v>11.7</v>
      </c>
      <c r="G86" s="5">
        <f t="shared" si="15"/>
        <v>1083.6000000000006</v>
      </c>
      <c r="J86" s="5">
        <v>0.1</v>
      </c>
      <c r="K86" s="5">
        <f t="shared" si="16"/>
        <v>147.39999999999995</v>
      </c>
      <c r="L86" s="5">
        <v>0.7</v>
      </c>
      <c r="M86" s="5">
        <f t="shared" si="17"/>
        <v>133.90000000000009</v>
      </c>
      <c r="N86" s="9">
        <f t="shared" si="14"/>
        <v>-0.6</v>
      </c>
      <c r="O86" s="5">
        <f t="shared" si="20"/>
        <v>83.7</v>
      </c>
      <c r="P86" s="5">
        <v>81</v>
      </c>
      <c r="Q86" s="5">
        <f t="shared" si="21"/>
        <v>0.93580246913580245</v>
      </c>
      <c r="R86" s="10">
        <f t="shared" si="11"/>
        <v>0.65506172839506172</v>
      </c>
      <c r="S86" s="10">
        <f t="shared" si="12"/>
        <v>-0.55506172839506174</v>
      </c>
      <c r="T86" s="10">
        <f t="shared" si="18"/>
        <v>97.583518518518559</v>
      </c>
      <c r="V86" s="14">
        <v>386.6</v>
      </c>
      <c r="W86" s="5">
        <f t="shared" si="13"/>
        <v>44.436781609195407</v>
      </c>
      <c r="X86" s="5">
        <f t="shared" si="19"/>
        <v>70509.599999999991</v>
      </c>
      <c r="AA86" s="5">
        <v>8.9899581299674605</v>
      </c>
    </row>
    <row r="87" spans="1:27" s="5" customFormat="1" x14ac:dyDescent="0.25">
      <c r="A87" s="69"/>
      <c r="B87" s="6"/>
      <c r="C87" s="7">
        <v>41965</v>
      </c>
      <c r="D87" s="5">
        <v>9.6</v>
      </c>
      <c r="E87" s="5">
        <v>6.4</v>
      </c>
      <c r="F87" s="5">
        <v>13.5</v>
      </c>
      <c r="G87" s="5">
        <f t="shared" si="15"/>
        <v>1093.2000000000005</v>
      </c>
      <c r="J87" s="5">
        <v>0</v>
      </c>
      <c r="K87" s="5">
        <f t="shared" si="16"/>
        <v>147.39999999999995</v>
      </c>
      <c r="L87" s="5">
        <v>0.7</v>
      </c>
      <c r="M87" s="5">
        <f t="shared" si="17"/>
        <v>134.60000000000008</v>
      </c>
      <c r="N87" s="9">
        <f t="shared" si="14"/>
        <v>-0.7</v>
      </c>
      <c r="O87" s="5">
        <f t="shared" si="20"/>
        <v>83</v>
      </c>
      <c r="P87" s="5">
        <v>82</v>
      </c>
      <c r="Q87" s="5">
        <f t="shared" si="21"/>
        <v>0.94382716049382709</v>
      </c>
      <c r="R87" s="10">
        <f t="shared" si="11"/>
        <v>0.66067901234567894</v>
      </c>
      <c r="S87" s="10">
        <f t="shared" si="12"/>
        <v>-0.66067901234567894</v>
      </c>
      <c r="T87" s="10">
        <f t="shared" si="18"/>
        <v>96.922839506172878</v>
      </c>
      <c r="V87" s="14">
        <v>426</v>
      </c>
      <c r="W87" s="5">
        <f t="shared" si="13"/>
        <v>44.375</v>
      </c>
      <c r="X87" s="5">
        <f t="shared" si="19"/>
        <v>70935.599999999991</v>
      </c>
      <c r="AA87" s="5">
        <v>8.9488944071088792</v>
      </c>
    </row>
    <row r="88" spans="1:27" s="5" customFormat="1" x14ac:dyDescent="0.25">
      <c r="A88" s="69"/>
      <c r="B88" s="6"/>
      <c r="C88" s="7">
        <v>41966</v>
      </c>
      <c r="D88" s="5">
        <v>11.2</v>
      </c>
      <c r="E88" s="5">
        <v>8.1</v>
      </c>
      <c r="F88" s="5">
        <v>14.8</v>
      </c>
      <c r="G88" s="5">
        <f t="shared" si="15"/>
        <v>1104.4000000000005</v>
      </c>
      <c r="J88" s="5">
        <v>0</v>
      </c>
      <c r="K88" s="5">
        <f t="shared" si="16"/>
        <v>147.39999999999995</v>
      </c>
      <c r="L88" s="5">
        <v>0.9</v>
      </c>
      <c r="M88" s="5">
        <f t="shared" si="17"/>
        <v>135.50000000000009</v>
      </c>
      <c r="N88" s="9">
        <f t="shared" si="14"/>
        <v>-0.9</v>
      </c>
      <c r="O88" s="5">
        <f t="shared" si="20"/>
        <v>82.1</v>
      </c>
      <c r="P88" s="5">
        <v>83</v>
      </c>
      <c r="Q88" s="5">
        <f t="shared" si="21"/>
        <v>0.95185185185185184</v>
      </c>
      <c r="R88" s="10">
        <f t="shared" si="11"/>
        <v>0.85666666666666669</v>
      </c>
      <c r="S88" s="10">
        <f t="shared" si="12"/>
        <v>-0.85666666666666669</v>
      </c>
      <c r="T88" s="10">
        <f t="shared" si="18"/>
        <v>96.066172839506208</v>
      </c>
      <c r="V88" s="14">
        <v>420.8</v>
      </c>
      <c r="W88" s="5">
        <f t="shared" si="13"/>
        <v>37.571428571428577</v>
      </c>
      <c r="X88" s="5">
        <f t="shared" si="19"/>
        <v>71356.399999999994</v>
      </c>
      <c r="AA88" s="5">
        <v>8.9087510808605508</v>
      </c>
    </row>
    <row r="89" spans="1:27" s="5" customFormat="1" x14ac:dyDescent="0.25">
      <c r="A89" s="69"/>
      <c r="B89" s="6"/>
      <c r="C89" s="7">
        <v>41967</v>
      </c>
      <c r="D89" s="5">
        <v>10.3</v>
      </c>
      <c r="E89" s="5">
        <v>10.1</v>
      </c>
      <c r="F89" s="5">
        <v>10.4</v>
      </c>
      <c r="G89" s="5">
        <f t="shared" si="15"/>
        <v>1114.7000000000005</v>
      </c>
      <c r="J89" s="5">
        <v>0</v>
      </c>
      <c r="K89" s="5">
        <f t="shared" si="16"/>
        <v>147.39999999999995</v>
      </c>
      <c r="L89" s="5">
        <v>0.4</v>
      </c>
      <c r="M89" s="5">
        <f t="shared" si="17"/>
        <v>135.90000000000009</v>
      </c>
      <c r="N89" s="9">
        <f t="shared" si="14"/>
        <v>-0.4</v>
      </c>
      <c r="O89" s="5">
        <f t="shared" si="20"/>
        <v>81.699999999999989</v>
      </c>
      <c r="P89" s="5">
        <v>84</v>
      </c>
      <c r="Q89" s="5">
        <f t="shared" si="21"/>
        <v>0.95987654320987648</v>
      </c>
      <c r="R89" s="10">
        <f t="shared" si="11"/>
        <v>0.38395061728395063</v>
      </c>
      <c r="S89" s="10">
        <f t="shared" si="12"/>
        <v>-0.38395061728395063</v>
      </c>
      <c r="T89" s="10">
        <f t="shared" si="18"/>
        <v>95.682222222222265</v>
      </c>
      <c r="V89" s="14">
        <v>126.1</v>
      </c>
      <c r="W89" s="5">
        <f t="shared" si="13"/>
        <v>12.242718446601941</v>
      </c>
      <c r="X89" s="5">
        <f t="shared" si="19"/>
        <v>71482.5</v>
      </c>
      <c r="AA89" s="5">
        <v>8.8695591866547794</v>
      </c>
    </row>
    <row r="90" spans="1:27" s="5" customFormat="1" x14ac:dyDescent="0.25">
      <c r="A90" s="69"/>
      <c r="B90" s="6"/>
      <c r="C90" s="7">
        <v>41968</v>
      </c>
      <c r="D90" s="5">
        <v>9.8000000000000007</v>
      </c>
      <c r="E90" s="5">
        <v>8.9</v>
      </c>
      <c r="F90" s="5">
        <v>10.6</v>
      </c>
      <c r="G90" s="5">
        <f t="shared" si="15"/>
        <v>1124.5000000000005</v>
      </c>
      <c r="J90" s="5">
        <v>8</v>
      </c>
      <c r="K90" s="5">
        <f t="shared" si="16"/>
        <v>155.39999999999995</v>
      </c>
      <c r="L90" s="5">
        <v>0.4</v>
      </c>
      <c r="M90" s="5">
        <f t="shared" si="17"/>
        <v>136.3000000000001</v>
      </c>
      <c r="N90" s="5">
        <f t="shared" si="14"/>
        <v>7.6</v>
      </c>
      <c r="O90" s="5">
        <f t="shared" si="20"/>
        <v>89.299999999999983</v>
      </c>
      <c r="P90" s="5">
        <v>85</v>
      </c>
      <c r="Q90" s="5">
        <f t="shared" si="21"/>
        <v>0.96790123456790123</v>
      </c>
      <c r="R90" s="10">
        <f t="shared" si="11"/>
        <v>0.3871604938271605</v>
      </c>
      <c r="S90" s="10">
        <f t="shared" si="12"/>
        <v>7.6128395061728398</v>
      </c>
      <c r="T90" s="10">
        <f t="shared" si="18"/>
        <v>103.2950617283951</v>
      </c>
      <c r="V90" s="14">
        <v>84.6</v>
      </c>
      <c r="W90" s="5">
        <f t="shared" si="13"/>
        <v>8.6326530612244881</v>
      </c>
      <c r="X90" s="5">
        <f t="shared" si="19"/>
        <v>71567.100000000006</v>
      </c>
      <c r="AA90" s="5">
        <v>8.8313499028578306</v>
      </c>
    </row>
    <row r="91" spans="1:27" s="5" customFormat="1" x14ac:dyDescent="0.25">
      <c r="A91" s="69"/>
      <c r="B91" s="6"/>
      <c r="C91" s="7">
        <v>41969</v>
      </c>
      <c r="D91" s="5">
        <v>10.8</v>
      </c>
      <c r="E91" s="5">
        <v>9.5</v>
      </c>
      <c r="F91" s="5">
        <v>12.7</v>
      </c>
      <c r="G91" s="5">
        <f t="shared" si="15"/>
        <v>1135.3000000000004</v>
      </c>
      <c r="J91" s="5">
        <v>0.1</v>
      </c>
      <c r="K91" s="5">
        <f t="shared" si="16"/>
        <v>155.49999999999994</v>
      </c>
      <c r="L91" s="5">
        <v>0.3</v>
      </c>
      <c r="M91" s="5">
        <f t="shared" si="17"/>
        <v>136.60000000000011</v>
      </c>
      <c r="N91" s="9">
        <f t="shared" si="14"/>
        <v>-0.19999999999999998</v>
      </c>
      <c r="O91" s="5">
        <f t="shared" si="20"/>
        <v>89.09999999999998</v>
      </c>
      <c r="P91" s="5">
        <v>86</v>
      </c>
      <c r="Q91" s="5">
        <f t="shared" si="21"/>
        <v>0.97592592592592586</v>
      </c>
      <c r="R91" s="10">
        <f t="shared" si="11"/>
        <v>0.29277777777777775</v>
      </c>
      <c r="S91" s="10">
        <f t="shared" si="12"/>
        <v>-0.19277777777777774</v>
      </c>
      <c r="T91" s="10">
        <f t="shared" si="18"/>
        <v>103.10228395061732</v>
      </c>
      <c r="V91" s="14">
        <v>111.5</v>
      </c>
      <c r="W91" s="5">
        <f t="shared" si="13"/>
        <v>10.324074074074073</v>
      </c>
      <c r="X91" s="5">
        <f t="shared" si="19"/>
        <v>71678.600000000006</v>
      </c>
      <c r="AA91" s="5">
        <v>8.7941544847007993</v>
      </c>
    </row>
    <row r="92" spans="1:27" s="5" customFormat="1" x14ac:dyDescent="0.25">
      <c r="A92" s="69"/>
      <c r="B92" s="6"/>
      <c r="C92" s="7">
        <v>41970</v>
      </c>
      <c r="D92" s="5">
        <v>10</v>
      </c>
      <c r="E92" s="5">
        <v>8.4</v>
      </c>
      <c r="F92" s="5">
        <v>11.4</v>
      </c>
      <c r="G92" s="5">
        <f t="shared" si="15"/>
        <v>1145.3000000000004</v>
      </c>
      <c r="J92" s="5">
        <v>0.5</v>
      </c>
      <c r="K92" s="5">
        <f t="shared" si="16"/>
        <v>155.99999999999994</v>
      </c>
      <c r="L92" s="5">
        <v>0.3</v>
      </c>
      <c r="M92" s="5">
        <f t="shared" si="17"/>
        <v>136.90000000000012</v>
      </c>
      <c r="N92" s="5">
        <f t="shared" si="14"/>
        <v>0.2</v>
      </c>
      <c r="O92" s="5">
        <f t="shared" si="20"/>
        <v>89.299999999999983</v>
      </c>
      <c r="P92" s="5">
        <v>87</v>
      </c>
      <c r="Q92" s="5">
        <f t="shared" si="21"/>
        <v>0.98395061728395061</v>
      </c>
      <c r="R92" s="10">
        <f t="shared" si="11"/>
        <v>0.29518518518518516</v>
      </c>
      <c r="S92" s="10">
        <f t="shared" si="12"/>
        <v>0.20481481481481484</v>
      </c>
      <c r="T92" s="10">
        <f t="shared" si="18"/>
        <v>103.30709876543213</v>
      </c>
      <c r="V92" s="14">
        <v>119.6</v>
      </c>
      <c r="W92" s="5">
        <f t="shared" si="13"/>
        <v>11.959999999999999</v>
      </c>
      <c r="X92" s="5">
        <f t="shared" si="19"/>
        <v>71798.200000000012</v>
      </c>
      <c r="AA92" s="5">
        <v>8.75800419431439</v>
      </c>
    </row>
    <row r="93" spans="1:27" s="5" customFormat="1" x14ac:dyDescent="0.25">
      <c r="A93" s="69"/>
      <c r="B93" s="6"/>
      <c r="C93" s="7">
        <v>41971</v>
      </c>
      <c r="D93" s="5">
        <v>10.6</v>
      </c>
      <c r="E93" s="5">
        <v>8.6</v>
      </c>
      <c r="F93" s="5">
        <v>13.5</v>
      </c>
      <c r="G93" s="5">
        <f t="shared" si="15"/>
        <v>1155.9000000000003</v>
      </c>
      <c r="J93" s="5">
        <v>0</v>
      </c>
      <c r="K93" s="5">
        <f t="shared" si="16"/>
        <v>155.99999999999994</v>
      </c>
      <c r="L93" s="5">
        <v>1.1000000000000001</v>
      </c>
      <c r="M93" s="5">
        <f t="shared" si="17"/>
        <v>138.00000000000011</v>
      </c>
      <c r="N93" s="9">
        <f t="shared" si="14"/>
        <v>-1.1000000000000001</v>
      </c>
      <c r="O93" s="5">
        <f t="shared" si="20"/>
        <v>88.199999999999989</v>
      </c>
      <c r="P93" s="5">
        <v>88</v>
      </c>
      <c r="Q93" s="5">
        <f t="shared" si="21"/>
        <v>0.99197530864197525</v>
      </c>
      <c r="R93" s="10">
        <f t="shared" si="11"/>
        <v>1.0911728395061728</v>
      </c>
      <c r="S93" s="10">
        <f t="shared" si="12"/>
        <v>-1.0911728395061728</v>
      </c>
      <c r="T93" s="10">
        <f t="shared" si="18"/>
        <v>102.21592592592596</v>
      </c>
      <c r="V93" s="14">
        <v>315.5</v>
      </c>
      <c r="W93" s="5">
        <f t="shared" si="13"/>
        <v>29.764150943396228</v>
      </c>
      <c r="X93" s="5">
        <f t="shared" si="19"/>
        <v>72113.700000000012</v>
      </c>
      <c r="AA93" s="5">
        <v>8.7229302270219904</v>
      </c>
    </row>
    <row r="94" spans="1:27" s="49" customFormat="1" ht="15.75" thickBot="1" x14ac:dyDescent="0.3">
      <c r="A94" s="69"/>
      <c r="B94" s="47"/>
      <c r="C94" s="48">
        <v>41972</v>
      </c>
      <c r="D94" s="49">
        <v>5.8</v>
      </c>
      <c r="E94" s="49">
        <v>5</v>
      </c>
      <c r="F94" s="49">
        <v>6.8</v>
      </c>
      <c r="G94" s="49">
        <f t="shared" si="15"/>
        <v>1161.7000000000003</v>
      </c>
      <c r="J94" s="49">
        <v>0</v>
      </c>
      <c r="K94" s="49">
        <f t="shared" si="16"/>
        <v>155.99999999999994</v>
      </c>
      <c r="L94" s="49">
        <v>1</v>
      </c>
      <c r="M94" s="49">
        <f t="shared" si="17"/>
        <v>139.00000000000011</v>
      </c>
      <c r="N94" s="49">
        <f t="shared" si="14"/>
        <v>-1</v>
      </c>
      <c r="O94" s="50">
        <f t="shared" si="20"/>
        <v>87.199999999999989</v>
      </c>
      <c r="P94" s="50">
        <v>89</v>
      </c>
      <c r="Q94" s="51">
        <f t="shared" si="21"/>
        <v>1</v>
      </c>
      <c r="R94" s="52">
        <f t="shared" si="11"/>
        <v>1</v>
      </c>
      <c r="S94" s="52">
        <f t="shared" si="12"/>
        <v>-1</v>
      </c>
      <c r="T94" s="53">
        <f t="shared" si="18"/>
        <v>101.21592592592596</v>
      </c>
      <c r="V94" s="54">
        <v>281.10000000000002</v>
      </c>
      <c r="W94" s="49">
        <f t="shared" si="13"/>
        <v>48.465517241379317</v>
      </c>
      <c r="X94" s="49">
        <f t="shared" si="19"/>
        <v>72394.800000000017</v>
      </c>
      <c r="AA94" s="50">
        <v>8.6889636340866598</v>
      </c>
    </row>
    <row r="95" spans="1:27" s="5" customFormat="1" ht="15" customHeight="1" x14ac:dyDescent="0.25">
      <c r="A95" s="70" t="s">
        <v>43</v>
      </c>
      <c r="B95" s="18"/>
      <c r="C95" s="7">
        <v>41973</v>
      </c>
      <c r="D95" s="15">
        <v>3.7</v>
      </c>
      <c r="E95" s="15">
        <v>3.2</v>
      </c>
      <c r="F95" s="5">
        <v>5.6</v>
      </c>
      <c r="G95" s="5">
        <f t="shared" si="15"/>
        <v>1165.4000000000003</v>
      </c>
      <c r="H95" s="5">
        <f>D95</f>
        <v>3.7</v>
      </c>
      <c r="I95" s="19" t="s">
        <v>27</v>
      </c>
      <c r="J95" s="5">
        <v>0.2</v>
      </c>
      <c r="K95" s="5">
        <f t="shared" si="16"/>
        <v>156.19999999999993</v>
      </c>
      <c r="L95" s="5">
        <v>0.8</v>
      </c>
      <c r="M95" s="5">
        <f t="shared" si="17"/>
        <v>139.80000000000013</v>
      </c>
      <c r="N95" s="9">
        <f t="shared" si="14"/>
        <v>-0.60000000000000009</v>
      </c>
      <c r="O95" s="5">
        <f t="shared" si="20"/>
        <v>86.6</v>
      </c>
      <c r="P95" s="5">
        <v>90</v>
      </c>
      <c r="Q95" s="5">
        <v>1</v>
      </c>
      <c r="R95" s="10">
        <f t="shared" si="11"/>
        <v>0.8</v>
      </c>
      <c r="S95" s="10">
        <f t="shared" si="12"/>
        <v>-0.60000000000000009</v>
      </c>
      <c r="T95" s="10">
        <f t="shared" si="18"/>
        <v>100.61592592592596</v>
      </c>
      <c r="U95" s="19" t="s">
        <v>28</v>
      </c>
      <c r="V95" s="14">
        <v>198</v>
      </c>
      <c r="W95" s="5">
        <f t="shared" si="13"/>
        <v>53.513513513513509</v>
      </c>
      <c r="X95" s="5">
        <f t="shared" si="19"/>
        <v>72592.800000000017</v>
      </c>
      <c r="Y95" s="5">
        <f>V95</f>
        <v>198</v>
      </c>
      <c r="Z95" s="19" t="s">
        <v>29</v>
      </c>
      <c r="AA95" s="5">
        <v>8.6561352421507003</v>
      </c>
    </row>
    <row r="96" spans="1:27" s="5" customFormat="1" x14ac:dyDescent="0.25">
      <c r="A96" s="70"/>
      <c r="B96" s="18"/>
      <c r="C96" s="7">
        <v>41974</v>
      </c>
      <c r="D96" s="15">
        <v>3.9</v>
      </c>
      <c r="E96" s="15">
        <v>3</v>
      </c>
      <c r="F96" s="5">
        <v>5.2</v>
      </c>
      <c r="G96" s="5">
        <f t="shared" si="15"/>
        <v>1169.3000000000004</v>
      </c>
      <c r="H96" s="5">
        <f>H95+D96</f>
        <v>7.6</v>
      </c>
      <c r="I96" s="5">
        <f>MIN(E95:E194)</f>
        <v>-5.8</v>
      </c>
      <c r="J96" s="5">
        <v>0.1</v>
      </c>
      <c r="K96" s="5">
        <f t="shared" si="16"/>
        <v>156.29999999999993</v>
      </c>
      <c r="L96" s="5">
        <v>0.5</v>
      </c>
      <c r="M96" s="5">
        <f t="shared" si="17"/>
        <v>140.30000000000013</v>
      </c>
      <c r="N96" s="9">
        <f t="shared" si="14"/>
        <v>-0.4</v>
      </c>
      <c r="O96" s="5">
        <f t="shared" si="20"/>
        <v>86.199999999999989</v>
      </c>
      <c r="P96" s="5">
        <v>91</v>
      </c>
      <c r="Q96" s="5">
        <v>1</v>
      </c>
      <c r="R96" s="10">
        <f t="shared" si="11"/>
        <v>0.5</v>
      </c>
      <c r="S96" s="10">
        <f t="shared" si="12"/>
        <v>-0.4</v>
      </c>
      <c r="T96" s="10">
        <f t="shared" si="18"/>
        <v>100.21592592592596</v>
      </c>
      <c r="U96" s="5">
        <v>57</v>
      </c>
      <c r="V96" s="14">
        <v>113.6</v>
      </c>
      <c r="W96" s="5">
        <f t="shared" si="13"/>
        <v>29.128205128205128</v>
      </c>
      <c r="X96" s="5">
        <f t="shared" si="19"/>
        <v>72706.400000000023</v>
      </c>
      <c r="Y96" s="5">
        <f>Y95+V96</f>
        <v>311.60000000000002</v>
      </c>
      <c r="Z96" s="5">
        <v>40902.6</v>
      </c>
      <c r="AA96" s="5">
        <v>8.6244755696502509</v>
      </c>
    </row>
    <row r="97" spans="1:27" s="5" customFormat="1" x14ac:dyDescent="0.25">
      <c r="A97" s="70"/>
      <c r="B97" s="18"/>
      <c r="C97" s="7">
        <v>41975</v>
      </c>
      <c r="D97" s="15">
        <v>2.6</v>
      </c>
      <c r="E97" s="15">
        <v>2.2000000000000002</v>
      </c>
      <c r="F97" s="15">
        <v>2.9</v>
      </c>
      <c r="G97" s="5">
        <f t="shared" si="15"/>
        <v>1171.9000000000003</v>
      </c>
      <c r="H97" s="5">
        <f t="shared" ref="H97:H160" si="22">H96+D97</f>
        <v>10.199999999999999</v>
      </c>
      <c r="I97" s="19" t="s">
        <v>30</v>
      </c>
      <c r="J97" s="5">
        <v>0.6</v>
      </c>
      <c r="K97" s="5">
        <f t="shared" si="16"/>
        <v>156.89999999999992</v>
      </c>
      <c r="L97" s="5">
        <v>0.2</v>
      </c>
      <c r="M97" s="5">
        <f t="shared" si="17"/>
        <v>140.50000000000011</v>
      </c>
      <c r="N97" s="5">
        <f t="shared" si="14"/>
        <v>0.39999999999999997</v>
      </c>
      <c r="O97" s="5">
        <f t="shared" si="20"/>
        <v>86.6</v>
      </c>
      <c r="P97" s="5">
        <v>92</v>
      </c>
      <c r="Q97" s="5">
        <v>1</v>
      </c>
      <c r="R97" s="10">
        <f t="shared" si="11"/>
        <v>0.2</v>
      </c>
      <c r="S97" s="10">
        <f t="shared" si="12"/>
        <v>0.39999999999999997</v>
      </c>
      <c r="T97" s="10">
        <f t="shared" si="18"/>
        <v>100.61592592592596</v>
      </c>
      <c r="U97" s="19" t="s">
        <v>31</v>
      </c>
      <c r="V97" s="14">
        <v>88.8</v>
      </c>
      <c r="W97" s="5">
        <f t="shared" si="13"/>
        <v>34.153846153846153</v>
      </c>
      <c r="X97" s="5">
        <f t="shared" si="19"/>
        <v>72795.200000000026</v>
      </c>
      <c r="Y97" s="5">
        <f t="shared" ref="Y97:Y160" si="23">Y96+V97</f>
        <v>400.40000000000003</v>
      </c>
      <c r="Z97" s="19" t="s">
        <v>32</v>
      </c>
      <c r="AA97" s="5">
        <v>8.5940147405319998</v>
      </c>
    </row>
    <row r="98" spans="1:27" s="5" customFormat="1" x14ac:dyDescent="0.25">
      <c r="A98" s="70"/>
      <c r="B98" s="18"/>
      <c r="C98" s="7">
        <v>41976</v>
      </c>
      <c r="D98" s="15">
        <v>2.5</v>
      </c>
      <c r="E98" s="15">
        <v>1.7</v>
      </c>
      <c r="F98" s="15">
        <v>3.1</v>
      </c>
      <c r="G98" s="5">
        <f t="shared" si="15"/>
        <v>1174.4000000000003</v>
      </c>
      <c r="H98" s="5">
        <f t="shared" si="22"/>
        <v>12.7</v>
      </c>
      <c r="I98" s="15">
        <f>MAX(F95:F194)</f>
        <v>16</v>
      </c>
      <c r="J98" s="5">
        <v>0</v>
      </c>
      <c r="K98" s="5">
        <f t="shared" si="16"/>
        <v>156.89999999999992</v>
      </c>
      <c r="L98" s="5">
        <v>0.4</v>
      </c>
      <c r="M98" s="5">
        <f t="shared" si="17"/>
        <v>140.90000000000012</v>
      </c>
      <c r="N98" s="9">
        <f t="shared" si="14"/>
        <v>-0.4</v>
      </c>
      <c r="O98" s="5">
        <f t="shared" si="20"/>
        <v>86.199999999999989</v>
      </c>
      <c r="P98" s="5">
        <v>93</v>
      </c>
      <c r="Q98" s="5">
        <v>1</v>
      </c>
      <c r="R98" s="10">
        <f t="shared" si="11"/>
        <v>0.4</v>
      </c>
      <c r="S98" s="10">
        <f t="shared" si="12"/>
        <v>-0.4</v>
      </c>
      <c r="T98" s="10">
        <f t="shared" si="18"/>
        <v>100.21592592592596</v>
      </c>
      <c r="U98" s="5">
        <v>0</v>
      </c>
      <c r="V98" s="14">
        <v>280.7</v>
      </c>
      <c r="W98" s="5">
        <f t="shared" si="13"/>
        <v>112.28</v>
      </c>
      <c r="X98" s="5">
        <f t="shared" si="19"/>
        <v>73075.900000000023</v>
      </c>
      <c r="Y98" s="5">
        <f t="shared" si="23"/>
        <v>681.1</v>
      </c>
      <c r="Z98" s="12">
        <f>(Z96/100)/I108</f>
        <v>0.94923648178231612</v>
      </c>
      <c r="AA98" s="5">
        <v>8.5647823956433307</v>
      </c>
    </row>
    <row r="99" spans="1:27" s="5" customFormat="1" x14ac:dyDescent="0.25">
      <c r="A99" s="70"/>
      <c r="B99" s="18"/>
      <c r="C99" s="7">
        <v>41977</v>
      </c>
      <c r="D99" s="15">
        <v>3.7</v>
      </c>
      <c r="E99" s="15">
        <v>2.2999999999999998</v>
      </c>
      <c r="F99" s="15">
        <v>4.5999999999999996</v>
      </c>
      <c r="G99" s="5">
        <f t="shared" si="15"/>
        <v>1178.1000000000004</v>
      </c>
      <c r="H99" s="5">
        <f t="shared" si="22"/>
        <v>16.399999999999999</v>
      </c>
      <c r="I99" s="19" t="s">
        <v>33</v>
      </c>
      <c r="J99" s="5">
        <v>0</v>
      </c>
      <c r="K99" s="5">
        <f t="shared" si="16"/>
        <v>156.89999999999992</v>
      </c>
      <c r="L99" s="5">
        <v>0.2</v>
      </c>
      <c r="M99" s="5">
        <f t="shared" si="17"/>
        <v>141.10000000000011</v>
      </c>
      <c r="N99" s="9">
        <f t="shared" si="14"/>
        <v>-0.2</v>
      </c>
      <c r="O99" s="5">
        <f t="shared" si="20"/>
        <v>85.999999999999986</v>
      </c>
      <c r="P99" s="5">
        <v>94</v>
      </c>
      <c r="Q99" s="5">
        <v>1</v>
      </c>
      <c r="R99" s="10">
        <f t="shared" si="11"/>
        <v>0.2</v>
      </c>
      <c r="S99" s="10">
        <f t="shared" si="12"/>
        <v>-0.2</v>
      </c>
      <c r="T99" s="10">
        <f t="shared" si="18"/>
        <v>100.01592592592596</v>
      </c>
      <c r="U99" s="19" t="s">
        <v>34</v>
      </c>
      <c r="V99" s="14">
        <v>130.9</v>
      </c>
      <c r="W99" s="5">
        <f t="shared" si="13"/>
        <v>35.378378378378379</v>
      </c>
      <c r="X99" s="5">
        <f t="shared" si="19"/>
        <v>73206.800000000017</v>
      </c>
      <c r="Y99" s="5">
        <f t="shared" si="23"/>
        <v>812</v>
      </c>
      <c r="Z99" s="19" t="s">
        <v>35</v>
      </c>
      <c r="AA99" s="5">
        <v>8.5368076022107804</v>
      </c>
    </row>
    <row r="100" spans="1:27" s="5" customFormat="1" x14ac:dyDescent="0.25">
      <c r="A100" s="70"/>
      <c r="B100" s="18"/>
      <c r="C100" s="7">
        <v>41978</v>
      </c>
      <c r="D100" s="15">
        <v>3.9</v>
      </c>
      <c r="E100" s="15">
        <v>3.4</v>
      </c>
      <c r="F100" s="15">
        <v>4.5</v>
      </c>
      <c r="G100" s="5">
        <f t="shared" si="15"/>
        <v>1182.0000000000005</v>
      </c>
      <c r="H100" s="5">
        <f t="shared" si="22"/>
        <v>20.299999999999997</v>
      </c>
      <c r="I100" s="10">
        <f>AVERAGE(D95:D194)</f>
        <v>4.2699999999999996</v>
      </c>
      <c r="J100" s="5">
        <v>0</v>
      </c>
      <c r="K100" s="5">
        <f t="shared" si="16"/>
        <v>156.89999999999992</v>
      </c>
      <c r="L100" s="5">
        <v>0.5</v>
      </c>
      <c r="M100" s="5">
        <f t="shared" si="17"/>
        <v>141.60000000000011</v>
      </c>
      <c r="N100" s="9">
        <f t="shared" si="14"/>
        <v>-0.5</v>
      </c>
      <c r="O100" s="5">
        <f t="shared" si="20"/>
        <v>85.499999999999986</v>
      </c>
      <c r="P100" s="5">
        <v>95</v>
      </c>
      <c r="Q100" s="5">
        <v>1</v>
      </c>
      <c r="R100" s="10">
        <f t="shared" si="11"/>
        <v>0.5</v>
      </c>
      <c r="S100" s="10">
        <f t="shared" si="12"/>
        <v>-0.5</v>
      </c>
      <c r="T100" s="10">
        <f t="shared" si="18"/>
        <v>99.515925925925956</v>
      </c>
      <c r="U100" s="5">
        <v>0</v>
      </c>
      <c r="V100" s="14">
        <v>491.1</v>
      </c>
      <c r="W100" s="5">
        <f t="shared" si="13"/>
        <v>125.92307692307693</v>
      </c>
      <c r="X100" s="5">
        <f t="shared" si="19"/>
        <v>73697.900000000023</v>
      </c>
      <c r="Y100" s="5">
        <f t="shared" si="23"/>
        <v>1303.0999999999999</v>
      </c>
      <c r="Z100" s="5">
        <v>88</v>
      </c>
      <c r="AA100" s="5">
        <v>8.5101187618640797</v>
      </c>
    </row>
    <row r="101" spans="1:27" s="5" customFormat="1" x14ac:dyDescent="0.25">
      <c r="A101" s="70"/>
      <c r="B101" s="18"/>
      <c r="C101" s="7">
        <v>41979</v>
      </c>
      <c r="D101" s="15">
        <v>4</v>
      </c>
      <c r="E101" s="15">
        <v>3.4</v>
      </c>
      <c r="F101" s="5">
        <v>5.7</v>
      </c>
      <c r="G101" s="5">
        <f t="shared" si="15"/>
        <v>1186.0000000000005</v>
      </c>
      <c r="H101" s="5">
        <f t="shared" si="22"/>
        <v>24.299999999999997</v>
      </c>
      <c r="I101" s="19" t="s">
        <v>36</v>
      </c>
      <c r="J101" s="5">
        <v>0</v>
      </c>
      <c r="K101" s="5">
        <f t="shared" si="16"/>
        <v>156.89999999999992</v>
      </c>
      <c r="L101" s="5">
        <v>0.6</v>
      </c>
      <c r="M101" s="5">
        <f t="shared" si="17"/>
        <v>142.2000000000001</v>
      </c>
      <c r="N101" s="9">
        <f t="shared" si="14"/>
        <v>-0.6</v>
      </c>
      <c r="O101" s="5">
        <f t="shared" si="20"/>
        <v>84.899999999999991</v>
      </c>
      <c r="P101" s="5">
        <v>96</v>
      </c>
      <c r="Q101" s="5">
        <v>1</v>
      </c>
      <c r="R101" s="10">
        <f t="shared" si="11"/>
        <v>0.6</v>
      </c>
      <c r="S101" s="10">
        <f t="shared" si="12"/>
        <v>-0.6</v>
      </c>
      <c r="T101" s="10">
        <f t="shared" si="18"/>
        <v>98.915925925925961</v>
      </c>
      <c r="U101" s="19" t="s">
        <v>37</v>
      </c>
      <c r="V101" s="14">
        <v>483.2</v>
      </c>
      <c r="W101" s="5">
        <f t="shared" si="13"/>
        <v>120.8</v>
      </c>
      <c r="X101" s="5">
        <f t="shared" si="19"/>
        <v>74181.10000000002</v>
      </c>
      <c r="Y101" s="5">
        <f t="shared" si="23"/>
        <v>1786.3</v>
      </c>
      <c r="AA101" s="5">
        <v>8.4847435177027197</v>
      </c>
    </row>
    <row r="102" spans="1:27" s="5" customFormat="1" x14ac:dyDescent="0.25">
      <c r="A102" s="70"/>
      <c r="B102" s="18"/>
      <c r="C102" s="7">
        <v>41980</v>
      </c>
      <c r="D102" s="15">
        <v>2.6</v>
      </c>
      <c r="E102" s="20">
        <v>-0.6</v>
      </c>
      <c r="F102" s="15">
        <v>4.7</v>
      </c>
      <c r="G102" s="5">
        <f t="shared" si="15"/>
        <v>1188.6000000000004</v>
      </c>
      <c r="H102" s="5">
        <f t="shared" si="22"/>
        <v>26.9</v>
      </c>
      <c r="I102" s="5">
        <v>33</v>
      </c>
      <c r="J102" s="5">
        <v>2</v>
      </c>
      <c r="K102" s="5">
        <f t="shared" si="16"/>
        <v>158.89999999999992</v>
      </c>
      <c r="L102" s="5">
        <v>0.1</v>
      </c>
      <c r="M102" s="5">
        <f t="shared" si="17"/>
        <v>142.3000000000001</v>
      </c>
      <c r="N102" s="5">
        <f t="shared" si="14"/>
        <v>1.9</v>
      </c>
      <c r="O102" s="5">
        <f t="shared" si="20"/>
        <v>86.8</v>
      </c>
      <c r="P102" s="5">
        <v>97</v>
      </c>
      <c r="Q102" s="5">
        <v>1</v>
      </c>
      <c r="R102" s="10">
        <f t="shared" si="11"/>
        <v>0.1</v>
      </c>
      <c r="S102" s="10">
        <f t="shared" si="12"/>
        <v>1.9</v>
      </c>
      <c r="T102" s="10">
        <f t="shared" si="18"/>
        <v>100.81592592592597</v>
      </c>
      <c r="U102" s="10">
        <f>MIN(T95:T194)</f>
        <v>98.915925925925961</v>
      </c>
      <c r="V102" s="14">
        <v>110.7</v>
      </c>
      <c r="W102" s="5">
        <f t="shared" si="13"/>
        <v>42.576923076923073</v>
      </c>
      <c r="X102" s="5">
        <f t="shared" si="19"/>
        <v>74291.800000000017</v>
      </c>
      <c r="Y102" s="5">
        <f t="shared" si="23"/>
        <v>1897</v>
      </c>
      <c r="AA102" s="5">
        <v>8.4607086609392006</v>
      </c>
    </row>
    <row r="103" spans="1:27" s="5" customFormat="1" x14ac:dyDescent="0.25">
      <c r="A103" s="70"/>
      <c r="B103" s="18"/>
      <c r="C103" s="7">
        <v>41981</v>
      </c>
      <c r="D103" s="15">
        <v>3.1</v>
      </c>
      <c r="E103" s="15">
        <v>1.2</v>
      </c>
      <c r="F103" s="5">
        <v>5.6</v>
      </c>
      <c r="G103" s="5">
        <f t="shared" si="15"/>
        <v>1191.7000000000003</v>
      </c>
      <c r="H103" s="5">
        <f t="shared" si="22"/>
        <v>30</v>
      </c>
      <c r="I103" s="19" t="s">
        <v>38</v>
      </c>
      <c r="J103" s="5">
        <v>2.2999999999999998</v>
      </c>
      <c r="K103" s="5">
        <f t="shared" si="16"/>
        <v>161.19999999999993</v>
      </c>
      <c r="L103" s="5">
        <v>0.2</v>
      </c>
      <c r="M103" s="5">
        <f t="shared" si="17"/>
        <v>142.50000000000009</v>
      </c>
      <c r="N103" s="5">
        <f t="shared" si="14"/>
        <v>2.0999999999999996</v>
      </c>
      <c r="O103" s="5">
        <f t="shared" si="20"/>
        <v>88.899999999999991</v>
      </c>
      <c r="P103" s="5">
        <v>98</v>
      </c>
      <c r="Q103" s="5">
        <v>1</v>
      </c>
      <c r="R103" s="10">
        <f t="shared" si="11"/>
        <v>0.2</v>
      </c>
      <c r="S103" s="10">
        <f t="shared" si="12"/>
        <v>2.0999999999999996</v>
      </c>
      <c r="T103" s="10">
        <f t="shared" si="18"/>
        <v>102.91592592592596</v>
      </c>
      <c r="U103" s="19" t="s">
        <v>39</v>
      </c>
      <c r="V103" s="14">
        <v>82.9</v>
      </c>
      <c r="W103" s="5">
        <f t="shared" si="13"/>
        <v>26.741935483870968</v>
      </c>
      <c r="X103" s="5">
        <f t="shared" si="19"/>
        <v>74374.700000000012</v>
      </c>
      <c r="Y103" s="5">
        <f t="shared" si="23"/>
        <v>1979.9</v>
      </c>
      <c r="AA103" s="5">
        <v>8.4380400376862106</v>
      </c>
    </row>
    <row r="104" spans="1:27" s="5" customFormat="1" x14ac:dyDescent="0.25">
      <c r="A104" s="70"/>
      <c r="B104" s="18"/>
      <c r="C104" s="7">
        <v>41982</v>
      </c>
      <c r="D104" s="15">
        <v>1.5</v>
      </c>
      <c r="E104" s="20">
        <v>-1.9</v>
      </c>
      <c r="F104" s="15">
        <v>5</v>
      </c>
      <c r="G104" s="5">
        <f t="shared" si="15"/>
        <v>1193.2000000000003</v>
      </c>
      <c r="H104" s="5">
        <f t="shared" si="22"/>
        <v>31.5</v>
      </c>
      <c r="I104" s="5">
        <v>0</v>
      </c>
      <c r="J104" s="5">
        <v>1.9</v>
      </c>
      <c r="K104" s="5">
        <f t="shared" si="16"/>
        <v>163.09999999999994</v>
      </c>
      <c r="L104" s="5">
        <v>0.4</v>
      </c>
      <c r="M104" s="5">
        <f t="shared" si="17"/>
        <v>142.90000000000009</v>
      </c>
      <c r="N104" s="5">
        <f t="shared" si="14"/>
        <v>1.5</v>
      </c>
      <c r="O104" s="5">
        <f t="shared" si="20"/>
        <v>90.399999999999991</v>
      </c>
      <c r="P104" s="5">
        <v>99</v>
      </c>
      <c r="Q104" s="5">
        <v>1</v>
      </c>
      <c r="R104" s="10">
        <f t="shared" si="11"/>
        <v>0.4</v>
      </c>
      <c r="S104" s="10">
        <f t="shared" si="12"/>
        <v>1.5</v>
      </c>
      <c r="T104" s="10">
        <f t="shared" si="18"/>
        <v>104.41592592592596</v>
      </c>
      <c r="U104" s="10">
        <f>MAX(T95:T194)</f>
        <v>197.4</v>
      </c>
      <c r="V104" s="14">
        <v>358.5</v>
      </c>
      <c r="W104" s="5">
        <f t="shared" si="13"/>
        <v>239</v>
      </c>
      <c r="X104" s="5">
        <f t="shared" si="19"/>
        <v>74733.200000000012</v>
      </c>
      <c r="Y104" s="5">
        <f t="shared" si="23"/>
        <v>2338.4</v>
      </c>
      <c r="AA104" s="5">
        <v>8.4167624564835695</v>
      </c>
    </row>
    <row r="105" spans="1:27" s="5" customFormat="1" x14ac:dyDescent="0.25">
      <c r="A105" s="70"/>
      <c r="B105" s="6"/>
      <c r="C105" s="7">
        <v>41983</v>
      </c>
      <c r="D105" s="5">
        <v>6.1</v>
      </c>
      <c r="E105" s="15">
        <v>1.2</v>
      </c>
      <c r="F105" s="5">
        <v>8.5</v>
      </c>
      <c r="G105" s="5">
        <f t="shared" si="15"/>
        <v>1199.3000000000002</v>
      </c>
      <c r="H105" s="5">
        <f t="shared" si="22"/>
        <v>37.6</v>
      </c>
      <c r="I105" s="19" t="s">
        <v>40</v>
      </c>
      <c r="J105" s="5">
        <v>1.1000000000000001</v>
      </c>
      <c r="K105" s="5">
        <f t="shared" si="16"/>
        <v>164.19999999999993</v>
      </c>
      <c r="L105" s="5">
        <v>0.1</v>
      </c>
      <c r="M105" s="5">
        <f t="shared" si="17"/>
        <v>143.00000000000009</v>
      </c>
      <c r="N105" s="5">
        <f t="shared" si="14"/>
        <v>1</v>
      </c>
      <c r="O105" s="5">
        <f t="shared" si="20"/>
        <v>91.399999999999991</v>
      </c>
      <c r="P105" s="5">
        <v>100</v>
      </c>
      <c r="Q105" s="5">
        <v>1</v>
      </c>
      <c r="R105" s="10">
        <f t="shared" si="11"/>
        <v>0.1</v>
      </c>
      <c r="S105" s="10">
        <f t="shared" si="12"/>
        <v>1</v>
      </c>
      <c r="T105" s="10">
        <f t="shared" si="18"/>
        <v>105.41592592592596</v>
      </c>
      <c r="U105" s="19" t="s">
        <v>41</v>
      </c>
      <c r="V105" s="14">
        <v>166.9</v>
      </c>
      <c r="W105" s="5">
        <f t="shared" si="13"/>
        <v>27.360655737704921</v>
      </c>
      <c r="X105" s="5">
        <f t="shared" si="19"/>
        <v>74900.100000000006</v>
      </c>
      <c r="Y105" s="5">
        <f t="shared" si="23"/>
        <v>2505.3000000000002</v>
      </c>
      <c r="AA105" s="5">
        <v>8.3968995971842908</v>
      </c>
    </row>
    <row r="106" spans="1:27" s="5" customFormat="1" x14ac:dyDescent="0.25">
      <c r="A106" s="70"/>
      <c r="B106" s="6"/>
      <c r="C106" s="7">
        <v>41984</v>
      </c>
      <c r="D106" s="5">
        <v>7.5</v>
      </c>
      <c r="E106" s="5">
        <v>5.4</v>
      </c>
      <c r="F106" s="5">
        <v>8.5</v>
      </c>
      <c r="G106" s="5">
        <f t="shared" si="15"/>
        <v>1206.8000000000002</v>
      </c>
      <c r="H106" s="5">
        <f t="shared" si="22"/>
        <v>45.1</v>
      </c>
      <c r="I106" s="5">
        <v>49</v>
      </c>
      <c r="J106" s="5">
        <v>0.9</v>
      </c>
      <c r="K106" s="5">
        <f t="shared" si="16"/>
        <v>165.09999999999994</v>
      </c>
      <c r="L106" s="5">
        <v>0.6</v>
      </c>
      <c r="M106" s="5">
        <f t="shared" si="17"/>
        <v>143.60000000000008</v>
      </c>
      <c r="N106" s="5">
        <f t="shared" si="14"/>
        <v>0.30000000000000004</v>
      </c>
      <c r="O106" s="5">
        <f t="shared" si="20"/>
        <v>91.699999999999989</v>
      </c>
      <c r="P106" s="5">
        <v>101</v>
      </c>
      <c r="Q106" s="5">
        <v>1</v>
      </c>
      <c r="R106" s="10">
        <f t="shared" si="11"/>
        <v>0.6</v>
      </c>
      <c r="S106" s="10">
        <f t="shared" si="12"/>
        <v>0.30000000000000004</v>
      </c>
      <c r="T106" s="10">
        <f t="shared" si="18"/>
        <v>105.71592592592596</v>
      </c>
      <c r="U106" s="12">
        <f>AVERAGE(T95:T194)</f>
        <v>157.7730148148149</v>
      </c>
      <c r="V106" s="14">
        <v>297.89999999999998</v>
      </c>
      <c r="W106" s="5">
        <f t="shared" si="13"/>
        <v>39.72</v>
      </c>
      <c r="X106" s="5">
        <f t="shared" si="19"/>
        <v>75198</v>
      </c>
      <c r="Y106" s="5">
        <f t="shared" si="23"/>
        <v>2803.2000000000003</v>
      </c>
      <c r="AA106" s="5">
        <v>8.3784739218361501</v>
      </c>
    </row>
    <row r="107" spans="1:27" s="5" customFormat="1" x14ac:dyDescent="0.25">
      <c r="A107" s="70"/>
      <c r="B107" s="6"/>
      <c r="C107" s="7">
        <v>41985</v>
      </c>
      <c r="D107" s="5">
        <v>9.3000000000000007</v>
      </c>
      <c r="E107" s="5">
        <v>8.4</v>
      </c>
      <c r="F107" s="5">
        <v>10.3</v>
      </c>
      <c r="G107" s="5">
        <f t="shared" si="15"/>
        <v>1216.1000000000001</v>
      </c>
      <c r="H107" s="5">
        <f t="shared" si="22"/>
        <v>54.400000000000006</v>
      </c>
      <c r="I107" s="19" t="s">
        <v>42</v>
      </c>
      <c r="J107" s="5">
        <v>10.8</v>
      </c>
      <c r="K107" s="5">
        <f t="shared" si="16"/>
        <v>175.89999999999995</v>
      </c>
      <c r="L107" s="5">
        <v>0.8</v>
      </c>
      <c r="M107" s="5">
        <f t="shared" si="17"/>
        <v>144.40000000000009</v>
      </c>
      <c r="N107" s="5">
        <f t="shared" si="14"/>
        <v>10</v>
      </c>
      <c r="O107" s="5">
        <f t="shared" si="20"/>
        <v>101.69999999999999</v>
      </c>
      <c r="P107" s="5">
        <v>102</v>
      </c>
      <c r="Q107" s="5">
        <v>1</v>
      </c>
      <c r="R107" s="10">
        <f t="shared" si="11"/>
        <v>0.8</v>
      </c>
      <c r="S107" s="10">
        <f t="shared" si="12"/>
        <v>10</v>
      </c>
      <c r="T107" s="10">
        <f t="shared" si="18"/>
        <v>115.71592592592596</v>
      </c>
      <c r="U107" s="19" t="s">
        <v>44</v>
      </c>
      <c r="V107" s="14">
        <v>119.5</v>
      </c>
      <c r="W107" s="5">
        <f t="shared" si="13"/>
        <v>12.849462365591396</v>
      </c>
      <c r="X107" s="5">
        <f t="shared" si="19"/>
        <v>75317.5</v>
      </c>
      <c r="Y107" s="5">
        <f t="shared" si="23"/>
        <v>2922.7000000000003</v>
      </c>
      <c r="AA107" s="5">
        <v>8.3615065882058808</v>
      </c>
    </row>
    <row r="108" spans="1:27" s="5" customFormat="1" x14ac:dyDescent="0.25">
      <c r="A108" s="70"/>
      <c r="B108" s="6"/>
      <c r="C108" s="7">
        <v>41986</v>
      </c>
      <c r="D108" s="5">
        <v>5.9</v>
      </c>
      <c r="E108" s="15">
        <v>3.5</v>
      </c>
      <c r="F108" s="5">
        <v>7.7</v>
      </c>
      <c r="G108" s="5">
        <f t="shared" si="15"/>
        <v>1222.0000000000002</v>
      </c>
      <c r="H108" s="5">
        <f t="shared" si="22"/>
        <v>60.300000000000004</v>
      </c>
      <c r="I108" s="5">
        <v>430.9</v>
      </c>
      <c r="J108" s="5">
        <v>8.4</v>
      </c>
      <c r="K108" s="5">
        <f t="shared" si="16"/>
        <v>184.29999999999995</v>
      </c>
      <c r="L108" s="5">
        <v>0.2</v>
      </c>
      <c r="M108" s="5">
        <f t="shared" si="17"/>
        <v>144.60000000000008</v>
      </c>
      <c r="N108" s="5">
        <f t="shared" si="14"/>
        <v>8.2000000000000011</v>
      </c>
      <c r="O108" s="5">
        <f t="shared" si="20"/>
        <v>109.89999999999999</v>
      </c>
      <c r="P108" s="5">
        <v>103</v>
      </c>
      <c r="Q108" s="5">
        <v>1</v>
      </c>
      <c r="R108" s="10">
        <f t="shared" si="11"/>
        <v>0.2</v>
      </c>
      <c r="S108" s="10">
        <f t="shared" si="12"/>
        <v>8.2000000000000011</v>
      </c>
      <c r="T108" s="10">
        <f t="shared" si="18"/>
        <v>123.91592592592596</v>
      </c>
      <c r="U108" s="5">
        <v>31</v>
      </c>
      <c r="V108" s="14">
        <v>67.7</v>
      </c>
      <c r="W108" s="5">
        <f t="shared" si="13"/>
        <v>11.474576271186441</v>
      </c>
      <c r="X108" s="5">
        <f t="shared" si="19"/>
        <v>75385.2</v>
      </c>
      <c r="Y108" s="5">
        <f t="shared" si="23"/>
        <v>2990.4</v>
      </c>
      <c r="AA108" s="5">
        <v>8.3460173665964099</v>
      </c>
    </row>
    <row r="109" spans="1:27" s="5" customFormat="1" x14ac:dyDescent="0.25">
      <c r="A109" s="70"/>
      <c r="B109" s="18"/>
      <c r="C109" s="7">
        <v>41987</v>
      </c>
      <c r="D109" s="15">
        <v>0.4</v>
      </c>
      <c r="E109" s="20">
        <v>-0.9</v>
      </c>
      <c r="F109" s="15">
        <v>1</v>
      </c>
      <c r="G109" s="5">
        <f t="shared" si="15"/>
        <v>1222.4000000000003</v>
      </c>
      <c r="H109" s="5">
        <f t="shared" si="22"/>
        <v>60.7</v>
      </c>
      <c r="J109" s="5">
        <v>0</v>
      </c>
      <c r="K109" s="5">
        <f t="shared" si="16"/>
        <v>184.29999999999995</v>
      </c>
      <c r="L109" s="5">
        <v>0.3</v>
      </c>
      <c r="M109" s="5">
        <f t="shared" si="17"/>
        <v>144.90000000000009</v>
      </c>
      <c r="N109" s="9">
        <f t="shared" si="14"/>
        <v>-0.3</v>
      </c>
      <c r="O109" s="5">
        <f t="shared" si="20"/>
        <v>109.6</v>
      </c>
      <c r="P109" s="5">
        <v>104</v>
      </c>
      <c r="Q109" s="5">
        <v>1</v>
      </c>
      <c r="R109" s="10">
        <f t="shared" si="11"/>
        <v>0.3</v>
      </c>
      <c r="S109" s="10">
        <f t="shared" si="12"/>
        <v>-0.3</v>
      </c>
      <c r="T109" s="10">
        <f t="shared" si="18"/>
        <v>123.61592592592596</v>
      </c>
      <c r="V109" s="14">
        <v>293.89999999999998</v>
      </c>
      <c r="W109" s="5">
        <f t="shared" si="13"/>
        <v>734.74999999999989</v>
      </c>
      <c r="X109" s="5">
        <f t="shared" si="19"/>
        <v>75679.099999999991</v>
      </c>
      <c r="Y109" s="5">
        <f t="shared" si="23"/>
        <v>3284.3</v>
      </c>
      <c r="AA109" s="5">
        <v>8.3320245606030294</v>
      </c>
    </row>
    <row r="110" spans="1:27" s="5" customFormat="1" x14ac:dyDescent="0.25">
      <c r="A110" s="70"/>
      <c r="B110" s="18"/>
      <c r="C110" s="7">
        <v>41988</v>
      </c>
      <c r="D110" s="15">
        <v>3</v>
      </c>
      <c r="E110" s="20">
        <v>-0.3</v>
      </c>
      <c r="F110" s="5">
        <v>5.6</v>
      </c>
      <c r="G110" s="5">
        <f t="shared" si="15"/>
        <v>1225.4000000000003</v>
      </c>
      <c r="H110" s="5">
        <f t="shared" si="22"/>
        <v>63.7</v>
      </c>
      <c r="J110" s="5">
        <v>0.9</v>
      </c>
      <c r="K110" s="5">
        <f t="shared" si="16"/>
        <v>185.19999999999996</v>
      </c>
      <c r="L110" s="5">
        <v>0.1</v>
      </c>
      <c r="M110" s="5">
        <f t="shared" si="17"/>
        <v>145.00000000000009</v>
      </c>
      <c r="N110" s="5">
        <f t="shared" si="14"/>
        <v>0.8</v>
      </c>
      <c r="O110" s="5">
        <f t="shared" si="20"/>
        <v>110.39999999999999</v>
      </c>
      <c r="P110" s="5">
        <v>105</v>
      </c>
      <c r="Q110" s="5">
        <v>1</v>
      </c>
      <c r="R110" s="10">
        <f t="shared" si="11"/>
        <v>0.1</v>
      </c>
      <c r="S110" s="10">
        <f t="shared" si="12"/>
        <v>0.8</v>
      </c>
      <c r="T110" s="10">
        <f t="shared" si="18"/>
        <v>124.41592592592596</v>
      </c>
      <c r="U110" s="10">
        <f>(U106*100)/197.4</f>
        <v>79.9255394198657</v>
      </c>
      <c r="V110" s="14">
        <v>86.2</v>
      </c>
      <c r="W110" s="5">
        <f t="shared" si="13"/>
        <v>28.733333333333334</v>
      </c>
      <c r="X110" s="5">
        <f t="shared" si="19"/>
        <v>75765.299999999988</v>
      </c>
      <c r="Y110" s="5">
        <f t="shared" si="23"/>
        <v>3370.5</v>
      </c>
      <c r="AA110" s="5">
        <v>8.3195449324420494</v>
      </c>
    </row>
    <row r="111" spans="1:27" s="5" customFormat="1" x14ac:dyDescent="0.25">
      <c r="A111" s="70"/>
      <c r="B111" s="6"/>
      <c r="C111" s="7">
        <v>41989</v>
      </c>
      <c r="D111" s="5">
        <v>6.1</v>
      </c>
      <c r="E111" s="5">
        <v>5.0999999999999996</v>
      </c>
      <c r="F111" s="5">
        <v>8.1999999999999993</v>
      </c>
      <c r="G111" s="5">
        <f t="shared" si="15"/>
        <v>1231.5000000000002</v>
      </c>
      <c r="H111" s="5">
        <f t="shared" si="22"/>
        <v>69.8</v>
      </c>
      <c r="J111" s="5">
        <v>4.9000000000000004</v>
      </c>
      <c r="K111" s="5">
        <f t="shared" si="16"/>
        <v>190.09999999999997</v>
      </c>
      <c r="L111" s="5">
        <v>0.4</v>
      </c>
      <c r="M111" s="5">
        <f t="shared" si="17"/>
        <v>145.40000000000009</v>
      </c>
      <c r="N111" s="5">
        <f t="shared" si="14"/>
        <v>4.5</v>
      </c>
      <c r="O111" s="5">
        <f t="shared" si="20"/>
        <v>114.89999999999999</v>
      </c>
      <c r="P111" s="5">
        <v>106</v>
      </c>
      <c r="Q111" s="5">
        <v>1</v>
      </c>
      <c r="R111" s="10">
        <f t="shared" si="11"/>
        <v>0.4</v>
      </c>
      <c r="S111" s="10">
        <f t="shared" si="12"/>
        <v>4.5</v>
      </c>
      <c r="T111" s="10">
        <f t="shared" si="18"/>
        <v>128.91592592592596</v>
      </c>
      <c r="V111" s="14">
        <v>219.9</v>
      </c>
      <c r="W111" s="5">
        <f t="shared" si="13"/>
        <v>36.049180327868854</v>
      </c>
      <c r="X111" s="5">
        <f t="shared" si="19"/>
        <v>75985.199999999983</v>
      </c>
      <c r="Y111" s="5">
        <f t="shared" si="23"/>
        <v>3590.4</v>
      </c>
      <c r="AA111" s="5">
        <v>8.3085936334645503</v>
      </c>
    </row>
    <row r="112" spans="1:27" s="5" customFormat="1" x14ac:dyDescent="0.25">
      <c r="A112" s="70"/>
      <c r="B112" s="6"/>
      <c r="C112" s="7">
        <v>41990</v>
      </c>
      <c r="D112" s="5">
        <v>8.6999999999999993</v>
      </c>
      <c r="E112" s="15">
        <v>4.9000000000000004</v>
      </c>
      <c r="F112" s="5">
        <v>12</v>
      </c>
      <c r="G112" s="5">
        <f t="shared" si="15"/>
        <v>1240.2000000000003</v>
      </c>
      <c r="H112" s="5">
        <f t="shared" si="22"/>
        <v>78.5</v>
      </c>
      <c r="J112" s="5">
        <v>7.4</v>
      </c>
      <c r="K112" s="5">
        <f t="shared" si="16"/>
        <v>197.49999999999997</v>
      </c>
      <c r="L112" s="5">
        <v>0.2</v>
      </c>
      <c r="M112" s="5">
        <f t="shared" si="17"/>
        <v>145.60000000000008</v>
      </c>
      <c r="N112" s="5">
        <f t="shared" si="14"/>
        <v>7.2</v>
      </c>
      <c r="O112" s="5">
        <f t="shared" si="20"/>
        <v>122.1</v>
      </c>
      <c r="P112" s="5">
        <v>107</v>
      </c>
      <c r="Q112" s="5">
        <v>1</v>
      </c>
      <c r="R112" s="10">
        <f t="shared" si="11"/>
        <v>0.2</v>
      </c>
      <c r="S112" s="10">
        <f t="shared" si="12"/>
        <v>7.2</v>
      </c>
      <c r="T112" s="10">
        <f t="shared" si="18"/>
        <v>136.11592592592595</v>
      </c>
      <c r="V112" s="14">
        <v>63.6</v>
      </c>
      <c r="W112" s="5">
        <f t="shared" si="13"/>
        <v>7.3103448275862073</v>
      </c>
      <c r="X112" s="5">
        <f t="shared" si="19"/>
        <v>76048.799999999988</v>
      </c>
      <c r="Y112" s="5">
        <f t="shared" si="23"/>
        <v>3654</v>
      </c>
      <c r="AA112" s="5">
        <v>8.2991841404390208</v>
      </c>
    </row>
    <row r="113" spans="1:27" s="5" customFormat="1" x14ac:dyDescent="0.25">
      <c r="A113" s="70"/>
      <c r="B113" s="6"/>
      <c r="C113" s="7">
        <v>41991</v>
      </c>
      <c r="D113" s="5">
        <v>11.9</v>
      </c>
      <c r="E113" s="5">
        <v>11.1</v>
      </c>
      <c r="F113" s="5">
        <v>13.3</v>
      </c>
      <c r="G113" s="5">
        <f t="shared" si="15"/>
        <v>1252.1000000000004</v>
      </c>
      <c r="H113" s="5">
        <f t="shared" si="22"/>
        <v>90.4</v>
      </c>
      <c r="J113" s="5">
        <v>0</v>
      </c>
      <c r="K113" s="5">
        <f t="shared" si="16"/>
        <v>197.49999999999997</v>
      </c>
      <c r="L113" s="5">
        <v>0.6</v>
      </c>
      <c r="M113" s="5">
        <f t="shared" si="17"/>
        <v>146.20000000000007</v>
      </c>
      <c r="N113" s="9">
        <f t="shared" si="14"/>
        <v>-0.6</v>
      </c>
      <c r="O113" s="5">
        <f t="shared" si="20"/>
        <v>121.5</v>
      </c>
      <c r="P113" s="5">
        <v>108</v>
      </c>
      <c r="Q113" s="5">
        <v>1</v>
      </c>
      <c r="R113" s="10">
        <f t="shared" si="11"/>
        <v>0.6</v>
      </c>
      <c r="S113" s="10">
        <f t="shared" si="12"/>
        <v>-0.6</v>
      </c>
      <c r="T113" s="10">
        <f t="shared" si="18"/>
        <v>135.51592592592596</v>
      </c>
      <c r="V113" s="14">
        <v>119.9</v>
      </c>
      <c r="W113" s="5">
        <f t="shared" si="13"/>
        <v>10.07563025210084</v>
      </c>
      <c r="X113" s="5">
        <f t="shared" si="19"/>
        <v>76168.699999999983</v>
      </c>
      <c r="Y113" s="5">
        <f t="shared" si="23"/>
        <v>3773.9</v>
      </c>
      <c r="AA113" s="5">
        <v>8.2913281981491203</v>
      </c>
    </row>
    <row r="114" spans="1:27" s="5" customFormat="1" x14ac:dyDescent="0.25">
      <c r="A114" s="70"/>
      <c r="B114" s="6"/>
      <c r="C114" s="7">
        <v>41992</v>
      </c>
      <c r="D114" s="5">
        <v>10.1</v>
      </c>
      <c r="E114" s="5">
        <v>10.199999999999999</v>
      </c>
      <c r="F114" s="5">
        <v>11.2</v>
      </c>
      <c r="G114" s="5">
        <f t="shared" si="15"/>
        <v>1262.2000000000003</v>
      </c>
      <c r="H114" s="5">
        <f t="shared" si="22"/>
        <v>100.5</v>
      </c>
      <c r="J114" s="5">
        <v>4.0999999999999996</v>
      </c>
      <c r="K114" s="5">
        <f t="shared" si="16"/>
        <v>201.59999999999997</v>
      </c>
      <c r="L114" s="5">
        <v>0.8</v>
      </c>
      <c r="M114" s="5">
        <f t="shared" si="17"/>
        <v>147.00000000000009</v>
      </c>
      <c r="N114" s="5">
        <f t="shared" si="14"/>
        <v>3.3</v>
      </c>
      <c r="O114" s="5">
        <f t="shared" si="20"/>
        <v>124.8</v>
      </c>
      <c r="P114" s="5">
        <v>109</v>
      </c>
      <c r="Q114" s="5">
        <v>1</v>
      </c>
      <c r="R114" s="10">
        <f t="shared" si="11"/>
        <v>0.8</v>
      </c>
      <c r="S114" s="10">
        <f t="shared" si="12"/>
        <v>3.3</v>
      </c>
      <c r="T114" s="10">
        <f t="shared" si="18"/>
        <v>138.81592592592597</v>
      </c>
      <c r="V114" s="14">
        <v>86.2</v>
      </c>
      <c r="W114" s="5">
        <f t="shared" si="13"/>
        <v>8.5346534653465351</v>
      </c>
      <c r="X114" s="5">
        <f t="shared" si="19"/>
        <v>76254.89999999998</v>
      </c>
      <c r="Y114" s="5">
        <f t="shared" si="23"/>
        <v>3860.1</v>
      </c>
      <c r="AA114" s="5">
        <v>8.2850357688081306</v>
      </c>
    </row>
    <row r="115" spans="1:27" s="5" customFormat="1" x14ac:dyDescent="0.25">
      <c r="A115" s="70"/>
      <c r="B115" s="6"/>
      <c r="C115" s="7">
        <v>41993</v>
      </c>
      <c r="D115" s="5">
        <v>7</v>
      </c>
      <c r="E115" s="5">
        <v>6.4</v>
      </c>
      <c r="F115" s="5">
        <v>8.8000000000000007</v>
      </c>
      <c r="G115" s="5">
        <f t="shared" si="15"/>
        <v>1269.2000000000003</v>
      </c>
      <c r="H115" s="5">
        <f t="shared" si="22"/>
        <v>107.5</v>
      </c>
      <c r="J115" s="5">
        <v>0</v>
      </c>
      <c r="K115" s="5">
        <f t="shared" si="16"/>
        <v>201.59999999999997</v>
      </c>
      <c r="L115" s="5">
        <v>1</v>
      </c>
      <c r="M115" s="5">
        <f t="shared" si="17"/>
        <v>148.00000000000009</v>
      </c>
      <c r="N115" s="9">
        <f t="shared" si="14"/>
        <v>-1</v>
      </c>
      <c r="O115" s="5">
        <f t="shared" si="20"/>
        <v>123.8</v>
      </c>
      <c r="P115" s="5">
        <v>110</v>
      </c>
      <c r="Q115" s="5">
        <v>1</v>
      </c>
      <c r="R115" s="10">
        <f t="shared" si="11"/>
        <v>1</v>
      </c>
      <c r="S115" s="10">
        <f t="shared" si="12"/>
        <v>-1</v>
      </c>
      <c r="T115" s="10">
        <f t="shared" si="18"/>
        <v>137.81592592592597</v>
      </c>
      <c r="V115" s="14">
        <v>217</v>
      </c>
      <c r="W115" s="5">
        <f t="shared" si="13"/>
        <v>31</v>
      </c>
      <c r="X115" s="5">
        <f t="shared" si="19"/>
        <v>76471.89999999998</v>
      </c>
      <c r="Y115" s="5">
        <f t="shared" si="23"/>
        <v>4077.1</v>
      </c>
      <c r="AA115" s="5">
        <v>8.2803149887385707</v>
      </c>
    </row>
    <row r="116" spans="1:27" s="5" customFormat="1" x14ac:dyDescent="0.25">
      <c r="A116" s="70"/>
      <c r="B116" s="6"/>
      <c r="C116" s="7">
        <v>41994</v>
      </c>
      <c r="D116" s="5">
        <v>7</v>
      </c>
      <c r="E116" s="15">
        <v>4.8</v>
      </c>
      <c r="F116" s="5">
        <v>8.3000000000000007</v>
      </c>
      <c r="G116" s="5">
        <f t="shared" si="15"/>
        <v>1276.2000000000003</v>
      </c>
      <c r="H116" s="5">
        <f t="shared" si="22"/>
        <v>114.5</v>
      </c>
      <c r="J116" s="5">
        <v>0</v>
      </c>
      <c r="K116" s="5">
        <f t="shared" si="16"/>
        <v>201.59999999999997</v>
      </c>
      <c r="L116" s="5">
        <v>0.6</v>
      </c>
      <c r="M116" s="5">
        <f t="shared" si="17"/>
        <v>148.60000000000008</v>
      </c>
      <c r="N116" s="9">
        <f t="shared" si="14"/>
        <v>-0.6</v>
      </c>
      <c r="O116" s="5">
        <f t="shared" si="20"/>
        <v>123.2</v>
      </c>
      <c r="P116" s="5">
        <v>111</v>
      </c>
      <c r="Q116" s="5">
        <v>1</v>
      </c>
      <c r="R116" s="10">
        <f t="shared" si="11"/>
        <v>0.6</v>
      </c>
      <c r="S116" s="10">
        <f t="shared" si="12"/>
        <v>-0.6</v>
      </c>
      <c r="T116" s="10">
        <f t="shared" si="18"/>
        <v>137.21592592592597</v>
      </c>
      <c r="V116" s="14">
        <v>141.80000000000001</v>
      </c>
      <c r="W116" s="5">
        <f t="shared" si="13"/>
        <v>20.25714285714286</v>
      </c>
      <c r="X116" s="5">
        <f t="shared" si="19"/>
        <v>76613.699999999983</v>
      </c>
      <c r="Y116" s="5">
        <f t="shared" si="23"/>
        <v>4218.8999999999996</v>
      </c>
      <c r="AA116" s="5">
        <v>8.2771721327067294</v>
      </c>
    </row>
    <row r="117" spans="1:27" s="5" customFormat="1" x14ac:dyDescent="0.25">
      <c r="A117" s="70"/>
      <c r="B117" s="6"/>
      <c r="C117" s="7">
        <v>41995</v>
      </c>
      <c r="D117" s="5">
        <v>8.6</v>
      </c>
      <c r="E117" s="5">
        <v>7.3</v>
      </c>
      <c r="F117" s="5">
        <v>9.6999999999999993</v>
      </c>
      <c r="G117" s="5">
        <f t="shared" si="15"/>
        <v>1284.8000000000002</v>
      </c>
      <c r="H117" s="5">
        <f t="shared" si="22"/>
        <v>123.1</v>
      </c>
      <c r="J117" s="5">
        <v>0.1</v>
      </c>
      <c r="K117" s="5">
        <f t="shared" si="16"/>
        <v>201.69999999999996</v>
      </c>
      <c r="L117" s="5">
        <v>0.7</v>
      </c>
      <c r="M117" s="5">
        <f t="shared" si="17"/>
        <v>149.30000000000007</v>
      </c>
      <c r="N117" s="9">
        <f t="shared" si="14"/>
        <v>-0.6</v>
      </c>
      <c r="O117" s="5">
        <f t="shared" si="20"/>
        <v>122.60000000000001</v>
      </c>
      <c r="P117" s="5">
        <v>112</v>
      </c>
      <c r="Q117" s="5">
        <v>1</v>
      </c>
      <c r="R117" s="10">
        <f t="shared" si="11"/>
        <v>0.7</v>
      </c>
      <c r="S117" s="10">
        <f t="shared" si="12"/>
        <v>-0.6</v>
      </c>
      <c r="T117" s="10">
        <f t="shared" si="18"/>
        <v>136.61592592592598</v>
      </c>
      <c r="V117" s="14">
        <v>135.30000000000001</v>
      </c>
      <c r="W117" s="5">
        <f t="shared" si="13"/>
        <v>15.732558139534886</v>
      </c>
      <c r="X117" s="5">
        <f t="shared" si="19"/>
        <v>76748.999999999985</v>
      </c>
      <c r="Y117" s="5">
        <f t="shared" si="23"/>
        <v>4354.2</v>
      </c>
      <c r="AA117" s="5">
        <v>8.2756115862361597</v>
      </c>
    </row>
    <row r="118" spans="1:27" s="5" customFormat="1" x14ac:dyDescent="0.25">
      <c r="A118" s="70"/>
      <c r="B118" s="6"/>
      <c r="C118" s="7">
        <v>41996</v>
      </c>
      <c r="D118" s="5">
        <v>6.8</v>
      </c>
      <c r="E118" s="5">
        <v>5.8</v>
      </c>
      <c r="F118" s="5">
        <v>7.5</v>
      </c>
      <c r="G118" s="5">
        <f t="shared" si="15"/>
        <v>1291.6000000000001</v>
      </c>
      <c r="H118" s="5">
        <f t="shared" si="22"/>
        <v>129.9</v>
      </c>
      <c r="J118" s="5">
        <v>0.1</v>
      </c>
      <c r="K118" s="5">
        <f t="shared" si="16"/>
        <v>201.79999999999995</v>
      </c>
      <c r="L118" s="5">
        <v>0.2</v>
      </c>
      <c r="M118" s="5">
        <f t="shared" si="17"/>
        <v>149.50000000000006</v>
      </c>
      <c r="N118" s="9">
        <f t="shared" si="14"/>
        <v>-0.1</v>
      </c>
      <c r="O118" s="5">
        <f t="shared" si="20"/>
        <v>122.50000000000001</v>
      </c>
      <c r="P118" s="5">
        <v>113</v>
      </c>
      <c r="Q118" s="5">
        <v>1</v>
      </c>
      <c r="R118" s="10">
        <f t="shared" si="11"/>
        <v>0.2</v>
      </c>
      <c r="S118" s="10">
        <f t="shared" si="12"/>
        <v>-0.1</v>
      </c>
      <c r="T118" s="10">
        <f t="shared" si="18"/>
        <v>136.51592592592598</v>
      </c>
      <c r="V118" s="14">
        <v>94.7</v>
      </c>
      <c r="W118" s="5">
        <f t="shared" si="13"/>
        <v>13.926470588235295</v>
      </c>
      <c r="X118" s="5">
        <f t="shared" si="19"/>
        <v>76843.699999999983</v>
      </c>
      <c r="Y118" s="5">
        <f t="shared" si="23"/>
        <v>4448.8999999999996</v>
      </c>
      <c r="AA118" s="5">
        <v>8.2756358261539393</v>
      </c>
    </row>
    <row r="119" spans="1:27" s="5" customFormat="1" x14ac:dyDescent="0.25">
      <c r="A119" s="70"/>
      <c r="B119" s="6"/>
      <c r="C119" s="7">
        <v>41997</v>
      </c>
      <c r="D119" s="5">
        <v>8.1</v>
      </c>
      <c r="E119" s="5">
        <v>5.7</v>
      </c>
      <c r="F119" s="5">
        <v>9.5</v>
      </c>
      <c r="G119" s="5">
        <f t="shared" si="15"/>
        <v>1299.7</v>
      </c>
      <c r="H119" s="5">
        <f t="shared" si="22"/>
        <v>138</v>
      </c>
      <c r="J119" s="5">
        <v>0.9</v>
      </c>
      <c r="K119" s="5">
        <f t="shared" si="16"/>
        <v>202.69999999999996</v>
      </c>
      <c r="L119" s="5">
        <v>0.3</v>
      </c>
      <c r="M119" s="5">
        <f t="shared" si="17"/>
        <v>149.80000000000007</v>
      </c>
      <c r="N119" s="5">
        <f t="shared" si="14"/>
        <v>0.60000000000000009</v>
      </c>
      <c r="O119" s="5">
        <f t="shared" si="20"/>
        <v>123.10000000000001</v>
      </c>
      <c r="P119" s="5">
        <v>114</v>
      </c>
      <c r="Q119" s="5">
        <v>1</v>
      </c>
      <c r="R119" s="10">
        <f t="shared" si="11"/>
        <v>0.3</v>
      </c>
      <c r="S119" s="10">
        <f t="shared" si="12"/>
        <v>0.60000000000000009</v>
      </c>
      <c r="T119" s="10">
        <f t="shared" si="18"/>
        <v>137.11592592592598</v>
      </c>
      <c r="V119" s="14">
        <v>125.5</v>
      </c>
      <c r="W119" s="5">
        <f t="shared" si="13"/>
        <v>15.493827160493828</v>
      </c>
      <c r="X119" s="5">
        <f t="shared" si="19"/>
        <v>76969.199999999983</v>
      </c>
      <c r="Y119" s="5">
        <f t="shared" si="23"/>
        <v>4574.3999999999996</v>
      </c>
      <c r="AA119" s="5">
        <v>8.2772454095492805</v>
      </c>
    </row>
    <row r="120" spans="1:27" s="5" customFormat="1" x14ac:dyDescent="0.25">
      <c r="A120" s="70"/>
      <c r="B120" s="18"/>
      <c r="C120" s="7">
        <v>41998</v>
      </c>
      <c r="D120" s="15">
        <v>5</v>
      </c>
      <c r="E120" s="15">
        <v>4.5</v>
      </c>
      <c r="F120" s="5">
        <v>6.9</v>
      </c>
      <c r="G120" s="5">
        <f t="shared" si="15"/>
        <v>1304.7</v>
      </c>
      <c r="H120" s="5">
        <f t="shared" si="22"/>
        <v>143</v>
      </c>
      <c r="J120" s="5">
        <v>0.1</v>
      </c>
      <c r="K120" s="5">
        <f t="shared" si="16"/>
        <v>202.79999999999995</v>
      </c>
      <c r="L120" s="5">
        <v>0.5</v>
      </c>
      <c r="M120" s="5">
        <f t="shared" si="17"/>
        <v>150.30000000000007</v>
      </c>
      <c r="N120" s="9">
        <f t="shared" si="14"/>
        <v>-0.4</v>
      </c>
      <c r="O120" s="5">
        <f t="shared" si="20"/>
        <v>122.7</v>
      </c>
      <c r="P120" s="5">
        <v>115</v>
      </c>
      <c r="Q120" s="5">
        <v>1</v>
      </c>
      <c r="R120" s="10">
        <f t="shared" si="11"/>
        <v>0.5</v>
      </c>
      <c r="S120" s="10">
        <f t="shared" si="12"/>
        <v>-0.4</v>
      </c>
      <c r="T120" s="10">
        <f t="shared" si="18"/>
        <v>136.71592592592597</v>
      </c>
      <c r="V120" s="14">
        <v>394.6</v>
      </c>
      <c r="W120" s="5">
        <f t="shared" si="13"/>
        <v>78.92</v>
      </c>
      <c r="X120" s="5">
        <f t="shared" si="19"/>
        <v>77363.799999999988</v>
      </c>
      <c r="Y120" s="5">
        <f t="shared" si="23"/>
        <v>4969</v>
      </c>
      <c r="AA120" s="5">
        <v>8.2804389712466708</v>
      </c>
    </row>
    <row r="121" spans="1:27" s="5" customFormat="1" x14ac:dyDescent="0.25">
      <c r="A121" s="70"/>
      <c r="B121" s="18"/>
      <c r="C121" s="7">
        <v>41999</v>
      </c>
      <c r="D121" s="15">
        <v>2.2000000000000002</v>
      </c>
      <c r="E121" s="20">
        <v>-1.1000000000000001</v>
      </c>
      <c r="F121" s="5">
        <v>7.4</v>
      </c>
      <c r="G121" s="5">
        <f t="shared" si="15"/>
        <v>1306.9000000000001</v>
      </c>
      <c r="H121" s="5">
        <f t="shared" si="22"/>
        <v>145.19999999999999</v>
      </c>
      <c r="J121" s="5">
        <v>12.3</v>
      </c>
      <c r="K121" s="5">
        <f t="shared" si="16"/>
        <v>215.09999999999997</v>
      </c>
      <c r="L121" s="5">
        <v>0.5</v>
      </c>
      <c r="M121" s="5">
        <f t="shared" si="17"/>
        <v>150.80000000000007</v>
      </c>
      <c r="N121" s="5">
        <f t="shared" si="14"/>
        <v>11.8</v>
      </c>
      <c r="O121" s="5">
        <f t="shared" si="20"/>
        <v>134.5</v>
      </c>
      <c r="P121" s="5">
        <v>116</v>
      </c>
      <c r="Q121" s="5">
        <v>1</v>
      </c>
      <c r="R121" s="10">
        <f t="shared" si="11"/>
        <v>0.5</v>
      </c>
      <c r="S121" s="10">
        <f t="shared" si="12"/>
        <v>11.8</v>
      </c>
      <c r="T121" s="10">
        <f t="shared" si="18"/>
        <v>148.51592592592598</v>
      </c>
      <c r="V121" s="14">
        <v>196.4</v>
      </c>
      <c r="W121" s="5">
        <f t="shared" si="13"/>
        <v>89.272727272727266</v>
      </c>
      <c r="X121" s="5">
        <f t="shared" si="19"/>
        <v>77560.199999999983</v>
      </c>
      <c r="Y121" s="5">
        <f t="shared" si="23"/>
        <v>5165.3999999999996</v>
      </c>
      <c r="AA121" s="5">
        <v>8.2852132298169998</v>
      </c>
    </row>
    <row r="122" spans="1:27" s="5" customFormat="1" x14ac:dyDescent="0.25">
      <c r="A122" s="70"/>
      <c r="B122" s="18"/>
      <c r="C122" s="7">
        <v>42000</v>
      </c>
      <c r="D122" s="15">
        <v>5</v>
      </c>
      <c r="E122" s="15">
        <v>3.5</v>
      </c>
      <c r="F122" s="5">
        <v>7.1</v>
      </c>
      <c r="G122" s="5">
        <f t="shared" si="15"/>
        <v>1311.9</v>
      </c>
      <c r="H122" s="5">
        <f t="shared" si="22"/>
        <v>150.19999999999999</v>
      </c>
      <c r="J122" s="5">
        <v>0.2</v>
      </c>
      <c r="K122" s="5">
        <f t="shared" si="16"/>
        <v>215.29999999999995</v>
      </c>
      <c r="L122" s="5">
        <v>1</v>
      </c>
      <c r="M122" s="5">
        <f t="shared" si="17"/>
        <v>151.80000000000007</v>
      </c>
      <c r="N122" s="9">
        <f t="shared" si="14"/>
        <v>-0.8</v>
      </c>
      <c r="O122" s="5">
        <f t="shared" si="20"/>
        <v>133.69999999999999</v>
      </c>
      <c r="P122" s="5">
        <v>117</v>
      </c>
      <c r="Q122" s="5">
        <v>1</v>
      </c>
      <c r="R122" s="10">
        <f t="shared" si="11"/>
        <v>1</v>
      </c>
      <c r="S122" s="10">
        <f t="shared" si="12"/>
        <v>-0.8</v>
      </c>
      <c r="T122" s="10">
        <f t="shared" si="18"/>
        <v>147.71592592592597</v>
      </c>
      <c r="V122" s="14">
        <v>150</v>
      </c>
      <c r="W122" s="5">
        <f t="shared" si="13"/>
        <v>30</v>
      </c>
      <c r="X122" s="5">
        <f t="shared" si="19"/>
        <v>77710.199999999983</v>
      </c>
      <c r="Y122" s="5">
        <f t="shared" si="23"/>
        <v>5315.4</v>
      </c>
      <c r="AA122" s="5">
        <v>8.2915630020708608</v>
      </c>
    </row>
    <row r="123" spans="1:27" s="5" customFormat="1" x14ac:dyDescent="0.25">
      <c r="A123" s="70"/>
      <c r="B123" s="18"/>
      <c r="C123" s="7">
        <v>42001</v>
      </c>
      <c r="D123" s="20">
        <v>-1.1000000000000001</v>
      </c>
      <c r="E123" s="20">
        <v>-1.9</v>
      </c>
      <c r="F123" s="20">
        <v>-0.2</v>
      </c>
      <c r="G123" s="5">
        <v>1311.9</v>
      </c>
      <c r="H123" s="5">
        <v>150.19999999999999</v>
      </c>
      <c r="J123" s="5">
        <v>0</v>
      </c>
      <c r="K123" s="5">
        <f t="shared" si="16"/>
        <v>215.29999999999995</v>
      </c>
      <c r="L123" s="5">
        <v>0.7</v>
      </c>
      <c r="M123" s="5">
        <f t="shared" si="17"/>
        <v>152.50000000000006</v>
      </c>
      <c r="N123" s="9">
        <f t="shared" si="14"/>
        <v>-0.7</v>
      </c>
      <c r="O123" s="5">
        <f t="shared" si="20"/>
        <v>133</v>
      </c>
      <c r="P123" s="5">
        <v>118</v>
      </c>
      <c r="Q123" s="5">
        <v>1</v>
      </c>
      <c r="R123" s="10">
        <f t="shared" si="11"/>
        <v>0.7</v>
      </c>
      <c r="S123" s="10">
        <f t="shared" si="12"/>
        <v>-0.7</v>
      </c>
      <c r="T123" s="10">
        <f t="shared" si="18"/>
        <v>147.01592592592598</v>
      </c>
      <c r="V123" s="14">
        <v>203.6</v>
      </c>
      <c r="W123" s="5">
        <f t="shared" si="13"/>
        <v>-185.09090909090907</v>
      </c>
      <c r="X123" s="5">
        <f t="shared" si="19"/>
        <v>77913.799999999988</v>
      </c>
      <c r="Y123" s="5">
        <f t="shared" si="23"/>
        <v>5519</v>
      </c>
      <c r="AA123" s="5">
        <v>8.2994812258999406</v>
      </c>
    </row>
    <row r="124" spans="1:27" s="5" customFormat="1" x14ac:dyDescent="0.25">
      <c r="A124" s="70"/>
      <c r="B124" s="18"/>
      <c r="C124" s="7">
        <v>42002</v>
      </c>
      <c r="D124" s="20">
        <v>-0.3</v>
      </c>
      <c r="E124" s="20">
        <v>-5.8</v>
      </c>
      <c r="F124" s="15">
        <v>3.3</v>
      </c>
      <c r="G124" s="5">
        <v>1311.9</v>
      </c>
      <c r="H124" s="5">
        <v>150.19999999999999</v>
      </c>
      <c r="J124" s="5">
        <v>0</v>
      </c>
      <c r="K124" s="5">
        <f t="shared" si="16"/>
        <v>215.29999999999995</v>
      </c>
      <c r="L124" s="5">
        <v>0.2</v>
      </c>
      <c r="M124" s="5">
        <f t="shared" si="17"/>
        <v>152.70000000000005</v>
      </c>
      <c r="N124" s="9">
        <f t="shared" si="14"/>
        <v>-0.2</v>
      </c>
      <c r="O124" s="5">
        <f t="shared" si="20"/>
        <v>132.80000000000001</v>
      </c>
      <c r="P124" s="5">
        <v>119</v>
      </c>
      <c r="Q124" s="5">
        <v>1</v>
      </c>
      <c r="R124" s="10">
        <f t="shared" si="11"/>
        <v>0.2</v>
      </c>
      <c r="S124" s="10">
        <f t="shared" si="12"/>
        <v>-0.2</v>
      </c>
      <c r="T124" s="10">
        <f t="shared" si="18"/>
        <v>146.815925925926</v>
      </c>
      <c r="V124" s="14">
        <v>477.1</v>
      </c>
      <c r="W124" s="5">
        <f t="shared" si="13"/>
        <v>-1590.3333333333335</v>
      </c>
      <c r="X124" s="5">
        <f t="shared" si="19"/>
        <v>78390.899999999994</v>
      </c>
      <c r="Y124" s="5">
        <f t="shared" si="23"/>
        <v>5996.1</v>
      </c>
      <c r="AA124" s="5">
        <v>8.3089589912561905</v>
      </c>
    </row>
    <row r="125" spans="1:27" s="5" customFormat="1" x14ac:dyDescent="0.25">
      <c r="A125" s="70"/>
      <c r="B125" s="18"/>
      <c r="C125" s="7">
        <v>42003</v>
      </c>
      <c r="D125" s="15">
        <v>2.4</v>
      </c>
      <c r="E125" s="15">
        <v>1.1000000000000001</v>
      </c>
      <c r="F125" s="15">
        <v>4.7</v>
      </c>
      <c r="G125" s="5">
        <f t="shared" si="15"/>
        <v>1314.3000000000002</v>
      </c>
      <c r="H125" s="5">
        <f t="shared" si="22"/>
        <v>152.6</v>
      </c>
      <c r="J125" s="5">
        <v>0</v>
      </c>
      <c r="K125" s="5">
        <f t="shared" si="16"/>
        <v>215.29999999999995</v>
      </c>
      <c r="L125" s="5">
        <v>0.5</v>
      </c>
      <c r="M125" s="5">
        <f t="shared" si="17"/>
        <v>153.20000000000005</v>
      </c>
      <c r="N125" s="9">
        <f t="shared" si="14"/>
        <v>-0.5</v>
      </c>
      <c r="O125" s="5">
        <f t="shared" si="20"/>
        <v>132.30000000000001</v>
      </c>
      <c r="P125" s="5">
        <v>120</v>
      </c>
      <c r="Q125" s="5">
        <v>1</v>
      </c>
      <c r="R125" s="10">
        <f t="shared" si="11"/>
        <v>0.5</v>
      </c>
      <c r="S125" s="10">
        <f t="shared" si="12"/>
        <v>-0.5</v>
      </c>
      <c r="T125" s="10">
        <f t="shared" si="18"/>
        <v>146.315925925926</v>
      </c>
      <c r="V125" s="14">
        <v>425.3</v>
      </c>
      <c r="W125" s="5">
        <f t="shared" si="13"/>
        <v>177.20833333333334</v>
      </c>
      <c r="X125" s="5">
        <f t="shared" si="19"/>
        <v>78816.2</v>
      </c>
      <c r="Y125" s="5">
        <f t="shared" si="23"/>
        <v>6421.4000000000005</v>
      </c>
      <c r="AA125" s="5">
        <v>8.3199855789856905</v>
      </c>
    </row>
    <row r="126" spans="1:27" s="5" customFormat="1" x14ac:dyDescent="0.25">
      <c r="A126" s="70"/>
      <c r="B126" s="18"/>
      <c r="C126" s="7">
        <v>42004</v>
      </c>
      <c r="D126" s="15">
        <v>1.6</v>
      </c>
      <c r="E126" s="15">
        <v>0</v>
      </c>
      <c r="F126" s="5">
        <v>5.6</v>
      </c>
      <c r="G126" s="5">
        <f t="shared" si="15"/>
        <v>1315.9</v>
      </c>
      <c r="H126" s="5">
        <f t="shared" si="22"/>
        <v>154.19999999999999</v>
      </c>
      <c r="J126" s="5">
        <v>0</v>
      </c>
      <c r="K126" s="5">
        <f t="shared" si="16"/>
        <v>215.29999999999995</v>
      </c>
      <c r="L126" s="5">
        <v>0.7</v>
      </c>
      <c r="M126" s="5">
        <f t="shared" si="17"/>
        <v>153.90000000000003</v>
      </c>
      <c r="N126" s="9">
        <f t="shared" si="14"/>
        <v>-0.7</v>
      </c>
      <c r="O126" s="5">
        <f t="shared" si="20"/>
        <v>131.60000000000002</v>
      </c>
      <c r="P126" s="5">
        <v>121</v>
      </c>
      <c r="Q126" s="5">
        <v>1</v>
      </c>
      <c r="R126" s="10">
        <f t="shared" si="11"/>
        <v>0.7</v>
      </c>
      <c r="S126" s="10">
        <f t="shared" si="12"/>
        <v>-0.7</v>
      </c>
      <c r="T126" s="10">
        <f t="shared" si="18"/>
        <v>145.61592592592601</v>
      </c>
      <c r="V126" s="14">
        <v>542.1</v>
      </c>
      <c r="W126" s="5">
        <f t="shared" si="13"/>
        <v>338.8125</v>
      </c>
      <c r="X126" s="5">
        <f t="shared" si="19"/>
        <v>79358.3</v>
      </c>
      <c r="Y126" s="5">
        <f t="shared" si="23"/>
        <v>6963.5000000000009</v>
      </c>
      <c r="AA126" s="5">
        <v>8.3325485071657397</v>
      </c>
    </row>
    <row r="127" spans="1:27" s="5" customFormat="1" x14ac:dyDescent="0.25">
      <c r="A127" s="70"/>
      <c r="B127" s="18"/>
      <c r="C127" s="7">
        <v>42005</v>
      </c>
      <c r="D127" s="15">
        <v>0.3</v>
      </c>
      <c r="E127" s="20">
        <v>-3.7</v>
      </c>
      <c r="F127" s="15">
        <v>4.4000000000000004</v>
      </c>
      <c r="G127" s="5">
        <f t="shared" si="15"/>
        <v>1316.2</v>
      </c>
      <c r="H127" s="5">
        <f t="shared" si="22"/>
        <v>154.5</v>
      </c>
      <c r="J127" s="5">
        <v>0.1</v>
      </c>
      <c r="K127" s="5">
        <f t="shared" si="16"/>
        <v>215.39999999999995</v>
      </c>
      <c r="L127" s="5">
        <v>0.5</v>
      </c>
      <c r="M127" s="5">
        <f t="shared" si="17"/>
        <v>154.40000000000003</v>
      </c>
      <c r="N127" s="9">
        <f t="shared" si="14"/>
        <v>-0.4</v>
      </c>
      <c r="O127" s="5">
        <f t="shared" si="20"/>
        <v>131.20000000000002</v>
      </c>
      <c r="P127" s="5">
        <v>122</v>
      </c>
      <c r="Q127" s="5">
        <v>1</v>
      </c>
      <c r="R127" s="10">
        <f t="shared" si="11"/>
        <v>0.5</v>
      </c>
      <c r="S127" s="10">
        <f t="shared" si="12"/>
        <v>-0.4</v>
      </c>
      <c r="T127" s="10">
        <f t="shared" si="18"/>
        <v>145.215925925926</v>
      </c>
      <c r="V127" s="14">
        <v>443.7</v>
      </c>
      <c r="W127" s="5">
        <f t="shared" si="13"/>
        <v>1479</v>
      </c>
      <c r="X127" s="5">
        <f t="shared" si="19"/>
        <v>79802</v>
      </c>
      <c r="Y127" s="5">
        <f t="shared" si="23"/>
        <v>7407.2000000000007</v>
      </c>
      <c r="AA127" s="5">
        <v>8.3511761024436897</v>
      </c>
    </row>
    <row r="128" spans="1:27" s="5" customFormat="1" x14ac:dyDescent="0.25">
      <c r="A128" s="70"/>
      <c r="B128" s="18"/>
      <c r="C128" s="7">
        <v>42006</v>
      </c>
      <c r="D128" s="15">
        <v>4.0999999999999996</v>
      </c>
      <c r="E128" s="15">
        <v>0.9</v>
      </c>
      <c r="F128" s="5">
        <v>6.1</v>
      </c>
      <c r="G128" s="5">
        <f t="shared" si="15"/>
        <v>1320.3</v>
      </c>
      <c r="H128" s="5">
        <f t="shared" si="22"/>
        <v>158.6</v>
      </c>
      <c r="J128" s="5">
        <v>2.1</v>
      </c>
      <c r="K128" s="5">
        <f t="shared" si="16"/>
        <v>217.49999999999994</v>
      </c>
      <c r="L128" s="5">
        <v>0.2</v>
      </c>
      <c r="M128" s="5">
        <f t="shared" si="17"/>
        <v>154.60000000000002</v>
      </c>
      <c r="N128" s="5">
        <f t="shared" si="14"/>
        <v>1.9000000000000001</v>
      </c>
      <c r="O128" s="5">
        <f t="shared" si="20"/>
        <v>133.10000000000002</v>
      </c>
      <c r="P128" s="5">
        <v>123</v>
      </c>
      <c r="Q128" s="5">
        <v>1</v>
      </c>
      <c r="R128" s="10">
        <f t="shared" si="11"/>
        <v>0.2</v>
      </c>
      <c r="S128" s="10">
        <f t="shared" si="12"/>
        <v>1.9000000000000001</v>
      </c>
      <c r="T128" s="10">
        <f t="shared" si="18"/>
        <v>147.11592592592601</v>
      </c>
      <c r="V128" s="14">
        <v>190.7</v>
      </c>
      <c r="W128" s="5">
        <f t="shared" si="13"/>
        <v>46.512195121951223</v>
      </c>
      <c r="X128" s="5">
        <f t="shared" si="19"/>
        <v>79992.7</v>
      </c>
      <c r="Y128" s="5">
        <f t="shared" si="23"/>
        <v>7597.9000000000005</v>
      </c>
      <c r="AA128" s="5">
        <v>8.3672182496437504</v>
      </c>
    </row>
    <row r="129" spans="1:27" s="5" customFormat="1" x14ac:dyDescent="0.25">
      <c r="A129" s="70"/>
      <c r="B129" s="6"/>
      <c r="C129" s="7">
        <v>42007</v>
      </c>
      <c r="D129" s="5">
        <v>7.7</v>
      </c>
      <c r="E129" s="15">
        <v>1.7</v>
      </c>
      <c r="F129" s="5">
        <v>12.2</v>
      </c>
      <c r="G129" s="5">
        <f t="shared" si="15"/>
        <v>1328</v>
      </c>
      <c r="H129" s="5">
        <f t="shared" si="22"/>
        <v>166.29999999999998</v>
      </c>
      <c r="J129" s="5">
        <v>5.6</v>
      </c>
      <c r="K129" s="5">
        <f t="shared" si="16"/>
        <v>223.09999999999994</v>
      </c>
      <c r="L129" s="5">
        <v>0.1</v>
      </c>
      <c r="M129" s="5">
        <f t="shared" si="17"/>
        <v>154.70000000000002</v>
      </c>
      <c r="N129" s="5">
        <f t="shared" si="14"/>
        <v>5.5</v>
      </c>
      <c r="O129" s="5">
        <f t="shared" si="20"/>
        <v>138.60000000000002</v>
      </c>
      <c r="P129" s="5">
        <v>124</v>
      </c>
      <c r="Q129" s="5">
        <v>1</v>
      </c>
      <c r="R129" s="10">
        <f t="shared" si="11"/>
        <v>0.1</v>
      </c>
      <c r="S129" s="10">
        <f t="shared" si="12"/>
        <v>5.5</v>
      </c>
      <c r="T129" s="10">
        <f t="shared" si="18"/>
        <v>152.61592592592601</v>
      </c>
      <c r="V129" s="14">
        <v>106.7</v>
      </c>
      <c r="W129" s="5">
        <f t="shared" si="13"/>
        <v>13.857142857142858</v>
      </c>
      <c r="X129" s="5">
        <f t="shared" si="19"/>
        <v>80099.399999999994</v>
      </c>
      <c r="Y129" s="5">
        <f t="shared" si="23"/>
        <v>7704.6</v>
      </c>
      <c r="AA129" s="5">
        <v>8.3847437290581297</v>
      </c>
    </row>
    <row r="130" spans="1:27" s="5" customFormat="1" x14ac:dyDescent="0.25">
      <c r="A130" s="70"/>
      <c r="B130" s="18"/>
      <c r="C130" s="7">
        <v>42008</v>
      </c>
      <c r="D130" s="15">
        <v>3.3</v>
      </c>
      <c r="E130" s="15">
        <v>0.7</v>
      </c>
      <c r="F130" s="5">
        <v>5.9</v>
      </c>
      <c r="G130" s="5">
        <f t="shared" si="15"/>
        <v>1331.3</v>
      </c>
      <c r="H130" s="5">
        <f t="shared" si="22"/>
        <v>169.6</v>
      </c>
      <c r="J130" s="5">
        <v>0</v>
      </c>
      <c r="K130" s="5">
        <f t="shared" si="16"/>
        <v>223.09999999999994</v>
      </c>
      <c r="L130" s="5">
        <v>0.2</v>
      </c>
      <c r="M130" s="5">
        <f t="shared" si="17"/>
        <v>154.9</v>
      </c>
      <c r="N130" s="9">
        <f t="shared" si="14"/>
        <v>-0.2</v>
      </c>
      <c r="O130" s="5">
        <f t="shared" si="20"/>
        <v>138.40000000000003</v>
      </c>
      <c r="P130" s="5">
        <v>125</v>
      </c>
      <c r="Q130" s="5">
        <v>1</v>
      </c>
      <c r="R130" s="10">
        <f t="shared" si="11"/>
        <v>0.2</v>
      </c>
      <c r="S130" s="10">
        <f t="shared" si="12"/>
        <v>-0.2</v>
      </c>
      <c r="T130" s="10">
        <f t="shared" si="18"/>
        <v>152.41592592592602</v>
      </c>
      <c r="V130" s="14">
        <v>175.3</v>
      </c>
      <c r="W130" s="5">
        <f t="shared" si="13"/>
        <v>53.121212121212125</v>
      </c>
      <c r="X130" s="5">
        <f t="shared" si="19"/>
        <v>80274.7</v>
      </c>
      <c r="Y130" s="5">
        <f t="shared" si="23"/>
        <v>7879.9000000000005</v>
      </c>
      <c r="AA130" s="5">
        <v>8.4037331646329996</v>
      </c>
    </row>
    <row r="131" spans="1:27" s="5" customFormat="1" x14ac:dyDescent="0.25">
      <c r="A131" s="70"/>
      <c r="B131" s="18"/>
      <c r="C131" s="7">
        <v>42009</v>
      </c>
      <c r="D131" s="20">
        <v>-0.6</v>
      </c>
      <c r="E131" s="20">
        <v>-2</v>
      </c>
      <c r="F131" s="15">
        <v>1.5</v>
      </c>
      <c r="G131" s="5">
        <v>1331.3</v>
      </c>
      <c r="H131" s="5">
        <v>169.6</v>
      </c>
      <c r="J131" s="5">
        <v>0.1</v>
      </c>
      <c r="K131" s="5">
        <f t="shared" si="16"/>
        <v>223.19999999999993</v>
      </c>
      <c r="L131" s="5">
        <v>0.2</v>
      </c>
      <c r="M131" s="5">
        <f t="shared" si="17"/>
        <v>155.1</v>
      </c>
      <c r="N131" s="9">
        <f t="shared" si="14"/>
        <v>-0.1</v>
      </c>
      <c r="O131" s="5">
        <f t="shared" si="20"/>
        <v>138.30000000000004</v>
      </c>
      <c r="P131" s="5">
        <v>126</v>
      </c>
      <c r="Q131" s="5">
        <v>1</v>
      </c>
      <c r="R131" s="10">
        <f t="shared" si="11"/>
        <v>0.2</v>
      </c>
      <c r="S131" s="10">
        <f t="shared" si="12"/>
        <v>-0.1</v>
      </c>
      <c r="T131" s="10">
        <f t="shared" si="18"/>
        <v>152.31592592592602</v>
      </c>
      <c r="V131" s="14">
        <v>143.80000000000001</v>
      </c>
      <c r="W131" s="5">
        <f t="shared" si="13"/>
        <v>-239.66666666666669</v>
      </c>
      <c r="X131" s="5">
        <f t="shared" si="19"/>
        <v>80418.5</v>
      </c>
      <c r="Y131" s="5">
        <f t="shared" si="23"/>
        <v>8023.7000000000007</v>
      </c>
      <c r="AA131" s="5">
        <v>8.42416576941892</v>
      </c>
    </row>
    <row r="132" spans="1:27" s="5" customFormat="1" x14ac:dyDescent="0.25">
      <c r="A132" s="70"/>
      <c r="B132" s="18"/>
      <c r="C132" s="7">
        <v>42010</v>
      </c>
      <c r="D132" s="15">
        <v>0.6</v>
      </c>
      <c r="E132" s="20">
        <v>-1.9</v>
      </c>
      <c r="F132" s="15">
        <v>4.2</v>
      </c>
      <c r="G132" s="5">
        <f t="shared" si="15"/>
        <v>1331.8999999999999</v>
      </c>
      <c r="H132" s="5">
        <f t="shared" si="22"/>
        <v>170.2</v>
      </c>
      <c r="J132" s="5">
        <v>0</v>
      </c>
      <c r="K132" s="5">
        <f t="shared" si="16"/>
        <v>223.19999999999993</v>
      </c>
      <c r="L132" s="5">
        <v>0.3</v>
      </c>
      <c r="M132" s="5">
        <f t="shared" si="17"/>
        <v>155.4</v>
      </c>
      <c r="N132" s="9">
        <f t="shared" si="14"/>
        <v>-0.3</v>
      </c>
      <c r="O132" s="5">
        <f t="shared" si="20"/>
        <v>138.00000000000003</v>
      </c>
      <c r="P132" s="5">
        <v>127</v>
      </c>
      <c r="Q132" s="5">
        <v>1</v>
      </c>
      <c r="R132" s="10">
        <f t="shared" si="11"/>
        <v>0.3</v>
      </c>
      <c r="S132" s="10">
        <f t="shared" si="12"/>
        <v>-0.3</v>
      </c>
      <c r="T132" s="10">
        <f t="shared" si="18"/>
        <v>152.01592592592601</v>
      </c>
      <c r="V132" s="14">
        <v>251</v>
      </c>
      <c r="W132" s="5">
        <f t="shared" si="13"/>
        <v>418.33333333333337</v>
      </c>
      <c r="X132" s="5">
        <f t="shared" si="19"/>
        <v>80669.5</v>
      </c>
      <c r="Y132" s="5">
        <f t="shared" si="23"/>
        <v>8274.7000000000007</v>
      </c>
      <c r="AA132" s="5">
        <v>8.4460194276780403</v>
      </c>
    </row>
    <row r="133" spans="1:27" s="5" customFormat="1" x14ac:dyDescent="0.25">
      <c r="A133" s="70"/>
      <c r="B133" s="18"/>
      <c r="C133" s="7">
        <v>42011</v>
      </c>
      <c r="D133" s="15">
        <v>4.0999999999999996</v>
      </c>
      <c r="E133" s="15">
        <v>2.6</v>
      </c>
      <c r="F133" s="5">
        <v>8.3000000000000007</v>
      </c>
      <c r="G133" s="5">
        <f t="shared" si="15"/>
        <v>1335.9999999999998</v>
      </c>
      <c r="H133" s="5">
        <f t="shared" si="22"/>
        <v>174.29999999999998</v>
      </c>
      <c r="J133" s="5">
        <v>0</v>
      </c>
      <c r="K133" s="5">
        <f t="shared" si="16"/>
        <v>223.19999999999993</v>
      </c>
      <c r="L133" s="5">
        <v>0.5</v>
      </c>
      <c r="M133" s="5">
        <f t="shared" si="17"/>
        <v>155.9</v>
      </c>
      <c r="N133" s="9">
        <f t="shared" si="14"/>
        <v>-0.5</v>
      </c>
      <c r="O133" s="5">
        <f t="shared" si="20"/>
        <v>137.50000000000003</v>
      </c>
      <c r="P133" s="5">
        <v>128</v>
      </c>
      <c r="Q133" s="5">
        <v>1</v>
      </c>
      <c r="R133" s="10">
        <f t="shared" si="11"/>
        <v>0.5</v>
      </c>
      <c r="S133" s="10">
        <f t="shared" si="12"/>
        <v>-0.5</v>
      </c>
      <c r="T133" s="10">
        <f t="shared" si="18"/>
        <v>151.51592592592601</v>
      </c>
      <c r="V133" s="14">
        <v>190.4</v>
      </c>
      <c r="W133" s="5">
        <f t="shared" si="13"/>
        <v>46.439024390243908</v>
      </c>
      <c r="X133" s="5">
        <f t="shared" si="19"/>
        <v>80859.899999999994</v>
      </c>
      <c r="Y133" s="5">
        <f t="shared" si="23"/>
        <v>8465.1</v>
      </c>
      <c r="AA133" s="5">
        <v>8.4692707804734209</v>
      </c>
    </row>
    <row r="134" spans="1:27" s="5" customFormat="1" x14ac:dyDescent="0.25">
      <c r="A134" s="70"/>
      <c r="B134" s="6"/>
      <c r="C134" s="7">
        <v>42012</v>
      </c>
      <c r="D134" s="5">
        <v>8</v>
      </c>
      <c r="E134" s="15">
        <v>5</v>
      </c>
      <c r="F134" s="5">
        <v>9.8000000000000007</v>
      </c>
      <c r="G134" s="5">
        <f t="shared" si="15"/>
        <v>1343.9999999999998</v>
      </c>
      <c r="H134" s="5">
        <f t="shared" si="22"/>
        <v>182.29999999999998</v>
      </c>
      <c r="J134" s="5">
        <v>3.3</v>
      </c>
      <c r="K134" s="5">
        <f t="shared" si="16"/>
        <v>226.49999999999994</v>
      </c>
      <c r="L134" s="5">
        <v>0.1</v>
      </c>
      <c r="M134" s="5">
        <f t="shared" si="17"/>
        <v>156</v>
      </c>
      <c r="N134" s="5">
        <f t="shared" si="14"/>
        <v>3.1999999999999997</v>
      </c>
      <c r="O134" s="5">
        <f t="shared" si="20"/>
        <v>140.70000000000002</v>
      </c>
      <c r="P134" s="5">
        <v>129</v>
      </c>
      <c r="Q134" s="5">
        <v>1</v>
      </c>
      <c r="R134" s="10">
        <f t="shared" ref="R134:R197" si="24">Q134*L134</f>
        <v>0.1</v>
      </c>
      <c r="S134" s="10">
        <f t="shared" ref="S134:S197" si="25">J134-R134</f>
        <v>3.1999999999999997</v>
      </c>
      <c r="T134" s="10">
        <f t="shared" si="18"/>
        <v>154.715925925926</v>
      </c>
      <c r="V134" s="14">
        <v>94.1</v>
      </c>
      <c r="W134" s="5">
        <f t="shared" ref="W134:W197" si="26">V134/D134</f>
        <v>11.762499999999999</v>
      </c>
      <c r="X134" s="5">
        <f t="shared" si="19"/>
        <v>80954</v>
      </c>
      <c r="Y134" s="5">
        <f t="shared" si="23"/>
        <v>8559.2000000000007</v>
      </c>
      <c r="AA134" s="5">
        <v>8.4938953140908708</v>
      </c>
    </row>
    <row r="135" spans="1:27" s="5" customFormat="1" x14ac:dyDescent="0.25">
      <c r="A135" s="70"/>
      <c r="B135" s="6"/>
      <c r="C135" s="7">
        <v>42013</v>
      </c>
      <c r="D135" s="5">
        <v>10.6</v>
      </c>
      <c r="E135" s="5">
        <v>6</v>
      </c>
      <c r="F135" s="5">
        <v>13.3</v>
      </c>
      <c r="G135" s="5">
        <f t="shared" si="15"/>
        <v>1354.5999999999997</v>
      </c>
      <c r="H135" s="5">
        <f t="shared" si="22"/>
        <v>192.89999999999998</v>
      </c>
      <c r="J135" s="5">
        <v>0.9</v>
      </c>
      <c r="K135" s="5">
        <f t="shared" si="16"/>
        <v>227.39999999999995</v>
      </c>
      <c r="L135" s="5">
        <v>0.2</v>
      </c>
      <c r="M135" s="5">
        <f t="shared" si="17"/>
        <v>156.19999999999999</v>
      </c>
      <c r="N135" s="5">
        <f t="shared" ref="N135:N198" si="27">J135-L135</f>
        <v>0.7</v>
      </c>
      <c r="O135" s="5">
        <f t="shared" si="20"/>
        <v>141.4</v>
      </c>
      <c r="P135" s="5">
        <v>130</v>
      </c>
      <c r="Q135" s="5">
        <v>1</v>
      </c>
      <c r="R135" s="10">
        <f t="shared" si="24"/>
        <v>0.2</v>
      </c>
      <c r="S135" s="10">
        <f t="shared" si="25"/>
        <v>0.7</v>
      </c>
      <c r="T135" s="10">
        <f t="shared" si="18"/>
        <v>155.41592592592599</v>
      </c>
      <c r="V135" s="14">
        <v>110.5</v>
      </c>
      <c r="W135" s="5">
        <f t="shared" si="26"/>
        <v>10.424528301886793</v>
      </c>
      <c r="X135" s="5">
        <f t="shared" si="19"/>
        <v>81064.5</v>
      </c>
      <c r="Y135" s="5">
        <f t="shared" si="23"/>
        <v>8669.7000000000007</v>
      </c>
      <c r="AA135" s="5">
        <v>8.5198674506445098</v>
      </c>
    </row>
    <row r="136" spans="1:27" s="5" customFormat="1" x14ac:dyDescent="0.25">
      <c r="A136" s="70"/>
      <c r="B136" s="6"/>
      <c r="C136" s="7">
        <v>42014</v>
      </c>
      <c r="D136" s="5">
        <v>11.6</v>
      </c>
      <c r="E136" s="5">
        <v>11.2</v>
      </c>
      <c r="F136" s="5">
        <v>12.6</v>
      </c>
      <c r="G136" s="5">
        <f t="shared" ref="G136:G199" si="28">G135+D136</f>
        <v>1366.1999999999996</v>
      </c>
      <c r="H136" s="5">
        <f t="shared" si="22"/>
        <v>204.49999999999997</v>
      </c>
      <c r="J136" s="5">
        <v>4.4000000000000004</v>
      </c>
      <c r="K136" s="5">
        <f t="shared" ref="K136:K199" si="29">K135+J136</f>
        <v>231.79999999999995</v>
      </c>
      <c r="L136" s="5">
        <v>0.9</v>
      </c>
      <c r="M136" s="5">
        <f t="shared" ref="M136:M199" si="30">M135+L136</f>
        <v>157.1</v>
      </c>
      <c r="N136" s="5">
        <f t="shared" si="27"/>
        <v>3.5000000000000004</v>
      </c>
      <c r="O136" s="5">
        <f t="shared" si="20"/>
        <v>144.9</v>
      </c>
      <c r="P136" s="5">
        <v>131</v>
      </c>
      <c r="Q136" s="5">
        <v>1</v>
      </c>
      <c r="R136" s="10">
        <f t="shared" si="24"/>
        <v>0.9</v>
      </c>
      <c r="S136" s="10">
        <f t="shared" si="25"/>
        <v>3.5000000000000004</v>
      </c>
      <c r="T136" s="10">
        <f t="shared" ref="T136:T199" si="31">MIN(197.4,(T135+S136))</f>
        <v>158.91592592592599</v>
      </c>
      <c r="V136" s="14">
        <v>150.1</v>
      </c>
      <c r="W136" s="5">
        <f t="shared" si="26"/>
        <v>12.939655172413794</v>
      </c>
      <c r="X136" s="5">
        <f t="shared" ref="X136:X199" si="32">X135+V136</f>
        <v>81214.600000000006</v>
      </c>
      <c r="Y136" s="5">
        <f t="shared" si="23"/>
        <v>8819.8000000000011</v>
      </c>
      <c r="AA136" s="5">
        <v>8.5471606402260303</v>
      </c>
    </row>
    <row r="137" spans="1:27" s="5" customFormat="1" x14ac:dyDescent="0.25">
      <c r="A137" s="70"/>
      <c r="B137" s="6"/>
      <c r="C137" s="7">
        <v>42015</v>
      </c>
      <c r="D137" s="5">
        <v>5.7</v>
      </c>
      <c r="E137" s="15">
        <v>4</v>
      </c>
      <c r="F137" s="5">
        <v>7.6</v>
      </c>
      <c r="G137" s="5">
        <f t="shared" si="28"/>
        <v>1371.8999999999996</v>
      </c>
      <c r="H137" s="5">
        <f t="shared" si="22"/>
        <v>210.19999999999996</v>
      </c>
      <c r="J137" s="5">
        <v>0</v>
      </c>
      <c r="K137" s="5">
        <f t="shared" si="29"/>
        <v>231.79999999999995</v>
      </c>
      <c r="L137" s="5">
        <v>0.8</v>
      </c>
      <c r="M137" s="5">
        <f t="shared" si="30"/>
        <v>157.9</v>
      </c>
      <c r="N137" s="9">
        <f t="shared" si="27"/>
        <v>-0.8</v>
      </c>
      <c r="O137" s="5">
        <f t="shared" ref="O137:O200" si="33">O136+N137</f>
        <v>144.1</v>
      </c>
      <c r="P137" s="5">
        <v>132</v>
      </c>
      <c r="Q137" s="5">
        <v>1</v>
      </c>
      <c r="R137" s="10">
        <f t="shared" si="24"/>
        <v>0.8</v>
      </c>
      <c r="S137" s="10">
        <f t="shared" si="25"/>
        <v>-0.8</v>
      </c>
      <c r="T137" s="10">
        <f t="shared" si="31"/>
        <v>158.11592592592598</v>
      </c>
      <c r="V137" s="14">
        <v>630.4</v>
      </c>
      <c r="W137" s="5">
        <f t="shared" si="26"/>
        <v>110.59649122807016</v>
      </c>
      <c r="X137" s="5">
        <f t="shared" si="32"/>
        <v>81845</v>
      </c>
      <c r="Y137" s="5">
        <f t="shared" si="23"/>
        <v>9450.2000000000007</v>
      </c>
      <c r="AA137" s="5">
        <v>8.5757474539727205</v>
      </c>
    </row>
    <row r="138" spans="1:27" s="5" customFormat="1" x14ac:dyDescent="0.25">
      <c r="A138" s="70"/>
      <c r="B138" s="6"/>
      <c r="C138" s="7">
        <v>42016</v>
      </c>
      <c r="D138" s="5">
        <v>6.8</v>
      </c>
      <c r="E138" s="15">
        <v>4.3</v>
      </c>
      <c r="F138" s="5">
        <v>7.8</v>
      </c>
      <c r="G138" s="5">
        <f t="shared" si="28"/>
        <v>1378.6999999999996</v>
      </c>
      <c r="H138" s="5">
        <f t="shared" si="22"/>
        <v>216.99999999999997</v>
      </c>
      <c r="J138" s="5">
        <v>0</v>
      </c>
      <c r="K138" s="5">
        <f t="shared" si="29"/>
        <v>231.79999999999995</v>
      </c>
      <c r="L138" s="5">
        <v>0.7</v>
      </c>
      <c r="M138" s="5">
        <f t="shared" si="30"/>
        <v>158.6</v>
      </c>
      <c r="N138" s="9">
        <f t="shared" si="27"/>
        <v>-0.7</v>
      </c>
      <c r="O138" s="5">
        <f t="shared" si="33"/>
        <v>143.4</v>
      </c>
      <c r="P138" s="5">
        <v>133</v>
      </c>
      <c r="Q138" s="5">
        <v>1</v>
      </c>
      <c r="R138" s="10">
        <f t="shared" si="24"/>
        <v>0.7</v>
      </c>
      <c r="S138" s="10">
        <f t="shared" si="25"/>
        <v>-0.7</v>
      </c>
      <c r="T138" s="10">
        <f t="shared" si="31"/>
        <v>157.41592592592599</v>
      </c>
      <c r="V138" s="14">
        <v>103</v>
      </c>
      <c r="W138" s="5">
        <f t="shared" si="26"/>
        <v>15.147058823529413</v>
      </c>
      <c r="X138" s="5">
        <f t="shared" si="32"/>
        <v>81948</v>
      </c>
      <c r="Y138" s="5">
        <f t="shared" si="23"/>
        <v>9553.2000000000007</v>
      </c>
      <c r="AA138" s="5">
        <v>8.6055996774510906</v>
      </c>
    </row>
    <row r="139" spans="1:27" s="5" customFormat="1" x14ac:dyDescent="0.25">
      <c r="A139" s="70"/>
      <c r="B139" s="6"/>
      <c r="C139" s="7">
        <v>42017</v>
      </c>
      <c r="D139" s="5">
        <v>8</v>
      </c>
      <c r="E139" s="5">
        <v>5.9</v>
      </c>
      <c r="F139" s="5">
        <v>9.6999999999999993</v>
      </c>
      <c r="G139" s="5">
        <f t="shared" si="28"/>
        <v>1386.6999999999996</v>
      </c>
      <c r="H139" s="5">
        <f t="shared" si="22"/>
        <v>224.99999999999997</v>
      </c>
      <c r="J139" s="5">
        <v>5</v>
      </c>
      <c r="K139" s="5">
        <f t="shared" si="29"/>
        <v>236.79999999999995</v>
      </c>
      <c r="L139" s="5">
        <v>0.9</v>
      </c>
      <c r="M139" s="5">
        <f t="shared" si="30"/>
        <v>159.5</v>
      </c>
      <c r="N139" s="5">
        <f t="shared" si="27"/>
        <v>4.0999999999999996</v>
      </c>
      <c r="O139" s="5">
        <f t="shared" si="33"/>
        <v>147.5</v>
      </c>
      <c r="P139" s="5">
        <v>134</v>
      </c>
      <c r="Q139" s="5">
        <v>1</v>
      </c>
      <c r="R139" s="10">
        <f t="shared" si="24"/>
        <v>0.9</v>
      </c>
      <c r="S139" s="10">
        <f t="shared" si="25"/>
        <v>4.0999999999999996</v>
      </c>
      <c r="T139" s="10">
        <f t="shared" si="31"/>
        <v>161.51592592592598</v>
      </c>
      <c r="V139" s="14">
        <v>177.9</v>
      </c>
      <c r="W139" s="5">
        <f t="shared" si="26"/>
        <v>22.237500000000001</v>
      </c>
      <c r="X139" s="5">
        <f t="shared" si="32"/>
        <v>82125.899999999994</v>
      </c>
      <c r="Y139" s="5">
        <f t="shared" si="23"/>
        <v>9731.1</v>
      </c>
      <c r="AA139" s="5">
        <v>8.6366884037798801</v>
      </c>
    </row>
    <row r="140" spans="1:27" s="5" customFormat="1" x14ac:dyDescent="0.25">
      <c r="A140" s="70"/>
      <c r="B140" s="6"/>
      <c r="C140" s="7">
        <v>42018</v>
      </c>
      <c r="D140" s="5">
        <v>6.9</v>
      </c>
      <c r="E140" s="5">
        <v>5.8</v>
      </c>
      <c r="F140" s="5">
        <v>9.1</v>
      </c>
      <c r="G140" s="5">
        <f t="shared" si="28"/>
        <v>1393.5999999999997</v>
      </c>
      <c r="H140" s="5">
        <f t="shared" si="22"/>
        <v>231.89999999999998</v>
      </c>
      <c r="J140" s="5">
        <v>1.8</v>
      </c>
      <c r="K140" s="5">
        <f t="shared" si="29"/>
        <v>238.59999999999997</v>
      </c>
      <c r="L140" s="5">
        <v>1.1000000000000001</v>
      </c>
      <c r="M140" s="5">
        <f t="shared" si="30"/>
        <v>160.6</v>
      </c>
      <c r="N140" s="5">
        <f t="shared" si="27"/>
        <v>0.7</v>
      </c>
      <c r="O140" s="5">
        <f t="shared" si="33"/>
        <v>148.19999999999999</v>
      </c>
      <c r="P140" s="5">
        <v>135</v>
      </c>
      <c r="Q140" s="5">
        <v>1</v>
      </c>
      <c r="R140" s="10">
        <f t="shared" si="24"/>
        <v>1.1000000000000001</v>
      </c>
      <c r="S140" s="10">
        <f t="shared" si="25"/>
        <v>0.7</v>
      </c>
      <c r="T140" s="10">
        <f t="shared" si="31"/>
        <v>162.21592592592597</v>
      </c>
      <c r="V140" s="14">
        <v>182</v>
      </c>
      <c r="W140" s="5">
        <f t="shared" si="26"/>
        <v>26.376811594202898</v>
      </c>
      <c r="X140" s="5">
        <f t="shared" si="32"/>
        <v>82307.899999999994</v>
      </c>
      <c r="Y140" s="5">
        <f t="shared" si="23"/>
        <v>9913.1</v>
      </c>
      <c r="AA140" s="5">
        <v>8.6689841259482403</v>
      </c>
    </row>
    <row r="141" spans="1:27" s="5" customFormat="1" x14ac:dyDescent="0.25">
      <c r="A141" s="70"/>
      <c r="B141" s="6"/>
      <c r="C141" s="7">
        <v>42019</v>
      </c>
      <c r="D141" s="5">
        <v>8.6999999999999993</v>
      </c>
      <c r="E141" s="5">
        <v>6.3</v>
      </c>
      <c r="F141" s="5">
        <v>10.8</v>
      </c>
      <c r="G141" s="5">
        <f t="shared" si="28"/>
        <v>1402.2999999999997</v>
      </c>
      <c r="H141" s="5">
        <f t="shared" si="22"/>
        <v>240.59999999999997</v>
      </c>
      <c r="J141" s="5">
        <v>3.2</v>
      </c>
      <c r="K141" s="5">
        <f t="shared" si="29"/>
        <v>241.79999999999995</v>
      </c>
      <c r="L141" s="5">
        <v>1.1000000000000001</v>
      </c>
      <c r="M141" s="5">
        <f t="shared" si="30"/>
        <v>161.69999999999999</v>
      </c>
      <c r="N141" s="5">
        <f t="shared" si="27"/>
        <v>2.1</v>
      </c>
      <c r="O141" s="5">
        <f t="shared" si="33"/>
        <v>150.29999999999998</v>
      </c>
      <c r="P141" s="5">
        <v>136</v>
      </c>
      <c r="Q141" s="5">
        <v>1</v>
      </c>
      <c r="R141" s="10">
        <f t="shared" si="24"/>
        <v>1.1000000000000001</v>
      </c>
      <c r="S141" s="10">
        <f t="shared" si="25"/>
        <v>2.1</v>
      </c>
      <c r="T141" s="10">
        <f t="shared" si="31"/>
        <v>164.31592592592597</v>
      </c>
      <c r="V141" s="14">
        <v>152.69999999999999</v>
      </c>
      <c r="W141" s="5">
        <f t="shared" si="26"/>
        <v>17.551724137931036</v>
      </c>
      <c r="X141" s="5">
        <f t="shared" si="32"/>
        <v>82460.599999999991</v>
      </c>
      <c r="Y141" s="5">
        <f t="shared" si="23"/>
        <v>10065.800000000001</v>
      </c>
      <c r="AA141" s="5">
        <v>8.7024568278207006</v>
      </c>
    </row>
    <row r="142" spans="1:27" s="5" customFormat="1" x14ac:dyDescent="0.25">
      <c r="A142" s="70"/>
      <c r="B142" s="6"/>
      <c r="C142" s="7">
        <v>42020</v>
      </c>
      <c r="D142" s="5">
        <v>5.4</v>
      </c>
      <c r="E142" s="15">
        <v>4.7</v>
      </c>
      <c r="F142" s="5">
        <v>7.1</v>
      </c>
      <c r="G142" s="5">
        <f t="shared" si="28"/>
        <v>1407.6999999999998</v>
      </c>
      <c r="H142" s="5">
        <f t="shared" si="22"/>
        <v>245.99999999999997</v>
      </c>
      <c r="J142" s="5">
        <v>0.8</v>
      </c>
      <c r="K142" s="5">
        <f t="shared" si="29"/>
        <v>242.59999999999997</v>
      </c>
      <c r="L142" s="5">
        <v>0.5</v>
      </c>
      <c r="M142" s="5">
        <f t="shared" si="30"/>
        <v>162.19999999999999</v>
      </c>
      <c r="N142" s="5">
        <f t="shared" si="27"/>
        <v>0.30000000000000004</v>
      </c>
      <c r="O142" s="5">
        <f t="shared" si="33"/>
        <v>150.6</v>
      </c>
      <c r="P142" s="5">
        <v>137</v>
      </c>
      <c r="Q142" s="5">
        <v>1</v>
      </c>
      <c r="R142" s="10">
        <f t="shared" si="24"/>
        <v>0.5</v>
      </c>
      <c r="S142" s="10">
        <f t="shared" si="25"/>
        <v>0.30000000000000004</v>
      </c>
      <c r="T142" s="10">
        <f t="shared" si="31"/>
        <v>164.61592592592598</v>
      </c>
      <c r="V142" s="14">
        <v>329</v>
      </c>
      <c r="W142" s="5">
        <f t="shared" si="26"/>
        <v>60.925925925925924</v>
      </c>
      <c r="X142" s="5">
        <f t="shared" si="32"/>
        <v>82789.599999999991</v>
      </c>
      <c r="Y142" s="5">
        <f t="shared" si="23"/>
        <v>10394.800000000001</v>
      </c>
      <c r="AA142" s="5">
        <v>8.7370760733596295</v>
      </c>
    </row>
    <row r="143" spans="1:27" s="5" customFormat="1" x14ac:dyDescent="0.25">
      <c r="A143" s="70"/>
      <c r="B143" s="18"/>
      <c r="C143" s="7">
        <v>42021</v>
      </c>
      <c r="D143" s="15">
        <v>1.4</v>
      </c>
      <c r="E143" s="15">
        <v>0</v>
      </c>
      <c r="F143" s="15">
        <v>2.2000000000000002</v>
      </c>
      <c r="G143" s="5">
        <f t="shared" si="28"/>
        <v>1409.1</v>
      </c>
      <c r="H143" s="5">
        <f t="shared" si="22"/>
        <v>247.39999999999998</v>
      </c>
      <c r="J143" s="5">
        <v>0</v>
      </c>
      <c r="K143" s="5">
        <f t="shared" si="29"/>
        <v>242.59999999999997</v>
      </c>
      <c r="L143" s="5">
        <v>0.3</v>
      </c>
      <c r="M143" s="5">
        <f t="shared" si="30"/>
        <v>162.5</v>
      </c>
      <c r="N143" s="9">
        <f t="shared" si="27"/>
        <v>-0.3</v>
      </c>
      <c r="O143" s="5">
        <f t="shared" si="33"/>
        <v>150.29999999999998</v>
      </c>
      <c r="P143" s="5">
        <v>138</v>
      </c>
      <c r="Q143" s="5">
        <v>1</v>
      </c>
      <c r="R143" s="10">
        <f t="shared" si="24"/>
        <v>0.3</v>
      </c>
      <c r="S143" s="10">
        <f t="shared" si="25"/>
        <v>-0.3</v>
      </c>
      <c r="T143" s="10">
        <f t="shared" si="31"/>
        <v>164.31592592592597</v>
      </c>
      <c r="V143" s="14">
        <v>330.9</v>
      </c>
      <c r="W143" s="5">
        <f t="shared" si="26"/>
        <v>236.35714285714286</v>
      </c>
      <c r="X143" s="5">
        <f t="shared" si="32"/>
        <v>83120.499999999985</v>
      </c>
      <c r="Y143" s="5">
        <f t="shared" si="23"/>
        <v>10725.7</v>
      </c>
      <c r="AA143" s="5">
        <v>8.7728110936374506</v>
      </c>
    </row>
    <row r="144" spans="1:27" s="5" customFormat="1" x14ac:dyDescent="0.25">
      <c r="A144" s="70"/>
      <c r="B144" s="18"/>
      <c r="C144" s="7">
        <v>42022</v>
      </c>
      <c r="D144" s="15">
        <v>1.9</v>
      </c>
      <c r="E144" s="15">
        <v>0.3</v>
      </c>
      <c r="F144" s="15">
        <v>4.9000000000000004</v>
      </c>
      <c r="G144" s="5">
        <f t="shared" si="28"/>
        <v>1411</v>
      </c>
      <c r="H144" s="5">
        <f t="shared" si="22"/>
        <v>249.29999999999998</v>
      </c>
      <c r="J144" s="5">
        <v>0</v>
      </c>
      <c r="K144" s="5">
        <f t="shared" si="29"/>
        <v>242.59999999999997</v>
      </c>
      <c r="L144" s="5">
        <v>0.6</v>
      </c>
      <c r="M144" s="5">
        <f t="shared" si="30"/>
        <v>163.1</v>
      </c>
      <c r="N144" s="9">
        <f t="shared" si="27"/>
        <v>-0.6</v>
      </c>
      <c r="O144" s="5">
        <f t="shared" si="33"/>
        <v>149.69999999999999</v>
      </c>
      <c r="P144" s="5">
        <v>139</v>
      </c>
      <c r="Q144" s="5">
        <v>1</v>
      </c>
      <c r="R144" s="10">
        <f t="shared" si="24"/>
        <v>0.6</v>
      </c>
      <c r="S144" s="10">
        <f t="shared" si="25"/>
        <v>-0.6</v>
      </c>
      <c r="T144" s="10">
        <f t="shared" si="31"/>
        <v>163.71592592592597</v>
      </c>
      <c r="V144" s="14">
        <v>482</v>
      </c>
      <c r="W144" s="5">
        <f t="shared" si="26"/>
        <v>253.68421052631581</v>
      </c>
      <c r="X144" s="5">
        <f t="shared" si="32"/>
        <v>83602.499999999985</v>
      </c>
      <c r="Y144" s="5">
        <f t="shared" si="23"/>
        <v>11207.7</v>
      </c>
      <c r="AA144" s="5">
        <v>8.8096308712539795</v>
      </c>
    </row>
    <row r="145" spans="1:28" s="5" customFormat="1" x14ac:dyDescent="0.25">
      <c r="A145" s="70"/>
      <c r="B145" s="18"/>
      <c r="C145" s="7">
        <v>42023</v>
      </c>
      <c r="D145" s="15">
        <v>0.1</v>
      </c>
      <c r="E145" s="20">
        <v>-2.1</v>
      </c>
      <c r="F145" s="15">
        <v>1.6</v>
      </c>
      <c r="G145" s="5">
        <f t="shared" si="28"/>
        <v>1411.1</v>
      </c>
      <c r="H145" s="5">
        <f t="shared" si="22"/>
        <v>249.39999999999998</v>
      </c>
      <c r="J145" s="5">
        <v>1</v>
      </c>
      <c r="K145" s="5">
        <f t="shared" si="29"/>
        <v>243.59999999999997</v>
      </c>
      <c r="L145" s="5">
        <v>0.2</v>
      </c>
      <c r="M145" s="5">
        <f t="shared" si="30"/>
        <v>163.29999999999998</v>
      </c>
      <c r="N145" s="5">
        <f t="shared" si="27"/>
        <v>0.8</v>
      </c>
      <c r="O145" s="5">
        <f t="shared" si="33"/>
        <v>150.5</v>
      </c>
      <c r="P145" s="5">
        <v>140</v>
      </c>
      <c r="Q145" s="5">
        <v>1</v>
      </c>
      <c r="R145" s="10">
        <f t="shared" si="24"/>
        <v>0.2</v>
      </c>
      <c r="S145" s="10">
        <f t="shared" si="25"/>
        <v>0.8</v>
      </c>
      <c r="T145" s="10">
        <f t="shared" si="31"/>
        <v>164.51592592592598</v>
      </c>
      <c r="V145" s="14">
        <v>144.9</v>
      </c>
      <c r="W145" s="5">
        <f t="shared" si="26"/>
        <v>1449</v>
      </c>
      <c r="X145" s="5">
        <f t="shared" si="32"/>
        <v>83747.39999999998</v>
      </c>
      <c r="Y145" s="5">
        <f t="shared" si="23"/>
        <v>11352.6</v>
      </c>
      <c r="AA145" s="5">
        <v>8.8475042218184008</v>
      </c>
    </row>
    <row r="146" spans="1:28" s="5" customFormat="1" x14ac:dyDescent="0.25">
      <c r="A146" s="70"/>
      <c r="B146" s="18"/>
      <c r="C146" s="7">
        <v>42024</v>
      </c>
      <c r="D146" s="20">
        <v>-1.5</v>
      </c>
      <c r="E146" s="20">
        <v>-2</v>
      </c>
      <c r="F146" s="20">
        <v>-0.3</v>
      </c>
      <c r="G146" s="5">
        <v>1411.1</v>
      </c>
      <c r="H146" s="5">
        <v>249.4</v>
      </c>
      <c r="J146" s="5">
        <v>0</v>
      </c>
      <c r="K146" s="5">
        <f t="shared" si="29"/>
        <v>243.59999999999997</v>
      </c>
      <c r="L146" s="5">
        <v>0.3</v>
      </c>
      <c r="M146" s="5">
        <f t="shared" si="30"/>
        <v>163.6</v>
      </c>
      <c r="N146" s="9">
        <f t="shared" si="27"/>
        <v>-0.3</v>
      </c>
      <c r="O146" s="5">
        <f t="shared" si="33"/>
        <v>150.19999999999999</v>
      </c>
      <c r="P146" s="5">
        <v>141</v>
      </c>
      <c r="Q146" s="5">
        <v>1</v>
      </c>
      <c r="R146" s="10">
        <f t="shared" si="24"/>
        <v>0.3</v>
      </c>
      <c r="S146" s="10">
        <f t="shared" si="25"/>
        <v>-0.3</v>
      </c>
      <c r="T146" s="10">
        <f t="shared" si="31"/>
        <v>164.21592592592597</v>
      </c>
      <c r="V146" s="14">
        <v>291.3</v>
      </c>
      <c r="W146" s="5">
        <f t="shared" si="26"/>
        <v>-194.20000000000002</v>
      </c>
      <c r="X146" s="5">
        <f t="shared" si="32"/>
        <v>84038.699999999983</v>
      </c>
      <c r="Y146" s="5">
        <f t="shared" si="23"/>
        <v>11643.9</v>
      </c>
      <c r="AA146" s="5">
        <v>8.88639987219997</v>
      </c>
    </row>
    <row r="147" spans="1:28" s="5" customFormat="1" x14ac:dyDescent="0.25">
      <c r="A147" s="70"/>
      <c r="B147" s="18"/>
      <c r="C147" s="7">
        <v>42025</v>
      </c>
      <c r="D147" s="15">
        <v>0.6</v>
      </c>
      <c r="E147" s="20">
        <v>-1.9</v>
      </c>
      <c r="F147" s="15">
        <v>3</v>
      </c>
      <c r="G147" s="5">
        <f t="shared" si="28"/>
        <v>1411.6999999999998</v>
      </c>
      <c r="H147" s="5">
        <f t="shared" si="22"/>
        <v>250</v>
      </c>
      <c r="J147" s="5">
        <v>0</v>
      </c>
      <c r="K147" s="5">
        <f t="shared" si="29"/>
        <v>243.59999999999997</v>
      </c>
      <c r="L147" s="5">
        <v>0.6</v>
      </c>
      <c r="M147" s="5">
        <f t="shared" si="30"/>
        <v>164.2</v>
      </c>
      <c r="N147" s="9">
        <f t="shared" si="27"/>
        <v>-0.6</v>
      </c>
      <c r="O147" s="5">
        <f t="shared" si="33"/>
        <v>149.6</v>
      </c>
      <c r="P147" s="5">
        <v>142</v>
      </c>
      <c r="Q147" s="5">
        <v>1</v>
      </c>
      <c r="R147" s="10">
        <f t="shared" si="24"/>
        <v>0.6</v>
      </c>
      <c r="S147" s="10">
        <f t="shared" si="25"/>
        <v>-0.6</v>
      </c>
      <c r="T147" s="10">
        <f t="shared" si="31"/>
        <v>163.61592592592598</v>
      </c>
      <c r="V147" s="14">
        <v>567.79999999999995</v>
      </c>
      <c r="W147" s="5">
        <f t="shared" si="26"/>
        <v>946.33333333333326</v>
      </c>
      <c r="X147" s="5">
        <f t="shared" si="32"/>
        <v>84606.499999999985</v>
      </c>
      <c r="Y147" s="5">
        <f t="shared" si="23"/>
        <v>12211.699999999999</v>
      </c>
      <c r="AA147" s="5">
        <v>8.9262865352953096</v>
      </c>
    </row>
    <row r="148" spans="1:28" s="5" customFormat="1" x14ac:dyDescent="0.25">
      <c r="A148" s="70"/>
      <c r="B148" s="18"/>
      <c r="C148" s="7">
        <v>42026</v>
      </c>
      <c r="D148" s="15">
        <v>0</v>
      </c>
      <c r="E148" s="20">
        <v>-1.3</v>
      </c>
      <c r="F148" s="15">
        <v>1.3</v>
      </c>
      <c r="G148" s="5">
        <f t="shared" si="28"/>
        <v>1411.6999999999998</v>
      </c>
      <c r="H148" s="5">
        <f t="shared" si="22"/>
        <v>250</v>
      </c>
      <c r="J148" s="5">
        <v>0</v>
      </c>
      <c r="K148" s="5">
        <f t="shared" si="29"/>
        <v>243.59999999999997</v>
      </c>
      <c r="L148" s="5">
        <v>0.4</v>
      </c>
      <c r="M148" s="5">
        <f t="shared" si="30"/>
        <v>164.6</v>
      </c>
      <c r="N148" s="9">
        <f t="shared" si="27"/>
        <v>-0.4</v>
      </c>
      <c r="O148" s="5">
        <f t="shared" si="33"/>
        <v>149.19999999999999</v>
      </c>
      <c r="P148" s="5">
        <v>143</v>
      </c>
      <c r="Q148" s="5">
        <v>1</v>
      </c>
      <c r="R148" s="10">
        <f t="shared" si="24"/>
        <v>0.4</v>
      </c>
      <c r="S148" s="10">
        <f t="shared" si="25"/>
        <v>-0.4</v>
      </c>
      <c r="T148" s="10">
        <f t="shared" si="31"/>
        <v>163.21592592592597</v>
      </c>
      <c r="V148" s="14">
        <v>240.5</v>
      </c>
      <c r="W148" s="5" t="e">
        <f t="shared" si="26"/>
        <v>#DIV/0!</v>
      </c>
      <c r="X148" s="5">
        <f t="shared" si="32"/>
        <v>84846.999999999985</v>
      </c>
      <c r="Y148" s="5">
        <f t="shared" si="23"/>
        <v>12452.199999999999</v>
      </c>
      <c r="AA148" s="5">
        <v>8.9671329811036191</v>
      </c>
    </row>
    <row r="149" spans="1:28" s="5" customFormat="1" x14ac:dyDescent="0.25">
      <c r="A149" s="70"/>
      <c r="B149" s="6"/>
      <c r="C149" s="7">
        <v>42027</v>
      </c>
      <c r="D149" s="20">
        <v>-0.1</v>
      </c>
      <c r="E149" s="20">
        <v>-0.7</v>
      </c>
      <c r="F149" s="15">
        <v>1.5</v>
      </c>
      <c r="G149" s="5">
        <v>1411.7</v>
      </c>
      <c r="H149" s="5">
        <v>250</v>
      </c>
      <c r="J149" s="5">
        <v>0.3</v>
      </c>
      <c r="K149" s="5">
        <f t="shared" si="29"/>
        <v>243.89999999999998</v>
      </c>
      <c r="L149" s="5">
        <v>0.7</v>
      </c>
      <c r="M149" s="5">
        <f t="shared" si="30"/>
        <v>165.29999999999998</v>
      </c>
      <c r="N149" s="9">
        <f t="shared" si="27"/>
        <v>-0.39999999999999997</v>
      </c>
      <c r="O149" s="5">
        <f t="shared" si="33"/>
        <v>148.79999999999998</v>
      </c>
      <c r="P149" s="5">
        <v>144</v>
      </c>
      <c r="Q149" s="5">
        <v>1</v>
      </c>
      <c r="R149" s="10">
        <f t="shared" si="24"/>
        <v>0.7</v>
      </c>
      <c r="S149" s="10">
        <f t="shared" si="25"/>
        <v>-0.39999999999999997</v>
      </c>
      <c r="T149" s="10">
        <f t="shared" si="31"/>
        <v>162.81592592592597</v>
      </c>
      <c r="V149" s="14">
        <v>644.70000000000005</v>
      </c>
      <c r="W149" s="5">
        <f t="shared" si="26"/>
        <v>-6447</v>
      </c>
      <c r="X149" s="5">
        <f t="shared" si="32"/>
        <v>85491.699999999983</v>
      </c>
      <c r="Y149" s="5">
        <f t="shared" si="23"/>
        <v>13096.9</v>
      </c>
      <c r="AA149" s="5">
        <v>9.0089081039428507</v>
      </c>
    </row>
    <row r="150" spans="1:28" s="5" customFormat="1" x14ac:dyDescent="0.25">
      <c r="A150" s="70"/>
      <c r="B150" s="6"/>
      <c r="C150" s="7">
        <v>42028</v>
      </c>
      <c r="D150" s="15">
        <v>1.4</v>
      </c>
      <c r="E150" s="20">
        <v>-1.5</v>
      </c>
      <c r="F150" s="5">
        <v>5.0999999999999996</v>
      </c>
      <c r="G150" s="5">
        <f t="shared" si="28"/>
        <v>1413.1000000000001</v>
      </c>
      <c r="H150" s="5">
        <f t="shared" si="22"/>
        <v>251.4</v>
      </c>
      <c r="J150" s="5">
        <v>1.5</v>
      </c>
      <c r="K150" s="5">
        <f t="shared" si="29"/>
        <v>245.39999999999998</v>
      </c>
      <c r="L150" s="5">
        <v>0.7</v>
      </c>
      <c r="M150" s="5">
        <f t="shared" si="30"/>
        <v>165.99999999999997</v>
      </c>
      <c r="N150" s="5">
        <f t="shared" si="27"/>
        <v>0.8</v>
      </c>
      <c r="O150" s="5">
        <f t="shared" si="33"/>
        <v>149.6</v>
      </c>
      <c r="P150" s="5">
        <v>145</v>
      </c>
      <c r="Q150" s="5">
        <v>1</v>
      </c>
      <c r="R150" s="10">
        <f t="shared" si="24"/>
        <v>0.7</v>
      </c>
      <c r="S150" s="10">
        <f t="shared" si="25"/>
        <v>0.8</v>
      </c>
      <c r="T150" s="10">
        <f t="shared" si="31"/>
        <v>163.61592592592598</v>
      </c>
      <c r="V150" s="14">
        <v>571.4</v>
      </c>
      <c r="W150" s="5">
        <f t="shared" si="26"/>
        <v>408.14285714285717</v>
      </c>
      <c r="X150" s="5">
        <f t="shared" si="32"/>
        <v>86063.099999999977</v>
      </c>
      <c r="Y150" s="5">
        <f t="shared" si="23"/>
        <v>13668.3</v>
      </c>
      <c r="AA150" s="5">
        <v>9.0515809856799194</v>
      </c>
    </row>
    <row r="151" spans="1:28" s="5" customFormat="1" x14ac:dyDescent="0.25">
      <c r="A151" s="70"/>
      <c r="B151" s="6"/>
      <c r="C151" s="7">
        <v>42029</v>
      </c>
      <c r="D151" s="15">
        <v>2.1</v>
      </c>
      <c r="E151" s="20">
        <v>-1.5</v>
      </c>
      <c r="F151" s="15">
        <v>4.3</v>
      </c>
      <c r="G151" s="5">
        <f t="shared" si="28"/>
        <v>1415.2</v>
      </c>
      <c r="H151" s="5">
        <f t="shared" si="22"/>
        <v>253.5</v>
      </c>
      <c r="J151" s="5">
        <v>0.5</v>
      </c>
      <c r="K151" s="5">
        <f t="shared" si="29"/>
        <v>245.89999999999998</v>
      </c>
      <c r="L151" s="5">
        <v>0.3</v>
      </c>
      <c r="M151" s="5">
        <f t="shared" si="30"/>
        <v>166.29999999999998</v>
      </c>
      <c r="N151" s="5">
        <f t="shared" si="27"/>
        <v>0.2</v>
      </c>
      <c r="O151" s="5">
        <f t="shared" si="33"/>
        <v>149.79999999999998</v>
      </c>
      <c r="P151" s="5">
        <v>146</v>
      </c>
      <c r="Q151" s="5">
        <v>1</v>
      </c>
      <c r="R151" s="10">
        <f t="shared" si="24"/>
        <v>0.3</v>
      </c>
      <c r="S151" s="10">
        <f t="shared" si="25"/>
        <v>0.2</v>
      </c>
      <c r="T151" s="10">
        <f t="shared" si="31"/>
        <v>163.81592592592597</v>
      </c>
      <c r="V151" s="14">
        <v>221.1</v>
      </c>
      <c r="W151" s="5">
        <f t="shared" si="26"/>
        <v>105.28571428571428</v>
      </c>
      <c r="X151" s="5">
        <f t="shared" si="32"/>
        <v>86284.199999999983</v>
      </c>
      <c r="Y151" s="5">
        <f t="shared" si="23"/>
        <v>13889.4</v>
      </c>
      <c r="AA151" s="5">
        <v>9.0951209548860596</v>
      </c>
    </row>
    <row r="152" spans="1:28" s="5" customFormat="1" x14ac:dyDescent="0.25">
      <c r="A152" s="70"/>
      <c r="B152" s="6"/>
      <c r="C152" s="7">
        <v>42030</v>
      </c>
      <c r="D152" s="5">
        <v>5.3</v>
      </c>
      <c r="E152" s="15">
        <v>3.3</v>
      </c>
      <c r="F152" s="5">
        <v>7.6</v>
      </c>
      <c r="G152" s="5">
        <f t="shared" si="28"/>
        <v>1420.5</v>
      </c>
      <c r="H152" s="5">
        <f t="shared" si="22"/>
        <v>258.8</v>
      </c>
      <c r="J152" s="5">
        <v>2.4</v>
      </c>
      <c r="K152" s="5">
        <f t="shared" si="29"/>
        <v>248.29999999999998</v>
      </c>
      <c r="L152" s="5">
        <v>0.3</v>
      </c>
      <c r="M152" s="5">
        <f t="shared" si="30"/>
        <v>166.6</v>
      </c>
      <c r="N152" s="5">
        <f t="shared" si="27"/>
        <v>2.1</v>
      </c>
      <c r="O152" s="5">
        <f t="shared" si="33"/>
        <v>151.89999999999998</v>
      </c>
      <c r="P152" s="5">
        <v>147</v>
      </c>
      <c r="Q152" s="5">
        <v>1</v>
      </c>
      <c r="R152" s="10">
        <f t="shared" si="24"/>
        <v>0.3</v>
      </c>
      <c r="S152" s="10">
        <f t="shared" si="25"/>
        <v>2.1</v>
      </c>
      <c r="T152" s="10">
        <f t="shared" si="31"/>
        <v>165.91592592592596</v>
      </c>
      <c r="V152" s="14">
        <v>137.30000000000001</v>
      </c>
      <c r="W152" s="5">
        <f t="shared" si="26"/>
        <v>25.905660377358494</v>
      </c>
      <c r="X152" s="5">
        <f t="shared" si="32"/>
        <v>86421.499999999985</v>
      </c>
      <c r="Y152" s="5">
        <f t="shared" si="23"/>
        <v>14026.699999999999</v>
      </c>
      <c r="AA152" s="5">
        <v>9.1394976418640397</v>
      </c>
    </row>
    <row r="153" spans="1:28" s="5" customFormat="1" x14ac:dyDescent="0.25">
      <c r="A153" s="70"/>
      <c r="B153" s="6">
        <v>8</v>
      </c>
      <c r="C153" s="7">
        <v>42031</v>
      </c>
      <c r="D153" s="15">
        <v>4</v>
      </c>
      <c r="E153" s="15">
        <v>0.7</v>
      </c>
      <c r="F153" s="5">
        <v>5.6</v>
      </c>
      <c r="G153" s="5">
        <f t="shared" si="28"/>
        <v>1424.5</v>
      </c>
      <c r="H153" s="5">
        <f t="shared" si="22"/>
        <v>262.8</v>
      </c>
      <c r="J153" s="5">
        <v>0</v>
      </c>
      <c r="K153" s="5">
        <f t="shared" si="29"/>
        <v>248.29999999999998</v>
      </c>
      <c r="L153" s="5">
        <v>0.4</v>
      </c>
      <c r="M153" s="5">
        <f t="shared" si="30"/>
        <v>167</v>
      </c>
      <c r="N153" s="9">
        <f t="shared" si="27"/>
        <v>-0.4</v>
      </c>
      <c r="O153" s="5">
        <f t="shared" si="33"/>
        <v>151.49999999999997</v>
      </c>
      <c r="P153" s="5">
        <v>148</v>
      </c>
      <c r="Q153" s="5">
        <v>1</v>
      </c>
      <c r="R153" s="10">
        <f t="shared" si="24"/>
        <v>0.4</v>
      </c>
      <c r="S153" s="10">
        <f t="shared" si="25"/>
        <v>-0.4</v>
      </c>
      <c r="T153" s="10">
        <f t="shared" si="31"/>
        <v>165.51592592592596</v>
      </c>
      <c r="V153" s="14">
        <v>441.1</v>
      </c>
      <c r="W153" s="5">
        <f t="shared" si="26"/>
        <v>110.27500000000001</v>
      </c>
      <c r="X153" s="5">
        <f t="shared" si="32"/>
        <v>86862.599999999991</v>
      </c>
      <c r="Y153" s="5">
        <f t="shared" si="23"/>
        <v>14467.8</v>
      </c>
      <c r="AA153" s="5">
        <v>9.1846810295265602</v>
      </c>
    </row>
    <row r="154" spans="1:28" s="5" customFormat="1" x14ac:dyDescent="0.25">
      <c r="A154" s="70"/>
      <c r="B154" s="6"/>
      <c r="C154" s="7">
        <v>42032</v>
      </c>
      <c r="D154" s="5">
        <v>5.7</v>
      </c>
      <c r="E154" s="15">
        <v>4.4000000000000004</v>
      </c>
      <c r="F154" s="5">
        <v>7.3</v>
      </c>
      <c r="G154" s="5">
        <f t="shared" si="28"/>
        <v>1430.2</v>
      </c>
      <c r="H154" s="5">
        <f t="shared" si="22"/>
        <v>268.5</v>
      </c>
      <c r="J154" s="5">
        <v>3.2</v>
      </c>
      <c r="K154" s="5">
        <f t="shared" si="29"/>
        <v>251.49999999999997</v>
      </c>
      <c r="L154" s="5">
        <v>0.4</v>
      </c>
      <c r="M154" s="5">
        <f t="shared" si="30"/>
        <v>167.4</v>
      </c>
      <c r="N154" s="5">
        <f t="shared" si="27"/>
        <v>2.8000000000000003</v>
      </c>
      <c r="O154" s="5">
        <f t="shared" si="33"/>
        <v>154.29999999999998</v>
      </c>
      <c r="P154" s="5">
        <v>149</v>
      </c>
      <c r="Q154" s="5">
        <v>1</v>
      </c>
      <c r="R154" s="10">
        <f t="shared" si="24"/>
        <v>0.4</v>
      </c>
      <c r="S154" s="10">
        <f t="shared" si="25"/>
        <v>2.8000000000000003</v>
      </c>
      <c r="T154" s="10">
        <f t="shared" si="31"/>
        <v>168.31592592592597</v>
      </c>
      <c r="V154" s="14">
        <v>146.4</v>
      </c>
      <c r="W154" s="5">
        <f t="shared" si="26"/>
        <v>25.684210526315791</v>
      </c>
      <c r="X154" s="5">
        <f t="shared" si="32"/>
        <v>87008.999999999985</v>
      </c>
      <c r="Y154" s="5">
        <f t="shared" si="23"/>
        <v>14614.199999999999</v>
      </c>
      <c r="AA154" s="5">
        <v>9.2306415001361497</v>
      </c>
    </row>
    <row r="155" spans="1:28" s="5" customFormat="1" x14ac:dyDescent="0.25">
      <c r="A155" s="70"/>
      <c r="B155" s="6"/>
      <c r="C155" s="7">
        <v>42033</v>
      </c>
      <c r="D155" s="15">
        <v>4.5</v>
      </c>
      <c r="E155" s="15">
        <v>4</v>
      </c>
      <c r="F155" s="5">
        <v>5.7</v>
      </c>
      <c r="G155" s="5">
        <f t="shared" si="28"/>
        <v>1434.7</v>
      </c>
      <c r="H155" s="5">
        <f t="shared" si="22"/>
        <v>273</v>
      </c>
      <c r="J155" s="5">
        <v>4.4000000000000004</v>
      </c>
      <c r="K155" s="5">
        <f t="shared" si="29"/>
        <v>255.89999999999998</v>
      </c>
      <c r="L155" s="5">
        <v>0.5</v>
      </c>
      <c r="M155" s="5">
        <f t="shared" si="30"/>
        <v>167.9</v>
      </c>
      <c r="N155" s="5">
        <f t="shared" si="27"/>
        <v>3.9000000000000004</v>
      </c>
      <c r="O155" s="5">
        <f t="shared" si="33"/>
        <v>158.19999999999999</v>
      </c>
      <c r="P155" s="5">
        <v>150</v>
      </c>
      <c r="Q155" s="5">
        <v>1</v>
      </c>
      <c r="R155" s="10">
        <f t="shared" si="24"/>
        <v>0.5</v>
      </c>
      <c r="S155" s="10">
        <f t="shared" si="25"/>
        <v>3.9000000000000004</v>
      </c>
      <c r="T155" s="10">
        <f t="shared" si="31"/>
        <v>172.21592592592597</v>
      </c>
      <c r="V155" s="14">
        <v>153.6</v>
      </c>
      <c r="W155" s="5">
        <f t="shared" si="26"/>
        <v>34.133333333333333</v>
      </c>
      <c r="X155" s="5">
        <f t="shared" si="32"/>
        <v>87162.599999999991</v>
      </c>
      <c r="Y155" s="5">
        <f t="shared" si="23"/>
        <v>14767.8</v>
      </c>
      <c r="AA155" s="5">
        <v>9.2773498779434505</v>
      </c>
    </row>
    <row r="156" spans="1:28" s="5" customFormat="1" x14ac:dyDescent="0.25">
      <c r="A156" s="70"/>
      <c r="B156" s="6"/>
      <c r="C156" s="7">
        <v>42034</v>
      </c>
      <c r="D156" s="15">
        <v>1.6</v>
      </c>
      <c r="E156" s="15">
        <v>1.1000000000000001</v>
      </c>
      <c r="F156" s="15">
        <v>2.7</v>
      </c>
      <c r="G156" s="5">
        <f t="shared" si="28"/>
        <v>1436.3</v>
      </c>
      <c r="H156" s="5">
        <f t="shared" si="22"/>
        <v>274.60000000000002</v>
      </c>
      <c r="J156" s="5">
        <v>2.8</v>
      </c>
      <c r="K156" s="5">
        <f t="shared" si="29"/>
        <v>258.7</v>
      </c>
      <c r="L156" s="5">
        <v>0.3</v>
      </c>
      <c r="M156" s="5">
        <f t="shared" si="30"/>
        <v>168.20000000000002</v>
      </c>
      <c r="N156" s="5">
        <f t="shared" si="27"/>
        <v>2.5</v>
      </c>
      <c r="O156" s="5">
        <f t="shared" si="33"/>
        <v>160.69999999999999</v>
      </c>
      <c r="P156" s="5">
        <v>151</v>
      </c>
      <c r="Q156" s="5">
        <v>1</v>
      </c>
      <c r="R156" s="10">
        <f t="shared" si="24"/>
        <v>0.3</v>
      </c>
      <c r="S156" s="10">
        <f t="shared" si="25"/>
        <v>2.5</v>
      </c>
      <c r="T156" s="10">
        <f t="shared" si="31"/>
        <v>174.71592592592597</v>
      </c>
      <c r="V156" s="14">
        <v>131.30000000000001</v>
      </c>
      <c r="W156" s="5">
        <f t="shared" si="26"/>
        <v>82.0625</v>
      </c>
      <c r="X156" s="5">
        <f t="shared" si="32"/>
        <v>87293.9</v>
      </c>
      <c r="Y156" s="5">
        <f t="shared" si="23"/>
        <v>14899.099999999999</v>
      </c>
      <c r="AA156" s="5">
        <v>9.3247774677859407</v>
      </c>
    </row>
    <row r="157" spans="1:28" s="5" customFormat="1" x14ac:dyDescent="0.25">
      <c r="A157" s="70"/>
      <c r="B157" s="6"/>
      <c r="C157" s="7">
        <v>42035</v>
      </c>
      <c r="D157" s="15">
        <v>2.7</v>
      </c>
      <c r="E157" s="15">
        <v>1</v>
      </c>
      <c r="F157" s="5">
        <v>5.2</v>
      </c>
      <c r="G157" s="5">
        <f t="shared" si="28"/>
        <v>1439</v>
      </c>
      <c r="H157" s="5">
        <f t="shared" si="22"/>
        <v>277.3</v>
      </c>
      <c r="J157" s="5">
        <v>2.9</v>
      </c>
      <c r="K157" s="5">
        <f t="shared" si="29"/>
        <v>261.59999999999997</v>
      </c>
      <c r="L157" s="5">
        <v>0.6</v>
      </c>
      <c r="M157" s="5">
        <f t="shared" si="30"/>
        <v>168.8</v>
      </c>
      <c r="N157" s="5">
        <f t="shared" si="27"/>
        <v>2.2999999999999998</v>
      </c>
      <c r="O157" s="5">
        <f t="shared" si="33"/>
        <v>163</v>
      </c>
      <c r="P157" s="5">
        <v>152</v>
      </c>
      <c r="Q157" s="5">
        <v>1</v>
      </c>
      <c r="R157" s="10">
        <f t="shared" si="24"/>
        <v>0.6</v>
      </c>
      <c r="S157" s="10">
        <f t="shared" si="25"/>
        <v>2.2999999999999998</v>
      </c>
      <c r="T157" s="10">
        <f t="shared" si="31"/>
        <v>177.01592592592598</v>
      </c>
      <c r="V157" s="14">
        <v>379.7</v>
      </c>
      <c r="W157" s="5">
        <f t="shared" si="26"/>
        <v>140.62962962962962</v>
      </c>
      <c r="X157" s="5">
        <f t="shared" si="32"/>
        <v>87673.599999999991</v>
      </c>
      <c r="Y157" s="5">
        <f t="shared" si="23"/>
        <v>15278.8</v>
      </c>
      <c r="AA157" s="5">
        <v>9.3728960897308102</v>
      </c>
    </row>
    <row r="158" spans="1:28" s="5" customFormat="1" x14ac:dyDescent="0.25">
      <c r="A158" s="70"/>
      <c r="B158" s="6"/>
      <c r="C158" s="7">
        <v>42036</v>
      </c>
      <c r="D158" s="15">
        <v>3</v>
      </c>
      <c r="E158" s="15">
        <v>2</v>
      </c>
      <c r="F158" s="15">
        <v>3.8</v>
      </c>
      <c r="G158" s="5">
        <f t="shared" si="28"/>
        <v>1442</v>
      </c>
      <c r="H158" s="5">
        <f t="shared" si="22"/>
        <v>280.3</v>
      </c>
      <c r="J158" s="5">
        <v>2.2000000000000002</v>
      </c>
      <c r="K158" s="5">
        <f t="shared" si="29"/>
        <v>263.79999999999995</v>
      </c>
      <c r="L158" s="5">
        <v>0.4</v>
      </c>
      <c r="M158" s="5">
        <f t="shared" si="30"/>
        <v>169.20000000000002</v>
      </c>
      <c r="N158" s="5">
        <f t="shared" si="27"/>
        <v>1.8000000000000003</v>
      </c>
      <c r="O158" s="5">
        <f t="shared" si="33"/>
        <v>164.8</v>
      </c>
      <c r="P158" s="5">
        <v>153</v>
      </c>
      <c r="Q158" s="5">
        <v>1</v>
      </c>
      <c r="R158" s="10">
        <f t="shared" si="24"/>
        <v>0.4</v>
      </c>
      <c r="S158" s="10">
        <f t="shared" si="25"/>
        <v>1.8000000000000003</v>
      </c>
      <c r="T158" s="10">
        <f t="shared" si="31"/>
        <v>178.815925925926</v>
      </c>
      <c r="V158" s="14">
        <v>225</v>
      </c>
      <c r="W158" s="5">
        <f t="shared" si="26"/>
        <v>75</v>
      </c>
      <c r="X158" s="5">
        <f t="shared" si="32"/>
        <v>87898.599999999991</v>
      </c>
      <c r="Y158" s="5">
        <f t="shared" si="23"/>
        <v>15503.8</v>
      </c>
      <c r="AA158" s="5">
        <v>9.4216781098642794</v>
      </c>
    </row>
    <row r="159" spans="1:28" s="5" customFormat="1" x14ac:dyDescent="0.25">
      <c r="A159" s="70"/>
      <c r="B159" s="6"/>
      <c r="C159" s="7">
        <v>42037</v>
      </c>
      <c r="D159" s="15">
        <v>1.3</v>
      </c>
      <c r="E159" s="15">
        <v>0.2</v>
      </c>
      <c r="F159" s="15">
        <v>3</v>
      </c>
      <c r="G159" s="5">
        <f t="shared" si="28"/>
        <v>1443.3</v>
      </c>
      <c r="H159" s="5">
        <f t="shared" si="22"/>
        <v>281.60000000000002</v>
      </c>
      <c r="J159" s="79">
        <v>1.5</v>
      </c>
      <c r="K159" s="5">
        <f t="shared" si="29"/>
        <v>265.29999999999995</v>
      </c>
      <c r="L159" s="5">
        <v>0.3</v>
      </c>
      <c r="M159" s="5">
        <f t="shared" si="30"/>
        <v>169.50000000000003</v>
      </c>
      <c r="N159" s="5">
        <f t="shared" si="27"/>
        <v>1.2</v>
      </c>
      <c r="O159" s="5">
        <f t="shared" si="33"/>
        <v>166</v>
      </c>
      <c r="P159" s="5">
        <v>154</v>
      </c>
      <c r="Q159" s="5">
        <v>1</v>
      </c>
      <c r="R159" s="10">
        <f t="shared" si="24"/>
        <v>0.3</v>
      </c>
      <c r="S159" s="10">
        <f t="shared" si="25"/>
        <v>1.2</v>
      </c>
      <c r="T159" s="10">
        <f t="shared" si="31"/>
        <v>180.01592592592598</v>
      </c>
      <c r="V159" s="14">
        <v>253.7</v>
      </c>
      <c r="W159" s="5">
        <f t="shared" si="26"/>
        <v>195.15384615384613</v>
      </c>
      <c r="X159" s="5">
        <f t="shared" si="32"/>
        <v>88152.299999999988</v>
      </c>
      <c r="Y159" s="5">
        <f t="shared" si="23"/>
        <v>15757.5</v>
      </c>
      <c r="AA159" s="5">
        <v>9.4710964673464293</v>
      </c>
      <c r="AB159" s="81" t="s">
        <v>54</v>
      </c>
    </row>
    <row r="160" spans="1:28" s="5" customFormat="1" x14ac:dyDescent="0.25">
      <c r="A160" s="70"/>
      <c r="B160" s="6">
        <v>9</v>
      </c>
      <c r="C160" s="7">
        <v>42038</v>
      </c>
      <c r="D160" s="15">
        <v>0.1</v>
      </c>
      <c r="E160" s="20">
        <v>-2.4</v>
      </c>
      <c r="F160" s="15">
        <v>3</v>
      </c>
      <c r="G160" s="5">
        <f t="shared" si="28"/>
        <v>1443.3999999999999</v>
      </c>
      <c r="H160" s="5">
        <f t="shared" si="22"/>
        <v>281.70000000000005</v>
      </c>
      <c r="J160" s="79">
        <v>0</v>
      </c>
      <c r="K160" s="5">
        <f t="shared" si="29"/>
        <v>265.29999999999995</v>
      </c>
      <c r="L160" s="5">
        <v>0.5</v>
      </c>
      <c r="M160" s="5">
        <f t="shared" si="30"/>
        <v>170.00000000000003</v>
      </c>
      <c r="N160" s="9">
        <f t="shared" si="27"/>
        <v>-0.5</v>
      </c>
      <c r="O160" s="5">
        <f t="shared" si="33"/>
        <v>165.5</v>
      </c>
      <c r="P160" s="5">
        <v>155</v>
      </c>
      <c r="Q160" s="5">
        <v>1</v>
      </c>
      <c r="R160" s="10">
        <f t="shared" si="24"/>
        <v>0.5</v>
      </c>
      <c r="S160" s="10">
        <f t="shared" si="25"/>
        <v>-0.5</v>
      </c>
      <c r="T160" s="10">
        <f t="shared" si="31"/>
        <v>179.51592592592598</v>
      </c>
      <c r="V160" s="14">
        <v>605.29999999999995</v>
      </c>
      <c r="W160" s="5">
        <f t="shared" si="26"/>
        <v>6052.9999999999991</v>
      </c>
      <c r="X160" s="5">
        <f t="shared" si="32"/>
        <v>88757.599999999991</v>
      </c>
      <c r="Y160" s="5">
        <f t="shared" si="23"/>
        <v>16362.8</v>
      </c>
      <c r="AA160" s="5">
        <v>9.52112469786376</v>
      </c>
      <c r="AB160" s="12">
        <f>AVERAGE(T166:T179)</f>
        <v>178.85164021164033</v>
      </c>
    </row>
    <row r="161" spans="1:30" s="5" customFormat="1" x14ac:dyDescent="0.25">
      <c r="A161" s="70"/>
      <c r="B161" s="6"/>
      <c r="C161" s="7">
        <v>42039</v>
      </c>
      <c r="D161" s="15">
        <v>0.7</v>
      </c>
      <c r="E161" s="20">
        <v>-1</v>
      </c>
      <c r="F161" s="15">
        <v>2.4</v>
      </c>
      <c r="G161" s="5">
        <f t="shared" si="28"/>
        <v>1444.1</v>
      </c>
      <c r="H161" s="5">
        <f t="shared" ref="H161:H224" si="34">H160+D161</f>
        <v>282.40000000000003</v>
      </c>
      <c r="J161" s="79">
        <v>0</v>
      </c>
      <c r="K161" s="5">
        <f t="shared" si="29"/>
        <v>265.29999999999995</v>
      </c>
      <c r="L161" s="5">
        <v>0.9</v>
      </c>
      <c r="M161" s="5">
        <f t="shared" si="30"/>
        <v>170.90000000000003</v>
      </c>
      <c r="N161" s="9">
        <f t="shared" si="27"/>
        <v>-0.9</v>
      </c>
      <c r="O161" s="5">
        <f t="shared" si="33"/>
        <v>164.6</v>
      </c>
      <c r="P161" s="5">
        <v>156</v>
      </c>
      <c r="Q161" s="5">
        <v>1</v>
      </c>
      <c r="R161" s="10">
        <f t="shared" si="24"/>
        <v>0.9</v>
      </c>
      <c r="S161" s="10">
        <f t="shared" si="25"/>
        <v>-0.9</v>
      </c>
      <c r="T161" s="10">
        <f t="shared" si="31"/>
        <v>178.61592592592598</v>
      </c>
      <c r="V161" s="5">
        <v>929.9</v>
      </c>
      <c r="W161" s="5">
        <f t="shared" si="26"/>
        <v>1328.4285714285716</v>
      </c>
      <c r="X161" s="5">
        <f t="shared" si="32"/>
        <v>89687.499999999985</v>
      </c>
      <c r="Y161" s="5">
        <f t="shared" ref="Y161:Y224" si="35">Y160+V161</f>
        <v>17292.7</v>
      </c>
      <c r="AA161" s="5">
        <v>9.5717369536231498</v>
      </c>
      <c r="AB161" s="81" t="s">
        <v>53</v>
      </c>
    </row>
    <row r="162" spans="1:30" s="5" customFormat="1" x14ac:dyDescent="0.25">
      <c r="A162" s="70"/>
      <c r="B162" s="6"/>
      <c r="C162" s="7">
        <v>42040</v>
      </c>
      <c r="D162" s="15">
        <v>0.6</v>
      </c>
      <c r="E162" s="20">
        <v>-0.8</v>
      </c>
      <c r="F162" s="15">
        <v>2.9</v>
      </c>
      <c r="G162" s="5">
        <f t="shared" si="28"/>
        <v>1444.6999999999998</v>
      </c>
      <c r="H162" s="5">
        <f t="shared" si="34"/>
        <v>283.00000000000006</v>
      </c>
      <c r="J162" s="79">
        <v>0</v>
      </c>
      <c r="K162" s="5">
        <f t="shared" si="29"/>
        <v>265.29999999999995</v>
      </c>
      <c r="L162" s="5">
        <v>0.9</v>
      </c>
      <c r="M162" s="5">
        <f t="shared" si="30"/>
        <v>171.80000000000004</v>
      </c>
      <c r="N162" s="9">
        <f t="shared" si="27"/>
        <v>-0.9</v>
      </c>
      <c r="O162" s="5">
        <f t="shared" si="33"/>
        <v>163.69999999999999</v>
      </c>
      <c r="P162" s="5">
        <v>157</v>
      </c>
      <c r="Q162" s="5">
        <v>1</v>
      </c>
      <c r="R162" s="10">
        <f t="shared" si="24"/>
        <v>0.9</v>
      </c>
      <c r="S162" s="10">
        <f t="shared" si="25"/>
        <v>-0.9</v>
      </c>
      <c r="T162" s="10">
        <f t="shared" si="31"/>
        <v>177.71592592592597</v>
      </c>
      <c r="V162" s="14">
        <v>591.1</v>
      </c>
      <c r="W162" s="5">
        <f t="shared" si="26"/>
        <v>985.16666666666674</v>
      </c>
      <c r="X162" s="5">
        <f t="shared" si="32"/>
        <v>90278.599999999991</v>
      </c>
      <c r="Y162" s="5">
        <f t="shared" si="35"/>
        <v>17883.8</v>
      </c>
      <c r="AA162" s="5">
        <v>9.6229080200397092</v>
      </c>
      <c r="AB162" s="5">
        <v>4</v>
      </c>
    </row>
    <row r="163" spans="1:30" s="5" customFormat="1" x14ac:dyDescent="0.25">
      <c r="A163" s="70"/>
      <c r="B163" s="6"/>
      <c r="C163" s="7">
        <v>42041</v>
      </c>
      <c r="D163" s="20">
        <v>-0.3</v>
      </c>
      <c r="E163" s="20">
        <v>-2</v>
      </c>
      <c r="F163" s="15">
        <v>1.5</v>
      </c>
      <c r="G163" s="5">
        <v>1444.7</v>
      </c>
      <c r="H163" s="5">
        <v>283</v>
      </c>
      <c r="J163" s="79">
        <v>0</v>
      </c>
      <c r="K163" s="5">
        <f t="shared" si="29"/>
        <v>265.29999999999995</v>
      </c>
      <c r="L163" s="5">
        <v>1.2</v>
      </c>
      <c r="M163" s="5">
        <f t="shared" si="30"/>
        <v>173.00000000000003</v>
      </c>
      <c r="N163" s="9">
        <f t="shared" si="27"/>
        <v>-1.2</v>
      </c>
      <c r="O163" s="5">
        <f t="shared" si="33"/>
        <v>162.5</v>
      </c>
      <c r="P163" s="5">
        <v>158</v>
      </c>
      <c r="Q163" s="5">
        <v>1</v>
      </c>
      <c r="R163" s="10">
        <f t="shared" si="24"/>
        <v>1.2</v>
      </c>
      <c r="S163" s="10">
        <f t="shared" si="25"/>
        <v>-1.2</v>
      </c>
      <c r="T163" s="10">
        <f t="shared" si="31"/>
        <v>176.51592592592598</v>
      </c>
      <c r="V163" s="5">
        <v>974.4</v>
      </c>
      <c r="W163" s="5">
        <f t="shared" si="26"/>
        <v>-3248</v>
      </c>
      <c r="X163" s="5">
        <f t="shared" si="32"/>
        <v>91252.999999999985</v>
      </c>
      <c r="Y163" s="5">
        <f t="shared" si="35"/>
        <v>18858.2</v>
      </c>
      <c r="AA163" s="5">
        <v>9.6746133292775394</v>
      </c>
      <c r="AB163" s="81" t="s">
        <v>52</v>
      </c>
    </row>
    <row r="164" spans="1:30" s="5" customFormat="1" x14ac:dyDescent="0.25">
      <c r="A164" s="70"/>
      <c r="B164" s="6"/>
      <c r="C164" s="7">
        <v>42042</v>
      </c>
      <c r="D164" s="15">
        <v>1</v>
      </c>
      <c r="E164" s="20">
        <v>-2.2999999999999998</v>
      </c>
      <c r="F164" s="15">
        <v>3.5</v>
      </c>
      <c r="G164" s="5">
        <f t="shared" si="28"/>
        <v>1445.7</v>
      </c>
      <c r="H164" s="5">
        <f t="shared" si="34"/>
        <v>284</v>
      </c>
      <c r="J164" s="79">
        <v>0.2</v>
      </c>
      <c r="K164" s="5">
        <f t="shared" si="29"/>
        <v>265.49999999999994</v>
      </c>
      <c r="L164" s="5">
        <v>1.3</v>
      </c>
      <c r="M164" s="5">
        <f t="shared" si="30"/>
        <v>174.30000000000004</v>
      </c>
      <c r="N164" s="9">
        <f t="shared" si="27"/>
        <v>-1.1000000000000001</v>
      </c>
      <c r="O164" s="5">
        <f t="shared" si="33"/>
        <v>161.4</v>
      </c>
      <c r="P164" s="5">
        <v>159</v>
      </c>
      <c r="Q164" s="5">
        <v>1</v>
      </c>
      <c r="R164" s="10">
        <f t="shared" si="24"/>
        <v>1.3</v>
      </c>
      <c r="S164" s="10">
        <f t="shared" si="25"/>
        <v>-1.1000000000000001</v>
      </c>
      <c r="T164" s="10">
        <f t="shared" si="31"/>
        <v>175.41592592592599</v>
      </c>
      <c r="V164" s="5">
        <v>983.2</v>
      </c>
      <c r="W164" s="5">
        <f t="shared" si="26"/>
        <v>983.2</v>
      </c>
      <c r="X164" s="5">
        <f t="shared" si="32"/>
        <v>92236.199999999983</v>
      </c>
      <c r="Y164" s="5">
        <f t="shared" si="35"/>
        <v>19841.400000000001</v>
      </c>
      <c r="AA164" s="5">
        <v>9.7268289708072899</v>
      </c>
      <c r="AB164" s="5">
        <v>3</v>
      </c>
    </row>
    <row r="165" spans="1:30" s="5" customFormat="1" x14ac:dyDescent="0.25">
      <c r="A165" s="70"/>
      <c r="B165" s="6"/>
      <c r="C165" s="7">
        <v>42043</v>
      </c>
      <c r="D165" s="15">
        <v>3.3</v>
      </c>
      <c r="E165" s="15">
        <v>1.7</v>
      </c>
      <c r="F165" s="5">
        <v>6.2</v>
      </c>
      <c r="G165" s="5">
        <f t="shared" si="28"/>
        <v>1449</v>
      </c>
      <c r="H165" s="5">
        <f t="shared" si="34"/>
        <v>287.3</v>
      </c>
      <c r="J165" s="79">
        <v>0</v>
      </c>
      <c r="K165" s="5">
        <f t="shared" si="29"/>
        <v>265.49999999999994</v>
      </c>
      <c r="L165" s="5">
        <v>0.9</v>
      </c>
      <c r="M165" s="5">
        <f t="shared" si="30"/>
        <v>175.20000000000005</v>
      </c>
      <c r="N165" s="9">
        <f t="shared" si="27"/>
        <v>-0.9</v>
      </c>
      <c r="O165" s="5">
        <f t="shared" si="33"/>
        <v>160.5</v>
      </c>
      <c r="P165" s="5">
        <v>160</v>
      </c>
      <c r="Q165" s="5">
        <v>1</v>
      </c>
      <c r="R165" s="10">
        <f t="shared" si="24"/>
        <v>0.9</v>
      </c>
      <c r="S165" s="10">
        <f t="shared" si="25"/>
        <v>-0.9</v>
      </c>
      <c r="T165" s="10">
        <f t="shared" si="31"/>
        <v>174.51592592592598</v>
      </c>
      <c r="V165" s="14">
        <v>474.9</v>
      </c>
      <c r="W165" s="5">
        <f t="shared" si="26"/>
        <v>143.90909090909091</v>
      </c>
      <c r="X165" s="5">
        <f t="shared" si="32"/>
        <v>92711.099999999977</v>
      </c>
      <c r="Y165" s="5">
        <f t="shared" si="35"/>
        <v>20316.300000000003</v>
      </c>
      <c r="AA165" s="5">
        <v>9.77953169914732</v>
      </c>
      <c r="AB165" s="81" t="s">
        <v>51</v>
      </c>
    </row>
    <row r="166" spans="1:30" s="5" customFormat="1" x14ac:dyDescent="0.25">
      <c r="A166" s="70"/>
      <c r="B166" s="6"/>
      <c r="C166" s="7">
        <v>42044</v>
      </c>
      <c r="D166" s="15">
        <v>2.1</v>
      </c>
      <c r="E166" s="20">
        <v>-0.2</v>
      </c>
      <c r="F166" s="15">
        <v>4.8</v>
      </c>
      <c r="G166" s="5">
        <f t="shared" si="28"/>
        <v>1451.1</v>
      </c>
      <c r="H166" s="5">
        <f t="shared" si="34"/>
        <v>289.40000000000003</v>
      </c>
      <c r="J166" s="79">
        <v>0</v>
      </c>
      <c r="K166" s="5">
        <f t="shared" si="29"/>
        <v>265.49999999999994</v>
      </c>
      <c r="L166" s="5">
        <v>0.5</v>
      </c>
      <c r="M166" s="5">
        <f t="shared" si="30"/>
        <v>175.70000000000005</v>
      </c>
      <c r="N166" s="9">
        <f t="shared" si="27"/>
        <v>-0.5</v>
      </c>
      <c r="O166" s="5">
        <f t="shared" si="33"/>
        <v>160</v>
      </c>
      <c r="P166" s="5">
        <v>161</v>
      </c>
      <c r="Q166" s="5">
        <v>1</v>
      </c>
      <c r="R166" s="10">
        <f t="shared" si="24"/>
        <v>0.5</v>
      </c>
      <c r="S166" s="10">
        <f t="shared" si="25"/>
        <v>-0.5</v>
      </c>
      <c r="T166" s="80">
        <f t="shared" si="31"/>
        <v>174.01592592592598</v>
      </c>
      <c r="V166" s="14">
        <v>318.39999999999998</v>
      </c>
      <c r="W166" s="5">
        <f t="shared" si="26"/>
        <v>151.61904761904759</v>
      </c>
      <c r="X166" s="5">
        <f t="shared" si="32"/>
        <v>93029.499999999971</v>
      </c>
      <c r="Y166" s="5">
        <f t="shared" si="35"/>
        <v>20634.700000000004</v>
      </c>
      <c r="AA166" s="5">
        <v>9.8326989389563604</v>
      </c>
      <c r="AB166" s="5">
        <v>0</v>
      </c>
    </row>
    <row r="167" spans="1:30" s="5" customFormat="1" x14ac:dyDescent="0.25">
      <c r="A167" s="70"/>
      <c r="B167" s="6">
        <v>10</v>
      </c>
      <c r="C167" s="7">
        <v>42045</v>
      </c>
      <c r="D167" s="15">
        <v>3.8</v>
      </c>
      <c r="E167" s="15">
        <v>1.7</v>
      </c>
      <c r="F167" s="5">
        <v>5.8</v>
      </c>
      <c r="G167" s="5">
        <f t="shared" si="28"/>
        <v>1454.8999999999999</v>
      </c>
      <c r="H167" s="5">
        <f t="shared" si="34"/>
        <v>293.20000000000005</v>
      </c>
      <c r="J167" s="79">
        <v>0</v>
      </c>
      <c r="K167" s="5">
        <f t="shared" si="29"/>
        <v>265.49999999999994</v>
      </c>
      <c r="L167" s="5">
        <v>0.7</v>
      </c>
      <c r="M167" s="5">
        <f t="shared" si="30"/>
        <v>176.40000000000003</v>
      </c>
      <c r="N167" s="9">
        <f t="shared" si="27"/>
        <v>-0.7</v>
      </c>
      <c r="O167" s="5">
        <f t="shared" si="33"/>
        <v>159.30000000000001</v>
      </c>
      <c r="P167" s="5">
        <v>162</v>
      </c>
      <c r="Q167" s="5">
        <v>1</v>
      </c>
      <c r="R167" s="10">
        <f t="shared" si="24"/>
        <v>0.7</v>
      </c>
      <c r="S167" s="10">
        <f t="shared" si="25"/>
        <v>-0.7</v>
      </c>
      <c r="T167" s="80">
        <f t="shared" si="31"/>
        <v>173.315925925926</v>
      </c>
      <c r="V167" s="14">
        <v>341.9</v>
      </c>
      <c r="W167" s="5">
        <f t="shared" si="26"/>
        <v>89.973684210526315</v>
      </c>
      <c r="X167" s="5">
        <f t="shared" si="32"/>
        <v>93371.399999999965</v>
      </c>
      <c r="Y167" s="5">
        <f t="shared" si="35"/>
        <v>20976.600000000006</v>
      </c>
      <c r="AA167" s="5">
        <v>9.8863087876455396</v>
      </c>
      <c r="AB167" s="81" t="s">
        <v>50</v>
      </c>
    </row>
    <row r="168" spans="1:30" s="5" customFormat="1" x14ac:dyDescent="0.25">
      <c r="A168" s="70"/>
      <c r="B168" s="6"/>
      <c r="C168" s="7">
        <v>42046</v>
      </c>
      <c r="D168" s="15">
        <v>2.8</v>
      </c>
      <c r="E168" s="15">
        <v>0.2</v>
      </c>
      <c r="F168" s="5">
        <v>6.5</v>
      </c>
      <c r="G168" s="5">
        <f t="shared" si="28"/>
        <v>1457.6999999999998</v>
      </c>
      <c r="H168" s="5">
        <f t="shared" si="34"/>
        <v>296.00000000000006</v>
      </c>
      <c r="J168" s="79">
        <v>0</v>
      </c>
      <c r="K168" s="5">
        <f t="shared" si="29"/>
        <v>265.49999999999994</v>
      </c>
      <c r="L168" s="5">
        <v>1.2</v>
      </c>
      <c r="M168" s="5">
        <f t="shared" si="30"/>
        <v>177.60000000000002</v>
      </c>
      <c r="N168" s="9">
        <f t="shared" si="27"/>
        <v>-1.2</v>
      </c>
      <c r="O168" s="5">
        <f t="shared" si="33"/>
        <v>158.10000000000002</v>
      </c>
      <c r="P168" s="5">
        <v>163</v>
      </c>
      <c r="Q168" s="5">
        <v>1</v>
      </c>
      <c r="R168" s="10">
        <f t="shared" si="24"/>
        <v>1.2</v>
      </c>
      <c r="S168" s="10">
        <f t="shared" si="25"/>
        <v>-1.2</v>
      </c>
      <c r="T168" s="80">
        <f t="shared" si="31"/>
        <v>172.11592592592601</v>
      </c>
      <c r="V168" s="5">
        <v>1027.2</v>
      </c>
      <c r="W168" s="5">
        <f t="shared" si="26"/>
        <v>366.85714285714289</v>
      </c>
      <c r="X168" s="5">
        <f t="shared" si="32"/>
        <v>94398.599999999962</v>
      </c>
      <c r="Y168" s="5">
        <f t="shared" si="35"/>
        <v>22003.800000000007</v>
      </c>
      <c r="AA168" s="5">
        <v>9.9403400156761208</v>
      </c>
      <c r="AB168" s="5">
        <f>SUM(J170:J179)</f>
        <v>28.2</v>
      </c>
    </row>
    <row r="169" spans="1:30" s="77" customFormat="1" x14ac:dyDescent="0.25">
      <c r="A169" s="70"/>
      <c r="B169" s="74" t="s">
        <v>55</v>
      </c>
      <c r="C169" s="75">
        <v>42047</v>
      </c>
      <c r="D169" s="76">
        <v>1.2</v>
      </c>
      <c r="E169" s="76">
        <v>-2.5</v>
      </c>
      <c r="F169" s="76">
        <v>5.3</v>
      </c>
      <c r="G169" s="77">
        <f t="shared" si="28"/>
        <v>1458.8999999999999</v>
      </c>
      <c r="H169" s="77">
        <f t="shared" si="34"/>
        <v>297.20000000000005</v>
      </c>
      <c r="J169" s="77">
        <v>0</v>
      </c>
      <c r="K169" s="77">
        <f t="shared" si="29"/>
        <v>265.49999999999994</v>
      </c>
      <c r="L169" s="77">
        <v>0.9</v>
      </c>
      <c r="M169" s="77">
        <f t="shared" si="30"/>
        <v>178.50000000000003</v>
      </c>
      <c r="N169" s="76">
        <f t="shared" si="27"/>
        <v>-0.9</v>
      </c>
      <c r="O169" s="77">
        <f t="shared" si="33"/>
        <v>157.20000000000002</v>
      </c>
      <c r="P169" s="77">
        <v>164</v>
      </c>
      <c r="Q169" s="77">
        <v>1</v>
      </c>
      <c r="R169" s="78">
        <f t="shared" si="24"/>
        <v>0.9</v>
      </c>
      <c r="S169" s="78">
        <f t="shared" si="25"/>
        <v>-0.9</v>
      </c>
      <c r="T169" s="78">
        <f t="shared" si="31"/>
        <v>171.215925925926</v>
      </c>
      <c r="V169" s="76">
        <v>815.5</v>
      </c>
      <c r="W169" s="77">
        <f t="shared" si="26"/>
        <v>679.58333333333337</v>
      </c>
      <c r="X169" s="77">
        <f t="shared" si="32"/>
        <v>95214.099999999962</v>
      </c>
      <c r="Y169" s="77">
        <f t="shared" si="35"/>
        <v>22819.300000000007</v>
      </c>
      <c r="AA169" s="77">
        <v>9.9947720647065594</v>
      </c>
    </row>
    <row r="170" spans="1:30" s="5" customFormat="1" x14ac:dyDescent="0.25">
      <c r="A170" s="70"/>
      <c r="B170" s="6"/>
      <c r="C170" s="7">
        <v>42048</v>
      </c>
      <c r="D170" s="5">
        <v>6.4</v>
      </c>
      <c r="E170" s="20">
        <v>-0.3</v>
      </c>
      <c r="F170" s="5">
        <v>11.7</v>
      </c>
      <c r="G170" s="5">
        <f t="shared" si="28"/>
        <v>1465.3</v>
      </c>
      <c r="H170" s="5">
        <f t="shared" si="34"/>
        <v>303.60000000000002</v>
      </c>
      <c r="J170" s="79">
        <v>3</v>
      </c>
      <c r="K170" s="5">
        <f t="shared" si="29"/>
        <v>268.49999999999994</v>
      </c>
      <c r="L170" s="5">
        <v>1.2</v>
      </c>
      <c r="M170" s="5">
        <f t="shared" si="30"/>
        <v>179.70000000000002</v>
      </c>
      <c r="N170" s="5">
        <f t="shared" si="27"/>
        <v>1.8</v>
      </c>
      <c r="O170" s="5">
        <f t="shared" si="33"/>
        <v>159.00000000000003</v>
      </c>
      <c r="P170" s="5">
        <v>165</v>
      </c>
      <c r="Q170" s="5">
        <v>1</v>
      </c>
      <c r="R170" s="10">
        <f t="shared" si="24"/>
        <v>1.2</v>
      </c>
      <c r="S170" s="10">
        <f t="shared" si="25"/>
        <v>1.8</v>
      </c>
      <c r="T170" s="80">
        <f t="shared" si="31"/>
        <v>173.01592592592601</v>
      </c>
      <c r="V170" s="14">
        <v>846.5</v>
      </c>
      <c r="W170" s="5">
        <f t="shared" si="26"/>
        <v>132.265625</v>
      </c>
      <c r="X170" s="5">
        <f t="shared" si="32"/>
        <v>96060.599999999962</v>
      </c>
      <c r="Y170" s="5">
        <f t="shared" si="35"/>
        <v>23665.800000000007</v>
      </c>
      <c r="AA170" s="5">
        <v>10.049585043749101</v>
      </c>
    </row>
    <row r="171" spans="1:30" s="5" customFormat="1" x14ac:dyDescent="0.25">
      <c r="A171" s="70"/>
      <c r="B171" s="6"/>
      <c r="C171" s="7">
        <v>42049</v>
      </c>
      <c r="D171" s="5">
        <v>6.2</v>
      </c>
      <c r="E171" s="5">
        <v>5.7</v>
      </c>
      <c r="F171" s="5">
        <v>6.8</v>
      </c>
      <c r="G171" s="5">
        <f t="shared" si="28"/>
        <v>1471.5</v>
      </c>
      <c r="H171" s="5">
        <f t="shared" si="34"/>
        <v>309.8</v>
      </c>
      <c r="J171" s="79">
        <v>7.2</v>
      </c>
      <c r="K171" s="5">
        <f t="shared" si="29"/>
        <v>275.69999999999993</v>
      </c>
      <c r="L171" s="5">
        <v>0.4</v>
      </c>
      <c r="M171" s="5">
        <f t="shared" si="30"/>
        <v>180.10000000000002</v>
      </c>
      <c r="N171" s="5">
        <f t="shared" si="27"/>
        <v>6.8</v>
      </c>
      <c r="O171" s="5">
        <f t="shared" si="33"/>
        <v>165.80000000000004</v>
      </c>
      <c r="P171" s="5">
        <v>166</v>
      </c>
      <c r="Q171" s="5">
        <v>1</v>
      </c>
      <c r="R171" s="10">
        <f t="shared" si="24"/>
        <v>0.4</v>
      </c>
      <c r="S171" s="10">
        <f t="shared" si="25"/>
        <v>6.8</v>
      </c>
      <c r="T171" s="80">
        <f t="shared" si="31"/>
        <v>179.81592592592602</v>
      </c>
      <c r="V171" s="14">
        <v>184.7</v>
      </c>
      <c r="W171" s="5">
        <f t="shared" si="26"/>
        <v>29.79032258064516</v>
      </c>
      <c r="X171" s="5">
        <f t="shared" si="32"/>
        <v>96245.299999999959</v>
      </c>
      <c r="Y171" s="5">
        <f t="shared" si="35"/>
        <v>23850.500000000007</v>
      </c>
      <c r="AA171" s="5">
        <v>10.104759723491201</v>
      </c>
    </row>
    <row r="172" spans="1:30" s="5" customFormat="1" x14ac:dyDescent="0.25">
      <c r="A172" s="70"/>
      <c r="B172" s="6"/>
      <c r="C172" s="7">
        <v>42050</v>
      </c>
      <c r="D172" s="5">
        <v>5.5</v>
      </c>
      <c r="E172" s="15">
        <v>4.9000000000000004</v>
      </c>
      <c r="F172" s="5">
        <v>6.9</v>
      </c>
      <c r="G172" s="5">
        <f t="shared" si="28"/>
        <v>1477</v>
      </c>
      <c r="H172" s="5">
        <f t="shared" si="34"/>
        <v>315.3</v>
      </c>
      <c r="J172" s="79">
        <v>0.2</v>
      </c>
      <c r="K172" s="5">
        <f t="shared" si="29"/>
        <v>275.89999999999992</v>
      </c>
      <c r="L172" s="5">
        <v>0.4</v>
      </c>
      <c r="M172" s="5">
        <f t="shared" si="30"/>
        <v>180.50000000000003</v>
      </c>
      <c r="N172" s="9">
        <f t="shared" si="27"/>
        <v>-0.2</v>
      </c>
      <c r="O172" s="5">
        <f t="shared" si="33"/>
        <v>165.60000000000005</v>
      </c>
      <c r="P172" s="5">
        <v>167</v>
      </c>
      <c r="Q172" s="5">
        <v>1</v>
      </c>
      <c r="R172" s="10">
        <f t="shared" si="24"/>
        <v>0.4</v>
      </c>
      <c r="S172" s="10">
        <f t="shared" si="25"/>
        <v>-0.2</v>
      </c>
      <c r="T172" s="80">
        <f t="shared" si="31"/>
        <v>179.61592592592604</v>
      </c>
      <c r="V172" s="14">
        <v>269.10000000000002</v>
      </c>
      <c r="W172" s="5">
        <f t="shared" si="26"/>
        <v>48.927272727272729</v>
      </c>
      <c r="X172" s="5">
        <f t="shared" si="32"/>
        <v>96514.399999999965</v>
      </c>
      <c r="Y172" s="5">
        <f t="shared" si="35"/>
        <v>24119.600000000006</v>
      </c>
      <c r="AA172" s="5">
        <v>10.160277528933401</v>
      </c>
    </row>
    <row r="173" spans="1:30" s="5" customFormat="1" x14ac:dyDescent="0.25">
      <c r="A173" s="70"/>
      <c r="B173" s="6"/>
      <c r="C173" s="7">
        <v>42051</v>
      </c>
      <c r="D173" s="15">
        <v>2.4</v>
      </c>
      <c r="E173" s="20">
        <v>-0.1</v>
      </c>
      <c r="F173" s="15">
        <v>4.2</v>
      </c>
      <c r="G173" s="5">
        <f t="shared" si="28"/>
        <v>1479.4</v>
      </c>
      <c r="H173" s="5">
        <f t="shared" si="34"/>
        <v>317.7</v>
      </c>
      <c r="J173" s="79">
        <v>0</v>
      </c>
      <c r="K173" s="5">
        <f t="shared" si="29"/>
        <v>275.89999999999992</v>
      </c>
      <c r="L173" s="5">
        <v>0.5</v>
      </c>
      <c r="M173" s="5">
        <f t="shared" si="30"/>
        <v>181.00000000000003</v>
      </c>
      <c r="N173" s="9">
        <f t="shared" si="27"/>
        <v>-0.5</v>
      </c>
      <c r="O173" s="5">
        <f t="shared" si="33"/>
        <v>165.10000000000005</v>
      </c>
      <c r="P173" s="5">
        <v>168</v>
      </c>
      <c r="Q173" s="5">
        <v>1</v>
      </c>
      <c r="R173" s="10">
        <f t="shared" si="24"/>
        <v>0.5</v>
      </c>
      <c r="S173" s="10">
        <f t="shared" si="25"/>
        <v>-0.5</v>
      </c>
      <c r="T173" s="80">
        <f t="shared" si="31"/>
        <v>179.11592592592604</v>
      </c>
      <c r="V173" s="14">
        <v>473.8</v>
      </c>
      <c r="W173" s="5">
        <f t="shared" si="26"/>
        <v>197.41666666666669</v>
      </c>
      <c r="X173" s="5">
        <f t="shared" si="32"/>
        <v>96988.199999999968</v>
      </c>
      <c r="Y173" s="5">
        <f t="shared" si="35"/>
        <v>24593.400000000005</v>
      </c>
      <c r="AA173" s="5">
        <v>10.216120530486601</v>
      </c>
    </row>
    <row r="174" spans="1:30" s="5" customFormat="1" x14ac:dyDescent="0.25">
      <c r="A174" s="70"/>
      <c r="B174" s="6"/>
      <c r="C174" s="7">
        <v>42052</v>
      </c>
      <c r="D174" s="15">
        <v>4.2</v>
      </c>
      <c r="E174" s="15">
        <v>1.5</v>
      </c>
      <c r="F174" s="5">
        <v>6</v>
      </c>
      <c r="G174" s="5">
        <f t="shared" si="28"/>
        <v>1483.6000000000001</v>
      </c>
      <c r="H174" s="5">
        <f t="shared" si="34"/>
        <v>321.89999999999998</v>
      </c>
      <c r="J174" s="79">
        <v>0.2</v>
      </c>
      <c r="K174" s="5">
        <f t="shared" si="29"/>
        <v>276.09999999999991</v>
      </c>
      <c r="L174" s="5">
        <v>0.4</v>
      </c>
      <c r="M174" s="5">
        <f t="shared" si="30"/>
        <v>181.40000000000003</v>
      </c>
      <c r="N174" s="9">
        <f t="shared" si="27"/>
        <v>-0.2</v>
      </c>
      <c r="O174" s="5">
        <f t="shared" si="33"/>
        <v>164.90000000000006</v>
      </c>
      <c r="P174" s="5">
        <v>169</v>
      </c>
      <c r="Q174" s="5">
        <v>1</v>
      </c>
      <c r="R174" s="10">
        <f t="shared" si="24"/>
        <v>0.4</v>
      </c>
      <c r="S174" s="10">
        <f t="shared" si="25"/>
        <v>-0.2</v>
      </c>
      <c r="T174" s="80">
        <f t="shared" si="31"/>
        <v>178.91592592592605</v>
      </c>
      <c r="V174" s="14">
        <v>406.4</v>
      </c>
      <c r="W174" s="5">
        <f t="shared" si="26"/>
        <v>96.761904761904759</v>
      </c>
      <c r="X174" s="5">
        <f t="shared" si="32"/>
        <v>97394.599999999962</v>
      </c>
      <c r="Y174" s="5">
        <f t="shared" si="35"/>
        <v>24999.800000000007</v>
      </c>
      <c r="AA174" s="5">
        <v>10.2722714336698</v>
      </c>
      <c r="AD174" s="81" t="s">
        <v>54</v>
      </c>
    </row>
    <row r="175" spans="1:30" s="5" customFormat="1" x14ac:dyDescent="0.25">
      <c r="A175" s="70"/>
      <c r="B175" s="6"/>
      <c r="C175" s="7">
        <v>42053</v>
      </c>
      <c r="D175" s="15">
        <v>3</v>
      </c>
      <c r="E175" s="15">
        <v>1</v>
      </c>
      <c r="F175" s="15">
        <v>4.9000000000000004</v>
      </c>
      <c r="G175" s="5">
        <f t="shared" si="28"/>
        <v>1486.6000000000001</v>
      </c>
      <c r="H175" s="5">
        <f t="shared" si="34"/>
        <v>324.89999999999998</v>
      </c>
      <c r="J175" s="79">
        <v>0</v>
      </c>
      <c r="K175" s="5">
        <f t="shared" si="29"/>
        <v>276.09999999999991</v>
      </c>
      <c r="L175" s="5">
        <v>0.5</v>
      </c>
      <c r="M175" s="5">
        <f t="shared" si="30"/>
        <v>181.90000000000003</v>
      </c>
      <c r="N175" s="9">
        <f t="shared" si="27"/>
        <v>-0.5</v>
      </c>
      <c r="O175" s="5">
        <f t="shared" si="33"/>
        <v>164.40000000000006</v>
      </c>
      <c r="P175" s="5">
        <v>170</v>
      </c>
      <c r="Q175" s="5">
        <v>1</v>
      </c>
      <c r="R175" s="10">
        <f t="shared" si="24"/>
        <v>0.5</v>
      </c>
      <c r="S175" s="10">
        <f t="shared" si="25"/>
        <v>-0.5</v>
      </c>
      <c r="T175" s="80">
        <f t="shared" si="31"/>
        <v>178.41592592592605</v>
      </c>
      <c r="V175" s="14">
        <v>367.9</v>
      </c>
      <c r="W175" s="5">
        <f t="shared" si="26"/>
        <v>122.63333333333333</v>
      </c>
      <c r="X175" s="5">
        <f t="shared" si="32"/>
        <v>97762.499999999956</v>
      </c>
      <c r="Y175" s="5">
        <f t="shared" si="35"/>
        <v>25367.700000000008</v>
      </c>
      <c r="AA175" s="5">
        <v>10.3287135675388</v>
      </c>
      <c r="AD175" s="12">
        <f>(AB160*(90/147))+(AB185*(57/147))</f>
        <v>179.70276764311174</v>
      </c>
    </row>
    <row r="176" spans="1:30" s="5" customFormat="1" x14ac:dyDescent="0.25">
      <c r="A176" s="70"/>
      <c r="B176" s="6"/>
      <c r="C176" s="7">
        <v>42054</v>
      </c>
      <c r="D176" s="15">
        <v>3.3</v>
      </c>
      <c r="E176" s="20">
        <v>-1.3</v>
      </c>
      <c r="F176" s="5">
        <v>6.5</v>
      </c>
      <c r="G176" s="5">
        <f t="shared" si="28"/>
        <v>1489.9</v>
      </c>
      <c r="H176" s="5">
        <f t="shared" si="34"/>
        <v>328.2</v>
      </c>
      <c r="J176" s="79">
        <v>0</v>
      </c>
      <c r="K176" s="5">
        <f t="shared" si="29"/>
        <v>276.09999999999991</v>
      </c>
      <c r="L176" s="5">
        <v>1</v>
      </c>
      <c r="M176" s="5">
        <f t="shared" si="30"/>
        <v>182.90000000000003</v>
      </c>
      <c r="N176" s="9">
        <f t="shared" si="27"/>
        <v>-1</v>
      </c>
      <c r="O176" s="5">
        <f t="shared" si="33"/>
        <v>163.40000000000006</v>
      </c>
      <c r="P176" s="5">
        <v>171</v>
      </c>
      <c r="Q176" s="5">
        <v>1</v>
      </c>
      <c r="R176" s="10">
        <f t="shared" si="24"/>
        <v>1</v>
      </c>
      <c r="S176" s="10">
        <f t="shared" si="25"/>
        <v>-1</v>
      </c>
      <c r="T176" s="80">
        <f t="shared" si="31"/>
        <v>177.41592592592605</v>
      </c>
      <c r="V176" s="5">
        <v>1108.5999999999999</v>
      </c>
      <c r="W176" s="5">
        <f t="shared" si="26"/>
        <v>335.93939393939394</v>
      </c>
      <c r="X176" s="5">
        <f t="shared" si="32"/>
        <v>98871.099999999962</v>
      </c>
      <c r="Y176" s="5">
        <f t="shared" si="35"/>
        <v>26476.300000000007</v>
      </c>
      <c r="AA176" s="5">
        <v>10.3854308719719</v>
      </c>
      <c r="AD176" s="81" t="s">
        <v>53</v>
      </c>
    </row>
    <row r="177" spans="1:30" s="5" customFormat="1" x14ac:dyDescent="0.25">
      <c r="A177" s="70"/>
      <c r="B177" s="6"/>
      <c r="C177" s="7">
        <v>42055</v>
      </c>
      <c r="D177" s="5">
        <v>6.2</v>
      </c>
      <c r="E177" s="15">
        <v>4.7</v>
      </c>
      <c r="F177" s="5">
        <v>8</v>
      </c>
      <c r="G177" s="5">
        <f t="shared" si="28"/>
        <v>1496.1000000000001</v>
      </c>
      <c r="H177" s="5">
        <f t="shared" si="34"/>
        <v>334.4</v>
      </c>
      <c r="J177" s="79">
        <v>9.8000000000000007</v>
      </c>
      <c r="K177" s="5">
        <f t="shared" si="29"/>
        <v>285.89999999999992</v>
      </c>
      <c r="L177" s="5">
        <v>0.8</v>
      </c>
      <c r="M177" s="5">
        <f t="shared" si="30"/>
        <v>183.70000000000005</v>
      </c>
      <c r="N177" s="5">
        <f t="shared" si="27"/>
        <v>9</v>
      </c>
      <c r="O177" s="5">
        <f t="shared" si="33"/>
        <v>172.40000000000006</v>
      </c>
      <c r="P177" s="5">
        <v>172</v>
      </c>
      <c r="Q177" s="5">
        <v>1</v>
      </c>
      <c r="R177" s="10">
        <f t="shared" si="24"/>
        <v>0.8</v>
      </c>
      <c r="S177" s="10">
        <f t="shared" si="25"/>
        <v>9</v>
      </c>
      <c r="T177" s="80">
        <f t="shared" si="31"/>
        <v>186.41592592592605</v>
      </c>
      <c r="V177" s="14">
        <v>209.5</v>
      </c>
      <c r="W177" s="5">
        <f t="shared" si="26"/>
        <v>33.79032258064516</v>
      </c>
      <c r="X177" s="5">
        <f t="shared" si="32"/>
        <v>99080.599999999962</v>
      </c>
      <c r="Y177" s="5">
        <f t="shared" si="35"/>
        <v>26685.800000000007</v>
      </c>
      <c r="AA177" s="5">
        <v>10.4424078839322</v>
      </c>
      <c r="AD177" s="5">
        <f>(AB162*(90/147))+(AB187*(57/147))</f>
        <v>4</v>
      </c>
    </row>
    <row r="178" spans="1:30" s="5" customFormat="1" x14ac:dyDescent="0.25">
      <c r="A178" s="70"/>
      <c r="B178" s="6"/>
      <c r="C178" s="7">
        <v>42056</v>
      </c>
      <c r="D178" s="15">
        <v>2.7</v>
      </c>
      <c r="E178" s="15">
        <v>1.9</v>
      </c>
      <c r="F178" s="15">
        <v>3.2</v>
      </c>
      <c r="G178" s="5">
        <f t="shared" si="28"/>
        <v>1498.8000000000002</v>
      </c>
      <c r="H178" s="5">
        <f t="shared" si="34"/>
        <v>337.09999999999997</v>
      </c>
      <c r="J178" s="79">
        <v>1.5</v>
      </c>
      <c r="K178" s="5">
        <f t="shared" si="29"/>
        <v>287.39999999999992</v>
      </c>
      <c r="L178" s="5">
        <v>0.3</v>
      </c>
      <c r="M178" s="5">
        <f t="shared" si="30"/>
        <v>184.00000000000006</v>
      </c>
      <c r="N178" s="5">
        <f t="shared" si="27"/>
        <v>1.2</v>
      </c>
      <c r="O178" s="5">
        <f t="shared" si="33"/>
        <v>173.60000000000005</v>
      </c>
      <c r="P178" s="5">
        <v>173</v>
      </c>
      <c r="Q178" s="5">
        <v>1</v>
      </c>
      <c r="R178" s="10">
        <f t="shared" si="24"/>
        <v>0.3</v>
      </c>
      <c r="S178" s="10">
        <f t="shared" si="25"/>
        <v>1.2</v>
      </c>
      <c r="T178" s="80">
        <f t="shared" si="31"/>
        <v>187.61592592592604</v>
      </c>
      <c r="V178" s="14">
        <v>288.60000000000002</v>
      </c>
      <c r="W178" s="5">
        <f t="shared" si="26"/>
        <v>106.88888888888889</v>
      </c>
      <c r="X178" s="5">
        <f t="shared" si="32"/>
        <v>99369.199999999968</v>
      </c>
      <c r="Y178" s="5">
        <f t="shared" si="35"/>
        <v>26974.400000000005</v>
      </c>
      <c r="AA178" s="5">
        <v>10.499629722816501</v>
      </c>
      <c r="AD178" s="81" t="s">
        <v>52</v>
      </c>
    </row>
    <row r="179" spans="1:30" s="5" customFormat="1" x14ac:dyDescent="0.25">
      <c r="A179" s="70"/>
      <c r="B179" s="6"/>
      <c r="C179" s="7">
        <v>42057</v>
      </c>
      <c r="D179" s="15">
        <v>3.1</v>
      </c>
      <c r="E179" s="20">
        <v>-1.7</v>
      </c>
      <c r="F179" s="5">
        <v>7.6</v>
      </c>
      <c r="G179" s="5">
        <f t="shared" si="28"/>
        <v>1501.9</v>
      </c>
      <c r="H179" s="5">
        <f t="shared" si="34"/>
        <v>340.2</v>
      </c>
      <c r="J179" s="79">
        <v>6.3</v>
      </c>
      <c r="K179" s="5">
        <f t="shared" si="29"/>
        <v>293.69999999999993</v>
      </c>
      <c r="L179" s="5">
        <v>1</v>
      </c>
      <c r="M179" s="5">
        <f t="shared" si="30"/>
        <v>185.00000000000006</v>
      </c>
      <c r="N179" s="5">
        <f t="shared" si="27"/>
        <v>5.3</v>
      </c>
      <c r="O179" s="5">
        <f t="shared" si="33"/>
        <v>178.90000000000006</v>
      </c>
      <c r="P179" s="5">
        <v>174</v>
      </c>
      <c r="Q179" s="5">
        <v>1</v>
      </c>
      <c r="R179" s="10">
        <f t="shared" si="24"/>
        <v>1</v>
      </c>
      <c r="S179" s="10">
        <f t="shared" si="25"/>
        <v>5.3</v>
      </c>
      <c r="T179" s="80">
        <f t="shared" si="31"/>
        <v>192.91592592592605</v>
      </c>
      <c r="V179" s="5">
        <v>967.6</v>
      </c>
      <c r="W179" s="5">
        <f t="shared" si="26"/>
        <v>312.12903225806451</v>
      </c>
      <c r="X179" s="5">
        <f t="shared" si="32"/>
        <v>100336.79999999997</v>
      </c>
      <c r="Y179" s="5">
        <f t="shared" si="35"/>
        <v>27942.000000000004</v>
      </c>
      <c r="AA179" s="5">
        <v>10.5570820749976</v>
      </c>
      <c r="AD179" s="10">
        <f>(AB164*(90/147))+(AB189*(57/147))</f>
        <v>5.3265306122448974</v>
      </c>
    </row>
    <row r="180" spans="1:30" s="5" customFormat="1" x14ac:dyDescent="0.25">
      <c r="A180" s="70"/>
      <c r="B180" s="6"/>
      <c r="C180" s="7">
        <v>42058</v>
      </c>
      <c r="D180" s="5">
        <v>6.2</v>
      </c>
      <c r="E180" s="15">
        <v>3.6</v>
      </c>
      <c r="F180" s="5">
        <v>10</v>
      </c>
      <c r="G180" s="5">
        <f t="shared" si="28"/>
        <v>1508.1000000000001</v>
      </c>
      <c r="H180" s="5">
        <f t="shared" si="34"/>
        <v>346.4</v>
      </c>
      <c r="J180" s="5">
        <v>3.9</v>
      </c>
      <c r="K180" s="5">
        <f t="shared" si="29"/>
        <v>297.59999999999991</v>
      </c>
      <c r="L180" s="5">
        <v>1.2</v>
      </c>
      <c r="M180" s="5">
        <f t="shared" si="30"/>
        <v>186.20000000000005</v>
      </c>
      <c r="N180" s="5">
        <f t="shared" si="27"/>
        <v>2.7</v>
      </c>
      <c r="O180" s="5">
        <f t="shared" si="33"/>
        <v>181.60000000000005</v>
      </c>
      <c r="P180" s="5">
        <v>175</v>
      </c>
      <c r="Q180" s="5">
        <v>1</v>
      </c>
      <c r="R180" s="10">
        <f t="shared" si="24"/>
        <v>1.2</v>
      </c>
      <c r="S180" s="10">
        <f t="shared" si="25"/>
        <v>2.7</v>
      </c>
      <c r="T180" s="10">
        <f t="shared" si="31"/>
        <v>195.61592592592604</v>
      </c>
      <c r="V180" s="14">
        <v>592.70000000000005</v>
      </c>
      <c r="W180" s="5">
        <f t="shared" si="26"/>
        <v>95.596774193548399</v>
      </c>
      <c r="X180" s="5">
        <f t="shared" si="32"/>
        <v>100929.49999999997</v>
      </c>
      <c r="Y180" s="5">
        <f t="shared" si="35"/>
        <v>28534.700000000004</v>
      </c>
      <c r="AA180" s="5">
        <v>10.6147511776557</v>
      </c>
      <c r="AD180" s="81" t="s">
        <v>51</v>
      </c>
    </row>
    <row r="181" spans="1:30" s="5" customFormat="1" x14ac:dyDescent="0.25">
      <c r="A181" s="70"/>
      <c r="B181" s="6"/>
      <c r="C181" s="7">
        <v>42059</v>
      </c>
      <c r="D181" s="15">
        <v>3.9</v>
      </c>
      <c r="E181" s="15">
        <v>1.9</v>
      </c>
      <c r="F181" s="5">
        <v>6.9</v>
      </c>
      <c r="G181" s="5">
        <f t="shared" si="28"/>
        <v>1512.0000000000002</v>
      </c>
      <c r="H181" s="5">
        <f t="shared" si="34"/>
        <v>350.29999999999995</v>
      </c>
      <c r="J181" s="5">
        <v>0.3</v>
      </c>
      <c r="K181" s="5">
        <f t="shared" si="29"/>
        <v>297.89999999999992</v>
      </c>
      <c r="L181" s="5">
        <v>0.7</v>
      </c>
      <c r="M181" s="5">
        <f t="shared" si="30"/>
        <v>186.90000000000003</v>
      </c>
      <c r="N181" s="9">
        <f t="shared" si="27"/>
        <v>-0.39999999999999997</v>
      </c>
      <c r="O181" s="5">
        <f t="shared" si="33"/>
        <v>181.20000000000005</v>
      </c>
      <c r="P181" s="5">
        <v>176</v>
      </c>
      <c r="Q181" s="5">
        <v>1</v>
      </c>
      <c r="R181" s="10">
        <f t="shared" si="24"/>
        <v>0.7</v>
      </c>
      <c r="S181" s="10">
        <f t="shared" si="25"/>
        <v>-0.39999999999999997</v>
      </c>
      <c r="T181" s="10">
        <f t="shared" si="31"/>
        <v>195.21592592592603</v>
      </c>
      <c r="V181" s="14">
        <v>578.29999999999995</v>
      </c>
      <c r="W181" s="5">
        <f t="shared" si="26"/>
        <v>148.28205128205127</v>
      </c>
      <c r="X181" s="5">
        <f t="shared" si="32"/>
        <v>101507.79999999997</v>
      </c>
      <c r="Y181" s="5">
        <f t="shared" si="35"/>
        <v>29113.000000000004</v>
      </c>
      <c r="AA181" s="5">
        <v>10.6726238019919</v>
      </c>
      <c r="AD181" s="5">
        <f>(AB166*(90/147))+(AB191*(57/147))</f>
        <v>0</v>
      </c>
    </row>
    <row r="182" spans="1:30" s="5" customFormat="1" x14ac:dyDescent="0.25">
      <c r="A182" s="70"/>
      <c r="B182" s="6"/>
      <c r="C182" s="7">
        <v>42060</v>
      </c>
      <c r="D182" s="15">
        <v>4.8</v>
      </c>
      <c r="E182" s="15">
        <v>1.5</v>
      </c>
      <c r="F182" s="5">
        <v>6.6</v>
      </c>
      <c r="G182" s="5">
        <f t="shared" si="28"/>
        <v>1516.8000000000002</v>
      </c>
      <c r="H182" s="5">
        <f t="shared" si="34"/>
        <v>355.09999999999997</v>
      </c>
      <c r="J182" s="5">
        <v>1.4</v>
      </c>
      <c r="K182" s="5">
        <f t="shared" si="29"/>
        <v>299.2999999999999</v>
      </c>
      <c r="L182" s="5">
        <v>0.2</v>
      </c>
      <c r="M182" s="5">
        <f t="shared" si="30"/>
        <v>187.10000000000002</v>
      </c>
      <c r="N182" s="5">
        <f t="shared" si="27"/>
        <v>1.2</v>
      </c>
      <c r="O182" s="5">
        <f t="shared" si="33"/>
        <v>182.40000000000003</v>
      </c>
      <c r="P182" s="5">
        <v>177</v>
      </c>
      <c r="Q182" s="5">
        <v>1</v>
      </c>
      <c r="R182" s="10">
        <f t="shared" si="24"/>
        <v>0.2</v>
      </c>
      <c r="S182" s="10">
        <f t="shared" si="25"/>
        <v>1.2</v>
      </c>
      <c r="T182" s="10">
        <f t="shared" si="31"/>
        <v>196.41592592592602</v>
      </c>
      <c r="V182" s="14">
        <v>188.2</v>
      </c>
      <c r="W182" s="5">
        <f t="shared" si="26"/>
        <v>39.208333333333336</v>
      </c>
      <c r="X182" s="5">
        <f t="shared" si="32"/>
        <v>101695.99999999997</v>
      </c>
      <c r="Y182" s="5">
        <f t="shared" si="35"/>
        <v>29301.200000000004</v>
      </c>
      <c r="AA182" s="5">
        <v>10.730687235906601</v>
      </c>
      <c r="AD182" s="81" t="s">
        <v>50</v>
      </c>
    </row>
    <row r="183" spans="1:30" s="5" customFormat="1" x14ac:dyDescent="0.25">
      <c r="A183" s="70"/>
      <c r="B183" s="6"/>
      <c r="C183" s="7">
        <v>42061</v>
      </c>
      <c r="D183" s="5">
        <v>8.1</v>
      </c>
      <c r="E183" s="15">
        <v>5.9</v>
      </c>
      <c r="F183" s="5">
        <v>10.1</v>
      </c>
      <c r="G183" s="5">
        <f t="shared" si="28"/>
        <v>1524.9</v>
      </c>
      <c r="H183" s="5">
        <f t="shared" si="34"/>
        <v>363.2</v>
      </c>
      <c r="J183" s="5">
        <v>6.3</v>
      </c>
      <c r="K183" s="5">
        <f t="shared" si="29"/>
        <v>305.59999999999991</v>
      </c>
      <c r="L183" s="5">
        <v>0.5</v>
      </c>
      <c r="M183" s="5">
        <f t="shared" si="30"/>
        <v>187.60000000000002</v>
      </c>
      <c r="N183" s="5">
        <f t="shared" si="27"/>
        <v>5.8</v>
      </c>
      <c r="O183" s="5">
        <f t="shared" si="33"/>
        <v>188.20000000000005</v>
      </c>
      <c r="P183" s="5">
        <v>178</v>
      </c>
      <c r="Q183" s="5">
        <v>1</v>
      </c>
      <c r="R183" s="10">
        <f t="shared" si="24"/>
        <v>0.5</v>
      </c>
      <c r="S183" s="10">
        <f t="shared" si="25"/>
        <v>5.8</v>
      </c>
      <c r="T183" s="10">
        <f t="shared" si="31"/>
        <v>197.4</v>
      </c>
      <c r="V183" s="14">
        <v>333.1</v>
      </c>
      <c r="W183" s="5">
        <f t="shared" si="26"/>
        <v>41.123456790123463</v>
      </c>
      <c r="X183" s="5">
        <f t="shared" si="32"/>
        <v>102029.09999999998</v>
      </c>
      <c r="Y183" s="5">
        <f t="shared" si="35"/>
        <v>29634.300000000003</v>
      </c>
      <c r="AA183" s="5">
        <v>10.788929266221301</v>
      </c>
      <c r="AD183" s="10">
        <f>(AB168*(90/147))+(AB193*(57/147))</f>
        <v>17.304081632653062</v>
      </c>
    </row>
    <row r="184" spans="1:30" s="5" customFormat="1" x14ac:dyDescent="0.25">
      <c r="A184" s="70"/>
      <c r="B184" s="6"/>
      <c r="C184" s="7">
        <v>42062</v>
      </c>
      <c r="D184" s="15">
        <v>4.9000000000000004</v>
      </c>
      <c r="E184" s="15">
        <v>4.0999999999999996</v>
      </c>
      <c r="F184" s="5">
        <v>7.9</v>
      </c>
      <c r="G184" s="5">
        <f t="shared" si="28"/>
        <v>1529.8000000000002</v>
      </c>
      <c r="H184" s="5">
        <f t="shared" si="34"/>
        <v>368.09999999999997</v>
      </c>
      <c r="J184" s="79">
        <v>0</v>
      </c>
      <c r="K184" s="5">
        <f t="shared" si="29"/>
        <v>305.59999999999991</v>
      </c>
      <c r="L184" s="5">
        <v>1.6</v>
      </c>
      <c r="M184" s="5">
        <f t="shared" si="30"/>
        <v>189.20000000000002</v>
      </c>
      <c r="N184" s="9">
        <f t="shared" si="27"/>
        <v>-1.6</v>
      </c>
      <c r="O184" s="5">
        <f t="shared" si="33"/>
        <v>186.60000000000005</v>
      </c>
      <c r="P184" s="5">
        <v>179</v>
      </c>
      <c r="Q184" s="5">
        <v>1</v>
      </c>
      <c r="R184" s="10">
        <f t="shared" si="24"/>
        <v>1.6</v>
      </c>
      <c r="S184" s="10">
        <f t="shared" si="25"/>
        <v>-1.6</v>
      </c>
      <c r="T184" s="10">
        <f t="shared" si="31"/>
        <v>195.8</v>
      </c>
      <c r="V184" s="14">
        <v>876.4</v>
      </c>
      <c r="W184" s="5">
        <f t="shared" si="26"/>
        <v>178.85714285714283</v>
      </c>
      <c r="X184" s="5">
        <f t="shared" si="32"/>
        <v>102905.49999999997</v>
      </c>
      <c r="Y184" s="5">
        <f t="shared" si="35"/>
        <v>30510.700000000004</v>
      </c>
      <c r="AA184" s="5">
        <v>10.8473381605151</v>
      </c>
      <c r="AB184" s="81" t="s">
        <v>54</v>
      </c>
    </row>
    <row r="185" spans="1:30" s="5" customFormat="1" x14ac:dyDescent="0.25">
      <c r="A185" s="70"/>
      <c r="B185" s="6"/>
      <c r="C185" s="7">
        <v>42063</v>
      </c>
      <c r="D185" s="15">
        <v>4.7</v>
      </c>
      <c r="E185" s="20">
        <v>-1.2</v>
      </c>
      <c r="F185" s="5">
        <v>10</v>
      </c>
      <c r="G185" s="5">
        <f t="shared" si="28"/>
        <v>1534.5000000000002</v>
      </c>
      <c r="H185" s="5">
        <f t="shared" si="34"/>
        <v>372.79999999999995</v>
      </c>
      <c r="J185" s="79">
        <v>5</v>
      </c>
      <c r="K185" s="5">
        <f t="shared" si="29"/>
        <v>310.59999999999991</v>
      </c>
      <c r="L185" s="5">
        <v>1.1000000000000001</v>
      </c>
      <c r="M185" s="5">
        <f t="shared" si="30"/>
        <v>190.3</v>
      </c>
      <c r="N185" s="5">
        <f t="shared" si="27"/>
        <v>3.9</v>
      </c>
      <c r="O185" s="5">
        <f t="shared" si="33"/>
        <v>190.50000000000006</v>
      </c>
      <c r="P185" s="5">
        <v>180</v>
      </c>
      <c r="Q185" s="5">
        <v>1</v>
      </c>
      <c r="R185" s="10">
        <f t="shared" si="24"/>
        <v>1.1000000000000001</v>
      </c>
      <c r="S185" s="10">
        <f t="shared" si="25"/>
        <v>3.9</v>
      </c>
      <c r="T185" s="10">
        <f t="shared" si="31"/>
        <v>197.4</v>
      </c>
      <c r="V185" s="14">
        <v>583.5</v>
      </c>
      <c r="W185" s="5">
        <f t="shared" si="26"/>
        <v>124.14893617021276</v>
      </c>
      <c r="X185" s="5">
        <f t="shared" si="32"/>
        <v>103488.99999999997</v>
      </c>
      <c r="Y185" s="5">
        <f t="shared" si="35"/>
        <v>31094.200000000004</v>
      </c>
      <c r="AA185" s="5">
        <v>10.905902648641099</v>
      </c>
      <c r="AB185" s="12">
        <f>AVERAGE(T191:T204)</f>
        <v>181.0466530612245</v>
      </c>
    </row>
    <row r="186" spans="1:30" s="5" customFormat="1" x14ac:dyDescent="0.25">
      <c r="A186" s="70"/>
      <c r="B186" s="6"/>
      <c r="C186" s="7">
        <v>42064</v>
      </c>
      <c r="D186" s="5">
        <v>9.9</v>
      </c>
      <c r="E186" s="5">
        <v>7</v>
      </c>
      <c r="F186" s="5">
        <v>11</v>
      </c>
      <c r="G186" s="5">
        <f t="shared" si="28"/>
        <v>1544.4000000000003</v>
      </c>
      <c r="H186" s="5">
        <f t="shared" si="34"/>
        <v>382.69999999999993</v>
      </c>
      <c r="J186" s="79">
        <v>1.8</v>
      </c>
      <c r="K186" s="5">
        <f t="shared" si="29"/>
        <v>312.39999999999992</v>
      </c>
      <c r="L186" s="5">
        <v>0.8</v>
      </c>
      <c r="M186" s="5">
        <f t="shared" si="30"/>
        <v>191.10000000000002</v>
      </c>
      <c r="N186" s="5">
        <f t="shared" si="27"/>
        <v>1</v>
      </c>
      <c r="O186" s="5">
        <f t="shared" si="33"/>
        <v>191.50000000000006</v>
      </c>
      <c r="P186" s="5">
        <v>181</v>
      </c>
      <c r="Q186" s="5">
        <v>1</v>
      </c>
      <c r="R186" s="10">
        <f t="shared" si="24"/>
        <v>0.8</v>
      </c>
      <c r="S186" s="10">
        <f t="shared" si="25"/>
        <v>1</v>
      </c>
      <c r="T186" s="10">
        <f t="shared" si="31"/>
        <v>197.4</v>
      </c>
      <c r="V186" s="14">
        <v>460</v>
      </c>
      <c r="W186" s="5">
        <f t="shared" si="26"/>
        <v>46.464646464646464</v>
      </c>
      <c r="X186" s="5">
        <f t="shared" si="32"/>
        <v>103948.99999999997</v>
      </c>
      <c r="Y186" s="5">
        <f t="shared" si="35"/>
        <v>31554.200000000004</v>
      </c>
      <c r="AA186" s="5">
        <v>10.964611903982499</v>
      </c>
      <c r="AB186" s="81" t="s">
        <v>53</v>
      </c>
    </row>
    <row r="187" spans="1:30" s="5" customFormat="1" x14ac:dyDescent="0.25">
      <c r="A187" s="70"/>
      <c r="B187" s="6"/>
      <c r="C187" s="7">
        <v>42065</v>
      </c>
      <c r="D187" s="5">
        <v>7.3</v>
      </c>
      <c r="E187" s="5">
        <v>6</v>
      </c>
      <c r="F187" s="5">
        <v>9.6999999999999993</v>
      </c>
      <c r="G187" s="5">
        <f t="shared" si="28"/>
        <v>1551.7000000000003</v>
      </c>
      <c r="H187" s="5">
        <f t="shared" si="34"/>
        <v>389.99999999999994</v>
      </c>
      <c r="J187" s="79">
        <v>0.8</v>
      </c>
      <c r="K187" s="5">
        <f t="shared" si="29"/>
        <v>313.19999999999993</v>
      </c>
      <c r="L187" s="5">
        <v>1.6</v>
      </c>
      <c r="M187" s="5">
        <f t="shared" si="30"/>
        <v>192.70000000000002</v>
      </c>
      <c r="N187" s="9">
        <f t="shared" si="27"/>
        <v>-0.8</v>
      </c>
      <c r="O187" s="5">
        <f t="shared" si="33"/>
        <v>190.70000000000005</v>
      </c>
      <c r="P187" s="5">
        <v>182</v>
      </c>
      <c r="Q187" s="5">
        <v>1</v>
      </c>
      <c r="R187" s="10">
        <f t="shared" si="24"/>
        <v>1.6</v>
      </c>
      <c r="S187" s="10">
        <f t="shared" si="25"/>
        <v>-0.8</v>
      </c>
      <c r="T187" s="10">
        <f t="shared" si="31"/>
        <v>196.6</v>
      </c>
      <c r="V187" s="14">
        <v>893</v>
      </c>
      <c r="W187" s="5">
        <f t="shared" si="26"/>
        <v>122.32876712328768</v>
      </c>
      <c r="X187" s="5">
        <f t="shared" si="32"/>
        <v>104841.99999999997</v>
      </c>
      <c r="Y187" s="5">
        <f t="shared" si="35"/>
        <v>32447.200000000004</v>
      </c>
      <c r="AA187" s="5">
        <v>11.0234555245018</v>
      </c>
      <c r="AB187" s="5">
        <v>4</v>
      </c>
    </row>
    <row r="188" spans="1:30" s="5" customFormat="1" x14ac:dyDescent="0.25">
      <c r="A188" s="70"/>
      <c r="B188" s="6"/>
      <c r="C188" s="7">
        <v>42066</v>
      </c>
      <c r="D188" s="5">
        <v>5.4</v>
      </c>
      <c r="E188" s="15">
        <v>2.8</v>
      </c>
      <c r="F188" s="5">
        <v>10.1</v>
      </c>
      <c r="G188" s="5">
        <f t="shared" si="28"/>
        <v>1557.1000000000004</v>
      </c>
      <c r="H188" s="5">
        <f t="shared" si="34"/>
        <v>395.39999999999992</v>
      </c>
      <c r="J188" s="79">
        <v>1.3</v>
      </c>
      <c r="K188" s="5">
        <f t="shared" si="29"/>
        <v>314.49999999999994</v>
      </c>
      <c r="L188" s="5">
        <v>1.4</v>
      </c>
      <c r="M188" s="5">
        <f t="shared" si="30"/>
        <v>194.10000000000002</v>
      </c>
      <c r="N188" s="9">
        <f t="shared" si="27"/>
        <v>-9.9999999999999867E-2</v>
      </c>
      <c r="O188" s="5">
        <f t="shared" si="33"/>
        <v>190.60000000000005</v>
      </c>
      <c r="P188" s="5">
        <v>183</v>
      </c>
      <c r="Q188" s="5">
        <v>1</v>
      </c>
      <c r="R188" s="10">
        <f t="shared" si="24"/>
        <v>1.4</v>
      </c>
      <c r="S188" s="10">
        <f t="shared" si="25"/>
        <v>-9.9999999999999867E-2</v>
      </c>
      <c r="T188" s="10">
        <f t="shared" si="31"/>
        <v>196.5</v>
      </c>
      <c r="V188" s="14">
        <v>897.2</v>
      </c>
      <c r="W188" s="5">
        <f t="shared" si="26"/>
        <v>166.14814814814815</v>
      </c>
      <c r="X188" s="5">
        <f t="shared" si="32"/>
        <v>105739.19999999997</v>
      </c>
      <c r="Y188" s="5">
        <f t="shared" si="35"/>
        <v>33344.400000000001</v>
      </c>
      <c r="AA188" s="5">
        <v>11.0824235136319</v>
      </c>
      <c r="AB188" s="81" t="s">
        <v>52</v>
      </c>
    </row>
    <row r="189" spans="1:30" s="5" customFormat="1" x14ac:dyDescent="0.25">
      <c r="A189" s="70"/>
      <c r="B189" s="6"/>
      <c r="C189" s="7">
        <v>42067</v>
      </c>
      <c r="D189" s="15">
        <v>4</v>
      </c>
      <c r="E189" s="15">
        <v>0.2</v>
      </c>
      <c r="F189" s="5">
        <v>7.5</v>
      </c>
      <c r="G189" s="5">
        <f t="shared" si="28"/>
        <v>1561.1000000000004</v>
      </c>
      <c r="H189" s="5">
        <f t="shared" si="34"/>
        <v>399.39999999999992</v>
      </c>
      <c r="J189" s="79">
        <v>0.1</v>
      </c>
      <c r="K189" s="5">
        <f t="shared" si="29"/>
        <v>314.59999999999997</v>
      </c>
      <c r="L189" s="5">
        <v>1.2</v>
      </c>
      <c r="M189" s="5">
        <f t="shared" si="30"/>
        <v>195.3</v>
      </c>
      <c r="N189" s="9">
        <f t="shared" si="27"/>
        <v>-1.0999999999999999</v>
      </c>
      <c r="O189" s="5">
        <f t="shared" si="33"/>
        <v>189.50000000000006</v>
      </c>
      <c r="P189" s="5">
        <v>184</v>
      </c>
      <c r="Q189" s="5">
        <v>1</v>
      </c>
      <c r="R189" s="10">
        <f t="shared" si="24"/>
        <v>1.2</v>
      </c>
      <c r="S189" s="10">
        <f t="shared" si="25"/>
        <v>-1.0999999999999999</v>
      </c>
      <c r="T189" s="10">
        <f t="shared" si="31"/>
        <v>195.4</v>
      </c>
      <c r="V189" s="5">
        <v>1016.1</v>
      </c>
      <c r="W189" s="5">
        <f t="shared" si="26"/>
        <v>254.02500000000001</v>
      </c>
      <c r="X189" s="5">
        <f t="shared" si="32"/>
        <v>106755.29999999997</v>
      </c>
      <c r="Y189" s="5">
        <f t="shared" si="35"/>
        <v>34360.5</v>
      </c>
      <c r="AA189" s="5">
        <v>11.1415062610532</v>
      </c>
      <c r="AB189" s="5">
        <v>9</v>
      </c>
    </row>
    <row r="190" spans="1:30" s="5" customFormat="1" x14ac:dyDescent="0.25">
      <c r="A190" s="70"/>
      <c r="B190" s="6"/>
      <c r="C190" s="7">
        <v>42068</v>
      </c>
      <c r="D190" s="15">
        <v>4.5999999999999996</v>
      </c>
      <c r="E190" s="20">
        <v>-0.4</v>
      </c>
      <c r="F190" s="5">
        <v>10</v>
      </c>
      <c r="G190" s="5">
        <f t="shared" si="28"/>
        <v>1565.7000000000003</v>
      </c>
      <c r="H190" s="5">
        <f t="shared" si="34"/>
        <v>403.99999999999994</v>
      </c>
      <c r="J190" s="79">
        <v>0</v>
      </c>
      <c r="K190" s="5">
        <f t="shared" si="29"/>
        <v>314.59999999999997</v>
      </c>
      <c r="L190" s="5">
        <v>1.3</v>
      </c>
      <c r="M190" s="5">
        <f t="shared" si="30"/>
        <v>196.60000000000002</v>
      </c>
      <c r="N190" s="9">
        <f t="shared" si="27"/>
        <v>-1.3</v>
      </c>
      <c r="O190" s="5">
        <f t="shared" si="33"/>
        <v>188.20000000000005</v>
      </c>
      <c r="P190" s="5">
        <v>185</v>
      </c>
      <c r="Q190" s="5">
        <v>1</v>
      </c>
      <c r="R190" s="10">
        <f t="shared" si="24"/>
        <v>1.3</v>
      </c>
      <c r="S190" s="10">
        <f t="shared" si="25"/>
        <v>-1.3</v>
      </c>
      <c r="T190" s="10">
        <f t="shared" si="31"/>
        <v>194.1</v>
      </c>
      <c r="V190" s="5">
        <v>953.4</v>
      </c>
      <c r="W190" s="5">
        <f t="shared" si="26"/>
        <v>207.2608695652174</v>
      </c>
      <c r="X190" s="5">
        <f t="shared" si="32"/>
        <v>107708.69999999997</v>
      </c>
      <c r="Y190" s="5">
        <f t="shared" si="35"/>
        <v>35313.9</v>
      </c>
      <c r="AA190" s="5">
        <v>11.200694523393601</v>
      </c>
      <c r="AB190" s="81" t="s">
        <v>51</v>
      </c>
    </row>
    <row r="191" spans="1:30" s="5" customFormat="1" x14ac:dyDescent="0.25">
      <c r="A191" s="70"/>
      <c r="B191" s="6"/>
      <c r="C191" s="7">
        <v>42069</v>
      </c>
      <c r="D191" s="15">
        <v>4.4000000000000004</v>
      </c>
      <c r="E191" s="20">
        <v>-1.2</v>
      </c>
      <c r="F191" s="5">
        <v>10.6</v>
      </c>
      <c r="G191" s="5">
        <f t="shared" si="28"/>
        <v>1570.1000000000004</v>
      </c>
      <c r="H191" s="5">
        <f t="shared" si="34"/>
        <v>408.39999999999992</v>
      </c>
      <c r="J191" s="79">
        <v>0</v>
      </c>
      <c r="K191" s="5">
        <f t="shared" si="29"/>
        <v>314.59999999999997</v>
      </c>
      <c r="L191" s="5">
        <v>1.9</v>
      </c>
      <c r="M191" s="5">
        <f t="shared" si="30"/>
        <v>198.50000000000003</v>
      </c>
      <c r="N191" s="9">
        <f t="shared" si="27"/>
        <v>-1.9</v>
      </c>
      <c r="O191" s="5">
        <f t="shared" si="33"/>
        <v>186.30000000000004</v>
      </c>
      <c r="P191" s="5">
        <v>186</v>
      </c>
      <c r="Q191" s="5">
        <v>1</v>
      </c>
      <c r="R191" s="10">
        <f t="shared" si="24"/>
        <v>1.9</v>
      </c>
      <c r="S191" s="10">
        <f t="shared" si="25"/>
        <v>-1.9</v>
      </c>
      <c r="T191" s="80">
        <f t="shared" si="31"/>
        <v>192.2</v>
      </c>
      <c r="V191" s="5">
        <v>1485.6</v>
      </c>
      <c r="W191" s="5">
        <f t="shared" si="26"/>
        <v>337.63636363636357</v>
      </c>
      <c r="X191" s="5">
        <f t="shared" si="32"/>
        <v>109194.29999999997</v>
      </c>
      <c r="Y191" s="5">
        <f t="shared" si="35"/>
        <v>36799.5</v>
      </c>
      <c r="AA191" s="5">
        <v>11.259979404888499</v>
      </c>
      <c r="AB191" s="5">
        <v>0</v>
      </c>
    </row>
    <row r="192" spans="1:30" s="5" customFormat="1" x14ac:dyDescent="0.25">
      <c r="A192" s="70"/>
      <c r="B192" s="6"/>
      <c r="C192" s="7">
        <v>42070</v>
      </c>
      <c r="D192" s="5">
        <v>5.5</v>
      </c>
      <c r="E192" s="20">
        <v>-0.9</v>
      </c>
      <c r="F192" s="5">
        <v>12.1</v>
      </c>
      <c r="G192" s="5">
        <f t="shared" si="28"/>
        <v>1575.6000000000004</v>
      </c>
      <c r="H192" s="5">
        <f t="shared" si="34"/>
        <v>413.89999999999992</v>
      </c>
      <c r="J192" s="79">
        <v>0</v>
      </c>
      <c r="K192" s="5">
        <f t="shared" si="29"/>
        <v>314.59999999999997</v>
      </c>
      <c r="L192" s="5">
        <v>2.1</v>
      </c>
      <c r="M192" s="5">
        <f t="shared" si="30"/>
        <v>200.60000000000002</v>
      </c>
      <c r="N192" s="9">
        <f t="shared" si="27"/>
        <v>-2.1</v>
      </c>
      <c r="O192" s="5">
        <f t="shared" si="33"/>
        <v>184.20000000000005</v>
      </c>
      <c r="P192" s="5">
        <v>187</v>
      </c>
      <c r="Q192" s="5">
        <v>1</v>
      </c>
      <c r="R192" s="10">
        <f t="shared" si="24"/>
        <v>2.1</v>
      </c>
      <c r="S192" s="10">
        <f t="shared" si="25"/>
        <v>-2.1</v>
      </c>
      <c r="T192" s="80">
        <f t="shared" si="31"/>
        <v>190.1</v>
      </c>
      <c r="V192" s="5">
        <v>1483.7</v>
      </c>
      <c r="W192" s="5">
        <f t="shared" si="26"/>
        <v>269.76363636363635</v>
      </c>
      <c r="X192" s="5">
        <f t="shared" si="32"/>
        <v>110677.99999999997</v>
      </c>
      <c r="Y192" s="5">
        <f t="shared" si="35"/>
        <v>38283.199999999997</v>
      </c>
      <c r="AA192" s="5">
        <v>11.3193523380277</v>
      </c>
      <c r="AB192" s="81" t="s">
        <v>50</v>
      </c>
    </row>
    <row r="193" spans="1:28" s="5" customFormat="1" x14ac:dyDescent="0.25">
      <c r="A193" s="70"/>
      <c r="B193" s="6"/>
      <c r="C193" s="7">
        <v>42071</v>
      </c>
      <c r="D193" s="5">
        <v>8.1999999999999993</v>
      </c>
      <c r="E193" s="20">
        <v>-0.4</v>
      </c>
      <c r="F193" s="5">
        <v>16</v>
      </c>
      <c r="G193" s="5">
        <f t="shared" si="28"/>
        <v>1583.8000000000004</v>
      </c>
      <c r="H193" s="5">
        <f t="shared" si="34"/>
        <v>422.09999999999991</v>
      </c>
      <c r="J193" s="79">
        <v>0</v>
      </c>
      <c r="K193" s="5">
        <f t="shared" si="29"/>
        <v>314.59999999999997</v>
      </c>
      <c r="L193" s="5">
        <v>2.4</v>
      </c>
      <c r="M193" s="5">
        <f t="shared" si="30"/>
        <v>203.00000000000003</v>
      </c>
      <c r="N193" s="9">
        <f t="shared" si="27"/>
        <v>-2.4</v>
      </c>
      <c r="O193" s="5">
        <f t="shared" si="33"/>
        <v>181.80000000000004</v>
      </c>
      <c r="P193" s="5">
        <v>188</v>
      </c>
      <c r="Q193" s="5">
        <v>1</v>
      </c>
      <c r="R193" s="10">
        <f t="shared" si="24"/>
        <v>2.4</v>
      </c>
      <c r="S193" s="10">
        <f t="shared" si="25"/>
        <v>-2.4</v>
      </c>
      <c r="T193" s="80">
        <f t="shared" si="31"/>
        <v>187.7</v>
      </c>
      <c r="V193" s="5">
        <v>1433.8</v>
      </c>
      <c r="W193" s="5">
        <f t="shared" si="26"/>
        <v>174.85365853658539</v>
      </c>
      <c r="X193" s="5">
        <f t="shared" si="32"/>
        <v>112111.79999999997</v>
      </c>
      <c r="Y193" s="5">
        <f t="shared" si="35"/>
        <v>39717</v>
      </c>
      <c r="AA193" s="5">
        <v>11.3788050642179</v>
      </c>
      <c r="AB193" s="5">
        <f>SUM(J195:J204)</f>
        <v>0.1</v>
      </c>
    </row>
    <row r="194" spans="1:28" s="84" customFormat="1" ht="15.75" thickBot="1" x14ac:dyDescent="0.3">
      <c r="A194" s="70"/>
      <c r="B194" s="82" t="s">
        <v>56</v>
      </c>
      <c r="C194" s="83">
        <v>42072</v>
      </c>
      <c r="D194" s="84">
        <v>8.8000000000000007</v>
      </c>
      <c r="E194" s="84">
        <v>6.4</v>
      </c>
      <c r="F194" s="84">
        <v>12</v>
      </c>
      <c r="G194" s="84">
        <f t="shared" si="28"/>
        <v>1592.6000000000004</v>
      </c>
      <c r="H194" s="85">
        <f t="shared" si="34"/>
        <v>430.89999999999992</v>
      </c>
      <c r="J194" s="84">
        <v>0</v>
      </c>
      <c r="K194" s="84">
        <f t="shared" si="29"/>
        <v>314.59999999999997</v>
      </c>
      <c r="L194" s="84">
        <v>1.7</v>
      </c>
      <c r="M194" s="84">
        <f t="shared" si="30"/>
        <v>204.70000000000002</v>
      </c>
      <c r="N194" s="84">
        <f t="shared" si="27"/>
        <v>-1.7</v>
      </c>
      <c r="O194" s="85">
        <f t="shared" si="33"/>
        <v>180.10000000000005</v>
      </c>
      <c r="P194" s="85">
        <v>189</v>
      </c>
      <c r="Q194" s="86">
        <v>1</v>
      </c>
      <c r="R194" s="87">
        <f t="shared" si="24"/>
        <v>1.7</v>
      </c>
      <c r="S194" s="87">
        <f t="shared" si="25"/>
        <v>-1.7</v>
      </c>
      <c r="T194" s="88">
        <f t="shared" si="31"/>
        <v>186</v>
      </c>
      <c r="V194" s="84">
        <v>1185.5999999999999</v>
      </c>
      <c r="W194" s="84">
        <f t="shared" si="26"/>
        <v>134.72727272727272</v>
      </c>
      <c r="X194" s="84">
        <f t="shared" si="32"/>
        <v>113297.39999999998</v>
      </c>
      <c r="Y194" s="86">
        <f t="shared" si="35"/>
        <v>40902.6</v>
      </c>
      <c r="AA194" s="86">
        <v>11.4383296144815</v>
      </c>
    </row>
    <row r="195" spans="1:28" s="5" customFormat="1" ht="15" customHeight="1" x14ac:dyDescent="0.25">
      <c r="A195" s="71" t="s">
        <v>45</v>
      </c>
      <c r="B195" s="6"/>
      <c r="C195" s="7">
        <v>42073</v>
      </c>
      <c r="D195" s="5">
        <v>8.9</v>
      </c>
      <c r="E195" s="5">
        <v>5.3</v>
      </c>
      <c r="F195" s="5">
        <v>12.5</v>
      </c>
      <c r="G195" s="5">
        <f t="shared" si="28"/>
        <v>1601.5000000000005</v>
      </c>
      <c r="H195" s="5">
        <v>8.9</v>
      </c>
      <c r="I195" s="21" t="s">
        <v>27</v>
      </c>
      <c r="J195" s="79">
        <v>0.1</v>
      </c>
      <c r="K195" s="5">
        <f t="shared" si="29"/>
        <v>314.7</v>
      </c>
      <c r="L195" s="5">
        <v>0.5</v>
      </c>
      <c r="M195" s="5">
        <f t="shared" si="30"/>
        <v>205.20000000000002</v>
      </c>
      <c r="N195" s="9">
        <f t="shared" si="27"/>
        <v>-0.4</v>
      </c>
      <c r="O195" s="5">
        <f t="shared" si="33"/>
        <v>179.70000000000005</v>
      </c>
      <c r="P195" s="5">
        <v>190</v>
      </c>
      <c r="Q195" s="12">
        <f>1+((P195-189)/35)*(1.15-1)</f>
        <v>1.0042857142857142</v>
      </c>
      <c r="R195" s="10">
        <f t="shared" si="24"/>
        <v>0.50214285714285711</v>
      </c>
      <c r="S195" s="10">
        <f t="shared" si="25"/>
        <v>-0.40214285714285714</v>
      </c>
      <c r="T195" s="80">
        <f t="shared" si="31"/>
        <v>185.59785714285715</v>
      </c>
      <c r="U195" s="21" t="s">
        <v>28</v>
      </c>
      <c r="V195" s="14">
        <v>344.7</v>
      </c>
      <c r="W195" s="5">
        <f t="shared" si="26"/>
        <v>38.730337078651679</v>
      </c>
      <c r="X195" s="5">
        <f t="shared" si="32"/>
        <v>113642.09999999998</v>
      </c>
      <c r="Y195" s="5">
        <v>344.7</v>
      </c>
      <c r="Z195" s="21" t="s">
        <v>29</v>
      </c>
      <c r="AA195" s="5">
        <v>11.4979182902117</v>
      </c>
    </row>
    <row r="196" spans="1:28" s="5" customFormat="1" x14ac:dyDescent="0.25">
      <c r="A196" s="71"/>
      <c r="B196" s="6"/>
      <c r="C196" s="7">
        <v>42074</v>
      </c>
      <c r="D196" s="5">
        <v>7.8</v>
      </c>
      <c r="E196" s="15">
        <v>4.7</v>
      </c>
      <c r="F196" s="5">
        <v>12.4</v>
      </c>
      <c r="G196" s="5">
        <f t="shared" si="28"/>
        <v>1609.3000000000004</v>
      </c>
      <c r="H196" s="5">
        <f t="shared" si="34"/>
        <v>16.7</v>
      </c>
      <c r="I196" s="5">
        <f>MIN(E195:E229)</f>
        <v>-1.4</v>
      </c>
      <c r="J196" s="79">
        <v>0</v>
      </c>
      <c r="K196" s="5">
        <f t="shared" si="29"/>
        <v>314.7</v>
      </c>
      <c r="L196" s="5">
        <v>2.1</v>
      </c>
      <c r="M196" s="5">
        <f t="shared" si="30"/>
        <v>207.3</v>
      </c>
      <c r="N196" s="9">
        <f t="shared" si="27"/>
        <v>-2.1</v>
      </c>
      <c r="O196" s="5">
        <f t="shared" si="33"/>
        <v>177.60000000000005</v>
      </c>
      <c r="P196" s="5">
        <v>191</v>
      </c>
      <c r="Q196" s="12">
        <f t="shared" ref="Q196:Q229" si="36">1+((P196-189)/35)*(1.15-1)</f>
        <v>1.0085714285714287</v>
      </c>
      <c r="R196" s="10">
        <f t="shared" si="24"/>
        <v>2.1180000000000003</v>
      </c>
      <c r="S196" s="10">
        <f t="shared" si="25"/>
        <v>-2.1180000000000003</v>
      </c>
      <c r="T196" s="80">
        <f t="shared" si="31"/>
        <v>183.47985714285716</v>
      </c>
      <c r="U196" s="5">
        <v>29</v>
      </c>
      <c r="V196" s="5">
        <v>1490.7</v>
      </c>
      <c r="W196" s="5">
        <f t="shared" si="26"/>
        <v>191.11538461538461</v>
      </c>
      <c r="X196" s="5">
        <f t="shared" si="32"/>
        <v>115132.79999999997</v>
      </c>
      <c r="Y196" s="5">
        <f t="shared" si="35"/>
        <v>1835.4</v>
      </c>
      <c r="Z196" s="5">
        <v>41995.899999999994</v>
      </c>
      <c r="AA196" s="5">
        <v>11.557563643999201</v>
      </c>
    </row>
    <row r="197" spans="1:28" s="5" customFormat="1" x14ac:dyDescent="0.25">
      <c r="A197" s="71"/>
      <c r="B197" s="6"/>
      <c r="C197" s="7">
        <v>42075</v>
      </c>
      <c r="D197" s="5">
        <v>6.5</v>
      </c>
      <c r="E197" s="15">
        <v>0.1</v>
      </c>
      <c r="F197" s="5">
        <v>12</v>
      </c>
      <c r="G197" s="5">
        <f t="shared" si="28"/>
        <v>1615.8000000000004</v>
      </c>
      <c r="H197" s="5">
        <f t="shared" si="34"/>
        <v>23.2</v>
      </c>
      <c r="I197" s="21" t="s">
        <v>30</v>
      </c>
      <c r="J197" s="79">
        <v>0</v>
      </c>
      <c r="K197" s="5">
        <f t="shared" si="29"/>
        <v>314.7</v>
      </c>
      <c r="L197" s="5">
        <v>2.2000000000000002</v>
      </c>
      <c r="M197" s="5">
        <f t="shared" si="30"/>
        <v>209.5</v>
      </c>
      <c r="N197" s="9">
        <f t="shared" si="27"/>
        <v>-2.2000000000000002</v>
      </c>
      <c r="O197" s="5">
        <f t="shared" si="33"/>
        <v>175.40000000000006</v>
      </c>
      <c r="P197" s="5">
        <v>192</v>
      </c>
      <c r="Q197" s="12">
        <f t="shared" si="36"/>
        <v>1.0128571428571429</v>
      </c>
      <c r="R197" s="10">
        <f t="shared" si="24"/>
        <v>2.2282857142857146</v>
      </c>
      <c r="S197" s="10">
        <f t="shared" si="25"/>
        <v>-2.2282857142857146</v>
      </c>
      <c r="T197" s="80">
        <f t="shared" si="31"/>
        <v>181.25157142857145</v>
      </c>
      <c r="U197" s="21" t="s">
        <v>31</v>
      </c>
      <c r="V197" s="5">
        <v>1638.3</v>
      </c>
      <c r="W197" s="5">
        <f t="shared" si="26"/>
        <v>252.04615384615383</v>
      </c>
      <c r="X197" s="5">
        <f t="shared" si="32"/>
        <v>116771.09999999998</v>
      </c>
      <c r="Y197" s="5">
        <f t="shared" si="35"/>
        <v>3473.7</v>
      </c>
      <c r="Z197" s="21" t="s">
        <v>32</v>
      </c>
      <c r="AA197" s="5">
        <v>11.6172584605448</v>
      </c>
    </row>
    <row r="198" spans="1:28" s="5" customFormat="1" x14ac:dyDescent="0.25">
      <c r="A198" s="71"/>
      <c r="B198" s="6"/>
      <c r="C198" s="7">
        <v>42076</v>
      </c>
      <c r="D198" s="5">
        <v>5.6</v>
      </c>
      <c r="E198" s="15">
        <v>0.8</v>
      </c>
      <c r="F198" s="5">
        <v>10.9</v>
      </c>
      <c r="G198" s="5">
        <f t="shared" si="28"/>
        <v>1621.4000000000003</v>
      </c>
      <c r="H198" s="5">
        <f t="shared" si="34"/>
        <v>28.799999999999997</v>
      </c>
      <c r="I198" s="5">
        <f>MAX(F195:F229)</f>
        <v>20.7</v>
      </c>
      <c r="J198" s="79">
        <v>0</v>
      </c>
      <c r="K198" s="5">
        <f t="shared" si="29"/>
        <v>314.7</v>
      </c>
      <c r="L198" s="5">
        <v>1.3</v>
      </c>
      <c r="M198" s="5">
        <f t="shared" si="30"/>
        <v>210.8</v>
      </c>
      <c r="N198" s="9">
        <f t="shared" si="27"/>
        <v>-1.3</v>
      </c>
      <c r="O198" s="5">
        <f t="shared" si="33"/>
        <v>174.10000000000005</v>
      </c>
      <c r="P198" s="5">
        <v>193</v>
      </c>
      <c r="Q198" s="12">
        <f t="shared" si="36"/>
        <v>1.0171428571428571</v>
      </c>
      <c r="R198" s="10">
        <f t="shared" ref="R198:R261" si="37">Q198*L198</f>
        <v>1.3222857142857143</v>
      </c>
      <c r="S198" s="10">
        <f t="shared" ref="S198:S261" si="38">J198-R198</f>
        <v>-1.3222857142857143</v>
      </c>
      <c r="T198" s="80">
        <f t="shared" si="31"/>
        <v>179.92928571428573</v>
      </c>
      <c r="U198" s="5">
        <v>0</v>
      </c>
      <c r="V198" s="5">
        <v>1004.2</v>
      </c>
      <c r="W198" s="5">
        <f t="shared" ref="W198:W261" si="39">V198/D198</f>
        <v>179.32142857142858</v>
      </c>
      <c r="X198" s="5">
        <f t="shared" si="32"/>
        <v>117775.29999999997</v>
      </c>
      <c r="Y198" s="5">
        <f t="shared" si="35"/>
        <v>4477.8999999999996</v>
      </c>
      <c r="Z198" s="12">
        <f>(Z196/100)/I208</f>
        <v>1.4714751226348983</v>
      </c>
      <c r="AA198" s="5">
        <v>11.676995737666299</v>
      </c>
    </row>
    <row r="199" spans="1:28" s="5" customFormat="1" x14ac:dyDescent="0.25">
      <c r="A199" s="71"/>
      <c r="B199" s="6"/>
      <c r="C199" s="7">
        <v>42077</v>
      </c>
      <c r="D199" s="5">
        <v>6.1</v>
      </c>
      <c r="E199" s="15">
        <v>2.9</v>
      </c>
      <c r="F199" s="5">
        <v>8.5</v>
      </c>
      <c r="G199" s="5">
        <f t="shared" si="28"/>
        <v>1627.5000000000002</v>
      </c>
      <c r="H199" s="5">
        <f t="shared" si="34"/>
        <v>34.9</v>
      </c>
      <c r="I199" s="21" t="s">
        <v>33</v>
      </c>
      <c r="J199" s="79">
        <v>0</v>
      </c>
      <c r="K199" s="5">
        <f t="shared" si="29"/>
        <v>314.7</v>
      </c>
      <c r="L199" s="5">
        <v>1.6</v>
      </c>
      <c r="M199" s="5">
        <f t="shared" si="30"/>
        <v>212.4</v>
      </c>
      <c r="N199" s="9">
        <f t="shared" ref="N199:N262" si="40">J199-L199</f>
        <v>-1.6</v>
      </c>
      <c r="O199" s="5">
        <f t="shared" si="33"/>
        <v>172.50000000000006</v>
      </c>
      <c r="P199" s="5">
        <v>194</v>
      </c>
      <c r="Q199" s="12">
        <f t="shared" si="36"/>
        <v>1.0214285714285714</v>
      </c>
      <c r="R199" s="10">
        <f t="shared" si="37"/>
        <v>1.6342857142857143</v>
      </c>
      <c r="S199" s="10">
        <f t="shared" si="38"/>
        <v>-1.6342857142857143</v>
      </c>
      <c r="T199" s="80">
        <f t="shared" si="31"/>
        <v>178.29500000000002</v>
      </c>
      <c r="U199" s="21" t="s">
        <v>34</v>
      </c>
      <c r="V199" s="5">
        <v>1322.1</v>
      </c>
      <c r="W199" s="5">
        <f t="shared" si="39"/>
        <v>216.73770491803279</v>
      </c>
      <c r="X199" s="5">
        <f t="shared" si="32"/>
        <v>119097.39999999998</v>
      </c>
      <c r="Y199" s="5">
        <f t="shared" si="35"/>
        <v>5800</v>
      </c>
      <c r="Z199" s="21" t="s">
        <v>35</v>
      </c>
      <c r="AA199" s="5">
        <v>11.7367686674097</v>
      </c>
    </row>
    <row r="200" spans="1:28" s="5" customFormat="1" x14ac:dyDescent="0.25">
      <c r="A200" s="71"/>
      <c r="B200" s="6"/>
      <c r="C200" s="7">
        <v>42078</v>
      </c>
      <c r="D200" s="5">
        <v>5.6</v>
      </c>
      <c r="E200" s="15">
        <v>4.5</v>
      </c>
      <c r="F200" s="5">
        <v>7.5</v>
      </c>
      <c r="G200" s="5">
        <f t="shared" ref="G200:G263" si="41">G199+D200</f>
        <v>1633.1000000000001</v>
      </c>
      <c r="H200" s="5">
        <f t="shared" si="34"/>
        <v>40.5</v>
      </c>
      <c r="I200" s="10">
        <f>AVERAGE(D195:D229)</f>
        <v>8.154285714285713</v>
      </c>
      <c r="J200" s="79">
        <v>0</v>
      </c>
      <c r="K200" s="5">
        <f t="shared" ref="K200:K263" si="42">K199+J200</f>
        <v>314.7</v>
      </c>
      <c r="L200" s="5">
        <v>0.8</v>
      </c>
      <c r="M200" s="5">
        <f t="shared" ref="M200:M263" si="43">M199+L200</f>
        <v>213.20000000000002</v>
      </c>
      <c r="N200" s="9">
        <f t="shared" si="40"/>
        <v>-0.8</v>
      </c>
      <c r="O200" s="5">
        <f t="shared" si="33"/>
        <v>171.70000000000005</v>
      </c>
      <c r="P200" s="5">
        <v>195</v>
      </c>
      <c r="Q200" s="12">
        <f t="shared" si="36"/>
        <v>1.0257142857142858</v>
      </c>
      <c r="R200" s="10">
        <f t="shared" si="37"/>
        <v>0.82057142857142873</v>
      </c>
      <c r="S200" s="10">
        <f t="shared" si="38"/>
        <v>-0.82057142857142873</v>
      </c>
      <c r="T200" s="80">
        <f t="shared" ref="T200:T263" si="44">MIN(197.4,(T199+S200))</f>
        <v>177.47442857142858</v>
      </c>
      <c r="U200" s="5">
        <v>0</v>
      </c>
      <c r="V200" s="14">
        <v>609.5</v>
      </c>
      <c r="W200" s="5">
        <f t="shared" si="39"/>
        <v>108.83928571428572</v>
      </c>
      <c r="X200" s="5">
        <f t="shared" ref="X200:X263" si="45">X199+V200</f>
        <v>119706.89999999998</v>
      </c>
      <c r="Y200" s="5">
        <f t="shared" si="35"/>
        <v>6409.5</v>
      </c>
      <c r="Z200" s="5">
        <v>11</v>
      </c>
      <c r="AA200" s="5">
        <v>11.7965706172693</v>
      </c>
    </row>
    <row r="201" spans="1:28" s="5" customFormat="1" x14ac:dyDescent="0.25">
      <c r="A201" s="71"/>
      <c r="B201" s="6"/>
      <c r="C201" s="7">
        <v>42079</v>
      </c>
      <c r="D201" s="5">
        <v>6.4</v>
      </c>
      <c r="E201" s="15">
        <v>0.7</v>
      </c>
      <c r="F201" s="5">
        <v>10.8</v>
      </c>
      <c r="G201" s="5">
        <f t="shared" si="41"/>
        <v>1639.5000000000002</v>
      </c>
      <c r="H201" s="5">
        <f t="shared" si="34"/>
        <v>46.9</v>
      </c>
      <c r="I201" s="21" t="s">
        <v>36</v>
      </c>
      <c r="J201" s="79">
        <v>0</v>
      </c>
      <c r="K201" s="5">
        <f t="shared" si="42"/>
        <v>314.7</v>
      </c>
      <c r="L201" s="5">
        <v>1.5</v>
      </c>
      <c r="M201" s="5">
        <f t="shared" si="43"/>
        <v>214.70000000000002</v>
      </c>
      <c r="N201" s="9">
        <f t="shared" si="40"/>
        <v>-1.5</v>
      </c>
      <c r="O201" s="5">
        <f t="shared" ref="O201:O264" si="46">O200+N201</f>
        <v>170.20000000000005</v>
      </c>
      <c r="P201" s="5">
        <v>196</v>
      </c>
      <c r="Q201" s="12">
        <f t="shared" si="36"/>
        <v>1.03</v>
      </c>
      <c r="R201" s="10">
        <f t="shared" si="37"/>
        <v>1.5449999999999999</v>
      </c>
      <c r="S201" s="10">
        <f t="shared" si="38"/>
        <v>-1.5449999999999999</v>
      </c>
      <c r="T201" s="80">
        <f t="shared" si="44"/>
        <v>175.92942857142859</v>
      </c>
      <c r="U201" s="21" t="s">
        <v>37</v>
      </c>
      <c r="V201" s="5">
        <v>1258.9000000000001</v>
      </c>
      <c r="W201" s="5">
        <f t="shared" si="39"/>
        <v>196.703125</v>
      </c>
      <c r="X201" s="5">
        <f t="shared" si="45"/>
        <v>120965.79999999997</v>
      </c>
      <c r="Y201" s="5">
        <f t="shared" si="35"/>
        <v>7668.4</v>
      </c>
      <c r="AA201" s="5">
        <v>11.8563951115219</v>
      </c>
    </row>
    <row r="202" spans="1:28" s="5" customFormat="1" x14ac:dyDescent="0.25">
      <c r="A202" s="71"/>
      <c r="B202" s="6"/>
      <c r="C202" s="7">
        <v>42080</v>
      </c>
      <c r="D202" s="5">
        <v>8.6</v>
      </c>
      <c r="E202" s="15">
        <v>0.3</v>
      </c>
      <c r="F202" s="5">
        <v>15.7</v>
      </c>
      <c r="G202" s="5">
        <f t="shared" si="41"/>
        <v>1648.1000000000001</v>
      </c>
      <c r="H202" s="5">
        <f t="shared" si="34"/>
        <v>55.5</v>
      </c>
      <c r="I202" s="5">
        <v>2</v>
      </c>
      <c r="J202" s="79">
        <v>0</v>
      </c>
      <c r="K202" s="5">
        <f t="shared" si="42"/>
        <v>314.7</v>
      </c>
      <c r="L202" s="5">
        <v>2</v>
      </c>
      <c r="M202" s="5">
        <f t="shared" si="43"/>
        <v>216.70000000000002</v>
      </c>
      <c r="N202" s="9">
        <f t="shared" si="40"/>
        <v>-2</v>
      </c>
      <c r="O202" s="5">
        <f t="shared" si="46"/>
        <v>168.20000000000005</v>
      </c>
      <c r="P202" s="5">
        <v>197</v>
      </c>
      <c r="Q202" s="12">
        <f t="shared" si="36"/>
        <v>1.0342857142857143</v>
      </c>
      <c r="R202" s="10">
        <f t="shared" si="37"/>
        <v>2.0685714285714285</v>
      </c>
      <c r="S202" s="10">
        <f t="shared" si="38"/>
        <v>-2.0685714285714285</v>
      </c>
      <c r="T202" s="80">
        <f t="shared" si="44"/>
        <v>173.86085714285716</v>
      </c>
      <c r="U202" s="10">
        <f>MIN(T195:T229)</f>
        <v>161.36600000000001</v>
      </c>
      <c r="V202" s="5">
        <v>1391.3</v>
      </c>
      <c r="W202" s="5">
        <f t="shared" si="39"/>
        <v>161.77906976744185</v>
      </c>
      <c r="X202" s="5">
        <f t="shared" si="45"/>
        <v>122357.09999999998</v>
      </c>
      <c r="Y202" s="5">
        <f t="shared" si="35"/>
        <v>9059.6999999999989</v>
      </c>
      <c r="AA202" s="5">
        <v>11.916235812676099</v>
      </c>
    </row>
    <row r="203" spans="1:28" s="5" customFormat="1" x14ac:dyDescent="0.25">
      <c r="A203" s="71"/>
      <c r="B203" s="6"/>
      <c r="C203" s="7">
        <v>42081</v>
      </c>
      <c r="D203" s="5">
        <v>9.3000000000000007</v>
      </c>
      <c r="E203" s="15">
        <v>3.4</v>
      </c>
      <c r="F203" s="5">
        <v>14.9</v>
      </c>
      <c r="G203" s="5">
        <f t="shared" si="41"/>
        <v>1657.4</v>
      </c>
      <c r="H203" s="5">
        <f t="shared" si="34"/>
        <v>64.8</v>
      </c>
      <c r="I203" s="21" t="s">
        <v>38</v>
      </c>
      <c r="J203" s="79">
        <v>0</v>
      </c>
      <c r="K203" s="5">
        <f t="shared" si="42"/>
        <v>314.7</v>
      </c>
      <c r="L203" s="5">
        <v>1.7</v>
      </c>
      <c r="M203" s="5">
        <f t="shared" si="43"/>
        <v>218.4</v>
      </c>
      <c r="N203" s="9">
        <f t="shared" si="40"/>
        <v>-1.7</v>
      </c>
      <c r="O203" s="5">
        <f t="shared" si="46"/>
        <v>166.50000000000006</v>
      </c>
      <c r="P203" s="5">
        <v>198</v>
      </c>
      <c r="Q203" s="12">
        <f t="shared" si="36"/>
        <v>1.0385714285714285</v>
      </c>
      <c r="R203" s="10">
        <f t="shared" si="37"/>
        <v>1.7655714285714283</v>
      </c>
      <c r="S203" s="10">
        <f t="shared" si="38"/>
        <v>-1.7655714285714283</v>
      </c>
      <c r="T203" s="80">
        <f t="shared" si="44"/>
        <v>172.09528571428572</v>
      </c>
      <c r="U203" s="21" t="s">
        <v>39</v>
      </c>
      <c r="V203" s="5">
        <v>957.2</v>
      </c>
      <c r="W203" s="5">
        <f t="shared" si="39"/>
        <v>102.9247311827957</v>
      </c>
      <c r="X203" s="5">
        <f t="shared" si="45"/>
        <v>123314.29999999997</v>
      </c>
      <c r="Y203" s="5">
        <f t="shared" si="35"/>
        <v>10016.9</v>
      </c>
      <c r="AA203" s="5">
        <v>11.976086503037999</v>
      </c>
    </row>
    <row r="204" spans="1:28" s="5" customFormat="1" x14ac:dyDescent="0.25">
      <c r="A204" s="71"/>
      <c r="B204" s="6"/>
      <c r="C204" s="7">
        <v>42082</v>
      </c>
      <c r="D204" s="5">
        <v>6.5</v>
      </c>
      <c r="E204" s="15">
        <v>5</v>
      </c>
      <c r="F204" s="5">
        <v>7.8</v>
      </c>
      <c r="G204" s="5">
        <f t="shared" si="41"/>
        <v>1663.9</v>
      </c>
      <c r="H204" s="5">
        <f t="shared" si="34"/>
        <v>71.3</v>
      </c>
      <c r="I204" s="5">
        <v>0</v>
      </c>
      <c r="J204" s="79">
        <v>0</v>
      </c>
      <c r="K204" s="5">
        <f t="shared" si="42"/>
        <v>314.7</v>
      </c>
      <c r="L204" s="5">
        <v>1.3</v>
      </c>
      <c r="M204" s="5">
        <f t="shared" si="43"/>
        <v>219.70000000000002</v>
      </c>
      <c r="N204" s="9">
        <f t="shared" si="40"/>
        <v>-1.3</v>
      </c>
      <c r="O204" s="5">
        <f t="shared" si="46"/>
        <v>165.20000000000005</v>
      </c>
      <c r="P204" s="5">
        <v>199</v>
      </c>
      <c r="Q204" s="12">
        <f t="shared" si="36"/>
        <v>1.0428571428571429</v>
      </c>
      <c r="R204" s="10">
        <f t="shared" si="37"/>
        <v>1.3557142857142859</v>
      </c>
      <c r="S204" s="10">
        <f t="shared" si="38"/>
        <v>-1.3557142857142859</v>
      </c>
      <c r="T204" s="80">
        <f t="shared" si="44"/>
        <v>170.73957142857142</v>
      </c>
      <c r="U204" s="10">
        <f>MAX(T195:T229)</f>
        <v>186.66128571428567</v>
      </c>
      <c r="V204" s="14">
        <v>758.4</v>
      </c>
      <c r="W204" s="5">
        <f t="shared" si="39"/>
        <v>116.67692307692307</v>
      </c>
      <c r="X204" s="5">
        <f t="shared" si="45"/>
        <v>124072.69999999997</v>
      </c>
      <c r="Y204" s="5">
        <f t="shared" si="35"/>
        <v>10775.3</v>
      </c>
      <c r="AA204" s="5">
        <v>12.0359410663935</v>
      </c>
    </row>
    <row r="205" spans="1:28" s="5" customFormat="1" x14ac:dyDescent="0.25">
      <c r="A205" s="71"/>
      <c r="B205" s="6"/>
      <c r="C205" s="7">
        <v>42083</v>
      </c>
      <c r="D205" s="5">
        <v>7.5</v>
      </c>
      <c r="E205" s="5">
        <v>5.9</v>
      </c>
      <c r="F205" s="5">
        <v>9.6999999999999993</v>
      </c>
      <c r="G205" s="5">
        <f t="shared" si="41"/>
        <v>1671.4</v>
      </c>
      <c r="H205" s="5">
        <f t="shared" si="34"/>
        <v>78.8</v>
      </c>
      <c r="I205" s="21" t="s">
        <v>40</v>
      </c>
      <c r="J205" s="5">
        <v>0</v>
      </c>
      <c r="K205" s="5">
        <f t="shared" si="42"/>
        <v>314.7</v>
      </c>
      <c r="L205" s="5">
        <v>1.8</v>
      </c>
      <c r="M205" s="5">
        <f t="shared" si="43"/>
        <v>221.50000000000003</v>
      </c>
      <c r="N205" s="9">
        <f t="shared" si="40"/>
        <v>-1.8</v>
      </c>
      <c r="O205" s="5">
        <f t="shared" si="46"/>
        <v>163.40000000000003</v>
      </c>
      <c r="P205" s="5">
        <v>200</v>
      </c>
      <c r="Q205" s="12">
        <f t="shared" si="36"/>
        <v>1.0471428571428572</v>
      </c>
      <c r="R205" s="10">
        <f t="shared" si="37"/>
        <v>1.884857142857143</v>
      </c>
      <c r="S205" s="10">
        <f t="shared" si="38"/>
        <v>-1.884857142857143</v>
      </c>
      <c r="T205" s="10">
        <f t="shared" si="44"/>
        <v>168.85471428571429</v>
      </c>
      <c r="U205" s="21" t="s">
        <v>41</v>
      </c>
      <c r="V205" s="5">
        <v>1284.9000000000001</v>
      </c>
      <c r="W205" s="5">
        <f t="shared" si="39"/>
        <v>171.32000000000002</v>
      </c>
      <c r="X205" s="5">
        <f t="shared" si="45"/>
        <v>125357.59999999996</v>
      </c>
      <c r="Y205" s="5">
        <f t="shared" si="35"/>
        <v>12060.199999999999</v>
      </c>
      <c r="AA205" s="5">
        <v>12.0957934698047</v>
      </c>
    </row>
    <row r="206" spans="1:28" s="5" customFormat="1" x14ac:dyDescent="0.25">
      <c r="A206" s="71"/>
      <c r="B206" s="6"/>
      <c r="C206" s="7">
        <v>42084</v>
      </c>
      <c r="D206" s="5">
        <v>5.6</v>
      </c>
      <c r="E206" s="15">
        <v>3.4</v>
      </c>
      <c r="F206" s="5">
        <v>7.2</v>
      </c>
      <c r="G206" s="5">
        <f t="shared" si="41"/>
        <v>1677</v>
      </c>
      <c r="H206" s="5">
        <f t="shared" si="34"/>
        <v>84.399999999999991</v>
      </c>
      <c r="I206" s="5">
        <v>21</v>
      </c>
      <c r="J206" s="5">
        <v>0</v>
      </c>
      <c r="K206" s="5">
        <f t="shared" si="42"/>
        <v>314.7</v>
      </c>
      <c r="L206" s="5">
        <v>0.9</v>
      </c>
      <c r="M206" s="5">
        <f t="shared" si="43"/>
        <v>222.40000000000003</v>
      </c>
      <c r="N206" s="9">
        <f t="shared" si="40"/>
        <v>-0.9</v>
      </c>
      <c r="O206" s="5">
        <f t="shared" si="46"/>
        <v>162.50000000000003</v>
      </c>
      <c r="P206" s="5">
        <v>201</v>
      </c>
      <c r="Q206" s="12">
        <f t="shared" si="36"/>
        <v>1.0514285714285714</v>
      </c>
      <c r="R206" s="10">
        <f t="shared" si="37"/>
        <v>0.94628571428571429</v>
      </c>
      <c r="S206" s="10">
        <f t="shared" si="38"/>
        <v>-0.94628571428571429</v>
      </c>
      <c r="T206" s="10">
        <f t="shared" si="44"/>
        <v>167.90842857142857</v>
      </c>
      <c r="U206" s="12">
        <f>AVERAGE(T195:T229)</f>
        <v>174.61666938775505</v>
      </c>
      <c r="V206" s="14">
        <v>772.6</v>
      </c>
      <c r="W206" s="5">
        <f t="shared" si="39"/>
        <v>137.96428571428572</v>
      </c>
      <c r="X206" s="5">
        <f t="shared" si="45"/>
        <v>126130.19999999997</v>
      </c>
      <c r="Y206" s="5">
        <f t="shared" si="35"/>
        <v>12832.8</v>
      </c>
      <c r="AA206" s="5">
        <v>12.1556377455172</v>
      </c>
    </row>
    <row r="207" spans="1:28" s="5" customFormat="1" x14ac:dyDescent="0.25">
      <c r="A207" s="71"/>
      <c r="B207" s="6"/>
      <c r="C207" s="7">
        <v>42085</v>
      </c>
      <c r="D207" s="5">
        <v>6.4</v>
      </c>
      <c r="E207" s="15">
        <v>5</v>
      </c>
      <c r="F207" s="5">
        <v>9.6</v>
      </c>
      <c r="G207" s="5">
        <f t="shared" si="41"/>
        <v>1683.4</v>
      </c>
      <c r="H207" s="5">
        <f t="shared" si="34"/>
        <v>90.8</v>
      </c>
      <c r="I207" s="21" t="s">
        <v>42</v>
      </c>
      <c r="J207" s="5">
        <v>0</v>
      </c>
      <c r="K207" s="5">
        <f t="shared" si="42"/>
        <v>314.7</v>
      </c>
      <c r="L207" s="5">
        <v>2.4</v>
      </c>
      <c r="M207" s="5">
        <f t="shared" si="43"/>
        <v>224.80000000000004</v>
      </c>
      <c r="N207" s="9">
        <f t="shared" si="40"/>
        <v>-2.4</v>
      </c>
      <c r="O207" s="5">
        <f t="shared" si="46"/>
        <v>160.10000000000002</v>
      </c>
      <c r="P207" s="5">
        <v>202</v>
      </c>
      <c r="Q207" s="12">
        <f t="shared" si="36"/>
        <v>1.0557142857142856</v>
      </c>
      <c r="R207" s="10">
        <f t="shared" si="37"/>
        <v>2.5337142857142854</v>
      </c>
      <c r="S207" s="10">
        <f t="shared" si="38"/>
        <v>-2.5337142857142854</v>
      </c>
      <c r="T207" s="10">
        <f t="shared" si="44"/>
        <v>165.37471428571428</v>
      </c>
      <c r="V207" s="5">
        <v>1723.9</v>
      </c>
      <c r="W207" s="5">
        <f t="shared" si="39"/>
        <v>269.359375</v>
      </c>
      <c r="X207" s="5">
        <f t="shared" si="45"/>
        <v>127854.09999999996</v>
      </c>
      <c r="Y207" s="5">
        <f t="shared" si="35"/>
        <v>14556.699999999999</v>
      </c>
      <c r="AA207" s="5">
        <v>12.2154679729778</v>
      </c>
    </row>
    <row r="208" spans="1:28" s="5" customFormat="1" x14ac:dyDescent="0.25">
      <c r="A208" s="71"/>
      <c r="B208" s="6"/>
      <c r="C208" s="7">
        <v>42086</v>
      </c>
      <c r="D208" s="5">
        <v>6.2</v>
      </c>
      <c r="E208" s="20">
        <v>-1.4</v>
      </c>
      <c r="F208" s="5">
        <v>12.5</v>
      </c>
      <c r="G208" s="5">
        <f t="shared" si="41"/>
        <v>1689.6000000000001</v>
      </c>
      <c r="H208" s="5">
        <f t="shared" si="34"/>
        <v>97</v>
      </c>
      <c r="I208" s="5">
        <v>285.39999999999998</v>
      </c>
      <c r="J208" s="5">
        <v>0</v>
      </c>
      <c r="K208" s="5">
        <f t="shared" si="42"/>
        <v>314.7</v>
      </c>
      <c r="L208" s="5">
        <v>2</v>
      </c>
      <c r="M208" s="5">
        <f t="shared" si="43"/>
        <v>226.80000000000004</v>
      </c>
      <c r="N208" s="9">
        <f t="shared" si="40"/>
        <v>-2</v>
      </c>
      <c r="O208" s="5">
        <f t="shared" si="46"/>
        <v>158.10000000000002</v>
      </c>
      <c r="P208" s="5">
        <v>203</v>
      </c>
      <c r="Q208" s="12">
        <f t="shared" si="36"/>
        <v>1.06</v>
      </c>
      <c r="R208" s="10">
        <f t="shared" si="37"/>
        <v>2.12</v>
      </c>
      <c r="S208" s="10">
        <f t="shared" si="38"/>
        <v>-2.12</v>
      </c>
      <c r="T208" s="10">
        <f t="shared" si="44"/>
        <v>163.25471428571427</v>
      </c>
      <c r="U208" s="10">
        <f>(U206*100)/197.4</f>
        <v>88.458292496329818</v>
      </c>
      <c r="V208" s="5">
        <v>1724.1</v>
      </c>
      <c r="W208" s="5">
        <f t="shared" si="39"/>
        <v>278.08064516129031</v>
      </c>
      <c r="X208" s="5">
        <f t="shared" si="45"/>
        <v>129578.19999999997</v>
      </c>
      <c r="Y208" s="5">
        <f t="shared" si="35"/>
        <v>16280.8</v>
      </c>
      <c r="AA208" s="5">
        <v>12.275278260955</v>
      </c>
    </row>
    <row r="209" spans="1:27" s="5" customFormat="1" x14ac:dyDescent="0.25">
      <c r="A209" s="71"/>
      <c r="B209" s="6"/>
      <c r="C209" s="7">
        <v>42087</v>
      </c>
      <c r="D209" s="5">
        <v>6</v>
      </c>
      <c r="E209" s="15">
        <v>4.9000000000000004</v>
      </c>
      <c r="F209" s="5">
        <v>8.6</v>
      </c>
      <c r="G209" s="5">
        <f t="shared" si="41"/>
        <v>1695.6000000000001</v>
      </c>
      <c r="H209" s="5">
        <f t="shared" si="34"/>
        <v>103</v>
      </c>
      <c r="J209" s="5">
        <v>8.5</v>
      </c>
      <c r="K209" s="5">
        <f t="shared" si="42"/>
        <v>323.2</v>
      </c>
      <c r="L209" s="5">
        <v>1.6</v>
      </c>
      <c r="M209" s="5">
        <f t="shared" si="43"/>
        <v>228.40000000000003</v>
      </c>
      <c r="N209" s="5">
        <f t="shared" si="40"/>
        <v>6.9</v>
      </c>
      <c r="O209" s="5">
        <f t="shared" si="46"/>
        <v>165.00000000000003</v>
      </c>
      <c r="P209" s="5">
        <v>204</v>
      </c>
      <c r="Q209" s="12">
        <f t="shared" si="36"/>
        <v>1.0642857142857143</v>
      </c>
      <c r="R209" s="10">
        <f t="shared" si="37"/>
        <v>1.7028571428571428</v>
      </c>
      <c r="S209" s="10">
        <f t="shared" si="38"/>
        <v>6.7971428571428572</v>
      </c>
      <c r="T209" s="10">
        <f t="shared" si="44"/>
        <v>170.05185714285713</v>
      </c>
      <c r="V209" s="5">
        <v>1176.3</v>
      </c>
      <c r="W209" s="5">
        <f t="shared" si="39"/>
        <v>196.04999999999998</v>
      </c>
      <c r="X209" s="5">
        <f t="shared" si="45"/>
        <v>130754.49999999997</v>
      </c>
      <c r="Y209" s="5">
        <f t="shared" si="35"/>
        <v>17457.099999999999</v>
      </c>
      <c r="AA209" s="5">
        <v>12.335062729761299</v>
      </c>
    </row>
    <row r="210" spans="1:27" s="5" customFormat="1" x14ac:dyDescent="0.25">
      <c r="A210" s="71"/>
      <c r="B210" s="6"/>
      <c r="C210" s="7">
        <v>42088</v>
      </c>
      <c r="D210" s="15">
        <v>4.9000000000000004</v>
      </c>
      <c r="E210" s="15">
        <v>3.9</v>
      </c>
      <c r="F210" s="5">
        <v>7.7</v>
      </c>
      <c r="G210" s="5">
        <f t="shared" si="41"/>
        <v>1700.5000000000002</v>
      </c>
      <c r="H210" s="5">
        <f t="shared" si="34"/>
        <v>107.9</v>
      </c>
      <c r="J210" s="5">
        <v>0.1</v>
      </c>
      <c r="K210" s="5">
        <f t="shared" si="42"/>
        <v>323.3</v>
      </c>
      <c r="L210" s="5">
        <v>1.3</v>
      </c>
      <c r="M210" s="5">
        <f t="shared" si="43"/>
        <v>229.70000000000005</v>
      </c>
      <c r="N210" s="9">
        <f t="shared" si="40"/>
        <v>-1.2</v>
      </c>
      <c r="O210" s="5">
        <f t="shared" si="46"/>
        <v>163.80000000000004</v>
      </c>
      <c r="P210" s="5">
        <v>205</v>
      </c>
      <c r="Q210" s="12">
        <f t="shared" si="36"/>
        <v>1.0685714285714285</v>
      </c>
      <c r="R210" s="10">
        <f t="shared" si="37"/>
        <v>1.389142857142857</v>
      </c>
      <c r="S210" s="10">
        <f t="shared" si="38"/>
        <v>-1.2891428571428569</v>
      </c>
      <c r="T210" s="10">
        <f t="shared" si="44"/>
        <v>168.76271428571428</v>
      </c>
      <c r="V210" s="5">
        <v>966.3</v>
      </c>
      <c r="W210" s="5">
        <f t="shared" si="39"/>
        <v>197.20408163265304</v>
      </c>
      <c r="X210" s="5">
        <f t="shared" si="45"/>
        <v>131720.79999999996</v>
      </c>
      <c r="Y210" s="5">
        <f t="shared" si="35"/>
        <v>18423.399999999998</v>
      </c>
      <c r="AA210" s="5">
        <v>12.3948154935711</v>
      </c>
    </row>
    <row r="211" spans="1:27" s="5" customFormat="1" x14ac:dyDescent="0.25">
      <c r="A211" s="71"/>
      <c r="B211" s="6"/>
      <c r="C211" s="7">
        <v>42089</v>
      </c>
      <c r="D211" s="15">
        <v>4.3</v>
      </c>
      <c r="E211" s="20">
        <v>-1.2</v>
      </c>
      <c r="F211" s="5">
        <v>7.4</v>
      </c>
      <c r="G211" s="5">
        <f t="shared" si="41"/>
        <v>1704.8000000000002</v>
      </c>
      <c r="H211" s="5">
        <f t="shared" si="34"/>
        <v>112.2</v>
      </c>
      <c r="J211" s="5">
        <v>1.5</v>
      </c>
      <c r="K211" s="5">
        <f t="shared" si="42"/>
        <v>324.8</v>
      </c>
      <c r="L211" s="5">
        <v>0.7</v>
      </c>
      <c r="M211" s="5">
        <f t="shared" si="43"/>
        <v>230.40000000000003</v>
      </c>
      <c r="N211" s="5">
        <f t="shared" si="40"/>
        <v>0.8</v>
      </c>
      <c r="O211" s="5">
        <f t="shared" si="46"/>
        <v>164.60000000000005</v>
      </c>
      <c r="P211" s="5">
        <v>206</v>
      </c>
      <c r="Q211" s="12">
        <f t="shared" si="36"/>
        <v>1.0728571428571427</v>
      </c>
      <c r="R211" s="10">
        <f t="shared" si="37"/>
        <v>0.75099999999999989</v>
      </c>
      <c r="S211" s="10">
        <f t="shared" si="38"/>
        <v>0.74900000000000011</v>
      </c>
      <c r="T211" s="10">
        <f t="shared" si="44"/>
        <v>169.51171428571428</v>
      </c>
      <c r="V211" s="14">
        <v>804.8</v>
      </c>
      <c r="W211" s="5">
        <f t="shared" si="39"/>
        <v>187.16279069767441</v>
      </c>
      <c r="X211" s="5">
        <f t="shared" si="45"/>
        <v>132525.59999999995</v>
      </c>
      <c r="Y211" s="5">
        <f t="shared" si="35"/>
        <v>19228.199999999997</v>
      </c>
      <c r="AA211" s="5">
        <v>12.454530642830299</v>
      </c>
    </row>
    <row r="212" spans="1:27" s="5" customFormat="1" x14ac:dyDescent="0.25">
      <c r="A212" s="71"/>
      <c r="B212" s="6"/>
      <c r="C212" s="7">
        <v>42090</v>
      </c>
      <c r="D212" s="5">
        <v>7</v>
      </c>
      <c r="E212" s="15">
        <v>2.2999999999999998</v>
      </c>
      <c r="F212" s="5">
        <v>11.2</v>
      </c>
      <c r="G212" s="5">
        <f t="shared" si="41"/>
        <v>1711.8000000000002</v>
      </c>
      <c r="H212" s="5">
        <f t="shared" si="34"/>
        <v>119.2</v>
      </c>
      <c r="J212" s="5">
        <v>0.7</v>
      </c>
      <c r="K212" s="5">
        <f t="shared" si="42"/>
        <v>325.5</v>
      </c>
      <c r="L212" s="5">
        <v>1.1000000000000001</v>
      </c>
      <c r="M212" s="5">
        <f t="shared" si="43"/>
        <v>231.50000000000003</v>
      </c>
      <c r="N212" s="9">
        <f t="shared" si="40"/>
        <v>-0.40000000000000013</v>
      </c>
      <c r="O212" s="5">
        <f t="shared" si="46"/>
        <v>164.20000000000005</v>
      </c>
      <c r="P212" s="5">
        <v>207</v>
      </c>
      <c r="Q212" s="12">
        <f t="shared" si="36"/>
        <v>1.0771428571428572</v>
      </c>
      <c r="R212" s="10">
        <f t="shared" si="37"/>
        <v>1.1848571428571431</v>
      </c>
      <c r="S212" s="10">
        <f t="shared" si="38"/>
        <v>-0.4848571428571431</v>
      </c>
      <c r="T212" s="10">
        <f t="shared" si="44"/>
        <v>169.02685714285712</v>
      </c>
      <c r="V212" s="14">
        <v>727.4</v>
      </c>
      <c r="W212" s="5">
        <f t="shared" si="39"/>
        <v>103.91428571428571</v>
      </c>
      <c r="X212" s="5">
        <f t="shared" si="45"/>
        <v>133252.99999999994</v>
      </c>
      <c r="Y212" s="5">
        <f t="shared" si="35"/>
        <v>19955.599999999999</v>
      </c>
      <c r="AA212" s="5">
        <v>12.5142022267535</v>
      </c>
    </row>
    <row r="213" spans="1:27" s="5" customFormat="1" x14ac:dyDescent="0.25">
      <c r="A213" s="71"/>
      <c r="B213" s="6"/>
      <c r="C213" s="7">
        <v>42091</v>
      </c>
      <c r="D213" s="5">
        <v>9.9</v>
      </c>
      <c r="E213" s="15">
        <v>4.3</v>
      </c>
      <c r="F213" s="5">
        <v>12.2</v>
      </c>
      <c r="G213" s="5">
        <f t="shared" si="41"/>
        <v>1721.7000000000003</v>
      </c>
      <c r="H213" s="5">
        <f t="shared" si="34"/>
        <v>129.1</v>
      </c>
      <c r="J213" s="5">
        <v>2.7</v>
      </c>
      <c r="K213" s="5">
        <f t="shared" si="42"/>
        <v>328.2</v>
      </c>
      <c r="L213" s="5">
        <v>0.4</v>
      </c>
      <c r="M213" s="5">
        <f t="shared" si="43"/>
        <v>231.90000000000003</v>
      </c>
      <c r="N213" s="5">
        <f t="shared" si="40"/>
        <v>2.3000000000000003</v>
      </c>
      <c r="O213" s="5">
        <f t="shared" si="46"/>
        <v>166.50000000000006</v>
      </c>
      <c r="P213" s="5">
        <v>208</v>
      </c>
      <c r="Q213" s="12">
        <f t="shared" si="36"/>
        <v>1.0814285714285714</v>
      </c>
      <c r="R213" s="10">
        <f t="shared" si="37"/>
        <v>0.43257142857142861</v>
      </c>
      <c r="S213" s="10">
        <f t="shared" si="38"/>
        <v>2.2674285714285718</v>
      </c>
      <c r="T213" s="10">
        <f t="shared" si="44"/>
        <v>171.29428571428571</v>
      </c>
      <c r="V213" s="14">
        <v>473</v>
      </c>
      <c r="W213" s="5">
        <f t="shared" si="39"/>
        <v>47.777777777777779</v>
      </c>
      <c r="X213" s="5">
        <f t="shared" si="45"/>
        <v>133725.99999999994</v>
      </c>
      <c r="Y213" s="5">
        <f t="shared" si="35"/>
        <v>20428.599999999999</v>
      </c>
      <c r="AA213" s="5">
        <v>12.573824235903899</v>
      </c>
    </row>
    <row r="214" spans="1:27" s="5" customFormat="1" x14ac:dyDescent="0.25">
      <c r="A214" s="71"/>
      <c r="B214" s="6"/>
      <c r="C214" s="7">
        <v>42092</v>
      </c>
      <c r="D214" s="5">
        <v>11.2</v>
      </c>
      <c r="E214" s="5">
        <v>9.8000000000000007</v>
      </c>
      <c r="F214" s="5">
        <v>12.6</v>
      </c>
      <c r="G214" s="5">
        <f t="shared" si="41"/>
        <v>1732.9000000000003</v>
      </c>
      <c r="H214" s="5">
        <f t="shared" si="34"/>
        <v>140.29999999999998</v>
      </c>
      <c r="J214" s="5">
        <v>12.4</v>
      </c>
      <c r="K214" s="5">
        <f t="shared" si="42"/>
        <v>340.59999999999997</v>
      </c>
      <c r="L214" s="5">
        <v>0.7</v>
      </c>
      <c r="M214" s="5">
        <f t="shared" si="43"/>
        <v>232.60000000000002</v>
      </c>
      <c r="N214" s="5">
        <f t="shared" si="40"/>
        <v>11.700000000000001</v>
      </c>
      <c r="O214" s="5">
        <f t="shared" si="46"/>
        <v>178.20000000000005</v>
      </c>
      <c r="P214" s="5">
        <v>209</v>
      </c>
      <c r="Q214" s="12">
        <f t="shared" si="36"/>
        <v>1.0857142857142856</v>
      </c>
      <c r="R214" s="10">
        <f t="shared" si="37"/>
        <v>0.7599999999999999</v>
      </c>
      <c r="S214" s="10">
        <f t="shared" si="38"/>
        <v>11.64</v>
      </c>
      <c r="T214" s="10">
        <f t="shared" si="44"/>
        <v>182.93428571428569</v>
      </c>
      <c r="V214" s="14">
        <v>238.6</v>
      </c>
      <c r="W214" s="5">
        <f t="shared" si="39"/>
        <v>21.303571428571431</v>
      </c>
      <c r="X214" s="5">
        <f t="shared" si="45"/>
        <v>133964.59999999995</v>
      </c>
      <c r="Y214" s="5">
        <f t="shared" si="35"/>
        <v>20667.199999999997</v>
      </c>
      <c r="AA214" s="5">
        <v>12.633390584853201</v>
      </c>
    </row>
    <row r="215" spans="1:27" s="5" customFormat="1" x14ac:dyDescent="0.25">
      <c r="A215" s="71"/>
      <c r="B215" s="6"/>
      <c r="C215" s="7">
        <v>42093</v>
      </c>
      <c r="D215" s="5">
        <v>10.7</v>
      </c>
      <c r="E215" s="5">
        <v>9</v>
      </c>
      <c r="F215" s="5">
        <v>12.3</v>
      </c>
      <c r="G215" s="5">
        <f t="shared" si="41"/>
        <v>1743.6000000000004</v>
      </c>
      <c r="H215" s="5">
        <f t="shared" si="34"/>
        <v>150.99999999999997</v>
      </c>
      <c r="J215" s="5">
        <v>0.1</v>
      </c>
      <c r="K215" s="5">
        <f t="shared" si="42"/>
        <v>340.7</v>
      </c>
      <c r="L215" s="5">
        <v>2.4</v>
      </c>
      <c r="M215" s="5">
        <f t="shared" si="43"/>
        <v>235.00000000000003</v>
      </c>
      <c r="N215" s="9">
        <f>J215-L215</f>
        <v>-2.2999999999999998</v>
      </c>
      <c r="O215" s="5">
        <f t="shared" si="46"/>
        <v>175.90000000000003</v>
      </c>
      <c r="P215" s="5">
        <v>210</v>
      </c>
      <c r="Q215" s="12">
        <f t="shared" si="36"/>
        <v>1.0899999999999999</v>
      </c>
      <c r="R215" s="10">
        <f t="shared" si="37"/>
        <v>2.6159999999999997</v>
      </c>
      <c r="S215" s="10">
        <f t="shared" si="38"/>
        <v>-2.5159999999999996</v>
      </c>
      <c r="T215" s="10">
        <f t="shared" si="44"/>
        <v>180.4182857142857</v>
      </c>
      <c r="V215" s="5">
        <v>1496.2</v>
      </c>
      <c r="W215" s="5">
        <f t="shared" si="39"/>
        <v>139.8317757009346</v>
      </c>
      <c r="X215" s="5">
        <f t="shared" si="45"/>
        <v>135460.79999999996</v>
      </c>
      <c r="Y215" s="5">
        <f t="shared" si="35"/>
        <v>22163.399999999998</v>
      </c>
      <c r="AA215" s="5">
        <v>12.692895094917899</v>
      </c>
    </row>
    <row r="216" spans="1:27" s="5" customFormat="1" x14ac:dyDescent="0.25">
      <c r="A216" s="71"/>
      <c r="B216" s="6"/>
      <c r="C216" s="7">
        <v>42094</v>
      </c>
      <c r="D216" s="5">
        <v>10.9</v>
      </c>
      <c r="E216" s="5">
        <v>10</v>
      </c>
      <c r="F216" s="5">
        <v>13.1</v>
      </c>
      <c r="G216" s="5">
        <f t="shared" si="41"/>
        <v>1754.5000000000005</v>
      </c>
      <c r="H216" s="5">
        <f t="shared" si="34"/>
        <v>161.89999999999998</v>
      </c>
      <c r="J216" s="5">
        <v>0.4</v>
      </c>
      <c r="K216" s="5">
        <f t="shared" si="42"/>
        <v>341.09999999999997</v>
      </c>
      <c r="L216" s="5">
        <v>2.9</v>
      </c>
      <c r="M216" s="5">
        <f t="shared" si="43"/>
        <v>237.90000000000003</v>
      </c>
      <c r="N216" s="9">
        <f t="shared" si="40"/>
        <v>-2.5</v>
      </c>
      <c r="O216" s="5">
        <f t="shared" si="46"/>
        <v>173.40000000000003</v>
      </c>
      <c r="P216" s="5">
        <v>211</v>
      </c>
      <c r="Q216" s="12">
        <f t="shared" si="36"/>
        <v>1.0942857142857143</v>
      </c>
      <c r="R216" s="10">
        <f t="shared" si="37"/>
        <v>3.1734285714285715</v>
      </c>
      <c r="S216" s="10">
        <f t="shared" si="38"/>
        <v>-2.7734285714285716</v>
      </c>
      <c r="T216" s="10">
        <f t="shared" si="44"/>
        <v>177.64485714285712</v>
      </c>
      <c r="V216" s="5">
        <v>1511.9</v>
      </c>
      <c r="W216" s="5">
        <f t="shared" si="39"/>
        <v>138.70642201834863</v>
      </c>
      <c r="X216" s="5">
        <f t="shared" si="45"/>
        <v>136972.69999999995</v>
      </c>
      <c r="Y216" s="5">
        <f t="shared" si="35"/>
        <v>23675.3</v>
      </c>
      <c r="AA216" s="5">
        <v>12.7523314769699</v>
      </c>
    </row>
    <row r="217" spans="1:27" s="5" customFormat="1" x14ac:dyDescent="0.25">
      <c r="A217" s="71"/>
      <c r="B217" s="6"/>
      <c r="C217" s="7">
        <v>42095</v>
      </c>
      <c r="D217" s="5">
        <v>8</v>
      </c>
      <c r="E217" s="15">
        <v>4.8</v>
      </c>
      <c r="F217" s="5">
        <v>10.9</v>
      </c>
      <c r="G217" s="5">
        <f t="shared" si="41"/>
        <v>1762.5000000000005</v>
      </c>
      <c r="H217" s="5">
        <f t="shared" si="34"/>
        <v>169.89999999999998</v>
      </c>
      <c r="J217" s="5">
        <v>0</v>
      </c>
      <c r="K217" s="5">
        <f t="shared" si="42"/>
        <v>341.09999999999997</v>
      </c>
      <c r="L217" s="5">
        <v>2.2999999999999998</v>
      </c>
      <c r="M217" s="5">
        <f t="shared" si="43"/>
        <v>240.20000000000005</v>
      </c>
      <c r="N217" s="9">
        <f t="shared" si="40"/>
        <v>-2.2999999999999998</v>
      </c>
      <c r="O217" s="5">
        <f t="shared" si="46"/>
        <v>171.10000000000002</v>
      </c>
      <c r="P217" s="5">
        <v>212</v>
      </c>
      <c r="Q217" s="12">
        <f t="shared" si="36"/>
        <v>1.0985714285714285</v>
      </c>
      <c r="R217" s="10">
        <f t="shared" si="37"/>
        <v>2.5267142857142852</v>
      </c>
      <c r="S217" s="10">
        <f t="shared" si="38"/>
        <v>-2.5267142857142852</v>
      </c>
      <c r="T217" s="10">
        <f t="shared" si="44"/>
        <v>175.11814285714283</v>
      </c>
      <c r="V217" s="5">
        <v>1399.6</v>
      </c>
      <c r="W217" s="5">
        <f t="shared" si="39"/>
        <v>174.95</v>
      </c>
      <c r="X217" s="5">
        <f t="shared" si="45"/>
        <v>138372.29999999996</v>
      </c>
      <c r="Y217" s="5">
        <f t="shared" si="35"/>
        <v>25074.899999999998</v>
      </c>
      <c r="AA217" s="5">
        <v>12.8116933143195</v>
      </c>
    </row>
    <row r="218" spans="1:27" s="5" customFormat="1" x14ac:dyDescent="0.25">
      <c r="A218" s="71"/>
      <c r="B218" s="6"/>
      <c r="C218" s="7">
        <v>42096</v>
      </c>
      <c r="D218" s="5">
        <v>8.4</v>
      </c>
      <c r="E218" s="5">
        <v>7.1</v>
      </c>
      <c r="F218" s="5">
        <v>11</v>
      </c>
      <c r="G218" s="5">
        <f t="shared" si="41"/>
        <v>1770.9000000000005</v>
      </c>
      <c r="H218" s="5">
        <f t="shared" si="34"/>
        <v>178.29999999999998</v>
      </c>
      <c r="J218" s="5">
        <v>4</v>
      </c>
      <c r="K218" s="5">
        <f t="shared" si="42"/>
        <v>345.09999999999997</v>
      </c>
      <c r="L218" s="5">
        <v>0.9</v>
      </c>
      <c r="M218" s="5">
        <f t="shared" si="43"/>
        <v>241.10000000000005</v>
      </c>
      <c r="N218" s="5">
        <f t="shared" si="40"/>
        <v>3.1</v>
      </c>
      <c r="O218" s="5">
        <f t="shared" si="46"/>
        <v>174.20000000000002</v>
      </c>
      <c r="P218" s="5">
        <v>213</v>
      </c>
      <c r="Q218" s="12">
        <f t="shared" si="36"/>
        <v>1.1028571428571428</v>
      </c>
      <c r="R218" s="10">
        <f t="shared" si="37"/>
        <v>0.99257142857142855</v>
      </c>
      <c r="S218" s="10">
        <f t="shared" si="38"/>
        <v>3.0074285714285716</v>
      </c>
      <c r="T218" s="10">
        <f t="shared" si="44"/>
        <v>178.12557142857139</v>
      </c>
      <c r="V218" s="14">
        <v>461.3</v>
      </c>
      <c r="W218" s="5">
        <f t="shared" si="39"/>
        <v>54.916666666666664</v>
      </c>
      <c r="X218" s="5">
        <f t="shared" si="45"/>
        <v>138833.59999999995</v>
      </c>
      <c r="Y218" s="5">
        <f t="shared" si="35"/>
        <v>25536.199999999997</v>
      </c>
      <c r="AA218" s="5">
        <v>12.870974045671501</v>
      </c>
    </row>
    <row r="219" spans="1:27" s="5" customFormat="1" x14ac:dyDescent="0.25">
      <c r="A219" s="71"/>
      <c r="B219" s="6"/>
      <c r="C219" s="7">
        <v>42097</v>
      </c>
      <c r="D219" s="5">
        <v>8.5</v>
      </c>
      <c r="E219" s="5">
        <v>7.1</v>
      </c>
      <c r="F219" s="5">
        <v>10.4</v>
      </c>
      <c r="G219" s="5">
        <f t="shared" si="41"/>
        <v>1779.4000000000005</v>
      </c>
      <c r="H219" s="5">
        <f t="shared" si="34"/>
        <v>186.79999999999998</v>
      </c>
      <c r="J219" s="5">
        <v>9.1999999999999993</v>
      </c>
      <c r="K219" s="5">
        <f t="shared" si="42"/>
        <v>354.29999999999995</v>
      </c>
      <c r="L219" s="5">
        <v>0.6</v>
      </c>
      <c r="M219" s="5">
        <f t="shared" si="43"/>
        <v>241.70000000000005</v>
      </c>
      <c r="N219" s="5">
        <f t="shared" si="40"/>
        <v>8.6</v>
      </c>
      <c r="O219" s="5">
        <f t="shared" si="46"/>
        <v>182.8</v>
      </c>
      <c r="P219" s="5">
        <v>214</v>
      </c>
      <c r="Q219" s="12">
        <f t="shared" si="36"/>
        <v>1.107142857142857</v>
      </c>
      <c r="R219" s="10">
        <f t="shared" si="37"/>
        <v>0.66428571428571415</v>
      </c>
      <c r="S219" s="10">
        <f t="shared" si="38"/>
        <v>8.5357142857142847</v>
      </c>
      <c r="T219" s="10">
        <f t="shared" si="44"/>
        <v>186.66128571428567</v>
      </c>
      <c r="V219" s="14">
        <v>317.10000000000002</v>
      </c>
      <c r="W219" s="5">
        <f t="shared" si="39"/>
        <v>37.305882352941182</v>
      </c>
      <c r="X219" s="5">
        <f t="shared" si="45"/>
        <v>139150.69999999995</v>
      </c>
      <c r="Y219" s="5">
        <f t="shared" si="35"/>
        <v>25853.299999999996</v>
      </c>
      <c r="AA219" s="5">
        <v>12.9301669481539</v>
      </c>
    </row>
    <row r="220" spans="1:27" s="5" customFormat="1" x14ac:dyDescent="0.25">
      <c r="A220" s="71"/>
      <c r="B220" s="6"/>
      <c r="C220" s="7">
        <v>42098</v>
      </c>
      <c r="D220" s="5">
        <v>7.2</v>
      </c>
      <c r="E220" s="5">
        <v>6.4</v>
      </c>
      <c r="F220" s="5">
        <v>9.8000000000000007</v>
      </c>
      <c r="G220" s="5">
        <f t="shared" si="41"/>
        <v>1786.6000000000006</v>
      </c>
      <c r="H220" s="5">
        <f t="shared" si="34"/>
        <v>193.99999999999997</v>
      </c>
      <c r="J220" s="5">
        <v>0.9</v>
      </c>
      <c r="K220" s="5">
        <f t="shared" si="42"/>
        <v>355.19999999999993</v>
      </c>
      <c r="L220" s="5">
        <v>1</v>
      </c>
      <c r="M220" s="5">
        <f t="shared" si="43"/>
        <v>242.70000000000005</v>
      </c>
      <c r="N220" s="9">
        <f t="shared" si="40"/>
        <v>-9.9999999999999978E-2</v>
      </c>
      <c r="O220" s="5">
        <f t="shared" si="46"/>
        <v>182.70000000000002</v>
      </c>
      <c r="P220" s="5">
        <v>215</v>
      </c>
      <c r="Q220" s="12">
        <f t="shared" si="36"/>
        <v>1.1114285714285714</v>
      </c>
      <c r="R220" s="10">
        <f t="shared" si="37"/>
        <v>1.1114285714285714</v>
      </c>
      <c r="S220" s="10">
        <f t="shared" si="38"/>
        <v>-0.21142857142857141</v>
      </c>
      <c r="T220" s="10">
        <f t="shared" si="44"/>
        <v>186.4498571428571</v>
      </c>
      <c r="V220" s="14">
        <v>753.7</v>
      </c>
      <c r="W220" s="5">
        <f t="shared" si="39"/>
        <v>104.68055555555556</v>
      </c>
      <c r="X220" s="5">
        <f t="shared" si="45"/>
        <v>139904.39999999997</v>
      </c>
      <c r="Y220" s="5">
        <f t="shared" si="35"/>
        <v>26606.999999999996</v>
      </c>
      <c r="AA220" s="5">
        <v>12.9892651204229</v>
      </c>
    </row>
    <row r="221" spans="1:27" s="5" customFormat="1" x14ac:dyDescent="0.25">
      <c r="A221" s="71"/>
      <c r="B221" s="6"/>
      <c r="C221" s="7">
        <v>42099</v>
      </c>
      <c r="D221" s="5">
        <v>5.8</v>
      </c>
      <c r="E221" s="15">
        <v>1.6</v>
      </c>
      <c r="F221" s="5">
        <v>10.199999999999999</v>
      </c>
      <c r="G221" s="5">
        <f t="shared" si="41"/>
        <v>1792.4000000000005</v>
      </c>
      <c r="H221" s="5">
        <f t="shared" si="34"/>
        <v>199.79999999999998</v>
      </c>
      <c r="J221" s="5">
        <v>0</v>
      </c>
      <c r="K221" s="5">
        <f t="shared" si="42"/>
        <v>355.19999999999993</v>
      </c>
      <c r="L221" s="5">
        <v>2.1</v>
      </c>
      <c r="M221" s="5">
        <f t="shared" si="43"/>
        <v>244.80000000000004</v>
      </c>
      <c r="N221" s="9">
        <f t="shared" si="40"/>
        <v>-2.1</v>
      </c>
      <c r="O221" s="5">
        <f t="shared" si="46"/>
        <v>180.60000000000002</v>
      </c>
      <c r="P221" s="5">
        <v>216</v>
      </c>
      <c r="Q221" s="12">
        <f t="shared" si="36"/>
        <v>1.1157142857142857</v>
      </c>
      <c r="R221" s="10">
        <f t="shared" si="37"/>
        <v>2.343</v>
      </c>
      <c r="S221" s="10">
        <f t="shared" si="38"/>
        <v>-2.343</v>
      </c>
      <c r="T221" s="10">
        <f t="shared" si="44"/>
        <v>184.10685714285711</v>
      </c>
      <c r="V221" s="5">
        <v>1611.7</v>
      </c>
      <c r="W221" s="5">
        <f t="shared" si="39"/>
        <v>277.87931034482762</v>
      </c>
      <c r="X221" s="5">
        <f t="shared" si="45"/>
        <v>141516.09999999998</v>
      </c>
      <c r="Y221" s="5">
        <f t="shared" si="35"/>
        <v>28218.699999999997</v>
      </c>
      <c r="AA221" s="5">
        <v>13.048261465845901</v>
      </c>
    </row>
    <row r="222" spans="1:27" s="24" customFormat="1" x14ac:dyDescent="0.25">
      <c r="A222" s="71"/>
      <c r="B222" s="22"/>
      <c r="C222" s="23">
        <v>42100</v>
      </c>
      <c r="D222" s="24">
        <v>7.1</v>
      </c>
      <c r="E222" s="25">
        <v>0</v>
      </c>
      <c r="F222" s="24">
        <v>13</v>
      </c>
      <c r="G222" s="24">
        <f t="shared" si="41"/>
        <v>1799.5000000000005</v>
      </c>
      <c r="H222" s="24">
        <f t="shared" si="34"/>
        <v>206.89999999999998</v>
      </c>
      <c r="J222" s="24">
        <v>0</v>
      </c>
      <c r="K222" s="24">
        <f t="shared" si="42"/>
        <v>355.19999999999993</v>
      </c>
      <c r="L222" s="24">
        <v>2.4</v>
      </c>
      <c r="M222" s="24">
        <f t="shared" si="43"/>
        <v>247.20000000000005</v>
      </c>
      <c r="N222" s="26">
        <f t="shared" si="40"/>
        <v>-2.4</v>
      </c>
      <c r="O222" s="24">
        <f t="shared" si="46"/>
        <v>178.20000000000002</v>
      </c>
      <c r="P222" s="24">
        <v>217</v>
      </c>
      <c r="Q222" s="12">
        <f t="shared" si="36"/>
        <v>1.1199999999999999</v>
      </c>
      <c r="R222" s="27">
        <f t="shared" si="37"/>
        <v>2.6879999999999997</v>
      </c>
      <c r="S222" s="27">
        <f t="shared" si="38"/>
        <v>-2.6879999999999997</v>
      </c>
      <c r="T222" s="10">
        <f t="shared" si="44"/>
        <v>181.41885714285712</v>
      </c>
      <c r="V222" s="24">
        <v>1877.2</v>
      </c>
      <c r="W222" s="24">
        <f t="shared" si="39"/>
        <v>264.3943661971831</v>
      </c>
      <c r="X222" s="24">
        <f t="shared" si="45"/>
        <v>143393.29999999999</v>
      </c>
      <c r="Y222" s="5">
        <f t="shared" si="35"/>
        <v>30095.899999999998</v>
      </c>
      <c r="AA222" s="5">
        <v>13.1071486757708</v>
      </c>
    </row>
    <row r="223" spans="1:27" s="5" customFormat="1" x14ac:dyDescent="0.25">
      <c r="A223" s="71"/>
      <c r="B223" s="28"/>
      <c r="C223" s="29">
        <v>42101</v>
      </c>
      <c r="D223" s="5">
        <v>7.9</v>
      </c>
      <c r="E223" s="5">
        <v>1.7</v>
      </c>
      <c r="F223" s="5">
        <v>13.1</v>
      </c>
      <c r="G223" s="5">
        <f t="shared" si="41"/>
        <v>1807.4000000000005</v>
      </c>
      <c r="H223" s="5">
        <f t="shared" si="34"/>
        <v>214.79999999999998</v>
      </c>
      <c r="J223" s="5">
        <v>0</v>
      </c>
      <c r="K223" s="5">
        <f t="shared" si="42"/>
        <v>355.19999999999993</v>
      </c>
      <c r="L223" s="5">
        <v>2.8</v>
      </c>
      <c r="M223" s="5">
        <f t="shared" si="43"/>
        <v>250.00000000000006</v>
      </c>
      <c r="N223" s="5">
        <f t="shared" si="40"/>
        <v>-2.8</v>
      </c>
      <c r="O223" s="5">
        <f t="shared" si="46"/>
        <v>175.4</v>
      </c>
      <c r="P223" s="5">
        <v>218</v>
      </c>
      <c r="Q223" s="12">
        <f t="shared" si="36"/>
        <v>1.1242857142857141</v>
      </c>
      <c r="R223" s="10">
        <f t="shared" si="37"/>
        <v>3.1479999999999992</v>
      </c>
      <c r="S223" s="10">
        <f t="shared" si="38"/>
        <v>-3.1479999999999992</v>
      </c>
      <c r="T223" s="10">
        <f t="shared" si="44"/>
        <v>178.27085714285712</v>
      </c>
      <c r="V223" s="5">
        <v>2058.9</v>
      </c>
      <c r="W223" s="5">
        <f t="shared" si="39"/>
        <v>260.62025316455697</v>
      </c>
      <c r="X223" s="5">
        <f t="shared" si="45"/>
        <v>145452.19999999998</v>
      </c>
      <c r="Y223" s="5">
        <f t="shared" si="35"/>
        <v>32154.799999999999</v>
      </c>
      <c r="AA223" s="5">
        <v>13.1659192128855</v>
      </c>
    </row>
    <row r="224" spans="1:27" s="5" customFormat="1" x14ac:dyDescent="0.25">
      <c r="A224" s="71"/>
      <c r="B224" s="28"/>
      <c r="C224" s="7">
        <v>42102</v>
      </c>
      <c r="D224" s="5">
        <v>9.1</v>
      </c>
      <c r="E224" s="15">
        <v>1.3</v>
      </c>
      <c r="F224" s="5">
        <v>15.9</v>
      </c>
      <c r="G224" s="5">
        <f t="shared" si="41"/>
        <v>1816.5000000000005</v>
      </c>
      <c r="H224" s="5">
        <f t="shared" si="34"/>
        <v>223.89999999999998</v>
      </c>
      <c r="J224" s="5">
        <v>0</v>
      </c>
      <c r="K224" s="5">
        <f t="shared" si="42"/>
        <v>355.19999999999993</v>
      </c>
      <c r="L224" s="5">
        <v>2.9</v>
      </c>
      <c r="M224" s="5">
        <f t="shared" si="43"/>
        <v>252.90000000000006</v>
      </c>
      <c r="N224" s="9">
        <f t="shared" si="40"/>
        <v>-2.9</v>
      </c>
      <c r="O224" s="5">
        <f t="shared" si="46"/>
        <v>172.5</v>
      </c>
      <c r="P224" s="5">
        <v>219</v>
      </c>
      <c r="Q224" s="12">
        <f t="shared" si="36"/>
        <v>1.1285714285714286</v>
      </c>
      <c r="R224" s="10">
        <f t="shared" si="37"/>
        <v>3.2728571428571427</v>
      </c>
      <c r="S224" s="10">
        <f t="shared" si="38"/>
        <v>-3.2728571428571427</v>
      </c>
      <c r="T224" s="10">
        <f t="shared" si="44"/>
        <v>174.99799999999999</v>
      </c>
      <c r="V224" s="5">
        <v>1932.3</v>
      </c>
      <c r="W224" s="5">
        <f t="shared" si="39"/>
        <v>212.34065934065936</v>
      </c>
      <c r="X224" s="5">
        <f t="shared" si="45"/>
        <v>147384.49999999997</v>
      </c>
      <c r="Y224" s="5">
        <f t="shared" si="35"/>
        <v>34087.1</v>
      </c>
      <c r="AA224" s="5">
        <v>13.2245652946806</v>
      </c>
    </row>
    <row r="225" spans="1:27" s="5" customFormat="1" x14ac:dyDescent="0.25">
      <c r="A225" s="71"/>
      <c r="B225" s="28"/>
      <c r="C225" s="7">
        <v>42103</v>
      </c>
      <c r="D225" s="5">
        <v>11.7</v>
      </c>
      <c r="E225" s="15">
        <v>2.5</v>
      </c>
      <c r="F225" s="5">
        <v>19.2</v>
      </c>
      <c r="G225" s="5">
        <f t="shared" si="41"/>
        <v>1828.2000000000005</v>
      </c>
      <c r="H225" s="5">
        <f t="shared" ref="H225:H288" si="47">H224+D225</f>
        <v>235.59999999999997</v>
      </c>
      <c r="J225" s="5">
        <v>0</v>
      </c>
      <c r="K225" s="5">
        <f t="shared" si="42"/>
        <v>355.19999999999993</v>
      </c>
      <c r="L225" s="5">
        <v>3.1</v>
      </c>
      <c r="M225" s="5">
        <f t="shared" si="43"/>
        <v>256.00000000000006</v>
      </c>
      <c r="N225" s="9">
        <f t="shared" si="40"/>
        <v>-3.1</v>
      </c>
      <c r="O225" s="5">
        <f t="shared" si="46"/>
        <v>169.4</v>
      </c>
      <c r="P225" s="5">
        <v>220</v>
      </c>
      <c r="Q225" s="12">
        <f t="shared" si="36"/>
        <v>1.1328571428571428</v>
      </c>
      <c r="R225" s="10">
        <f t="shared" si="37"/>
        <v>3.5118571428571426</v>
      </c>
      <c r="S225" s="10">
        <f t="shared" si="38"/>
        <v>-3.5118571428571426</v>
      </c>
      <c r="T225" s="10">
        <f t="shared" si="44"/>
        <v>171.48614285714285</v>
      </c>
      <c r="V225" s="5">
        <v>1891.6</v>
      </c>
      <c r="W225" s="5">
        <f t="shared" si="39"/>
        <v>161.67521367521368</v>
      </c>
      <c r="X225" s="5">
        <f t="shared" si="45"/>
        <v>149276.09999999998</v>
      </c>
      <c r="Y225" s="5">
        <f t="shared" ref="Y225:Y288" si="48">Y224+V225</f>
        <v>35978.699999999997</v>
      </c>
      <c r="AA225" s="5">
        <v>13.2830788770229</v>
      </c>
    </row>
    <row r="226" spans="1:27" s="5" customFormat="1" x14ac:dyDescent="0.25">
      <c r="A226" s="71"/>
      <c r="B226" s="28"/>
      <c r="C226" s="7">
        <v>42104</v>
      </c>
      <c r="D226" s="5">
        <v>13.4</v>
      </c>
      <c r="E226" s="5">
        <v>5.6</v>
      </c>
      <c r="F226" s="5">
        <v>20.7</v>
      </c>
      <c r="G226" s="5">
        <f t="shared" si="41"/>
        <v>1841.6000000000006</v>
      </c>
      <c r="H226" s="5">
        <f t="shared" si="47"/>
        <v>248.99999999999997</v>
      </c>
      <c r="J226" s="5">
        <v>0</v>
      </c>
      <c r="K226" s="5">
        <f t="shared" si="42"/>
        <v>355.19999999999993</v>
      </c>
      <c r="L226" s="5">
        <v>3.6</v>
      </c>
      <c r="M226" s="5">
        <f t="shared" si="43"/>
        <v>259.60000000000008</v>
      </c>
      <c r="N226" s="9">
        <f t="shared" si="40"/>
        <v>-3.6</v>
      </c>
      <c r="O226" s="5">
        <f t="shared" si="46"/>
        <v>165.8</v>
      </c>
      <c r="P226" s="5">
        <v>221</v>
      </c>
      <c r="Q226" s="12">
        <f t="shared" si="36"/>
        <v>1.137142857142857</v>
      </c>
      <c r="R226" s="10">
        <f t="shared" si="37"/>
        <v>4.0937142857142854</v>
      </c>
      <c r="S226" s="10">
        <f t="shared" si="38"/>
        <v>-4.0937142857142854</v>
      </c>
      <c r="T226" s="10">
        <f t="shared" si="44"/>
        <v>167.39242857142855</v>
      </c>
      <c r="V226" s="5">
        <v>1849.5</v>
      </c>
      <c r="W226" s="5">
        <f t="shared" si="39"/>
        <v>138.02238805970148</v>
      </c>
      <c r="X226" s="5">
        <f t="shared" si="45"/>
        <v>151125.59999999998</v>
      </c>
      <c r="Y226" s="5">
        <f t="shared" si="48"/>
        <v>37828.199999999997</v>
      </c>
      <c r="AA226" s="5">
        <v>13.341451637856601</v>
      </c>
    </row>
    <row r="227" spans="1:27" s="5" customFormat="1" x14ac:dyDescent="0.25">
      <c r="A227" s="71"/>
      <c r="B227" s="28"/>
      <c r="C227" s="7">
        <v>42105</v>
      </c>
      <c r="D227" s="5">
        <v>11.8</v>
      </c>
      <c r="E227" s="5">
        <v>11.6</v>
      </c>
      <c r="F227" s="5">
        <v>14.4</v>
      </c>
      <c r="G227" s="5">
        <f t="shared" si="41"/>
        <v>1853.4000000000005</v>
      </c>
      <c r="H227" s="5">
        <f t="shared" si="47"/>
        <v>260.79999999999995</v>
      </c>
      <c r="J227" s="5">
        <v>2</v>
      </c>
      <c r="K227" s="5">
        <f t="shared" si="42"/>
        <v>357.19999999999993</v>
      </c>
      <c r="L227" s="5">
        <v>1.8</v>
      </c>
      <c r="M227" s="5">
        <f t="shared" si="43"/>
        <v>261.40000000000009</v>
      </c>
      <c r="N227" s="5">
        <f t="shared" si="40"/>
        <v>0.19999999999999996</v>
      </c>
      <c r="O227" s="5">
        <f t="shared" si="46"/>
        <v>166</v>
      </c>
      <c r="P227" s="5">
        <v>222</v>
      </c>
      <c r="Q227" s="12">
        <f t="shared" si="36"/>
        <v>1.1414285714285715</v>
      </c>
      <c r="R227" s="10">
        <f t="shared" si="37"/>
        <v>2.0545714285714287</v>
      </c>
      <c r="S227" s="10">
        <f t="shared" si="38"/>
        <v>-5.4571428571428715E-2</v>
      </c>
      <c r="T227" s="10">
        <f t="shared" si="44"/>
        <v>167.33785714285713</v>
      </c>
      <c r="V227" s="5">
        <v>794.9</v>
      </c>
      <c r="W227" s="5">
        <f t="shared" si="39"/>
        <v>67.36440677966101</v>
      </c>
      <c r="X227" s="5">
        <f t="shared" si="45"/>
        <v>151920.49999999997</v>
      </c>
      <c r="Y227" s="5">
        <f t="shared" si="48"/>
        <v>38623.1</v>
      </c>
      <c r="AA227" s="5">
        <v>13.399674961047801</v>
      </c>
    </row>
    <row r="228" spans="1:27" s="5" customFormat="1" x14ac:dyDescent="0.25">
      <c r="A228" s="71"/>
      <c r="B228" s="28"/>
      <c r="C228" s="7">
        <v>42106</v>
      </c>
      <c r="D228" s="5">
        <v>11.6</v>
      </c>
      <c r="E228" s="15">
        <v>3.7</v>
      </c>
      <c r="F228" s="5">
        <v>17.5</v>
      </c>
      <c r="G228" s="5">
        <f t="shared" si="41"/>
        <v>1865.0000000000005</v>
      </c>
      <c r="H228" s="5">
        <f t="shared" si="47"/>
        <v>272.39999999999998</v>
      </c>
      <c r="J228" s="5">
        <v>0</v>
      </c>
      <c r="K228" s="5">
        <f t="shared" si="42"/>
        <v>357.19999999999993</v>
      </c>
      <c r="L228" s="5">
        <v>1.9</v>
      </c>
      <c r="M228" s="5">
        <f t="shared" si="43"/>
        <v>263.30000000000007</v>
      </c>
      <c r="N228" s="9">
        <f t="shared" si="40"/>
        <v>-1.9</v>
      </c>
      <c r="O228" s="5">
        <f t="shared" si="46"/>
        <v>164.1</v>
      </c>
      <c r="P228" s="5">
        <v>223</v>
      </c>
      <c r="Q228" s="12">
        <f t="shared" si="36"/>
        <v>1.1457142857142857</v>
      </c>
      <c r="R228" s="10">
        <f t="shared" si="37"/>
        <v>2.1768571428571426</v>
      </c>
      <c r="S228" s="10">
        <f t="shared" si="38"/>
        <v>-2.1768571428571426</v>
      </c>
      <c r="T228" s="10">
        <f t="shared" si="44"/>
        <v>165.161</v>
      </c>
      <c r="V228" s="5">
        <v>1293.2</v>
      </c>
      <c r="W228" s="5">
        <f t="shared" si="39"/>
        <v>111.48275862068967</v>
      </c>
      <c r="X228" s="5">
        <f t="shared" si="45"/>
        <v>153213.69999999998</v>
      </c>
      <c r="Y228" s="5">
        <f t="shared" si="48"/>
        <v>39916.299999999996</v>
      </c>
      <c r="AA228" s="5">
        <v>13.457739920389299</v>
      </c>
    </row>
    <row r="229" spans="1:27" s="50" customFormat="1" ht="15.75" thickBot="1" x14ac:dyDescent="0.3">
      <c r="A229" s="71"/>
      <c r="B229" s="47"/>
      <c r="C229" s="57">
        <v>42107</v>
      </c>
      <c r="D229" s="50">
        <v>13</v>
      </c>
      <c r="E229" s="50">
        <v>5.3</v>
      </c>
      <c r="F229" s="50">
        <v>19.100000000000001</v>
      </c>
      <c r="G229" s="50">
        <f t="shared" si="41"/>
        <v>1878.0000000000005</v>
      </c>
      <c r="H229" s="50">
        <f t="shared" si="47"/>
        <v>285.39999999999998</v>
      </c>
      <c r="J229" s="50">
        <v>0</v>
      </c>
      <c r="K229" s="50">
        <f t="shared" si="42"/>
        <v>357.19999999999993</v>
      </c>
      <c r="L229" s="50">
        <v>3.3</v>
      </c>
      <c r="M229" s="50">
        <f t="shared" si="43"/>
        <v>266.60000000000008</v>
      </c>
      <c r="N229" s="58">
        <f t="shared" si="40"/>
        <v>-3.3</v>
      </c>
      <c r="O229" s="50">
        <f t="shared" si="46"/>
        <v>160.79999999999998</v>
      </c>
      <c r="P229" s="50">
        <v>224</v>
      </c>
      <c r="Q229" s="59">
        <f t="shared" si="36"/>
        <v>1.1499999999999999</v>
      </c>
      <c r="R229" s="52">
        <f t="shared" si="37"/>
        <v>3.7949999999999995</v>
      </c>
      <c r="S229" s="52">
        <f t="shared" si="38"/>
        <v>-3.7949999999999995</v>
      </c>
      <c r="T229" s="56">
        <f t="shared" si="44"/>
        <v>161.36600000000001</v>
      </c>
      <c r="V229" s="50">
        <v>2079.6</v>
      </c>
      <c r="W229" s="50">
        <f t="shared" si="39"/>
        <v>159.96923076923076</v>
      </c>
      <c r="X229" s="50">
        <f t="shared" si="45"/>
        <v>155293.29999999999</v>
      </c>
      <c r="Y229" s="55">
        <f t="shared" si="48"/>
        <v>41995.899999999994</v>
      </c>
      <c r="AA229" s="55">
        <v>13.515637263791101</v>
      </c>
    </row>
    <row r="230" spans="1:27" s="5" customFormat="1" x14ac:dyDescent="0.25">
      <c r="A230" s="33" t="s">
        <v>46</v>
      </c>
      <c r="B230" s="34"/>
      <c r="C230" s="7">
        <v>42108</v>
      </c>
      <c r="D230" s="5">
        <v>15.6</v>
      </c>
      <c r="E230" s="5">
        <v>7.8</v>
      </c>
      <c r="F230" s="5">
        <v>22.8</v>
      </c>
      <c r="G230" s="5">
        <f t="shared" si="41"/>
        <v>1893.6000000000004</v>
      </c>
      <c r="H230" s="5">
        <v>15.6</v>
      </c>
      <c r="I230" s="35" t="s">
        <v>27</v>
      </c>
      <c r="J230" s="5">
        <v>0</v>
      </c>
      <c r="K230" s="5">
        <f t="shared" si="42"/>
        <v>357.19999999999993</v>
      </c>
      <c r="L230" s="5">
        <v>3.8</v>
      </c>
      <c r="M230" s="5">
        <f t="shared" si="43"/>
        <v>270.40000000000009</v>
      </c>
      <c r="N230" s="9">
        <f t="shared" si="40"/>
        <v>-3.8</v>
      </c>
      <c r="O230" s="5">
        <f t="shared" si="46"/>
        <v>156.99999999999997</v>
      </c>
      <c r="P230" s="5">
        <v>225</v>
      </c>
      <c r="Q230" s="5">
        <v>1.1499999999999999</v>
      </c>
      <c r="R230" s="10">
        <f t="shared" si="37"/>
        <v>4.3699999999999992</v>
      </c>
      <c r="S230" s="10">
        <f t="shared" si="38"/>
        <v>-4.3699999999999992</v>
      </c>
      <c r="T230" s="10">
        <f t="shared" si="44"/>
        <v>156.99600000000001</v>
      </c>
      <c r="U230" s="35" t="s">
        <v>28</v>
      </c>
      <c r="V230" s="5">
        <v>2001.5</v>
      </c>
      <c r="W230" s="5">
        <f t="shared" si="39"/>
        <v>128.30128205128204</v>
      </c>
      <c r="X230" s="5">
        <f t="shared" si="45"/>
        <v>157294.79999999999</v>
      </c>
      <c r="Y230" s="5">
        <v>2001.5</v>
      </c>
      <c r="Z230" s="35" t="s">
        <v>29</v>
      </c>
      <c r="AA230" s="5">
        <v>13.5733573976781</v>
      </c>
    </row>
    <row r="231" spans="1:27" s="5" customFormat="1" x14ac:dyDescent="0.25">
      <c r="A231" s="33"/>
      <c r="B231" s="34"/>
      <c r="C231" s="7">
        <v>42109</v>
      </c>
      <c r="D231" s="5">
        <v>16.899999999999999</v>
      </c>
      <c r="E231" s="5">
        <v>9</v>
      </c>
      <c r="F231" s="5">
        <v>24.1</v>
      </c>
      <c r="G231" s="5">
        <f t="shared" si="41"/>
        <v>1910.5000000000005</v>
      </c>
      <c r="H231" s="5">
        <f t="shared" si="47"/>
        <v>32.5</v>
      </c>
      <c r="I231" s="5">
        <f>MIN(E230:E250)</f>
        <v>4.5</v>
      </c>
      <c r="J231" s="5">
        <v>0</v>
      </c>
      <c r="K231" s="5">
        <f t="shared" si="42"/>
        <v>357.19999999999993</v>
      </c>
      <c r="L231" s="5">
        <v>3.5</v>
      </c>
      <c r="M231" s="5">
        <f t="shared" si="43"/>
        <v>273.90000000000009</v>
      </c>
      <c r="N231" s="9">
        <f t="shared" si="40"/>
        <v>-3.5</v>
      </c>
      <c r="O231" s="5">
        <f t="shared" si="46"/>
        <v>153.49999999999997</v>
      </c>
      <c r="P231" s="5">
        <v>226</v>
      </c>
      <c r="Q231" s="5">
        <v>1.1499999999999999</v>
      </c>
      <c r="R231" s="10">
        <f t="shared" si="37"/>
        <v>4.0249999999999995</v>
      </c>
      <c r="S231" s="10">
        <f t="shared" si="38"/>
        <v>-4.0249999999999995</v>
      </c>
      <c r="T231" s="10">
        <f t="shared" si="44"/>
        <v>152.971</v>
      </c>
      <c r="U231" s="5">
        <v>13</v>
      </c>
      <c r="V231" s="5">
        <v>1952.8</v>
      </c>
      <c r="W231" s="5">
        <f t="shared" si="39"/>
        <v>115.55029585798817</v>
      </c>
      <c r="X231" s="5">
        <f t="shared" si="45"/>
        <v>159247.59999999998</v>
      </c>
      <c r="Y231" s="5">
        <f t="shared" si="48"/>
        <v>3954.3</v>
      </c>
      <c r="Z231" s="5">
        <v>34493.900000000009</v>
      </c>
      <c r="AA231" s="5">
        <v>13.6308903716257</v>
      </c>
    </row>
    <row r="232" spans="1:27" s="5" customFormat="1" x14ac:dyDescent="0.25">
      <c r="A232" s="33"/>
      <c r="B232" s="34"/>
      <c r="C232" s="7">
        <v>42110</v>
      </c>
      <c r="D232" s="5">
        <v>16.100000000000001</v>
      </c>
      <c r="E232" s="5">
        <v>10.1</v>
      </c>
      <c r="F232" s="5">
        <v>21.7</v>
      </c>
      <c r="G232" s="5">
        <f t="shared" si="41"/>
        <v>1926.6000000000004</v>
      </c>
      <c r="H232" s="5">
        <f t="shared" si="47"/>
        <v>48.6</v>
      </c>
      <c r="I232" s="35" t="s">
        <v>30</v>
      </c>
      <c r="J232" s="5">
        <v>0.3</v>
      </c>
      <c r="K232" s="5">
        <f t="shared" si="42"/>
        <v>357.49999999999994</v>
      </c>
      <c r="L232" s="5">
        <v>3</v>
      </c>
      <c r="M232" s="5">
        <f t="shared" si="43"/>
        <v>276.90000000000009</v>
      </c>
      <c r="N232" s="9">
        <f t="shared" si="40"/>
        <v>-2.7</v>
      </c>
      <c r="O232" s="5">
        <f t="shared" si="46"/>
        <v>150.79999999999998</v>
      </c>
      <c r="P232" s="5">
        <v>227</v>
      </c>
      <c r="Q232" s="5">
        <v>1.1499999999999999</v>
      </c>
      <c r="R232" s="10">
        <f t="shared" si="37"/>
        <v>3.4499999999999997</v>
      </c>
      <c r="S232" s="10">
        <f t="shared" si="38"/>
        <v>-3.15</v>
      </c>
      <c r="T232" s="10">
        <f t="shared" si="44"/>
        <v>149.821</v>
      </c>
      <c r="U232" s="35" t="s">
        <v>31</v>
      </c>
      <c r="V232" s="5">
        <v>1618.8</v>
      </c>
      <c r="W232" s="5">
        <f t="shared" si="39"/>
        <v>100.54658385093167</v>
      </c>
      <c r="X232" s="5">
        <f t="shared" si="45"/>
        <v>160866.39999999997</v>
      </c>
      <c r="Y232" s="5">
        <f t="shared" si="48"/>
        <v>5573.1</v>
      </c>
      <c r="Z232" s="35" t="s">
        <v>32</v>
      </c>
      <c r="AA232" s="5">
        <v>13.6882258632629</v>
      </c>
    </row>
    <row r="233" spans="1:27" s="5" customFormat="1" x14ac:dyDescent="0.25">
      <c r="A233" s="33"/>
      <c r="B233" s="34"/>
      <c r="C233" s="7">
        <v>42111</v>
      </c>
      <c r="D233" s="5">
        <v>13.9</v>
      </c>
      <c r="E233" s="5">
        <v>12.4</v>
      </c>
      <c r="F233" s="5">
        <v>17.3</v>
      </c>
      <c r="G233" s="5">
        <f t="shared" si="41"/>
        <v>1940.5000000000005</v>
      </c>
      <c r="H233" s="5">
        <f t="shared" si="47"/>
        <v>62.5</v>
      </c>
      <c r="I233" s="5">
        <f>MAX(F230:F250)</f>
        <v>24.1</v>
      </c>
      <c r="J233" s="5">
        <v>2.5</v>
      </c>
      <c r="K233" s="5">
        <f t="shared" si="42"/>
        <v>359.99999999999994</v>
      </c>
      <c r="L233" s="5">
        <v>1.8</v>
      </c>
      <c r="M233" s="5">
        <f t="shared" si="43"/>
        <v>278.7000000000001</v>
      </c>
      <c r="N233" s="5">
        <f t="shared" si="40"/>
        <v>0.7</v>
      </c>
      <c r="O233" s="5">
        <f t="shared" si="46"/>
        <v>151.49999999999997</v>
      </c>
      <c r="P233" s="5">
        <v>228</v>
      </c>
      <c r="Q233" s="5">
        <v>1.1499999999999999</v>
      </c>
      <c r="R233" s="10">
        <f t="shared" si="37"/>
        <v>2.0699999999999998</v>
      </c>
      <c r="S233" s="10">
        <f t="shared" si="38"/>
        <v>0.43000000000000016</v>
      </c>
      <c r="T233" s="10">
        <f t="shared" si="44"/>
        <v>150.251</v>
      </c>
      <c r="U233" s="5">
        <v>0</v>
      </c>
      <c r="V233" s="5">
        <v>1031.3</v>
      </c>
      <c r="W233" s="5">
        <f t="shared" si="39"/>
        <v>74.194244604316538</v>
      </c>
      <c r="X233" s="5">
        <f t="shared" si="45"/>
        <v>161897.69999999995</v>
      </c>
      <c r="Y233" s="5">
        <f t="shared" si="48"/>
        <v>6604.4000000000005</v>
      </c>
      <c r="Z233" s="12">
        <f>(Z231/100)/I243</f>
        <v>1.2818246005202529</v>
      </c>
      <c r="AA233" s="5">
        <v>13.745353163479001</v>
      </c>
    </row>
    <row r="234" spans="1:27" s="5" customFormat="1" x14ac:dyDescent="0.25">
      <c r="A234" s="33"/>
      <c r="B234" s="34"/>
      <c r="C234" s="7">
        <v>42112</v>
      </c>
      <c r="D234" s="5">
        <v>11.1</v>
      </c>
      <c r="E234" s="5">
        <v>7.7</v>
      </c>
      <c r="F234" s="5">
        <v>14.6</v>
      </c>
      <c r="G234" s="5">
        <f t="shared" si="41"/>
        <v>1951.6000000000004</v>
      </c>
      <c r="H234" s="5">
        <f t="shared" si="47"/>
        <v>73.599999999999994</v>
      </c>
      <c r="I234" s="35" t="s">
        <v>33</v>
      </c>
      <c r="J234" s="5">
        <v>0</v>
      </c>
      <c r="K234" s="5">
        <f t="shared" si="42"/>
        <v>359.99999999999994</v>
      </c>
      <c r="L234" s="5">
        <v>3.9</v>
      </c>
      <c r="M234" s="5">
        <f t="shared" si="43"/>
        <v>282.60000000000008</v>
      </c>
      <c r="N234" s="9">
        <f t="shared" si="40"/>
        <v>-3.9</v>
      </c>
      <c r="O234" s="5">
        <f t="shared" si="46"/>
        <v>147.59999999999997</v>
      </c>
      <c r="P234" s="5">
        <v>229</v>
      </c>
      <c r="Q234" s="5">
        <v>1.1499999999999999</v>
      </c>
      <c r="R234" s="10">
        <f t="shared" si="37"/>
        <v>4.4849999999999994</v>
      </c>
      <c r="S234" s="10">
        <f t="shared" si="38"/>
        <v>-4.4849999999999994</v>
      </c>
      <c r="T234" s="10">
        <f t="shared" si="44"/>
        <v>145.76600000000002</v>
      </c>
      <c r="U234" s="35" t="s">
        <v>34</v>
      </c>
      <c r="V234" s="5">
        <v>2182.6</v>
      </c>
      <c r="W234" s="5">
        <f t="shared" si="39"/>
        <v>196.63063063063063</v>
      </c>
      <c r="X234" s="5">
        <f t="shared" si="45"/>
        <v>164080.29999999996</v>
      </c>
      <c r="Y234" s="5">
        <f t="shared" si="48"/>
        <v>8787</v>
      </c>
      <c r="Z234" s="35" t="s">
        <v>35</v>
      </c>
      <c r="AA234" s="5">
        <v>13.802261161972</v>
      </c>
    </row>
    <row r="235" spans="1:27" s="5" customFormat="1" x14ac:dyDescent="0.25">
      <c r="A235" s="33"/>
      <c r="B235" s="34"/>
      <c r="C235" s="7">
        <v>42113</v>
      </c>
      <c r="D235" s="5">
        <v>11</v>
      </c>
      <c r="E235" s="5">
        <v>5.0999999999999996</v>
      </c>
      <c r="F235" s="5">
        <v>17.2</v>
      </c>
      <c r="G235" s="5">
        <f t="shared" si="41"/>
        <v>1962.6000000000004</v>
      </c>
      <c r="H235" s="5">
        <f t="shared" si="47"/>
        <v>84.6</v>
      </c>
      <c r="I235" s="10">
        <f>AVERAGE(D230:D250)</f>
        <v>12.814285714285713</v>
      </c>
      <c r="J235" s="5">
        <v>0</v>
      </c>
      <c r="K235" s="5">
        <f t="shared" si="42"/>
        <v>359.99999999999994</v>
      </c>
      <c r="L235" s="5">
        <v>4.3</v>
      </c>
      <c r="M235" s="5">
        <f t="shared" si="43"/>
        <v>286.90000000000009</v>
      </c>
      <c r="N235" s="9">
        <f t="shared" si="40"/>
        <v>-4.3</v>
      </c>
      <c r="O235" s="5">
        <f t="shared" si="46"/>
        <v>143.29999999999995</v>
      </c>
      <c r="P235" s="5">
        <v>230</v>
      </c>
      <c r="Q235" s="5">
        <v>1.1499999999999999</v>
      </c>
      <c r="R235" s="10">
        <f t="shared" si="37"/>
        <v>4.9449999999999994</v>
      </c>
      <c r="S235" s="10">
        <f t="shared" si="38"/>
        <v>-4.9449999999999994</v>
      </c>
      <c r="T235" s="10">
        <f t="shared" si="44"/>
        <v>140.82100000000003</v>
      </c>
      <c r="U235" s="5">
        <v>0</v>
      </c>
      <c r="V235" s="5">
        <v>2551.9</v>
      </c>
      <c r="W235" s="5">
        <f t="shared" si="39"/>
        <v>231.9909090909091</v>
      </c>
      <c r="X235" s="5">
        <f t="shared" si="45"/>
        <v>166632.19999999995</v>
      </c>
      <c r="Y235" s="5">
        <f t="shared" si="48"/>
        <v>11338.9</v>
      </c>
      <c r="Z235" s="5">
        <v>4</v>
      </c>
      <c r="AA235" s="5">
        <v>13.8589383331813</v>
      </c>
    </row>
    <row r="236" spans="1:27" s="5" customFormat="1" x14ac:dyDescent="0.25">
      <c r="A236" s="33"/>
      <c r="B236" s="34"/>
      <c r="C236" s="7">
        <v>42114</v>
      </c>
      <c r="D236" s="5">
        <v>12.8</v>
      </c>
      <c r="E236" s="5">
        <v>5.0999999999999996</v>
      </c>
      <c r="F236" s="5">
        <v>19.8</v>
      </c>
      <c r="G236" s="5">
        <f t="shared" si="41"/>
        <v>1975.4000000000003</v>
      </c>
      <c r="H236" s="5">
        <f t="shared" si="47"/>
        <v>97.399999999999991</v>
      </c>
      <c r="I236" s="35" t="s">
        <v>36</v>
      </c>
      <c r="J236" s="5">
        <v>0</v>
      </c>
      <c r="K236" s="5">
        <f t="shared" si="42"/>
        <v>359.99999999999994</v>
      </c>
      <c r="L236" s="5">
        <v>4.2</v>
      </c>
      <c r="M236" s="5">
        <f t="shared" si="43"/>
        <v>291.10000000000008</v>
      </c>
      <c r="N236" s="9">
        <f t="shared" si="40"/>
        <v>-4.2</v>
      </c>
      <c r="O236" s="5">
        <f t="shared" si="46"/>
        <v>139.09999999999997</v>
      </c>
      <c r="P236" s="5">
        <v>231</v>
      </c>
      <c r="Q236" s="5">
        <v>1.1499999999999999</v>
      </c>
      <c r="R236" s="10">
        <f t="shared" si="37"/>
        <v>4.83</v>
      </c>
      <c r="S236" s="10">
        <f t="shared" si="38"/>
        <v>-4.83</v>
      </c>
      <c r="T236" s="10">
        <f t="shared" si="44"/>
        <v>135.99100000000001</v>
      </c>
      <c r="U236" s="35" t="s">
        <v>37</v>
      </c>
      <c r="V236" s="5">
        <v>2434.3000000000002</v>
      </c>
      <c r="W236" s="5">
        <f t="shared" si="39"/>
        <v>190.1796875</v>
      </c>
      <c r="X236" s="5">
        <f t="shared" si="45"/>
        <v>169066.49999999994</v>
      </c>
      <c r="Y236" s="5">
        <f t="shared" si="48"/>
        <v>13773.2</v>
      </c>
      <c r="AA236" s="5">
        <v>13.915372722650901</v>
      </c>
    </row>
    <row r="237" spans="1:27" s="5" customFormat="1" x14ac:dyDescent="0.25">
      <c r="A237" s="33"/>
      <c r="B237" s="34"/>
      <c r="C237" s="7">
        <v>42115</v>
      </c>
      <c r="D237" s="5">
        <v>14.3</v>
      </c>
      <c r="E237" s="5">
        <v>6.5</v>
      </c>
      <c r="F237" s="5">
        <v>21.4</v>
      </c>
      <c r="G237" s="5">
        <f t="shared" si="41"/>
        <v>1989.7000000000003</v>
      </c>
      <c r="H237" s="5">
        <f t="shared" si="47"/>
        <v>111.69999999999999</v>
      </c>
      <c r="I237" s="5">
        <v>0</v>
      </c>
      <c r="J237" s="5">
        <v>0</v>
      </c>
      <c r="K237" s="5">
        <f t="shared" si="42"/>
        <v>359.99999999999994</v>
      </c>
      <c r="L237" s="5">
        <v>4.3</v>
      </c>
      <c r="M237" s="5">
        <f t="shared" si="43"/>
        <v>295.40000000000009</v>
      </c>
      <c r="N237" s="9">
        <f t="shared" si="40"/>
        <v>-4.3</v>
      </c>
      <c r="O237" s="5">
        <f t="shared" si="46"/>
        <v>134.79999999999995</v>
      </c>
      <c r="P237" s="5">
        <v>232</v>
      </c>
      <c r="Q237" s="5">
        <v>1.1499999999999999</v>
      </c>
      <c r="R237" s="10">
        <f t="shared" si="37"/>
        <v>4.9449999999999994</v>
      </c>
      <c r="S237" s="10">
        <f t="shared" si="38"/>
        <v>-4.9449999999999994</v>
      </c>
      <c r="T237" s="10">
        <f t="shared" si="44"/>
        <v>131.04600000000002</v>
      </c>
      <c r="U237" s="10">
        <f>MIN(T230:T250)</f>
        <v>119.44100000000003</v>
      </c>
      <c r="V237" s="5">
        <v>2447.6999999999998</v>
      </c>
      <c r="W237" s="5">
        <f t="shared" si="39"/>
        <v>171.16783216783216</v>
      </c>
      <c r="X237" s="5">
        <f t="shared" si="45"/>
        <v>171514.19999999995</v>
      </c>
      <c r="Y237" s="5">
        <f t="shared" si="48"/>
        <v>16220.900000000001</v>
      </c>
      <c r="AA237" s="5">
        <v>13.971551933874199</v>
      </c>
    </row>
    <row r="238" spans="1:27" s="5" customFormat="1" x14ac:dyDescent="0.25">
      <c r="A238" s="33"/>
      <c r="B238" s="34"/>
      <c r="C238" s="7">
        <v>42116</v>
      </c>
      <c r="D238" s="5">
        <v>14.4</v>
      </c>
      <c r="E238" s="5">
        <v>8.8000000000000007</v>
      </c>
      <c r="F238" s="5">
        <v>21.6</v>
      </c>
      <c r="G238" s="5">
        <f t="shared" si="41"/>
        <v>2004.1000000000004</v>
      </c>
      <c r="H238" s="5">
        <f t="shared" si="47"/>
        <v>126.1</v>
      </c>
      <c r="I238" s="35" t="s">
        <v>38</v>
      </c>
      <c r="J238" s="5">
        <v>0</v>
      </c>
      <c r="K238" s="5">
        <f t="shared" si="42"/>
        <v>359.99999999999994</v>
      </c>
      <c r="L238" s="5">
        <v>5</v>
      </c>
      <c r="M238" s="5">
        <f t="shared" si="43"/>
        <v>300.40000000000009</v>
      </c>
      <c r="N238" s="9">
        <f t="shared" si="40"/>
        <v>-5</v>
      </c>
      <c r="O238" s="5">
        <f t="shared" si="46"/>
        <v>129.79999999999995</v>
      </c>
      <c r="P238" s="5">
        <v>233</v>
      </c>
      <c r="Q238" s="5">
        <v>1.1499999999999999</v>
      </c>
      <c r="R238" s="10">
        <f t="shared" si="37"/>
        <v>5.75</v>
      </c>
      <c r="S238" s="10">
        <f t="shared" si="38"/>
        <v>-5.75</v>
      </c>
      <c r="T238" s="10">
        <f t="shared" si="44"/>
        <v>125.29600000000002</v>
      </c>
      <c r="U238" s="35" t="s">
        <v>39</v>
      </c>
      <c r="V238" s="5">
        <v>2643.2</v>
      </c>
      <c r="W238" s="5">
        <f t="shared" si="39"/>
        <v>183.55555555555554</v>
      </c>
      <c r="X238" s="5">
        <f t="shared" si="45"/>
        <v>174157.39999999997</v>
      </c>
      <c r="Y238" s="5">
        <f t="shared" si="48"/>
        <v>18864.100000000002</v>
      </c>
      <c r="AA238" s="5">
        <v>14.027463115674299</v>
      </c>
    </row>
    <row r="239" spans="1:27" s="24" customFormat="1" x14ac:dyDescent="0.25">
      <c r="A239" s="33"/>
      <c r="C239" s="36">
        <v>42117</v>
      </c>
      <c r="D239" s="24">
        <v>13.3</v>
      </c>
      <c r="E239" s="24">
        <v>6.5</v>
      </c>
      <c r="F239" s="24">
        <v>19.5</v>
      </c>
      <c r="G239" s="24">
        <f t="shared" si="41"/>
        <v>2017.4000000000003</v>
      </c>
      <c r="H239" s="24">
        <f t="shared" si="47"/>
        <v>139.4</v>
      </c>
      <c r="I239" s="24">
        <v>0</v>
      </c>
      <c r="J239" s="24">
        <v>0</v>
      </c>
      <c r="K239" s="24">
        <f t="shared" si="42"/>
        <v>359.99999999999994</v>
      </c>
      <c r="L239" s="24">
        <v>4.3</v>
      </c>
      <c r="M239" s="24">
        <f t="shared" si="43"/>
        <v>304.7000000000001</v>
      </c>
      <c r="N239" s="24">
        <f t="shared" si="40"/>
        <v>-4.3</v>
      </c>
      <c r="O239" s="24">
        <f t="shared" si="46"/>
        <v>125.49999999999996</v>
      </c>
      <c r="P239" s="24">
        <v>234</v>
      </c>
      <c r="Q239" s="5">
        <v>1.1499999999999999</v>
      </c>
      <c r="R239" s="27">
        <f t="shared" si="37"/>
        <v>4.9449999999999994</v>
      </c>
      <c r="S239" s="27">
        <f t="shared" si="38"/>
        <v>-4.9449999999999994</v>
      </c>
      <c r="T239" s="10">
        <f t="shared" si="44"/>
        <v>120.35100000000003</v>
      </c>
      <c r="U239" s="10">
        <f>MAX(T230:T250)</f>
        <v>158.48600000000002</v>
      </c>
      <c r="V239" s="24">
        <v>2657.7</v>
      </c>
      <c r="W239" s="24">
        <f t="shared" si="39"/>
        <v>199.82706766917292</v>
      </c>
      <c r="X239" s="24">
        <f t="shared" si="45"/>
        <v>176815.09999999998</v>
      </c>
      <c r="Y239" s="5">
        <f t="shared" si="48"/>
        <v>21521.800000000003</v>
      </c>
      <c r="AA239" s="5">
        <v>14.0830929501791</v>
      </c>
    </row>
    <row r="240" spans="1:27" s="5" customFormat="1" ht="15" customHeight="1" x14ac:dyDescent="0.25">
      <c r="A240" s="37"/>
      <c r="B240" s="34"/>
      <c r="C240" s="7">
        <v>42118</v>
      </c>
      <c r="D240" s="5">
        <v>12.2</v>
      </c>
      <c r="E240" s="5">
        <v>7.4</v>
      </c>
      <c r="F240" s="5">
        <v>15.8</v>
      </c>
      <c r="G240" s="5">
        <f t="shared" si="41"/>
        <v>2029.6000000000004</v>
      </c>
      <c r="H240" s="5">
        <f t="shared" si="47"/>
        <v>151.6</v>
      </c>
      <c r="I240" s="35" t="s">
        <v>40</v>
      </c>
      <c r="J240" s="5">
        <v>0.7</v>
      </c>
      <c r="K240" s="5">
        <f t="shared" si="42"/>
        <v>360.69999999999993</v>
      </c>
      <c r="L240" s="5">
        <v>1.4</v>
      </c>
      <c r="M240" s="5">
        <f t="shared" si="43"/>
        <v>306.10000000000008</v>
      </c>
      <c r="N240" s="9">
        <f t="shared" si="40"/>
        <v>-0.7</v>
      </c>
      <c r="O240" s="5">
        <f t="shared" si="46"/>
        <v>124.79999999999995</v>
      </c>
      <c r="P240" s="5">
        <v>235</v>
      </c>
      <c r="Q240" s="5">
        <v>1.1499999999999999</v>
      </c>
      <c r="R240" s="10">
        <f t="shared" si="37"/>
        <v>1.6099999999999999</v>
      </c>
      <c r="S240" s="10">
        <f t="shared" si="38"/>
        <v>-0.90999999999999992</v>
      </c>
      <c r="T240" s="10">
        <f t="shared" si="44"/>
        <v>119.44100000000003</v>
      </c>
      <c r="U240" s="35" t="s">
        <v>41</v>
      </c>
      <c r="V240" s="5">
        <v>926.7</v>
      </c>
      <c r="W240" s="5">
        <f t="shared" si="39"/>
        <v>75.959016393442624</v>
      </c>
      <c r="X240" s="5">
        <f t="shared" si="45"/>
        <v>177741.8</v>
      </c>
      <c r="Y240" s="5">
        <f t="shared" si="48"/>
        <v>22448.500000000004</v>
      </c>
      <c r="AA240" s="5">
        <v>14.1384276414545</v>
      </c>
    </row>
    <row r="241" spans="1:27" s="5" customFormat="1" x14ac:dyDescent="0.25">
      <c r="A241" s="37"/>
      <c r="B241" s="34"/>
      <c r="C241" s="7">
        <v>42119</v>
      </c>
      <c r="D241" s="5">
        <v>14.2</v>
      </c>
      <c r="E241" s="5">
        <v>12</v>
      </c>
      <c r="F241" s="5">
        <v>16.5</v>
      </c>
      <c r="G241" s="5">
        <f t="shared" si="41"/>
        <v>2043.8000000000004</v>
      </c>
      <c r="H241" s="5">
        <f t="shared" si="47"/>
        <v>165.79999999999998</v>
      </c>
      <c r="I241" s="5">
        <v>2</v>
      </c>
      <c r="J241" s="5">
        <v>8.1999999999999993</v>
      </c>
      <c r="K241" s="5">
        <f t="shared" si="42"/>
        <v>368.89999999999992</v>
      </c>
      <c r="L241" s="5">
        <v>2.2000000000000002</v>
      </c>
      <c r="M241" s="5">
        <f t="shared" si="43"/>
        <v>308.30000000000007</v>
      </c>
      <c r="N241" s="5">
        <f t="shared" si="40"/>
        <v>5.9999999999999991</v>
      </c>
      <c r="O241" s="5">
        <f t="shared" si="46"/>
        <v>130.79999999999995</v>
      </c>
      <c r="P241" s="5">
        <v>236</v>
      </c>
      <c r="Q241" s="5">
        <v>1.1499999999999999</v>
      </c>
      <c r="R241" s="10">
        <f t="shared" si="37"/>
        <v>2.5299999999999998</v>
      </c>
      <c r="S241" s="10">
        <f t="shared" si="38"/>
        <v>5.67</v>
      </c>
      <c r="T241" s="10">
        <f t="shared" si="44"/>
        <v>125.11100000000003</v>
      </c>
      <c r="U241" s="12">
        <f>AVERAGE(T230:T250)</f>
        <v>138.37338095238098</v>
      </c>
      <c r="V241" s="5">
        <v>1474</v>
      </c>
      <c r="W241" s="5">
        <f t="shared" si="39"/>
        <v>103.80281690140846</v>
      </c>
      <c r="X241" s="5">
        <f t="shared" si="45"/>
        <v>179215.8</v>
      </c>
      <c r="Y241" s="5">
        <f t="shared" si="48"/>
        <v>23922.500000000004</v>
      </c>
      <c r="AA241" s="5">
        <v>14.1934529048636</v>
      </c>
    </row>
    <row r="242" spans="1:27" s="5" customFormat="1" x14ac:dyDescent="0.25">
      <c r="A242" s="37"/>
      <c r="B242" s="34"/>
      <c r="C242" s="7">
        <v>42120</v>
      </c>
      <c r="D242" s="5">
        <v>13.1</v>
      </c>
      <c r="E242" s="5">
        <v>10.199999999999999</v>
      </c>
      <c r="F242" s="5">
        <v>16.7</v>
      </c>
      <c r="G242" s="5">
        <f t="shared" si="41"/>
        <v>2056.9000000000005</v>
      </c>
      <c r="H242" s="5">
        <f t="shared" si="47"/>
        <v>178.89999999999998</v>
      </c>
      <c r="I242" s="35" t="s">
        <v>42</v>
      </c>
      <c r="J242" s="5">
        <v>8.1999999999999993</v>
      </c>
      <c r="K242" s="5">
        <f t="shared" si="42"/>
        <v>377.09999999999991</v>
      </c>
      <c r="L242" s="5">
        <v>2.2000000000000002</v>
      </c>
      <c r="M242" s="5">
        <f t="shared" si="43"/>
        <v>310.50000000000006</v>
      </c>
      <c r="N242" s="5">
        <f t="shared" si="40"/>
        <v>5.9999999999999991</v>
      </c>
      <c r="O242" s="5">
        <f t="shared" si="46"/>
        <v>136.79999999999995</v>
      </c>
      <c r="P242" s="5">
        <v>237</v>
      </c>
      <c r="Q242" s="5">
        <v>1.1499999999999999</v>
      </c>
      <c r="R242" s="10">
        <f t="shared" si="37"/>
        <v>2.5299999999999998</v>
      </c>
      <c r="S242" s="10">
        <f t="shared" si="38"/>
        <v>5.67</v>
      </c>
      <c r="T242" s="10">
        <f t="shared" si="44"/>
        <v>130.78100000000003</v>
      </c>
      <c r="V242" s="5">
        <v>1358.9</v>
      </c>
      <c r="W242" s="5">
        <f t="shared" si="39"/>
        <v>103.73282442748092</v>
      </c>
      <c r="X242" s="5">
        <f t="shared" si="45"/>
        <v>180574.69999999998</v>
      </c>
      <c r="Y242" s="5">
        <f t="shared" si="48"/>
        <v>25281.400000000005</v>
      </c>
      <c r="AA242" s="5">
        <v>14.248153957224</v>
      </c>
    </row>
    <row r="243" spans="1:27" s="5" customFormat="1" x14ac:dyDescent="0.25">
      <c r="A243" s="37"/>
      <c r="B243" s="34"/>
      <c r="C243" s="7">
        <v>42121</v>
      </c>
      <c r="D243" s="5">
        <v>10.199999999999999</v>
      </c>
      <c r="E243" s="5">
        <v>9.1</v>
      </c>
      <c r="F243" s="5">
        <v>11.7</v>
      </c>
      <c r="G243" s="5">
        <f t="shared" si="41"/>
        <v>2067.1000000000004</v>
      </c>
      <c r="H243" s="5">
        <f t="shared" si="47"/>
        <v>189.09999999999997</v>
      </c>
      <c r="I243" s="5">
        <v>269.10000000000002</v>
      </c>
      <c r="J243" s="5">
        <v>0</v>
      </c>
      <c r="K243" s="5">
        <f t="shared" si="42"/>
        <v>377.09999999999991</v>
      </c>
      <c r="L243" s="5">
        <v>2.1</v>
      </c>
      <c r="M243" s="5">
        <f t="shared" si="43"/>
        <v>312.60000000000008</v>
      </c>
      <c r="N243" s="9">
        <f t="shared" si="40"/>
        <v>-2.1</v>
      </c>
      <c r="O243" s="5">
        <f t="shared" si="46"/>
        <v>134.69999999999996</v>
      </c>
      <c r="P243" s="5">
        <v>238</v>
      </c>
      <c r="Q243" s="5">
        <v>1.1499999999999999</v>
      </c>
      <c r="R243" s="10">
        <f t="shared" si="37"/>
        <v>2.415</v>
      </c>
      <c r="S243" s="10">
        <f t="shared" si="38"/>
        <v>-2.415</v>
      </c>
      <c r="T243" s="10">
        <f t="shared" si="44"/>
        <v>128.36600000000004</v>
      </c>
      <c r="U243" s="5">
        <f>(U241*100)/197.4</f>
        <v>70.097964008298362</v>
      </c>
      <c r="V243" s="5">
        <v>1506.7</v>
      </c>
      <c r="W243" s="5">
        <f t="shared" si="39"/>
        <v>147.71568627450981</v>
      </c>
      <c r="X243" s="5">
        <f t="shared" si="45"/>
        <v>182081.4</v>
      </c>
      <c r="Y243" s="5">
        <f t="shared" si="48"/>
        <v>26788.100000000006</v>
      </c>
      <c r="AA243" s="5">
        <v>14.3025155078395</v>
      </c>
    </row>
    <row r="244" spans="1:27" s="5" customFormat="1" x14ac:dyDescent="0.25">
      <c r="A244" s="37"/>
      <c r="B244" s="34"/>
      <c r="C244" s="7">
        <v>42122</v>
      </c>
      <c r="D244" s="5">
        <v>8.9</v>
      </c>
      <c r="E244" s="15">
        <v>4.5</v>
      </c>
      <c r="F244" s="5">
        <v>13</v>
      </c>
      <c r="G244" s="5">
        <f t="shared" si="41"/>
        <v>2076.0000000000005</v>
      </c>
      <c r="H244" s="5">
        <f t="shared" si="47"/>
        <v>197.99999999999997</v>
      </c>
      <c r="J244" s="5">
        <v>0</v>
      </c>
      <c r="K244" s="5">
        <f t="shared" si="42"/>
        <v>377.09999999999991</v>
      </c>
      <c r="L244" s="5">
        <v>2.9</v>
      </c>
      <c r="M244" s="5">
        <f t="shared" si="43"/>
        <v>315.50000000000006</v>
      </c>
      <c r="N244" s="9">
        <f t="shared" si="40"/>
        <v>-2.9</v>
      </c>
      <c r="O244" s="5">
        <f t="shared" si="46"/>
        <v>131.79999999999995</v>
      </c>
      <c r="P244" s="5">
        <v>239</v>
      </c>
      <c r="Q244" s="5">
        <v>1.1499999999999999</v>
      </c>
      <c r="R244" s="10">
        <f t="shared" si="37"/>
        <v>3.3349999999999995</v>
      </c>
      <c r="S244" s="10">
        <f t="shared" si="38"/>
        <v>-3.3349999999999995</v>
      </c>
      <c r="T244" s="10">
        <f t="shared" si="44"/>
        <v>125.03100000000005</v>
      </c>
      <c r="V244" s="5">
        <v>2190.3000000000002</v>
      </c>
      <c r="W244" s="5">
        <f t="shared" si="39"/>
        <v>246.10112359550564</v>
      </c>
      <c r="X244" s="5">
        <f t="shared" si="45"/>
        <v>184271.69999999998</v>
      </c>
      <c r="Y244" s="5">
        <f t="shared" si="48"/>
        <v>28978.400000000005</v>
      </c>
      <c r="AA244" s="5">
        <v>14.356521750487399</v>
      </c>
    </row>
    <row r="245" spans="1:27" s="5" customFormat="1" x14ac:dyDescent="0.25">
      <c r="A245" s="37"/>
      <c r="B245" s="34"/>
      <c r="C245" s="7">
        <v>42123</v>
      </c>
      <c r="D245" s="5">
        <v>10</v>
      </c>
      <c r="E245" s="15">
        <v>4.8</v>
      </c>
      <c r="F245" s="5">
        <v>14.9</v>
      </c>
      <c r="G245" s="5">
        <f t="shared" si="41"/>
        <v>2086.0000000000005</v>
      </c>
      <c r="H245" s="5">
        <f t="shared" si="47"/>
        <v>207.99999999999997</v>
      </c>
      <c r="J245" s="5">
        <v>0.3</v>
      </c>
      <c r="K245" s="5">
        <f t="shared" si="42"/>
        <v>377.39999999999992</v>
      </c>
      <c r="L245" s="5">
        <v>2.8</v>
      </c>
      <c r="M245" s="5">
        <f t="shared" si="43"/>
        <v>318.30000000000007</v>
      </c>
      <c r="N245" s="9">
        <f t="shared" si="40"/>
        <v>-2.5</v>
      </c>
      <c r="O245" s="5">
        <f t="shared" si="46"/>
        <v>129.29999999999995</v>
      </c>
      <c r="P245" s="5">
        <v>240</v>
      </c>
      <c r="Q245" s="5">
        <v>1.1499999999999999</v>
      </c>
      <c r="R245" s="10">
        <f t="shared" si="37"/>
        <v>3.2199999999999998</v>
      </c>
      <c r="S245" s="10">
        <f t="shared" si="38"/>
        <v>-2.92</v>
      </c>
      <c r="T245" s="10">
        <f t="shared" si="44"/>
        <v>122.11100000000005</v>
      </c>
      <c r="V245" s="5">
        <v>1908.4</v>
      </c>
      <c r="W245" s="5">
        <f t="shared" si="39"/>
        <v>190.84</v>
      </c>
      <c r="X245" s="5">
        <f t="shared" si="45"/>
        <v>186180.09999999998</v>
      </c>
      <c r="Y245" s="5">
        <f t="shared" si="48"/>
        <v>30886.800000000007</v>
      </c>
      <c r="AA245" s="5">
        <v>14.4101563564467</v>
      </c>
    </row>
    <row r="246" spans="1:27" s="5" customFormat="1" x14ac:dyDescent="0.25">
      <c r="A246" s="37"/>
      <c r="B246" s="34"/>
      <c r="C246" s="7">
        <v>42124</v>
      </c>
      <c r="D246" s="5">
        <v>9.6</v>
      </c>
      <c r="E246" s="5">
        <v>8</v>
      </c>
      <c r="F246" s="5">
        <v>10.7</v>
      </c>
      <c r="G246" s="5">
        <f t="shared" si="41"/>
        <v>2095.6000000000004</v>
      </c>
      <c r="H246" s="5">
        <f t="shared" si="47"/>
        <v>217.59999999999997</v>
      </c>
      <c r="J246" s="5">
        <v>18</v>
      </c>
      <c r="K246" s="5">
        <f t="shared" si="42"/>
        <v>395.39999999999992</v>
      </c>
      <c r="L246" s="5">
        <v>0.8</v>
      </c>
      <c r="M246" s="5">
        <f t="shared" si="43"/>
        <v>319.10000000000008</v>
      </c>
      <c r="N246" s="5">
        <f t="shared" si="40"/>
        <v>17.2</v>
      </c>
      <c r="O246" s="5">
        <f t="shared" si="46"/>
        <v>146.49999999999994</v>
      </c>
      <c r="P246" s="5">
        <v>241</v>
      </c>
      <c r="Q246" s="5">
        <v>1.1499999999999999</v>
      </c>
      <c r="R246" s="10">
        <f t="shared" si="37"/>
        <v>0.91999999999999993</v>
      </c>
      <c r="S246" s="10">
        <f t="shared" si="38"/>
        <v>17.079999999999998</v>
      </c>
      <c r="T246" s="10">
        <f t="shared" si="44"/>
        <v>139.19100000000003</v>
      </c>
      <c r="V246" s="14">
        <v>460</v>
      </c>
      <c r="W246" s="5">
        <f t="shared" si="39"/>
        <v>47.916666666666671</v>
      </c>
      <c r="X246" s="5">
        <f t="shared" si="45"/>
        <v>186640.09999999998</v>
      </c>
      <c r="Y246" s="5">
        <f t="shared" si="48"/>
        <v>31346.800000000007</v>
      </c>
      <c r="AA246" s="5">
        <v>14.4634024686567</v>
      </c>
    </row>
    <row r="247" spans="1:27" s="5" customFormat="1" x14ac:dyDescent="0.25">
      <c r="A247" s="37"/>
      <c r="B247" s="34"/>
      <c r="C247" s="7">
        <v>42125</v>
      </c>
      <c r="D247" s="5">
        <v>9.5</v>
      </c>
      <c r="E247" s="5">
        <v>8.1</v>
      </c>
      <c r="F247" s="5">
        <v>10.7</v>
      </c>
      <c r="G247" s="5">
        <f t="shared" si="41"/>
        <v>2105.1000000000004</v>
      </c>
      <c r="H247" s="5">
        <f t="shared" si="47"/>
        <v>227.09999999999997</v>
      </c>
      <c r="J247" s="5">
        <v>3.6</v>
      </c>
      <c r="K247" s="5">
        <f t="shared" si="42"/>
        <v>398.99999999999994</v>
      </c>
      <c r="L247" s="5">
        <v>0.6</v>
      </c>
      <c r="M247" s="5">
        <f t="shared" si="43"/>
        <v>319.7000000000001</v>
      </c>
      <c r="N247" s="5">
        <f t="shared" si="40"/>
        <v>3</v>
      </c>
      <c r="O247" s="5">
        <f t="shared" si="46"/>
        <v>149.49999999999994</v>
      </c>
      <c r="P247" s="5">
        <v>242</v>
      </c>
      <c r="Q247" s="5">
        <v>1.1499999999999999</v>
      </c>
      <c r="R247" s="10">
        <f t="shared" si="37"/>
        <v>0.69</v>
      </c>
      <c r="S247" s="10">
        <f t="shared" si="38"/>
        <v>2.91</v>
      </c>
      <c r="T247" s="10">
        <f t="shared" si="44"/>
        <v>142.10100000000003</v>
      </c>
      <c r="V247" s="14">
        <v>393.7</v>
      </c>
      <c r="W247" s="5">
        <f t="shared" si="39"/>
        <v>41.442105263157892</v>
      </c>
      <c r="X247" s="5">
        <f t="shared" si="45"/>
        <v>187033.8</v>
      </c>
      <c r="Y247" s="5">
        <f t="shared" si="48"/>
        <v>31740.500000000007</v>
      </c>
      <c r="AA247" s="5">
        <v>14.5162426970988</v>
      </c>
    </row>
    <row r="248" spans="1:27" s="5" customFormat="1" x14ac:dyDescent="0.25">
      <c r="A248" s="37"/>
      <c r="B248" s="34"/>
      <c r="C248" s="7">
        <v>42126</v>
      </c>
      <c r="D248" s="5">
        <v>11.5</v>
      </c>
      <c r="E248" s="5">
        <v>8.8000000000000007</v>
      </c>
      <c r="F248" s="5">
        <v>13.8</v>
      </c>
      <c r="G248" s="5">
        <f t="shared" si="41"/>
        <v>2116.6000000000004</v>
      </c>
      <c r="H248" s="5">
        <f t="shared" si="47"/>
        <v>238.59999999999997</v>
      </c>
      <c r="J248" s="5">
        <v>9.1999999999999993</v>
      </c>
      <c r="K248" s="5">
        <f t="shared" si="42"/>
        <v>408.19999999999993</v>
      </c>
      <c r="L248" s="5">
        <v>0.7</v>
      </c>
      <c r="M248" s="5">
        <f t="shared" si="43"/>
        <v>320.40000000000009</v>
      </c>
      <c r="N248" s="5">
        <f t="shared" si="40"/>
        <v>8.5</v>
      </c>
      <c r="O248" s="5">
        <f t="shared" si="46"/>
        <v>157.99999999999994</v>
      </c>
      <c r="P248" s="5">
        <v>243</v>
      </c>
      <c r="Q248" s="5">
        <v>1.1499999999999999</v>
      </c>
      <c r="R248" s="10">
        <f t="shared" si="37"/>
        <v>0.80499999999999994</v>
      </c>
      <c r="S248" s="10">
        <f t="shared" si="38"/>
        <v>8.3949999999999996</v>
      </c>
      <c r="T248" s="10">
        <f t="shared" si="44"/>
        <v>150.49600000000004</v>
      </c>
      <c r="V248" s="14">
        <v>477.7</v>
      </c>
      <c r="W248" s="5">
        <f t="shared" si="39"/>
        <v>41.539130434782606</v>
      </c>
      <c r="X248" s="5">
        <f t="shared" si="45"/>
        <v>187511.5</v>
      </c>
      <c r="Y248" s="5">
        <f t="shared" si="48"/>
        <v>32218.200000000008</v>
      </c>
      <c r="AA248" s="5">
        <v>14.568659115499299</v>
      </c>
    </row>
    <row r="249" spans="1:27" s="5" customFormat="1" x14ac:dyDescent="0.25">
      <c r="A249" s="37"/>
      <c r="B249" s="34"/>
      <c r="C249" s="7">
        <v>42127</v>
      </c>
      <c r="D249" s="5">
        <v>15.5</v>
      </c>
      <c r="E249" s="5">
        <v>12.4</v>
      </c>
      <c r="F249" s="5">
        <v>18.100000000000001</v>
      </c>
      <c r="G249" s="5">
        <f t="shared" si="41"/>
        <v>2132.1000000000004</v>
      </c>
      <c r="H249" s="5">
        <f t="shared" si="47"/>
        <v>254.09999999999997</v>
      </c>
      <c r="J249" s="5">
        <v>6.3</v>
      </c>
      <c r="K249" s="5">
        <f t="shared" si="42"/>
        <v>414.49999999999994</v>
      </c>
      <c r="L249" s="5">
        <v>1.2</v>
      </c>
      <c r="M249" s="5">
        <f t="shared" si="43"/>
        <v>321.60000000000008</v>
      </c>
      <c r="N249" s="5">
        <f t="shared" si="40"/>
        <v>5.0999999999999996</v>
      </c>
      <c r="O249" s="5">
        <f t="shared" si="46"/>
        <v>163.09999999999994</v>
      </c>
      <c r="P249" s="5">
        <v>244</v>
      </c>
      <c r="Q249" s="5">
        <v>1.1499999999999999</v>
      </c>
      <c r="R249" s="10">
        <f t="shared" si="37"/>
        <v>1.38</v>
      </c>
      <c r="S249" s="10">
        <f t="shared" si="38"/>
        <v>4.92</v>
      </c>
      <c r="T249" s="10">
        <f t="shared" si="44"/>
        <v>155.41600000000003</v>
      </c>
      <c r="V249" s="14">
        <v>830</v>
      </c>
      <c r="W249" s="5">
        <f t="shared" si="39"/>
        <v>53.548387096774192</v>
      </c>
      <c r="X249" s="5">
        <f t="shared" si="45"/>
        <v>188341.5</v>
      </c>
      <c r="Y249" s="5">
        <f t="shared" si="48"/>
        <v>33048.200000000012</v>
      </c>
      <c r="AA249" s="5">
        <v>14.6206332594533</v>
      </c>
    </row>
    <row r="250" spans="1:27" s="50" customFormat="1" ht="15.75" thickBot="1" x14ac:dyDescent="0.3">
      <c r="A250" s="60" t="s">
        <v>47</v>
      </c>
      <c r="B250" s="61"/>
      <c r="C250" s="57">
        <v>42128</v>
      </c>
      <c r="D250" s="50">
        <v>15</v>
      </c>
      <c r="E250" s="50">
        <v>11.2</v>
      </c>
      <c r="F250" s="50">
        <v>17.3</v>
      </c>
      <c r="G250" s="50">
        <f t="shared" si="41"/>
        <v>2147.1000000000004</v>
      </c>
      <c r="H250" s="50">
        <f t="shared" si="47"/>
        <v>269.09999999999997</v>
      </c>
      <c r="J250" s="50">
        <v>5.6</v>
      </c>
      <c r="K250" s="50">
        <f t="shared" si="42"/>
        <v>420.09999999999997</v>
      </c>
      <c r="L250" s="50">
        <v>2.2000000000000002</v>
      </c>
      <c r="M250" s="50">
        <f t="shared" si="43"/>
        <v>323.80000000000007</v>
      </c>
      <c r="N250" s="50">
        <f t="shared" si="40"/>
        <v>3.3999999999999995</v>
      </c>
      <c r="O250" s="50">
        <f t="shared" si="46"/>
        <v>166.49999999999994</v>
      </c>
      <c r="P250" s="50">
        <v>245</v>
      </c>
      <c r="Q250" s="50">
        <v>1.1499999999999999</v>
      </c>
      <c r="R250" s="52">
        <f t="shared" si="37"/>
        <v>2.5299999999999998</v>
      </c>
      <c r="S250" s="52">
        <f t="shared" si="38"/>
        <v>3.07</v>
      </c>
      <c r="T250" s="56">
        <f t="shared" si="44"/>
        <v>158.48600000000002</v>
      </c>
      <c r="V250" s="50">
        <v>1445.7</v>
      </c>
      <c r="W250" s="50">
        <f t="shared" si="39"/>
        <v>96.38000000000001</v>
      </c>
      <c r="X250" s="50">
        <f t="shared" si="45"/>
        <v>189787.2</v>
      </c>
      <c r="Y250" s="55">
        <f t="shared" si="48"/>
        <v>34493.900000000009</v>
      </c>
      <c r="AA250" s="55">
        <v>14.6721461260732</v>
      </c>
    </row>
    <row r="251" spans="1:27" s="5" customFormat="1" x14ac:dyDescent="0.25">
      <c r="A251" s="72">
        <v>300</v>
      </c>
      <c r="B251" s="6"/>
      <c r="C251" s="7">
        <v>42129</v>
      </c>
      <c r="D251" s="5">
        <v>15.5</v>
      </c>
      <c r="E251" s="5">
        <v>15.9</v>
      </c>
      <c r="F251" s="5">
        <v>17</v>
      </c>
      <c r="G251" s="5">
        <f t="shared" si="41"/>
        <v>2162.6000000000004</v>
      </c>
      <c r="H251" s="5">
        <v>15.5</v>
      </c>
      <c r="I251" s="38" t="s">
        <v>27</v>
      </c>
      <c r="J251" s="5">
        <v>1.8</v>
      </c>
      <c r="K251" s="5">
        <f t="shared" si="42"/>
        <v>421.9</v>
      </c>
      <c r="L251" s="5">
        <v>4.0999999999999996</v>
      </c>
      <c r="M251" s="5">
        <f t="shared" si="43"/>
        <v>327.90000000000009</v>
      </c>
      <c r="N251" s="9">
        <f t="shared" si="40"/>
        <v>-2.2999999999999998</v>
      </c>
      <c r="O251" s="5">
        <f t="shared" si="46"/>
        <v>164.19999999999993</v>
      </c>
      <c r="P251" s="5">
        <v>246</v>
      </c>
      <c r="Q251" s="5">
        <v>1.1499999999999999</v>
      </c>
      <c r="R251" s="10">
        <f t="shared" si="37"/>
        <v>4.714999999999999</v>
      </c>
      <c r="S251" s="10">
        <f t="shared" si="38"/>
        <v>-2.9149999999999991</v>
      </c>
      <c r="T251" s="10">
        <f t="shared" si="44"/>
        <v>155.57100000000003</v>
      </c>
      <c r="U251" s="38" t="s">
        <v>28</v>
      </c>
      <c r="V251" s="5">
        <v>2148</v>
      </c>
      <c r="W251" s="5">
        <f t="shared" si="39"/>
        <v>138.58064516129033</v>
      </c>
      <c r="X251" s="5">
        <f t="shared" si="45"/>
        <v>191935.2</v>
      </c>
      <c r="Y251" s="5">
        <v>2148</v>
      </c>
      <c r="Z251" s="38" t="s">
        <v>29</v>
      </c>
      <c r="AA251" s="5">
        <v>14.723178175268</v>
      </c>
    </row>
    <row r="252" spans="1:27" s="5" customFormat="1" x14ac:dyDescent="0.25">
      <c r="A252" s="72"/>
      <c r="B252" s="6"/>
      <c r="C252" s="7">
        <v>42130</v>
      </c>
      <c r="D252" s="5">
        <v>12.2</v>
      </c>
      <c r="E252" s="5">
        <v>9.6</v>
      </c>
      <c r="F252" s="5">
        <v>15.2</v>
      </c>
      <c r="G252" s="5">
        <f t="shared" si="41"/>
        <v>2174.8000000000002</v>
      </c>
      <c r="H252" s="5">
        <f t="shared" si="47"/>
        <v>27.7</v>
      </c>
      <c r="I252" s="5">
        <f>MIN(E251:E272)</f>
        <v>5.2</v>
      </c>
      <c r="J252" s="5">
        <v>1.4</v>
      </c>
      <c r="K252" s="5">
        <f t="shared" si="42"/>
        <v>423.29999999999995</v>
      </c>
      <c r="L252" s="5">
        <v>3.6</v>
      </c>
      <c r="M252" s="5">
        <f t="shared" si="43"/>
        <v>331.50000000000011</v>
      </c>
      <c r="N252" s="9">
        <f t="shared" si="40"/>
        <v>-2.2000000000000002</v>
      </c>
      <c r="O252" s="5">
        <f t="shared" si="46"/>
        <v>161.99999999999994</v>
      </c>
      <c r="P252" s="5">
        <v>247</v>
      </c>
      <c r="Q252" s="5">
        <v>1.1499999999999999</v>
      </c>
      <c r="R252" s="10">
        <f t="shared" si="37"/>
        <v>4.1399999999999997</v>
      </c>
      <c r="S252" s="10">
        <f t="shared" si="38"/>
        <v>-2.7399999999999998</v>
      </c>
      <c r="T252" s="10">
        <f t="shared" si="44"/>
        <v>152.83100000000002</v>
      </c>
      <c r="U252" s="5">
        <v>21</v>
      </c>
      <c r="V252" s="5">
        <v>2281.1</v>
      </c>
      <c r="W252" s="5">
        <f t="shared" si="39"/>
        <v>186.97540983606558</v>
      </c>
      <c r="X252" s="5">
        <f t="shared" si="45"/>
        <v>194216.30000000002</v>
      </c>
      <c r="Y252" s="5">
        <f t="shared" si="48"/>
        <v>4429.1000000000004</v>
      </c>
      <c r="Z252" s="5">
        <v>44451.599999999991</v>
      </c>
      <c r="AA252" s="5">
        <v>14.7737093327615</v>
      </c>
    </row>
    <row r="253" spans="1:27" s="5" customFormat="1" x14ac:dyDescent="0.25">
      <c r="A253" s="72"/>
      <c r="B253" s="6"/>
      <c r="C253" s="7">
        <v>42131</v>
      </c>
      <c r="D253" s="5">
        <v>12.2</v>
      </c>
      <c r="E253" s="5">
        <v>7.4</v>
      </c>
      <c r="F253" s="5">
        <v>16.399999999999999</v>
      </c>
      <c r="G253" s="5">
        <f t="shared" si="41"/>
        <v>2187</v>
      </c>
      <c r="H253" s="5">
        <f t="shared" si="47"/>
        <v>39.9</v>
      </c>
      <c r="I253" s="38" t="s">
        <v>30</v>
      </c>
      <c r="J253" s="5">
        <v>0</v>
      </c>
      <c r="K253" s="5">
        <f t="shared" si="42"/>
        <v>423.29999999999995</v>
      </c>
      <c r="L253" s="5">
        <v>3.3</v>
      </c>
      <c r="M253" s="5">
        <f t="shared" si="43"/>
        <v>334.80000000000013</v>
      </c>
      <c r="N253" s="9">
        <f t="shared" si="40"/>
        <v>-3.3</v>
      </c>
      <c r="O253" s="5">
        <f t="shared" si="46"/>
        <v>158.69999999999993</v>
      </c>
      <c r="P253" s="5">
        <v>248</v>
      </c>
      <c r="Q253" s="5">
        <v>1.1499999999999999</v>
      </c>
      <c r="R253" s="10">
        <f t="shared" si="37"/>
        <v>3.7949999999999995</v>
      </c>
      <c r="S253" s="10">
        <f t="shared" si="38"/>
        <v>-3.7949999999999995</v>
      </c>
      <c r="T253" s="10">
        <f t="shared" si="44"/>
        <v>149.03600000000003</v>
      </c>
      <c r="U253" s="38" t="s">
        <v>31</v>
      </c>
      <c r="V253" s="5">
        <v>2187.3000000000002</v>
      </c>
      <c r="W253" s="5">
        <f t="shared" si="39"/>
        <v>179.28688524590166</v>
      </c>
      <c r="X253" s="5">
        <f t="shared" si="45"/>
        <v>196403.6</v>
      </c>
      <c r="Y253" s="5">
        <f t="shared" si="48"/>
        <v>6616.4000000000005</v>
      </c>
      <c r="Z253" s="38" t="s">
        <v>32</v>
      </c>
      <c r="AA253" s="5">
        <v>14.823718994958901</v>
      </c>
    </row>
    <row r="254" spans="1:27" s="5" customFormat="1" x14ac:dyDescent="0.25">
      <c r="A254" s="72"/>
      <c r="B254" s="6"/>
      <c r="C254" s="7">
        <v>42132</v>
      </c>
      <c r="D254" s="5">
        <v>14</v>
      </c>
      <c r="E254" s="5">
        <v>9.9</v>
      </c>
      <c r="F254" s="5">
        <v>18.2</v>
      </c>
      <c r="G254" s="5">
        <f t="shared" si="41"/>
        <v>2201</v>
      </c>
      <c r="H254" s="5">
        <f t="shared" si="47"/>
        <v>53.9</v>
      </c>
      <c r="I254" s="5">
        <f>MAX(F251:F272)</f>
        <v>25.4</v>
      </c>
      <c r="J254" s="5">
        <v>0.2</v>
      </c>
      <c r="K254" s="5">
        <f t="shared" si="42"/>
        <v>423.49999999999994</v>
      </c>
      <c r="L254" s="5">
        <v>2.1</v>
      </c>
      <c r="M254" s="5">
        <f t="shared" si="43"/>
        <v>336.90000000000015</v>
      </c>
      <c r="N254" s="9">
        <f t="shared" si="40"/>
        <v>-1.9000000000000001</v>
      </c>
      <c r="O254" s="5">
        <f t="shared" si="46"/>
        <v>156.79999999999993</v>
      </c>
      <c r="P254" s="5">
        <v>249</v>
      </c>
      <c r="Q254" s="5">
        <v>1.1499999999999999</v>
      </c>
      <c r="R254" s="10">
        <f t="shared" si="37"/>
        <v>2.415</v>
      </c>
      <c r="S254" s="10">
        <f t="shared" si="38"/>
        <v>-2.2149999999999999</v>
      </c>
      <c r="T254" s="10">
        <f t="shared" si="44"/>
        <v>146.82100000000003</v>
      </c>
      <c r="U254" s="5">
        <v>0</v>
      </c>
      <c r="V254" s="5">
        <v>1391.3</v>
      </c>
      <c r="W254" s="5">
        <f t="shared" si="39"/>
        <v>99.378571428571419</v>
      </c>
      <c r="X254" s="5">
        <f t="shared" si="45"/>
        <v>197794.9</v>
      </c>
      <c r="Y254" s="5">
        <f t="shared" si="48"/>
        <v>8007.7000000000007</v>
      </c>
      <c r="Z254" s="12">
        <f>(Z252/100)/I264</f>
        <v>1.4636680935133353</v>
      </c>
      <c r="AA254" s="5">
        <v>14.8731860357722</v>
      </c>
    </row>
    <row r="255" spans="1:27" s="5" customFormat="1" x14ac:dyDescent="0.25">
      <c r="A255" s="72"/>
      <c r="B255" s="6"/>
      <c r="C255" s="7">
        <v>42133</v>
      </c>
      <c r="D255" s="5">
        <v>15.7</v>
      </c>
      <c r="E255" s="5">
        <v>13.5</v>
      </c>
      <c r="F255" s="5">
        <v>18.899999999999999</v>
      </c>
      <c r="G255" s="5">
        <f t="shared" si="41"/>
        <v>2216.6999999999998</v>
      </c>
      <c r="H255" s="5">
        <f t="shared" si="47"/>
        <v>69.599999999999994</v>
      </c>
      <c r="I255" s="38" t="s">
        <v>33</v>
      </c>
      <c r="J255" s="5">
        <v>0</v>
      </c>
      <c r="K255" s="5">
        <f t="shared" si="42"/>
        <v>423.49999999999994</v>
      </c>
      <c r="L255" s="5">
        <v>4</v>
      </c>
      <c r="M255" s="5">
        <f t="shared" si="43"/>
        <v>340.90000000000015</v>
      </c>
      <c r="N255" s="9">
        <f t="shared" si="40"/>
        <v>-4</v>
      </c>
      <c r="O255" s="5">
        <f t="shared" si="46"/>
        <v>152.79999999999993</v>
      </c>
      <c r="P255" s="5">
        <v>250</v>
      </c>
      <c r="Q255" s="5">
        <v>1.1499999999999999</v>
      </c>
      <c r="R255" s="10">
        <f t="shared" si="37"/>
        <v>4.5999999999999996</v>
      </c>
      <c r="S255" s="10">
        <f t="shared" si="38"/>
        <v>-4.5999999999999996</v>
      </c>
      <c r="T255" s="10">
        <f t="shared" si="44"/>
        <v>142.22100000000003</v>
      </c>
      <c r="U255" s="38" t="s">
        <v>34</v>
      </c>
      <c r="V255" s="5">
        <v>2127.1</v>
      </c>
      <c r="W255" s="5">
        <f t="shared" si="39"/>
        <v>135.48407643312103</v>
      </c>
      <c r="X255" s="5">
        <f t="shared" si="45"/>
        <v>199922</v>
      </c>
      <c r="Y255" s="5">
        <f t="shared" si="48"/>
        <v>10134.800000000001</v>
      </c>
      <c r="Z255" s="38" t="s">
        <v>35</v>
      </c>
      <c r="AA255" s="5">
        <v>14.922088815515</v>
      </c>
    </row>
    <row r="256" spans="1:27" s="5" customFormat="1" x14ac:dyDescent="0.25">
      <c r="A256" s="72"/>
      <c r="B256" s="6"/>
      <c r="C256" s="7">
        <v>42134</v>
      </c>
      <c r="D256" s="5">
        <v>15.8</v>
      </c>
      <c r="E256" s="5">
        <v>10.6</v>
      </c>
      <c r="F256" s="5">
        <v>21</v>
      </c>
      <c r="G256" s="5">
        <f t="shared" si="41"/>
        <v>2232.5</v>
      </c>
      <c r="H256" s="5">
        <f t="shared" si="47"/>
        <v>85.399999999999991</v>
      </c>
      <c r="I256" s="10">
        <f>AVERAGE(D251:D272)</f>
        <v>13.804545454545455</v>
      </c>
      <c r="J256" s="5">
        <v>0</v>
      </c>
      <c r="K256" s="5">
        <f t="shared" si="42"/>
        <v>423.49999999999994</v>
      </c>
      <c r="L256" s="5">
        <v>4.2</v>
      </c>
      <c r="M256" s="5">
        <f t="shared" si="43"/>
        <v>345.10000000000014</v>
      </c>
      <c r="N256" s="9">
        <f t="shared" si="40"/>
        <v>-4.2</v>
      </c>
      <c r="O256" s="5">
        <f t="shared" si="46"/>
        <v>148.59999999999994</v>
      </c>
      <c r="P256" s="5">
        <v>251</v>
      </c>
      <c r="Q256" s="5">
        <v>1.1499999999999999</v>
      </c>
      <c r="R256" s="10">
        <f t="shared" si="37"/>
        <v>4.83</v>
      </c>
      <c r="S256" s="10">
        <f t="shared" si="38"/>
        <v>-4.83</v>
      </c>
      <c r="T256" s="10">
        <f t="shared" si="44"/>
        <v>137.39100000000002</v>
      </c>
      <c r="U256" s="5">
        <v>0</v>
      </c>
      <c r="V256" s="5">
        <v>2504.8000000000002</v>
      </c>
      <c r="W256" s="5">
        <f t="shared" si="39"/>
        <v>158.53164556962025</v>
      </c>
      <c r="X256" s="5">
        <f t="shared" si="45"/>
        <v>202426.8</v>
      </c>
      <c r="Y256" s="5">
        <f t="shared" si="48"/>
        <v>12639.600000000002</v>
      </c>
      <c r="Z256" s="5">
        <v>0</v>
      </c>
      <c r="AA256" s="5">
        <v>14.970405191975001</v>
      </c>
    </row>
    <row r="257" spans="1:27" s="5" customFormat="1" x14ac:dyDescent="0.25">
      <c r="A257" s="72"/>
      <c r="B257" s="6"/>
      <c r="C257" s="7">
        <v>42135</v>
      </c>
      <c r="D257" s="5">
        <v>19.2</v>
      </c>
      <c r="E257" s="5">
        <v>12.1</v>
      </c>
      <c r="F257" s="13">
        <v>25.4</v>
      </c>
      <c r="G257" s="5">
        <f t="shared" si="41"/>
        <v>2251.6999999999998</v>
      </c>
      <c r="H257" s="5">
        <f t="shared" si="47"/>
        <v>104.6</v>
      </c>
      <c r="I257" s="38" t="s">
        <v>36</v>
      </c>
      <c r="J257" s="5">
        <v>0</v>
      </c>
      <c r="K257" s="5">
        <f t="shared" si="42"/>
        <v>423.49999999999994</v>
      </c>
      <c r="L257" s="5">
        <v>3.6</v>
      </c>
      <c r="M257" s="5">
        <f t="shared" si="43"/>
        <v>348.70000000000016</v>
      </c>
      <c r="N257" s="9">
        <f t="shared" si="40"/>
        <v>-3.6</v>
      </c>
      <c r="O257" s="5">
        <f t="shared" si="46"/>
        <v>144.99999999999994</v>
      </c>
      <c r="P257" s="5">
        <v>252</v>
      </c>
      <c r="Q257" s="5">
        <v>1.1499999999999999</v>
      </c>
      <c r="R257" s="10">
        <f t="shared" si="37"/>
        <v>4.1399999999999997</v>
      </c>
      <c r="S257" s="10">
        <f t="shared" si="38"/>
        <v>-4.1399999999999997</v>
      </c>
      <c r="T257" s="10">
        <f t="shared" si="44"/>
        <v>133.25100000000003</v>
      </c>
      <c r="U257" s="38" t="s">
        <v>37</v>
      </c>
      <c r="V257" s="5">
        <v>2073.4</v>
      </c>
      <c r="W257" s="5">
        <f t="shared" si="39"/>
        <v>107.98958333333334</v>
      </c>
      <c r="X257" s="5">
        <f t="shared" si="45"/>
        <v>204500.19999999998</v>
      </c>
      <c r="Y257" s="5">
        <f t="shared" si="48"/>
        <v>14713.000000000002</v>
      </c>
      <c r="AA257" s="5">
        <v>15.018112533772101</v>
      </c>
    </row>
    <row r="258" spans="1:27" s="5" customFormat="1" x14ac:dyDescent="0.25">
      <c r="A258" s="72"/>
      <c r="B258" s="6"/>
      <c r="C258" s="7">
        <v>42136</v>
      </c>
      <c r="D258" s="5">
        <v>16.5</v>
      </c>
      <c r="E258" s="5">
        <v>14.7</v>
      </c>
      <c r="F258" s="5">
        <v>20.9</v>
      </c>
      <c r="G258" s="5">
        <f t="shared" si="41"/>
        <v>2268.1999999999998</v>
      </c>
      <c r="H258" s="5">
        <f t="shared" si="47"/>
        <v>121.1</v>
      </c>
      <c r="I258" s="5">
        <v>0</v>
      </c>
      <c r="J258" s="5">
        <v>0</v>
      </c>
      <c r="K258" s="5">
        <f t="shared" si="42"/>
        <v>423.49999999999994</v>
      </c>
      <c r="L258" s="5">
        <v>3.3</v>
      </c>
      <c r="M258" s="5">
        <f t="shared" si="43"/>
        <v>352.00000000000017</v>
      </c>
      <c r="N258" s="9">
        <f t="shared" si="40"/>
        <v>-3.3</v>
      </c>
      <c r="O258" s="5">
        <f t="shared" si="46"/>
        <v>141.69999999999993</v>
      </c>
      <c r="P258" s="5">
        <v>253</v>
      </c>
      <c r="Q258" s="5">
        <v>1.1499999999999999</v>
      </c>
      <c r="R258" s="10">
        <f t="shared" si="37"/>
        <v>3.7949999999999995</v>
      </c>
      <c r="S258" s="10">
        <f t="shared" si="38"/>
        <v>-3.7949999999999995</v>
      </c>
      <c r="T258" s="10">
        <f t="shared" si="44"/>
        <v>129.45600000000005</v>
      </c>
      <c r="U258" s="10">
        <f>MIN(T251:T272)</f>
        <v>86.386000000000067</v>
      </c>
      <c r="V258" s="5">
        <v>1617.8</v>
      </c>
      <c r="W258" s="5">
        <f t="shared" si="39"/>
        <v>98.048484848484847</v>
      </c>
      <c r="X258" s="5">
        <f t="shared" si="45"/>
        <v>206117.99999999997</v>
      </c>
      <c r="Y258" s="5">
        <f t="shared" si="48"/>
        <v>16330.800000000001</v>
      </c>
      <c r="AA258" s="5">
        <v>15.065187736106999</v>
      </c>
    </row>
    <row r="259" spans="1:27" s="5" customFormat="1" x14ac:dyDescent="0.25">
      <c r="A259" s="72"/>
      <c r="B259" s="6"/>
      <c r="C259" s="7">
        <v>42137</v>
      </c>
      <c r="D259" s="5">
        <v>15.9</v>
      </c>
      <c r="E259" s="5">
        <v>10</v>
      </c>
      <c r="F259" s="5">
        <v>20.5</v>
      </c>
      <c r="G259" s="5">
        <f t="shared" si="41"/>
        <v>2284.1</v>
      </c>
      <c r="H259" s="5">
        <f t="shared" si="47"/>
        <v>137</v>
      </c>
      <c r="I259" s="38" t="s">
        <v>38</v>
      </c>
      <c r="J259" s="5">
        <v>0</v>
      </c>
      <c r="K259" s="5">
        <f t="shared" si="42"/>
        <v>423.49999999999994</v>
      </c>
      <c r="L259" s="5">
        <v>3.2</v>
      </c>
      <c r="M259" s="5">
        <f t="shared" si="43"/>
        <v>355.20000000000016</v>
      </c>
      <c r="N259" s="9">
        <f t="shared" si="40"/>
        <v>-3.2</v>
      </c>
      <c r="O259" s="5">
        <f t="shared" si="46"/>
        <v>138.49999999999994</v>
      </c>
      <c r="P259" s="5">
        <v>254</v>
      </c>
      <c r="Q259" s="5">
        <v>1.1499999999999999</v>
      </c>
      <c r="R259" s="10">
        <f t="shared" si="37"/>
        <v>3.6799999999999997</v>
      </c>
      <c r="S259" s="10">
        <f t="shared" si="38"/>
        <v>-3.6799999999999997</v>
      </c>
      <c r="T259" s="10">
        <f t="shared" si="44"/>
        <v>125.77600000000004</v>
      </c>
      <c r="U259" s="38" t="s">
        <v>39</v>
      </c>
      <c r="V259" s="5">
        <v>1800.2</v>
      </c>
      <c r="W259" s="5">
        <f t="shared" si="39"/>
        <v>113.22012578616352</v>
      </c>
      <c r="X259" s="5">
        <f t="shared" si="45"/>
        <v>207918.19999999998</v>
      </c>
      <c r="Y259" s="5">
        <f t="shared" si="48"/>
        <v>18131</v>
      </c>
      <c r="AA259" s="5">
        <v>15.1116072389986</v>
      </c>
    </row>
    <row r="260" spans="1:27" s="5" customFormat="1" x14ac:dyDescent="0.25">
      <c r="A260" s="72"/>
      <c r="B260" s="6"/>
      <c r="C260" s="7">
        <v>42138</v>
      </c>
      <c r="D260" s="5">
        <v>13.5</v>
      </c>
      <c r="E260" s="5">
        <v>12.3</v>
      </c>
      <c r="F260" s="5">
        <v>16</v>
      </c>
      <c r="G260" s="5">
        <f t="shared" si="41"/>
        <v>2297.6</v>
      </c>
      <c r="H260" s="5">
        <f t="shared" si="47"/>
        <v>150.5</v>
      </c>
      <c r="I260" s="5">
        <v>1</v>
      </c>
      <c r="J260" s="5">
        <v>5.7</v>
      </c>
      <c r="K260" s="5">
        <f t="shared" si="42"/>
        <v>429.19999999999993</v>
      </c>
      <c r="L260" s="5">
        <v>1.6</v>
      </c>
      <c r="M260" s="5">
        <f t="shared" si="43"/>
        <v>356.80000000000018</v>
      </c>
      <c r="N260" s="5">
        <f t="shared" si="40"/>
        <v>4.0999999999999996</v>
      </c>
      <c r="O260" s="5">
        <f t="shared" si="46"/>
        <v>142.59999999999994</v>
      </c>
      <c r="P260" s="5">
        <v>255</v>
      </c>
      <c r="Q260" s="5">
        <v>1.1499999999999999</v>
      </c>
      <c r="R260" s="10">
        <f t="shared" si="37"/>
        <v>1.8399999999999999</v>
      </c>
      <c r="S260" s="10">
        <f t="shared" si="38"/>
        <v>3.8600000000000003</v>
      </c>
      <c r="T260" s="10">
        <f t="shared" si="44"/>
        <v>129.63600000000005</v>
      </c>
      <c r="U260" s="10">
        <f>MAX(T251:T272)</f>
        <v>155.57100000000003</v>
      </c>
      <c r="V260" s="5">
        <v>993.8</v>
      </c>
      <c r="W260" s="5">
        <f t="shared" si="39"/>
        <v>73.614814814814807</v>
      </c>
      <c r="X260" s="5">
        <f t="shared" si="45"/>
        <v>208911.99999999997</v>
      </c>
      <c r="Y260" s="5">
        <f t="shared" si="48"/>
        <v>19124.8</v>
      </c>
      <c r="AA260" s="5">
        <v>15.1573470481062</v>
      </c>
    </row>
    <row r="261" spans="1:27" s="5" customFormat="1" x14ac:dyDescent="0.25">
      <c r="A261" s="72"/>
      <c r="B261" s="6"/>
      <c r="C261" s="7">
        <v>42139</v>
      </c>
      <c r="D261" s="5">
        <v>11</v>
      </c>
      <c r="E261" s="5">
        <v>8.9</v>
      </c>
      <c r="F261" s="5">
        <v>14</v>
      </c>
      <c r="G261" s="5">
        <f t="shared" si="41"/>
        <v>2308.6</v>
      </c>
      <c r="H261" s="5">
        <f t="shared" si="47"/>
        <v>161.5</v>
      </c>
      <c r="I261" s="38" t="s">
        <v>40</v>
      </c>
      <c r="J261" s="5">
        <v>0</v>
      </c>
      <c r="K261" s="5">
        <f t="shared" si="42"/>
        <v>429.19999999999993</v>
      </c>
      <c r="L261" s="5">
        <v>1.6</v>
      </c>
      <c r="M261" s="5">
        <f t="shared" si="43"/>
        <v>358.4000000000002</v>
      </c>
      <c r="N261" s="9">
        <f t="shared" si="40"/>
        <v>-1.6</v>
      </c>
      <c r="O261" s="5">
        <f t="shared" si="46"/>
        <v>140.99999999999994</v>
      </c>
      <c r="P261" s="5">
        <v>256</v>
      </c>
      <c r="Q261" s="5">
        <v>1.1499999999999999</v>
      </c>
      <c r="R261" s="10">
        <f t="shared" si="37"/>
        <v>1.8399999999999999</v>
      </c>
      <c r="S261" s="10">
        <f t="shared" si="38"/>
        <v>-1.8399999999999999</v>
      </c>
      <c r="T261" s="10">
        <f t="shared" si="44"/>
        <v>127.79600000000005</v>
      </c>
      <c r="U261" s="38" t="s">
        <v>41</v>
      </c>
      <c r="V261" s="5">
        <v>1108.0999999999999</v>
      </c>
      <c r="W261" s="5">
        <f t="shared" si="39"/>
        <v>100.73636363636363</v>
      </c>
      <c r="X261" s="5">
        <f t="shared" si="45"/>
        <v>210020.09999999998</v>
      </c>
      <c r="Y261" s="5">
        <f t="shared" si="48"/>
        <v>20232.899999999998</v>
      </c>
      <c r="AA261" s="5">
        <v>15.2023827582232</v>
      </c>
    </row>
    <row r="262" spans="1:27" s="24" customFormat="1" x14ac:dyDescent="0.25">
      <c r="A262" s="72"/>
      <c r="B262" s="22"/>
      <c r="C262" s="23">
        <v>42140</v>
      </c>
      <c r="D262" s="24">
        <v>11.6</v>
      </c>
      <c r="E262" s="24">
        <v>8</v>
      </c>
      <c r="F262" s="24">
        <v>16.100000000000001</v>
      </c>
      <c r="G262" s="24">
        <f t="shared" si="41"/>
        <v>2320.1999999999998</v>
      </c>
      <c r="H262" s="24">
        <f t="shared" si="47"/>
        <v>173.1</v>
      </c>
      <c r="I262" s="24">
        <v>0</v>
      </c>
      <c r="J262" s="24">
        <v>0</v>
      </c>
      <c r="K262" s="24">
        <f t="shared" si="42"/>
        <v>429.19999999999993</v>
      </c>
      <c r="L262" s="24">
        <v>1.8</v>
      </c>
      <c r="M262" s="24">
        <f t="shared" si="43"/>
        <v>360.20000000000022</v>
      </c>
      <c r="N262" s="26">
        <f t="shared" si="40"/>
        <v>-1.8</v>
      </c>
      <c r="O262" s="24">
        <f t="shared" si="46"/>
        <v>139.19999999999993</v>
      </c>
      <c r="P262" s="24">
        <v>257</v>
      </c>
      <c r="Q262" s="5">
        <v>1.1499999999999999</v>
      </c>
      <c r="R262" s="27">
        <f t="shared" ref="R262:R325" si="49">Q262*L262</f>
        <v>2.0699999999999998</v>
      </c>
      <c r="S262" s="27">
        <f t="shared" ref="S262:S325" si="50">J262-R262</f>
        <v>-2.0699999999999998</v>
      </c>
      <c r="T262" s="10">
        <f t="shared" si="44"/>
        <v>125.72600000000006</v>
      </c>
      <c r="U262" s="62">
        <f>AVERAGE(T251:T272)</f>
        <v>122.60668181818185</v>
      </c>
      <c r="V262" s="24">
        <v>1126.8</v>
      </c>
      <c r="W262" s="24">
        <f t="shared" ref="W262:W325" si="51">V262/D262</f>
        <v>97.137931034482762</v>
      </c>
      <c r="X262" s="24">
        <f t="shared" si="45"/>
        <v>211146.89999999997</v>
      </c>
      <c r="Y262" s="5">
        <f t="shared" si="48"/>
        <v>21359.699999999997</v>
      </c>
      <c r="AA262" s="5">
        <v>15.2466895795214</v>
      </c>
    </row>
    <row r="263" spans="1:27" s="5" customFormat="1" ht="15" customHeight="1" x14ac:dyDescent="0.25">
      <c r="A263" s="72"/>
      <c r="B263" s="6"/>
      <c r="C263" s="7">
        <v>42141</v>
      </c>
      <c r="D263" s="5">
        <v>13</v>
      </c>
      <c r="E263" s="5">
        <v>7.9</v>
      </c>
      <c r="F263" s="5">
        <v>17.899999999999999</v>
      </c>
      <c r="G263" s="5">
        <f t="shared" si="41"/>
        <v>2333.1999999999998</v>
      </c>
      <c r="H263" s="5">
        <f t="shared" si="47"/>
        <v>186.1</v>
      </c>
      <c r="I263" s="38" t="s">
        <v>42</v>
      </c>
      <c r="J263" s="5">
        <v>0</v>
      </c>
      <c r="K263" s="5">
        <f t="shared" si="42"/>
        <v>429.19999999999993</v>
      </c>
      <c r="L263" s="5">
        <v>3.6</v>
      </c>
      <c r="M263" s="5">
        <f t="shared" si="43"/>
        <v>363.80000000000024</v>
      </c>
      <c r="N263" s="9">
        <f t="shared" ref="N263:N326" si="52">J263-L263</f>
        <v>-3.6</v>
      </c>
      <c r="O263" s="5">
        <f t="shared" si="46"/>
        <v>135.59999999999994</v>
      </c>
      <c r="P263" s="5">
        <v>258</v>
      </c>
      <c r="Q263" s="5">
        <v>1.1499999999999999</v>
      </c>
      <c r="R263" s="10">
        <f t="shared" si="49"/>
        <v>4.1399999999999997</v>
      </c>
      <c r="S263" s="10">
        <f t="shared" si="50"/>
        <v>-4.1399999999999997</v>
      </c>
      <c r="T263" s="10">
        <f t="shared" si="44"/>
        <v>121.58600000000006</v>
      </c>
      <c r="V263" s="5">
        <v>2294.8000000000002</v>
      </c>
      <c r="W263" s="5">
        <f t="shared" si="51"/>
        <v>176.52307692307693</v>
      </c>
      <c r="X263" s="5">
        <f t="shared" si="45"/>
        <v>213441.69999999995</v>
      </c>
      <c r="Y263" s="5">
        <f t="shared" si="48"/>
        <v>23654.499999999996</v>
      </c>
      <c r="AA263" s="5">
        <v>15.2902423666155</v>
      </c>
    </row>
    <row r="264" spans="1:27" s="5" customFormat="1" x14ac:dyDescent="0.25">
      <c r="A264" s="72"/>
      <c r="B264" s="6"/>
      <c r="C264" s="7">
        <v>42142</v>
      </c>
      <c r="D264" s="5">
        <v>13.3</v>
      </c>
      <c r="E264" s="5">
        <v>8.6</v>
      </c>
      <c r="F264" s="5">
        <v>19.5</v>
      </c>
      <c r="G264" s="5">
        <f t="shared" ref="G264:G326" si="53">G263+D264</f>
        <v>2346.5</v>
      </c>
      <c r="H264" s="5">
        <f t="shared" si="47"/>
        <v>199.4</v>
      </c>
      <c r="I264" s="5">
        <v>303.7</v>
      </c>
      <c r="J264" s="5">
        <v>0.4</v>
      </c>
      <c r="K264" s="5">
        <f t="shared" ref="K264:K326" si="54">K263+J264</f>
        <v>429.59999999999991</v>
      </c>
      <c r="L264" s="5">
        <v>4.0999999999999996</v>
      </c>
      <c r="M264" s="5">
        <f t="shared" ref="M264:M326" si="55">M263+L264</f>
        <v>367.90000000000026</v>
      </c>
      <c r="N264" s="9">
        <f t="shared" si="52"/>
        <v>-3.6999999999999997</v>
      </c>
      <c r="O264" s="5">
        <f t="shared" si="46"/>
        <v>131.89999999999995</v>
      </c>
      <c r="P264" s="5">
        <v>259</v>
      </c>
      <c r="Q264" s="5">
        <v>1.1499999999999999</v>
      </c>
      <c r="R264" s="10">
        <f t="shared" si="49"/>
        <v>4.714999999999999</v>
      </c>
      <c r="S264" s="10">
        <f t="shared" si="50"/>
        <v>-4.3149999999999986</v>
      </c>
      <c r="T264" s="10">
        <f t="shared" ref="T264:T326" si="56">MIN(197.4,(T263+S264))</f>
        <v>117.27100000000006</v>
      </c>
      <c r="U264" s="5">
        <f>(U262*100)/197.4</f>
        <v>62.110781062908742</v>
      </c>
      <c r="V264" s="5">
        <v>2238.4</v>
      </c>
      <c r="W264" s="5">
        <f t="shared" si="51"/>
        <v>168.30075187969925</v>
      </c>
      <c r="X264" s="5">
        <f t="shared" ref="X264:X326" si="57">X263+V264</f>
        <v>215680.09999999995</v>
      </c>
      <c r="Y264" s="5">
        <f t="shared" si="48"/>
        <v>25892.899999999998</v>
      </c>
      <c r="AA264" s="5">
        <v>15.3330156505037</v>
      </c>
    </row>
    <row r="265" spans="1:27" s="5" customFormat="1" x14ac:dyDescent="0.25">
      <c r="A265" s="72"/>
      <c r="B265" s="6"/>
      <c r="C265" s="7">
        <v>42143</v>
      </c>
      <c r="D265" s="5">
        <v>10.1</v>
      </c>
      <c r="E265" s="5">
        <v>8</v>
      </c>
      <c r="F265" s="5">
        <v>14.8</v>
      </c>
      <c r="G265" s="5">
        <f t="shared" si="53"/>
        <v>2356.6</v>
      </c>
      <c r="H265" s="5">
        <f t="shared" si="47"/>
        <v>209.5</v>
      </c>
      <c r="J265" s="5">
        <v>0.7</v>
      </c>
      <c r="K265" s="5">
        <f t="shared" si="54"/>
        <v>430.2999999999999</v>
      </c>
      <c r="L265" s="5">
        <v>4.0999999999999996</v>
      </c>
      <c r="M265" s="5">
        <f t="shared" si="55"/>
        <v>372.00000000000028</v>
      </c>
      <c r="N265" s="9">
        <f t="shared" si="52"/>
        <v>-3.3999999999999995</v>
      </c>
      <c r="O265" s="5">
        <f t="shared" ref="O265:O326" si="58">O264+N265</f>
        <v>128.49999999999994</v>
      </c>
      <c r="P265" s="5">
        <v>260</v>
      </c>
      <c r="Q265" s="5">
        <v>1.1499999999999999</v>
      </c>
      <c r="R265" s="10">
        <f t="shared" si="49"/>
        <v>4.714999999999999</v>
      </c>
      <c r="S265" s="10">
        <f t="shared" si="50"/>
        <v>-4.0149999999999988</v>
      </c>
      <c r="T265" s="10">
        <f t="shared" si="56"/>
        <v>113.25600000000006</v>
      </c>
      <c r="V265" s="5">
        <v>2634.1</v>
      </c>
      <c r="W265" s="5">
        <f t="shared" si="51"/>
        <v>260.80198019801981</v>
      </c>
      <c r="X265" s="5">
        <f t="shared" si="57"/>
        <v>218314.19999999995</v>
      </c>
      <c r="Y265" s="5">
        <f t="shared" si="48"/>
        <v>28526.999999999996</v>
      </c>
      <c r="AA265" s="5">
        <v>15.3749836734314</v>
      </c>
    </row>
    <row r="266" spans="1:27" s="5" customFormat="1" x14ac:dyDescent="0.25">
      <c r="A266" s="72"/>
      <c r="B266" s="6"/>
      <c r="C266" s="7">
        <v>42144</v>
      </c>
      <c r="D266" s="5">
        <v>9.1999999999999993</v>
      </c>
      <c r="E266" s="5">
        <v>5.9</v>
      </c>
      <c r="F266" s="5">
        <v>12.7</v>
      </c>
      <c r="G266" s="5">
        <f t="shared" si="53"/>
        <v>2365.7999999999997</v>
      </c>
      <c r="H266" s="5">
        <f t="shared" si="47"/>
        <v>218.7</v>
      </c>
      <c r="J266" s="5">
        <v>0.3</v>
      </c>
      <c r="K266" s="5">
        <f t="shared" si="54"/>
        <v>430.59999999999991</v>
      </c>
      <c r="L266" s="5">
        <v>2.7</v>
      </c>
      <c r="M266" s="5">
        <f t="shared" si="55"/>
        <v>374.70000000000027</v>
      </c>
      <c r="N266" s="9">
        <f t="shared" si="52"/>
        <v>-2.4000000000000004</v>
      </c>
      <c r="O266" s="5">
        <f t="shared" si="58"/>
        <v>126.09999999999994</v>
      </c>
      <c r="P266" s="5">
        <v>261</v>
      </c>
      <c r="Q266" s="5">
        <v>1.1499999999999999</v>
      </c>
      <c r="R266" s="10">
        <f t="shared" si="49"/>
        <v>3.105</v>
      </c>
      <c r="S266" s="10">
        <f t="shared" si="50"/>
        <v>-2.8050000000000002</v>
      </c>
      <c r="T266" s="10">
        <f t="shared" si="56"/>
        <v>110.45100000000005</v>
      </c>
      <c r="V266" s="5">
        <v>2015.8</v>
      </c>
      <c r="W266" s="5">
        <f t="shared" si="51"/>
        <v>219.10869565217394</v>
      </c>
      <c r="X266" s="5">
        <f t="shared" si="57"/>
        <v>220329.99999999994</v>
      </c>
      <c r="Y266" s="5">
        <f t="shared" si="48"/>
        <v>30542.799999999996</v>
      </c>
      <c r="AA266" s="5">
        <v>15.4161204267035</v>
      </c>
    </row>
    <row r="267" spans="1:27" s="5" customFormat="1" x14ac:dyDescent="0.25">
      <c r="A267" s="72"/>
      <c r="B267" s="6"/>
      <c r="C267" s="7">
        <v>42145</v>
      </c>
      <c r="D267" s="5">
        <v>11.8</v>
      </c>
      <c r="E267" s="5">
        <v>5.2</v>
      </c>
      <c r="F267" s="5">
        <v>16.600000000000001</v>
      </c>
      <c r="G267" s="5">
        <f t="shared" si="53"/>
        <v>2377.6</v>
      </c>
      <c r="H267" s="5">
        <f t="shared" si="47"/>
        <v>230.5</v>
      </c>
      <c r="J267" s="5">
        <v>0</v>
      </c>
      <c r="K267" s="5">
        <f t="shared" si="54"/>
        <v>430.59999999999991</v>
      </c>
      <c r="L267" s="5">
        <v>3.7</v>
      </c>
      <c r="M267" s="5">
        <f t="shared" si="55"/>
        <v>378.40000000000026</v>
      </c>
      <c r="N267" s="9">
        <f t="shared" si="52"/>
        <v>-3.7</v>
      </c>
      <c r="O267" s="5">
        <f t="shared" si="58"/>
        <v>122.39999999999993</v>
      </c>
      <c r="P267" s="5">
        <v>262</v>
      </c>
      <c r="Q267" s="5">
        <v>1.1499999999999999</v>
      </c>
      <c r="R267" s="10">
        <f t="shared" si="49"/>
        <v>4.2549999999999999</v>
      </c>
      <c r="S267" s="10">
        <f t="shared" si="50"/>
        <v>-4.2549999999999999</v>
      </c>
      <c r="T267" s="10">
        <f t="shared" si="56"/>
        <v>106.19600000000005</v>
      </c>
      <c r="V267" s="5">
        <v>2581.5</v>
      </c>
      <c r="W267" s="5">
        <f t="shared" si="51"/>
        <v>218.77118644067795</v>
      </c>
      <c r="X267" s="5">
        <f t="shared" si="57"/>
        <v>222911.49999999994</v>
      </c>
      <c r="Y267" s="5">
        <f t="shared" si="48"/>
        <v>33124.299999999996</v>
      </c>
      <c r="AA267" s="5">
        <v>15.456399691461</v>
      </c>
    </row>
    <row r="268" spans="1:27" s="5" customFormat="1" x14ac:dyDescent="0.25">
      <c r="A268" s="72"/>
      <c r="B268" s="6"/>
      <c r="C268" s="7">
        <v>42146</v>
      </c>
      <c r="D268" s="5">
        <v>13.5</v>
      </c>
      <c r="E268" s="5">
        <v>8.5</v>
      </c>
      <c r="F268" s="5">
        <v>18.2</v>
      </c>
      <c r="G268" s="5">
        <f t="shared" si="53"/>
        <v>2391.1</v>
      </c>
      <c r="H268" s="5">
        <f t="shared" si="47"/>
        <v>244</v>
      </c>
      <c r="J268" s="5">
        <v>0</v>
      </c>
      <c r="K268" s="5">
        <f t="shared" si="54"/>
        <v>430.59999999999991</v>
      </c>
      <c r="L268" s="5">
        <v>3.4</v>
      </c>
      <c r="M268" s="5">
        <f t="shared" si="55"/>
        <v>381.80000000000024</v>
      </c>
      <c r="N268" s="9">
        <f t="shared" si="52"/>
        <v>-3.4</v>
      </c>
      <c r="O268" s="5">
        <f t="shared" si="58"/>
        <v>118.99999999999993</v>
      </c>
      <c r="P268" s="5">
        <v>263</v>
      </c>
      <c r="Q268" s="5">
        <v>1.1499999999999999</v>
      </c>
      <c r="R268" s="10">
        <f t="shared" si="49"/>
        <v>3.9099999999999997</v>
      </c>
      <c r="S268" s="10">
        <f t="shared" si="50"/>
        <v>-3.9099999999999997</v>
      </c>
      <c r="T268" s="10">
        <f t="shared" si="56"/>
        <v>102.28600000000006</v>
      </c>
      <c r="V268" s="5">
        <v>2067.6999999999998</v>
      </c>
      <c r="W268" s="5">
        <f t="shared" si="51"/>
        <v>153.16296296296295</v>
      </c>
      <c r="X268" s="5">
        <f t="shared" si="57"/>
        <v>224979.19999999995</v>
      </c>
      <c r="Y268" s="5">
        <f t="shared" si="48"/>
        <v>35191.999999999993</v>
      </c>
      <c r="AA268" s="5">
        <v>15.495795082413499</v>
      </c>
    </row>
    <row r="269" spans="1:27" s="5" customFormat="1" x14ac:dyDescent="0.25">
      <c r="A269" s="72"/>
      <c r="B269" s="6"/>
      <c r="C269" s="7">
        <v>42147</v>
      </c>
      <c r="D269" s="5">
        <v>15.2</v>
      </c>
      <c r="E269" s="5">
        <v>10</v>
      </c>
      <c r="F269" s="5">
        <v>20.2</v>
      </c>
      <c r="G269" s="5">
        <f t="shared" si="53"/>
        <v>2406.2999999999997</v>
      </c>
      <c r="H269" s="5">
        <f t="shared" si="47"/>
        <v>259.2</v>
      </c>
      <c r="J269" s="5">
        <v>0</v>
      </c>
      <c r="K269" s="5">
        <f t="shared" si="54"/>
        <v>430.59999999999991</v>
      </c>
      <c r="L269" s="5">
        <v>3.6</v>
      </c>
      <c r="M269" s="5">
        <f t="shared" si="55"/>
        <v>385.40000000000026</v>
      </c>
      <c r="N269" s="9">
        <f t="shared" si="52"/>
        <v>-3.6</v>
      </c>
      <c r="O269" s="5">
        <f t="shared" si="58"/>
        <v>115.39999999999993</v>
      </c>
      <c r="P269" s="5">
        <v>264</v>
      </c>
      <c r="Q269" s="5">
        <v>1.1499999999999999</v>
      </c>
      <c r="R269" s="10">
        <f t="shared" si="49"/>
        <v>4.1399999999999997</v>
      </c>
      <c r="S269" s="10">
        <f t="shared" si="50"/>
        <v>-4.1399999999999997</v>
      </c>
      <c r="T269" s="10">
        <f t="shared" si="56"/>
        <v>98.146000000000058</v>
      </c>
      <c r="V269" s="5">
        <v>2055.9</v>
      </c>
      <c r="W269" s="5">
        <f t="shared" si="51"/>
        <v>135.25657894736844</v>
      </c>
      <c r="X269" s="5">
        <f t="shared" si="57"/>
        <v>227035.09999999995</v>
      </c>
      <c r="Y269" s="5">
        <f t="shared" si="48"/>
        <v>37247.899999999994</v>
      </c>
      <c r="AA269" s="5">
        <v>15.5342800945023</v>
      </c>
    </row>
    <row r="270" spans="1:27" s="5" customFormat="1" x14ac:dyDescent="0.25">
      <c r="A270" s="72"/>
      <c r="B270" s="6"/>
      <c r="C270" s="7">
        <v>42148</v>
      </c>
      <c r="D270" s="5">
        <v>15.7</v>
      </c>
      <c r="E270" s="5">
        <v>12</v>
      </c>
      <c r="F270" s="5">
        <v>19.7</v>
      </c>
      <c r="G270" s="5">
        <f t="shared" si="53"/>
        <v>2421.9999999999995</v>
      </c>
      <c r="H270" s="5">
        <f t="shared" si="47"/>
        <v>274.89999999999998</v>
      </c>
      <c r="J270" s="5">
        <v>2.2999999999999998</v>
      </c>
      <c r="K270" s="5">
        <f t="shared" si="54"/>
        <v>432.89999999999992</v>
      </c>
      <c r="L270" s="5">
        <v>4.5</v>
      </c>
      <c r="M270" s="5">
        <f t="shared" si="55"/>
        <v>389.90000000000026</v>
      </c>
      <c r="N270" s="9">
        <f t="shared" si="52"/>
        <v>-2.2000000000000002</v>
      </c>
      <c r="O270" s="5">
        <f t="shared" si="58"/>
        <v>113.19999999999993</v>
      </c>
      <c r="P270" s="5">
        <v>265</v>
      </c>
      <c r="Q270" s="5">
        <v>1.1499999999999999</v>
      </c>
      <c r="R270" s="10">
        <f t="shared" si="49"/>
        <v>5.1749999999999998</v>
      </c>
      <c r="S270" s="10">
        <f t="shared" si="50"/>
        <v>-2.875</v>
      </c>
      <c r="T270" s="10">
        <f t="shared" si="56"/>
        <v>95.271000000000058</v>
      </c>
      <c r="V270" s="5">
        <v>2604.6</v>
      </c>
      <c r="W270" s="5">
        <f t="shared" si="51"/>
        <v>165.89808917197453</v>
      </c>
      <c r="X270" s="5">
        <f t="shared" si="57"/>
        <v>229639.69999999995</v>
      </c>
      <c r="Y270" s="5">
        <f t="shared" si="48"/>
        <v>39852.499999999993</v>
      </c>
      <c r="AA270" s="5">
        <v>15.571828152445701</v>
      </c>
    </row>
    <row r="271" spans="1:27" s="5" customFormat="1" x14ac:dyDescent="0.25">
      <c r="A271" s="72"/>
      <c r="B271" s="6"/>
      <c r="C271" s="7">
        <v>42149</v>
      </c>
      <c r="D271" s="5">
        <v>14.7</v>
      </c>
      <c r="E271" s="5">
        <v>13</v>
      </c>
      <c r="F271" s="5">
        <v>18.5</v>
      </c>
      <c r="G271" s="5">
        <f t="shared" si="53"/>
        <v>2436.6999999999994</v>
      </c>
      <c r="H271" s="5">
        <f t="shared" si="47"/>
        <v>289.59999999999997</v>
      </c>
      <c r="J271" s="5">
        <v>0.2</v>
      </c>
      <c r="K271" s="5">
        <f t="shared" si="54"/>
        <v>433.09999999999991</v>
      </c>
      <c r="L271" s="5">
        <v>3.9</v>
      </c>
      <c r="M271" s="5">
        <f t="shared" si="55"/>
        <v>393.80000000000024</v>
      </c>
      <c r="N271" s="9">
        <f t="shared" si="52"/>
        <v>-3.6999999999999997</v>
      </c>
      <c r="O271" s="5">
        <f t="shared" si="58"/>
        <v>109.49999999999993</v>
      </c>
      <c r="P271" s="5">
        <v>266</v>
      </c>
      <c r="Q271" s="5">
        <v>1.1499999999999999</v>
      </c>
      <c r="R271" s="10">
        <f t="shared" si="49"/>
        <v>4.4849999999999994</v>
      </c>
      <c r="S271" s="10">
        <f t="shared" si="50"/>
        <v>-4.2849999999999993</v>
      </c>
      <c r="T271" s="10">
        <f t="shared" si="56"/>
        <v>90.986000000000061</v>
      </c>
      <c r="V271" s="5">
        <v>2142.6999999999998</v>
      </c>
      <c r="W271" s="5">
        <f t="shared" si="51"/>
        <v>145.76190476190476</v>
      </c>
      <c r="X271" s="5">
        <f t="shared" si="57"/>
        <v>231782.39999999997</v>
      </c>
      <c r="Y271" s="5">
        <f t="shared" si="48"/>
        <v>41995.19999999999</v>
      </c>
      <c r="AA271" s="5">
        <v>15.6084126630948</v>
      </c>
    </row>
    <row r="272" spans="1:27" s="50" customFormat="1" ht="15.75" thickBot="1" x14ac:dyDescent="0.3">
      <c r="A272" s="72"/>
      <c r="B272" s="47">
        <v>300</v>
      </c>
      <c r="C272" s="57">
        <v>42150</v>
      </c>
      <c r="D272" s="50">
        <v>14.1</v>
      </c>
      <c r="E272" s="50">
        <v>10.6</v>
      </c>
      <c r="F272" s="50">
        <v>17.399999999999999</v>
      </c>
      <c r="G272" s="50">
        <f t="shared" si="53"/>
        <v>2450.7999999999993</v>
      </c>
      <c r="H272" s="50">
        <f t="shared" si="47"/>
        <v>303.7</v>
      </c>
      <c r="J272" s="50">
        <v>0</v>
      </c>
      <c r="K272" s="50">
        <f t="shared" si="54"/>
        <v>433.09999999999991</v>
      </c>
      <c r="L272" s="50">
        <v>4</v>
      </c>
      <c r="M272" s="50">
        <f t="shared" si="55"/>
        <v>397.80000000000024</v>
      </c>
      <c r="N272" s="58">
        <f t="shared" si="52"/>
        <v>-4</v>
      </c>
      <c r="O272" s="50">
        <f t="shared" si="58"/>
        <v>105.49999999999993</v>
      </c>
      <c r="P272" s="50">
        <v>267</v>
      </c>
      <c r="Q272" s="50">
        <v>1.1499999999999999</v>
      </c>
      <c r="R272" s="52">
        <f t="shared" si="49"/>
        <v>4.5999999999999996</v>
      </c>
      <c r="S272" s="52">
        <f t="shared" si="50"/>
        <v>-4.5999999999999996</v>
      </c>
      <c r="T272" s="56">
        <f t="shared" si="56"/>
        <v>86.386000000000067</v>
      </c>
      <c r="V272" s="50">
        <v>2456.4</v>
      </c>
      <c r="W272" s="50">
        <f t="shared" si="51"/>
        <v>174.21276595744681</v>
      </c>
      <c r="X272" s="50">
        <f t="shared" si="57"/>
        <v>234238.79999999996</v>
      </c>
      <c r="Y272" s="55">
        <f t="shared" si="48"/>
        <v>44451.599999999991</v>
      </c>
      <c r="AA272" s="55">
        <v>15.644007070503401</v>
      </c>
    </row>
    <row r="273" spans="1:27" s="5" customFormat="1" x14ac:dyDescent="0.25">
      <c r="A273" s="73">
        <v>600</v>
      </c>
      <c r="B273" s="6"/>
      <c r="C273" s="7">
        <v>42151</v>
      </c>
      <c r="D273" s="5">
        <v>15.1</v>
      </c>
      <c r="E273" s="5">
        <v>10.6</v>
      </c>
      <c r="F273" s="5">
        <v>19.899999999999999</v>
      </c>
      <c r="G273" s="5">
        <f t="shared" si="53"/>
        <v>2465.8999999999992</v>
      </c>
      <c r="H273" s="5">
        <v>15.1</v>
      </c>
      <c r="I273" s="39" t="s">
        <v>27</v>
      </c>
      <c r="J273" s="5">
        <v>0</v>
      </c>
      <c r="K273" s="5">
        <f t="shared" si="54"/>
        <v>433.09999999999991</v>
      </c>
      <c r="L273" s="5">
        <v>3.9</v>
      </c>
      <c r="M273" s="5">
        <f t="shared" si="55"/>
        <v>401.70000000000022</v>
      </c>
      <c r="N273" s="9">
        <f t="shared" si="52"/>
        <v>-3.9</v>
      </c>
      <c r="O273" s="5">
        <f t="shared" si="58"/>
        <v>101.59999999999992</v>
      </c>
      <c r="P273" s="5">
        <v>268</v>
      </c>
      <c r="Q273" s="12">
        <f>1.15+((P273-267)/54)*(0.35-1.15)</f>
        <v>1.1351851851851851</v>
      </c>
      <c r="R273" s="10">
        <f t="shared" si="49"/>
        <v>4.4272222222222215</v>
      </c>
      <c r="S273" s="10">
        <f t="shared" si="50"/>
        <v>-4.4272222222222215</v>
      </c>
      <c r="T273" s="10">
        <f t="shared" si="56"/>
        <v>81.95877777777784</v>
      </c>
      <c r="U273" s="39" t="s">
        <v>28</v>
      </c>
      <c r="V273" s="5">
        <v>2269.1</v>
      </c>
      <c r="W273" s="5">
        <f t="shared" si="51"/>
        <v>150.27152317880794</v>
      </c>
      <c r="X273" s="5">
        <f t="shared" si="57"/>
        <v>236507.89999999997</v>
      </c>
      <c r="Y273" s="5">
        <v>2269.1</v>
      </c>
      <c r="Z273" s="39" t="s">
        <v>29</v>
      </c>
      <c r="AA273" s="5">
        <v>15.6785849135895</v>
      </c>
    </row>
    <row r="274" spans="1:27" s="5" customFormat="1" x14ac:dyDescent="0.25">
      <c r="A274" s="73"/>
      <c r="B274" s="6"/>
      <c r="C274" s="7">
        <v>42152</v>
      </c>
      <c r="D274" s="5">
        <v>14.4</v>
      </c>
      <c r="E274" s="5">
        <v>11</v>
      </c>
      <c r="F274" s="5">
        <v>19.600000000000001</v>
      </c>
      <c r="G274" s="5">
        <f t="shared" si="53"/>
        <v>2480.2999999999993</v>
      </c>
      <c r="H274" s="5">
        <f t="shared" si="47"/>
        <v>29.5</v>
      </c>
      <c r="I274" s="5">
        <f>MIN(E273:E290)</f>
        <v>9.9</v>
      </c>
      <c r="J274" s="5">
        <v>0</v>
      </c>
      <c r="K274" s="5">
        <f t="shared" si="54"/>
        <v>433.09999999999991</v>
      </c>
      <c r="L274" s="5">
        <v>3.9</v>
      </c>
      <c r="M274" s="5">
        <f t="shared" si="55"/>
        <v>405.60000000000019</v>
      </c>
      <c r="N274" s="9">
        <f t="shared" si="52"/>
        <v>-3.9</v>
      </c>
      <c r="O274" s="5">
        <f t="shared" si="58"/>
        <v>97.699999999999918</v>
      </c>
      <c r="P274" s="5">
        <v>269</v>
      </c>
      <c r="Q274" s="12">
        <f t="shared" ref="Q274:Q326" si="59">1.15+((P274-267)/54)*(0.35-1.15)</f>
        <v>1.1203703703703702</v>
      </c>
      <c r="R274" s="10">
        <f t="shared" si="49"/>
        <v>4.3694444444444436</v>
      </c>
      <c r="S274" s="10">
        <f t="shared" si="50"/>
        <v>-4.3694444444444436</v>
      </c>
      <c r="T274" s="10">
        <f t="shared" si="56"/>
        <v>77.5893333333334</v>
      </c>
      <c r="U274" s="5">
        <v>17</v>
      </c>
      <c r="V274" s="5">
        <v>2161.9</v>
      </c>
      <c r="W274" s="5">
        <f t="shared" si="51"/>
        <v>150.13194444444446</v>
      </c>
      <c r="X274" s="5">
        <f t="shared" si="57"/>
        <v>238669.79999999996</v>
      </c>
      <c r="Y274" s="5">
        <f t="shared" si="48"/>
        <v>4431</v>
      </c>
      <c r="Z274" s="5">
        <v>40268.700000000004</v>
      </c>
      <c r="AA274" s="5">
        <v>15.7121198862393</v>
      </c>
    </row>
    <row r="275" spans="1:27" s="5" customFormat="1" x14ac:dyDescent="0.25">
      <c r="A275" s="73"/>
      <c r="B275" s="6"/>
      <c r="C275" s="7">
        <v>42153</v>
      </c>
      <c r="D275" s="5">
        <v>14.3</v>
      </c>
      <c r="E275" s="5">
        <v>9.9</v>
      </c>
      <c r="F275" s="5">
        <v>17.2</v>
      </c>
      <c r="G275" s="5">
        <f t="shared" si="53"/>
        <v>2494.5999999999995</v>
      </c>
      <c r="H275" s="5">
        <f t="shared" si="47"/>
        <v>43.8</v>
      </c>
      <c r="I275" s="39" t="s">
        <v>30</v>
      </c>
      <c r="J275" s="5">
        <v>1</v>
      </c>
      <c r="K275" s="5">
        <f t="shared" si="54"/>
        <v>434.09999999999991</v>
      </c>
      <c r="L275" s="5">
        <v>3</v>
      </c>
      <c r="M275" s="5">
        <f t="shared" si="55"/>
        <v>408.60000000000019</v>
      </c>
      <c r="N275" s="9">
        <f t="shared" si="52"/>
        <v>-2</v>
      </c>
      <c r="O275" s="5">
        <f t="shared" si="58"/>
        <v>95.699999999999918</v>
      </c>
      <c r="P275" s="5">
        <v>270</v>
      </c>
      <c r="Q275" s="12">
        <f t="shared" si="59"/>
        <v>1.1055555555555554</v>
      </c>
      <c r="R275" s="10">
        <f t="shared" si="49"/>
        <v>3.3166666666666664</v>
      </c>
      <c r="S275" s="10">
        <f t="shared" si="50"/>
        <v>-2.3166666666666664</v>
      </c>
      <c r="T275" s="10">
        <f t="shared" si="56"/>
        <v>75.272666666666737</v>
      </c>
      <c r="U275" s="39" t="s">
        <v>31</v>
      </c>
      <c r="V275" s="5">
        <v>1586</v>
      </c>
      <c r="W275" s="5">
        <f t="shared" si="51"/>
        <v>110.90909090909091</v>
      </c>
      <c r="X275" s="5">
        <f t="shared" si="57"/>
        <v>240255.79999999996</v>
      </c>
      <c r="Y275" s="5">
        <f t="shared" si="48"/>
        <v>6017</v>
      </c>
      <c r="Z275" s="39" t="s">
        <v>32</v>
      </c>
      <c r="AA275" s="5">
        <v>15.744585899674799</v>
      </c>
    </row>
    <row r="276" spans="1:27" s="5" customFormat="1" x14ac:dyDescent="0.25">
      <c r="A276" s="73"/>
      <c r="B276" s="6"/>
      <c r="C276" s="7">
        <v>42154</v>
      </c>
      <c r="D276" s="5">
        <v>14</v>
      </c>
      <c r="E276" s="5">
        <v>10.6</v>
      </c>
      <c r="F276" s="5">
        <v>17.3</v>
      </c>
      <c r="G276" s="5">
        <f t="shared" si="53"/>
        <v>2508.5999999999995</v>
      </c>
      <c r="H276" s="5">
        <f t="shared" si="47"/>
        <v>57.8</v>
      </c>
      <c r="I276" s="5">
        <f>MAX(F273:F290)</f>
        <v>32.5</v>
      </c>
      <c r="J276" s="5">
        <v>0</v>
      </c>
      <c r="K276" s="5">
        <f t="shared" si="54"/>
        <v>434.09999999999991</v>
      </c>
      <c r="L276" s="5">
        <v>3.9</v>
      </c>
      <c r="M276" s="5">
        <f t="shared" si="55"/>
        <v>412.50000000000017</v>
      </c>
      <c r="N276" s="9">
        <f t="shared" si="52"/>
        <v>-3.9</v>
      </c>
      <c r="O276" s="5">
        <f t="shared" si="58"/>
        <v>91.799999999999912</v>
      </c>
      <c r="P276" s="5">
        <v>271</v>
      </c>
      <c r="Q276" s="12">
        <f t="shared" si="59"/>
        <v>1.0907407407407406</v>
      </c>
      <c r="R276" s="10">
        <f t="shared" si="49"/>
        <v>4.2538888888888877</v>
      </c>
      <c r="S276" s="10">
        <f t="shared" si="50"/>
        <v>-4.2538888888888877</v>
      </c>
      <c r="T276" s="10">
        <f t="shared" si="56"/>
        <v>71.018777777777842</v>
      </c>
      <c r="U276" s="5">
        <v>0</v>
      </c>
      <c r="V276" s="5">
        <v>2321.9</v>
      </c>
      <c r="W276" s="5">
        <f t="shared" si="51"/>
        <v>165.85</v>
      </c>
      <c r="X276" s="5">
        <f t="shared" si="57"/>
        <v>242577.69999999995</v>
      </c>
      <c r="Y276" s="5">
        <f t="shared" si="48"/>
        <v>8338.9</v>
      </c>
      <c r="Z276" s="12">
        <f>(Z274/100)/I286</f>
        <v>1.3070009737098347</v>
      </c>
      <c r="AA276" s="5">
        <v>15.7759571468813</v>
      </c>
    </row>
    <row r="277" spans="1:27" s="5" customFormat="1" x14ac:dyDescent="0.25">
      <c r="A277" s="73"/>
      <c r="B277" s="6"/>
      <c r="C277" s="7">
        <v>42155</v>
      </c>
      <c r="D277" s="5">
        <v>14.2</v>
      </c>
      <c r="E277" s="5">
        <v>10</v>
      </c>
      <c r="F277" s="5">
        <v>17</v>
      </c>
      <c r="G277" s="5">
        <f t="shared" si="53"/>
        <v>2522.7999999999993</v>
      </c>
      <c r="H277" s="5">
        <f t="shared" si="47"/>
        <v>72</v>
      </c>
      <c r="I277" s="39" t="s">
        <v>33</v>
      </c>
      <c r="J277" s="5">
        <v>3.6</v>
      </c>
      <c r="K277" s="5">
        <f t="shared" si="54"/>
        <v>437.69999999999993</v>
      </c>
      <c r="L277" s="5">
        <v>1.4</v>
      </c>
      <c r="M277" s="5">
        <f t="shared" si="55"/>
        <v>413.90000000000015</v>
      </c>
      <c r="N277" s="5">
        <f t="shared" si="52"/>
        <v>2.2000000000000002</v>
      </c>
      <c r="O277" s="5">
        <f t="shared" si="58"/>
        <v>93.999999999999915</v>
      </c>
      <c r="P277" s="5">
        <v>272</v>
      </c>
      <c r="Q277" s="12">
        <f t="shared" si="59"/>
        <v>1.075925925925926</v>
      </c>
      <c r="R277" s="10">
        <f t="shared" si="49"/>
        <v>1.5062962962962962</v>
      </c>
      <c r="S277" s="10">
        <f t="shared" si="50"/>
        <v>2.0937037037037038</v>
      </c>
      <c r="T277" s="10">
        <f t="shared" si="56"/>
        <v>73.112481481481552</v>
      </c>
      <c r="U277" s="39" t="s">
        <v>34</v>
      </c>
      <c r="V277" s="14">
        <v>731.5</v>
      </c>
      <c r="W277" s="5">
        <f t="shared" si="51"/>
        <v>51.514084507042256</v>
      </c>
      <c r="X277" s="5">
        <f t="shared" si="57"/>
        <v>243309.19999999995</v>
      </c>
      <c r="Y277" s="5">
        <f t="shared" si="48"/>
        <v>9070.4</v>
      </c>
      <c r="Z277" s="39" t="s">
        <v>35</v>
      </c>
      <c r="AA277" s="5">
        <v>15.8062081688572</v>
      </c>
    </row>
    <row r="278" spans="1:27" s="5" customFormat="1" x14ac:dyDescent="0.25">
      <c r="A278" s="73"/>
      <c r="B278" s="6"/>
      <c r="C278" s="7">
        <v>42156</v>
      </c>
      <c r="D278" s="5">
        <v>13.2</v>
      </c>
      <c r="E278" s="5">
        <v>10.199999999999999</v>
      </c>
      <c r="F278" s="5">
        <v>15.5</v>
      </c>
      <c r="G278" s="5">
        <f t="shared" si="53"/>
        <v>2535.9999999999991</v>
      </c>
      <c r="H278" s="5">
        <f t="shared" si="47"/>
        <v>85.2</v>
      </c>
      <c r="I278" s="10">
        <f>AVERAGE(D273:D290)</f>
        <v>17.116666666666664</v>
      </c>
      <c r="J278" s="5">
        <v>0</v>
      </c>
      <c r="K278" s="5">
        <f t="shared" si="54"/>
        <v>437.69999999999993</v>
      </c>
      <c r="L278" s="5">
        <v>2.8</v>
      </c>
      <c r="M278" s="5">
        <f t="shared" si="55"/>
        <v>416.70000000000016</v>
      </c>
      <c r="N278" s="5">
        <f t="shared" si="52"/>
        <v>-2.8</v>
      </c>
      <c r="O278" s="5">
        <f t="shared" si="58"/>
        <v>91.199999999999918</v>
      </c>
      <c r="P278" s="5">
        <v>273</v>
      </c>
      <c r="Q278" s="12">
        <f t="shared" si="59"/>
        <v>1.0611111111111111</v>
      </c>
      <c r="R278" s="10">
        <f t="shared" si="49"/>
        <v>2.971111111111111</v>
      </c>
      <c r="S278" s="10">
        <f t="shared" si="50"/>
        <v>-2.971111111111111</v>
      </c>
      <c r="T278" s="10">
        <f t="shared" si="56"/>
        <v>70.141370370370439</v>
      </c>
      <c r="U278" s="5">
        <v>12</v>
      </c>
      <c r="V278" s="5">
        <v>1707.5</v>
      </c>
      <c r="W278" s="5">
        <f t="shared" si="51"/>
        <v>129.35606060606062</v>
      </c>
      <c r="X278" s="5">
        <f t="shared" si="57"/>
        <v>245016.69999999995</v>
      </c>
      <c r="Y278" s="5">
        <f t="shared" si="48"/>
        <v>10777.9</v>
      </c>
      <c r="Z278" s="5">
        <v>1</v>
      </c>
      <c r="AA278" s="5">
        <v>15.8353139224259</v>
      </c>
    </row>
    <row r="279" spans="1:27" s="5" customFormat="1" x14ac:dyDescent="0.25">
      <c r="A279" s="73"/>
      <c r="B279" s="6"/>
      <c r="C279" s="7">
        <v>42157</v>
      </c>
      <c r="D279" s="5">
        <v>17.899999999999999</v>
      </c>
      <c r="E279" s="5">
        <v>12.4</v>
      </c>
      <c r="F279" s="5">
        <v>22.3</v>
      </c>
      <c r="G279" s="5">
        <f t="shared" si="53"/>
        <v>2553.8999999999992</v>
      </c>
      <c r="H279" s="5">
        <f t="shared" si="47"/>
        <v>103.1</v>
      </c>
      <c r="I279" s="39" t="s">
        <v>36</v>
      </c>
      <c r="J279" s="5">
        <v>0</v>
      </c>
      <c r="K279" s="5">
        <f t="shared" si="54"/>
        <v>437.69999999999993</v>
      </c>
      <c r="L279" s="5">
        <v>4.5</v>
      </c>
      <c r="M279" s="5">
        <f t="shared" si="55"/>
        <v>421.20000000000016</v>
      </c>
      <c r="N279" s="9">
        <f t="shared" si="52"/>
        <v>-4.5</v>
      </c>
      <c r="O279" s="5">
        <f t="shared" si="58"/>
        <v>86.699999999999918</v>
      </c>
      <c r="P279" s="5">
        <v>274</v>
      </c>
      <c r="Q279" s="12">
        <f t="shared" si="59"/>
        <v>1.0462962962962963</v>
      </c>
      <c r="R279" s="10">
        <f t="shared" si="49"/>
        <v>4.708333333333333</v>
      </c>
      <c r="S279" s="10">
        <f t="shared" si="50"/>
        <v>-4.708333333333333</v>
      </c>
      <c r="T279" s="10">
        <f t="shared" si="56"/>
        <v>65.43303703703711</v>
      </c>
      <c r="U279" s="39" t="s">
        <v>37</v>
      </c>
      <c r="V279" s="5">
        <v>1877</v>
      </c>
      <c r="W279" s="5">
        <f t="shared" si="51"/>
        <v>104.86033519553074</v>
      </c>
      <c r="X279" s="5">
        <f t="shared" si="57"/>
        <v>246893.69999999995</v>
      </c>
      <c r="Y279" s="5">
        <f t="shared" si="48"/>
        <v>12654.9</v>
      </c>
      <c r="AA279" s="5">
        <v>15.863249849316601</v>
      </c>
    </row>
    <row r="280" spans="1:27" s="5" customFormat="1" x14ac:dyDescent="0.25">
      <c r="A280" s="73"/>
      <c r="B280" s="6"/>
      <c r="C280" s="7">
        <v>42158</v>
      </c>
      <c r="D280" s="5">
        <v>16.8</v>
      </c>
      <c r="E280" s="5">
        <v>15.5</v>
      </c>
      <c r="F280" s="5">
        <v>20.3</v>
      </c>
      <c r="G280" s="5">
        <f t="shared" si="53"/>
        <v>2570.6999999999994</v>
      </c>
      <c r="H280" s="5">
        <f t="shared" si="47"/>
        <v>119.89999999999999</v>
      </c>
      <c r="I280" s="5">
        <v>0</v>
      </c>
      <c r="J280" s="5">
        <v>0.2</v>
      </c>
      <c r="K280" s="5">
        <f t="shared" si="54"/>
        <v>437.89999999999992</v>
      </c>
      <c r="L280" s="5">
        <v>3.7</v>
      </c>
      <c r="M280" s="5">
        <f t="shared" si="55"/>
        <v>424.90000000000015</v>
      </c>
      <c r="N280" s="9">
        <f t="shared" si="52"/>
        <v>-3.5</v>
      </c>
      <c r="O280" s="5">
        <f t="shared" si="58"/>
        <v>83.199999999999918</v>
      </c>
      <c r="P280" s="5">
        <v>275</v>
      </c>
      <c r="Q280" s="12">
        <f t="shared" si="59"/>
        <v>1.0314814814814814</v>
      </c>
      <c r="R280" s="10">
        <f t="shared" si="49"/>
        <v>3.8164814814814814</v>
      </c>
      <c r="S280" s="10">
        <f t="shared" si="50"/>
        <v>-3.6164814814814812</v>
      </c>
      <c r="T280" s="10">
        <f t="shared" si="56"/>
        <v>61.816555555555631</v>
      </c>
      <c r="U280" s="10">
        <f>MIN(T273:T290)</f>
        <v>13.318592592592669</v>
      </c>
      <c r="V280" s="5">
        <v>1821.5</v>
      </c>
      <c r="W280" s="5">
        <f t="shared" si="51"/>
        <v>108.42261904761904</v>
      </c>
      <c r="X280" s="5">
        <f t="shared" si="57"/>
        <v>248715.19999999995</v>
      </c>
      <c r="Y280" s="5">
        <f t="shared" si="48"/>
        <v>14476.4</v>
      </c>
      <c r="AA280" s="5">
        <v>15.8899919461976</v>
      </c>
    </row>
    <row r="281" spans="1:27" s="5" customFormat="1" x14ac:dyDescent="0.25">
      <c r="A281" s="73"/>
      <c r="B281" s="6"/>
      <c r="C281" s="7">
        <v>42159</v>
      </c>
      <c r="D281" s="5">
        <v>19</v>
      </c>
      <c r="E281" s="5">
        <v>10.4</v>
      </c>
      <c r="F281" s="13">
        <v>25.7</v>
      </c>
      <c r="G281" s="5">
        <f t="shared" si="53"/>
        <v>2589.6999999999994</v>
      </c>
      <c r="H281" s="5">
        <f t="shared" si="47"/>
        <v>138.89999999999998</v>
      </c>
      <c r="I281" s="39" t="s">
        <v>38</v>
      </c>
      <c r="J281" s="5">
        <v>0</v>
      </c>
      <c r="K281" s="5">
        <f t="shared" si="54"/>
        <v>437.89999999999992</v>
      </c>
      <c r="L281" s="5">
        <v>5.8</v>
      </c>
      <c r="M281" s="5">
        <f t="shared" si="55"/>
        <v>430.70000000000016</v>
      </c>
      <c r="N281" s="9">
        <f t="shared" si="52"/>
        <v>-5.8</v>
      </c>
      <c r="O281" s="5">
        <f t="shared" si="58"/>
        <v>77.39999999999992</v>
      </c>
      <c r="P281" s="5">
        <v>276</v>
      </c>
      <c r="Q281" s="12">
        <f t="shared" si="59"/>
        <v>1.0166666666666666</v>
      </c>
      <c r="R281" s="10">
        <f t="shared" si="49"/>
        <v>5.8966666666666665</v>
      </c>
      <c r="S281" s="10">
        <f t="shared" si="50"/>
        <v>-5.8966666666666665</v>
      </c>
      <c r="T281" s="10">
        <f t="shared" si="56"/>
        <v>55.919888888888963</v>
      </c>
      <c r="U281" s="39" t="s">
        <v>39</v>
      </c>
      <c r="V281" s="5">
        <v>3145.9</v>
      </c>
      <c r="W281" s="5">
        <f t="shared" si="51"/>
        <v>165.57368421052632</v>
      </c>
      <c r="X281" s="5">
        <f t="shared" si="57"/>
        <v>251861.09999999995</v>
      </c>
      <c r="Y281" s="5">
        <f t="shared" si="48"/>
        <v>17622.3</v>
      </c>
      <c r="AA281" s="5">
        <v>15.915516835317099</v>
      </c>
    </row>
    <row r="282" spans="1:27" s="5" customFormat="1" x14ac:dyDescent="0.25">
      <c r="A282" s="73"/>
      <c r="B282" s="6"/>
      <c r="C282" s="7">
        <v>42160</v>
      </c>
      <c r="D282" s="5">
        <v>23.8</v>
      </c>
      <c r="E282" s="5">
        <v>16.5</v>
      </c>
      <c r="F282" s="13">
        <v>32.5</v>
      </c>
      <c r="G282" s="5">
        <f t="shared" si="53"/>
        <v>2613.4999999999995</v>
      </c>
      <c r="H282" s="5">
        <f t="shared" si="47"/>
        <v>162.69999999999999</v>
      </c>
      <c r="I282" s="5">
        <v>4</v>
      </c>
      <c r="J282" s="5">
        <v>0</v>
      </c>
      <c r="K282" s="5">
        <f t="shared" si="54"/>
        <v>437.89999999999992</v>
      </c>
      <c r="L282" s="5">
        <v>5.5</v>
      </c>
      <c r="M282" s="5">
        <f t="shared" si="55"/>
        <v>436.20000000000016</v>
      </c>
      <c r="N282" s="9">
        <f t="shared" si="52"/>
        <v>-5.5</v>
      </c>
      <c r="O282" s="5">
        <f t="shared" si="58"/>
        <v>71.89999999999992</v>
      </c>
      <c r="P282" s="5">
        <v>277</v>
      </c>
      <c r="Q282" s="12">
        <f t="shared" si="59"/>
        <v>1.0018518518518518</v>
      </c>
      <c r="R282" s="10">
        <f t="shared" si="49"/>
        <v>5.5101851851851844</v>
      </c>
      <c r="S282" s="10">
        <f t="shared" si="50"/>
        <v>-5.5101851851851844</v>
      </c>
      <c r="T282" s="10">
        <f t="shared" si="56"/>
        <v>50.409703703703777</v>
      </c>
      <c r="U282" s="10">
        <f>MAX(T273:T290)</f>
        <v>81.95877777777784</v>
      </c>
      <c r="V282" s="5">
        <v>2299.1</v>
      </c>
      <c r="W282" s="5">
        <f t="shared" si="51"/>
        <v>96.600840336134453</v>
      </c>
      <c r="X282" s="5">
        <f t="shared" si="57"/>
        <v>254160.19999999995</v>
      </c>
      <c r="Y282" s="5">
        <f t="shared" si="48"/>
        <v>19921.399999999998</v>
      </c>
      <c r="AA282" s="5">
        <v>15.939801835385699</v>
      </c>
    </row>
    <row r="283" spans="1:27" s="24" customFormat="1" x14ac:dyDescent="0.25">
      <c r="A283" s="73"/>
      <c r="B283" s="22"/>
      <c r="C283" s="23">
        <v>42161</v>
      </c>
      <c r="D283" s="24">
        <v>17</v>
      </c>
      <c r="E283" s="24">
        <v>14.1</v>
      </c>
      <c r="F283" s="24">
        <v>20.7</v>
      </c>
      <c r="G283" s="24">
        <f t="shared" si="53"/>
        <v>2630.4999999999995</v>
      </c>
      <c r="H283" s="24">
        <f t="shared" si="47"/>
        <v>179.7</v>
      </c>
      <c r="I283" s="39" t="s">
        <v>40</v>
      </c>
      <c r="J283" s="24">
        <v>0</v>
      </c>
      <c r="K283" s="24">
        <f t="shared" si="54"/>
        <v>437.89999999999992</v>
      </c>
      <c r="L283" s="24">
        <v>5.7</v>
      </c>
      <c r="M283" s="24">
        <f t="shared" si="55"/>
        <v>441.90000000000015</v>
      </c>
      <c r="N283" s="26">
        <f t="shared" si="52"/>
        <v>-5.7</v>
      </c>
      <c r="O283" s="24">
        <f t="shared" si="58"/>
        <v>66.199999999999918</v>
      </c>
      <c r="P283" s="24">
        <v>278</v>
      </c>
      <c r="Q283" s="12">
        <f t="shared" si="59"/>
        <v>0.98703703703703694</v>
      </c>
      <c r="R283" s="27">
        <f t="shared" si="49"/>
        <v>5.6261111111111104</v>
      </c>
      <c r="S283" s="27">
        <f t="shared" si="50"/>
        <v>-5.6261111111111104</v>
      </c>
      <c r="T283" s="10">
        <f t="shared" si="56"/>
        <v>44.783592592592669</v>
      </c>
      <c r="U283" s="39" t="s">
        <v>41</v>
      </c>
      <c r="V283" s="24">
        <v>2797.9</v>
      </c>
      <c r="W283" s="24">
        <f t="shared" si="51"/>
        <v>164.58235294117648</v>
      </c>
      <c r="X283" s="24">
        <f t="shared" si="57"/>
        <v>256958.09999999995</v>
      </c>
      <c r="Y283" s="5">
        <f t="shared" si="48"/>
        <v>22719.3</v>
      </c>
      <c r="AA283" s="5">
        <v>15.9628250323111</v>
      </c>
    </row>
    <row r="284" spans="1:27" s="5" customFormat="1" ht="15" customHeight="1" x14ac:dyDescent="0.25">
      <c r="A284" s="73"/>
      <c r="B284" s="6"/>
      <c r="C284" s="7">
        <v>42162</v>
      </c>
      <c r="D284" s="5">
        <v>16.2</v>
      </c>
      <c r="E284" s="5">
        <v>11.1</v>
      </c>
      <c r="F284" s="5">
        <v>20.9</v>
      </c>
      <c r="G284" s="5">
        <f t="shared" si="53"/>
        <v>2646.6999999999994</v>
      </c>
      <c r="H284" s="5">
        <f t="shared" si="47"/>
        <v>195.89999999999998</v>
      </c>
      <c r="I284" s="5">
        <v>0</v>
      </c>
      <c r="J284" s="5">
        <v>0</v>
      </c>
      <c r="K284" s="5">
        <f t="shared" si="54"/>
        <v>437.89999999999992</v>
      </c>
      <c r="L284" s="5">
        <v>5.0999999999999996</v>
      </c>
      <c r="M284" s="5">
        <f t="shared" si="55"/>
        <v>447.00000000000017</v>
      </c>
      <c r="N284" s="9">
        <f t="shared" si="52"/>
        <v>-5.0999999999999996</v>
      </c>
      <c r="O284" s="5">
        <f t="shared" si="58"/>
        <v>61.099999999999916</v>
      </c>
      <c r="P284" s="5">
        <v>279</v>
      </c>
      <c r="Q284" s="12">
        <f t="shared" si="59"/>
        <v>0.9722222222222221</v>
      </c>
      <c r="R284" s="10">
        <f t="shared" si="49"/>
        <v>4.9583333333333321</v>
      </c>
      <c r="S284" s="10">
        <f t="shared" si="50"/>
        <v>-4.9583333333333321</v>
      </c>
      <c r="T284" s="10">
        <f t="shared" si="56"/>
        <v>39.82525925925934</v>
      </c>
      <c r="U284" s="63">
        <f>AVERAGE(T273:T290)</f>
        <v>50.413664609053576</v>
      </c>
      <c r="V284" s="5">
        <v>2625.8</v>
      </c>
      <c r="W284" s="5">
        <f t="shared" si="51"/>
        <v>162.08641975308643</v>
      </c>
      <c r="X284" s="5">
        <f t="shared" si="57"/>
        <v>259583.89999999994</v>
      </c>
      <c r="Y284" s="5">
        <f t="shared" si="48"/>
        <v>25345.1</v>
      </c>
      <c r="AA284" s="5">
        <v>15.984565349378901</v>
      </c>
    </row>
    <row r="285" spans="1:27" s="5" customFormat="1" x14ac:dyDescent="0.25">
      <c r="A285" s="73"/>
      <c r="B285" s="6"/>
      <c r="C285" s="7">
        <v>42163</v>
      </c>
      <c r="D285" s="5">
        <v>15.5</v>
      </c>
      <c r="E285" s="5">
        <v>11.8</v>
      </c>
      <c r="F285" s="5">
        <v>19.7</v>
      </c>
      <c r="G285" s="5">
        <f t="shared" si="53"/>
        <v>2662.1999999999994</v>
      </c>
      <c r="H285" s="5">
        <f t="shared" si="47"/>
        <v>211.39999999999998</v>
      </c>
      <c r="I285" s="39" t="s">
        <v>42</v>
      </c>
      <c r="J285" s="5">
        <v>0</v>
      </c>
      <c r="K285" s="5">
        <f t="shared" si="54"/>
        <v>437.89999999999992</v>
      </c>
      <c r="L285" s="5">
        <v>6.2</v>
      </c>
      <c r="M285" s="5">
        <f t="shared" si="55"/>
        <v>453.20000000000016</v>
      </c>
      <c r="N285" s="9">
        <f t="shared" si="52"/>
        <v>-6.2</v>
      </c>
      <c r="O285" s="5">
        <f t="shared" si="58"/>
        <v>54.899999999999913</v>
      </c>
      <c r="P285" s="5">
        <v>280</v>
      </c>
      <c r="Q285" s="12">
        <f t="shared" si="59"/>
        <v>0.95740740740740737</v>
      </c>
      <c r="R285" s="10">
        <f t="shared" si="49"/>
        <v>5.9359259259259263</v>
      </c>
      <c r="S285" s="10">
        <f t="shared" si="50"/>
        <v>-5.9359259259259263</v>
      </c>
      <c r="T285" s="10">
        <f t="shared" si="56"/>
        <v>33.889333333333411</v>
      </c>
      <c r="V285" s="5">
        <v>3311.4</v>
      </c>
      <c r="W285" s="5">
        <f t="shared" si="51"/>
        <v>213.63870967741937</v>
      </c>
      <c r="X285" s="5">
        <f t="shared" si="57"/>
        <v>262895.29999999993</v>
      </c>
      <c r="Y285" s="5">
        <f t="shared" si="48"/>
        <v>28656.5</v>
      </c>
      <c r="AA285" s="5">
        <v>16.005002616456299</v>
      </c>
    </row>
    <row r="286" spans="1:27" s="5" customFormat="1" x14ac:dyDescent="0.25">
      <c r="A286" s="73"/>
      <c r="B286" s="6"/>
      <c r="C286" s="7">
        <v>42164</v>
      </c>
      <c r="D286" s="5">
        <v>15.4</v>
      </c>
      <c r="E286" s="5">
        <v>11.2</v>
      </c>
      <c r="F286" s="5">
        <v>19.8</v>
      </c>
      <c r="G286" s="5">
        <f t="shared" si="53"/>
        <v>2677.5999999999995</v>
      </c>
      <c r="H286" s="5">
        <f t="shared" si="47"/>
        <v>226.79999999999998</v>
      </c>
      <c r="I286" s="5">
        <v>308.10000000000002</v>
      </c>
      <c r="J286" s="5">
        <v>0</v>
      </c>
      <c r="K286" s="5">
        <f t="shared" si="54"/>
        <v>437.89999999999992</v>
      </c>
      <c r="L286" s="5">
        <v>5.2</v>
      </c>
      <c r="M286" s="5">
        <f t="shared" si="55"/>
        <v>458.40000000000015</v>
      </c>
      <c r="N286" s="9">
        <f t="shared" si="52"/>
        <v>-5.2</v>
      </c>
      <c r="O286" s="5">
        <f t="shared" si="58"/>
        <v>49.69999999999991</v>
      </c>
      <c r="P286" s="5">
        <v>281</v>
      </c>
      <c r="Q286" s="12">
        <f t="shared" si="59"/>
        <v>0.94259259259259254</v>
      </c>
      <c r="R286" s="10">
        <f t="shared" si="49"/>
        <v>4.9014814814814818</v>
      </c>
      <c r="S286" s="10">
        <f t="shared" si="50"/>
        <v>-4.9014814814814818</v>
      </c>
      <c r="T286" s="10">
        <f t="shared" si="56"/>
        <v>28.987851851851929</v>
      </c>
      <c r="U286" s="5">
        <f>(U284*100)/197.4</f>
        <v>25.538837187970401</v>
      </c>
      <c r="V286" s="5">
        <v>2618.4</v>
      </c>
      <c r="W286" s="5">
        <f t="shared" si="51"/>
        <v>170.02597402597402</v>
      </c>
      <c r="X286" s="5">
        <f t="shared" si="57"/>
        <v>265513.69999999995</v>
      </c>
      <c r="Y286" s="5">
        <f t="shared" si="48"/>
        <v>31274.9</v>
      </c>
      <c r="AA286" s="5">
        <v>16.0241176377864</v>
      </c>
    </row>
    <row r="287" spans="1:27" s="5" customFormat="1" x14ac:dyDescent="0.25">
      <c r="A287" s="73"/>
      <c r="B287" s="6"/>
      <c r="C287" s="7">
        <v>42165</v>
      </c>
      <c r="D287" s="5">
        <v>17.600000000000001</v>
      </c>
      <c r="E287" s="5">
        <v>13</v>
      </c>
      <c r="F287" s="5">
        <v>21.5</v>
      </c>
      <c r="G287" s="5">
        <f t="shared" si="53"/>
        <v>2695.1999999999994</v>
      </c>
      <c r="H287" s="5">
        <f t="shared" si="47"/>
        <v>244.39999999999998</v>
      </c>
      <c r="J287" s="5">
        <v>0</v>
      </c>
      <c r="K287" s="5">
        <f t="shared" si="54"/>
        <v>437.89999999999992</v>
      </c>
      <c r="L287" s="5">
        <v>4.8</v>
      </c>
      <c r="M287" s="5">
        <f t="shared" si="55"/>
        <v>463.20000000000016</v>
      </c>
      <c r="N287" s="9">
        <f t="shared" si="52"/>
        <v>-4.8</v>
      </c>
      <c r="O287" s="5">
        <f t="shared" si="58"/>
        <v>44.899999999999913</v>
      </c>
      <c r="P287" s="5">
        <v>282</v>
      </c>
      <c r="Q287" s="12">
        <f t="shared" si="59"/>
        <v>0.9277777777777777</v>
      </c>
      <c r="R287" s="10">
        <f t="shared" si="49"/>
        <v>4.4533333333333331</v>
      </c>
      <c r="S287" s="10">
        <f t="shared" si="50"/>
        <v>-4.4533333333333331</v>
      </c>
      <c r="T287" s="10">
        <f t="shared" si="56"/>
        <v>24.534518518518595</v>
      </c>
      <c r="V287" s="5">
        <v>2179.5</v>
      </c>
      <c r="W287" s="5">
        <f t="shared" si="51"/>
        <v>123.83522727272727</v>
      </c>
      <c r="X287" s="5">
        <f t="shared" si="57"/>
        <v>267693.19999999995</v>
      </c>
      <c r="Y287" s="5">
        <f t="shared" si="48"/>
        <v>33454.400000000001</v>
      </c>
      <c r="AA287" s="5">
        <v>16.0418922579304</v>
      </c>
    </row>
    <row r="288" spans="1:27" s="5" customFormat="1" x14ac:dyDescent="0.25">
      <c r="A288" s="73"/>
      <c r="B288" s="6"/>
      <c r="C288" s="7">
        <v>42166</v>
      </c>
      <c r="D288" s="5">
        <v>22.2</v>
      </c>
      <c r="E288" s="5">
        <v>15.8</v>
      </c>
      <c r="F288" s="13">
        <v>27.8</v>
      </c>
      <c r="G288" s="5">
        <f t="shared" si="53"/>
        <v>2717.3999999999992</v>
      </c>
      <c r="H288" s="5">
        <f t="shared" si="47"/>
        <v>266.59999999999997</v>
      </c>
      <c r="J288" s="5">
        <v>1.9</v>
      </c>
      <c r="K288" s="5">
        <f t="shared" si="54"/>
        <v>439.7999999999999</v>
      </c>
      <c r="L288" s="5">
        <v>4.8</v>
      </c>
      <c r="M288" s="5">
        <f t="shared" si="55"/>
        <v>468.00000000000017</v>
      </c>
      <c r="N288" s="9">
        <f t="shared" si="52"/>
        <v>-2.9</v>
      </c>
      <c r="O288" s="5">
        <f t="shared" si="58"/>
        <v>41.999999999999915</v>
      </c>
      <c r="P288" s="5">
        <v>283</v>
      </c>
      <c r="Q288" s="12">
        <f t="shared" si="59"/>
        <v>0.91296296296296298</v>
      </c>
      <c r="R288" s="10">
        <f t="shared" si="49"/>
        <v>4.3822222222222225</v>
      </c>
      <c r="S288" s="10">
        <f t="shared" si="50"/>
        <v>-2.4822222222222226</v>
      </c>
      <c r="T288" s="10">
        <f t="shared" si="56"/>
        <v>22.052296296296372</v>
      </c>
      <c r="V288" s="5">
        <v>2270.4</v>
      </c>
      <c r="W288" s="5">
        <f t="shared" si="51"/>
        <v>102.27027027027027</v>
      </c>
      <c r="X288" s="5">
        <f t="shared" si="57"/>
        <v>269963.59999999998</v>
      </c>
      <c r="Y288" s="5">
        <f t="shared" si="48"/>
        <v>35724.800000000003</v>
      </c>
      <c r="AA288" s="5">
        <v>16.0583094254145</v>
      </c>
    </row>
    <row r="289" spans="1:27" s="5" customFormat="1" x14ac:dyDescent="0.25">
      <c r="A289" s="73"/>
      <c r="B289" s="6"/>
      <c r="C289" s="7">
        <v>42167</v>
      </c>
      <c r="D289" s="5">
        <v>21.5</v>
      </c>
      <c r="E289" s="5">
        <v>19.2</v>
      </c>
      <c r="F289" s="13">
        <v>26.2</v>
      </c>
      <c r="G289" s="5">
        <f t="shared" si="53"/>
        <v>2738.8999999999992</v>
      </c>
      <c r="H289" s="5">
        <f t="shared" ref="H289:H326" si="60">H288+D289</f>
        <v>288.09999999999997</v>
      </c>
      <c r="J289" s="5">
        <v>0</v>
      </c>
      <c r="K289" s="5">
        <f t="shared" si="54"/>
        <v>439.7999999999999</v>
      </c>
      <c r="L289" s="5">
        <v>5.2</v>
      </c>
      <c r="M289" s="5">
        <f t="shared" si="55"/>
        <v>473.20000000000016</v>
      </c>
      <c r="N289" s="9">
        <f t="shared" si="52"/>
        <v>-5.2</v>
      </c>
      <c r="O289" s="5">
        <f t="shared" si="58"/>
        <v>36.799999999999912</v>
      </c>
      <c r="P289" s="5">
        <v>284</v>
      </c>
      <c r="Q289" s="12">
        <f t="shared" si="59"/>
        <v>0.89814814814814814</v>
      </c>
      <c r="R289" s="10">
        <f t="shared" si="49"/>
        <v>4.6703703703703701</v>
      </c>
      <c r="S289" s="10">
        <f t="shared" si="50"/>
        <v>-4.6703703703703701</v>
      </c>
      <c r="T289" s="10">
        <f t="shared" si="56"/>
        <v>17.381925925926001</v>
      </c>
      <c r="V289" s="5">
        <v>2208.3000000000002</v>
      </c>
      <c r="W289" s="5">
        <f t="shared" si="51"/>
        <v>102.71162790697676</v>
      </c>
      <c r="X289" s="5">
        <f t="shared" si="57"/>
        <v>272171.89999999997</v>
      </c>
      <c r="Y289" s="5">
        <f t="shared" ref="Y289:Y326" si="61">Y288+V289</f>
        <v>37933.100000000006</v>
      </c>
      <c r="AA289" s="5">
        <v>16.073353253639102</v>
      </c>
    </row>
    <row r="290" spans="1:27" s="50" customFormat="1" ht="15.75" thickBot="1" x14ac:dyDescent="0.3">
      <c r="A290" s="73"/>
      <c r="B290" s="47">
        <v>600</v>
      </c>
      <c r="C290" s="57">
        <v>42168</v>
      </c>
      <c r="D290" s="50">
        <v>20</v>
      </c>
      <c r="E290" s="50">
        <v>16.2</v>
      </c>
      <c r="F290" s="50">
        <v>24.1</v>
      </c>
      <c r="G290" s="50">
        <f t="shared" si="53"/>
        <v>2758.8999999999992</v>
      </c>
      <c r="H290" s="50">
        <f t="shared" si="60"/>
        <v>308.09999999999997</v>
      </c>
      <c r="J290" s="50">
        <v>0</v>
      </c>
      <c r="K290" s="50">
        <f t="shared" si="54"/>
        <v>439.7999999999999</v>
      </c>
      <c r="L290" s="50">
        <v>4.5999999999999996</v>
      </c>
      <c r="M290" s="50">
        <f t="shared" si="55"/>
        <v>477.80000000000018</v>
      </c>
      <c r="N290" s="58">
        <f t="shared" si="52"/>
        <v>-4.5999999999999996</v>
      </c>
      <c r="O290" s="50">
        <f t="shared" si="58"/>
        <v>32.19999999999991</v>
      </c>
      <c r="P290" s="50">
        <v>285</v>
      </c>
      <c r="Q290" s="59">
        <f t="shared" si="59"/>
        <v>0.8833333333333333</v>
      </c>
      <c r="R290" s="52">
        <f t="shared" si="49"/>
        <v>4.0633333333333326</v>
      </c>
      <c r="S290" s="52">
        <f t="shared" si="50"/>
        <v>-4.0633333333333326</v>
      </c>
      <c r="T290" s="53">
        <f t="shared" si="56"/>
        <v>13.318592592592669</v>
      </c>
      <c r="V290" s="50">
        <v>2335.6</v>
      </c>
      <c r="W290" s="50">
        <f t="shared" si="51"/>
        <v>116.78</v>
      </c>
      <c r="X290" s="50">
        <f t="shared" si="57"/>
        <v>274507.49999999994</v>
      </c>
      <c r="Y290" s="51">
        <f t="shared" si="61"/>
        <v>40268.700000000004</v>
      </c>
      <c r="AA290" s="51">
        <v>16.087009078613999</v>
      </c>
    </row>
    <row r="291" spans="1:27" s="5" customFormat="1" x14ac:dyDescent="0.25">
      <c r="A291" s="66">
        <v>1000</v>
      </c>
      <c r="B291" s="6"/>
      <c r="C291" s="7">
        <v>42169</v>
      </c>
      <c r="D291" s="5">
        <v>18.899999999999999</v>
      </c>
      <c r="E291" s="5">
        <v>15.1</v>
      </c>
      <c r="F291" s="5">
        <v>24</v>
      </c>
      <c r="G291" s="5">
        <f t="shared" si="53"/>
        <v>2777.7999999999993</v>
      </c>
      <c r="H291" s="5">
        <v>18.899999999999999</v>
      </c>
      <c r="I291" s="40" t="s">
        <v>27</v>
      </c>
      <c r="J291" s="5">
        <v>0</v>
      </c>
      <c r="K291" s="5">
        <f t="shared" si="54"/>
        <v>439.7999999999999</v>
      </c>
      <c r="L291" s="5">
        <v>4.2</v>
      </c>
      <c r="M291" s="5">
        <f t="shared" si="55"/>
        <v>482.00000000000017</v>
      </c>
      <c r="N291" s="9">
        <f t="shared" si="52"/>
        <v>-4.2</v>
      </c>
      <c r="O291" s="5">
        <f t="shared" si="58"/>
        <v>27.999999999999911</v>
      </c>
      <c r="P291" s="5">
        <v>286</v>
      </c>
      <c r="Q291" s="12">
        <f t="shared" si="59"/>
        <v>0.86851851851851847</v>
      </c>
      <c r="R291" s="10">
        <f t="shared" si="49"/>
        <v>3.6477777777777778</v>
      </c>
      <c r="S291" s="10">
        <f t="shared" si="50"/>
        <v>-3.6477777777777778</v>
      </c>
      <c r="T291" s="10">
        <f t="shared" si="56"/>
        <v>9.6708148148148911</v>
      </c>
      <c r="U291" s="40" t="s">
        <v>28</v>
      </c>
      <c r="V291" s="5">
        <v>1701.9</v>
      </c>
      <c r="W291" s="5">
        <f t="shared" si="51"/>
        <v>90.047619047619065</v>
      </c>
      <c r="X291" s="5">
        <f t="shared" si="57"/>
        <v>276209.39999999997</v>
      </c>
      <c r="Y291" s="5">
        <v>1701.9</v>
      </c>
      <c r="Z291" s="40" t="s">
        <v>29</v>
      </c>
      <c r="AA291" s="5">
        <v>16.099263513096201</v>
      </c>
    </row>
    <row r="292" spans="1:27" s="5" customFormat="1" x14ac:dyDescent="0.25">
      <c r="A292" s="66"/>
      <c r="B292" s="6"/>
      <c r="C292" s="7">
        <v>42170</v>
      </c>
      <c r="D292" s="5">
        <v>17.399999999999999</v>
      </c>
      <c r="E292" s="5">
        <v>15</v>
      </c>
      <c r="F292" s="5">
        <v>20.5</v>
      </c>
      <c r="G292" s="5">
        <f t="shared" si="53"/>
        <v>2795.1999999999994</v>
      </c>
      <c r="H292" s="5">
        <f t="shared" si="60"/>
        <v>36.299999999999997</v>
      </c>
      <c r="I292" s="5">
        <f>MIN(E291:E311)</f>
        <v>9.1</v>
      </c>
      <c r="J292" s="5">
        <v>0</v>
      </c>
      <c r="K292" s="5">
        <f t="shared" si="54"/>
        <v>439.7999999999999</v>
      </c>
      <c r="L292" s="5">
        <v>3.9</v>
      </c>
      <c r="M292" s="5">
        <f t="shared" si="55"/>
        <v>485.90000000000015</v>
      </c>
      <c r="N292" s="9">
        <f t="shared" si="52"/>
        <v>-3.9</v>
      </c>
      <c r="O292" s="5">
        <f t="shared" si="58"/>
        <v>24.099999999999913</v>
      </c>
      <c r="P292" s="5">
        <v>287</v>
      </c>
      <c r="Q292" s="12">
        <f t="shared" si="59"/>
        <v>0.85370370370370363</v>
      </c>
      <c r="R292" s="10">
        <f t="shared" si="49"/>
        <v>3.329444444444444</v>
      </c>
      <c r="S292" s="10">
        <f t="shared" si="50"/>
        <v>-3.329444444444444</v>
      </c>
      <c r="T292" s="10">
        <f t="shared" si="56"/>
        <v>6.3413703703704467</v>
      </c>
      <c r="U292" s="5">
        <v>20</v>
      </c>
      <c r="V292" s="5">
        <v>2022.3</v>
      </c>
      <c r="W292" s="5">
        <f t="shared" si="51"/>
        <v>116.22413793103449</v>
      </c>
      <c r="X292" s="5">
        <f t="shared" si="57"/>
        <v>278231.69999999995</v>
      </c>
      <c r="Y292" s="5">
        <f t="shared" si="61"/>
        <v>3724.2</v>
      </c>
      <c r="Z292" s="5">
        <v>47902.69999999999</v>
      </c>
      <c r="AA292" s="5">
        <v>16.110104496722698</v>
      </c>
    </row>
    <row r="293" spans="1:27" s="5" customFormat="1" x14ac:dyDescent="0.25">
      <c r="A293" s="66"/>
      <c r="B293" s="6"/>
      <c r="C293" s="7">
        <v>42171</v>
      </c>
      <c r="D293" s="5">
        <v>16.3</v>
      </c>
      <c r="E293" s="5">
        <v>11.7</v>
      </c>
      <c r="F293" s="5">
        <v>21</v>
      </c>
      <c r="G293" s="5">
        <f t="shared" si="53"/>
        <v>2811.4999999999995</v>
      </c>
      <c r="H293" s="5">
        <f t="shared" si="60"/>
        <v>52.599999999999994</v>
      </c>
      <c r="I293" s="40" t="s">
        <v>30</v>
      </c>
      <c r="J293" s="5">
        <v>0</v>
      </c>
      <c r="K293" s="5">
        <f t="shared" si="54"/>
        <v>439.7999999999999</v>
      </c>
      <c r="L293" s="5">
        <v>4.4000000000000004</v>
      </c>
      <c r="M293" s="5">
        <f t="shared" si="55"/>
        <v>490.30000000000013</v>
      </c>
      <c r="N293" s="9">
        <f t="shared" si="52"/>
        <v>-4.4000000000000004</v>
      </c>
      <c r="O293" s="5">
        <f t="shared" si="58"/>
        <v>19.69999999999991</v>
      </c>
      <c r="P293" s="5">
        <v>288</v>
      </c>
      <c r="Q293" s="12">
        <f t="shared" si="59"/>
        <v>0.8388888888888888</v>
      </c>
      <c r="R293" s="10">
        <f t="shared" si="49"/>
        <v>3.6911111111111108</v>
      </c>
      <c r="S293" s="10">
        <f t="shared" si="50"/>
        <v>-3.6911111111111108</v>
      </c>
      <c r="T293" s="10">
        <f t="shared" si="56"/>
        <v>2.6502592592593359</v>
      </c>
      <c r="U293" s="40" t="s">
        <v>31</v>
      </c>
      <c r="V293" s="5">
        <v>1945</v>
      </c>
      <c r="W293" s="5">
        <f t="shared" si="51"/>
        <v>119.32515337423312</v>
      </c>
      <c r="X293" s="5">
        <f t="shared" si="57"/>
        <v>280176.69999999995</v>
      </c>
      <c r="Y293" s="5">
        <f t="shared" si="61"/>
        <v>5669.2</v>
      </c>
      <c r="Z293" s="40" t="s">
        <v>32</v>
      </c>
      <c r="AA293" s="5">
        <v>16.1195213417536</v>
      </c>
    </row>
    <row r="294" spans="1:27" s="5" customFormat="1" x14ac:dyDescent="0.25">
      <c r="A294" s="66"/>
      <c r="B294" s="6"/>
      <c r="C294" s="7">
        <v>42172</v>
      </c>
      <c r="D294" s="5">
        <v>18.5</v>
      </c>
      <c r="E294" s="5">
        <v>11.3</v>
      </c>
      <c r="F294" s="5">
        <v>23.7</v>
      </c>
      <c r="G294" s="5">
        <f t="shared" si="53"/>
        <v>2829.9999999999995</v>
      </c>
      <c r="H294" s="5">
        <f t="shared" si="60"/>
        <v>71.099999999999994</v>
      </c>
      <c r="I294" s="5">
        <f>MAX(F291:F311)</f>
        <v>36.200000000000003</v>
      </c>
      <c r="J294" s="5">
        <v>0</v>
      </c>
      <c r="K294" s="5">
        <f t="shared" si="54"/>
        <v>439.7999999999999</v>
      </c>
      <c r="L294" s="5">
        <v>5.0999999999999996</v>
      </c>
      <c r="M294" s="5">
        <f t="shared" si="55"/>
        <v>495.40000000000015</v>
      </c>
      <c r="N294" s="9">
        <f t="shared" si="52"/>
        <v>-5.0999999999999996</v>
      </c>
      <c r="O294" s="5">
        <f t="shared" si="58"/>
        <v>14.599999999999911</v>
      </c>
      <c r="P294" s="5">
        <v>289</v>
      </c>
      <c r="Q294" s="12">
        <f t="shared" si="59"/>
        <v>0.82407407407407396</v>
      </c>
      <c r="R294" s="10">
        <f t="shared" si="49"/>
        <v>4.2027777777777766</v>
      </c>
      <c r="S294" s="10">
        <f t="shared" si="50"/>
        <v>-4.2027777777777766</v>
      </c>
      <c r="T294" s="10">
        <v>0</v>
      </c>
      <c r="U294" s="5">
        <v>17</v>
      </c>
      <c r="V294" s="5">
        <v>2768.6</v>
      </c>
      <c r="W294" s="5">
        <f t="shared" si="51"/>
        <v>149.65405405405406</v>
      </c>
      <c r="X294" s="5">
        <f t="shared" si="57"/>
        <v>282945.29999999993</v>
      </c>
      <c r="Y294" s="5">
        <f t="shared" si="61"/>
        <v>8437.7999999999993</v>
      </c>
      <c r="Z294" s="12">
        <f>(Z292/100)/I304</f>
        <v>1.1311145218417942</v>
      </c>
      <c r="AA294" s="5">
        <v>16.1275047740674</v>
      </c>
    </row>
    <row r="295" spans="1:27" s="5" customFormat="1" x14ac:dyDescent="0.25">
      <c r="A295" s="66"/>
      <c r="B295" s="6"/>
      <c r="C295" s="7">
        <v>42173</v>
      </c>
      <c r="D295" s="5">
        <v>17.2</v>
      </c>
      <c r="E295" s="5">
        <v>16.600000000000001</v>
      </c>
      <c r="F295" s="5">
        <v>19.600000000000001</v>
      </c>
      <c r="G295" s="5">
        <f t="shared" si="53"/>
        <v>2847.1999999999994</v>
      </c>
      <c r="H295" s="5">
        <f t="shared" si="60"/>
        <v>88.3</v>
      </c>
      <c r="I295" s="40" t="s">
        <v>33</v>
      </c>
      <c r="J295" s="5">
        <v>0.3</v>
      </c>
      <c r="K295" s="5">
        <f t="shared" si="54"/>
        <v>440.09999999999991</v>
      </c>
      <c r="L295" s="5">
        <v>2.6</v>
      </c>
      <c r="M295" s="5">
        <f t="shared" si="55"/>
        <v>498.00000000000017</v>
      </c>
      <c r="N295" s="9">
        <f t="shared" si="52"/>
        <v>-2.3000000000000003</v>
      </c>
      <c r="O295" s="5">
        <f t="shared" si="58"/>
        <v>12.29999999999991</v>
      </c>
      <c r="P295" s="5">
        <v>290</v>
      </c>
      <c r="Q295" s="12">
        <f t="shared" si="59"/>
        <v>0.80925925925925912</v>
      </c>
      <c r="R295" s="10">
        <f t="shared" si="49"/>
        <v>2.1040740740740738</v>
      </c>
      <c r="S295" s="10">
        <f t="shared" si="50"/>
        <v>-1.8040740740740737</v>
      </c>
      <c r="T295" s="10">
        <v>0</v>
      </c>
      <c r="U295" s="40" t="s">
        <v>34</v>
      </c>
      <c r="V295" s="5">
        <v>1212.2</v>
      </c>
      <c r="W295" s="5">
        <f t="shared" si="51"/>
        <v>70.476744186046517</v>
      </c>
      <c r="X295" s="5">
        <f t="shared" si="57"/>
        <v>284157.49999999994</v>
      </c>
      <c r="Y295" s="5">
        <f t="shared" si="61"/>
        <v>9650</v>
      </c>
      <c r="Z295" s="40" t="s">
        <v>35</v>
      </c>
      <c r="AA295" s="5">
        <v>16.1340469690827</v>
      </c>
    </row>
    <row r="296" spans="1:27" s="5" customFormat="1" x14ac:dyDescent="0.25">
      <c r="A296" s="66"/>
      <c r="B296" s="6"/>
      <c r="C296" s="7">
        <v>42174</v>
      </c>
      <c r="D296" s="5">
        <v>16.2</v>
      </c>
      <c r="E296" s="5">
        <v>11.8</v>
      </c>
      <c r="F296" s="5">
        <v>21.3</v>
      </c>
      <c r="G296" s="5">
        <f t="shared" si="53"/>
        <v>2863.3999999999992</v>
      </c>
      <c r="H296" s="5">
        <f t="shared" si="60"/>
        <v>104.5</v>
      </c>
      <c r="I296" s="10">
        <f>AVERAGE(D291:D311)</f>
        <v>20.166666666666668</v>
      </c>
      <c r="J296" s="5">
        <v>0</v>
      </c>
      <c r="K296" s="5">
        <f t="shared" si="54"/>
        <v>440.09999999999991</v>
      </c>
      <c r="L296" s="5">
        <v>4.7</v>
      </c>
      <c r="M296" s="5">
        <f t="shared" si="55"/>
        <v>502.70000000000016</v>
      </c>
      <c r="N296" s="9">
        <f t="shared" si="52"/>
        <v>-4.7</v>
      </c>
      <c r="O296" s="5">
        <f t="shared" si="58"/>
        <v>7.5999999999999099</v>
      </c>
      <c r="P296" s="5">
        <v>291</v>
      </c>
      <c r="Q296" s="12">
        <f t="shared" si="59"/>
        <v>0.7944444444444444</v>
      </c>
      <c r="R296" s="10">
        <f t="shared" si="49"/>
        <v>3.7338888888888886</v>
      </c>
      <c r="S296" s="10">
        <f t="shared" si="50"/>
        <v>-3.7338888888888886</v>
      </c>
      <c r="T296" s="10">
        <v>0</v>
      </c>
      <c r="U296" s="5">
        <v>4</v>
      </c>
      <c r="V296" s="5">
        <v>2509.3000000000002</v>
      </c>
      <c r="W296" s="5">
        <f t="shared" si="51"/>
        <v>154.89506172839509</v>
      </c>
      <c r="X296" s="5">
        <f t="shared" si="57"/>
        <v>286666.79999999993</v>
      </c>
      <c r="Y296" s="5">
        <f t="shared" si="61"/>
        <v>12159.3</v>
      </c>
      <c r="Z296" s="5">
        <v>0</v>
      </c>
      <c r="AA296" s="5">
        <v>16.139141582315698</v>
      </c>
    </row>
    <row r="297" spans="1:27" s="5" customFormat="1" x14ac:dyDescent="0.25">
      <c r="A297" s="66"/>
      <c r="B297" s="6"/>
      <c r="C297" s="7">
        <v>42175</v>
      </c>
      <c r="D297" s="5">
        <v>16.5</v>
      </c>
      <c r="E297" s="5">
        <v>9.9</v>
      </c>
      <c r="F297" s="5">
        <v>20.2</v>
      </c>
      <c r="G297" s="5">
        <f t="shared" si="53"/>
        <v>2879.8999999999992</v>
      </c>
      <c r="H297" s="5">
        <f t="shared" si="60"/>
        <v>121</v>
      </c>
      <c r="I297" s="40" t="s">
        <v>36</v>
      </c>
      <c r="J297" s="5">
        <v>0</v>
      </c>
      <c r="K297" s="5">
        <f t="shared" si="54"/>
        <v>440.09999999999991</v>
      </c>
      <c r="L297" s="5">
        <v>3.3</v>
      </c>
      <c r="M297" s="5">
        <f t="shared" si="55"/>
        <v>506.00000000000017</v>
      </c>
      <c r="N297" s="9">
        <f t="shared" si="52"/>
        <v>-3.3</v>
      </c>
      <c r="O297" s="5">
        <f t="shared" si="58"/>
        <v>4.2999999999999101</v>
      </c>
      <c r="P297" s="5">
        <v>292</v>
      </c>
      <c r="Q297" s="12">
        <f t="shared" si="59"/>
        <v>0.77962962962962956</v>
      </c>
      <c r="R297" s="10">
        <f t="shared" si="49"/>
        <v>2.5727777777777776</v>
      </c>
      <c r="S297" s="10">
        <f t="shared" si="50"/>
        <v>-2.5727777777777776</v>
      </c>
      <c r="T297" s="10">
        <v>0</v>
      </c>
      <c r="U297" s="40" t="s">
        <v>37</v>
      </c>
      <c r="V297" s="5">
        <v>1965.1</v>
      </c>
      <c r="W297" s="5">
        <f t="shared" si="51"/>
        <v>119.09696969696969</v>
      </c>
      <c r="X297" s="5">
        <f t="shared" si="57"/>
        <v>288631.89999999991</v>
      </c>
      <c r="Y297" s="5">
        <f t="shared" si="61"/>
        <v>14124.4</v>
      </c>
      <c r="AA297" s="5">
        <v>16.142783774324499</v>
      </c>
    </row>
    <row r="298" spans="1:27" s="5" customFormat="1" x14ac:dyDescent="0.25">
      <c r="A298" s="66"/>
      <c r="B298" s="6"/>
      <c r="C298" s="7">
        <v>42176</v>
      </c>
      <c r="D298" s="5">
        <v>18.2</v>
      </c>
      <c r="E298" s="5">
        <v>15.8</v>
      </c>
      <c r="F298" s="5">
        <v>21.1</v>
      </c>
      <c r="G298" s="5">
        <f t="shared" si="53"/>
        <v>2898.099999999999</v>
      </c>
      <c r="H298" s="5">
        <f t="shared" si="60"/>
        <v>139.19999999999999</v>
      </c>
      <c r="I298" s="5">
        <v>0</v>
      </c>
      <c r="J298" s="5">
        <v>0</v>
      </c>
      <c r="K298" s="5">
        <f t="shared" si="54"/>
        <v>440.09999999999991</v>
      </c>
      <c r="L298" s="5">
        <v>4.5</v>
      </c>
      <c r="M298" s="5">
        <f t="shared" si="55"/>
        <v>510.50000000000017</v>
      </c>
      <c r="N298" s="9">
        <f t="shared" si="52"/>
        <v>-4.5</v>
      </c>
      <c r="O298" s="5">
        <v>0</v>
      </c>
      <c r="P298" s="5">
        <v>293</v>
      </c>
      <c r="Q298" s="12">
        <f t="shared" si="59"/>
        <v>0.76481481481481484</v>
      </c>
      <c r="R298" s="10">
        <f t="shared" si="49"/>
        <v>3.4416666666666669</v>
      </c>
      <c r="S298" s="10">
        <f t="shared" si="50"/>
        <v>-3.4416666666666669</v>
      </c>
      <c r="T298" s="10">
        <v>0</v>
      </c>
      <c r="U298" s="10">
        <v>0</v>
      </c>
      <c r="V298" s="5">
        <v>2416.6</v>
      </c>
      <c r="W298" s="5">
        <f t="shared" si="51"/>
        <v>132.78021978021977</v>
      </c>
      <c r="X298" s="5">
        <f t="shared" si="57"/>
        <v>291048.49999999988</v>
      </c>
      <c r="Y298" s="5">
        <f t="shared" si="61"/>
        <v>16541</v>
      </c>
      <c r="AA298" s="5">
        <v>16.1449702298335</v>
      </c>
    </row>
    <row r="299" spans="1:27" s="5" customFormat="1" x14ac:dyDescent="0.25">
      <c r="A299" s="66"/>
      <c r="B299" s="6"/>
      <c r="C299" s="7">
        <v>42177</v>
      </c>
      <c r="D299" s="5">
        <v>14.3</v>
      </c>
      <c r="E299" s="5">
        <v>12.6</v>
      </c>
      <c r="F299" s="5">
        <v>19.100000000000001</v>
      </c>
      <c r="G299" s="5">
        <f t="shared" si="53"/>
        <v>2912.3999999999992</v>
      </c>
      <c r="H299" s="5">
        <f t="shared" si="60"/>
        <v>153.5</v>
      </c>
      <c r="I299" s="40" t="s">
        <v>38</v>
      </c>
      <c r="J299" s="5">
        <v>3.6</v>
      </c>
      <c r="K299" s="5">
        <f t="shared" si="54"/>
        <v>443.69999999999993</v>
      </c>
      <c r="L299" s="5">
        <v>2.8</v>
      </c>
      <c r="M299" s="5">
        <f t="shared" si="55"/>
        <v>513.30000000000018</v>
      </c>
      <c r="N299" s="5">
        <f t="shared" si="52"/>
        <v>0.80000000000000027</v>
      </c>
      <c r="O299" s="5">
        <f t="shared" si="58"/>
        <v>0.80000000000000027</v>
      </c>
      <c r="P299" s="5">
        <v>294</v>
      </c>
      <c r="Q299" s="12">
        <f t="shared" si="59"/>
        <v>0.75</v>
      </c>
      <c r="R299" s="10">
        <f t="shared" si="49"/>
        <v>2.0999999999999996</v>
      </c>
      <c r="S299" s="10">
        <f t="shared" si="50"/>
        <v>1.5000000000000004</v>
      </c>
      <c r="T299" s="10">
        <f t="shared" si="56"/>
        <v>1.5000000000000004</v>
      </c>
      <c r="U299" s="40" t="s">
        <v>39</v>
      </c>
      <c r="V299" s="5">
        <v>1236.5</v>
      </c>
      <c r="W299" s="5">
        <f t="shared" si="51"/>
        <v>86.468531468531467</v>
      </c>
      <c r="X299" s="5">
        <f t="shared" si="57"/>
        <v>292284.99999999988</v>
      </c>
      <c r="Y299" s="5">
        <f t="shared" si="61"/>
        <v>17777.5</v>
      </c>
      <c r="AA299" s="5">
        <v>16.145699170880199</v>
      </c>
    </row>
    <row r="300" spans="1:27" s="5" customFormat="1" x14ac:dyDescent="0.25">
      <c r="A300" s="66"/>
      <c r="B300" s="6"/>
      <c r="C300" s="7">
        <v>42178</v>
      </c>
      <c r="D300" s="5">
        <v>13.8</v>
      </c>
      <c r="E300" s="5">
        <v>10.3</v>
      </c>
      <c r="F300" s="5">
        <v>17.5</v>
      </c>
      <c r="G300" s="5">
        <f t="shared" si="53"/>
        <v>2926.1999999999994</v>
      </c>
      <c r="H300" s="5">
        <f t="shared" si="60"/>
        <v>167.3</v>
      </c>
      <c r="I300" s="5">
        <v>9</v>
      </c>
      <c r="J300" s="5">
        <v>0</v>
      </c>
      <c r="K300" s="5">
        <f t="shared" si="54"/>
        <v>443.69999999999993</v>
      </c>
      <c r="L300" s="5">
        <v>3.2</v>
      </c>
      <c r="M300" s="5">
        <f t="shared" si="55"/>
        <v>516.50000000000023</v>
      </c>
      <c r="N300" s="9">
        <f t="shared" si="52"/>
        <v>-3.2</v>
      </c>
      <c r="O300" s="5">
        <v>0</v>
      </c>
      <c r="P300" s="5">
        <v>295</v>
      </c>
      <c r="Q300" s="12">
        <f t="shared" si="59"/>
        <v>0.73518518518518516</v>
      </c>
      <c r="R300" s="10">
        <f t="shared" si="49"/>
        <v>2.3525925925925928</v>
      </c>
      <c r="S300" s="10">
        <f t="shared" si="50"/>
        <v>-2.3525925925925928</v>
      </c>
      <c r="T300" s="10">
        <v>0</v>
      </c>
      <c r="U300" s="10">
        <v>9.6999999999999993</v>
      </c>
      <c r="V300" s="5">
        <v>1798.7</v>
      </c>
      <c r="W300" s="5">
        <f t="shared" si="51"/>
        <v>130.34057971014494</v>
      </c>
      <c r="X300" s="5">
        <f t="shared" si="57"/>
        <v>294083.6999999999</v>
      </c>
      <c r="Y300" s="5">
        <f t="shared" si="61"/>
        <v>19576.2</v>
      </c>
      <c r="AA300" s="5">
        <v>16.144970363872599</v>
      </c>
    </row>
    <row r="301" spans="1:27" s="5" customFormat="1" x14ac:dyDescent="0.25">
      <c r="A301" s="66"/>
      <c r="B301" s="6"/>
      <c r="C301" s="7">
        <v>42179</v>
      </c>
      <c r="D301" s="5">
        <v>17</v>
      </c>
      <c r="E301" s="5">
        <v>9.1</v>
      </c>
      <c r="F301" s="5">
        <v>23.7</v>
      </c>
      <c r="G301" s="5">
        <f t="shared" si="53"/>
        <v>2943.1999999999994</v>
      </c>
      <c r="H301" s="5">
        <f t="shared" si="60"/>
        <v>184.3</v>
      </c>
      <c r="I301" s="40" t="s">
        <v>40</v>
      </c>
      <c r="J301" s="5">
        <v>0</v>
      </c>
      <c r="K301" s="5">
        <f t="shared" si="54"/>
        <v>443.69999999999993</v>
      </c>
      <c r="L301" s="5">
        <v>4.2</v>
      </c>
      <c r="M301" s="5">
        <f t="shared" si="55"/>
        <v>520.70000000000027</v>
      </c>
      <c r="N301" s="9">
        <f t="shared" si="52"/>
        <v>-4.2</v>
      </c>
      <c r="O301" s="5">
        <v>0</v>
      </c>
      <c r="P301" s="5">
        <v>296</v>
      </c>
      <c r="Q301" s="12">
        <f t="shared" si="59"/>
        <v>0.72037037037037033</v>
      </c>
      <c r="R301" s="10">
        <f t="shared" si="49"/>
        <v>3.0255555555555556</v>
      </c>
      <c r="S301" s="10">
        <f t="shared" si="50"/>
        <v>-3.0255555555555556</v>
      </c>
      <c r="T301" s="10">
        <v>0</v>
      </c>
      <c r="U301" s="40" t="s">
        <v>41</v>
      </c>
      <c r="V301" s="5">
        <v>2410.6</v>
      </c>
      <c r="W301" s="5">
        <f t="shared" si="51"/>
        <v>141.79999999999998</v>
      </c>
      <c r="X301" s="5">
        <f t="shared" si="57"/>
        <v>296494.29999999987</v>
      </c>
      <c r="Y301" s="5">
        <f t="shared" si="61"/>
        <v>21986.799999999999</v>
      </c>
      <c r="AA301" s="5">
        <v>16.1427851204995</v>
      </c>
    </row>
    <row r="302" spans="1:27" s="5" customFormat="1" x14ac:dyDescent="0.25">
      <c r="A302" s="66"/>
      <c r="B302" s="6"/>
      <c r="C302" s="7">
        <v>42180</v>
      </c>
      <c r="D302" s="5">
        <v>20.3</v>
      </c>
      <c r="E302" s="5">
        <v>13.1</v>
      </c>
      <c r="F302" s="13">
        <v>27</v>
      </c>
      <c r="G302" s="5">
        <f t="shared" si="53"/>
        <v>2963.4999999999995</v>
      </c>
      <c r="H302" s="5">
        <f t="shared" si="60"/>
        <v>204.60000000000002</v>
      </c>
      <c r="I302" s="5">
        <v>0</v>
      </c>
      <c r="J302" s="5">
        <v>0</v>
      </c>
      <c r="K302" s="5">
        <f t="shared" si="54"/>
        <v>443.69999999999993</v>
      </c>
      <c r="L302" s="5">
        <v>3.9</v>
      </c>
      <c r="M302" s="5">
        <f t="shared" si="55"/>
        <v>524.60000000000025</v>
      </c>
      <c r="N302" s="9">
        <f t="shared" si="52"/>
        <v>-3.9</v>
      </c>
      <c r="O302" s="5">
        <v>0</v>
      </c>
      <c r="P302" s="5">
        <v>297</v>
      </c>
      <c r="Q302" s="12">
        <f t="shared" si="59"/>
        <v>0.70555555555555549</v>
      </c>
      <c r="R302" s="10">
        <f t="shared" si="49"/>
        <v>2.7516666666666665</v>
      </c>
      <c r="S302" s="10">
        <f t="shared" si="50"/>
        <v>-2.7516666666666665</v>
      </c>
      <c r="T302" s="10">
        <v>0</v>
      </c>
      <c r="U302" s="12">
        <f>AVERAGE(T291:T311)</f>
        <v>0.96011640211641303</v>
      </c>
      <c r="V302" s="5">
        <v>2056.9</v>
      </c>
      <c r="W302" s="5">
        <f t="shared" si="51"/>
        <v>101.32512315270937</v>
      </c>
      <c r="X302" s="5">
        <f t="shared" si="57"/>
        <v>298551.1999999999</v>
      </c>
      <c r="Y302" s="5">
        <f t="shared" si="61"/>
        <v>24043.7</v>
      </c>
      <c r="AA302" s="5">
        <v>16.139146292484501</v>
      </c>
    </row>
    <row r="303" spans="1:27" s="5" customFormat="1" x14ac:dyDescent="0.25">
      <c r="A303" s="66"/>
      <c r="B303" s="6"/>
      <c r="C303" s="7">
        <v>42181</v>
      </c>
      <c r="D303" s="5">
        <v>23</v>
      </c>
      <c r="E303" s="5">
        <v>15.3</v>
      </c>
      <c r="F303" s="13">
        <v>29.6</v>
      </c>
      <c r="G303" s="5">
        <f t="shared" si="53"/>
        <v>2986.4999999999995</v>
      </c>
      <c r="H303" s="5">
        <f t="shared" si="60"/>
        <v>227.60000000000002</v>
      </c>
      <c r="I303" s="40" t="s">
        <v>42</v>
      </c>
      <c r="J303" s="5">
        <v>0</v>
      </c>
      <c r="K303" s="5">
        <f t="shared" si="54"/>
        <v>443.69999999999993</v>
      </c>
      <c r="L303" s="5">
        <v>5.0999999999999996</v>
      </c>
      <c r="M303" s="5">
        <f t="shared" si="55"/>
        <v>529.70000000000027</v>
      </c>
      <c r="N303" s="9">
        <f t="shared" si="52"/>
        <v>-5.0999999999999996</v>
      </c>
      <c r="O303" s="5">
        <v>0</v>
      </c>
      <c r="P303" s="5">
        <v>298</v>
      </c>
      <c r="Q303" s="12">
        <f t="shared" si="59"/>
        <v>0.69074074074074066</v>
      </c>
      <c r="R303" s="10">
        <f t="shared" si="49"/>
        <v>3.5227777777777769</v>
      </c>
      <c r="S303" s="10">
        <f t="shared" si="50"/>
        <v>-3.5227777777777769</v>
      </c>
      <c r="T303" s="10">
        <v>0</v>
      </c>
      <c r="V303" s="5">
        <v>2230.8000000000002</v>
      </c>
      <c r="W303" s="5">
        <f t="shared" si="51"/>
        <v>96.991304347826102</v>
      </c>
      <c r="X303" s="5">
        <f t="shared" si="57"/>
        <v>300781.99999999988</v>
      </c>
      <c r="Y303" s="5">
        <f t="shared" si="61"/>
        <v>26274.5</v>
      </c>
      <c r="AA303" s="5">
        <v>16.134058260228201</v>
      </c>
    </row>
    <row r="304" spans="1:27" s="5" customFormat="1" x14ac:dyDescent="0.25">
      <c r="A304" s="66"/>
      <c r="B304" s="6"/>
      <c r="C304" s="7">
        <v>42182</v>
      </c>
      <c r="D304" s="5">
        <v>20.5</v>
      </c>
      <c r="E304" s="5">
        <v>17.7</v>
      </c>
      <c r="F304" s="5">
        <v>24.4</v>
      </c>
      <c r="G304" s="5">
        <f t="shared" si="53"/>
        <v>3006.9999999999995</v>
      </c>
      <c r="H304" s="5">
        <f t="shared" si="60"/>
        <v>248.10000000000002</v>
      </c>
      <c r="I304" s="5">
        <v>423.5</v>
      </c>
      <c r="J304" s="5">
        <v>0</v>
      </c>
      <c r="K304" s="5">
        <f t="shared" si="54"/>
        <v>443.69999999999993</v>
      </c>
      <c r="L304" s="5">
        <v>6.1</v>
      </c>
      <c r="M304" s="5">
        <f t="shared" si="55"/>
        <v>535.8000000000003</v>
      </c>
      <c r="N304" s="9">
        <f t="shared" si="52"/>
        <v>-6.1</v>
      </c>
      <c r="O304" s="5">
        <v>0</v>
      </c>
      <c r="P304" s="5">
        <v>299</v>
      </c>
      <c r="Q304" s="12">
        <f t="shared" si="59"/>
        <v>0.67592592592592593</v>
      </c>
      <c r="R304" s="10">
        <f t="shared" si="49"/>
        <v>4.1231481481481476</v>
      </c>
      <c r="S304" s="10">
        <f t="shared" si="50"/>
        <v>-4.1231481481481476</v>
      </c>
      <c r="T304" s="10">
        <v>0</v>
      </c>
      <c r="U304" s="5">
        <f>(U302*100)/197.4</f>
        <v>0.48638115608734195</v>
      </c>
      <c r="V304" s="5">
        <v>2790.4</v>
      </c>
      <c r="W304" s="5">
        <f t="shared" si="51"/>
        <v>136.11707317073171</v>
      </c>
      <c r="X304" s="5">
        <f t="shared" si="57"/>
        <v>303572.39999999991</v>
      </c>
      <c r="Y304" s="5">
        <f t="shared" si="61"/>
        <v>29064.9</v>
      </c>
      <c r="AA304" s="5">
        <v>16.127526915433201</v>
      </c>
    </row>
    <row r="305" spans="1:27" s="5" customFormat="1" x14ac:dyDescent="0.25">
      <c r="A305" s="66"/>
      <c r="B305" s="6"/>
      <c r="C305" s="7">
        <v>42183</v>
      </c>
      <c r="D305" s="5">
        <v>21.9</v>
      </c>
      <c r="E305" s="5">
        <v>12.9</v>
      </c>
      <c r="F305" s="13">
        <v>28.3</v>
      </c>
      <c r="G305" s="5">
        <f t="shared" si="53"/>
        <v>3028.8999999999996</v>
      </c>
      <c r="H305" s="5">
        <f t="shared" si="60"/>
        <v>270</v>
      </c>
      <c r="J305" s="5">
        <v>0</v>
      </c>
      <c r="K305" s="5">
        <f t="shared" si="54"/>
        <v>443.69999999999993</v>
      </c>
      <c r="L305" s="5">
        <v>5.3</v>
      </c>
      <c r="M305" s="5">
        <f t="shared" si="55"/>
        <v>541.10000000000025</v>
      </c>
      <c r="N305" s="9">
        <f t="shared" si="52"/>
        <v>-5.3</v>
      </c>
      <c r="O305" s="5">
        <v>0</v>
      </c>
      <c r="P305" s="5">
        <v>300</v>
      </c>
      <c r="Q305" s="12">
        <f t="shared" si="59"/>
        <v>0.66111111111111098</v>
      </c>
      <c r="R305" s="10">
        <f t="shared" si="49"/>
        <v>3.5038888888888882</v>
      </c>
      <c r="S305" s="10">
        <f t="shared" si="50"/>
        <v>-3.5038888888888882</v>
      </c>
      <c r="T305" s="10">
        <v>0</v>
      </c>
      <c r="V305" s="5">
        <v>2684.1</v>
      </c>
      <c r="W305" s="5">
        <f t="shared" si="51"/>
        <v>122.56164383561644</v>
      </c>
      <c r="X305" s="5">
        <f t="shared" si="57"/>
        <v>306256.49999999988</v>
      </c>
      <c r="Y305" s="5">
        <f t="shared" si="61"/>
        <v>31749</v>
      </c>
      <c r="AA305" s="5">
        <v>16.119559637856501</v>
      </c>
    </row>
    <row r="306" spans="1:27" s="24" customFormat="1" x14ac:dyDescent="0.25">
      <c r="A306" s="66"/>
      <c r="B306" s="22"/>
      <c r="C306" s="23">
        <v>42184</v>
      </c>
      <c r="D306" s="24">
        <v>21.9</v>
      </c>
      <c r="E306" s="24">
        <v>17</v>
      </c>
      <c r="F306" s="41">
        <v>28.4</v>
      </c>
      <c r="G306" s="24">
        <f t="shared" si="53"/>
        <v>3050.7999999999997</v>
      </c>
      <c r="H306" s="24">
        <f t="shared" si="60"/>
        <v>291.89999999999998</v>
      </c>
      <c r="J306" s="24">
        <v>0</v>
      </c>
      <c r="K306" s="24">
        <f t="shared" si="54"/>
        <v>443.69999999999993</v>
      </c>
      <c r="L306" s="24">
        <v>6.1</v>
      </c>
      <c r="M306" s="24">
        <f t="shared" si="55"/>
        <v>547.20000000000027</v>
      </c>
      <c r="N306" s="26">
        <f t="shared" si="52"/>
        <v>-6.1</v>
      </c>
      <c r="O306" s="24">
        <v>0</v>
      </c>
      <c r="P306" s="24">
        <v>301</v>
      </c>
      <c r="Q306" s="12">
        <f t="shared" si="59"/>
        <v>0.64629629629629626</v>
      </c>
      <c r="R306" s="27">
        <f t="shared" si="49"/>
        <v>3.9424074074074071</v>
      </c>
      <c r="S306" s="27">
        <f t="shared" si="50"/>
        <v>-3.9424074074074071</v>
      </c>
      <c r="T306" s="10">
        <v>0</v>
      </c>
      <c r="V306" s="24">
        <v>2853.8</v>
      </c>
      <c r="W306" s="24">
        <f t="shared" si="51"/>
        <v>130.31050228310505</v>
      </c>
      <c r="X306" s="24">
        <f t="shared" si="57"/>
        <v>309110.29999999987</v>
      </c>
      <c r="Y306" s="5">
        <f t="shared" si="61"/>
        <v>34602.800000000003</v>
      </c>
      <c r="AA306" s="5">
        <v>16.110165266381198</v>
      </c>
    </row>
    <row r="307" spans="1:27" s="5" customFormat="1" ht="15" customHeight="1" x14ac:dyDescent="0.25">
      <c r="A307" s="66"/>
      <c r="B307" s="42"/>
      <c r="C307" s="7">
        <v>42185</v>
      </c>
      <c r="D307" s="5">
        <v>24.5</v>
      </c>
      <c r="E307" s="5">
        <v>14.7</v>
      </c>
      <c r="F307" s="13">
        <v>32.1</v>
      </c>
      <c r="G307" s="5">
        <f t="shared" si="53"/>
        <v>3075.2999999999997</v>
      </c>
      <c r="H307" s="5">
        <f t="shared" si="60"/>
        <v>316.39999999999998</v>
      </c>
      <c r="J307" s="5">
        <v>0</v>
      </c>
      <c r="K307" s="5">
        <f t="shared" si="54"/>
        <v>443.69999999999993</v>
      </c>
      <c r="L307" s="5">
        <v>7.9</v>
      </c>
      <c r="M307" s="5">
        <f t="shared" si="55"/>
        <v>555.10000000000025</v>
      </c>
      <c r="N307" s="9">
        <f t="shared" si="52"/>
        <v>-7.9</v>
      </c>
      <c r="O307" s="5">
        <v>0</v>
      </c>
      <c r="P307" s="5">
        <v>302</v>
      </c>
      <c r="Q307" s="12">
        <f t="shared" si="59"/>
        <v>0.63148148148148142</v>
      </c>
      <c r="R307" s="10">
        <f t="shared" si="49"/>
        <v>4.9887037037037034</v>
      </c>
      <c r="S307" s="10">
        <f t="shared" si="50"/>
        <v>-4.9887037037037034</v>
      </c>
      <c r="T307" s="10">
        <v>0</v>
      </c>
      <c r="U307" s="11"/>
      <c r="V307" s="5">
        <v>3263.2</v>
      </c>
      <c r="W307" s="5">
        <f t="shared" si="51"/>
        <v>133.19183673469388</v>
      </c>
      <c r="X307" s="5">
        <f t="shared" si="57"/>
        <v>312373.49999999988</v>
      </c>
      <c r="Y307" s="5">
        <f t="shared" si="61"/>
        <v>37866</v>
      </c>
      <c r="Z307" s="11"/>
      <c r="AA307" s="5">
        <v>16.099354064644</v>
      </c>
    </row>
    <row r="308" spans="1:27" s="5" customFormat="1" x14ac:dyDescent="0.25">
      <c r="A308" s="66"/>
      <c r="B308" s="42"/>
      <c r="C308" s="7">
        <v>42186</v>
      </c>
      <c r="D308" s="13">
        <v>29.1</v>
      </c>
      <c r="E308" s="5">
        <v>19.899999999999999</v>
      </c>
      <c r="F308" s="13">
        <v>36.200000000000003</v>
      </c>
      <c r="G308" s="5">
        <f t="shared" si="53"/>
        <v>3104.3999999999996</v>
      </c>
      <c r="H308" s="5">
        <f t="shared" si="60"/>
        <v>345.5</v>
      </c>
      <c r="J308" s="5">
        <v>0</v>
      </c>
      <c r="K308" s="5">
        <f t="shared" si="54"/>
        <v>443.69999999999993</v>
      </c>
      <c r="L308" s="5">
        <v>8</v>
      </c>
      <c r="M308" s="5">
        <f t="shared" si="55"/>
        <v>563.10000000000025</v>
      </c>
      <c r="N308" s="9">
        <f t="shared" si="52"/>
        <v>-8</v>
      </c>
      <c r="O308" s="5">
        <v>0</v>
      </c>
      <c r="P308" s="5">
        <v>303</v>
      </c>
      <c r="Q308" s="12">
        <f t="shared" si="59"/>
        <v>0.6166666666666667</v>
      </c>
      <c r="R308" s="10">
        <f t="shared" si="49"/>
        <v>4.9333333333333336</v>
      </c>
      <c r="S308" s="10">
        <f t="shared" si="50"/>
        <v>-4.9333333333333336</v>
      </c>
      <c r="T308" s="10">
        <v>0</v>
      </c>
      <c r="V308" s="5">
        <v>2902.7</v>
      </c>
      <c r="W308" s="5">
        <f t="shared" si="51"/>
        <v>99.749140893470781</v>
      </c>
      <c r="X308" s="5">
        <f t="shared" si="57"/>
        <v>315276.1999999999</v>
      </c>
      <c r="Y308" s="5">
        <f t="shared" si="61"/>
        <v>40768.699999999997</v>
      </c>
      <c r="AA308" s="5">
        <v>16.087137681497101</v>
      </c>
    </row>
    <row r="309" spans="1:27" s="5" customFormat="1" x14ac:dyDescent="0.25">
      <c r="A309" s="66"/>
      <c r="B309" s="42"/>
      <c r="C309" s="7">
        <v>42187</v>
      </c>
      <c r="D309" s="13">
        <v>26.2</v>
      </c>
      <c r="E309" s="5">
        <v>22.7</v>
      </c>
      <c r="F309" s="13">
        <v>30.4</v>
      </c>
      <c r="G309" s="5">
        <f t="shared" si="53"/>
        <v>3130.5999999999995</v>
      </c>
      <c r="H309" s="5">
        <f t="shared" si="60"/>
        <v>371.7</v>
      </c>
      <c r="J309" s="5">
        <v>0.2</v>
      </c>
      <c r="K309" s="5">
        <f t="shared" si="54"/>
        <v>443.89999999999992</v>
      </c>
      <c r="L309" s="5">
        <v>6</v>
      </c>
      <c r="M309" s="5">
        <f t="shared" si="55"/>
        <v>569.10000000000025</v>
      </c>
      <c r="N309" s="9">
        <f t="shared" si="52"/>
        <v>-5.8</v>
      </c>
      <c r="O309" s="5">
        <v>0</v>
      </c>
      <c r="P309" s="5">
        <v>304</v>
      </c>
      <c r="Q309" s="12">
        <f t="shared" si="59"/>
        <v>0.60185185185185175</v>
      </c>
      <c r="R309" s="10">
        <f t="shared" si="49"/>
        <v>3.6111111111111107</v>
      </c>
      <c r="S309" s="10">
        <f t="shared" si="50"/>
        <v>-3.4111111111111105</v>
      </c>
      <c r="T309" s="10">
        <v>0</v>
      </c>
      <c r="U309" s="11"/>
      <c r="V309" s="5">
        <v>2542.1999999999998</v>
      </c>
      <c r="W309" s="5">
        <f t="shared" si="51"/>
        <v>97.030534351145036</v>
      </c>
      <c r="X309" s="5">
        <f t="shared" si="57"/>
        <v>317818.39999999991</v>
      </c>
      <c r="Y309" s="5">
        <f t="shared" si="61"/>
        <v>43310.899999999994</v>
      </c>
      <c r="Z309" s="11"/>
      <c r="AA309" s="5">
        <v>16.0735291066208</v>
      </c>
    </row>
    <row r="310" spans="1:27" s="5" customFormat="1" x14ac:dyDescent="0.25">
      <c r="A310" s="66"/>
      <c r="B310" s="42"/>
      <c r="C310" s="7">
        <v>42188</v>
      </c>
      <c r="D310" s="13">
        <v>27.1</v>
      </c>
      <c r="E310" s="5">
        <v>19.2</v>
      </c>
      <c r="F310" s="13">
        <v>34.9</v>
      </c>
      <c r="G310" s="5">
        <f t="shared" si="53"/>
        <v>3157.6999999999994</v>
      </c>
      <c r="H310" s="5">
        <f t="shared" si="60"/>
        <v>398.8</v>
      </c>
      <c r="J310" s="5">
        <v>0</v>
      </c>
      <c r="K310" s="5">
        <f t="shared" si="54"/>
        <v>443.89999999999992</v>
      </c>
      <c r="L310" s="5">
        <v>6.9</v>
      </c>
      <c r="M310" s="5">
        <f t="shared" si="55"/>
        <v>576.00000000000023</v>
      </c>
      <c r="N310" s="9">
        <f t="shared" si="52"/>
        <v>-6.9</v>
      </c>
      <c r="O310" s="5">
        <v>0</v>
      </c>
      <c r="P310" s="5">
        <v>305</v>
      </c>
      <c r="Q310" s="12">
        <f t="shared" si="59"/>
        <v>0.58703703703703702</v>
      </c>
      <c r="R310" s="10">
        <f t="shared" si="49"/>
        <v>4.0505555555555555</v>
      </c>
      <c r="S310" s="10">
        <f t="shared" si="50"/>
        <v>-4.0505555555555555</v>
      </c>
      <c r="T310" s="10">
        <v>0</v>
      </c>
      <c r="V310" s="5">
        <v>2749.6</v>
      </c>
      <c r="W310" s="5">
        <f t="shared" si="51"/>
        <v>101.46125461254611</v>
      </c>
      <c r="X310" s="5">
        <f t="shared" si="57"/>
        <v>320567.99999999988</v>
      </c>
      <c r="Y310" s="5">
        <f t="shared" si="61"/>
        <v>46060.499999999993</v>
      </c>
      <c r="AA310" s="5">
        <v>16.0585426216341</v>
      </c>
    </row>
    <row r="311" spans="1:27" s="16" customFormat="1" x14ac:dyDescent="0.25">
      <c r="A311" s="66"/>
      <c r="B311" s="43">
        <v>1000</v>
      </c>
      <c r="C311" s="30">
        <v>42189</v>
      </c>
      <c r="D311" s="16">
        <v>24.7</v>
      </c>
      <c r="E311" s="16">
        <v>22.5</v>
      </c>
      <c r="F311" s="44">
        <v>28.6</v>
      </c>
      <c r="G311" s="16">
        <f t="shared" si="53"/>
        <v>3182.3999999999992</v>
      </c>
      <c r="H311" s="16">
        <f t="shared" si="60"/>
        <v>423.5</v>
      </c>
      <c r="J311" s="16">
        <v>0.5</v>
      </c>
      <c r="K311" s="16">
        <f t="shared" si="54"/>
        <v>444.39999999999992</v>
      </c>
      <c r="L311" s="16">
        <v>3.8</v>
      </c>
      <c r="M311" s="16">
        <f t="shared" si="55"/>
        <v>579.80000000000018</v>
      </c>
      <c r="N311" s="31">
        <f t="shared" si="52"/>
        <v>-3.3</v>
      </c>
      <c r="O311" s="16">
        <v>0</v>
      </c>
      <c r="P311" s="16">
        <v>306</v>
      </c>
      <c r="Q311" s="32">
        <f t="shared" si="59"/>
        <v>0.57222222222222219</v>
      </c>
      <c r="R311" s="17">
        <f t="shared" si="49"/>
        <v>2.1744444444444442</v>
      </c>
      <c r="S311" s="17">
        <f t="shared" si="50"/>
        <v>-1.6744444444444442</v>
      </c>
      <c r="T311" s="10">
        <v>0</v>
      </c>
      <c r="V311" s="16">
        <v>1842.2</v>
      </c>
      <c r="W311" s="16">
        <f t="shared" si="51"/>
        <v>74.582995951417004</v>
      </c>
      <c r="X311" s="16">
        <f t="shared" si="57"/>
        <v>322410.1999999999</v>
      </c>
      <c r="Y311" s="5">
        <f t="shared" si="61"/>
        <v>47902.69999999999</v>
      </c>
      <c r="AA311" s="5">
        <v>16.042193747083399</v>
      </c>
    </row>
    <row r="312" spans="1:27" s="5" customFormat="1" x14ac:dyDescent="0.25">
      <c r="A312" s="45"/>
      <c r="B312" s="42"/>
      <c r="C312" s="7">
        <v>42190</v>
      </c>
      <c r="D312" s="5">
        <v>21.5</v>
      </c>
      <c r="E312" s="5">
        <v>18.7</v>
      </c>
      <c r="F312" s="5">
        <v>26.7</v>
      </c>
      <c r="G312" s="5">
        <f t="shared" si="53"/>
        <v>3203.8999999999992</v>
      </c>
      <c r="H312" s="5">
        <v>21.5</v>
      </c>
      <c r="J312" s="5">
        <v>0.1</v>
      </c>
      <c r="K312" s="5">
        <f t="shared" si="54"/>
        <v>444.49999999999994</v>
      </c>
      <c r="L312" s="5">
        <v>5.2</v>
      </c>
      <c r="M312" s="5">
        <f t="shared" si="55"/>
        <v>585.00000000000023</v>
      </c>
      <c r="N312" s="9">
        <f t="shared" si="52"/>
        <v>-5.1000000000000005</v>
      </c>
      <c r="O312" s="5">
        <v>0</v>
      </c>
      <c r="P312" s="5">
        <v>307</v>
      </c>
      <c r="Q312" s="12">
        <f t="shared" si="59"/>
        <v>0.55740740740740735</v>
      </c>
      <c r="R312" s="10">
        <f t="shared" si="49"/>
        <v>2.8985185185185185</v>
      </c>
      <c r="S312" s="10">
        <f t="shared" si="50"/>
        <v>-2.7985185185185184</v>
      </c>
      <c r="T312" s="10">
        <v>0</v>
      </c>
      <c r="V312" s="5">
        <v>2184.6</v>
      </c>
      <c r="W312" s="5">
        <f t="shared" si="51"/>
        <v>101.6093023255814</v>
      </c>
      <c r="X312" s="5">
        <f t="shared" si="57"/>
        <v>324594.79999999987</v>
      </c>
      <c r="Y312" s="5">
        <f t="shared" si="61"/>
        <v>50087.299999999988</v>
      </c>
      <c r="AA312" s="5">
        <v>16.024499185708201</v>
      </c>
    </row>
    <row r="313" spans="1:27" s="5" customFormat="1" x14ac:dyDescent="0.25">
      <c r="A313" s="45"/>
      <c r="B313" s="42"/>
      <c r="C313" s="7">
        <v>42191</v>
      </c>
      <c r="D313" s="5">
        <v>22.4</v>
      </c>
      <c r="E313" s="5">
        <v>13.4</v>
      </c>
      <c r="F313" s="5">
        <v>29.7</v>
      </c>
      <c r="G313" s="5">
        <f t="shared" si="53"/>
        <v>3226.2999999999993</v>
      </c>
      <c r="H313" s="5">
        <f t="shared" si="60"/>
        <v>43.9</v>
      </c>
      <c r="J313" s="5">
        <v>0</v>
      </c>
      <c r="K313" s="5">
        <f t="shared" si="54"/>
        <v>444.49999999999994</v>
      </c>
      <c r="L313" s="5">
        <v>6.5</v>
      </c>
      <c r="M313" s="5">
        <f t="shared" si="55"/>
        <v>591.50000000000023</v>
      </c>
      <c r="N313" s="9">
        <f t="shared" si="52"/>
        <v>-6.5</v>
      </c>
      <c r="O313" s="5">
        <v>0</v>
      </c>
      <c r="P313" s="5">
        <v>308</v>
      </c>
      <c r="Q313" s="12">
        <f t="shared" si="59"/>
        <v>0.54259259259259252</v>
      </c>
      <c r="R313" s="10">
        <f t="shared" si="49"/>
        <v>3.5268518518518515</v>
      </c>
      <c r="S313" s="10">
        <f t="shared" si="50"/>
        <v>-3.5268518518518515</v>
      </c>
      <c r="T313" s="10">
        <v>0</v>
      </c>
      <c r="V313" s="5">
        <v>2948.6</v>
      </c>
      <c r="W313" s="5">
        <f t="shared" si="51"/>
        <v>131.63392857142858</v>
      </c>
      <c r="X313" s="5">
        <f t="shared" si="57"/>
        <v>327543.39999999985</v>
      </c>
      <c r="Y313" s="5">
        <f t="shared" si="61"/>
        <v>53035.899999999987</v>
      </c>
      <c r="AA313" s="5">
        <v>16.005476762405198</v>
      </c>
    </row>
    <row r="314" spans="1:27" s="5" customFormat="1" x14ac:dyDescent="0.25">
      <c r="A314" s="45"/>
      <c r="B314" s="42"/>
      <c r="C314" s="7">
        <v>42192</v>
      </c>
      <c r="D314" s="5">
        <v>21.4</v>
      </c>
      <c r="E314" s="5">
        <v>17.899999999999999</v>
      </c>
      <c r="F314" s="5">
        <v>27.3</v>
      </c>
      <c r="G314" s="5">
        <f t="shared" si="53"/>
        <v>3247.6999999999994</v>
      </c>
      <c r="H314" s="5">
        <f t="shared" si="60"/>
        <v>65.3</v>
      </c>
      <c r="J314" s="5">
        <v>0.2</v>
      </c>
      <c r="K314" s="5">
        <f t="shared" si="54"/>
        <v>444.69999999999993</v>
      </c>
      <c r="L314" s="5">
        <v>5.0999999999999996</v>
      </c>
      <c r="M314" s="5">
        <f t="shared" si="55"/>
        <v>596.60000000000025</v>
      </c>
      <c r="N314" s="9">
        <f t="shared" si="52"/>
        <v>-4.8999999999999995</v>
      </c>
      <c r="O314" s="5">
        <v>0</v>
      </c>
      <c r="P314" s="5">
        <v>309</v>
      </c>
      <c r="Q314" s="12">
        <f t="shared" si="59"/>
        <v>0.52777777777777768</v>
      </c>
      <c r="R314" s="10">
        <f t="shared" si="49"/>
        <v>2.691666666666666</v>
      </c>
      <c r="S314" s="10">
        <f t="shared" si="50"/>
        <v>-2.4916666666666658</v>
      </c>
      <c r="T314" s="10">
        <v>0</v>
      </c>
      <c r="V314" s="5">
        <v>1774.2</v>
      </c>
      <c r="W314" s="5">
        <f t="shared" si="51"/>
        <v>82.90654205607477</v>
      </c>
      <c r="X314" s="5">
        <f t="shared" si="57"/>
        <v>329317.59999999986</v>
      </c>
      <c r="Y314" s="5">
        <f t="shared" si="61"/>
        <v>54810.099999999984</v>
      </c>
      <c r="AA314" s="5">
        <v>15.9851453613226</v>
      </c>
    </row>
    <row r="315" spans="1:27" s="5" customFormat="1" x14ac:dyDescent="0.25">
      <c r="A315" s="45"/>
      <c r="B315" s="42"/>
      <c r="C315" s="7">
        <v>42193</v>
      </c>
      <c r="D315" s="5">
        <v>17.5</v>
      </c>
      <c r="E315" s="5">
        <v>16.2</v>
      </c>
      <c r="F315" s="5">
        <v>20.5</v>
      </c>
      <c r="G315" s="5">
        <f t="shared" si="53"/>
        <v>3265.1999999999994</v>
      </c>
      <c r="H315" s="5">
        <f t="shared" si="60"/>
        <v>82.8</v>
      </c>
      <c r="J315" s="5">
        <v>0</v>
      </c>
      <c r="K315" s="5">
        <f t="shared" si="54"/>
        <v>444.69999999999993</v>
      </c>
      <c r="L315" s="5">
        <v>5.9</v>
      </c>
      <c r="M315" s="5">
        <f t="shared" si="55"/>
        <v>602.50000000000023</v>
      </c>
      <c r="N315" s="9">
        <f t="shared" si="52"/>
        <v>-5.9</v>
      </c>
      <c r="O315" s="5">
        <v>0</v>
      </c>
      <c r="P315" s="5">
        <v>310</v>
      </c>
      <c r="Q315" s="12">
        <f t="shared" si="59"/>
        <v>0.51296296296296295</v>
      </c>
      <c r="R315" s="10">
        <f t="shared" si="49"/>
        <v>3.0264814814814818</v>
      </c>
      <c r="S315" s="10">
        <f t="shared" si="50"/>
        <v>-3.0264814814814818</v>
      </c>
      <c r="T315" s="10">
        <v>0</v>
      </c>
      <c r="V315" s="5">
        <v>2769.2</v>
      </c>
      <c r="W315" s="5">
        <f t="shared" si="51"/>
        <v>158.23999999999998</v>
      </c>
      <c r="X315" s="5">
        <f t="shared" si="57"/>
        <v>332086.79999999987</v>
      </c>
      <c r="Y315" s="5">
        <f t="shared" si="61"/>
        <v>57579.299999999981</v>
      </c>
      <c r="AA315" s="5">
        <v>15.9635248605274</v>
      </c>
    </row>
    <row r="316" spans="1:27" s="5" customFormat="1" x14ac:dyDescent="0.25">
      <c r="A316" s="45"/>
      <c r="B316" s="42"/>
      <c r="C316" s="7">
        <v>42194</v>
      </c>
      <c r="D316" s="5">
        <v>17.3</v>
      </c>
      <c r="E316" s="5">
        <v>13.3</v>
      </c>
      <c r="F316" s="5">
        <v>22.4</v>
      </c>
      <c r="G316" s="5">
        <f t="shared" si="53"/>
        <v>3282.4999999999995</v>
      </c>
      <c r="H316" s="5">
        <f t="shared" si="60"/>
        <v>100.1</v>
      </c>
      <c r="J316" s="5">
        <v>0</v>
      </c>
      <c r="K316" s="5">
        <f t="shared" si="54"/>
        <v>444.69999999999993</v>
      </c>
      <c r="L316" s="5">
        <v>6.2</v>
      </c>
      <c r="M316" s="5">
        <f t="shared" si="55"/>
        <v>608.70000000000027</v>
      </c>
      <c r="N316" s="9">
        <f t="shared" si="52"/>
        <v>-6.2</v>
      </c>
      <c r="O316" s="5">
        <v>0</v>
      </c>
      <c r="P316" s="5">
        <v>311</v>
      </c>
      <c r="Q316" s="12">
        <f t="shared" si="59"/>
        <v>0.49814814814814812</v>
      </c>
      <c r="R316" s="10">
        <f t="shared" si="49"/>
        <v>3.0885185185185184</v>
      </c>
      <c r="S316" s="10">
        <f t="shared" si="50"/>
        <v>-3.0885185185185184</v>
      </c>
      <c r="T316" s="10">
        <v>0</v>
      </c>
      <c r="V316" s="5">
        <v>3143.7</v>
      </c>
      <c r="W316" s="5">
        <f t="shared" si="51"/>
        <v>181.71676300578034</v>
      </c>
      <c r="X316" s="5">
        <f t="shared" si="57"/>
        <v>335230.49999999988</v>
      </c>
      <c r="Y316" s="5">
        <f t="shared" si="61"/>
        <v>60722.999999999978</v>
      </c>
      <c r="AA316" s="5">
        <v>15.9406360646887</v>
      </c>
    </row>
    <row r="317" spans="1:27" s="5" customFormat="1" x14ac:dyDescent="0.25">
      <c r="A317" s="45"/>
      <c r="B317" s="42"/>
      <c r="C317" s="7">
        <v>42195</v>
      </c>
      <c r="D317" s="5">
        <v>19.7</v>
      </c>
      <c r="E317" s="5">
        <v>10.6</v>
      </c>
      <c r="F317" s="5">
        <v>27.1</v>
      </c>
      <c r="G317" s="5">
        <f t="shared" si="53"/>
        <v>3302.1999999999994</v>
      </c>
      <c r="H317" s="5">
        <f t="shared" si="60"/>
        <v>119.8</v>
      </c>
      <c r="J317" s="5">
        <v>0</v>
      </c>
      <c r="K317" s="5">
        <f t="shared" si="54"/>
        <v>444.69999999999993</v>
      </c>
      <c r="L317" s="5">
        <v>7.1</v>
      </c>
      <c r="M317" s="5">
        <f t="shared" si="55"/>
        <v>615.8000000000003</v>
      </c>
      <c r="N317" s="9">
        <f t="shared" si="52"/>
        <v>-7.1</v>
      </c>
      <c r="O317" s="5">
        <v>0</v>
      </c>
      <c r="P317" s="5">
        <v>312</v>
      </c>
      <c r="Q317" s="12">
        <f t="shared" si="59"/>
        <v>0.48333333333333328</v>
      </c>
      <c r="R317" s="10">
        <f t="shared" si="49"/>
        <v>3.4316666666666662</v>
      </c>
      <c r="S317" s="10">
        <f t="shared" si="50"/>
        <v>-3.4316666666666662</v>
      </c>
      <c r="T317" s="10">
        <v>0</v>
      </c>
      <c r="V317" s="5">
        <v>3236.4</v>
      </c>
      <c r="W317" s="5">
        <f t="shared" si="51"/>
        <v>164.28426395939087</v>
      </c>
      <c r="X317" s="5">
        <f t="shared" si="57"/>
        <v>338466.89999999991</v>
      </c>
      <c r="Y317" s="5">
        <f t="shared" si="61"/>
        <v>63959.39999999998</v>
      </c>
      <c r="AA317" s="5">
        <v>15.9165006362207</v>
      </c>
    </row>
    <row r="318" spans="1:27" s="5" customFormat="1" x14ac:dyDescent="0.25">
      <c r="A318" s="45"/>
      <c r="B318" s="42"/>
      <c r="C318" s="7">
        <v>42196</v>
      </c>
      <c r="D318" s="5">
        <v>20.9</v>
      </c>
      <c r="E318" s="5">
        <v>13.9</v>
      </c>
      <c r="F318" s="5">
        <v>27.7</v>
      </c>
      <c r="G318" s="5">
        <f t="shared" si="53"/>
        <v>3323.0999999999995</v>
      </c>
      <c r="H318" s="5">
        <f t="shared" si="60"/>
        <v>140.69999999999999</v>
      </c>
      <c r="J318" s="5">
        <v>0</v>
      </c>
      <c r="K318" s="5">
        <f t="shared" si="54"/>
        <v>444.69999999999993</v>
      </c>
      <c r="L318" s="5">
        <v>7.1</v>
      </c>
      <c r="M318" s="5">
        <f t="shared" si="55"/>
        <v>622.90000000000032</v>
      </c>
      <c r="N318" s="9">
        <f t="shared" si="52"/>
        <v>-7.1</v>
      </c>
      <c r="O318" s="5">
        <v>0</v>
      </c>
      <c r="P318" s="5">
        <v>313</v>
      </c>
      <c r="Q318" s="12">
        <f t="shared" si="59"/>
        <v>0.46851851851851845</v>
      </c>
      <c r="R318" s="10">
        <f t="shared" si="49"/>
        <v>3.3264814814814807</v>
      </c>
      <c r="S318" s="10">
        <f t="shared" si="50"/>
        <v>-3.3264814814814807</v>
      </c>
      <c r="T318" s="10">
        <v>0</v>
      </c>
      <c r="V318" s="5">
        <v>3209.5</v>
      </c>
      <c r="W318" s="5">
        <f t="shared" si="51"/>
        <v>153.56459330143542</v>
      </c>
      <c r="X318" s="5">
        <f t="shared" si="57"/>
        <v>341676.39999999991</v>
      </c>
      <c r="Y318" s="5">
        <f t="shared" si="61"/>
        <v>67168.89999999998</v>
      </c>
      <c r="AA318" s="5">
        <v>15.8911410253227</v>
      </c>
    </row>
    <row r="319" spans="1:27" s="5" customFormat="1" x14ac:dyDescent="0.25">
      <c r="A319" s="45"/>
      <c r="B319" s="42"/>
      <c r="C319" s="7">
        <v>42197</v>
      </c>
      <c r="D319" s="5">
        <v>19</v>
      </c>
      <c r="E319" s="5">
        <v>14</v>
      </c>
      <c r="F319" s="5">
        <v>24.7</v>
      </c>
      <c r="G319" s="5">
        <f t="shared" si="53"/>
        <v>3342.0999999999995</v>
      </c>
      <c r="H319" s="5">
        <f t="shared" si="60"/>
        <v>159.69999999999999</v>
      </c>
      <c r="J319" s="5">
        <v>0</v>
      </c>
      <c r="K319" s="5">
        <f t="shared" si="54"/>
        <v>444.69999999999993</v>
      </c>
      <c r="L319" s="5">
        <v>4.7</v>
      </c>
      <c r="M319" s="5">
        <f t="shared" si="55"/>
        <v>627.60000000000036</v>
      </c>
      <c r="N319" s="9">
        <f t="shared" si="52"/>
        <v>-4.7</v>
      </c>
      <c r="O319" s="5">
        <v>0</v>
      </c>
      <c r="P319" s="5">
        <v>314</v>
      </c>
      <c r="Q319" s="12">
        <f t="shared" si="59"/>
        <v>0.45370370370370372</v>
      </c>
      <c r="R319" s="10">
        <f t="shared" si="49"/>
        <v>2.1324074074074075</v>
      </c>
      <c r="S319" s="10">
        <f t="shared" si="50"/>
        <v>-2.1324074074074075</v>
      </c>
      <c r="T319" s="10">
        <v>0</v>
      </c>
      <c r="V319" s="5">
        <v>2285.9</v>
      </c>
      <c r="W319" s="5">
        <f t="shared" si="51"/>
        <v>120.31052631578947</v>
      </c>
      <c r="X319" s="5">
        <f t="shared" si="57"/>
        <v>343962.29999999993</v>
      </c>
      <c r="Y319" s="5">
        <f t="shared" si="61"/>
        <v>69454.799999999974</v>
      </c>
      <c r="AA319" s="5">
        <v>15.864580399340699</v>
      </c>
    </row>
    <row r="320" spans="1:27" s="5" customFormat="1" x14ac:dyDescent="0.25">
      <c r="A320" s="45"/>
      <c r="B320" s="42"/>
      <c r="C320" s="7">
        <v>42198</v>
      </c>
      <c r="D320" s="5">
        <v>21.1</v>
      </c>
      <c r="E320" s="5">
        <v>17.399999999999999</v>
      </c>
      <c r="F320" s="5">
        <v>24.9</v>
      </c>
      <c r="G320" s="5">
        <f t="shared" si="53"/>
        <v>3363.1999999999994</v>
      </c>
      <c r="H320" s="5">
        <f t="shared" si="60"/>
        <v>180.79999999999998</v>
      </c>
      <c r="J320" s="5">
        <v>0</v>
      </c>
      <c r="K320" s="5">
        <f t="shared" si="54"/>
        <v>444.69999999999993</v>
      </c>
      <c r="L320" s="5">
        <v>5.4</v>
      </c>
      <c r="M320" s="5">
        <f t="shared" si="55"/>
        <v>633.00000000000034</v>
      </c>
      <c r="N320" s="9">
        <f t="shared" si="52"/>
        <v>-5.4</v>
      </c>
      <c r="O320" s="5">
        <v>0</v>
      </c>
      <c r="P320" s="5">
        <v>315</v>
      </c>
      <c r="Q320" s="12">
        <f t="shared" si="59"/>
        <v>0.43888888888888888</v>
      </c>
      <c r="R320" s="10">
        <f t="shared" si="49"/>
        <v>2.37</v>
      </c>
      <c r="S320" s="10">
        <f t="shared" si="50"/>
        <v>-2.37</v>
      </c>
      <c r="T320" s="10">
        <v>0</v>
      </c>
      <c r="V320" s="5">
        <v>2303.4</v>
      </c>
      <c r="W320" s="5">
        <f t="shared" si="51"/>
        <v>109.16587677725119</v>
      </c>
      <c r="X320" s="5">
        <f t="shared" si="57"/>
        <v>346265.69999999995</v>
      </c>
      <c r="Y320" s="5">
        <f t="shared" si="61"/>
        <v>71758.199999999968</v>
      </c>
      <c r="AA320" s="5">
        <v>15.8368425718651</v>
      </c>
    </row>
    <row r="321" spans="1:27" s="5" customFormat="1" x14ac:dyDescent="0.25">
      <c r="A321" s="45"/>
      <c r="B321" s="42"/>
      <c r="C321" s="7">
        <v>42199</v>
      </c>
      <c r="D321" s="5">
        <v>20.3</v>
      </c>
      <c r="E321" s="5">
        <v>16.100000000000001</v>
      </c>
      <c r="F321" s="5">
        <v>25.3</v>
      </c>
      <c r="G321" s="5">
        <f t="shared" si="53"/>
        <v>3383.4999999999995</v>
      </c>
      <c r="H321" s="5">
        <f t="shared" si="60"/>
        <v>201.1</v>
      </c>
      <c r="J321" s="5">
        <v>0</v>
      </c>
      <c r="K321" s="5">
        <f t="shared" si="54"/>
        <v>444.69999999999993</v>
      </c>
      <c r="L321" s="5">
        <v>4</v>
      </c>
      <c r="M321" s="5">
        <f t="shared" si="55"/>
        <v>637.00000000000034</v>
      </c>
      <c r="N321" s="9">
        <f t="shared" si="52"/>
        <v>-4</v>
      </c>
      <c r="O321" s="5">
        <v>0</v>
      </c>
      <c r="P321" s="5">
        <v>316</v>
      </c>
      <c r="Q321" s="12">
        <f t="shared" si="59"/>
        <v>0.42407407407407405</v>
      </c>
      <c r="R321" s="10">
        <f t="shared" si="49"/>
        <v>1.6962962962962962</v>
      </c>
      <c r="S321" s="10">
        <f t="shared" si="50"/>
        <v>-1.6962962962962962</v>
      </c>
      <c r="T321" s="10">
        <v>0</v>
      </c>
      <c r="V321" s="5">
        <v>1729.6</v>
      </c>
      <c r="W321" s="5">
        <f t="shared" si="51"/>
        <v>85.201970443349751</v>
      </c>
      <c r="X321" s="5">
        <f t="shared" si="57"/>
        <v>347995.29999999993</v>
      </c>
      <c r="Y321" s="5">
        <f t="shared" si="61"/>
        <v>73487.799999999974</v>
      </c>
      <c r="AA321" s="5">
        <v>15.8079519319573</v>
      </c>
    </row>
    <row r="322" spans="1:27" s="5" customFormat="1" x14ac:dyDescent="0.25">
      <c r="A322" s="45"/>
      <c r="B322" s="42"/>
      <c r="C322" s="7">
        <v>42200</v>
      </c>
      <c r="D322" s="5">
        <v>23.1</v>
      </c>
      <c r="E322" s="5">
        <v>14.8</v>
      </c>
      <c r="F322" s="5">
        <v>29.2</v>
      </c>
      <c r="G322" s="5">
        <f t="shared" si="53"/>
        <v>3406.5999999999995</v>
      </c>
      <c r="H322" s="5">
        <f t="shared" si="60"/>
        <v>224.2</v>
      </c>
      <c r="J322" s="5">
        <v>0</v>
      </c>
      <c r="K322" s="5">
        <f t="shared" si="54"/>
        <v>444.69999999999993</v>
      </c>
      <c r="L322" s="5">
        <v>6.1</v>
      </c>
      <c r="M322" s="5">
        <f t="shared" si="55"/>
        <v>643.10000000000036</v>
      </c>
      <c r="N322" s="9">
        <f t="shared" si="52"/>
        <v>-6.1</v>
      </c>
      <c r="O322" s="5">
        <v>0</v>
      </c>
      <c r="P322" s="5">
        <v>317</v>
      </c>
      <c r="Q322" s="12">
        <f t="shared" si="59"/>
        <v>0.40925925925925921</v>
      </c>
      <c r="R322" s="10">
        <f t="shared" si="49"/>
        <v>2.4964814814814811</v>
      </c>
      <c r="S322" s="10">
        <f t="shared" si="50"/>
        <v>-2.4964814814814811</v>
      </c>
      <c r="T322" s="10">
        <v>0</v>
      </c>
      <c r="V322" s="5">
        <v>2941.7</v>
      </c>
      <c r="W322" s="5">
        <f t="shared" si="51"/>
        <v>127.34632034632033</v>
      </c>
      <c r="X322" s="5">
        <f t="shared" si="57"/>
        <v>350936.99999999994</v>
      </c>
      <c r="Y322" s="5">
        <f t="shared" si="61"/>
        <v>76429.499999999971</v>
      </c>
      <c r="AA322" s="5">
        <v>15.777933373879801</v>
      </c>
    </row>
    <row r="323" spans="1:27" s="5" customFormat="1" x14ac:dyDescent="0.25">
      <c r="A323" s="45"/>
      <c r="B323" s="42"/>
      <c r="C323" s="7">
        <v>42201</v>
      </c>
      <c r="D323" s="5">
        <v>27.3</v>
      </c>
      <c r="E323" s="5">
        <v>19.100000000000001</v>
      </c>
      <c r="F323" s="5">
        <v>34</v>
      </c>
      <c r="G323" s="5">
        <f t="shared" si="53"/>
        <v>3433.8999999999996</v>
      </c>
      <c r="H323" s="5">
        <f t="shared" si="60"/>
        <v>251.5</v>
      </c>
      <c r="J323" s="5">
        <v>0</v>
      </c>
      <c r="K323" s="5">
        <f t="shared" si="54"/>
        <v>444.69999999999993</v>
      </c>
      <c r="L323" s="5">
        <v>8</v>
      </c>
      <c r="M323" s="5">
        <f t="shared" si="55"/>
        <v>651.10000000000036</v>
      </c>
      <c r="N323" s="9">
        <f t="shared" si="52"/>
        <v>-8</v>
      </c>
      <c r="O323" s="5">
        <v>0</v>
      </c>
      <c r="P323" s="5">
        <v>318</v>
      </c>
      <c r="Q323" s="12">
        <f t="shared" si="59"/>
        <v>0.39444444444444449</v>
      </c>
      <c r="R323" s="10">
        <f t="shared" si="49"/>
        <v>3.1555555555555559</v>
      </c>
      <c r="S323" s="10">
        <f t="shared" si="50"/>
        <v>-3.1555555555555559</v>
      </c>
      <c r="T323" s="10">
        <v>0</v>
      </c>
      <c r="V323" s="5">
        <v>2900.6</v>
      </c>
      <c r="W323" s="5">
        <f t="shared" si="51"/>
        <v>106.24908424908425</v>
      </c>
      <c r="X323" s="5">
        <f t="shared" si="57"/>
        <v>353837.59999999992</v>
      </c>
      <c r="Y323" s="5">
        <f t="shared" si="61"/>
        <v>79330.099999999977</v>
      </c>
      <c r="AA323" s="5">
        <v>15.746812227681099</v>
      </c>
    </row>
    <row r="324" spans="1:27" s="5" customFormat="1" x14ac:dyDescent="0.25">
      <c r="A324" s="45"/>
      <c r="B324" s="42"/>
      <c r="C324" s="7">
        <v>42202</v>
      </c>
      <c r="D324" s="5">
        <v>24.2</v>
      </c>
      <c r="E324" s="5">
        <v>19.8</v>
      </c>
      <c r="F324" s="5">
        <v>28</v>
      </c>
      <c r="G324" s="5">
        <f t="shared" si="53"/>
        <v>3458.0999999999995</v>
      </c>
      <c r="H324" s="5">
        <f t="shared" si="60"/>
        <v>275.7</v>
      </c>
      <c r="J324" s="5">
        <v>0</v>
      </c>
      <c r="K324" s="5">
        <f t="shared" si="54"/>
        <v>444.69999999999993</v>
      </c>
      <c r="L324" s="5">
        <v>6.5</v>
      </c>
      <c r="M324" s="5">
        <f t="shared" si="55"/>
        <v>657.60000000000036</v>
      </c>
      <c r="N324" s="9">
        <f t="shared" si="52"/>
        <v>-6.5</v>
      </c>
      <c r="O324" s="5">
        <v>0</v>
      </c>
      <c r="P324" s="5">
        <v>319</v>
      </c>
      <c r="Q324" s="12">
        <f t="shared" si="59"/>
        <v>0.37962962962962965</v>
      </c>
      <c r="R324" s="10">
        <f t="shared" si="49"/>
        <v>2.4675925925925926</v>
      </c>
      <c r="S324" s="10">
        <f t="shared" si="50"/>
        <v>-2.4675925925925926</v>
      </c>
      <c r="T324" s="10">
        <v>0</v>
      </c>
      <c r="V324" s="5">
        <v>2751.3</v>
      </c>
      <c r="W324" s="5">
        <f t="shared" si="51"/>
        <v>113.69008264462811</v>
      </c>
      <c r="X324" s="5">
        <f t="shared" si="57"/>
        <v>356588.89999999991</v>
      </c>
      <c r="Y324" s="5">
        <f t="shared" si="61"/>
        <v>82081.39999999998</v>
      </c>
      <c r="AA324" s="5">
        <v>15.7146141909609</v>
      </c>
    </row>
    <row r="325" spans="1:27" s="5" customFormat="1" x14ac:dyDescent="0.25">
      <c r="A325" s="45"/>
      <c r="B325" s="42"/>
      <c r="C325" s="7">
        <v>42203</v>
      </c>
      <c r="D325" s="5">
        <v>23</v>
      </c>
      <c r="E325" s="5">
        <v>18.100000000000001</v>
      </c>
      <c r="F325" s="5">
        <v>28.3</v>
      </c>
      <c r="G325" s="5">
        <f t="shared" si="53"/>
        <v>3481.0999999999995</v>
      </c>
      <c r="H325" s="5">
        <f t="shared" si="60"/>
        <v>298.7</v>
      </c>
      <c r="J325" s="5">
        <v>14.5</v>
      </c>
      <c r="K325" s="5">
        <f t="shared" si="54"/>
        <v>459.19999999999993</v>
      </c>
      <c r="L325" s="5">
        <v>4.3</v>
      </c>
      <c r="M325" s="5">
        <f t="shared" si="55"/>
        <v>661.90000000000032</v>
      </c>
      <c r="N325" s="5">
        <f t="shared" si="52"/>
        <v>10.199999999999999</v>
      </c>
      <c r="O325" s="5">
        <f t="shared" si="58"/>
        <v>10.199999999999999</v>
      </c>
      <c r="P325" s="5">
        <v>320</v>
      </c>
      <c r="Q325" s="12">
        <f t="shared" si="59"/>
        <v>0.36481481481481481</v>
      </c>
      <c r="R325" s="10">
        <f t="shared" si="49"/>
        <v>1.5687037037037037</v>
      </c>
      <c r="S325" s="10">
        <f t="shared" si="50"/>
        <v>12.931296296296296</v>
      </c>
      <c r="T325" s="10">
        <f t="shared" si="56"/>
        <v>12.931296296296296</v>
      </c>
      <c r="V325" s="5">
        <v>1952.8</v>
      </c>
      <c r="W325" s="5">
        <f t="shared" si="51"/>
        <v>84.904347826086948</v>
      </c>
      <c r="X325" s="5">
        <f t="shared" si="57"/>
        <v>358541.6999999999</v>
      </c>
      <c r="Y325" s="5">
        <f t="shared" si="61"/>
        <v>84034.199999999983</v>
      </c>
      <c r="AA325" s="5">
        <v>15.681365262113999</v>
      </c>
    </row>
    <row r="326" spans="1:27" s="5" customFormat="1" x14ac:dyDescent="0.25">
      <c r="A326" s="45"/>
      <c r="B326" s="42"/>
      <c r="C326" s="7">
        <v>42204</v>
      </c>
      <c r="D326" s="5">
        <v>20.8</v>
      </c>
      <c r="E326" s="5">
        <v>17.2</v>
      </c>
      <c r="F326" s="5">
        <v>23.6</v>
      </c>
      <c r="G326" s="5">
        <f t="shared" si="53"/>
        <v>3501.8999999999996</v>
      </c>
      <c r="H326" s="5">
        <f t="shared" si="60"/>
        <v>319.5</v>
      </c>
      <c r="J326" s="5">
        <v>0</v>
      </c>
      <c r="K326" s="5">
        <f t="shared" si="54"/>
        <v>459.19999999999993</v>
      </c>
      <c r="L326" s="5">
        <v>4.0999999999999996</v>
      </c>
      <c r="M326" s="5">
        <f t="shared" si="55"/>
        <v>666.00000000000034</v>
      </c>
      <c r="N326" s="9">
        <f t="shared" si="52"/>
        <v>-4.0999999999999996</v>
      </c>
      <c r="O326" s="5">
        <f t="shared" si="58"/>
        <v>6.1</v>
      </c>
      <c r="P326" s="5">
        <v>321</v>
      </c>
      <c r="Q326" s="12">
        <f t="shared" si="59"/>
        <v>0.35</v>
      </c>
      <c r="R326" s="10">
        <f t="shared" ref="R326" si="62">Q326*L326</f>
        <v>1.4349999999999998</v>
      </c>
      <c r="S326" s="10">
        <f t="shared" ref="S326" si="63">J326-R326</f>
        <v>-1.4349999999999998</v>
      </c>
      <c r="T326" s="10">
        <f t="shared" si="56"/>
        <v>11.496296296296295</v>
      </c>
      <c r="V326" s="5">
        <v>1895.2</v>
      </c>
      <c r="W326" s="5">
        <f t="shared" ref="W326" si="64">V326/D326</f>
        <v>91.115384615384613</v>
      </c>
      <c r="X326" s="5">
        <f t="shared" si="57"/>
        <v>360436.89999999991</v>
      </c>
      <c r="Y326" s="5">
        <f t="shared" si="61"/>
        <v>85929.39999999998</v>
      </c>
      <c r="AA326" s="5">
        <v>15.647091675326299</v>
      </c>
    </row>
    <row r="327" spans="1:27" s="5" customFormat="1" x14ac:dyDescent="0.25">
      <c r="A327" s="45"/>
      <c r="B327" s="67" t="s">
        <v>48</v>
      </c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</sheetData>
  <mergeCells count="14">
    <mergeCell ref="A291:A311"/>
    <mergeCell ref="B327:Z327"/>
    <mergeCell ref="A5:Z5"/>
    <mergeCell ref="A6:A94"/>
    <mergeCell ref="A95:A194"/>
    <mergeCell ref="A195:A229"/>
    <mergeCell ref="A251:A272"/>
    <mergeCell ref="A273:A290"/>
    <mergeCell ref="D1:I2"/>
    <mergeCell ref="J1:U2"/>
    <mergeCell ref="V1:Z2"/>
    <mergeCell ref="P3:T3"/>
    <mergeCell ref="G4:H4"/>
    <mergeCell ref="X4:Y4"/>
  </mergeCells>
  <conditionalFormatting sqref="T1:T4">
    <cfRule type="cellIs" dxfId="4" priority="4" operator="equal">
      <formula>0</formula>
    </cfRule>
    <cfRule type="cellIs" dxfId="3" priority="5" operator="lessThanOrEqual">
      <formula>65.8</formula>
    </cfRule>
  </conditionalFormatting>
  <conditionalFormatting sqref="S6:S326">
    <cfRule type="cellIs" dxfId="2" priority="3" operator="lessThanOrEqual">
      <formula>0</formula>
    </cfRule>
  </conditionalFormatting>
  <conditionalFormatting sqref="T5:T326">
    <cfRule type="cellIs" dxfId="1" priority="1" operator="equal">
      <formula>0</formula>
    </cfRule>
    <cfRule type="cellIs" dxfId="0" priority="2" operator="lessThanOrEqual">
      <formula>65.8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N-</vt:lpstr>
      <vt:lpstr>N+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2019-10-22T07:38:01Z</dcterms:created>
  <dcterms:modified xsi:type="dcterms:W3CDTF">2019-11-27T09:03:10Z</dcterms:modified>
</cp:coreProperties>
</file>