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<sst xmlns="http://schemas.openxmlformats.org/spreadsheetml/2006/main" count="318" uniqueCount="60">
  <si>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</si>
  <si>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</si>
  <si>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</si>
  <si>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</si>
  <si>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</si>
  <si>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</si>
  <si>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</si>
  <si>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</si>
  <si>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</si>
  <si>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</si>
  <si>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</si>
  <si>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</si>
  <si>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</si>
  <si>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</si>
  <si>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</si>
  <si>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</si>
  <si>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</si>
  <si>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</si>
  <si>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</si>
  <si>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</si>
  <si>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</si>
  <si>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</si>
  <si>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</si>
  <si>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</si>
  <si>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</si>
  <si>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</si>
  <si>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LIM15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</si>
  <si>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</si>
  <si>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</si>
  <si>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</si>
  <si>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</si>
  <si>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</si>
  <si>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</si>
  <si>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</si>
  <si>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</si>
  <si>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</si>
  <si>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</si>
  <si>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</si>
  <si>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</si>
  <si>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</si>
  <si>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</si>
  <si>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</si>
  <si>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</si>
  <si>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</si>
  <si>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</si>
  <si>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</si>
  <si>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</si>
  <si>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</si>
  <si>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</si>
  <si>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</si>
  <si>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</si>
  <si>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N90</t>
  </si>
  <si>
    <t xml:space="preserve">N57</t>
  </si>
  <si>
    <t xml:space="preserve">MONTAISON</t>
  </si>
  <si>
    <t xml:space="preserve">A&amp;M</t>
  </si>
  <si>
    <t xml:space="preserve">Fin FLO</t>
  </si>
  <si>
    <t xml:space="preserve">RECOLTE</t>
  </si>
  <si>
    <t xml:space="preserve">PRELIQ_Q (mm)</t>
  </si>
  <si>
    <t xml:space="preserve">Etat RU _1</t>
  </si>
  <si>
    <t xml:space="preserve">N35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</si>
</sst>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D9D9D9"/>
        <bgColor rgb="FFF2DCDB"/>
      </patternFill>
    </fill>
    <fill>
      <patternFill patternType="solid">
        <fgColor rgb="FFF2DCDB"/>
        <bgColor rgb="FFFDE9D9"/>
      </patternFill>
    </fill>
    <fill>
      <patternFill patternType="solid">
        <fgColor rgb="FFFFC000"/>
        <bgColor rgb="FFFF9900"/>
      </patternFill>
    </fill>
    <fill>
      <patternFill patternType="solid">
        <fgColor rgb="FFB1A0C7"/>
        <bgColor rgb="FF9999FF"/>
      </patternFill>
    </fill>
    <fill>
      <patternFill patternType="solid">
        <fgColor rgb="FFDAEEF3"/>
        <bgColor rgb="FFCCECFF"/>
      </patternFill>
    </fill>
    <fill>
      <patternFill patternType="solid">
        <fgColor rgb="FFCCECFF"/>
        <bgColor rgb="FFDAEEF3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A9D18E"/>
      </patternFill>
    </fill>
    <fill>
      <patternFill patternType="solid">
        <fgColor rgb="FF4F81BD"/>
        <bgColor rgb="FF808080"/>
      </patternFill>
    </fill>
    <fill>
      <patternFill patternType="solid">
        <fgColor theme="3"/>
        <bgColor rgb="FF333333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ECFF"/>
      <rgbColor rgb="FF660066"/>
      <rgbColor rgb="FFDA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CCFFCC"/>
      <rgbColor rgb="FFFFFF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F81BD"/>
      <rgbColor rgb="FFB1A0C7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7"/>
  <sheetViews>
    <sheetView showFormulas="false" showGridLines="true" showRowColHeaders="true" showZeros="true" rightToLeft="false" tabSelected="true" showOutlineSymbols="true" defaultGridColor="true" view="normal" topLeftCell="C1" colorId="64" zoomScale="70" zoomScaleNormal="70" zoomScalePageLayoutView="100" workbookViewId="0">
      <selection pane="topLeft" activeCell="P15" activeCellId="0" sqref="P15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 t="s">
        <v>3</v>
      </c>
      <c r="Q3" s="3"/>
      <c r="R3" s="3"/>
      <c r="S3" s="3"/>
      <c r="T3" s="3"/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6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7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7" t="s">
        <v>21</v>
      </c>
      <c r="U4" s="1" t="s">
        <v>10</v>
      </c>
      <c r="V4" s="1" t="s">
        <v>22</v>
      </c>
      <c r="W4" s="1" t="s">
        <v>23</v>
      </c>
      <c r="X4" s="6" t="s">
        <v>24</v>
      </c>
      <c r="Y4" s="6"/>
      <c r="Z4" s="1" t="s">
        <v>10</v>
      </c>
      <c r="AA4" s="7" t="s">
        <v>25</v>
      </c>
    </row>
    <row r="5" s="9" customFormat="true" ht="15" hidden="false" customHeight="false" outlineLevel="0" collapsed="false">
      <c r="A5" s="8" t="s">
        <v>26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9" customFormat="true" ht="15" hidden="false" customHeight="false" outlineLevel="0" collapsed="false">
      <c r="A6" s="10" t="s">
        <v>27</v>
      </c>
      <c r="B6" s="11"/>
      <c r="C6" s="12" t="n">
        <v>41884</v>
      </c>
      <c r="D6" s="9" t="n">
        <v>17.6</v>
      </c>
      <c r="E6" s="9" t="n">
        <v>13.4</v>
      </c>
      <c r="F6" s="9" t="n">
        <v>21.9</v>
      </c>
      <c r="G6" s="9" t="n">
        <f aca="false">D6</f>
        <v>17.6</v>
      </c>
      <c r="I6" s="13" t="s">
        <v>28</v>
      </c>
      <c r="J6" s="9" t="n">
        <v>0</v>
      </c>
      <c r="K6" s="9" t="n">
        <f aca="false">J6</f>
        <v>0</v>
      </c>
      <c r="L6" s="9" t="n">
        <v>2.9</v>
      </c>
      <c r="M6" s="9" t="n">
        <f aca="false">L6</f>
        <v>2.9</v>
      </c>
      <c r="N6" s="14" t="n">
        <f aca="false">J6-L6</f>
        <v>-2.9</v>
      </c>
      <c r="O6" s="9" t="n">
        <v>17</v>
      </c>
      <c r="P6" s="9" t="n">
        <v>1</v>
      </c>
      <c r="Q6" s="9" t="n">
        <v>0.35</v>
      </c>
      <c r="R6" s="15" t="n">
        <f aca="false">Q6*L6</f>
        <v>1.015</v>
      </c>
      <c r="S6" s="15" t="n">
        <f aca="false">J6-R6</f>
        <v>-1.015</v>
      </c>
      <c r="T6" s="15" t="n">
        <v>18.9</v>
      </c>
      <c r="U6" s="13" t="s">
        <v>29</v>
      </c>
      <c r="V6" s="9" t="n">
        <v>1455.1</v>
      </c>
      <c r="W6" s="9" t="n">
        <f aca="false">V6/D6</f>
        <v>82.6761363636364</v>
      </c>
      <c r="X6" s="9" t="n">
        <f aca="false">V6</f>
        <v>1455.1</v>
      </c>
      <c r="Y6" s="16"/>
      <c r="Z6" s="13" t="s">
        <v>30</v>
      </c>
      <c r="AA6" s="9" t="n">
        <v>13.4320983665222</v>
      </c>
    </row>
    <row r="7" s="9" customFormat="true" ht="15" hidden="false" customHeight="false" outlineLevel="0" collapsed="false">
      <c r="A7" s="10"/>
      <c r="B7" s="11"/>
      <c r="C7" s="12" t="n">
        <v>41885</v>
      </c>
      <c r="D7" s="9" t="n">
        <v>17.4</v>
      </c>
      <c r="E7" s="9" t="n">
        <v>12.4</v>
      </c>
      <c r="F7" s="9" t="n">
        <v>22.2</v>
      </c>
      <c r="G7" s="9" t="n">
        <f aca="false">G6+D7</f>
        <v>35</v>
      </c>
      <c r="I7" s="9" t="n">
        <f aca="false">MIN(E6:E94)</f>
        <v>3.1</v>
      </c>
      <c r="J7" s="9" t="n">
        <v>0</v>
      </c>
      <c r="K7" s="9" t="n">
        <f aca="false">K6+J7</f>
        <v>0</v>
      </c>
      <c r="L7" s="9" t="n">
        <v>3.4</v>
      </c>
      <c r="M7" s="9" t="n">
        <f aca="false">M6+L7</f>
        <v>6.3</v>
      </c>
      <c r="N7" s="14" t="n">
        <f aca="false">J7-L7</f>
        <v>-3.4</v>
      </c>
      <c r="O7" s="9" t="n">
        <f aca="false">O6+N7</f>
        <v>13.6</v>
      </c>
      <c r="P7" s="9" t="n">
        <v>2</v>
      </c>
      <c r="Q7" s="9" t="n">
        <v>0.35</v>
      </c>
      <c r="R7" s="15" t="n">
        <f aca="false">Q7*L7</f>
        <v>1.19</v>
      </c>
      <c r="S7" s="15" t="n">
        <f aca="false">J7-R7</f>
        <v>-1.19</v>
      </c>
      <c r="T7" s="15" t="n">
        <f aca="false">MIN(197.4,(T6+S7))</f>
        <v>17.71</v>
      </c>
      <c r="U7" s="9" t="n">
        <v>62</v>
      </c>
      <c r="V7" s="9" t="n">
        <v>1782.8</v>
      </c>
      <c r="W7" s="9" t="n">
        <f aca="false">V7/D7</f>
        <v>102.459770114943</v>
      </c>
      <c r="X7" s="9" t="n">
        <f aca="false">X6+V7</f>
        <v>3237.9</v>
      </c>
      <c r="Z7" s="9" t="n">
        <v>72394.8</v>
      </c>
      <c r="AA7" s="9" t="n">
        <v>13.3747473290418</v>
      </c>
    </row>
    <row r="8" s="9" customFormat="true" ht="15" hidden="false" customHeight="false" outlineLevel="0" collapsed="false">
      <c r="A8" s="10"/>
      <c r="B8" s="11"/>
      <c r="C8" s="12" t="n">
        <v>41886</v>
      </c>
      <c r="D8" s="9" t="n">
        <v>17.6</v>
      </c>
      <c r="E8" s="9" t="n">
        <v>14.3</v>
      </c>
      <c r="F8" s="9" t="n">
        <v>21</v>
      </c>
      <c r="G8" s="9" t="n">
        <f aca="false">G7+D8</f>
        <v>52.6</v>
      </c>
      <c r="I8" s="13" t="s">
        <v>31</v>
      </c>
      <c r="J8" s="9" t="n">
        <v>0</v>
      </c>
      <c r="K8" s="9" t="n">
        <f aca="false">K7+J8</f>
        <v>0</v>
      </c>
      <c r="L8" s="9" t="n">
        <v>2.9</v>
      </c>
      <c r="M8" s="9" t="n">
        <f aca="false">M7+L8</f>
        <v>9.2</v>
      </c>
      <c r="N8" s="14" t="n">
        <f aca="false">J8-L8</f>
        <v>-2.9</v>
      </c>
      <c r="O8" s="9" t="n">
        <f aca="false">O7+N8</f>
        <v>10.7</v>
      </c>
      <c r="P8" s="9" t="n">
        <v>3</v>
      </c>
      <c r="Q8" s="9" t="n">
        <v>0.35</v>
      </c>
      <c r="R8" s="15" t="n">
        <f aca="false">Q8*L8</f>
        <v>1.015</v>
      </c>
      <c r="S8" s="15" t="n">
        <f aca="false">J8-R8</f>
        <v>-1.015</v>
      </c>
      <c r="T8" s="15" t="n">
        <f aca="false">MIN(197.4,(T7+S8))</f>
        <v>16.695</v>
      </c>
      <c r="U8" s="13" t="s">
        <v>32</v>
      </c>
      <c r="V8" s="9" t="n">
        <v>1664.8</v>
      </c>
      <c r="W8" s="9" t="n">
        <f aca="false">V8/D8</f>
        <v>94.5909090909091</v>
      </c>
      <c r="X8" s="9" t="n">
        <f aca="false">X7+V8</f>
        <v>4902.7</v>
      </c>
      <c r="Y8" s="16"/>
      <c r="Z8" s="13" t="s">
        <v>33</v>
      </c>
      <c r="AA8" s="9" t="n">
        <v>13.3172503703023</v>
      </c>
    </row>
    <row r="9" s="9" customFormat="true" ht="15" hidden="false" customHeight="false" outlineLevel="0" collapsed="false">
      <c r="A9" s="10"/>
      <c r="B9" s="11"/>
      <c r="C9" s="12" t="n">
        <v>41887</v>
      </c>
      <c r="D9" s="9" t="n">
        <v>18.3</v>
      </c>
      <c r="E9" s="9" t="n">
        <v>14.1</v>
      </c>
      <c r="F9" s="9" t="n">
        <v>22.4</v>
      </c>
      <c r="G9" s="9" t="n">
        <f aca="false">G8+D9</f>
        <v>70.9</v>
      </c>
      <c r="I9" s="9" t="n">
        <f aca="false">MAX(F6:F94)</f>
        <v>26.6</v>
      </c>
      <c r="J9" s="9" t="n">
        <v>0</v>
      </c>
      <c r="K9" s="9" t="n">
        <f aca="false">K8+J9</f>
        <v>0</v>
      </c>
      <c r="L9" s="9" t="n">
        <v>3</v>
      </c>
      <c r="M9" s="9" t="n">
        <f aca="false">M8+L9</f>
        <v>12.2</v>
      </c>
      <c r="N9" s="14" t="n">
        <f aca="false">J9-L9</f>
        <v>-3</v>
      </c>
      <c r="O9" s="9" t="n">
        <f aca="false">O8+N9</f>
        <v>7.7</v>
      </c>
      <c r="P9" s="9" t="n">
        <v>4</v>
      </c>
      <c r="Q9" s="9" t="n">
        <v>0.35</v>
      </c>
      <c r="R9" s="15" t="n">
        <f aca="false">Q9*L9</f>
        <v>1.05</v>
      </c>
      <c r="S9" s="15" t="n">
        <f aca="false">J9-R9</f>
        <v>-1.05</v>
      </c>
      <c r="T9" s="15" t="n">
        <f aca="false">MIN(197.4,(T8+S9))</f>
        <v>15.645</v>
      </c>
      <c r="U9" s="9" t="n">
        <v>1</v>
      </c>
      <c r="V9" s="9" t="n">
        <v>1680.4</v>
      </c>
      <c r="W9" s="9" t="n">
        <f aca="false">V9/D9</f>
        <v>91.8251366120219</v>
      </c>
      <c r="X9" s="9" t="n">
        <f aca="false">X8+V9</f>
        <v>6583.1</v>
      </c>
      <c r="Z9" s="17" t="n">
        <f aca="false">(Z7/100)/I19</f>
        <v>0.623179822673668</v>
      </c>
      <c r="AA9" s="9" t="n">
        <v>13.2596157342212</v>
      </c>
    </row>
    <row r="10" s="9" customFormat="true" ht="15" hidden="false" customHeight="false" outlineLevel="0" collapsed="false">
      <c r="A10" s="10"/>
      <c r="B10" s="11"/>
      <c r="C10" s="12" t="n">
        <v>41888</v>
      </c>
      <c r="D10" s="9" t="n">
        <v>18.7</v>
      </c>
      <c r="E10" s="9" t="n">
        <v>16.3</v>
      </c>
      <c r="F10" s="9" t="n">
        <v>22.7</v>
      </c>
      <c r="G10" s="9" t="n">
        <f aca="false">G9+D10</f>
        <v>89.6</v>
      </c>
      <c r="I10" s="13" t="s">
        <v>34</v>
      </c>
      <c r="J10" s="9" t="n">
        <v>0</v>
      </c>
      <c r="K10" s="9" t="n">
        <f aca="false">K9+J10</f>
        <v>0</v>
      </c>
      <c r="L10" s="9" t="n">
        <v>2.9</v>
      </c>
      <c r="M10" s="9" t="n">
        <f aca="false">M9+L10</f>
        <v>15.1</v>
      </c>
      <c r="N10" s="14" t="n">
        <f aca="false">J10-L10</f>
        <v>-2.9</v>
      </c>
      <c r="O10" s="9" t="n">
        <f aca="false">O9+N10</f>
        <v>4.8</v>
      </c>
      <c r="P10" s="9" t="n">
        <v>5</v>
      </c>
      <c r="Q10" s="9" t="n">
        <v>0.35</v>
      </c>
      <c r="R10" s="15" t="n">
        <f aca="false">Q10*L10</f>
        <v>1.015</v>
      </c>
      <c r="S10" s="15" t="n">
        <f aca="false">J10-R10</f>
        <v>-1.015</v>
      </c>
      <c r="T10" s="15" t="n">
        <f aca="false">MIN(197.4,(T9+S10))</f>
        <v>14.63</v>
      </c>
      <c r="U10" s="13" t="s">
        <v>35</v>
      </c>
      <c r="V10" s="9" t="n">
        <v>1639.5</v>
      </c>
      <c r="W10" s="9" t="n">
        <f aca="false">V10/D10</f>
        <v>87.6737967914439</v>
      </c>
      <c r="X10" s="9" t="n">
        <f aca="false">X9+V10</f>
        <v>8222.6</v>
      </c>
      <c r="Y10" s="16"/>
      <c r="Z10" s="13" t="s">
        <v>36</v>
      </c>
      <c r="AA10" s="9" t="n">
        <v>13.2018513703671</v>
      </c>
    </row>
    <row r="11" s="9" customFormat="true" ht="15" hidden="false" customHeight="false" outlineLevel="0" collapsed="false">
      <c r="A11" s="10"/>
      <c r="B11" s="11"/>
      <c r="C11" s="12" t="n">
        <v>41889</v>
      </c>
      <c r="D11" s="9" t="n">
        <v>18.2</v>
      </c>
      <c r="E11" s="9" t="n">
        <v>12.5</v>
      </c>
      <c r="F11" s="9" t="n">
        <v>24.7</v>
      </c>
      <c r="G11" s="9" t="n">
        <f aca="false">G10+D11</f>
        <v>107.8</v>
      </c>
      <c r="I11" s="15" t="n">
        <f aca="false">AVERAGE(D6:D94)</f>
        <v>13.052808988764</v>
      </c>
      <c r="J11" s="9" t="n">
        <v>0</v>
      </c>
      <c r="K11" s="9" t="n">
        <f aca="false">K10+J11</f>
        <v>0</v>
      </c>
      <c r="L11" s="9" t="n">
        <v>2.9</v>
      </c>
      <c r="M11" s="9" t="n">
        <f aca="false">M10+L11</f>
        <v>18</v>
      </c>
      <c r="N11" s="14" t="n">
        <f aca="false">J11-L11</f>
        <v>-2.9</v>
      </c>
      <c r="O11" s="9" t="n">
        <f aca="false">O10+N11</f>
        <v>1.9</v>
      </c>
      <c r="P11" s="9" t="n">
        <v>6</v>
      </c>
      <c r="Q11" s="9" t="n">
        <v>0.35</v>
      </c>
      <c r="R11" s="15" t="n">
        <f aca="false">Q11*L11</f>
        <v>1.015</v>
      </c>
      <c r="S11" s="15" t="n">
        <f aca="false">J11-R11</f>
        <v>-1.015</v>
      </c>
      <c r="T11" s="15" t="n">
        <f aca="false">MIN(197.4,(T10+S11))</f>
        <v>13.615</v>
      </c>
      <c r="U11" s="9" t="n">
        <v>67</v>
      </c>
      <c r="V11" s="9" t="n">
        <v>1527.6</v>
      </c>
      <c r="W11" s="9" t="n">
        <f aca="false">V11/D11</f>
        <v>83.9340659340659</v>
      </c>
      <c r="X11" s="9" t="n">
        <f aca="false">X10+V11</f>
        <v>9750.2</v>
      </c>
      <c r="Z11" s="9" t="n">
        <v>42</v>
      </c>
      <c r="AA11" s="9" t="n">
        <v>13.1439649495344</v>
      </c>
    </row>
    <row r="12" s="9" customFormat="true" ht="15" hidden="false" customHeight="false" outlineLevel="0" collapsed="false">
      <c r="A12" s="10"/>
      <c r="B12" s="11"/>
      <c r="C12" s="12" t="n">
        <v>41890</v>
      </c>
      <c r="D12" s="9" t="n">
        <v>18.7</v>
      </c>
      <c r="E12" s="9" t="n">
        <v>13</v>
      </c>
      <c r="F12" s="9" t="n">
        <v>24.8</v>
      </c>
      <c r="G12" s="9" t="n">
        <f aca="false">G11+D12</f>
        <v>126.5</v>
      </c>
      <c r="I12" s="13" t="s">
        <v>37</v>
      </c>
      <c r="J12" s="9" t="n">
        <v>0</v>
      </c>
      <c r="K12" s="9" t="n">
        <f aca="false">K11+J12</f>
        <v>0</v>
      </c>
      <c r="L12" s="9" t="n">
        <v>3.4</v>
      </c>
      <c r="M12" s="9" t="n">
        <f aca="false">M11+L12</f>
        <v>21.4</v>
      </c>
      <c r="N12" s="14" t="n">
        <f aca="false">J12-L12</f>
        <v>-3.4</v>
      </c>
      <c r="O12" s="9" t="n">
        <v>0</v>
      </c>
      <c r="P12" s="9" t="n">
        <v>7</v>
      </c>
      <c r="Q12" s="9" t="n">
        <v>0.35</v>
      </c>
      <c r="R12" s="15" t="n">
        <f aca="false">Q12*L12</f>
        <v>1.19</v>
      </c>
      <c r="S12" s="15" t="n">
        <f aca="false">J12-R12</f>
        <v>-1.19</v>
      </c>
      <c r="T12" s="15" t="n">
        <f aca="false">MIN(197.4,(T11+S12))</f>
        <v>12.425</v>
      </c>
      <c r="U12" s="13" t="s">
        <v>38</v>
      </c>
      <c r="V12" s="9" t="n">
        <v>1632.5</v>
      </c>
      <c r="W12" s="9" t="n">
        <f aca="false">V12/D12</f>
        <v>87.2994652406417</v>
      </c>
      <c r="X12" s="9" t="n">
        <f aca="false">X11+V12</f>
        <v>11382.7</v>
      </c>
      <c r="AA12" s="9" t="n">
        <v>13.085963879425</v>
      </c>
    </row>
    <row r="13" s="9" customFormat="true" ht="15" hidden="false" customHeight="false" outlineLevel="0" collapsed="false">
      <c r="A13" s="10"/>
      <c r="B13" s="11"/>
      <c r="C13" s="12" t="n">
        <v>41891</v>
      </c>
      <c r="D13" s="9" t="n">
        <v>17</v>
      </c>
      <c r="E13" s="9" t="n">
        <v>12.8</v>
      </c>
      <c r="F13" s="9" t="n">
        <v>22.5</v>
      </c>
      <c r="G13" s="9" t="n">
        <f aca="false">G12+D13</f>
        <v>143.5</v>
      </c>
      <c r="I13" s="9" t="n">
        <v>0</v>
      </c>
      <c r="J13" s="9" t="n">
        <v>0</v>
      </c>
      <c r="K13" s="9" t="n">
        <f aca="false">K12+J13</f>
        <v>0</v>
      </c>
      <c r="L13" s="9" t="n">
        <v>3.4</v>
      </c>
      <c r="M13" s="9" t="n">
        <f aca="false">M12+L13</f>
        <v>24.8</v>
      </c>
      <c r="N13" s="14" t="n">
        <f aca="false">J13-L13</f>
        <v>-3.4</v>
      </c>
      <c r="O13" s="9" t="n">
        <v>0</v>
      </c>
      <c r="P13" s="9" t="n">
        <v>8</v>
      </c>
      <c r="Q13" s="9" t="n">
        <v>0.35</v>
      </c>
      <c r="R13" s="15" t="n">
        <f aca="false">Q13*L13</f>
        <v>1.19</v>
      </c>
      <c r="S13" s="15" t="n">
        <f aca="false">J13-R13</f>
        <v>-1.19</v>
      </c>
      <c r="T13" s="15" t="n">
        <f aca="false">MIN(197.4,(T12+S13))</f>
        <v>11.235</v>
      </c>
      <c r="U13" s="15" t="n">
        <v>0</v>
      </c>
      <c r="V13" s="9" t="n">
        <v>1639.5</v>
      </c>
      <c r="W13" s="9" t="n">
        <f aca="false">V13/D13</f>
        <v>96.4411764705882</v>
      </c>
      <c r="X13" s="9" t="n">
        <f aca="false">X12+V13</f>
        <v>13022.2</v>
      </c>
      <c r="AA13" s="9" t="n">
        <v>13.0278553204241</v>
      </c>
    </row>
    <row r="14" s="9" customFormat="true" ht="15" hidden="false" customHeight="false" outlineLevel="0" collapsed="false">
      <c r="A14" s="10"/>
      <c r="B14" s="11"/>
      <c r="C14" s="12" t="n">
        <v>41892</v>
      </c>
      <c r="D14" s="9" t="n">
        <v>15.1</v>
      </c>
      <c r="E14" s="9" t="n">
        <v>10.4</v>
      </c>
      <c r="F14" s="9" t="n">
        <v>20.8</v>
      </c>
      <c r="G14" s="9" t="n">
        <f aca="false">G13+D14</f>
        <v>158.6</v>
      </c>
      <c r="I14" s="13" t="s">
        <v>39</v>
      </c>
      <c r="J14" s="9" t="n">
        <v>0</v>
      </c>
      <c r="K14" s="9" t="n">
        <f aca="false">K13+J14</f>
        <v>0</v>
      </c>
      <c r="L14" s="9" t="n">
        <v>3.4</v>
      </c>
      <c r="M14" s="9" t="n">
        <f aca="false">M13+L14</f>
        <v>28.2</v>
      </c>
      <c r="N14" s="14" t="n">
        <f aca="false">J14-L14</f>
        <v>-3.4</v>
      </c>
      <c r="O14" s="9" t="n">
        <v>0</v>
      </c>
      <c r="P14" s="9" t="n">
        <v>9</v>
      </c>
      <c r="Q14" s="9" t="n">
        <f aca="false">0.35+((P14-8)/81)*(1-0.35)</f>
        <v>0.358024691358025</v>
      </c>
      <c r="R14" s="15" t="n">
        <f aca="false">Q14*L14</f>
        <v>1.21728395061728</v>
      </c>
      <c r="S14" s="15" t="n">
        <f aca="false">J14-R14</f>
        <v>-1.21728395061728</v>
      </c>
      <c r="T14" s="15" t="n">
        <f aca="false">MIN(197.4,(T13+S14))</f>
        <v>10.0177160493827</v>
      </c>
      <c r="U14" s="13" t="s">
        <v>40</v>
      </c>
      <c r="V14" s="9" t="n">
        <v>1805.3</v>
      </c>
      <c r="W14" s="9" t="n">
        <f aca="false">V14/D14</f>
        <v>119.556291390728</v>
      </c>
      <c r="X14" s="9" t="n">
        <f aca="false">X13+V14</f>
        <v>14827.5</v>
      </c>
      <c r="AA14" s="9" t="n">
        <v>12.9696462014545</v>
      </c>
    </row>
    <row r="15" s="9" customFormat="true" ht="15" hidden="false" customHeight="false" outlineLevel="0" collapsed="false">
      <c r="A15" s="10"/>
      <c r="B15" s="11"/>
      <c r="C15" s="12" t="n">
        <v>41893</v>
      </c>
      <c r="D15" s="9" t="n">
        <v>14.4</v>
      </c>
      <c r="E15" s="9" t="n">
        <v>8.9</v>
      </c>
      <c r="F15" s="9" t="n">
        <v>20.2</v>
      </c>
      <c r="G15" s="9" t="n">
        <f aca="false">G14+D15</f>
        <v>173</v>
      </c>
      <c r="I15" s="9" t="n">
        <v>3</v>
      </c>
      <c r="J15" s="9" t="n">
        <v>0</v>
      </c>
      <c r="K15" s="9" t="n">
        <f aca="false">K14+J15</f>
        <v>0</v>
      </c>
      <c r="L15" s="9" t="n">
        <v>3.2</v>
      </c>
      <c r="M15" s="9" t="n">
        <f aca="false">M14+L15</f>
        <v>31.4</v>
      </c>
      <c r="N15" s="14" t="n">
        <f aca="false">J15-L15</f>
        <v>-3.2</v>
      </c>
      <c r="O15" s="9" t="n">
        <v>0</v>
      </c>
      <c r="P15" s="9" t="n">
        <v>10</v>
      </c>
      <c r="Q15" s="9" t="n">
        <f aca="false">0.35+((P15-8)/81)*(1-0.35)</f>
        <v>0.366049382716049</v>
      </c>
      <c r="R15" s="15" t="n">
        <f aca="false">Q15*L15</f>
        <v>1.17135802469136</v>
      </c>
      <c r="S15" s="15" t="n">
        <f aca="false">J15-R15</f>
        <v>-1.17135802469136</v>
      </c>
      <c r="T15" s="15" t="n">
        <f aca="false">MIN(197.4,(T14+S15))</f>
        <v>8.84635802469135</v>
      </c>
      <c r="U15" s="15" t="n">
        <f aca="false">MAX(T6:T94)</f>
        <v>103.307098765432</v>
      </c>
      <c r="V15" s="9" t="n">
        <v>1815.8</v>
      </c>
      <c r="W15" s="9" t="n">
        <f aca="false">V15/D15</f>
        <v>126.097222222222</v>
      </c>
      <c r="X15" s="9" t="n">
        <f aca="false">X14+V15</f>
        <v>16643.3</v>
      </c>
      <c r="AA15" s="9" t="n">
        <v>12.9113432359031</v>
      </c>
    </row>
    <row r="16" s="9" customFormat="true" ht="15" hidden="false" customHeight="false" outlineLevel="0" collapsed="false">
      <c r="A16" s="10"/>
      <c r="B16" s="11"/>
      <c r="C16" s="12" t="n">
        <v>41894</v>
      </c>
      <c r="D16" s="9" t="n">
        <v>15.2</v>
      </c>
      <c r="E16" s="9" t="n">
        <v>9.6</v>
      </c>
      <c r="F16" s="9" t="n">
        <v>20.3</v>
      </c>
      <c r="G16" s="9" t="n">
        <f aca="false">G15+D16</f>
        <v>188.2</v>
      </c>
      <c r="I16" s="13" t="s">
        <v>41</v>
      </c>
      <c r="J16" s="9" t="n">
        <v>0</v>
      </c>
      <c r="K16" s="9" t="n">
        <f aca="false">K15+J16</f>
        <v>0</v>
      </c>
      <c r="L16" s="9" t="n">
        <v>3.6</v>
      </c>
      <c r="M16" s="9" t="n">
        <f aca="false">M15+L16</f>
        <v>35</v>
      </c>
      <c r="N16" s="14" t="n">
        <f aca="false">J16-L16</f>
        <v>-3.6</v>
      </c>
      <c r="O16" s="9" t="n">
        <v>0</v>
      </c>
      <c r="P16" s="9" t="n">
        <v>11</v>
      </c>
      <c r="Q16" s="9" t="n">
        <f aca="false">0.35+((P16-8)/81)*(1-0.35)</f>
        <v>0.374074074074074</v>
      </c>
      <c r="R16" s="15" t="n">
        <f aca="false">Q16*L16</f>
        <v>1.34666666666667</v>
      </c>
      <c r="S16" s="15" t="n">
        <f aca="false">J16-R16</f>
        <v>-1.34666666666667</v>
      </c>
      <c r="T16" s="15" t="n">
        <f aca="false">MIN(197.4,(T15+S16))</f>
        <v>7.49969135802469</v>
      </c>
      <c r="U16" s="13" t="s">
        <v>42</v>
      </c>
      <c r="V16" s="9" t="n">
        <v>1948.3</v>
      </c>
      <c r="W16" s="9" t="n">
        <f aca="false">V16/D16</f>
        <v>128.177631578947</v>
      </c>
      <c r="X16" s="9" t="n">
        <f aca="false">X15+V16</f>
        <v>18591.6</v>
      </c>
      <c r="AA16" s="9" t="n">
        <v>12.8529529376094</v>
      </c>
    </row>
    <row r="17" s="9" customFormat="true" ht="15" hidden="false" customHeight="false" outlineLevel="0" collapsed="false">
      <c r="A17" s="10"/>
      <c r="B17" s="11"/>
      <c r="C17" s="12" t="n">
        <v>41895</v>
      </c>
      <c r="D17" s="9" t="n">
        <v>17.2</v>
      </c>
      <c r="E17" s="9" t="n">
        <v>11.8</v>
      </c>
      <c r="F17" s="9" t="n">
        <v>22.8</v>
      </c>
      <c r="G17" s="9" t="n">
        <f aca="false">G16+D17</f>
        <v>205.4</v>
      </c>
      <c r="I17" s="9" t="n">
        <v>4</v>
      </c>
      <c r="J17" s="9" t="n">
        <v>0</v>
      </c>
      <c r="K17" s="9" t="n">
        <f aca="false">K16+J17</f>
        <v>0</v>
      </c>
      <c r="L17" s="9" t="n">
        <v>3.1</v>
      </c>
      <c r="M17" s="9" t="n">
        <f aca="false">M16+L17</f>
        <v>38.1</v>
      </c>
      <c r="N17" s="14" t="n">
        <f aca="false">J17-L17</f>
        <v>-3.1</v>
      </c>
      <c r="O17" s="9" t="n">
        <v>0</v>
      </c>
      <c r="P17" s="9" t="n">
        <v>12</v>
      </c>
      <c r="Q17" s="9" t="n">
        <f aca="false">0.35+((P17-8)/81)*(1-0.35)</f>
        <v>0.382098765432099</v>
      </c>
      <c r="R17" s="15" t="n">
        <f aca="false">Q17*L17</f>
        <v>1.18450617283951</v>
      </c>
      <c r="S17" s="15" t="n">
        <f aca="false">J17-R17</f>
        <v>-1.18450617283951</v>
      </c>
      <c r="T17" s="15" t="n">
        <f aca="false">MIN(197.4,(T16+S17))</f>
        <v>6.31518518518518</v>
      </c>
      <c r="U17" s="17" t="n">
        <f aca="false">AVERAGE(T6:T94)</f>
        <v>46.2962838119018</v>
      </c>
      <c r="V17" s="9" t="n">
        <v>1563.7</v>
      </c>
      <c r="W17" s="9" t="n">
        <f aca="false">V17/D17</f>
        <v>90.9127906976744</v>
      </c>
      <c r="X17" s="9" t="n">
        <f aca="false">X16+V17</f>
        <v>20155.3</v>
      </c>
      <c r="AA17" s="9" t="n">
        <v>12.79448163691</v>
      </c>
    </row>
    <row r="18" s="9" customFormat="true" ht="15" hidden="false" customHeight="false" outlineLevel="0" collapsed="false">
      <c r="A18" s="10"/>
      <c r="B18" s="11"/>
      <c r="C18" s="12" t="n">
        <v>41896</v>
      </c>
      <c r="D18" s="9" t="n">
        <v>16.8</v>
      </c>
      <c r="E18" s="9" t="n">
        <v>13.8</v>
      </c>
      <c r="F18" s="9" t="n">
        <v>21.2</v>
      </c>
      <c r="G18" s="9" t="n">
        <f aca="false">G17+D18</f>
        <v>222.2</v>
      </c>
      <c r="I18" s="13" t="s">
        <v>43</v>
      </c>
      <c r="J18" s="9" t="n">
        <v>0</v>
      </c>
      <c r="K18" s="9" t="n">
        <f aca="false">K17+J18</f>
        <v>0</v>
      </c>
      <c r="L18" s="9" t="n">
        <v>2.9</v>
      </c>
      <c r="M18" s="9" t="n">
        <f aca="false">M17+L18</f>
        <v>41</v>
      </c>
      <c r="N18" s="14" t="n">
        <f aca="false">J18-L18</f>
        <v>-2.9</v>
      </c>
      <c r="O18" s="9" t="n">
        <v>0</v>
      </c>
      <c r="P18" s="9" t="n">
        <v>13</v>
      </c>
      <c r="Q18" s="9" t="n">
        <f aca="false">0.35+((P18-8)/81)*(1-0.35)</f>
        <v>0.390123456790123</v>
      </c>
      <c r="R18" s="15" t="n">
        <f aca="false">Q18*L18</f>
        <v>1.13135802469136</v>
      </c>
      <c r="S18" s="15" t="n">
        <f aca="false">J18-R18</f>
        <v>-1.13135802469136</v>
      </c>
      <c r="T18" s="15" t="n">
        <f aca="false">MIN(197.4,(T17+S18))</f>
        <v>5.18382716049382</v>
      </c>
      <c r="V18" s="9" t="n">
        <v>1404.3</v>
      </c>
      <c r="W18" s="9" t="n">
        <f aca="false">V18/D18</f>
        <v>83.5892857142857</v>
      </c>
      <c r="X18" s="9" t="n">
        <f aca="false">X17+V18</f>
        <v>21559.6</v>
      </c>
      <c r="AA18" s="9" t="n">
        <v>12.7359354967369</v>
      </c>
    </row>
    <row r="19" s="9" customFormat="true" ht="15" hidden="false" customHeight="false" outlineLevel="0" collapsed="false">
      <c r="A19" s="10"/>
      <c r="B19" s="11"/>
      <c r="C19" s="12" t="n">
        <v>41897</v>
      </c>
      <c r="D19" s="9" t="n">
        <v>17.1</v>
      </c>
      <c r="E19" s="9" t="n">
        <v>11.4</v>
      </c>
      <c r="F19" s="9" t="n">
        <v>23</v>
      </c>
      <c r="G19" s="9" t="n">
        <f aca="false">G18+D19</f>
        <v>239.3</v>
      </c>
      <c r="I19" s="9" t="n">
        <v>1161.7</v>
      </c>
      <c r="J19" s="9" t="n">
        <v>0</v>
      </c>
      <c r="K19" s="9" t="n">
        <f aca="false">K18+J19</f>
        <v>0</v>
      </c>
      <c r="L19" s="9" t="n">
        <v>2.9</v>
      </c>
      <c r="M19" s="9" t="n">
        <f aca="false">M18+L19</f>
        <v>43.9</v>
      </c>
      <c r="N19" s="14" t="n">
        <f aca="false">J19-L19</f>
        <v>-2.9</v>
      </c>
      <c r="O19" s="9" t="n">
        <v>0</v>
      </c>
      <c r="P19" s="9" t="n">
        <v>14</v>
      </c>
      <c r="Q19" s="9" t="n">
        <f aca="false">0.35+((P19-8)/81)*(1-0.35)</f>
        <v>0.398148148148148</v>
      </c>
      <c r="R19" s="15" t="n">
        <f aca="false">Q19*L19</f>
        <v>1.15462962962963</v>
      </c>
      <c r="S19" s="15" t="n">
        <f aca="false">J19-R19</f>
        <v>-1.15462962962963</v>
      </c>
      <c r="T19" s="15" t="n">
        <f aca="false">MIN(197.4,(T18+S19))</f>
        <v>4.02919753086419</v>
      </c>
      <c r="U19" s="15" t="n">
        <f aca="false">(U17*100)/197.4</f>
        <v>23.4530313130202</v>
      </c>
      <c r="V19" s="9" t="n">
        <v>1591.8</v>
      </c>
      <c r="W19" s="9" t="n">
        <f aca="false">V19/D19</f>
        <v>93.0877192982456</v>
      </c>
      <c r="X19" s="9" t="n">
        <f aca="false">X18+V19</f>
        <v>23151.4</v>
      </c>
      <c r="AA19" s="9" t="n">
        <v>12.6773205287652</v>
      </c>
    </row>
    <row r="20" s="9" customFormat="true" ht="15" hidden="false" customHeight="false" outlineLevel="0" collapsed="false">
      <c r="A20" s="10"/>
      <c r="B20" s="11"/>
      <c r="C20" s="12" t="n">
        <v>41898</v>
      </c>
      <c r="D20" s="9" t="n">
        <v>17.7</v>
      </c>
      <c r="E20" s="9" t="n">
        <v>10.6</v>
      </c>
      <c r="F20" s="9" t="n">
        <v>24.3</v>
      </c>
      <c r="G20" s="9" t="n">
        <f aca="false">G19+D20</f>
        <v>257</v>
      </c>
      <c r="J20" s="9" t="n">
        <v>0</v>
      </c>
      <c r="K20" s="9" t="n">
        <f aca="false">K19+J20</f>
        <v>0</v>
      </c>
      <c r="L20" s="9" t="n">
        <v>3.1</v>
      </c>
      <c r="M20" s="9" t="n">
        <f aca="false">M19+L20</f>
        <v>47</v>
      </c>
      <c r="N20" s="14" t="n">
        <f aca="false">J20-L20</f>
        <v>-3.1</v>
      </c>
      <c r="O20" s="9" t="n">
        <v>0</v>
      </c>
      <c r="P20" s="9" t="n">
        <v>15</v>
      </c>
      <c r="Q20" s="9" t="n">
        <f aca="false">0.35+((P20-8)/81)*(1-0.35)</f>
        <v>0.406172839506173</v>
      </c>
      <c r="R20" s="15" t="n">
        <f aca="false">Q20*L20</f>
        <v>1.25913580246914</v>
      </c>
      <c r="S20" s="15" t="n">
        <f aca="false">J20-R20</f>
        <v>-1.25913580246914</v>
      </c>
      <c r="T20" s="15" t="n">
        <f aca="false">MIN(197.4,(T19+S20))</f>
        <v>2.77006172839506</v>
      </c>
      <c r="V20" s="9" t="n">
        <v>1712.9</v>
      </c>
      <c r="W20" s="9" t="n">
        <f aca="false">V20/D20</f>
        <v>96.774011299435</v>
      </c>
      <c r="X20" s="9" t="n">
        <f aca="false">X19+V20</f>
        <v>24864.3</v>
      </c>
      <c r="AA20" s="9" t="n">
        <v>12.6186426096104</v>
      </c>
    </row>
    <row r="21" s="9" customFormat="true" ht="15" hidden="false" customHeight="false" outlineLevel="0" collapsed="false">
      <c r="A21" s="10"/>
      <c r="B21" s="11"/>
      <c r="C21" s="12" t="n">
        <v>41899</v>
      </c>
      <c r="D21" s="9" t="n">
        <v>19.9</v>
      </c>
      <c r="E21" s="9" t="n">
        <v>15.8</v>
      </c>
      <c r="F21" s="18" t="n">
        <v>25</v>
      </c>
      <c r="G21" s="9" t="n">
        <f aca="false">G20+D21</f>
        <v>276.9</v>
      </c>
      <c r="J21" s="9" t="n">
        <v>0</v>
      </c>
      <c r="K21" s="9" t="n">
        <f aca="false">K20+J21</f>
        <v>0</v>
      </c>
      <c r="L21" s="9" t="n">
        <v>2.1</v>
      </c>
      <c r="M21" s="9" t="n">
        <f aca="false">M20+L21</f>
        <v>49.1</v>
      </c>
      <c r="N21" s="14" t="n">
        <f aca="false">J21-L21</f>
        <v>-2.1</v>
      </c>
      <c r="O21" s="9" t="n">
        <v>0</v>
      </c>
      <c r="P21" s="9" t="n">
        <v>16</v>
      </c>
      <c r="Q21" s="9" t="n">
        <f aca="false">0.35+((P21-8)/81)*(1-0.35)</f>
        <v>0.414197530864198</v>
      </c>
      <c r="R21" s="15" t="n">
        <f aca="false">Q21*L21</f>
        <v>0.869814814814815</v>
      </c>
      <c r="S21" s="15" t="n">
        <f aca="false">J21-R21</f>
        <v>-0.869814814814815</v>
      </c>
      <c r="T21" s="15" t="n">
        <f aca="false">MIN(197.4,(T20+S21))</f>
        <v>1.90024691358024</v>
      </c>
      <c r="V21" s="19" t="n">
        <v>865.3</v>
      </c>
      <c r="W21" s="9" t="n">
        <f aca="false">V21/D21</f>
        <v>43.4824120603015</v>
      </c>
      <c r="X21" s="9" t="n">
        <f aca="false">X20+V21</f>
        <v>25729.6</v>
      </c>
      <c r="AA21" s="9" t="n">
        <v>12.5599074970745</v>
      </c>
    </row>
    <row r="22" s="9" customFormat="true" ht="15" hidden="false" customHeight="false" outlineLevel="0" collapsed="false">
      <c r="A22" s="10"/>
      <c r="B22" s="11"/>
      <c r="C22" s="12" t="n">
        <v>41900</v>
      </c>
      <c r="D22" s="9" t="n">
        <v>19.5</v>
      </c>
      <c r="E22" s="9" t="n">
        <v>15</v>
      </c>
      <c r="F22" s="18" t="n">
        <v>26.6</v>
      </c>
      <c r="G22" s="9" t="n">
        <f aca="false">G21+D22</f>
        <v>296.4</v>
      </c>
      <c r="J22" s="9" t="n">
        <v>6</v>
      </c>
      <c r="K22" s="9" t="n">
        <f aca="false">K21+J22</f>
        <v>6</v>
      </c>
      <c r="L22" s="9" t="n">
        <v>3.1</v>
      </c>
      <c r="M22" s="9" t="n">
        <f aca="false">M21+L22</f>
        <v>52.2</v>
      </c>
      <c r="N22" s="9" t="n">
        <f aca="false">J22-L22</f>
        <v>2.9</v>
      </c>
      <c r="O22" s="9" t="n">
        <f aca="false">O21+N22</f>
        <v>2.9</v>
      </c>
      <c r="P22" s="9" t="n">
        <v>17</v>
      </c>
      <c r="Q22" s="9" t="n">
        <f aca="false">0.35+((P22-8)/81)*(1-0.35)</f>
        <v>0.422222222222222</v>
      </c>
      <c r="R22" s="15" t="n">
        <f aca="false">Q22*L22</f>
        <v>1.30888888888889</v>
      </c>
      <c r="S22" s="15" t="n">
        <f aca="false">J22-R22</f>
        <v>4.69111111111111</v>
      </c>
      <c r="T22" s="15" t="n">
        <f aca="false">MIN(197.4,(T21+S22))</f>
        <v>6.59135802469135</v>
      </c>
      <c r="V22" s="9" t="n">
        <v>1355.2</v>
      </c>
      <c r="W22" s="9" t="n">
        <f aca="false">V22/D22</f>
        <v>69.4974358974359</v>
      </c>
      <c r="X22" s="9" t="n">
        <f aca="false">X21+V22</f>
        <v>27084.8</v>
      </c>
      <c r="AA22" s="9" t="n">
        <v>12.501120846445</v>
      </c>
    </row>
    <row r="23" s="9" customFormat="true" ht="15" hidden="false" customHeight="false" outlineLevel="0" collapsed="false">
      <c r="A23" s="10"/>
      <c r="B23" s="11"/>
      <c r="C23" s="12" t="n">
        <v>41901</v>
      </c>
      <c r="D23" s="9" t="n">
        <v>18.2</v>
      </c>
      <c r="E23" s="9" t="n">
        <v>13.9</v>
      </c>
      <c r="F23" s="9" t="n">
        <v>24.3</v>
      </c>
      <c r="G23" s="9" t="n">
        <f aca="false">G22+D23</f>
        <v>314.6</v>
      </c>
      <c r="J23" s="9" t="n">
        <v>0.1</v>
      </c>
      <c r="K23" s="9" t="n">
        <f aca="false">K22+J23</f>
        <v>6.1</v>
      </c>
      <c r="L23" s="9" t="n">
        <v>2.4</v>
      </c>
      <c r="M23" s="9" t="n">
        <f aca="false">M22+L23</f>
        <v>54.6</v>
      </c>
      <c r="N23" s="14" t="n">
        <f aca="false">J23-L23</f>
        <v>-2.3</v>
      </c>
      <c r="O23" s="9" t="n">
        <f aca="false">O22+N23</f>
        <v>0.6</v>
      </c>
      <c r="P23" s="9" t="n">
        <v>18</v>
      </c>
      <c r="Q23" s="9" t="n">
        <f aca="false">0.35+((P23-8)/81)*(1-0.35)</f>
        <v>0.430246913580247</v>
      </c>
      <c r="R23" s="15" t="n">
        <f aca="false">Q23*L23</f>
        <v>1.03259259259259</v>
      </c>
      <c r="S23" s="15" t="n">
        <f aca="false">J23-R23</f>
        <v>-0.932592592592593</v>
      </c>
      <c r="T23" s="15" t="n">
        <f aca="false">MIN(197.4,(T22+S23))</f>
        <v>5.65876543209876</v>
      </c>
      <c r="V23" s="9" t="n">
        <v>1135.2</v>
      </c>
      <c r="W23" s="9" t="n">
        <f aca="false">V23/D23</f>
        <v>62.3736263736264</v>
      </c>
      <c r="X23" s="9" t="n">
        <f aca="false">X22+V23</f>
        <v>28220</v>
      </c>
      <c r="AA23" s="9" t="n">
        <v>12.4422882268457</v>
      </c>
    </row>
    <row r="24" s="9" customFormat="true" ht="15" hidden="false" customHeight="false" outlineLevel="0" collapsed="false">
      <c r="A24" s="10"/>
      <c r="B24" s="11"/>
      <c r="C24" s="12" t="n">
        <v>41902</v>
      </c>
      <c r="D24" s="9" t="n">
        <v>18.4</v>
      </c>
      <c r="E24" s="9" t="n">
        <v>13.9</v>
      </c>
      <c r="F24" s="18" t="n">
        <v>25.6</v>
      </c>
      <c r="G24" s="9" t="n">
        <f aca="false">G23+D24</f>
        <v>333</v>
      </c>
      <c r="J24" s="9" t="n">
        <v>2.3</v>
      </c>
      <c r="K24" s="9" t="n">
        <f aca="false">K23+J24</f>
        <v>8.4</v>
      </c>
      <c r="L24" s="9" t="n">
        <v>2.5</v>
      </c>
      <c r="M24" s="9" t="n">
        <f aca="false">M23+L24</f>
        <v>57.1</v>
      </c>
      <c r="N24" s="14" t="n">
        <f aca="false">J24-L24</f>
        <v>-0.2</v>
      </c>
      <c r="O24" s="9" t="n">
        <f aca="false">O23+N24</f>
        <v>0.4</v>
      </c>
      <c r="P24" s="9" t="n">
        <v>19</v>
      </c>
      <c r="Q24" s="9" t="n">
        <f aca="false">0.35+((P24-8)/81)*(1-0.35)</f>
        <v>0.438271604938272</v>
      </c>
      <c r="R24" s="15" t="n">
        <f aca="false">Q24*L24</f>
        <v>1.09567901234568</v>
      </c>
      <c r="S24" s="15" t="n">
        <f aca="false">J24-R24</f>
        <v>1.20432098765432</v>
      </c>
      <c r="T24" s="15" t="n">
        <f aca="false">MIN(197.4,(T23+S24))</f>
        <v>6.86308641975308</v>
      </c>
      <c r="V24" s="9" t="n">
        <v>1114.8</v>
      </c>
      <c r="W24" s="9" t="n">
        <f aca="false">V24/D24</f>
        <v>60.5869565217391</v>
      </c>
      <c r="X24" s="9" t="n">
        <f aca="false">X23+V24</f>
        <v>29334.8</v>
      </c>
      <c r="AA24" s="9" t="n">
        <v>12.3834151376472</v>
      </c>
    </row>
    <row r="25" s="9" customFormat="true" ht="15" hidden="false" customHeight="false" outlineLevel="0" collapsed="false">
      <c r="A25" s="10"/>
      <c r="B25" s="11"/>
      <c r="C25" s="12" t="n">
        <v>41903</v>
      </c>
      <c r="D25" s="9" t="n">
        <v>16.3</v>
      </c>
      <c r="E25" s="9" t="n">
        <v>15.9</v>
      </c>
      <c r="F25" s="9" t="n">
        <v>19.8</v>
      </c>
      <c r="G25" s="9" t="n">
        <f aca="false">G24+D25</f>
        <v>349.3</v>
      </c>
      <c r="J25" s="9" t="n">
        <v>4.8</v>
      </c>
      <c r="K25" s="9" t="n">
        <f aca="false">K24+J25</f>
        <v>13.2</v>
      </c>
      <c r="L25" s="9" t="n">
        <v>1.7</v>
      </c>
      <c r="M25" s="9" t="n">
        <f aca="false">M24+L25</f>
        <v>58.8</v>
      </c>
      <c r="N25" s="9" t="n">
        <f aca="false">J25-L25</f>
        <v>3.1</v>
      </c>
      <c r="O25" s="9" t="n">
        <f aca="false">O24+N25</f>
        <v>3.5</v>
      </c>
      <c r="P25" s="9" t="n">
        <v>20</v>
      </c>
      <c r="Q25" s="9" t="n">
        <f aca="false">0.35+((P25-8)/81)*(1-0.35)</f>
        <v>0.446296296296296</v>
      </c>
      <c r="R25" s="15" t="n">
        <f aca="false">Q25*L25</f>
        <v>0.758703703703704</v>
      </c>
      <c r="S25" s="15" t="n">
        <f aca="false">J25-R25</f>
        <v>4.0412962962963</v>
      </c>
      <c r="T25" s="15" t="n">
        <f aca="false">MIN(197.4,(T24+S25))</f>
        <v>10.9043827160494</v>
      </c>
      <c r="V25" s="19" t="n">
        <v>722.9</v>
      </c>
      <c r="W25" s="9" t="n">
        <f aca="false">V25/D25</f>
        <v>44.3496932515337</v>
      </c>
      <c r="X25" s="9" t="n">
        <f aca="false">X24+V25</f>
        <v>30057.7</v>
      </c>
      <c r="AA25" s="9" t="n">
        <v>12.3245070249378</v>
      </c>
    </row>
    <row r="26" s="9" customFormat="true" ht="15" hidden="false" customHeight="false" outlineLevel="0" collapsed="false">
      <c r="A26" s="10"/>
      <c r="B26" s="11"/>
      <c r="C26" s="12" t="n">
        <v>41904</v>
      </c>
      <c r="D26" s="9" t="n">
        <v>12.5</v>
      </c>
      <c r="E26" s="9" t="n">
        <v>8.5</v>
      </c>
      <c r="F26" s="9" t="n">
        <v>17.2</v>
      </c>
      <c r="G26" s="9" t="n">
        <f aca="false">G25+D26</f>
        <v>361.8</v>
      </c>
      <c r="J26" s="9" t="n">
        <v>0</v>
      </c>
      <c r="K26" s="9" t="n">
        <f aca="false">K25+J26</f>
        <v>13.2</v>
      </c>
      <c r="L26" s="9" t="n">
        <v>2.1</v>
      </c>
      <c r="M26" s="9" t="n">
        <f aca="false">M25+L26</f>
        <v>60.9</v>
      </c>
      <c r="N26" s="14" t="n">
        <f aca="false">J26-L26</f>
        <v>-2.1</v>
      </c>
      <c r="O26" s="9" t="n">
        <f aca="false">O25+N26</f>
        <v>1.4</v>
      </c>
      <c r="P26" s="9" t="n">
        <v>21</v>
      </c>
      <c r="Q26" s="9" t="n">
        <f aca="false">0.35+((P26-8)/81)*(1-0.35)</f>
        <v>0.454320987654321</v>
      </c>
      <c r="R26" s="15" t="n">
        <f aca="false">Q26*L26</f>
        <v>0.954074074074074</v>
      </c>
      <c r="S26" s="15" t="n">
        <f aca="false">J26-R26</f>
        <v>-0.954074074074074</v>
      </c>
      <c r="T26" s="15" t="n">
        <f aca="false">MIN(197.4,(T25+S26))</f>
        <v>9.95030864197531</v>
      </c>
      <c r="V26" s="9" t="n">
        <v>1131.5</v>
      </c>
      <c r="W26" s="9" t="n">
        <f aca="false">V26/D26</f>
        <v>90.52</v>
      </c>
      <c r="X26" s="9" t="n">
        <f aca="false">X25+V26</f>
        <v>31189.2</v>
      </c>
      <c r="AA26" s="9" t="n">
        <v>12.2655692980621</v>
      </c>
    </row>
    <row r="27" s="9" customFormat="true" ht="15" hidden="false" customHeight="false" outlineLevel="0" collapsed="false">
      <c r="A27" s="10"/>
      <c r="B27" s="11"/>
      <c r="C27" s="12" t="n">
        <v>41905</v>
      </c>
      <c r="D27" s="9" t="n">
        <v>11.7</v>
      </c>
      <c r="E27" s="9" t="n">
        <v>7.8</v>
      </c>
      <c r="F27" s="9" t="n">
        <v>17.1</v>
      </c>
      <c r="G27" s="9" t="n">
        <f aca="false">G26+D27</f>
        <v>373.5</v>
      </c>
      <c r="J27" s="9" t="n">
        <v>0</v>
      </c>
      <c r="K27" s="9" t="n">
        <f aca="false">K26+J27</f>
        <v>13.2</v>
      </c>
      <c r="L27" s="9" t="n">
        <v>2.3</v>
      </c>
      <c r="M27" s="9" t="n">
        <f aca="false">M26+L27</f>
        <v>63.2</v>
      </c>
      <c r="N27" s="14" t="n">
        <f aca="false">J27-L27</f>
        <v>-2.3</v>
      </c>
      <c r="O27" s="9" t="n">
        <v>0</v>
      </c>
      <c r="P27" s="9" t="n">
        <v>22</v>
      </c>
      <c r="Q27" s="9" t="n">
        <f aca="false">0.35+((P27-8)/81)*(1-0.35)</f>
        <v>0.462345679012346</v>
      </c>
      <c r="R27" s="15" t="n">
        <f aca="false">Q27*L27</f>
        <v>1.0633950617284</v>
      </c>
      <c r="S27" s="15" t="n">
        <f aca="false">J27-R27</f>
        <v>-1.0633950617284</v>
      </c>
      <c r="T27" s="15" t="n">
        <f aca="false">MIN(197.4,(T26+S27))</f>
        <v>8.88691358024691</v>
      </c>
      <c r="V27" s="9" t="n">
        <v>1328.5</v>
      </c>
      <c r="W27" s="9" t="n">
        <f aca="false">V27/D27</f>
        <v>113.547008547009</v>
      </c>
      <c r="X27" s="9" t="n">
        <f aca="false">X26+V27</f>
        <v>32517.7</v>
      </c>
      <c r="AA27" s="9" t="n">
        <v>12.2066073462328</v>
      </c>
    </row>
    <row r="28" s="9" customFormat="true" ht="15" hidden="false" customHeight="false" outlineLevel="0" collapsed="false">
      <c r="A28" s="10"/>
      <c r="B28" s="11"/>
      <c r="C28" s="12" t="n">
        <v>41906</v>
      </c>
      <c r="D28" s="9" t="n">
        <v>12.3</v>
      </c>
      <c r="E28" s="9" t="n">
        <v>6.4</v>
      </c>
      <c r="F28" s="9" t="n">
        <v>17.7</v>
      </c>
      <c r="G28" s="9" t="n">
        <f aca="false">G27+D28</f>
        <v>385.8</v>
      </c>
      <c r="J28" s="9" t="n">
        <v>0</v>
      </c>
      <c r="K28" s="9" t="n">
        <f aca="false">K27+J28</f>
        <v>13.2</v>
      </c>
      <c r="L28" s="9" t="n">
        <v>2.3</v>
      </c>
      <c r="M28" s="9" t="n">
        <f aca="false">M27+L28</f>
        <v>65.5</v>
      </c>
      <c r="N28" s="14" t="n">
        <f aca="false">J28-L28</f>
        <v>-2.3</v>
      </c>
      <c r="O28" s="9" t="n">
        <v>0</v>
      </c>
      <c r="P28" s="9" t="n">
        <v>23</v>
      </c>
      <c r="Q28" s="9" t="n">
        <f aca="false">0.35+((P28-8)/81)*(1-0.35)</f>
        <v>0.47037037037037</v>
      </c>
      <c r="R28" s="15" t="n">
        <f aca="false">Q28*L28</f>
        <v>1.08185185185185</v>
      </c>
      <c r="S28" s="15" t="n">
        <f aca="false">J28-R28</f>
        <v>-1.08185185185185</v>
      </c>
      <c r="T28" s="15" t="n">
        <f aca="false">MIN(197.4,(T27+S28))</f>
        <v>7.80506172839506</v>
      </c>
      <c r="V28" s="9" t="n">
        <v>1378.4</v>
      </c>
      <c r="W28" s="9" t="n">
        <f aca="false">V28/D28</f>
        <v>112.065040650407</v>
      </c>
      <c r="X28" s="9" t="n">
        <f aca="false">X27+V28</f>
        <v>33896.1</v>
      </c>
      <c r="AA28" s="9" t="n">
        <v>12.1476265552203</v>
      </c>
    </row>
    <row r="29" s="9" customFormat="true" ht="15" hidden="false" customHeight="false" outlineLevel="0" collapsed="false">
      <c r="A29" s="10"/>
      <c r="B29" s="11"/>
      <c r="C29" s="12" t="n">
        <v>41907</v>
      </c>
      <c r="D29" s="9" t="n">
        <v>12.2</v>
      </c>
      <c r="E29" s="9" t="n">
        <v>8.2</v>
      </c>
      <c r="F29" s="9" t="n">
        <v>18</v>
      </c>
      <c r="G29" s="9" t="n">
        <f aca="false">G28+D29</f>
        <v>398</v>
      </c>
      <c r="J29" s="9" t="n">
        <v>0</v>
      </c>
      <c r="K29" s="9" t="n">
        <f aca="false">K28+J29</f>
        <v>13.2</v>
      </c>
      <c r="L29" s="9" t="n">
        <v>1.7</v>
      </c>
      <c r="M29" s="9" t="n">
        <f aca="false">M28+L29</f>
        <v>67.2</v>
      </c>
      <c r="N29" s="14" t="n">
        <f aca="false">J29-L29</f>
        <v>-1.7</v>
      </c>
      <c r="O29" s="9" t="n">
        <v>0</v>
      </c>
      <c r="P29" s="9" t="n">
        <v>24</v>
      </c>
      <c r="Q29" s="9" t="n">
        <f aca="false">0.35+((P29-8)/81)*(1-0.35)</f>
        <v>0.478395061728395</v>
      </c>
      <c r="R29" s="15" t="n">
        <f aca="false">Q29*L29</f>
        <v>0.813271604938272</v>
      </c>
      <c r="S29" s="15" t="n">
        <f aca="false">J29-R29</f>
        <v>-0.813271604938272</v>
      </c>
      <c r="T29" s="15" t="n">
        <f aca="false">MIN(197.4,(T28+S29))</f>
        <v>6.99179012345679</v>
      </c>
      <c r="V29" s="9" t="n">
        <v>945.8</v>
      </c>
      <c r="W29" s="9" t="n">
        <f aca="false">V29/D29</f>
        <v>77.5245901639344</v>
      </c>
      <c r="X29" s="9" t="n">
        <f aca="false">X28+V29</f>
        <v>34841.9</v>
      </c>
      <c r="AA29" s="9" t="n">
        <v>12.0886323241277</v>
      </c>
    </row>
    <row r="30" s="9" customFormat="true" ht="15" hidden="false" customHeight="false" outlineLevel="0" collapsed="false">
      <c r="A30" s="10"/>
      <c r="B30" s="11"/>
      <c r="C30" s="12" t="n">
        <v>41908</v>
      </c>
      <c r="D30" s="9" t="n">
        <v>12.8</v>
      </c>
      <c r="E30" s="9" t="n">
        <v>5.7</v>
      </c>
      <c r="F30" s="9" t="n">
        <v>20.8</v>
      </c>
      <c r="G30" s="9" t="n">
        <f aca="false">G29+D30</f>
        <v>410.8</v>
      </c>
      <c r="J30" s="9" t="n">
        <v>0</v>
      </c>
      <c r="K30" s="9" t="n">
        <f aca="false">K29+J30</f>
        <v>13.2</v>
      </c>
      <c r="L30" s="9" t="n">
        <v>2.5</v>
      </c>
      <c r="M30" s="9" t="n">
        <f aca="false">M29+L30</f>
        <v>69.7</v>
      </c>
      <c r="N30" s="14" t="n">
        <f aca="false">J30-L30</f>
        <v>-2.5</v>
      </c>
      <c r="O30" s="9" t="n">
        <v>0</v>
      </c>
      <c r="P30" s="9" t="n">
        <v>25</v>
      </c>
      <c r="Q30" s="9" t="n">
        <f aca="false">0.35+((P30-8)/81)*(1-0.35)</f>
        <v>0.48641975308642</v>
      </c>
      <c r="R30" s="15" t="n">
        <f aca="false">Q30*L30</f>
        <v>1.21604938271605</v>
      </c>
      <c r="S30" s="15" t="n">
        <f aca="false">J30-R30</f>
        <v>-1.21604938271605</v>
      </c>
      <c r="T30" s="15" t="n">
        <f aca="false">MIN(197.4,(T29+S30))</f>
        <v>5.77574074074074</v>
      </c>
      <c r="V30" s="9" t="n">
        <v>1388.8</v>
      </c>
      <c r="W30" s="9" t="n">
        <f aca="false">V30/D30</f>
        <v>108.5</v>
      </c>
      <c r="X30" s="9" t="n">
        <f aca="false">X29+V30</f>
        <v>36230.7</v>
      </c>
      <c r="AA30" s="9" t="n">
        <v>12.0296300822569</v>
      </c>
    </row>
    <row r="31" s="9" customFormat="true" ht="15" hidden="false" customHeight="false" outlineLevel="0" collapsed="false">
      <c r="A31" s="10"/>
      <c r="B31" s="11"/>
      <c r="C31" s="12" t="n">
        <v>41909</v>
      </c>
      <c r="D31" s="9" t="n">
        <v>15</v>
      </c>
      <c r="E31" s="9" t="n">
        <v>7.9</v>
      </c>
      <c r="F31" s="9" t="n">
        <v>22.3</v>
      </c>
      <c r="G31" s="9" t="n">
        <f aca="false">G30+D31</f>
        <v>425.8</v>
      </c>
      <c r="J31" s="9" t="n">
        <v>0</v>
      </c>
      <c r="K31" s="9" t="n">
        <f aca="false">K30+J31</f>
        <v>13.2</v>
      </c>
      <c r="L31" s="9" t="n">
        <v>2.8</v>
      </c>
      <c r="M31" s="9" t="n">
        <f aca="false">M30+L31</f>
        <v>72.5</v>
      </c>
      <c r="N31" s="14" t="n">
        <f aca="false">J31-L31</f>
        <v>-2.8</v>
      </c>
      <c r="O31" s="9" t="n">
        <v>0</v>
      </c>
      <c r="P31" s="9" t="n">
        <v>26</v>
      </c>
      <c r="Q31" s="9" t="n">
        <f aca="false">0.35+((P31-8)/81)*(1-0.35)</f>
        <v>0.494444444444444</v>
      </c>
      <c r="R31" s="15" t="n">
        <f aca="false">Q31*L31</f>
        <v>1.38444444444444</v>
      </c>
      <c r="S31" s="15" t="n">
        <f aca="false">J31-R31</f>
        <v>-1.38444444444444</v>
      </c>
      <c r="T31" s="15" t="n">
        <f aca="false">MIN(197.4,(T30+S31))</f>
        <v>4.39129629629629</v>
      </c>
      <c r="V31" s="9" t="n">
        <v>1537.1</v>
      </c>
      <c r="W31" s="9" t="n">
        <f aca="false">V31/D31</f>
        <v>102.473333333333</v>
      </c>
      <c r="X31" s="9" t="n">
        <f aca="false">X30+V31</f>
        <v>37767.8</v>
      </c>
      <c r="AA31" s="9" t="n">
        <v>11.9706253060723</v>
      </c>
    </row>
    <row r="32" s="9" customFormat="true" ht="15" hidden="false" customHeight="false" outlineLevel="0" collapsed="false">
      <c r="A32" s="10"/>
      <c r="B32" s="11"/>
      <c r="C32" s="12" t="n">
        <v>41910</v>
      </c>
      <c r="D32" s="9" t="n">
        <v>16</v>
      </c>
      <c r="E32" s="9" t="n">
        <v>9.1</v>
      </c>
      <c r="F32" s="9" t="n">
        <v>24</v>
      </c>
      <c r="G32" s="9" t="n">
        <f aca="false">G31+D32</f>
        <v>441.8</v>
      </c>
      <c r="J32" s="9" t="n">
        <v>1.5</v>
      </c>
      <c r="K32" s="9" t="n">
        <f aca="false">K31+J32</f>
        <v>14.7</v>
      </c>
      <c r="L32" s="9" t="n">
        <v>2.5</v>
      </c>
      <c r="M32" s="9" t="n">
        <f aca="false">M31+L32</f>
        <v>75</v>
      </c>
      <c r="N32" s="14" t="n">
        <f aca="false">J32-L32</f>
        <v>-1</v>
      </c>
      <c r="O32" s="9" t="n">
        <v>0</v>
      </c>
      <c r="P32" s="9" t="n">
        <v>27</v>
      </c>
      <c r="Q32" s="9" t="n">
        <f aca="false">0.35+((P32-8)/81)*(1-0.35)</f>
        <v>0.502469135802469</v>
      </c>
      <c r="R32" s="15" t="n">
        <f aca="false">Q32*L32</f>
        <v>1.25617283950617</v>
      </c>
      <c r="S32" s="15" t="n">
        <f aca="false">J32-R32</f>
        <v>0.243827160493827</v>
      </c>
      <c r="T32" s="15" t="n">
        <f aca="false">MIN(197.4,(T31+S32))</f>
        <v>4.63512345679012</v>
      </c>
      <c r="V32" s="9" t="n">
        <v>1136.6</v>
      </c>
      <c r="W32" s="9" t="n">
        <f aca="false">V32/D32</f>
        <v>71.0375</v>
      </c>
      <c r="X32" s="9" t="n">
        <f aca="false">X31+V32</f>
        <v>38904.4</v>
      </c>
      <c r="AA32" s="9" t="n">
        <v>11.9116235362678</v>
      </c>
    </row>
    <row r="33" s="9" customFormat="true" ht="15" hidden="false" customHeight="false" outlineLevel="0" collapsed="false">
      <c r="A33" s="10"/>
      <c r="B33" s="11"/>
      <c r="C33" s="12" t="n">
        <v>41911</v>
      </c>
      <c r="D33" s="9" t="n">
        <v>16.9</v>
      </c>
      <c r="E33" s="9" t="n">
        <v>13.1</v>
      </c>
      <c r="F33" s="9" t="n">
        <v>19.2</v>
      </c>
      <c r="G33" s="9" t="n">
        <f aca="false">G32+D33</f>
        <v>458.7</v>
      </c>
      <c r="J33" s="9" t="n">
        <v>0.5</v>
      </c>
      <c r="K33" s="9" t="n">
        <f aca="false">K32+J33</f>
        <v>15.2</v>
      </c>
      <c r="L33" s="9" t="n">
        <v>0.9</v>
      </c>
      <c r="M33" s="9" t="n">
        <f aca="false">M32+L33</f>
        <v>75.9</v>
      </c>
      <c r="N33" s="14" t="n">
        <f aca="false">J33-L33</f>
        <v>-0.4</v>
      </c>
      <c r="O33" s="9" t="n">
        <v>0</v>
      </c>
      <c r="P33" s="9" t="n">
        <v>28</v>
      </c>
      <c r="Q33" s="9" t="n">
        <f aca="false">0.35+((P33-8)/81)*(1-0.35)</f>
        <v>0.510493827160494</v>
      </c>
      <c r="R33" s="15" t="n">
        <f aca="false">Q33*L33</f>
        <v>0.459444444444444</v>
      </c>
      <c r="S33" s="15" t="n">
        <f aca="false">J33-R33</f>
        <v>0.0405555555555556</v>
      </c>
      <c r="T33" s="15" t="n">
        <f aca="false">MIN(197.4,(T32+S33))</f>
        <v>4.67567901234568</v>
      </c>
      <c r="V33" s="19" t="n">
        <v>485.6</v>
      </c>
      <c r="W33" s="9" t="n">
        <f aca="false">V33/D33</f>
        <v>28.7337278106509</v>
      </c>
      <c r="X33" s="9" t="n">
        <f aca="false">X32+V33</f>
        <v>39390</v>
      </c>
      <c r="AA33" s="9" t="n">
        <v>11.8526303949435</v>
      </c>
    </row>
    <row r="34" s="9" customFormat="true" ht="15" hidden="false" customHeight="false" outlineLevel="0" collapsed="false">
      <c r="A34" s="10"/>
      <c r="B34" s="11"/>
      <c r="C34" s="12" t="n">
        <v>41912</v>
      </c>
      <c r="D34" s="9" t="n">
        <v>16.5</v>
      </c>
      <c r="E34" s="9" t="n">
        <v>14.8</v>
      </c>
      <c r="F34" s="9" t="n">
        <v>20.3</v>
      </c>
      <c r="G34" s="9" t="n">
        <f aca="false">G33+D34</f>
        <v>475.2</v>
      </c>
      <c r="J34" s="9" t="n">
        <v>0</v>
      </c>
      <c r="K34" s="9" t="n">
        <f aca="false">K33+J34</f>
        <v>15.2</v>
      </c>
      <c r="L34" s="9" t="n">
        <v>2.5</v>
      </c>
      <c r="M34" s="9" t="n">
        <f aca="false">M33+L34</f>
        <v>78.4</v>
      </c>
      <c r="N34" s="14" t="n">
        <f aca="false">J34-L34</f>
        <v>-2.5</v>
      </c>
      <c r="O34" s="9" t="n">
        <v>0</v>
      </c>
      <c r="P34" s="9" t="n">
        <v>29</v>
      </c>
      <c r="Q34" s="9" t="n">
        <f aca="false">0.35+((P34-8)/81)*(1-0.35)</f>
        <v>0.518518518518519</v>
      </c>
      <c r="R34" s="15" t="n">
        <f aca="false">Q34*L34</f>
        <v>1.2962962962963</v>
      </c>
      <c r="S34" s="15" t="n">
        <f aca="false">J34-R34</f>
        <v>-1.2962962962963</v>
      </c>
      <c r="T34" s="15" t="n">
        <f aca="false">MIN(197.4,(T33+S34))</f>
        <v>3.37938271604938</v>
      </c>
      <c r="V34" s="9" t="n">
        <v>1342.1</v>
      </c>
      <c r="W34" s="9" t="n">
        <f aca="false">V34/D34</f>
        <v>81.3393939393939</v>
      </c>
      <c r="X34" s="9" t="n">
        <f aca="false">X33+V34</f>
        <v>40732.1</v>
      </c>
      <c r="AA34" s="9" t="n">
        <v>11.7936516028964</v>
      </c>
    </row>
    <row r="35" s="9" customFormat="true" ht="15" hidden="false" customHeight="false" outlineLevel="0" collapsed="false">
      <c r="A35" s="10"/>
      <c r="B35" s="11"/>
      <c r="C35" s="12" t="n">
        <v>41913</v>
      </c>
      <c r="D35" s="9" t="n">
        <v>15.4</v>
      </c>
      <c r="E35" s="9" t="n">
        <v>10</v>
      </c>
      <c r="F35" s="9" t="n">
        <v>22.5</v>
      </c>
      <c r="G35" s="9" t="n">
        <f aca="false">G34+D35</f>
        <v>490.6</v>
      </c>
      <c r="J35" s="9" t="n">
        <v>0</v>
      </c>
      <c r="K35" s="9" t="n">
        <f aca="false">K34+J35</f>
        <v>15.2</v>
      </c>
      <c r="L35" s="9" t="n">
        <v>2.1</v>
      </c>
      <c r="M35" s="9" t="n">
        <f aca="false">M34+L35</f>
        <v>80.5</v>
      </c>
      <c r="N35" s="14" t="n">
        <f aca="false">J35-L35</f>
        <v>-2.1</v>
      </c>
      <c r="O35" s="9" t="n">
        <v>0</v>
      </c>
      <c r="P35" s="9" t="n">
        <v>30</v>
      </c>
      <c r="Q35" s="9" t="n">
        <f aca="false">0.35+((P35-8)/81)*(1-0.35)</f>
        <v>0.526543209876543</v>
      </c>
      <c r="R35" s="15" t="n">
        <f aca="false">Q35*L35</f>
        <v>1.10574074074074</v>
      </c>
      <c r="S35" s="15" t="n">
        <f aca="false">J35-R35</f>
        <v>-1.10574074074074</v>
      </c>
      <c r="T35" s="15" t="n">
        <f aca="false">MIN(197.4,(T34+S35))</f>
        <v>2.27364197530864</v>
      </c>
      <c r="V35" s="9" t="n">
        <v>1089.9</v>
      </c>
      <c r="W35" s="9" t="n">
        <f aca="false">V35/D35</f>
        <v>70.7727272727273</v>
      </c>
      <c r="X35" s="9" t="n">
        <f aca="false">X34+V35</f>
        <v>41822</v>
      </c>
      <c r="AA35" s="9" t="n">
        <v>11.7346929970311</v>
      </c>
    </row>
    <row r="36" s="9" customFormat="true" ht="15" hidden="false" customHeight="false" outlineLevel="0" collapsed="false">
      <c r="A36" s="10"/>
      <c r="B36" s="11"/>
      <c r="C36" s="12" t="n">
        <v>41914</v>
      </c>
      <c r="D36" s="9" t="n">
        <v>15.7</v>
      </c>
      <c r="E36" s="9" t="n">
        <v>10.6</v>
      </c>
      <c r="F36" s="9" t="n">
        <v>22.5</v>
      </c>
      <c r="G36" s="9" t="n">
        <f aca="false">G35+D36</f>
        <v>506.3</v>
      </c>
      <c r="J36" s="9" t="n">
        <v>0</v>
      </c>
      <c r="K36" s="9" t="n">
        <f aca="false">K35+J36</f>
        <v>15.2</v>
      </c>
      <c r="L36" s="9" t="n">
        <v>2</v>
      </c>
      <c r="M36" s="9" t="n">
        <f aca="false">M35+L36</f>
        <v>82.5</v>
      </c>
      <c r="N36" s="14" t="n">
        <f aca="false">J36-L36</f>
        <v>-2</v>
      </c>
      <c r="O36" s="9" t="n">
        <v>0</v>
      </c>
      <c r="P36" s="9" t="n">
        <v>31</v>
      </c>
      <c r="Q36" s="9" t="n">
        <f aca="false">0.35+((P36-8)/81)*(1-0.35)</f>
        <v>0.534567901234568</v>
      </c>
      <c r="R36" s="15" t="n">
        <f aca="false">Q36*L36</f>
        <v>1.06913580246914</v>
      </c>
      <c r="S36" s="15" t="n">
        <f aca="false">J36-R36</f>
        <v>-1.06913580246914</v>
      </c>
      <c r="T36" s="15" t="n">
        <f aca="false">MIN(197.4,(T35+S36))</f>
        <v>1.2045061728395</v>
      </c>
      <c r="V36" s="9" t="n">
        <v>905.6</v>
      </c>
      <c r="W36" s="9" t="n">
        <f aca="false">V36/D36</f>
        <v>57.6815286624204</v>
      </c>
      <c r="X36" s="9" t="n">
        <f aca="false">X35+V36</f>
        <v>42727.6</v>
      </c>
      <c r="AA36" s="9" t="n">
        <v>11.6757605478923</v>
      </c>
    </row>
    <row r="37" s="9" customFormat="true" ht="15" hidden="false" customHeight="false" outlineLevel="0" collapsed="false">
      <c r="A37" s="10"/>
      <c r="B37" s="11"/>
      <c r="C37" s="12" t="n">
        <v>41915</v>
      </c>
      <c r="D37" s="9" t="n">
        <v>15.1</v>
      </c>
      <c r="E37" s="9" t="n">
        <v>9.8</v>
      </c>
      <c r="F37" s="9" t="n">
        <v>22.6</v>
      </c>
      <c r="G37" s="9" t="n">
        <f aca="false">G36+D37</f>
        <v>521.4</v>
      </c>
      <c r="J37" s="9" t="n">
        <v>0</v>
      </c>
      <c r="K37" s="9" t="n">
        <f aca="false">K36+J37</f>
        <v>15.2</v>
      </c>
      <c r="L37" s="9" t="n">
        <v>2.9</v>
      </c>
      <c r="M37" s="9" t="n">
        <f aca="false">M36+L37</f>
        <v>85.4</v>
      </c>
      <c r="N37" s="14" t="n">
        <f aca="false">J37-L37</f>
        <v>-2.9</v>
      </c>
      <c r="O37" s="9" t="n">
        <v>0</v>
      </c>
      <c r="P37" s="9" t="n">
        <v>32</v>
      </c>
      <c r="Q37" s="9" t="n">
        <f aca="false">0.35+((P37-8)/81)*(1-0.35)</f>
        <v>0.542592592592593</v>
      </c>
      <c r="R37" s="15" t="n">
        <f aca="false">Q37*L37</f>
        <v>1.57351851851852</v>
      </c>
      <c r="S37" s="15" t="n">
        <f aca="false">J37-R37</f>
        <v>-1.57351851851852</v>
      </c>
      <c r="T37" s="15" t="n">
        <v>0</v>
      </c>
      <c r="V37" s="9" t="n">
        <v>1467.1</v>
      </c>
      <c r="W37" s="9" t="n">
        <f aca="false">V37/D37</f>
        <v>97.158940397351</v>
      </c>
      <c r="X37" s="9" t="n">
        <f aca="false">X36+V37</f>
        <v>44194.7</v>
      </c>
      <c r="AA37" s="9" t="n">
        <v>11.6168603773239</v>
      </c>
    </row>
    <row r="38" s="9" customFormat="true" ht="15" hidden="false" customHeight="false" outlineLevel="0" collapsed="false">
      <c r="A38" s="10"/>
      <c r="B38" s="11"/>
      <c r="C38" s="12" t="n">
        <v>41916</v>
      </c>
      <c r="D38" s="9" t="n">
        <v>14.8</v>
      </c>
      <c r="E38" s="9" t="n">
        <v>7.8</v>
      </c>
      <c r="F38" s="9" t="n">
        <v>22.7</v>
      </c>
      <c r="G38" s="9" t="n">
        <f aca="false">G37+D38</f>
        <v>536.2</v>
      </c>
      <c r="J38" s="9" t="n">
        <v>5.9</v>
      </c>
      <c r="K38" s="9" t="n">
        <f aca="false">K37+J38</f>
        <v>21.1</v>
      </c>
      <c r="L38" s="9" t="n">
        <v>2.1</v>
      </c>
      <c r="M38" s="9" t="n">
        <f aca="false">M37+L38</f>
        <v>87.5</v>
      </c>
      <c r="N38" s="9" t="n">
        <f aca="false">J38-L38</f>
        <v>3.8</v>
      </c>
      <c r="O38" s="9" t="n">
        <f aca="false">O37+N38</f>
        <v>3.8</v>
      </c>
      <c r="P38" s="9" t="n">
        <v>33</v>
      </c>
      <c r="Q38" s="9" t="n">
        <f aca="false">0.35+((P38-8)/81)*(1-0.35)</f>
        <v>0.550617283950617</v>
      </c>
      <c r="R38" s="15" t="n">
        <f aca="false">Q38*L38</f>
        <v>1.1562962962963</v>
      </c>
      <c r="S38" s="15" t="n">
        <f aca="false">J38-R38</f>
        <v>4.7437037037037</v>
      </c>
      <c r="T38" s="15" t="n">
        <f aca="false">MIN(197.4,(T37+S38))</f>
        <v>4.7437037037037</v>
      </c>
      <c r="V38" s="9" t="n">
        <v>1056.3</v>
      </c>
      <c r="W38" s="9" t="n">
        <f aca="false">V38/D38</f>
        <v>71.3716216216216</v>
      </c>
      <c r="X38" s="9" t="n">
        <f aca="false">X37+V38</f>
        <v>45251</v>
      </c>
      <c r="AA38" s="9" t="n">
        <v>11.557998776255</v>
      </c>
    </row>
    <row r="39" s="9" customFormat="true" ht="15" hidden="false" customHeight="false" outlineLevel="0" collapsed="false">
      <c r="A39" s="10"/>
      <c r="B39" s="11"/>
      <c r="C39" s="12" t="n">
        <v>41917</v>
      </c>
      <c r="D39" s="9" t="n">
        <v>11.1</v>
      </c>
      <c r="E39" s="9" t="n">
        <v>10.2</v>
      </c>
      <c r="F39" s="9" t="n">
        <v>12.4</v>
      </c>
      <c r="G39" s="9" t="n">
        <f aca="false">G38+D39</f>
        <v>547.3</v>
      </c>
      <c r="J39" s="9" t="n">
        <v>0.7</v>
      </c>
      <c r="K39" s="9" t="n">
        <f aca="false">K38+J39</f>
        <v>21.8</v>
      </c>
      <c r="L39" s="9" t="n">
        <v>0.8</v>
      </c>
      <c r="M39" s="9" t="n">
        <f aca="false">M38+L39</f>
        <v>88.3</v>
      </c>
      <c r="N39" s="14" t="n">
        <f aca="false">J39-L39</f>
        <v>-0.1</v>
      </c>
      <c r="O39" s="9" t="n">
        <f aca="false">O38+N39</f>
        <v>3.7</v>
      </c>
      <c r="P39" s="9" t="n">
        <v>34</v>
      </c>
      <c r="Q39" s="9" t="n">
        <f aca="false">0.35+((P39-8)/81)*(1-0.35)</f>
        <v>0.558641975308642</v>
      </c>
      <c r="R39" s="15" t="n">
        <f aca="false">Q39*L39</f>
        <v>0.446913580246914</v>
      </c>
      <c r="S39" s="15" t="n">
        <f aca="false">J39-R39</f>
        <v>0.253086419753086</v>
      </c>
      <c r="T39" s="15" t="n">
        <f aca="false">MIN(197.4,(T38+S39))</f>
        <v>4.99679012345679</v>
      </c>
      <c r="V39" s="19" t="n">
        <v>327.3</v>
      </c>
      <c r="W39" s="9" t="n">
        <f aca="false">V39/D39</f>
        <v>29.4864864864865</v>
      </c>
      <c r="X39" s="9" t="n">
        <f aca="false">X38+V39</f>
        <v>45578.3</v>
      </c>
      <c r="AA39" s="9" t="n">
        <v>11.4991822226139</v>
      </c>
    </row>
    <row r="40" s="9" customFormat="true" ht="15" hidden="false" customHeight="false" outlineLevel="0" collapsed="false">
      <c r="A40" s="10"/>
      <c r="B40" s="11"/>
      <c r="C40" s="12" t="n">
        <v>41918</v>
      </c>
      <c r="D40" s="9" t="n">
        <v>12</v>
      </c>
      <c r="E40" s="9" t="n">
        <v>9.7</v>
      </c>
      <c r="F40" s="9" t="n">
        <v>15</v>
      </c>
      <c r="G40" s="9" t="n">
        <f aca="false">G39+D40</f>
        <v>559.3</v>
      </c>
      <c r="J40" s="9" t="n">
        <v>10.3</v>
      </c>
      <c r="K40" s="9" t="n">
        <f aca="false">K39+J40</f>
        <v>32.1</v>
      </c>
      <c r="L40" s="9" t="n">
        <v>1.5</v>
      </c>
      <c r="M40" s="9" t="n">
        <f aca="false">M39+L40</f>
        <v>89.8</v>
      </c>
      <c r="N40" s="9" t="n">
        <f aca="false">J40-L40</f>
        <v>8.8</v>
      </c>
      <c r="O40" s="9" t="n">
        <f aca="false">O39+N40</f>
        <v>12.5</v>
      </c>
      <c r="P40" s="9" t="n">
        <v>35</v>
      </c>
      <c r="Q40" s="9" t="n">
        <f aca="false">0.35+((P40-8)/81)*(1-0.35)</f>
        <v>0.566666666666667</v>
      </c>
      <c r="R40" s="15" t="n">
        <f aca="false">Q40*L40</f>
        <v>0.85</v>
      </c>
      <c r="S40" s="15" t="n">
        <f aca="false">J40-R40</f>
        <v>9.45</v>
      </c>
      <c r="T40" s="15" t="n">
        <f aca="false">MIN(197.4,(T39+S40))</f>
        <v>14.4467901234568</v>
      </c>
      <c r="V40" s="19" t="n">
        <v>802.8</v>
      </c>
      <c r="W40" s="9" t="n">
        <f aca="false">V40/D40</f>
        <v>66.9</v>
      </c>
      <c r="X40" s="9" t="n">
        <f aca="false">X39+V40</f>
        <v>46381.1</v>
      </c>
      <c r="AA40" s="9" t="n">
        <v>11.4404173993682</v>
      </c>
    </row>
    <row r="41" s="9" customFormat="true" ht="15" hidden="false" customHeight="false" outlineLevel="0" collapsed="false">
      <c r="A41" s="10"/>
      <c r="B41" s="11"/>
      <c r="C41" s="12" t="n">
        <v>41919</v>
      </c>
      <c r="D41" s="9" t="n">
        <v>13.3</v>
      </c>
      <c r="E41" s="9" t="n">
        <v>11.8</v>
      </c>
      <c r="F41" s="9" t="n">
        <v>14.2</v>
      </c>
      <c r="G41" s="9" t="n">
        <f aca="false">G40+D41</f>
        <v>572.6</v>
      </c>
      <c r="J41" s="9" t="n">
        <v>8.6</v>
      </c>
      <c r="K41" s="9" t="n">
        <f aca="false">K40+J41</f>
        <v>40.7</v>
      </c>
      <c r="L41" s="9" t="n">
        <v>1.2</v>
      </c>
      <c r="M41" s="9" t="n">
        <f aca="false">M40+L41</f>
        <v>91</v>
      </c>
      <c r="N41" s="9" t="n">
        <f aca="false">J41-L41</f>
        <v>7.4</v>
      </c>
      <c r="O41" s="9" t="n">
        <f aca="false">O40+N41</f>
        <v>19.9</v>
      </c>
      <c r="P41" s="9" t="n">
        <v>36</v>
      </c>
      <c r="Q41" s="9" t="n">
        <f aca="false">0.35+((P41-8)/81)*(1-0.35)</f>
        <v>0.574691358024691</v>
      </c>
      <c r="R41" s="15" t="n">
        <f aca="false">Q41*L41</f>
        <v>0.68962962962963</v>
      </c>
      <c r="S41" s="15" t="n">
        <f aca="false">J41-R41</f>
        <v>7.91037037037037</v>
      </c>
      <c r="T41" s="15" t="n">
        <f aca="false">MIN(197.4,(T40+S41))</f>
        <v>22.3571604938272</v>
      </c>
      <c r="V41" s="19" t="n">
        <v>868.1</v>
      </c>
      <c r="W41" s="9" t="n">
        <f aca="false">V41/D41</f>
        <v>65.2706766917293</v>
      </c>
      <c r="X41" s="9" t="n">
        <f aca="false">X40+V41</f>
        <v>47249.2</v>
      </c>
      <c r="AA41" s="9" t="n">
        <v>11.381711212688</v>
      </c>
    </row>
    <row r="42" s="9" customFormat="true" ht="15" hidden="false" customHeight="false" outlineLevel="0" collapsed="false">
      <c r="A42" s="10"/>
      <c r="B42" s="11"/>
      <c r="C42" s="12" t="n">
        <v>41920</v>
      </c>
      <c r="D42" s="9" t="n">
        <v>15.1</v>
      </c>
      <c r="E42" s="9" t="n">
        <v>11.7</v>
      </c>
      <c r="F42" s="9" t="n">
        <v>17.8</v>
      </c>
      <c r="G42" s="9" t="n">
        <f aca="false">G41+D42</f>
        <v>587.7</v>
      </c>
      <c r="J42" s="9" t="n">
        <v>28.5</v>
      </c>
      <c r="K42" s="9" t="n">
        <f aca="false">K41+J42</f>
        <v>69.2</v>
      </c>
      <c r="L42" s="9" t="n">
        <v>0.4</v>
      </c>
      <c r="M42" s="9" t="n">
        <f aca="false">M41+L42</f>
        <v>91.4</v>
      </c>
      <c r="N42" s="9" t="n">
        <f aca="false">J42-L42</f>
        <v>28.1</v>
      </c>
      <c r="O42" s="9" t="n">
        <f aca="false">O41+N42</f>
        <v>48</v>
      </c>
      <c r="P42" s="9" t="n">
        <v>37</v>
      </c>
      <c r="Q42" s="9" t="n">
        <f aca="false">0.35+((P42-8)/81)*(1-0.35)</f>
        <v>0.582716049382716</v>
      </c>
      <c r="R42" s="15" t="n">
        <f aca="false">Q42*L42</f>
        <v>0.233086419753086</v>
      </c>
      <c r="S42" s="15" t="n">
        <f aca="false">J42-R42</f>
        <v>28.2669135802469</v>
      </c>
      <c r="T42" s="15" t="n">
        <f aca="false">MIN(197.4,(T41+S42))</f>
        <v>50.6240740740741</v>
      </c>
      <c r="V42" s="19" t="n">
        <v>205.4</v>
      </c>
      <c r="W42" s="9" t="n">
        <f aca="false">V42/D42</f>
        <v>13.6026490066225</v>
      </c>
      <c r="X42" s="9" t="n">
        <f aca="false">X41+V42</f>
        <v>47454.6</v>
      </c>
      <c r="AA42" s="9" t="n">
        <v>11.3230708102286</v>
      </c>
    </row>
    <row r="43" s="9" customFormat="true" ht="15" hidden="false" customHeight="false" outlineLevel="0" collapsed="false">
      <c r="A43" s="10"/>
      <c r="B43" s="11"/>
      <c r="C43" s="12" t="n">
        <v>41921</v>
      </c>
      <c r="D43" s="9" t="n">
        <v>14.7</v>
      </c>
      <c r="E43" s="9" t="n">
        <v>13.9</v>
      </c>
      <c r="F43" s="9" t="n">
        <v>16.5</v>
      </c>
      <c r="G43" s="9" t="n">
        <f aca="false">G42+D43</f>
        <v>602.4</v>
      </c>
      <c r="J43" s="9" t="n">
        <v>1.7</v>
      </c>
      <c r="K43" s="9" t="n">
        <f aca="false">K42+J43</f>
        <v>70.9</v>
      </c>
      <c r="L43" s="9" t="n">
        <v>0.9</v>
      </c>
      <c r="M43" s="9" t="n">
        <f aca="false">M42+L43</f>
        <v>92.3</v>
      </c>
      <c r="N43" s="9" t="n">
        <f aca="false">J43-L43</f>
        <v>0.8</v>
      </c>
      <c r="O43" s="9" t="n">
        <f aca="false">O42+N43</f>
        <v>48.8</v>
      </c>
      <c r="P43" s="9" t="n">
        <v>38</v>
      </c>
      <c r="Q43" s="9" t="n">
        <f aca="false">0.35+((P43-8)/81)*(1-0.35)</f>
        <v>0.590740740740741</v>
      </c>
      <c r="R43" s="15" t="n">
        <f aca="false">Q43*L43</f>
        <v>0.531666666666667</v>
      </c>
      <c r="S43" s="15" t="n">
        <f aca="false">J43-R43</f>
        <v>1.16833333333333</v>
      </c>
      <c r="T43" s="15" t="n">
        <f aca="false">MIN(197.4,(T42+S43))</f>
        <v>51.7924074074074</v>
      </c>
      <c r="V43" s="19" t="n">
        <v>353.2</v>
      </c>
      <c r="W43" s="9" t="n">
        <f aca="false">V43/D43</f>
        <v>24.0272108843537</v>
      </c>
      <c r="X43" s="9" t="n">
        <f aca="false">X42+V43</f>
        <v>47807.8</v>
      </c>
      <c r="AA43" s="9" t="n">
        <v>11.2645035995236</v>
      </c>
    </row>
    <row r="44" s="9" customFormat="true" ht="15" hidden="false" customHeight="false" outlineLevel="0" collapsed="false">
      <c r="A44" s="10"/>
      <c r="B44" s="11"/>
      <c r="C44" s="12" t="n">
        <v>41922</v>
      </c>
      <c r="D44" s="9" t="n">
        <v>13.4</v>
      </c>
      <c r="E44" s="9" t="n">
        <v>10.6</v>
      </c>
      <c r="F44" s="9" t="n">
        <v>16</v>
      </c>
      <c r="G44" s="9" t="n">
        <f aca="false">G43+D44</f>
        <v>615.8</v>
      </c>
      <c r="J44" s="9" t="n">
        <v>0.1</v>
      </c>
      <c r="K44" s="9" t="n">
        <f aca="false">K43+J44</f>
        <v>71</v>
      </c>
      <c r="L44" s="9" t="n">
        <v>1.4</v>
      </c>
      <c r="M44" s="9" t="n">
        <f aca="false">M43+L44</f>
        <v>93.7</v>
      </c>
      <c r="N44" s="14" t="n">
        <f aca="false">J44-L44</f>
        <v>-1.3</v>
      </c>
      <c r="O44" s="9" t="n">
        <f aca="false">O43+N44</f>
        <v>47.5</v>
      </c>
      <c r="P44" s="9" t="n">
        <v>39</v>
      </c>
      <c r="Q44" s="9" t="n">
        <f aca="false">0.35+((P44-8)/81)*(1-0.35)</f>
        <v>0.598765432098765</v>
      </c>
      <c r="R44" s="15" t="n">
        <f aca="false">Q44*L44</f>
        <v>0.838271604938272</v>
      </c>
      <c r="S44" s="15" t="n">
        <f aca="false">J44-R44</f>
        <v>-0.738271604938272</v>
      </c>
      <c r="T44" s="15" t="n">
        <f aca="false">MIN(197.4,(T43+S44))</f>
        <v>51.0541358024691</v>
      </c>
      <c r="V44" s="9" t="n">
        <v>940</v>
      </c>
      <c r="W44" s="9" t="n">
        <f aca="false">V44/D44</f>
        <v>70.1492537313433</v>
      </c>
      <c r="X44" s="9" t="n">
        <f aca="false">X43+V44</f>
        <v>48747.8</v>
      </c>
      <c r="AA44" s="9" t="n">
        <v>11.2060172664809</v>
      </c>
    </row>
    <row r="45" s="9" customFormat="true" ht="15" hidden="false" customHeight="false" outlineLevel="0" collapsed="false">
      <c r="A45" s="10"/>
      <c r="B45" s="11"/>
      <c r="C45" s="12" t="n">
        <v>41923</v>
      </c>
      <c r="D45" s="9" t="n">
        <v>13.6</v>
      </c>
      <c r="E45" s="9" t="n">
        <v>12.3</v>
      </c>
      <c r="F45" s="9" t="n">
        <v>17.8</v>
      </c>
      <c r="G45" s="9" t="n">
        <f aca="false">G44+D45</f>
        <v>629.4</v>
      </c>
      <c r="J45" s="9" t="n">
        <v>0</v>
      </c>
      <c r="K45" s="9" t="n">
        <f aca="false">K44+J45</f>
        <v>71</v>
      </c>
      <c r="L45" s="9" t="n">
        <v>1.8</v>
      </c>
      <c r="M45" s="9" t="n">
        <f aca="false">M44+L45</f>
        <v>95.5</v>
      </c>
      <c r="N45" s="14" t="n">
        <f aca="false">J45-L45</f>
        <v>-1.8</v>
      </c>
      <c r="O45" s="9" t="n">
        <f aca="false">O44+N45</f>
        <v>45.7</v>
      </c>
      <c r="P45" s="9" t="n">
        <v>40</v>
      </c>
      <c r="Q45" s="9" t="n">
        <f aca="false">0.35+((P45-8)/81)*(1-0.35)</f>
        <v>0.60679012345679</v>
      </c>
      <c r="R45" s="15" t="n">
        <f aca="false">Q45*L45</f>
        <v>1.09222222222222</v>
      </c>
      <c r="S45" s="15" t="n">
        <f aca="false">J45-R45</f>
        <v>-1.09222222222222</v>
      </c>
      <c r="T45" s="15" t="n">
        <f aca="false">MIN(197.4,(T44+S45))</f>
        <v>49.9619135802469</v>
      </c>
      <c r="V45" s="9" t="n">
        <v>974.8</v>
      </c>
      <c r="W45" s="9" t="n">
        <f aca="false">V45/D45</f>
        <v>71.6764705882353</v>
      </c>
      <c r="X45" s="9" t="n">
        <f aca="false">X44+V45</f>
        <v>49722.6</v>
      </c>
      <c r="AA45" s="9" t="n">
        <v>11.1476197939682</v>
      </c>
    </row>
    <row r="46" s="9" customFormat="true" ht="15" hidden="false" customHeight="false" outlineLevel="0" collapsed="false">
      <c r="A46" s="10"/>
      <c r="B46" s="11"/>
      <c r="C46" s="12" t="n">
        <v>41924</v>
      </c>
      <c r="D46" s="9" t="n">
        <v>13.4</v>
      </c>
      <c r="E46" s="9" t="n">
        <v>8.7</v>
      </c>
      <c r="F46" s="9" t="n">
        <v>15.3</v>
      </c>
      <c r="G46" s="9" t="n">
        <f aca="false">G45+D46</f>
        <v>642.8</v>
      </c>
      <c r="J46" s="9" t="n">
        <v>7.2</v>
      </c>
      <c r="K46" s="9" t="n">
        <f aca="false">K45+J46</f>
        <v>78.2</v>
      </c>
      <c r="L46" s="9" t="n">
        <v>0.3</v>
      </c>
      <c r="M46" s="9" t="n">
        <f aca="false">M45+L46</f>
        <v>95.8</v>
      </c>
      <c r="N46" s="9" t="n">
        <f aca="false">J46-L46</f>
        <v>6.9</v>
      </c>
      <c r="O46" s="9" t="n">
        <f aca="false">O45+N46</f>
        <v>52.6</v>
      </c>
      <c r="P46" s="9" t="n">
        <v>41</v>
      </c>
      <c r="Q46" s="9" t="n">
        <f aca="false">0.35+((P46-8)/81)*(1-0.35)</f>
        <v>0.614814814814815</v>
      </c>
      <c r="R46" s="15" t="n">
        <f aca="false">Q46*L46</f>
        <v>0.184444444444444</v>
      </c>
      <c r="S46" s="15" t="n">
        <f aca="false">J46-R46</f>
        <v>7.01555555555556</v>
      </c>
      <c r="T46" s="15" t="n">
        <f aca="false">MIN(197.4,(T45+S46))</f>
        <v>56.9774691358025</v>
      </c>
      <c r="V46" s="19" t="n">
        <v>290.9</v>
      </c>
      <c r="W46" s="9" t="n">
        <f aca="false">V46/D46</f>
        <v>21.7089552238806</v>
      </c>
      <c r="X46" s="9" t="n">
        <f aca="false">X45+V46</f>
        <v>50013.5</v>
      </c>
      <c r="AA46" s="9" t="n">
        <v>11.0893194804739</v>
      </c>
    </row>
    <row r="47" s="9" customFormat="true" ht="15" hidden="false" customHeight="false" outlineLevel="0" collapsed="false">
      <c r="A47" s="10"/>
      <c r="B47" s="11"/>
      <c r="C47" s="12" t="n">
        <v>41925</v>
      </c>
      <c r="D47" s="9" t="n">
        <v>13.7</v>
      </c>
      <c r="E47" s="9" t="n">
        <v>12.1</v>
      </c>
      <c r="F47" s="9" t="n">
        <v>17.7</v>
      </c>
      <c r="G47" s="9" t="n">
        <f aca="false">G46+D47</f>
        <v>656.5</v>
      </c>
      <c r="J47" s="9" t="n">
        <v>0</v>
      </c>
      <c r="K47" s="9" t="n">
        <f aca="false">K46+J47</f>
        <v>78.2</v>
      </c>
      <c r="L47" s="9" t="n">
        <v>2</v>
      </c>
      <c r="M47" s="9" t="n">
        <f aca="false">M46+L47</f>
        <v>97.8</v>
      </c>
      <c r="N47" s="14" t="n">
        <f aca="false">J47-L47</f>
        <v>-2</v>
      </c>
      <c r="O47" s="9" t="n">
        <f aca="false">O46+N47</f>
        <v>50.6</v>
      </c>
      <c r="P47" s="9" t="n">
        <v>42</v>
      </c>
      <c r="Q47" s="9" t="n">
        <f aca="false">0.35+((P47-8)/81)*(1-0.35)</f>
        <v>0.62283950617284</v>
      </c>
      <c r="R47" s="15" t="n">
        <f aca="false">Q47*L47</f>
        <v>1.24567901234568</v>
      </c>
      <c r="S47" s="15" t="n">
        <f aca="false">J47-R47</f>
        <v>-1.24567901234568</v>
      </c>
      <c r="T47" s="15" t="n">
        <f aca="false">MIN(197.4,(T46+S47))</f>
        <v>55.7317901234568</v>
      </c>
      <c r="V47" s="9" t="n">
        <v>950</v>
      </c>
      <c r="W47" s="9" t="n">
        <f aca="false">V47/D47</f>
        <v>69.3430656934307</v>
      </c>
      <c r="X47" s="9" t="n">
        <f aca="false">X46+V47</f>
        <v>50963.5</v>
      </c>
      <c r="AA47" s="9" t="n">
        <v>11.0311249588254</v>
      </c>
    </row>
    <row r="48" s="9" customFormat="true" ht="15" hidden="false" customHeight="false" outlineLevel="0" collapsed="false">
      <c r="A48" s="10"/>
      <c r="B48" s="11"/>
      <c r="C48" s="12" t="n">
        <v>41926</v>
      </c>
      <c r="D48" s="9" t="n">
        <v>11</v>
      </c>
      <c r="E48" s="9" t="n">
        <v>6.6</v>
      </c>
      <c r="F48" s="9" t="n">
        <v>17</v>
      </c>
      <c r="G48" s="9" t="n">
        <f aca="false">G47+D48</f>
        <v>667.5</v>
      </c>
      <c r="J48" s="9" t="n">
        <v>0</v>
      </c>
      <c r="K48" s="9" t="n">
        <f aca="false">K47+J48</f>
        <v>78.2</v>
      </c>
      <c r="L48" s="9" t="n">
        <v>1.9</v>
      </c>
      <c r="M48" s="9" t="n">
        <f aca="false">M47+L48</f>
        <v>99.7</v>
      </c>
      <c r="N48" s="14" t="n">
        <f aca="false">J48-L48</f>
        <v>-1.9</v>
      </c>
      <c r="O48" s="9" t="n">
        <f aca="false">O47+N48</f>
        <v>48.7</v>
      </c>
      <c r="P48" s="9" t="n">
        <v>43</v>
      </c>
      <c r="Q48" s="9" t="n">
        <f aca="false">0.35+((P48-8)/81)*(1-0.35)</f>
        <v>0.630864197530864</v>
      </c>
      <c r="R48" s="15" t="n">
        <f aca="false">Q48*L48</f>
        <v>1.19864197530864</v>
      </c>
      <c r="S48" s="15" t="n">
        <f aca="false">J48-R48</f>
        <v>-1.19864197530864</v>
      </c>
      <c r="T48" s="15" t="n">
        <f aca="false">MIN(197.4,(T47+S48))</f>
        <v>54.5331481481482</v>
      </c>
      <c r="V48" s="9" t="n">
        <v>1080.4</v>
      </c>
      <c r="W48" s="9" t="n">
        <f aca="false">V48/D48</f>
        <v>98.2181818181818</v>
      </c>
      <c r="X48" s="9" t="n">
        <f aca="false">X47+V48</f>
        <v>52043.9</v>
      </c>
      <c r="AA48" s="9" t="n">
        <v>10.9730452149431</v>
      </c>
    </row>
    <row r="49" s="9" customFormat="true" ht="15" hidden="false" customHeight="false" outlineLevel="0" collapsed="false">
      <c r="A49" s="10"/>
      <c r="B49" s="11"/>
      <c r="C49" s="12" t="n">
        <v>41927</v>
      </c>
      <c r="D49" s="9" t="n">
        <v>13.1</v>
      </c>
      <c r="E49" s="9" t="n">
        <v>10</v>
      </c>
      <c r="F49" s="9" t="n">
        <v>15.5</v>
      </c>
      <c r="G49" s="9" t="n">
        <f aca="false">G48+D49</f>
        <v>680.6</v>
      </c>
      <c r="J49" s="9" t="n">
        <v>1.6</v>
      </c>
      <c r="K49" s="9" t="n">
        <f aca="false">K48+J49</f>
        <v>79.8</v>
      </c>
      <c r="L49" s="9" t="n">
        <v>0.3</v>
      </c>
      <c r="M49" s="9" t="n">
        <f aca="false">M48+L49</f>
        <v>100</v>
      </c>
      <c r="N49" s="9" t="n">
        <f aca="false">J49-L49</f>
        <v>1.3</v>
      </c>
      <c r="O49" s="9" t="n">
        <f aca="false">O48+N49</f>
        <v>50</v>
      </c>
      <c r="P49" s="9" t="n">
        <v>44</v>
      </c>
      <c r="Q49" s="9" t="n">
        <f aca="false">0.35+((P49-8)/81)*(1-0.35)</f>
        <v>0.638888888888889</v>
      </c>
      <c r="R49" s="15" t="n">
        <f aca="false">Q49*L49</f>
        <v>0.191666666666667</v>
      </c>
      <c r="S49" s="15" t="n">
        <f aca="false">J49-R49</f>
        <v>1.40833333333333</v>
      </c>
      <c r="T49" s="15" t="n">
        <f aca="false">MIN(197.4,(T48+S49))</f>
        <v>55.9414814814815</v>
      </c>
      <c r="V49" s="19" t="n">
        <v>316.8</v>
      </c>
      <c r="W49" s="9" t="n">
        <f aca="false">V49/D49</f>
        <v>24.1832061068702</v>
      </c>
      <c r="X49" s="9" t="n">
        <f aca="false">X48+V49</f>
        <v>52360.7</v>
      </c>
      <c r="AA49" s="9" t="n">
        <v>10.9150896066059</v>
      </c>
    </row>
    <row r="50" s="9" customFormat="true" ht="15" hidden="false" customHeight="false" outlineLevel="0" collapsed="false">
      <c r="A50" s="10"/>
      <c r="B50" s="11"/>
      <c r="C50" s="12" t="n">
        <v>41928</v>
      </c>
      <c r="D50" s="9" t="n">
        <v>15.7</v>
      </c>
      <c r="E50" s="9" t="n">
        <v>14.3</v>
      </c>
      <c r="F50" s="9" t="n">
        <v>18</v>
      </c>
      <c r="G50" s="9" t="n">
        <f aca="false">G49+D50</f>
        <v>696.3</v>
      </c>
      <c r="J50" s="9" t="n">
        <v>9.2</v>
      </c>
      <c r="K50" s="9" t="n">
        <f aca="false">K49+J50</f>
        <v>89</v>
      </c>
      <c r="L50" s="9" t="n">
        <v>1</v>
      </c>
      <c r="M50" s="9" t="n">
        <f aca="false">M49+L50</f>
        <v>101</v>
      </c>
      <c r="N50" s="9" t="n">
        <f aca="false">J50-L50</f>
        <v>8.2</v>
      </c>
      <c r="O50" s="9" t="n">
        <f aca="false">O49+N50</f>
        <v>58.2</v>
      </c>
      <c r="P50" s="9" t="n">
        <v>45</v>
      </c>
      <c r="Q50" s="9" t="n">
        <f aca="false">0.35+((P50-8)/81)*(1-0.35)</f>
        <v>0.646913580246914</v>
      </c>
      <c r="R50" s="15" t="n">
        <f aca="false">Q50*L50</f>
        <v>0.646913580246914</v>
      </c>
      <c r="S50" s="15" t="n">
        <f aca="false">J50-R50</f>
        <v>8.55308641975309</v>
      </c>
      <c r="T50" s="15" t="n">
        <f aca="false">MIN(197.4,(T49+S50))</f>
        <v>64.4945679012346</v>
      </c>
      <c r="V50" s="19" t="n">
        <v>362.5</v>
      </c>
      <c r="W50" s="9" t="n">
        <f aca="false">V50/D50</f>
        <v>23.0891719745223</v>
      </c>
      <c r="X50" s="9" t="n">
        <f aca="false">X49+V50</f>
        <v>52723.2</v>
      </c>
      <c r="AA50" s="9" t="n">
        <v>10.8572678821989</v>
      </c>
    </row>
    <row r="51" s="9" customFormat="true" ht="15" hidden="false" customHeight="false" outlineLevel="0" collapsed="false">
      <c r="A51" s="10"/>
      <c r="B51" s="11"/>
      <c r="C51" s="12" t="n">
        <v>41929</v>
      </c>
      <c r="D51" s="9" t="n">
        <v>14.8</v>
      </c>
      <c r="E51" s="9" t="n">
        <v>13.7</v>
      </c>
      <c r="F51" s="9" t="n">
        <v>17.4</v>
      </c>
      <c r="G51" s="9" t="n">
        <f aca="false">G50+D51</f>
        <v>711.1</v>
      </c>
      <c r="J51" s="9" t="n">
        <v>0.3</v>
      </c>
      <c r="K51" s="9" t="n">
        <f aca="false">K50+J51</f>
        <v>89.3</v>
      </c>
      <c r="L51" s="9" t="n">
        <v>1.2</v>
      </c>
      <c r="M51" s="9" t="n">
        <f aca="false">M50+L51</f>
        <v>102.2</v>
      </c>
      <c r="N51" s="14" t="n">
        <f aca="false">J51-L51</f>
        <v>-0.9</v>
      </c>
      <c r="O51" s="9" t="n">
        <f aca="false">O50+N51</f>
        <v>57.3</v>
      </c>
      <c r="P51" s="9" t="n">
        <v>46</v>
      </c>
      <c r="Q51" s="9" t="n">
        <f aca="false">0.35+((P51-8)/81)*(1-0.35)</f>
        <v>0.654938271604938</v>
      </c>
      <c r="R51" s="15" t="n">
        <f aca="false">Q51*L51</f>
        <v>0.785925925925926</v>
      </c>
      <c r="S51" s="15" t="n">
        <f aca="false">J51-R51</f>
        <v>-0.485925925925926</v>
      </c>
      <c r="T51" s="15" t="n">
        <f aca="false">MIN(197.4,(T50+S51))</f>
        <v>64.0086419753087</v>
      </c>
      <c r="V51" s="19" t="n">
        <v>567.5</v>
      </c>
      <c r="W51" s="9" t="n">
        <f aca="false">V51/D51</f>
        <v>38.3445945945946</v>
      </c>
      <c r="X51" s="9" t="n">
        <f aca="false">X50+V51</f>
        <v>53290.7</v>
      </c>
      <c r="AA51" s="9" t="n">
        <v>10.79959019941</v>
      </c>
    </row>
    <row r="52" s="9" customFormat="true" ht="15" hidden="false" customHeight="false" outlineLevel="0" collapsed="false">
      <c r="A52" s="10"/>
      <c r="B52" s="11"/>
      <c r="C52" s="12" t="n">
        <v>41930</v>
      </c>
      <c r="D52" s="9" t="n">
        <v>17.1</v>
      </c>
      <c r="E52" s="9" t="n">
        <v>12.9</v>
      </c>
      <c r="F52" s="9" t="n">
        <v>23.5</v>
      </c>
      <c r="G52" s="9" t="n">
        <f aca="false">G51+D52</f>
        <v>728.2</v>
      </c>
      <c r="J52" s="9" t="n">
        <v>0.1</v>
      </c>
      <c r="K52" s="9" t="n">
        <f aca="false">K51+J52</f>
        <v>89.4</v>
      </c>
      <c r="L52" s="9" t="n">
        <v>2.5</v>
      </c>
      <c r="M52" s="9" t="n">
        <f aca="false">M51+L52</f>
        <v>104.7</v>
      </c>
      <c r="N52" s="14" t="n">
        <f aca="false">J52-L52</f>
        <v>-2.4</v>
      </c>
      <c r="O52" s="9" t="n">
        <f aca="false">O51+N52</f>
        <v>54.9</v>
      </c>
      <c r="P52" s="9" t="n">
        <v>47</v>
      </c>
      <c r="Q52" s="9" t="n">
        <f aca="false">0.35+((P52-8)/81)*(1-0.35)</f>
        <v>0.662962962962963</v>
      </c>
      <c r="R52" s="15" t="n">
        <f aca="false">Q52*L52</f>
        <v>1.65740740740741</v>
      </c>
      <c r="S52" s="15" t="n">
        <f aca="false">J52-R52</f>
        <v>-1.55740740740741</v>
      </c>
      <c r="T52" s="15" t="n">
        <f aca="false">MIN(197.4,(T51+S52))</f>
        <v>62.4512345679012</v>
      </c>
      <c r="V52" s="9" t="n">
        <v>1125.1</v>
      </c>
      <c r="W52" s="9" t="n">
        <f aca="false">V52/D52</f>
        <v>65.7953216374269</v>
      </c>
      <c r="X52" s="9" t="n">
        <f aca="false">X51+V52</f>
        <v>54415.8</v>
      </c>
      <c r="AA52" s="9" t="n">
        <v>10.7420671438404</v>
      </c>
    </row>
    <row r="53" s="9" customFormat="true" ht="15" hidden="false" customHeight="false" outlineLevel="0" collapsed="false">
      <c r="A53" s="10"/>
      <c r="B53" s="11"/>
      <c r="C53" s="12" t="n">
        <v>41931</v>
      </c>
      <c r="D53" s="9" t="n">
        <v>17.1</v>
      </c>
      <c r="E53" s="9" t="n">
        <v>13.6</v>
      </c>
      <c r="F53" s="9" t="n">
        <v>21.4</v>
      </c>
      <c r="G53" s="9" t="n">
        <f aca="false">G52+D53</f>
        <v>745.3</v>
      </c>
      <c r="J53" s="9" t="n">
        <v>0</v>
      </c>
      <c r="K53" s="9" t="n">
        <f aca="false">K52+J53</f>
        <v>89.4</v>
      </c>
      <c r="L53" s="9" t="n">
        <v>1.7</v>
      </c>
      <c r="M53" s="9" t="n">
        <f aca="false">M52+L53</f>
        <v>106.4</v>
      </c>
      <c r="N53" s="14" t="n">
        <f aca="false">J53-L53</f>
        <v>-1.7</v>
      </c>
      <c r="O53" s="9" t="n">
        <f aca="false">O52+N53</f>
        <v>53.2</v>
      </c>
      <c r="P53" s="9" t="n">
        <v>48</v>
      </c>
      <c r="Q53" s="9" t="n">
        <f aca="false">0.35+((P53-8)/81)*(1-0.35)</f>
        <v>0.670987654320988</v>
      </c>
      <c r="R53" s="15" t="n">
        <f aca="false">Q53*L53</f>
        <v>1.14067901234568</v>
      </c>
      <c r="S53" s="15" t="n">
        <f aca="false">J53-R53</f>
        <v>-1.14067901234568</v>
      </c>
      <c r="T53" s="15" t="n">
        <f aca="false">MIN(197.4,(T52+S53))</f>
        <v>61.3105555555556</v>
      </c>
      <c r="V53" s="9" t="n">
        <v>988.5</v>
      </c>
      <c r="W53" s="9" t="n">
        <f aca="false">V53/D53</f>
        <v>57.8070175438596</v>
      </c>
      <c r="X53" s="9" t="n">
        <f aca="false">X52+V53</f>
        <v>55404.3</v>
      </c>
      <c r="AA53" s="9" t="n">
        <v>10.6847097474832</v>
      </c>
    </row>
    <row r="54" s="9" customFormat="true" ht="15" hidden="false" customHeight="false" outlineLevel="0" collapsed="false">
      <c r="A54" s="10"/>
      <c r="B54" s="11"/>
      <c r="C54" s="12" t="n">
        <v>41932</v>
      </c>
      <c r="D54" s="9" t="n">
        <v>13.7</v>
      </c>
      <c r="E54" s="9" t="n">
        <v>12.7</v>
      </c>
      <c r="F54" s="9" t="n">
        <v>15.7</v>
      </c>
      <c r="G54" s="9" t="n">
        <f aca="false">G53+D54</f>
        <v>759</v>
      </c>
      <c r="J54" s="9" t="n">
        <v>2.9</v>
      </c>
      <c r="K54" s="9" t="n">
        <f aca="false">K53+J54</f>
        <v>92.3</v>
      </c>
      <c r="L54" s="9" t="n">
        <v>0.6</v>
      </c>
      <c r="M54" s="9" t="n">
        <f aca="false">M53+L54</f>
        <v>107</v>
      </c>
      <c r="N54" s="9" t="n">
        <f aca="false">J54-L54</f>
        <v>2.3</v>
      </c>
      <c r="O54" s="9" t="n">
        <f aca="false">O53+N54</f>
        <v>55.5</v>
      </c>
      <c r="P54" s="9" t="n">
        <v>49</v>
      </c>
      <c r="Q54" s="9" t="n">
        <f aca="false">0.35+((P54-8)/81)*(1-0.35)</f>
        <v>0.679012345679012</v>
      </c>
      <c r="R54" s="15" t="n">
        <f aca="false">Q54*L54</f>
        <v>0.407407407407407</v>
      </c>
      <c r="S54" s="15" t="n">
        <f aca="false">J54-R54</f>
        <v>2.49259259259259</v>
      </c>
      <c r="T54" s="15" t="n">
        <f aca="false">MIN(197.4,(T53+S54))</f>
        <v>63.8031481481482</v>
      </c>
      <c r="V54" s="19" t="n">
        <v>259.3</v>
      </c>
      <c r="W54" s="9" t="n">
        <f aca="false">V54/D54</f>
        <v>18.9270072992701</v>
      </c>
      <c r="X54" s="9" t="n">
        <f aca="false">X53+V54</f>
        <v>55663.6</v>
      </c>
      <c r="AA54" s="9" t="n">
        <v>10.6275295070268</v>
      </c>
    </row>
    <row r="55" s="9" customFormat="true" ht="15" hidden="false" customHeight="false" outlineLevel="0" collapsed="false">
      <c r="A55" s="10"/>
      <c r="B55" s="11"/>
      <c r="C55" s="12" t="n">
        <v>41933</v>
      </c>
      <c r="D55" s="9" t="n">
        <v>12.1</v>
      </c>
      <c r="E55" s="9" t="n">
        <v>10.8</v>
      </c>
      <c r="F55" s="9" t="n">
        <v>15.8</v>
      </c>
      <c r="G55" s="9" t="n">
        <f aca="false">G54+D55</f>
        <v>771.1</v>
      </c>
      <c r="J55" s="9" t="n">
        <v>1.4</v>
      </c>
      <c r="K55" s="9" t="n">
        <f aca="false">K54+J55</f>
        <v>93.7</v>
      </c>
      <c r="L55" s="9" t="n">
        <v>1.3</v>
      </c>
      <c r="M55" s="9" t="n">
        <f aca="false">M54+L55</f>
        <v>108.3</v>
      </c>
      <c r="N55" s="9" t="n">
        <f aca="false">J55-L55</f>
        <v>0.0999999999999999</v>
      </c>
      <c r="O55" s="9" t="n">
        <f aca="false">O54+N55</f>
        <v>55.6</v>
      </c>
      <c r="P55" s="9" t="n">
        <v>50</v>
      </c>
      <c r="Q55" s="9" t="n">
        <f aca="false">0.35+((P55-8)/81)*(1-0.35)</f>
        <v>0.687037037037037</v>
      </c>
      <c r="R55" s="15" t="n">
        <f aca="false">Q55*L55</f>
        <v>0.893148148148148</v>
      </c>
      <c r="S55" s="15" t="n">
        <f aca="false">J55-R55</f>
        <v>0.506851851851852</v>
      </c>
      <c r="T55" s="15" t="n">
        <f aca="false">MIN(197.4,(T54+S55))</f>
        <v>64.31</v>
      </c>
      <c r="V55" s="19" t="n">
        <v>291.1</v>
      </c>
      <c r="W55" s="9" t="n">
        <f aca="false">V55/D55</f>
        <v>24.0578512396694</v>
      </c>
      <c r="X55" s="9" t="n">
        <f aca="false">X54+V55</f>
        <v>55954.7</v>
      </c>
      <c r="AA55" s="9" t="n">
        <v>10.5705384019286</v>
      </c>
    </row>
    <row r="56" s="9" customFormat="true" ht="15" hidden="false" customHeight="false" outlineLevel="0" collapsed="false">
      <c r="A56" s="10"/>
      <c r="B56" s="11"/>
      <c r="C56" s="12" t="n">
        <v>41934</v>
      </c>
      <c r="D56" s="9" t="n">
        <v>8.9</v>
      </c>
      <c r="E56" s="9" t="n">
        <v>5.6</v>
      </c>
      <c r="F56" s="9" t="n">
        <v>12.3</v>
      </c>
      <c r="G56" s="9" t="n">
        <f aca="false">G55+D56</f>
        <v>780</v>
      </c>
      <c r="J56" s="9" t="n">
        <v>0</v>
      </c>
      <c r="K56" s="9" t="n">
        <f aca="false">K55+J56</f>
        <v>93.7</v>
      </c>
      <c r="L56" s="9" t="n">
        <v>1.4</v>
      </c>
      <c r="M56" s="9" t="n">
        <f aca="false">M55+L56</f>
        <v>109.7</v>
      </c>
      <c r="N56" s="14" t="n">
        <f aca="false">J56-L56</f>
        <v>-1.4</v>
      </c>
      <c r="O56" s="9" t="n">
        <f aca="false">O55+N56</f>
        <v>54.2</v>
      </c>
      <c r="P56" s="9" t="n">
        <v>51</v>
      </c>
      <c r="Q56" s="9" t="n">
        <f aca="false">0.35+((P56-8)/81)*(1-0.35)</f>
        <v>0.695061728395062</v>
      </c>
      <c r="R56" s="15" t="n">
        <f aca="false">Q56*L56</f>
        <v>0.973086419753086</v>
      </c>
      <c r="S56" s="15" t="n">
        <f aca="false">J56-R56</f>
        <v>-0.973086419753086</v>
      </c>
      <c r="T56" s="15" t="n">
        <f aca="false">MIN(197.4,(T55+S56))</f>
        <v>63.3369135802469</v>
      </c>
      <c r="V56" s="9" t="n">
        <v>986.6</v>
      </c>
      <c r="W56" s="9" t="n">
        <f aca="false">V56/D56</f>
        <v>110.85393258427</v>
      </c>
      <c r="X56" s="9" t="n">
        <f aca="false">X55+V56</f>
        <v>56941.3</v>
      </c>
      <c r="AA56" s="9" t="n">
        <v>10.5137489122026</v>
      </c>
    </row>
    <row r="57" s="9" customFormat="true" ht="15" hidden="false" customHeight="false" outlineLevel="0" collapsed="false">
      <c r="A57" s="10"/>
      <c r="B57" s="11"/>
      <c r="C57" s="12" t="n">
        <v>41935</v>
      </c>
      <c r="D57" s="9" t="n">
        <v>11.1</v>
      </c>
      <c r="E57" s="9" t="n">
        <v>8.9</v>
      </c>
      <c r="F57" s="9" t="n">
        <v>13.4</v>
      </c>
      <c r="G57" s="9" t="n">
        <f aca="false">G56+D57</f>
        <v>791.1</v>
      </c>
      <c r="J57" s="9" t="n">
        <v>0</v>
      </c>
      <c r="K57" s="9" t="n">
        <f aca="false">K56+J57</f>
        <v>93.7</v>
      </c>
      <c r="L57" s="9" t="n">
        <v>1</v>
      </c>
      <c r="M57" s="9" t="n">
        <f aca="false">M56+L57</f>
        <v>110.7</v>
      </c>
      <c r="N57" s="14" t="n">
        <f aca="false">J57-L57</f>
        <v>-1</v>
      </c>
      <c r="O57" s="9" t="n">
        <f aca="false">O56+N57</f>
        <v>53.2</v>
      </c>
      <c r="P57" s="9" t="n">
        <v>52</v>
      </c>
      <c r="Q57" s="9" t="n">
        <f aca="false">0.35+((P57-8)/81)*(1-0.35)</f>
        <v>0.703086419753086</v>
      </c>
      <c r="R57" s="15" t="n">
        <f aca="false">Q57*L57</f>
        <v>0.703086419753086</v>
      </c>
      <c r="S57" s="15" t="n">
        <f aca="false">J57-R57</f>
        <v>-0.703086419753086</v>
      </c>
      <c r="T57" s="15" t="n">
        <f aca="false">MIN(197.4,(T56+S57))</f>
        <v>62.6338271604938</v>
      </c>
      <c r="V57" s="19" t="n">
        <v>390.3</v>
      </c>
      <c r="W57" s="9" t="n">
        <f aca="false">V57/D57</f>
        <v>35.1621621621622</v>
      </c>
      <c r="X57" s="9" t="n">
        <f aca="false">X56+V57</f>
        <v>57331.6</v>
      </c>
      <c r="AA57" s="9" t="n">
        <v>10.4571740358559</v>
      </c>
    </row>
    <row r="58" s="9" customFormat="true" ht="15" hidden="false" customHeight="false" outlineLevel="0" collapsed="false">
      <c r="A58" s="10"/>
      <c r="B58" s="11"/>
      <c r="C58" s="12" t="n">
        <v>41936</v>
      </c>
      <c r="D58" s="9" t="n">
        <v>11.5</v>
      </c>
      <c r="E58" s="9" t="n">
        <v>10.5</v>
      </c>
      <c r="F58" s="9" t="n">
        <v>14.5</v>
      </c>
      <c r="G58" s="9" t="n">
        <f aca="false">G57+D58</f>
        <v>802.6</v>
      </c>
      <c r="J58" s="9" t="n">
        <v>0.2</v>
      </c>
      <c r="K58" s="9" t="n">
        <f aca="false">K57+J58</f>
        <v>93.9</v>
      </c>
      <c r="L58" s="9" t="n">
        <v>0.9</v>
      </c>
      <c r="M58" s="9" t="n">
        <f aca="false">M57+L58</f>
        <v>111.6</v>
      </c>
      <c r="N58" s="14" t="n">
        <f aca="false">J58-L58</f>
        <v>-0.7</v>
      </c>
      <c r="O58" s="9" t="n">
        <f aca="false">O57+N58</f>
        <v>52.5</v>
      </c>
      <c r="P58" s="9" t="n">
        <v>53</v>
      </c>
      <c r="Q58" s="9" t="n">
        <f aca="false">0.35+((P58-8)/81)*(1-0.35)</f>
        <v>0.711111111111111</v>
      </c>
      <c r="R58" s="15" t="n">
        <f aca="false">Q58*L58</f>
        <v>0.64</v>
      </c>
      <c r="S58" s="15" t="n">
        <f aca="false">J58-R58</f>
        <v>-0.44</v>
      </c>
      <c r="T58" s="15" t="n">
        <f aca="false">MIN(197.4,(T57+S58))</f>
        <v>62.1938271604938</v>
      </c>
      <c r="V58" s="19" t="n">
        <v>315.6</v>
      </c>
      <c r="W58" s="9" t="n">
        <f aca="false">V58/D58</f>
        <v>27.4434782608696</v>
      </c>
      <c r="X58" s="9" t="n">
        <f aca="false">X57+V58</f>
        <v>57647.2</v>
      </c>
      <c r="AA58" s="9" t="n">
        <v>10.4008273059063</v>
      </c>
    </row>
    <row r="59" s="9" customFormat="true" ht="15" hidden="false" customHeight="false" outlineLevel="0" collapsed="false">
      <c r="A59" s="10"/>
      <c r="B59" s="11"/>
      <c r="C59" s="12" t="n">
        <v>41937</v>
      </c>
      <c r="D59" s="9" t="n">
        <v>12.2</v>
      </c>
      <c r="E59" s="9" t="n">
        <v>8.6</v>
      </c>
      <c r="F59" s="9" t="n">
        <v>15.6</v>
      </c>
      <c r="G59" s="9" t="n">
        <f aca="false">G58+D59</f>
        <v>814.8</v>
      </c>
      <c r="J59" s="9" t="n">
        <v>0.2</v>
      </c>
      <c r="K59" s="9" t="n">
        <f aca="false">K58+J59</f>
        <v>94.1</v>
      </c>
      <c r="L59" s="9" t="n">
        <v>0.5</v>
      </c>
      <c r="M59" s="9" t="n">
        <f aca="false">M58+L59</f>
        <v>112.1</v>
      </c>
      <c r="N59" s="14" t="n">
        <f aca="false">J59-L59</f>
        <v>-0.3</v>
      </c>
      <c r="O59" s="9" t="n">
        <f aca="false">O58+N59</f>
        <v>52.2</v>
      </c>
      <c r="P59" s="9" t="n">
        <v>54</v>
      </c>
      <c r="Q59" s="9" t="n">
        <f aca="false">0.35+((P59-8)/81)*(1-0.35)</f>
        <v>0.719135802469136</v>
      </c>
      <c r="R59" s="15" t="n">
        <f aca="false">Q59*L59</f>
        <v>0.359567901234568</v>
      </c>
      <c r="S59" s="15" t="n">
        <f aca="false">J59-R59</f>
        <v>-0.159567901234568</v>
      </c>
      <c r="T59" s="15" t="n">
        <f aca="false">MIN(197.4,(T58+S59))</f>
        <v>62.0342592592593</v>
      </c>
      <c r="V59" s="19" t="n">
        <v>269.5</v>
      </c>
      <c r="W59" s="9" t="n">
        <f aca="false">V59/D59</f>
        <v>22.0901639344262</v>
      </c>
      <c r="X59" s="9" t="n">
        <f aca="false">X58+V59</f>
        <v>57916.7</v>
      </c>
      <c r="AA59" s="9" t="n">
        <v>10.3447228069036</v>
      </c>
    </row>
    <row r="60" s="9" customFormat="true" ht="15" hidden="false" customHeight="false" outlineLevel="0" collapsed="false">
      <c r="A60" s="10"/>
      <c r="B60" s="11"/>
      <c r="C60" s="12" t="n">
        <v>41938</v>
      </c>
      <c r="D60" s="9" t="n">
        <v>12.6</v>
      </c>
      <c r="E60" s="9" t="n">
        <v>10.2</v>
      </c>
      <c r="F60" s="9" t="n">
        <v>17.1</v>
      </c>
      <c r="G60" s="9" t="n">
        <f aca="false">G59+D60</f>
        <v>827.4</v>
      </c>
      <c r="J60" s="9" t="n">
        <v>0</v>
      </c>
      <c r="K60" s="9" t="n">
        <f aca="false">K59+J60</f>
        <v>94.1</v>
      </c>
      <c r="L60" s="9" t="n">
        <v>0.9</v>
      </c>
      <c r="M60" s="9" t="n">
        <f aca="false">M59+L60</f>
        <v>113</v>
      </c>
      <c r="N60" s="14" t="n">
        <f aca="false">J60-L60</f>
        <v>-0.9</v>
      </c>
      <c r="O60" s="9" t="n">
        <f aca="false">O59+N60</f>
        <v>51.3</v>
      </c>
      <c r="P60" s="9" t="n">
        <v>55</v>
      </c>
      <c r="Q60" s="9" t="n">
        <f aca="false">0.35+((P60-8)/81)*(1-0.35)</f>
        <v>0.727160493827161</v>
      </c>
      <c r="R60" s="15" t="n">
        <f aca="false">Q60*L60</f>
        <v>0.654444444444445</v>
      </c>
      <c r="S60" s="15" t="n">
        <f aca="false">J60-R60</f>
        <v>-0.654444444444445</v>
      </c>
      <c r="T60" s="15" t="n">
        <f aca="false">MIN(197.4,(T59+S60))</f>
        <v>61.3798148148148</v>
      </c>
      <c r="V60" s="19" t="n">
        <v>430.4</v>
      </c>
      <c r="W60" s="9" t="n">
        <f aca="false">V60/D60</f>
        <v>34.1587301587302</v>
      </c>
      <c r="X60" s="9" t="n">
        <f aca="false">X59+V60</f>
        <v>58347.1</v>
      </c>
      <c r="AA60" s="9" t="n">
        <v>10.2888751908738</v>
      </c>
    </row>
    <row r="61" s="9" customFormat="true" ht="15" hidden="false" customHeight="false" outlineLevel="0" collapsed="false">
      <c r="A61" s="10"/>
      <c r="B61" s="11"/>
      <c r="C61" s="12" t="n">
        <v>41939</v>
      </c>
      <c r="D61" s="9" t="n">
        <v>10.7</v>
      </c>
      <c r="E61" s="9" t="n">
        <v>7.3</v>
      </c>
      <c r="F61" s="9" t="n">
        <v>15.1</v>
      </c>
      <c r="G61" s="9" t="n">
        <f aca="false">G60+D61</f>
        <v>838.1</v>
      </c>
      <c r="J61" s="9" t="n">
        <v>0</v>
      </c>
      <c r="K61" s="9" t="n">
        <f aca="false">K60+J61</f>
        <v>94.1</v>
      </c>
      <c r="L61" s="9" t="n">
        <v>1</v>
      </c>
      <c r="M61" s="9" t="n">
        <f aca="false">M60+L61</f>
        <v>114</v>
      </c>
      <c r="N61" s="14" t="n">
        <f aca="false">J61-L61</f>
        <v>-1</v>
      </c>
      <c r="O61" s="9" t="n">
        <f aca="false">O60+N61</f>
        <v>50.3</v>
      </c>
      <c r="P61" s="9" t="n">
        <v>56</v>
      </c>
      <c r="Q61" s="9" t="n">
        <f aca="false">0.35+((P61-8)/81)*(1-0.35)</f>
        <v>0.735185185185185</v>
      </c>
      <c r="R61" s="15" t="n">
        <f aca="false">Q61*L61</f>
        <v>0.735185185185185</v>
      </c>
      <c r="S61" s="15" t="n">
        <f aca="false">J61-R61</f>
        <v>-0.735185185185185</v>
      </c>
      <c r="T61" s="15" t="n">
        <f aca="false">MIN(197.4,(T60+S61))</f>
        <v>60.6446296296296</v>
      </c>
      <c r="V61" s="19" t="n">
        <v>639.9</v>
      </c>
      <c r="W61" s="9" t="n">
        <f aca="false">V61/D61</f>
        <v>59.803738317757</v>
      </c>
      <c r="X61" s="9" t="n">
        <f aca="false">X60+V61</f>
        <v>58987</v>
      </c>
      <c r="AA61" s="9" t="n">
        <v>10.2332996925957</v>
      </c>
    </row>
    <row r="62" s="9" customFormat="true" ht="15" hidden="false" customHeight="false" outlineLevel="0" collapsed="false">
      <c r="A62" s="10"/>
      <c r="B62" s="11"/>
      <c r="C62" s="12" t="n">
        <v>41940</v>
      </c>
      <c r="D62" s="9" t="n">
        <v>9.1</v>
      </c>
      <c r="E62" s="9" t="n">
        <v>7.4</v>
      </c>
      <c r="F62" s="9" t="n">
        <v>10.6</v>
      </c>
      <c r="G62" s="9" t="n">
        <f aca="false">G61+D62</f>
        <v>847.2</v>
      </c>
      <c r="J62" s="9" t="n">
        <v>0.1</v>
      </c>
      <c r="K62" s="9" t="n">
        <f aca="false">K61+J62</f>
        <v>94.2</v>
      </c>
      <c r="L62" s="9" t="n">
        <v>0.4</v>
      </c>
      <c r="M62" s="9" t="n">
        <f aca="false">M61+L62</f>
        <v>114.4</v>
      </c>
      <c r="N62" s="14" t="n">
        <f aca="false">J62-L62</f>
        <v>-0.3</v>
      </c>
      <c r="O62" s="9" t="n">
        <f aca="false">O61+N62</f>
        <v>50</v>
      </c>
      <c r="P62" s="9" t="n">
        <v>57</v>
      </c>
      <c r="Q62" s="9" t="n">
        <f aca="false">0.35+((P62-8)/81)*(1-0.35)</f>
        <v>0.74320987654321</v>
      </c>
      <c r="R62" s="15" t="n">
        <f aca="false">Q62*L62</f>
        <v>0.297283950617284</v>
      </c>
      <c r="S62" s="15" t="n">
        <f aca="false">J62-R62</f>
        <v>-0.197283950617284</v>
      </c>
      <c r="T62" s="15" t="n">
        <f aca="false">MIN(197.4,(T61+S62))</f>
        <v>60.4473456790124</v>
      </c>
      <c r="V62" s="19" t="n">
        <v>284.7</v>
      </c>
      <c r="W62" s="9" t="n">
        <f aca="false">V62/D62</f>
        <v>31.2857142857143</v>
      </c>
      <c r="X62" s="9" t="n">
        <f aca="false">X61+V62</f>
        <v>59271.7</v>
      </c>
      <c r="AA62" s="9" t="n">
        <v>10.1780121441157</v>
      </c>
    </row>
    <row r="63" s="9" customFormat="true" ht="15" hidden="false" customHeight="false" outlineLevel="0" collapsed="false">
      <c r="A63" s="10"/>
      <c r="B63" s="11"/>
      <c r="C63" s="12" t="n">
        <v>41941</v>
      </c>
      <c r="D63" s="9" t="n">
        <v>10.7</v>
      </c>
      <c r="E63" s="9" t="n">
        <v>7.3</v>
      </c>
      <c r="F63" s="9" t="n">
        <v>12.8</v>
      </c>
      <c r="G63" s="9" t="n">
        <f aca="false">G62+D63</f>
        <v>857.9</v>
      </c>
      <c r="J63" s="9" t="n">
        <v>0</v>
      </c>
      <c r="K63" s="9" t="n">
        <f aca="false">K62+J63</f>
        <v>94.2</v>
      </c>
      <c r="L63" s="9" t="n">
        <v>0.7</v>
      </c>
      <c r="M63" s="9" t="n">
        <f aca="false">M62+L63</f>
        <v>115.1</v>
      </c>
      <c r="N63" s="14" t="n">
        <f aca="false">J63-L63</f>
        <v>-0.7</v>
      </c>
      <c r="O63" s="9" t="n">
        <f aca="false">O62+N63</f>
        <v>49.3</v>
      </c>
      <c r="P63" s="9" t="n">
        <v>58</v>
      </c>
      <c r="Q63" s="9" t="n">
        <f aca="false">0.35+((P63-8)/81)*(1-0.35)</f>
        <v>0.751234567901235</v>
      </c>
      <c r="R63" s="15" t="n">
        <f aca="false">Q63*L63</f>
        <v>0.525864197530864</v>
      </c>
      <c r="S63" s="15" t="n">
        <f aca="false">J63-R63</f>
        <v>-0.525864197530864</v>
      </c>
      <c r="T63" s="15" t="n">
        <f aca="false">MIN(197.4,(T62+S63))</f>
        <v>59.9214814814815</v>
      </c>
      <c r="V63" s="19" t="n">
        <v>580.4</v>
      </c>
      <c r="W63" s="9" t="n">
        <f aca="false">V63/D63</f>
        <v>54.2429906542056</v>
      </c>
      <c r="X63" s="9" t="n">
        <f aca="false">X62+V63</f>
        <v>59852.1</v>
      </c>
      <c r="AA63" s="9" t="n">
        <v>10.1230289883966</v>
      </c>
    </row>
    <row r="64" s="9" customFormat="true" ht="15" hidden="false" customHeight="false" outlineLevel="0" collapsed="false">
      <c r="A64" s="10"/>
      <c r="B64" s="11"/>
      <c r="C64" s="12" t="n">
        <v>41942</v>
      </c>
      <c r="D64" s="9" t="n">
        <v>13.6</v>
      </c>
      <c r="E64" s="9" t="n">
        <v>8.9</v>
      </c>
      <c r="F64" s="9" t="n">
        <v>18.7</v>
      </c>
      <c r="G64" s="9" t="n">
        <f aca="false">G63+D64</f>
        <v>871.5</v>
      </c>
      <c r="J64" s="9" t="n">
        <v>0</v>
      </c>
      <c r="K64" s="9" t="n">
        <f aca="false">K63+J64</f>
        <v>94.2</v>
      </c>
      <c r="L64" s="9" t="n">
        <v>1.1</v>
      </c>
      <c r="M64" s="9" t="n">
        <f aca="false">M63+L64</f>
        <v>116.2</v>
      </c>
      <c r="N64" s="14" t="n">
        <f aca="false">J64-L64</f>
        <v>-1.1</v>
      </c>
      <c r="O64" s="9" t="n">
        <f aca="false">O63+N64</f>
        <v>48.2</v>
      </c>
      <c r="P64" s="9" t="n">
        <v>59</v>
      </c>
      <c r="Q64" s="9" t="n">
        <f aca="false">0.35+((P64-8)/81)*(1-0.35)</f>
        <v>0.759259259259259</v>
      </c>
      <c r="R64" s="15" t="n">
        <f aca="false">Q64*L64</f>
        <v>0.835185185185185</v>
      </c>
      <c r="S64" s="15" t="n">
        <f aca="false">J64-R64</f>
        <v>-0.835185185185185</v>
      </c>
      <c r="T64" s="15" t="n">
        <f aca="false">MIN(197.4,(T63+S64))</f>
        <v>59.0862962962963</v>
      </c>
      <c r="V64" s="19" t="n">
        <v>434.9</v>
      </c>
      <c r="W64" s="9" t="n">
        <f aca="false">V64/D64</f>
        <v>31.9779411764706</v>
      </c>
      <c r="X64" s="9" t="n">
        <f aca="false">X63+V64</f>
        <v>60287</v>
      </c>
      <c r="AA64" s="9" t="n">
        <v>10.0683672919924</v>
      </c>
    </row>
    <row r="65" s="9" customFormat="true" ht="15" hidden="false" customHeight="false" outlineLevel="0" collapsed="false">
      <c r="A65" s="10"/>
      <c r="B65" s="11"/>
      <c r="C65" s="12" t="n">
        <v>41943</v>
      </c>
      <c r="D65" s="9" t="n">
        <v>14.7</v>
      </c>
      <c r="E65" s="9" t="n">
        <v>11.8</v>
      </c>
      <c r="F65" s="9" t="n">
        <v>20</v>
      </c>
      <c r="G65" s="9" t="n">
        <f aca="false">G64+D65</f>
        <v>886.2</v>
      </c>
      <c r="J65" s="9" t="n">
        <v>0</v>
      </c>
      <c r="K65" s="9" t="n">
        <f aca="false">K64+J65</f>
        <v>94.2</v>
      </c>
      <c r="L65" s="9" t="n">
        <v>1.6</v>
      </c>
      <c r="M65" s="9" t="n">
        <f aca="false">M64+L65</f>
        <v>117.8</v>
      </c>
      <c r="N65" s="14" t="n">
        <f aca="false">J65-L65</f>
        <v>-1.6</v>
      </c>
      <c r="O65" s="9" t="n">
        <f aca="false">O64+N65</f>
        <v>46.6</v>
      </c>
      <c r="P65" s="9" t="n">
        <v>60</v>
      </c>
      <c r="Q65" s="9" t="n">
        <f aca="false">0.35+((P65-8)/81)*(1-0.35)</f>
        <v>0.767283950617284</v>
      </c>
      <c r="R65" s="15" t="n">
        <f aca="false">Q65*L65</f>
        <v>1.22765432098765</v>
      </c>
      <c r="S65" s="15" t="n">
        <f aca="false">J65-R65</f>
        <v>-1.22765432098765</v>
      </c>
      <c r="T65" s="15" t="n">
        <f aca="false">MIN(197.4,(T64+S65))</f>
        <v>57.8586419753087</v>
      </c>
      <c r="V65" s="19" t="n">
        <v>651.1</v>
      </c>
      <c r="W65" s="9" t="n">
        <f aca="false">V65/D65</f>
        <v>44.2925170068027</v>
      </c>
      <c r="X65" s="9" t="n">
        <f aca="false">X64+V65</f>
        <v>60938.1</v>
      </c>
      <c r="AA65" s="9" t="n">
        <v>10.014044756631</v>
      </c>
    </row>
    <row r="66" s="9" customFormat="true" ht="15" hidden="false" customHeight="false" outlineLevel="0" collapsed="false">
      <c r="A66" s="10"/>
      <c r="B66" s="11"/>
      <c r="C66" s="12" t="n">
        <v>41944</v>
      </c>
      <c r="D66" s="9" t="n">
        <v>14.1</v>
      </c>
      <c r="E66" s="9" t="n">
        <v>9.4</v>
      </c>
      <c r="F66" s="9" t="n">
        <v>19.6</v>
      </c>
      <c r="G66" s="9" t="n">
        <f aca="false">G65+D66</f>
        <v>900.3</v>
      </c>
      <c r="J66" s="9" t="n">
        <v>0</v>
      </c>
      <c r="K66" s="9" t="n">
        <f aca="false">K65+J66</f>
        <v>94.2</v>
      </c>
      <c r="L66" s="9" t="n">
        <v>1.7</v>
      </c>
      <c r="M66" s="9" t="n">
        <f aca="false">M65+L66</f>
        <v>119.5</v>
      </c>
      <c r="N66" s="14" t="n">
        <f aca="false">J66-L66</f>
        <v>-1.7</v>
      </c>
      <c r="O66" s="9" t="n">
        <f aca="false">O65+N66</f>
        <v>44.9</v>
      </c>
      <c r="P66" s="9" t="n">
        <v>61</v>
      </c>
      <c r="Q66" s="9" t="n">
        <f aca="false">0.35+((P66-8)/81)*(1-0.35)</f>
        <v>0.775308641975309</v>
      </c>
      <c r="R66" s="15" t="n">
        <f aca="false">Q66*L66</f>
        <v>1.31802469135802</v>
      </c>
      <c r="S66" s="15" t="n">
        <f aca="false">J66-R66</f>
        <v>-1.31802469135802</v>
      </c>
      <c r="T66" s="15" t="n">
        <f aca="false">MIN(197.4,(T65+S66))</f>
        <v>56.5406172839506</v>
      </c>
      <c r="V66" s="19" t="n">
        <v>898.2</v>
      </c>
      <c r="W66" s="9" t="n">
        <f aca="false">V66/D66</f>
        <v>63.7021276595745</v>
      </c>
      <c r="X66" s="9" t="n">
        <f aca="false">X65+V66</f>
        <v>61836.3</v>
      </c>
      <c r="AA66" s="9" t="n">
        <v>9.96007972958219</v>
      </c>
    </row>
    <row r="67" s="9" customFormat="true" ht="15" hidden="false" customHeight="false" outlineLevel="0" collapsed="false">
      <c r="A67" s="10"/>
      <c r="B67" s="11"/>
      <c r="C67" s="12" t="n">
        <v>41945</v>
      </c>
      <c r="D67" s="9" t="n">
        <v>14.6</v>
      </c>
      <c r="E67" s="9" t="n">
        <v>12.7</v>
      </c>
      <c r="F67" s="9" t="n">
        <v>17</v>
      </c>
      <c r="G67" s="9" t="n">
        <f aca="false">G66+D67</f>
        <v>914.9</v>
      </c>
      <c r="J67" s="9" t="n">
        <v>1.6</v>
      </c>
      <c r="K67" s="9" t="n">
        <f aca="false">K66+J67</f>
        <v>95.8</v>
      </c>
      <c r="L67" s="9" t="n">
        <v>0.9</v>
      </c>
      <c r="M67" s="9" t="n">
        <f aca="false">M66+L67</f>
        <v>120.4</v>
      </c>
      <c r="N67" s="9" t="n">
        <f aca="false">J67-L67</f>
        <v>0.7</v>
      </c>
      <c r="O67" s="9" t="n">
        <f aca="false">O66+N67</f>
        <v>45.6</v>
      </c>
      <c r="P67" s="9" t="n">
        <v>62</v>
      </c>
      <c r="Q67" s="9" t="n">
        <f aca="false">0.35+((P67-8)/81)*(1-0.35)</f>
        <v>0.783333333333333</v>
      </c>
      <c r="R67" s="15" t="n">
        <f aca="false">Q67*L67</f>
        <v>0.705</v>
      </c>
      <c r="S67" s="15" t="n">
        <f aca="false">J67-R67</f>
        <v>0.895</v>
      </c>
      <c r="T67" s="15" t="n">
        <f aca="false">MIN(197.4,(T66+S67))</f>
        <v>57.4356172839506</v>
      </c>
      <c r="V67" s="19" t="n">
        <v>318.9</v>
      </c>
      <c r="W67" s="9" t="n">
        <f aca="false">V67/D67</f>
        <v>21.8424657534247</v>
      </c>
      <c r="X67" s="9" t="n">
        <f aca="false">X66+V67</f>
        <v>62155.2</v>
      </c>
      <c r="AA67" s="9" t="n">
        <v>9.90649121268079</v>
      </c>
    </row>
    <row r="68" s="9" customFormat="true" ht="15" hidden="false" customHeight="false" outlineLevel="0" collapsed="false">
      <c r="A68" s="10"/>
      <c r="B68" s="11"/>
      <c r="C68" s="12" t="n">
        <v>41946</v>
      </c>
      <c r="D68" s="9" t="n">
        <v>13</v>
      </c>
      <c r="E68" s="9" t="n">
        <v>12.8</v>
      </c>
      <c r="F68" s="9" t="n">
        <v>15.2</v>
      </c>
      <c r="G68" s="9" t="n">
        <f aca="false">G67+D68</f>
        <v>927.9</v>
      </c>
      <c r="J68" s="9" t="n">
        <v>8.8</v>
      </c>
      <c r="K68" s="9" t="n">
        <f aca="false">K67+J68</f>
        <v>104.6</v>
      </c>
      <c r="L68" s="9" t="n">
        <v>1.7</v>
      </c>
      <c r="M68" s="9" t="n">
        <f aca="false">M67+L68</f>
        <v>122.1</v>
      </c>
      <c r="N68" s="9" t="n">
        <f aca="false">J68-L68</f>
        <v>7.1</v>
      </c>
      <c r="O68" s="9" t="n">
        <f aca="false">O67+N68</f>
        <v>52.7</v>
      </c>
      <c r="P68" s="9" t="n">
        <v>63</v>
      </c>
      <c r="Q68" s="9" t="n">
        <f aca="false">0.35+((P68-8)/81)*(1-0.35)</f>
        <v>0.791358024691358</v>
      </c>
      <c r="R68" s="15" t="n">
        <f aca="false">Q68*L68</f>
        <v>1.34530864197531</v>
      </c>
      <c r="S68" s="15" t="n">
        <f aca="false">J68-R68</f>
        <v>7.45469135802469</v>
      </c>
      <c r="T68" s="15" t="n">
        <f aca="false">MIN(197.4,(T67+S68))</f>
        <v>64.8903086419753</v>
      </c>
      <c r="V68" s="19" t="n">
        <v>709.4</v>
      </c>
      <c r="W68" s="9" t="n">
        <f aca="false">V68/D68</f>
        <v>54.5692307692308</v>
      </c>
      <c r="X68" s="9" t="n">
        <f aca="false">X67+V68</f>
        <v>62864.6</v>
      </c>
      <c r="AA68" s="9" t="n">
        <v>9.8532988698669</v>
      </c>
    </row>
    <row r="69" s="9" customFormat="true" ht="15" hidden="false" customHeight="false" outlineLevel="0" collapsed="false">
      <c r="A69" s="10"/>
      <c r="B69" s="11"/>
      <c r="C69" s="12" t="n">
        <v>41947</v>
      </c>
      <c r="D69" s="9" t="n">
        <v>8.7</v>
      </c>
      <c r="E69" s="9" t="n">
        <v>8.5</v>
      </c>
      <c r="F69" s="9" t="n">
        <v>10.1</v>
      </c>
      <c r="G69" s="9" t="n">
        <f aca="false">G68+D69</f>
        <v>936.6</v>
      </c>
      <c r="J69" s="9" t="n">
        <v>0</v>
      </c>
      <c r="K69" s="9" t="n">
        <f aca="false">K68+J69</f>
        <v>104.6</v>
      </c>
      <c r="L69" s="9" t="n">
        <v>0.5</v>
      </c>
      <c r="M69" s="9" t="n">
        <f aca="false">M68+L69</f>
        <v>122.6</v>
      </c>
      <c r="N69" s="14" t="n">
        <f aca="false">J69-L69</f>
        <v>-0.5</v>
      </c>
      <c r="O69" s="9" t="n">
        <f aca="false">O68+N69</f>
        <v>52.2</v>
      </c>
      <c r="P69" s="9" t="n">
        <v>64</v>
      </c>
      <c r="Q69" s="9" t="n">
        <f aca="false">0.35+((P69-8)/81)*(1-0.35)</f>
        <v>0.799382716049383</v>
      </c>
      <c r="R69" s="15" t="n">
        <f aca="false">Q69*L69</f>
        <v>0.399691358024691</v>
      </c>
      <c r="S69" s="15" t="n">
        <f aca="false">J69-R69</f>
        <v>-0.399691358024691</v>
      </c>
      <c r="T69" s="15" t="n">
        <f aca="false">MIN(197.4,(T68+S69))</f>
        <v>64.4906172839506</v>
      </c>
      <c r="V69" s="19" t="n">
        <v>401.7</v>
      </c>
      <c r="W69" s="9" t="n">
        <f aca="false">V69/D69</f>
        <v>46.1724137931035</v>
      </c>
      <c r="X69" s="9" t="n">
        <f aca="false">X68+V69</f>
        <v>63266.3</v>
      </c>
      <c r="AA69" s="9" t="n">
        <v>9.8005230331015</v>
      </c>
    </row>
    <row r="70" s="9" customFormat="true" ht="15" hidden="false" customHeight="false" outlineLevel="0" collapsed="false">
      <c r="A70" s="10"/>
      <c r="B70" s="11"/>
      <c r="C70" s="12" t="n">
        <v>41948</v>
      </c>
      <c r="D70" s="9" t="n">
        <v>6.6</v>
      </c>
      <c r="E70" s="20" t="n">
        <v>3.1</v>
      </c>
      <c r="F70" s="9" t="n">
        <v>10.6</v>
      </c>
      <c r="G70" s="9" t="n">
        <f aca="false">G69+D70</f>
        <v>943.2</v>
      </c>
      <c r="J70" s="9" t="n">
        <v>0.1</v>
      </c>
      <c r="K70" s="9" t="n">
        <f aca="false">K69+J70</f>
        <v>104.7</v>
      </c>
      <c r="L70" s="9" t="n">
        <v>0.8</v>
      </c>
      <c r="M70" s="9" t="n">
        <f aca="false">M69+L70</f>
        <v>123.4</v>
      </c>
      <c r="N70" s="14" t="n">
        <f aca="false">J70-L70</f>
        <v>-0.7</v>
      </c>
      <c r="O70" s="9" t="n">
        <f aca="false">O69+N70</f>
        <v>51.5</v>
      </c>
      <c r="P70" s="9" t="n">
        <v>65</v>
      </c>
      <c r="Q70" s="9" t="n">
        <f aca="false">0.35+((P70-8)/81)*(1-0.35)</f>
        <v>0.807407407407407</v>
      </c>
      <c r="R70" s="15" t="n">
        <f aca="false">Q70*L70</f>
        <v>0.645925925925926</v>
      </c>
      <c r="S70" s="15" t="n">
        <f aca="false">J70-R70</f>
        <v>-0.545925925925926</v>
      </c>
      <c r="T70" s="15" t="n">
        <f aca="false">MIN(197.4,(T69+S70))</f>
        <v>63.9446913580247</v>
      </c>
      <c r="V70" s="19" t="n">
        <v>648.8</v>
      </c>
      <c r="W70" s="9" t="n">
        <f aca="false">V70/D70</f>
        <v>98.3030303030303</v>
      </c>
      <c r="X70" s="9" t="n">
        <f aca="false">X69+V70</f>
        <v>63915.1</v>
      </c>
      <c r="AA70" s="9" t="n">
        <v>9.74818470650748</v>
      </c>
    </row>
    <row r="71" s="9" customFormat="true" ht="15" hidden="false" customHeight="false" outlineLevel="0" collapsed="false">
      <c r="A71" s="10"/>
      <c r="B71" s="11"/>
      <c r="C71" s="12" t="n">
        <v>41949</v>
      </c>
      <c r="D71" s="9" t="n">
        <v>7</v>
      </c>
      <c r="E71" s="20" t="n">
        <v>3.5</v>
      </c>
      <c r="F71" s="9" t="n">
        <v>11.8</v>
      </c>
      <c r="G71" s="9" t="n">
        <f aca="false">G70+D71</f>
        <v>950.2</v>
      </c>
      <c r="J71" s="9" t="n">
        <v>0.1</v>
      </c>
      <c r="K71" s="9" t="n">
        <f aca="false">K70+J71</f>
        <v>104.8</v>
      </c>
      <c r="L71" s="9" t="n">
        <v>1.2</v>
      </c>
      <c r="M71" s="9" t="n">
        <f aca="false">M70+L71</f>
        <v>124.6</v>
      </c>
      <c r="N71" s="14" t="n">
        <f aca="false">J71-L71</f>
        <v>-1.1</v>
      </c>
      <c r="O71" s="9" t="n">
        <f aca="false">O70+N71</f>
        <v>50.4</v>
      </c>
      <c r="P71" s="9" t="n">
        <v>66</v>
      </c>
      <c r="Q71" s="9" t="n">
        <f aca="false">0.35+((P71-8)/81)*(1-0.35)</f>
        <v>0.815432098765432</v>
      </c>
      <c r="R71" s="15" t="n">
        <f aca="false">Q71*L71</f>
        <v>0.978518518518518</v>
      </c>
      <c r="S71" s="15" t="n">
        <f aca="false">J71-R71</f>
        <v>-0.878518518518518</v>
      </c>
      <c r="T71" s="15" t="n">
        <f aca="false">MIN(197.4,(T70+S71))</f>
        <v>63.0661728395062</v>
      </c>
      <c r="V71" s="19" t="n">
        <v>869.7</v>
      </c>
      <c r="W71" s="9" t="n">
        <f aca="false">V71/D71</f>
        <v>124.242857142857</v>
      </c>
      <c r="X71" s="9" t="n">
        <f aca="false">X70+V71</f>
        <v>64784.8</v>
      </c>
      <c r="AA71" s="9" t="n">
        <v>9.69630556858229</v>
      </c>
    </row>
    <row r="72" s="9" customFormat="true" ht="15" hidden="false" customHeight="false" outlineLevel="0" collapsed="false">
      <c r="A72" s="10"/>
      <c r="B72" s="11"/>
      <c r="C72" s="12" t="n">
        <v>41950</v>
      </c>
      <c r="D72" s="9" t="n">
        <v>9.9</v>
      </c>
      <c r="E72" s="9" t="n">
        <v>6.6</v>
      </c>
      <c r="F72" s="9" t="n">
        <v>12.3</v>
      </c>
      <c r="G72" s="9" t="n">
        <f aca="false">G71+D72</f>
        <v>960.1</v>
      </c>
      <c r="J72" s="9" t="n">
        <v>4.9</v>
      </c>
      <c r="K72" s="9" t="n">
        <f aca="false">K71+J72</f>
        <v>109.7</v>
      </c>
      <c r="L72" s="9" t="n">
        <v>1</v>
      </c>
      <c r="M72" s="9" t="n">
        <f aca="false">M71+L72</f>
        <v>125.6</v>
      </c>
      <c r="N72" s="9" t="n">
        <f aca="false">J72-L72</f>
        <v>3.9</v>
      </c>
      <c r="O72" s="9" t="n">
        <f aca="false">O71+N72</f>
        <v>54.3</v>
      </c>
      <c r="P72" s="9" t="n">
        <v>67</v>
      </c>
      <c r="Q72" s="9" t="n">
        <f aca="false">0.35+((P72-8)/81)*(1-0.35)</f>
        <v>0.823456790123457</v>
      </c>
      <c r="R72" s="15" t="n">
        <f aca="false">Q72*L72</f>
        <v>0.823456790123457</v>
      </c>
      <c r="S72" s="15" t="n">
        <f aca="false">J72-R72</f>
        <v>4.07654320987654</v>
      </c>
      <c r="T72" s="15" t="n">
        <f aca="false">MIN(197.4,(T71+S72))</f>
        <v>67.1427160493827</v>
      </c>
      <c r="V72" s="19" t="n">
        <v>650.7</v>
      </c>
      <c r="W72" s="9" t="n">
        <f aca="false">V72/D72</f>
        <v>65.7272727272727</v>
      </c>
      <c r="X72" s="9" t="n">
        <f aca="false">X71+V72</f>
        <v>65435.5</v>
      </c>
      <c r="AA72" s="9" t="n">
        <v>9.64490797232294</v>
      </c>
    </row>
    <row r="73" s="9" customFormat="true" ht="15" hidden="false" customHeight="false" outlineLevel="0" collapsed="false">
      <c r="A73" s="10"/>
      <c r="B73" s="11"/>
      <c r="C73" s="12" t="n">
        <v>41951</v>
      </c>
      <c r="D73" s="9" t="n">
        <v>10.4</v>
      </c>
      <c r="E73" s="9" t="n">
        <v>6.5</v>
      </c>
      <c r="F73" s="9" t="n">
        <v>14.1</v>
      </c>
      <c r="G73" s="9" t="n">
        <f aca="false">G72+D73</f>
        <v>970.5</v>
      </c>
      <c r="J73" s="9" t="n">
        <v>0.3</v>
      </c>
      <c r="K73" s="9" t="n">
        <f aca="false">K72+J73</f>
        <v>110</v>
      </c>
      <c r="L73" s="9" t="n">
        <v>0.8</v>
      </c>
      <c r="M73" s="9" t="n">
        <f aca="false">M72+L73</f>
        <v>126.4</v>
      </c>
      <c r="N73" s="14" t="n">
        <f aca="false">J73-L73</f>
        <v>-0.5</v>
      </c>
      <c r="O73" s="9" t="n">
        <f aca="false">O72+N73</f>
        <v>53.8</v>
      </c>
      <c r="P73" s="9" t="n">
        <v>68</v>
      </c>
      <c r="Q73" s="9" t="n">
        <f aca="false">0.35+((P73-8)/81)*(1-0.35)</f>
        <v>0.831481481481482</v>
      </c>
      <c r="R73" s="15" t="n">
        <f aca="false">Q73*L73</f>
        <v>0.665185185185185</v>
      </c>
      <c r="S73" s="15" t="n">
        <f aca="false">J73-R73</f>
        <v>-0.365185185185185</v>
      </c>
      <c r="T73" s="15" t="n">
        <f aca="false">MIN(197.4,(T72+S73))</f>
        <v>66.7775308641975</v>
      </c>
      <c r="V73" s="19" t="n">
        <v>566.5</v>
      </c>
      <c r="W73" s="9" t="n">
        <f aca="false">V73/D73</f>
        <v>54.4711538461539</v>
      </c>
      <c r="X73" s="9" t="n">
        <f aca="false">X72+V73</f>
        <v>66002</v>
      </c>
      <c r="AA73" s="9" t="n">
        <v>9.59401494310056</v>
      </c>
    </row>
    <row r="74" s="9" customFormat="true" ht="15" hidden="false" customHeight="false" outlineLevel="0" collapsed="false">
      <c r="A74" s="10"/>
      <c r="B74" s="11"/>
      <c r="C74" s="12" t="n">
        <v>41952</v>
      </c>
      <c r="D74" s="9" t="n">
        <v>9.8</v>
      </c>
      <c r="E74" s="9" t="n">
        <v>8.1</v>
      </c>
      <c r="F74" s="9" t="n">
        <v>12.1</v>
      </c>
      <c r="G74" s="9" t="n">
        <f aca="false">G73+D74</f>
        <v>980.3</v>
      </c>
      <c r="J74" s="9" t="n">
        <v>0</v>
      </c>
      <c r="K74" s="9" t="n">
        <f aca="false">K73+J74</f>
        <v>110</v>
      </c>
      <c r="L74" s="9" t="n">
        <v>0.7</v>
      </c>
      <c r="M74" s="9" t="n">
        <f aca="false">M73+L74</f>
        <v>127.1</v>
      </c>
      <c r="N74" s="14" t="n">
        <f aca="false">J74-L74</f>
        <v>-0.7</v>
      </c>
      <c r="O74" s="9" t="n">
        <f aca="false">O73+N74</f>
        <v>53.1</v>
      </c>
      <c r="P74" s="9" t="n">
        <v>69</v>
      </c>
      <c r="Q74" s="9" t="n">
        <f aca="false">0.35+((P74-8)/81)*(1-0.35)</f>
        <v>0.839506172839506</v>
      </c>
      <c r="R74" s="15" t="n">
        <f aca="false">Q74*L74</f>
        <v>0.587654320987654</v>
      </c>
      <c r="S74" s="15" t="n">
        <f aca="false">J74-R74</f>
        <v>-0.587654320987654</v>
      </c>
      <c r="T74" s="15" t="n">
        <f aca="false">MIN(197.4,(T73+S74))</f>
        <v>66.1898765432099</v>
      </c>
      <c r="V74" s="19" t="n">
        <v>481.5</v>
      </c>
      <c r="W74" s="9" t="n">
        <f aca="false">V74/D74</f>
        <v>49.1326530612245</v>
      </c>
      <c r="X74" s="9" t="n">
        <f aca="false">X73+V74</f>
        <v>66483.5</v>
      </c>
      <c r="AA74" s="9" t="n">
        <v>9.54365017411869</v>
      </c>
    </row>
    <row r="75" s="9" customFormat="true" ht="15" hidden="false" customHeight="false" outlineLevel="0" collapsed="false">
      <c r="A75" s="10"/>
      <c r="B75" s="11"/>
      <c r="C75" s="12" t="n">
        <v>41953</v>
      </c>
      <c r="D75" s="9" t="n">
        <v>7.9</v>
      </c>
      <c r="E75" s="9" t="n">
        <v>5.9</v>
      </c>
      <c r="F75" s="9" t="n">
        <v>10.7</v>
      </c>
      <c r="G75" s="9" t="n">
        <f aca="false">G74+D75</f>
        <v>988.2</v>
      </c>
      <c r="J75" s="9" t="n">
        <v>0</v>
      </c>
      <c r="K75" s="9" t="n">
        <f aca="false">K74+J75</f>
        <v>110</v>
      </c>
      <c r="L75" s="9" t="n">
        <v>0.7</v>
      </c>
      <c r="M75" s="9" t="n">
        <f aca="false">M74+L75</f>
        <v>127.8</v>
      </c>
      <c r="N75" s="14" t="n">
        <f aca="false">J75-L75</f>
        <v>-0.7</v>
      </c>
      <c r="O75" s="9" t="n">
        <f aca="false">O74+N75</f>
        <v>52.4</v>
      </c>
      <c r="P75" s="9" t="n">
        <v>70</v>
      </c>
      <c r="Q75" s="9" t="n">
        <f aca="false">0.35+((P75-8)/81)*(1-0.35)</f>
        <v>0.847530864197531</v>
      </c>
      <c r="R75" s="15" t="n">
        <f aca="false">Q75*L75</f>
        <v>0.593271604938272</v>
      </c>
      <c r="S75" s="15" t="n">
        <f aca="false">J75-R75</f>
        <v>-0.593271604938272</v>
      </c>
      <c r="T75" s="15" t="n">
        <f aca="false">MIN(197.4,(T74+S75))</f>
        <v>65.5966049382716</v>
      </c>
      <c r="V75" s="19" t="n">
        <v>357.2</v>
      </c>
      <c r="W75" s="9" t="n">
        <f aca="false">V75/D75</f>
        <v>45.2151898734177</v>
      </c>
      <c r="X75" s="9" t="n">
        <f aca="false">X74+V75</f>
        <v>66840.7</v>
      </c>
      <c r="AA75" s="9" t="n">
        <v>9.49383801928761</v>
      </c>
    </row>
    <row r="76" s="9" customFormat="true" ht="15" hidden="false" customHeight="false" outlineLevel="0" collapsed="false">
      <c r="A76" s="10"/>
      <c r="B76" s="11"/>
      <c r="C76" s="12" t="n">
        <v>41954</v>
      </c>
      <c r="D76" s="9" t="n">
        <v>10.1</v>
      </c>
      <c r="E76" s="9" t="n">
        <v>5.3</v>
      </c>
      <c r="F76" s="9" t="n">
        <v>15.3</v>
      </c>
      <c r="G76" s="9" t="n">
        <f aca="false">G75+D76</f>
        <v>998.3</v>
      </c>
      <c r="J76" s="9" t="n">
        <v>2.4</v>
      </c>
      <c r="K76" s="9" t="n">
        <f aca="false">K75+J76</f>
        <v>112.4</v>
      </c>
      <c r="L76" s="9" t="n">
        <v>1.2</v>
      </c>
      <c r="M76" s="9" t="n">
        <f aca="false">M75+L76</f>
        <v>129</v>
      </c>
      <c r="N76" s="9" t="n">
        <f aca="false">J76-L76</f>
        <v>1.2</v>
      </c>
      <c r="O76" s="9" t="n">
        <f aca="false">O75+N76</f>
        <v>53.6</v>
      </c>
      <c r="P76" s="9" t="n">
        <v>71</v>
      </c>
      <c r="Q76" s="9" t="n">
        <f aca="false">0.35+((P76-8)/81)*(1-0.35)</f>
        <v>0.855555555555556</v>
      </c>
      <c r="R76" s="15" t="n">
        <f aca="false">Q76*L76</f>
        <v>1.02666666666667</v>
      </c>
      <c r="S76" s="15" t="n">
        <f aca="false">J76-R76</f>
        <v>1.37333333333333</v>
      </c>
      <c r="T76" s="15" t="n">
        <f aca="false">MIN(197.4,(T75+S76))</f>
        <v>66.969938271605</v>
      </c>
      <c r="V76" s="19" t="n">
        <v>660.4</v>
      </c>
      <c r="W76" s="9" t="n">
        <f aca="false">V76/D76</f>
        <v>65.3861386138614</v>
      </c>
      <c r="X76" s="9" t="n">
        <f aca="false">X75+V76</f>
        <v>67501.1</v>
      </c>
      <c r="AA76" s="9" t="n">
        <v>9.44460348334609</v>
      </c>
    </row>
    <row r="77" s="9" customFormat="true" ht="15" hidden="false" customHeight="false" outlineLevel="0" collapsed="false">
      <c r="A77" s="10"/>
      <c r="B77" s="11"/>
      <c r="C77" s="12" t="n">
        <v>41955</v>
      </c>
      <c r="D77" s="9" t="n">
        <v>9.9</v>
      </c>
      <c r="E77" s="9" t="n">
        <v>8.1</v>
      </c>
      <c r="F77" s="9" t="n">
        <v>13.2</v>
      </c>
      <c r="G77" s="9" t="n">
        <f aca="false">G76+D77</f>
        <v>1008.2</v>
      </c>
      <c r="J77" s="9" t="n">
        <v>0</v>
      </c>
      <c r="K77" s="9" t="n">
        <f aca="false">K76+J77</f>
        <v>112.4</v>
      </c>
      <c r="L77" s="9" t="n">
        <v>1</v>
      </c>
      <c r="M77" s="9" t="n">
        <f aca="false">M76+L77</f>
        <v>130</v>
      </c>
      <c r="N77" s="14" t="n">
        <f aca="false">J77-L77</f>
        <v>-1</v>
      </c>
      <c r="O77" s="9" t="n">
        <f aca="false">O76+N77</f>
        <v>52.6</v>
      </c>
      <c r="P77" s="9" t="n">
        <v>72</v>
      </c>
      <c r="Q77" s="9" t="n">
        <f aca="false">0.35+((P77-8)/81)*(1-0.35)</f>
        <v>0.86358024691358</v>
      </c>
      <c r="R77" s="15" t="n">
        <f aca="false">Q77*L77</f>
        <v>0.86358024691358</v>
      </c>
      <c r="S77" s="15" t="n">
        <f aca="false">J77-R77</f>
        <v>-0.86358024691358</v>
      </c>
      <c r="T77" s="15" t="n">
        <f aca="false">MIN(197.4,(T76+S77))</f>
        <v>66.1063580246914</v>
      </c>
      <c r="V77" s="19" t="n">
        <v>611.1</v>
      </c>
      <c r="W77" s="9" t="n">
        <f aca="false">V77/D77</f>
        <v>61.7272727272727</v>
      </c>
      <c r="X77" s="9" t="n">
        <f aca="false">X76+V77</f>
        <v>68112.2</v>
      </c>
      <c r="AA77" s="9" t="n">
        <v>9.39597220906324</v>
      </c>
    </row>
    <row r="78" s="9" customFormat="true" ht="15" hidden="false" customHeight="false" outlineLevel="0" collapsed="false">
      <c r="A78" s="10"/>
      <c r="B78" s="11"/>
      <c r="C78" s="12" t="n">
        <v>41956</v>
      </c>
      <c r="D78" s="9" t="n">
        <v>9.6</v>
      </c>
      <c r="E78" s="9" t="n">
        <v>6</v>
      </c>
      <c r="F78" s="9" t="n">
        <v>13.5</v>
      </c>
      <c r="G78" s="9" t="n">
        <f aca="false">G77+D78</f>
        <v>1017.8</v>
      </c>
      <c r="J78" s="9" t="n">
        <v>0</v>
      </c>
      <c r="K78" s="9" t="n">
        <f aca="false">K77+J78</f>
        <v>112.4</v>
      </c>
      <c r="L78" s="9" t="n">
        <v>0.8</v>
      </c>
      <c r="M78" s="9" t="n">
        <f aca="false">M77+L78</f>
        <v>130.8</v>
      </c>
      <c r="N78" s="14" t="n">
        <f aca="false">J78-L78</f>
        <v>-0.8</v>
      </c>
      <c r="O78" s="9" t="n">
        <f aca="false">O77+N78</f>
        <v>51.8</v>
      </c>
      <c r="P78" s="9" t="n">
        <v>73</v>
      </c>
      <c r="Q78" s="9" t="n">
        <f aca="false">0.35+((P78-8)/81)*(1-0.35)</f>
        <v>0.871604938271605</v>
      </c>
      <c r="R78" s="15" t="n">
        <f aca="false">Q78*L78</f>
        <v>0.697283950617284</v>
      </c>
      <c r="S78" s="15" t="n">
        <f aca="false">J78-R78</f>
        <v>-0.697283950617284</v>
      </c>
      <c r="T78" s="15" t="n">
        <f aca="false">MIN(197.4,(T77+S78))</f>
        <v>65.4090740740741</v>
      </c>
      <c r="V78" s="19" t="n">
        <v>487.2</v>
      </c>
      <c r="W78" s="9" t="n">
        <f aca="false">V78/D78</f>
        <v>50.75</v>
      </c>
      <c r="X78" s="9" t="n">
        <f aca="false">X77+V78</f>
        <v>68599.4</v>
      </c>
      <c r="AA78" s="9" t="n">
        <v>9.347970461355</v>
      </c>
    </row>
    <row r="79" s="9" customFormat="true" ht="15" hidden="false" customHeight="false" outlineLevel="0" collapsed="false">
      <c r="A79" s="10"/>
      <c r="B79" s="11"/>
      <c r="C79" s="12" t="n">
        <v>41957</v>
      </c>
      <c r="D79" s="9" t="n">
        <v>9.3</v>
      </c>
      <c r="E79" s="9" t="n">
        <v>7.8</v>
      </c>
      <c r="F79" s="9" t="n">
        <v>10.1</v>
      </c>
      <c r="G79" s="9" t="n">
        <f aca="false">G78+D79</f>
        <v>1027.1</v>
      </c>
      <c r="J79" s="9" t="n">
        <v>23</v>
      </c>
      <c r="K79" s="9" t="n">
        <f aca="false">K78+J79</f>
        <v>135.4</v>
      </c>
      <c r="L79" s="9" t="n">
        <v>0.3</v>
      </c>
      <c r="M79" s="9" t="n">
        <f aca="false">M78+L79</f>
        <v>131.1</v>
      </c>
      <c r="N79" s="9" t="n">
        <f aca="false">J79-L79</f>
        <v>22.7</v>
      </c>
      <c r="O79" s="9" t="n">
        <f aca="false">O78+N79</f>
        <v>74.5</v>
      </c>
      <c r="P79" s="9" t="n">
        <v>74</v>
      </c>
      <c r="Q79" s="9" t="n">
        <f aca="false">0.35+((P79-8)/81)*(1-0.35)</f>
        <v>0.87962962962963</v>
      </c>
      <c r="R79" s="15" t="n">
        <f aca="false">Q79*L79</f>
        <v>0.263888888888889</v>
      </c>
      <c r="S79" s="15" t="n">
        <f aca="false">J79-R79</f>
        <v>22.7361111111111</v>
      </c>
      <c r="T79" s="15" t="n">
        <f aca="false">MIN(197.4,(T78+S79))</f>
        <v>88.1451851851852</v>
      </c>
      <c r="V79" s="19" t="n">
        <v>120.5</v>
      </c>
      <c r="W79" s="9" t="n">
        <f aca="false">V79/D79</f>
        <v>12.9569892473118</v>
      </c>
      <c r="X79" s="9" t="n">
        <f aca="false">X78+V79</f>
        <v>68719.9</v>
      </c>
      <c r="AA79" s="9" t="n">
        <v>9.30062510815411</v>
      </c>
    </row>
    <row r="80" s="9" customFormat="true" ht="15" hidden="false" customHeight="false" outlineLevel="0" collapsed="false">
      <c r="A80" s="10"/>
      <c r="B80" s="11"/>
      <c r="C80" s="12" t="n">
        <v>41958</v>
      </c>
      <c r="D80" s="9" t="n">
        <v>9.7</v>
      </c>
      <c r="E80" s="9" t="n">
        <v>9.2</v>
      </c>
      <c r="F80" s="9" t="n">
        <v>11.1</v>
      </c>
      <c r="G80" s="9" t="n">
        <f aca="false">G79+D80</f>
        <v>1036.8</v>
      </c>
      <c r="J80" s="9" t="n">
        <v>0.5</v>
      </c>
      <c r="K80" s="9" t="n">
        <f aca="false">K79+J80</f>
        <v>135.9</v>
      </c>
      <c r="L80" s="9" t="n">
        <v>0.3</v>
      </c>
      <c r="M80" s="9" t="n">
        <f aca="false">M79+L80</f>
        <v>131.4</v>
      </c>
      <c r="N80" s="9" t="n">
        <f aca="false">J80-L80</f>
        <v>0.2</v>
      </c>
      <c r="O80" s="9" t="n">
        <f aca="false">O79+N80</f>
        <v>74.7</v>
      </c>
      <c r="P80" s="9" t="n">
        <v>75</v>
      </c>
      <c r="Q80" s="9" t="n">
        <f aca="false">0.35+((P80-8)/81)*(1-0.35)</f>
        <v>0.887654320987654</v>
      </c>
      <c r="R80" s="15" t="n">
        <f aca="false">Q80*L80</f>
        <v>0.266296296296296</v>
      </c>
      <c r="S80" s="15" t="n">
        <f aca="false">J80-R80</f>
        <v>0.233703703703704</v>
      </c>
      <c r="T80" s="15" t="n">
        <f aca="false">MIN(197.4,(T79+S80))</f>
        <v>88.3788888888889</v>
      </c>
      <c r="V80" s="19" t="n">
        <v>164.7</v>
      </c>
      <c r="W80" s="9" t="n">
        <f aca="false">V80/D80</f>
        <v>16.979381443299</v>
      </c>
      <c r="X80" s="9" t="n">
        <f aca="false">X79+V80</f>
        <v>68884.6</v>
      </c>
      <c r="AA80" s="9" t="n">
        <v>9.25396359787851</v>
      </c>
    </row>
    <row r="81" s="9" customFormat="true" ht="15" hidden="false" customHeight="false" outlineLevel="0" collapsed="false">
      <c r="A81" s="10"/>
      <c r="B81" s="11"/>
      <c r="C81" s="12" t="n">
        <v>41959</v>
      </c>
      <c r="D81" s="9" t="n">
        <v>9</v>
      </c>
      <c r="E81" s="9" t="n">
        <v>8.5</v>
      </c>
      <c r="F81" s="9" t="n">
        <v>9.8</v>
      </c>
      <c r="G81" s="9" t="n">
        <f aca="false">G80+D81</f>
        <v>1045.8</v>
      </c>
      <c r="J81" s="9" t="n">
        <v>8</v>
      </c>
      <c r="K81" s="9" t="n">
        <f aca="false">K80+J81</f>
        <v>143.9</v>
      </c>
      <c r="L81" s="9" t="n">
        <v>0.4</v>
      </c>
      <c r="M81" s="9" t="n">
        <f aca="false">M80+L81</f>
        <v>131.8</v>
      </c>
      <c r="N81" s="9" t="n">
        <f aca="false">J81-L81</f>
        <v>7.6</v>
      </c>
      <c r="O81" s="9" t="n">
        <f aca="false">O80+N81</f>
        <v>82.3</v>
      </c>
      <c r="P81" s="9" t="n">
        <v>76</v>
      </c>
      <c r="Q81" s="9" t="n">
        <f aca="false">0.35+((P81-8)/81)*(1-0.35)</f>
        <v>0.895679012345679</v>
      </c>
      <c r="R81" s="15" t="n">
        <f aca="false">Q81*L81</f>
        <v>0.358271604938272</v>
      </c>
      <c r="S81" s="15" t="n">
        <f aca="false">J81-R81</f>
        <v>7.64172839506173</v>
      </c>
      <c r="T81" s="15" t="n">
        <f aca="false">MIN(197.4,(T80+S81))</f>
        <v>96.0206172839506</v>
      </c>
      <c r="V81" s="19" t="n">
        <v>170.9</v>
      </c>
      <c r="W81" s="9" t="n">
        <f aca="false">V81/D81</f>
        <v>18.9888888888889</v>
      </c>
      <c r="X81" s="9" t="n">
        <f aca="false">X80+V81</f>
        <v>69055.5</v>
      </c>
      <c r="AA81" s="9" t="n">
        <v>9.2080139333511</v>
      </c>
    </row>
    <row r="82" s="9" customFormat="true" ht="15" hidden="false" customHeight="false" outlineLevel="0" collapsed="false">
      <c r="A82" s="10"/>
      <c r="B82" s="11"/>
      <c r="C82" s="12" t="n">
        <v>41960</v>
      </c>
      <c r="D82" s="9" t="n">
        <v>8.4</v>
      </c>
      <c r="E82" s="9" t="n">
        <v>8</v>
      </c>
      <c r="F82" s="9" t="n">
        <v>9.7</v>
      </c>
      <c r="G82" s="9" t="n">
        <f aca="false">G81+D82</f>
        <v>1054.2</v>
      </c>
      <c r="J82" s="9" t="n">
        <v>2.5</v>
      </c>
      <c r="K82" s="9" t="n">
        <f aca="false">K81+J82</f>
        <v>146.4</v>
      </c>
      <c r="L82" s="9" t="n">
        <v>0.4</v>
      </c>
      <c r="M82" s="9" t="n">
        <f aca="false">M81+L82</f>
        <v>132.2</v>
      </c>
      <c r="N82" s="9" t="n">
        <f aca="false">J82-L82</f>
        <v>2.1</v>
      </c>
      <c r="O82" s="9" t="n">
        <f aca="false">O81+N82</f>
        <v>84.4</v>
      </c>
      <c r="P82" s="9" t="n">
        <v>77</v>
      </c>
      <c r="Q82" s="9" t="n">
        <f aca="false">0.35+((P82-8)/81)*(1-0.35)</f>
        <v>0.903703703703704</v>
      </c>
      <c r="R82" s="15" t="n">
        <f aca="false">Q82*L82</f>
        <v>0.361481481481482</v>
      </c>
      <c r="S82" s="15" t="n">
        <f aca="false">J82-R82</f>
        <v>2.13851851851852</v>
      </c>
      <c r="T82" s="15" t="n">
        <f aca="false">MIN(197.4,(T81+S82))</f>
        <v>98.1591358024692</v>
      </c>
      <c r="V82" s="19" t="n">
        <v>255</v>
      </c>
      <c r="W82" s="9" t="n">
        <f aca="false">V82/D82</f>
        <v>30.3571428571429</v>
      </c>
      <c r="X82" s="9" t="n">
        <f aca="false">X81+V82</f>
        <v>69310.5</v>
      </c>
      <c r="AA82" s="9" t="n">
        <v>9.16280464203436</v>
      </c>
    </row>
    <row r="83" s="9" customFormat="true" ht="15" hidden="false" customHeight="false" outlineLevel="0" collapsed="false">
      <c r="A83" s="10"/>
      <c r="B83" s="11"/>
      <c r="C83" s="12" t="n">
        <v>41961</v>
      </c>
      <c r="D83" s="9" t="n">
        <v>7.8</v>
      </c>
      <c r="E83" s="9" t="n">
        <v>7.5</v>
      </c>
      <c r="F83" s="9" t="n">
        <v>9.5</v>
      </c>
      <c r="G83" s="9" t="n">
        <f aca="false">G82+D83</f>
        <v>1062</v>
      </c>
      <c r="J83" s="9" t="n">
        <v>0.7</v>
      </c>
      <c r="K83" s="9" t="n">
        <f aca="false">K82+J83</f>
        <v>147.1</v>
      </c>
      <c r="L83" s="9" t="n">
        <v>0.3</v>
      </c>
      <c r="M83" s="9" t="n">
        <f aca="false">M82+L83</f>
        <v>132.5</v>
      </c>
      <c r="N83" s="9" t="n">
        <f aca="false">J83-L83</f>
        <v>0.4</v>
      </c>
      <c r="O83" s="9" t="n">
        <f aca="false">O82+N83</f>
        <v>84.8</v>
      </c>
      <c r="P83" s="9" t="n">
        <v>78</v>
      </c>
      <c r="Q83" s="9" t="n">
        <f aca="false">0.35+((P83-8)/81)*(1-0.35)</f>
        <v>0.911728395061728</v>
      </c>
      <c r="R83" s="15" t="n">
        <f aca="false">Q83*L83</f>
        <v>0.273518518518519</v>
      </c>
      <c r="S83" s="15" t="n">
        <f aca="false">J83-R83</f>
        <v>0.426481481481481</v>
      </c>
      <c r="T83" s="15" t="n">
        <f aca="false">MIN(197.4,(T82+S83))</f>
        <v>98.5856172839507</v>
      </c>
      <c r="V83" s="19" t="n">
        <v>149.1</v>
      </c>
      <c r="W83" s="9" t="n">
        <f aca="false">V83/D83</f>
        <v>19.1153846153846</v>
      </c>
      <c r="X83" s="9" t="n">
        <f aca="false">X82+V83</f>
        <v>69459.6</v>
      </c>
      <c r="AA83" s="9" t="n">
        <v>9.11836474245608</v>
      </c>
    </row>
    <row r="84" s="9" customFormat="true" ht="15" hidden="false" customHeight="false" outlineLevel="0" collapsed="false">
      <c r="A84" s="10"/>
      <c r="B84" s="11"/>
      <c r="C84" s="12" t="n">
        <v>41962</v>
      </c>
      <c r="D84" s="9" t="n">
        <v>5.7</v>
      </c>
      <c r="E84" s="20" t="n">
        <v>3.6</v>
      </c>
      <c r="F84" s="9" t="n">
        <v>7.2</v>
      </c>
      <c r="G84" s="9" t="n">
        <f aca="false">G83+D84</f>
        <v>1067.7</v>
      </c>
      <c r="J84" s="9" t="n">
        <v>0.2</v>
      </c>
      <c r="K84" s="9" t="n">
        <f aca="false">K83+J84</f>
        <v>147.3</v>
      </c>
      <c r="L84" s="9" t="n">
        <v>0.3</v>
      </c>
      <c r="M84" s="9" t="n">
        <f aca="false">M83+L84</f>
        <v>132.8</v>
      </c>
      <c r="N84" s="14" t="n">
        <f aca="false">J84-L84</f>
        <v>-0.1</v>
      </c>
      <c r="O84" s="9" t="n">
        <f aca="false">O83+N84</f>
        <v>84.7</v>
      </c>
      <c r="P84" s="9" t="n">
        <v>79</v>
      </c>
      <c r="Q84" s="9" t="n">
        <f aca="false">0.35+((P84-8)/81)*(1-0.35)</f>
        <v>0.919753086419753</v>
      </c>
      <c r="R84" s="15" t="n">
        <f aca="false">Q84*L84</f>
        <v>0.275925925925926</v>
      </c>
      <c r="S84" s="15" t="n">
        <f aca="false">J84-R84</f>
        <v>-0.0759259259259259</v>
      </c>
      <c r="T84" s="15" t="n">
        <f aca="false">MIN(197.4,(T83+S84))</f>
        <v>98.5096913580247</v>
      </c>
      <c r="V84" s="19" t="n">
        <v>228.7</v>
      </c>
      <c r="W84" s="9" t="n">
        <f aca="false">V84/D84</f>
        <v>40.1228070175439</v>
      </c>
      <c r="X84" s="9" t="n">
        <f aca="false">X83+V84</f>
        <v>69688.3</v>
      </c>
      <c r="AA84" s="9" t="n">
        <v>9.07472370671787</v>
      </c>
    </row>
    <row r="85" s="9" customFormat="true" ht="15" hidden="false" customHeight="false" outlineLevel="0" collapsed="false">
      <c r="A85" s="10"/>
      <c r="B85" s="11"/>
      <c r="C85" s="12" t="n">
        <v>41963</v>
      </c>
      <c r="D85" s="9" t="n">
        <v>7.2</v>
      </c>
      <c r="E85" s="9" t="n">
        <v>5.3</v>
      </c>
      <c r="F85" s="9" t="n">
        <v>8.5</v>
      </c>
      <c r="G85" s="9" t="n">
        <f aca="false">G84+D85</f>
        <v>1074.9</v>
      </c>
      <c r="J85" s="9" t="n">
        <v>0</v>
      </c>
      <c r="K85" s="9" t="n">
        <f aca="false">K84+J85</f>
        <v>147.3</v>
      </c>
      <c r="L85" s="9" t="n">
        <v>0.4</v>
      </c>
      <c r="M85" s="9" t="n">
        <f aca="false">M84+L85</f>
        <v>133.2</v>
      </c>
      <c r="N85" s="14" t="n">
        <f aca="false">J85-L85</f>
        <v>-0.4</v>
      </c>
      <c r="O85" s="9" t="n">
        <f aca="false">O84+N85</f>
        <v>84.3</v>
      </c>
      <c r="P85" s="9" t="n">
        <v>80</v>
      </c>
      <c r="Q85" s="9" t="n">
        <f aca="false">0.35+((P85-8)/81)*(1-0.35)</f>
        <v>0.927777777777778</v>
      </c>
      <c r="R85" s="15" t="n">
        <f aca="false">Q85*L85</f>
        <v>0.371111111111111</v>
      </c>
      <c r="S85" s="15" t="n">
        <f aca="false">J85-R85</f>
        <v>-0.371111111111111</v>
      </c>
      <c r="T85" s="15" t="n">
        <f aca="false">MIN(197.4,(T84+S85))</f>
        <v>98.1385802469136</v>
      </c>
      <c r="V85" s="19" t="n">
        <v>434.7</v>
      </c>
      <c r="W85" s="9" t="n">
        <f aca="false">V85/D85</f>
        <v>60.375</v>
      </c>
      <c r="X85" s="9" t="n">
        <f aca="false">X84+V85</f>
        <v>70123</v>
      </c>
      <c r="AA85" s="9" t="n">
        <v>9.03191141899632</v>
      </c>
    </row>
    <row r="86" s="9" customFormat="true" ht="15" hidden="false" customHeight="false" outlineLevel="0" collapsed="false">
      <c r="A86" s="10"/>
      <c r="B86" s="11"/>
      <c r="C86" s="12" t="n">
        <v>41964</v>
      </c>
      <c r="D86" s="9" t="n">
        <v>8.7</v>
      </c>
      <c r="E86" s="9" t="n">
        <v>6.9</v>
      </c>
      <c r="F86" s="9" t="n">
        <v>11.7</v>
      </c>
      <c r="G86" s="9" t="n">
        <f aca="false">G85+D86</f>
        <v>1083.6</v>
      </c>
      <c r="J86" s="9" t="n">
        <v>0.1</v>
      </c>
      <c r="K86" s="9" t="n">
        <f aca="false">K85+J86</f>
        <v>147.4</v>
      </c>
      <c r="L86" s="9" t="n">
        <v>0.7</v>
      </c>
      <c r="M86" s="9" t="n">
        <f aca="false">M85+L86</f>
        <v>133.9</v>
      </c>
      <c r="N86" s="14" t="n">
        <f aca="false">J86-L86</f>
        <v>-0.6</v>
      </c>
      <c r="O86" s="9" t="n">
        <f aca="false">O85+N86</f>
        <v>83.7</v>
      </c>
      <c r="P86" s="9" t="n">
        <v>81</v>
      </c>
      <c r="Q86" s="9" t="n">
        <f aca="false">0.35+((P86-8)/81)*(1-0.35)</f>
        <v>0.935802469135803</v>
      </c>
      <c r="R86" s="15" t="n">
        <f aca="false">Q86*L86</f>
        <v>0.655061728395062</v>
      </c>
      <c r="S86" s="15" t="n">
        <f aca="false">J86-R86</f>
        <v>-0.555061728395062</v>
      </c>
      <c r="T86" s="15" t="n">
        <f aca="false">MIN(197.4,(T85+S86))</f>
        <v>97.5835185185186</v>
      </c>
      <c r="V86" s="19" t="n">
        <v>386.6</v>
      </c>
      <c r="W86" s="9" t="n">
        <f aca="false">V86/D86</f>
        <v>44.4367816091954</v>
      </c>
      <c r="X86" s="9" t="n">
        <f aca="false">X85+V86</f>
        <v>70509.6</v>
      </c>
      <c r="AA86" s="9" t="n">
        <v>8.98995812996746</v>
      </c>
    </row>
    <row r="87" s="9" customFormat="true" ht="15" hidden="false" customHeight="false" outlineLevel="0" collapsed="false">
      <c r="A87" s="10"/>
      <c r="B87" s="11"/>
      <c r="C87" s="12" t="n">
        <v>41965</v>
      </c>
      <c r="D87" s="9" t="n">
        <v>9.6</v>
      </c>
      <c r="E87" s="9" t="n">
        <v>6.4</v>
      </c>
      <c r="F87" s="9" t="n">
        <v>13.5</v>
      </c>
      <c r="G87" s="9" t="n">
        <f aca="false">G86+D87</f>
        <v>1093.2</v>
      </c>
      <c r="J87" s="9" t="n">
        <v>0</v>
      </c>
      <c r="K87" s="9" t="n">
        <f aca="false">K86+J87</f>
        <v>147.4</v>
      </c>
      <c r="L87" s="9" t="n">
        <v>0.7</v>
      </c>
      <c r="M87" s="9" t="n">
        <f aca="false">M86+L87</f>
        <v>134.6</v>
      </c>
      <c r="N87" s="14" t="n">
        <f aca="false">J87-L87</f>
        <v>-0.7</v>
      </c>
      <c r="O87" s="9" t="n">
        <f aca="false">O86+N87</f>
        <v>83</v>
      </c>
      <c r="P87" s="9" t="n">
        <v>82</v>
      </c>
      <c r="Q87" s="9" t="n">
        <f aca="false">0.35+((P87-8)/81)*(1-0.35)</f>
        <v>0.943827160493827</v>
      </c>
      <c r="R87" s="15" t="n">
        <f aca="false">Q87*L87</f>
        <v>0.660679012345679</v>
      </c>
      <c r="S87" s="15" t="n">
        <f aca="false">J87-R87</f>
        <v>-0.660679012345679</v>
      </c>
      <c r="T87" s="15" t="n">
        <f aca="false">MIN(197.4,(T86+S87))</f>
        <v>96.9228395061729</v>
      </c>
      <c r="V87" s="19" t="n">
        <v>426</v>
      </c>
      <c r="W87" s="9" t="n">
        <f aca="false">V87/D87</f>
        <v>44.375</v>
      </c>
      <c r="X87" s="9" t="n">
        <f aca="false">X86+V87</f>
        <v>70935.6</v>
      </c>
      <c r="AA87" s="9" t="n">
        <v>8.94889440710888</v>
      </c>
    </row>
    <row r="88" s="9" customFormat="true" ht="15" hidden="false" customHeight="false" outlineLevel="0" collapsed="false">
      <c r="A88" s="10"/>
      <c r="B88" s="11"/>
      <c r="C88" s="12" t="n">
        <v>41966</v>
      </c>
      <c r="D88" s="9" t="n">
        <v>11.2</v>
      </c>
      <c r="E88" s="9" t="n">
        <v>8.1</v>
      </c>
      <c r="F88" s="9" t="n">
        <v>14.8</v>
      </c>
      <c r="G88" s="9" t="n">
        <f aca="false">G87+D88</f>
        <v>1104.4</v>
      </c>
      <c r="J88" s="9" t="n">
        <v>0</v>
      </c>
      <c r="K88" s="9" t="n">
        <f aca="false">K87+J88</f>
        <v>147.4</v>
      </c>
      <c r="L88" s="9" t="n">
        <v>0.9</v>
      </c>
      <c r="M88" s="9" t="n">
        <f aca="false">M87+L88</f>
        <v>135.5</v>
      </c>
      <c r="N88" s="14" t="n">
        <f aca="false">J88-L88</f>
        <v>-0.9</v>
      </c>
      <c r="O88" s="9" t="n">
        <f aca="false">O87+N88</f>
        <v>82.1</v>
      </c>
      <c r="P88" s="9" t="n">
        <v>83</v>
      </c>
      <c r="Q88" s="9" t="n">
        <f aca="false">0.35+((P88-8)/81)*(1-0.35)</f>
        <v>0.951851851851852</v>
      </c>
      <c r="R88" s="15" t="n">
        <f aca="false">Q88*L88</f>
        <v>0.856666666666667</v>
      </c>
      <c r="S88" s="15" t="n">
        <f aca="false">J88-R88</f>
        <v>-0.856666666666667</v>
      </c>
      <c r="T88" s="15" t="n">
        <f aca="false">MIN(197.4,(T87+S88))</f>
        <v>96.0661728395062</v>
      </c>
      <c r="V88" s="19" t="n">
        <v>420.8</v>
      </c>
      <c r="W88" s="9" t="n">
        <f aca="false">V88/D88</f>
        <v>37.5714285714286</v>
      </c>
      <c r="X88" s="9" t="n">
        <f aca="false">X87+V88</f>
        <v>71356.4</v>
      </c>
      <c r="AA88" s="9" t="n">
        <v>8.90875108086055</v>
      </c>
    </row>
    <row r="89" s="9" customFormat="true" ht="15" hidden="false" customHeight="false" outlineLevel="0" collapsed="false">
      <c r="A89" s="10"/>
      <c r="B89" s="11"/>
      <c r="C89" s="12" t="n">
        <v>41967</v>
      </c>
      <c r="D89" s="9" t="n">
        <v>10.3</v>
      </c>
      <c r="E89" s="9" t="n">
        <v>10.1</v>
      </c>
      <c r="F89" s="9" t="n">
        <v>10.4</v>
      </c>
      <c r="G89" s="9" t="n">
        <f aca="false">G88+D89</f>
        <v>1114.7</v>
      </c>
      <c r="J89" s="9" t="n">
        <v>0</v>
      </c>
      <c r="K89" s="9" t="n">
        <f aca="false">K88+J89</f>
        <v>147.4</v>
      </c>
      <c r="L89" s="9" t="n">
        <v>0.4</v>
      </c>
      <c r="M89" s="9" t="n">
        <f aca="false">M88+L89</f>
        <v>135.9</v>
      </c>
      <c r="N89" s="14" t="n">
        <f aca="false">J89-L89</f>
        <v>-0.4</v>
      </c>
      <c r="O89" s="9" t="n">
        <f aca="false">O88+N89</f>
        <v>81.7</v>
      </c>
      <c r="P89" s="9" t="n">
        <v>84</v>
      </c>
      <c r="Q89" s="9" t="n">
        <f aca="false">0.35+((P89-8)/81)*(1-0.35)</f>
        <v>0.959876543209877</v>
      </c>
      <c r="R89" s="15" t="n">
        <f aca="false">Q89*L89</f>
        <v>0.383950617283951</v>
      </c>
      <c r="S89" s="15" t="n">
        <f aca="false">J89-R89</f>
        <v>-0.383950617283951</v>
      </c>
      <c r="T89" s="15" t="n">
        <f aca="false">MIN(197.4,(T88+S89))</f>
        <v>95.6822222222223</v>
      </c>
      <c r="V89" s="19" t="n">
        <v>126.1</v>
      </c>
      <c r="W89" s="9" t="n">
        <f aca="false">V89/D89</f>
        <v>12.2427184466019</v>
      </c>
      <c r="X89" s="9" t="n">
        <f aca="false">X88+V89</f>
        <v>71482.5</v>
      </c>
      <c r="AA89" s="9" t="n">
        <v>8.86955918665478</v>
      </c>
    </row>
    <row r="90" s="9" customFormat="true" ht="15" hidden="false" customHeight="false" outlineLevel="0" collapsed="false">
      <c r="A90" s="10"/>
      <c r="B90" s="11"/>
      <c r="C90" s="12" t="n">
        <v>41968</v>
      </c>
      <c r="D90" s="9" t="n">
        <v>9.8</v>
      </c>
      <c r="E90" s="9" t="n">
        <v>8.9</v>
      </c>
      <c r="F90" s="9" t="n">
        <v>10.6</v>
      </c>
      <c r="G90" s="9" t="n">
        <f aca="false">G89+D90</f>
        <v>1124.5</v>
      </c>
      <c r="J90" s="9" t="n">
        <v>8</v>
      </c>
      <c r="K90" s="9" t="n">
        <f aca="false">K89+J90</f>
        <v>155.4</v>
      </c>
      <c r="L90" s="9" t="n">
        <v>0.4</v>
      </c>
      <c r="M90" s="9" t="n">
        <f aca="false">M89+L90</f>
        <v>136.3</v>
      </c>
      <c r="N90" s="9" t="n">
        <f aca="false">J90-L90</f>
        <v>7.6</v>
      </c>
      <c r="O90" s="9" t="n">
        <f aca="false">O89+N90</f>
        <v>89.3</v>
      </c>
      <c r="P90" s="9" t="n">
        <v>85</v>
      </c>
      <c r="Q90" s="9" t="n">
        <f aca="false">0.35+((P90-8)/81)*(1-0.35)</f>
        <v>0.967901234567901</v>
      </c>
      <c r="R90" s="15" t="n">
        <f aca="false">Q90*L90</f>
        <v>0.387160493827161</v>
      </c>
      <c r="S90" s="15" t="n">
        <f aca="false">J90-R90</f>
        <v>7.61283950617284</v>
      </c>
      <c r="T90" s="15" t="n">
        <f aca="false">MIN(197.4,(T89+S90))</f>
        <v>103.295061728395</v>
      </c>
      <c r="V90" s="19" t="n">
        <v>84.6</v>
      </c>
      <c r="W90" s="9" t="n">
        <f aca="false">V90/D90</f>
        <v>8.63265306122449</v>
      </c>
      <c r="X90" s="9" t="n">
        <f aca="false">X89+V90</f>
        <v>71567.1</v>
      </c>
      <c r="AA90" s="9" t="n">
        <v>8.83134990285783</v>
      </c>
    </row>
    <row r="91" s="9" customFormat="true" ht="15" hidden="false" customHeight="false" outlineLevel="0" collapsed="false">
      <c r="A91" s="10"/>
      <c r="B91" s="11"/>
      <c r="C91" s="12" t="n">
        <v>41969</v>
      </c>
      <c r="D91" s="9" t="n">
        <v>10.8</v>
      </c>
      <c r="E91" s="9" t="n">
        <v>9.5</v>
      </c>
      <c r="F91" s="9" t="n">
        <v>12.7</v>
      </c>
      <c r="G91" s="9" t="n">
        <f aca="false">G90+D91</f>
        <v>1135.3</v>
      </c>
      <c r="J91" s="9" t="n">
        <v>0.1</v>
      </c>
      <c r="K91" s="9" t="n">
        <f aca="false">K90+J91</f>
        <v>155.5</v>
      </c>
      <c r="L91" s="9" t="n">
        <v>0.3</v>
      </c>
      <c r="M91" s="9" t="n">
        <f aca="false">M90+L91</f>
        <v>136.6</v>
      </c>
      <c r="N91" s="14" t="n">
        <f aca="false">J91-L91</f>
        <v>-0.2</v>
      </c>
      <c r="O91" s="9" t="n">
        <f aca="false">O90+N91</f>
        <v>89.1</v>
      </c>
      <c r="P91" s="9" t="n">
        <v>86</v>
      </c>
      <c r="Q91" s="9" t="n">
        <f aca="false">0.35+((P91-8)/81)*(1-0.35)</f>
        <v>0.975925925925926</v>
      </c>
      <c r="R91" s="15" t="n">
        <f aca="false">Q91*L91</f>
        <v>0.292777777777778</v>
      </c>
      <c r="S91" s="15" t="n">
        <f aca="false">J91-R91</f>
        <v>-0.192777777777778</v>
      </c>
      <c r="T91" s="15" t="n">
        <f aca="false">MIN(197.4,(T90+S91))</f>
        <v>103.102283950617</v>
      </c>
      <c r="V91" s="19" t="n">
        <v>111.5</v>
      </c>
      <c r="W91" s="9" t="n">
        <f aca="false">V91/D91</f>
        <v>10.3240740740741</v>
      </c>
      <c r="X91" s="9" t="n">
        <f aca="false">X90+V91</f>
        <v>71678.6</v>
      </c>
      <c r="AA91" s="9" t="n">
        <v>8.7941544847008</v>
      </c>
    </row>
    <row r="92" s="9" customFormat="true" ht="15" hidden="false" customHeight="false" outlineLevel="0" collapsed="false">
      <c r="A92" s="10"/>
      <c r="B92" s="11"/>
      <c r="C92" s="12" t="n">
        <v>41970</v>
      </c>
      <c r="D92" s="9" t="n">
        <v>10</v>
      </c>
      <c r="E92" s="9" t="n">
        <v>8.4</v>
      </c>
      <c r="F92" s="9" t="n">
        <v>11.4</v>
      </c>
      <c r="G92" s="9" t="n">
        <f aca="false">G91+D92</f>
        <v>1145.3</v>
      </c>
      <c r="J92" s="9" t="n">
        <v>0.5</v>
      </c>
      <c r="K92" s="9" t="n">
        <f aca="false">K91+J92</f>
        <v>156</v>
      </c>
      <c r="L92" s="9" t="n">
        <v>0.3</v>
      </c>
      <c r="M92" s="9" t="n">
        <f aca="false">M91+L92</f>
        <v>136.9</v>
      </c>
      <c r="N92" s="9" t="n">
        <f aca="false">J92-L92</f>
        <v>0.2</v>
      </c>
      <c r="O92" s="9" t="n">
        <f aca="false">O91+N92</f>
        <v>89.3</v>
      </c>
      <c r="P92" s="9" t="n">
        <v>87</v>
      </c>
      <c r="Q92" s="9" t="n">
        <f aca="false">0.35+((P92-8)/81)*(1-0.35)</f>
        <v>0.983950617283951</v>
      </c>
      <c r="R92" s="15" t="n">
        <f aca="false">Q92*L92</f>
        <v>0.295185185185185</v>
      </c>
      <c r="S92" s="15" t="n">
        <f aca="false">J92-R92</f>
        <v>0.204814814814815</v>
      </c>
      <c r="T92" s="15" t="n">
        <f aca="false">MIN(197.4,(T91+S92))</f>
        <v>103.307098765432</v>
      </c>
      <c r="V92" s="19" t="n">
        <v>119.6</v>
      </c>
      <c r="W92" s="9" t="n">
        <f aca="false">V92/D92</f>
        <v>11.96</v>
      </c>
      <c r="X92" s="9" t="n">
        <f aca="false">X91+V92</f>
        <v>71798.2</v>
      </c>
      <c r="AA92" s="9" t="n">
        <v>8.75800419431439</v>
      </c>
    </row>
    <row r="93" s="9" customFormat="true" ht="15" hidden="false" customHeight="false" outlineLevel="0" collapsed="false">
      <c r="A93" s="10"/>
      <c r="B93" s="11"/>
      <c r="C93" s="12" t="n">
        <v>41971</v>
      </c>
      <c r="D93" s="9" t="n">
        <v>10.6</v>
      </c>
      <c r="E93" s="9" t="n">
        <v>8.6</v>
      </c>
      <c r="F93" s="9" t="n">
        <v>13.5</v>
      </c>
      <c r="G93" s="9" t="n">
        <f aca="false">G92+D93</f>
        <v>1155.9</v>
      </c>
      <c r="J93" s="9" t="n">
        <v>0</v>
      </c>
      <c r="K93" s="9" t="n">
        <f aca="false">K92+J93</f>
        <v>156</v>
      </c>
      <c r="L93" s="9" t="n">
        <v>1.1</v>
      </c>
      <c r="M93" s="9" t="n">
        <f aca="false">M92+L93</f>
        <v>138</v>
      </c>
      <c r="N93" s="14" t="n">
        <f aca="false">J93-L93</f>
        <v>-1.1</v>
      </c>
      <c r="O93" s="9" t="n">
        <f aca="false">O92+N93</f>
        <v>88.2</v>
      </c>
      <c r="P93" s="9" t="n">
        <v>88</v>
      </c>
      <c r="Q93" s="9" t="n">
        <f aca="false">0.35+((P93-8)/81)*(1-0.35)</f>
        <v>0.991975308641975</v>
      </c>
      <c r="R93" s="15" t="n">
        <f aca="false">Q93*L93</f>
        <v>1.09117283950617</v>
      </c>
      <c r="S93" s="15" t="n">
        <f aca="false">J93-R93</f>
        <v>-1.09117283950617</v>
      </c>
      <c r="T93" s="15" t="n">
        <f aca="false">MIN(197.4,(T92+S93))</f>
        <v>102.215925925926</v>
      </c>
      <c r="V93" s="19" t="n">
        <v>315.5</v>
      </c>
      <c r="W93" s="9" t="n">
        <f aca="false">V93/D93</f>
        <v>29.7641509433962</v>
      </c>
      <c r="X93" s="9" t="n">
        <f aca="false">X92+V93</f>
        <v>72113.7</v>
      </c>
      <c r="AA93" s="9" t="n">
        <v>8.72293022702199</v>
      </c>
    </row>
    <row r="94" s="23" customFormat="true" ht="15" hidden="false" customHeight="false" outlineLevel="0" collapsed="false">
      <c r="A94" s="10"/>
      <c r="B94" s="21"/>
      <c r="C94" s="22" t="n">
        <v>41972</v>
      </c>
      <c r="D94" s="23" t="n">
        <v>5.8</v>
      </c>
      <c r="E94" s="23" t="n">
        <v>5</v>
      </c>
      <c r="F94" s="23" t="n">
        <v>6.8</v>
      </c>
      <c r="G94" s="23" t="n">
        <f aca="false">G93+D94</f>
        <v>1161.7</v>
      </c>
      <c r="J94" s="23" t="n">
        <v>0</v>
      </c>
      <c r="K94" s="23" t="n">
        <f aca="false">K93+J94</f>
        <v>156</v>
      </c>
      <c r="L94" s="23" t="n">
        <v>1</v>
      </c>
      <c r="M94" s="23" t="n">
        <f aca="false">M93+L94</f>
        <v>139</v>
      </c>
      <c r="N94" s="23" t="n">
        <f aca="false">J94-L94</f>
        <v>-1</v>
      </c>
      <c r="O94" s="24" t="n">
        <f aca="false">O93+N94</f>
        <v>87.2</v>
      </c>
      <c r="P94" s="24" t="n">
        <v>89</v>
      </c>
      <c r="Q94" s="25" t="n">
        <f aca="false">0.35+((P94-8)/81)*(1-0.35)</f>
        <v>1</v>
      </c>
      <c r="R94" s="26" t="n">
        <f aca="false">Q94*L94</f>
        <v>1</v>
      </c>
      <c r="S94" s="26" t="n">
        <f aca="false">J94-R94</f>
        <v>-1</v>
      </c>
      <c r="T94" s="27" t="n">
        <f aca="false">MIN(197.4,(T93+S94))</f>
        <v>101.215925925926</v>
      </c>
      <c r="V94" s="28" t="n">
        <v>281.1</v>
      </c>
      <c r="W94" s="23" t="n">
        <f aca="false">V94/D94</f>
        <v>48.4655172413793</v>
      </c>
      <c r="X94" s="23" t="n">
        <f aca="false">X93+V94</f>
        <v>72394.8</v>
      </c>
      <c r="AA94" s="24" t="n">
        <v>8.68896363408666</v>
      </c>
    </row>
    <row r="95" s="9" customFormat="true" ht="15" hidden="false" customHeight="true" outlineLevel="0" collapsed="false">
      <c r="A95" s="29" t="s">
        <v>44</v>
      </c>
      <c r="B95" s="30"/>
      <c r="C95" s="12" t="n">
        <v>41973</v>
      </c>
      <c r="D95" s="20" t="n">
        <v>3.7</v>
      </c>
      <c r="E95" s="20" t="n">
        <v>3.2</v>
      </c>
      <c r="F95" s="9" t="n">
        <v>5.6</v>
      </c>
      <c r="G95" s="9" t="n">
        <f aca="false">G94+D95</f>
        <v>1165.4</v>
      </c>
      <c r="H95" s="9" t="n">
        <f aca="false">D95</f>
        <v>3.7</v>
      </c>
      <c r="I95" s="31" t="s">
        <v>28</v>
      </c>
      <c r="J95" s="9" t="n">
        <v>0.2</v>
      </c>
      <c r="K95" s="9" t="n">
        <f aca="false">K94+J95</f>
        <v>156.2</v>
      </c>
      <c r="L95" s="9" t="n">
        <v>0.8</v>
      </c>
      <c r="M95" s="9" t="n">
        <f aca="false">M94+L95</f>
        <v>139.8</v>
      </c>
      <c r="N95" s="14" t="n">
        <f aca="false">J95-L95</f>
        <v>-0.6</v>
      </c>
      <c r="O95" s="9" t="n">
        <f aca="false">O94+N95</f>
        <v>86.6</v>
      </c>
      <c r="P95" s="9" t="n">
        <v>90</v>
      </c>
      <c r="Q95" s="9" t="n">
        <v>1</v>
      </c>
      <c r="R95" s="15" t="n">
        <f aca="false">Q95*L95</f>
        <v>0.8</v>
      </c>
      <c r="S95" s="15" t="n">
        <f aca="false">J95-R95</f>
        <v>-0.6</v>
      </c>
      <c r="T95" s="15" t="n">
        <f aca="false">MIN(197.4,(T94+S95))</f>
        <v>100.615925925926</v>
      </c>
      <c r="U95" s="31" t="s">
        <v>29</v>
      </c>
      <c r="V95" s="19" t="n">
        <v>198</v>
      </c>
      <c r="W95" s="9" t="n">
        <f aca="false">V95/D95</f>
        <v>53.5135135135135</v>
      </c>
      <c r="X95" s="9" t="n">
        <f aca="false">X94+V95</f>
        <v>72592.8</v>
      </c>
      <c r="Y95" s="9" t="n">
        <f aca="false">V95</f>
        <v>198</v>
      </c>
      <c r="Z95" s="31" t="s">
        <v>30</v>
      </c>
      <c r="AA95" s="9" t="n">
        <v>8.6561352421507</v>
      </c>
    </row>
    <row r="96" s="9" customFormat="true" ht="15" hidden="false" customHeight="false" outlineLevel="0" collapsed="false">
      <c r="A96" s="29"/>
      <c r="B96" s="30"/>
      <c r="C96" s="12" t="n">
        <v>41974</v>
      </c>
      <c r="D96" s="20" t="n">
        <v>3.9</v>
      </c>
      <c r="E96" s="20" t="n">
        <v>3</v>
      </c>
      <c r="F96" s="9" t="n">
        <v>5.2</v>
      </c>
      <c r="G96" s="9" t="n">
        <f aca="false">G95+D96</f>
        <v>1169.3</v>
      </c>
      <c r="H96" s="9" t="n">
        <f aca="false">H95+D96</f>
        <v>7.6</v>
      </c>
      <c r="I96" s="9" t="n">
        <f aca="false">MIN(E95:E194)</f>
        <v>-5.8</v>
      </c>
      <c r="J96" s="9" t="n">
        <v>0.1</v>
      </c>
      <c r="K96" s="9" t="n">
        <f aca="false">K95+J96</f>
        <v>156.3</v>
      </c>
      <c r="L96" s="9" t="n">
        <v>0.5</v>
      </c>
      <c r="M96" s="9" t="n">
        <f aca="false">M95+L96</f>
        <v>140.3</v>
      </c>
      <c r="N96" s="14" t="n">
        <f aca="false">J96-L96</f>
        <v>-0.4</v>
      </c>
      <c r="O96" s="9" t="n">
        <f aca="false">O95+N96</f>
        <v>86.2</v>
      </c>
      <c r="P96" s="9" t="n">
        <v>91</v>
      </c>
      <c r="Q96" s="9" t="n">
        <v>1</v>
      </c>
      <c r="R96" s="15" t="n">
        <f aca="false">Q96*L96</f>
        <v>0.5</v>
      </c>
      <c r="S96" s="15" t="n">
        <f aca="false">J96-R96</f>
        <v>-0.4</v>
      </c>
      <c r="T96" s="15" t="n">
        <f aca="false">MIN(197.4,(T95+S96))</f>
        <v>100.215925925926</v>
      </c>
      <c r="U96" s="9" t="n">
        <v>57</v>
      </c>
      <c r="V96" s="19" t="n">
        <v>113.6</v>
      </c>
      <c r="W96" s="9" t="n">
        <f aca="false">V96/D96</f>
        <v>29.1282051282051</v>
      </c>
      <c r="X96" s="9" t="n">
        <f aca="false">X95+V96</f>
        <v>72706.4</v>
      </c>
      <c r="Y96" s="9" t="n">
        <f aca="false">Y95+V96</f>
        <v>311.6</v>
      </c>
      <c r="Z96" s="9" t="n">
        <v>40902.6</v>
      </c>
      <c r="AA96" s="9" t="n">
        <v>8.62447556965025</v>
      </c>
    </row>
    <row r="97" s="9" customFormat="true" ht="15" hidden="false" customHeight="false" outlineLevel="0" collapsed="false">
      <c r="A97" s="29"/>
      <c r="B97" s="30"/>
      <c r="C97" s="12" t="n">
        <v>41975</v>
      </c>
      <c r="D97" s="20" t="n">
        <v>2.6</v>
      </c>
      <c r="E97" s="20" t="n">
        <v>2.2</v>
      </c>
      <c r="F97" s="20" t="n">
        <v>2.9</v>
      </c>
      <c r="G97" s="9" t="n">
        <f aca="false">G96+D97</f>
        <v>1171.9</v>
      </c>
      <c r="H97" s="9" t="n">
        <f aca="false">H96+D97</f>
        <v>10.2</v>
      </c>
      <c r="I97" s="31" t="s">
        <v>31</v>
      </c>
      <c r="J97" s="9" t="n">
        <v>0.6</v>
      </c>
      <c r="K97" s="9" t="n">
        <f aca="false">K96+J97</f>
        <v>156.9</v>
      </c>
      <c r="L97" s="9" t="n">
        <v>0.2</v>
      </c>
      <c r="M97" s="9" t="n">
        <f aca="false">M96+L97</f>
        <v>140.5</v>
      </c>
      <c r="N97" s="9" t="n">
        <f aca="false">J97-L97</f>
        <v>0.4</v>
      </c>
      <c r="O97" s="9" t="n">
        <f aca="false">O96+N97</f>
        <v>86.6</v>
      </c>
      <c r="P97" s="9" t="n">
        <v>92</v>
      </c>
      <c r="Q97" s="9" t="n">
        <v>1</v>
      </c>
      <c r="R97" s="15" t="n">
        <f aca="false">Q97*L97</f>
        <v>0.2</v>
      </c>
      <c r="S97" s="15" t="n">
        <f aca="false">J97-R97</f>
        <v>0.4</v>
      </c>
      <c r="T97" s="15" t="n">
        <f aca="false">MIN(197.4,(T96+S97))</f>
        <v>100.615925925926</v>
      </c>
      <c r="U97" s="31" t="s">
        <v>32</v>
      </c>
      <c r="V97" s="19" t="n">
        <v>88.8</v>
      </c>
      <c r="W97" s="9" t="n">
        <f aca="false">V97/D97</f>
        <v>34.1538461538462</v>
      </c>
      <c r="X97" s="9" t="n">
        <f aca="false">X96+V97</f>
        <v>72795.2</v>
      </c>
      <c r="Y97" s="9" t="n">
        <f aca="false">Y96+V97</f>
        <v>400.4</v>
      </c>
      <c r="Z97" s="31" t="s">
        <v>33</v>
      </c>
      <c r="AA97" s="9" t="n">
        <v>8.594014740532</v>
      </c>
    </row>
    <row r="98" s="9" customFormat="true" ht="15" hidden="false" customHeight="false" outlineLevel="0" collapsed="false">
      <c r="A98" s="29"/>
      <c r="B98" s="30"/>
      <c r="C98" s="12" t="n">
        <v>41976</v>
      </c>
      <c r="D98" s="20" t="n">
        <v>2.5</v>
      </c>
      <c r="E98" s="20" t="n">
        <v>1.7</v>
      </c>
      <c r="F98" s="20" t="n">
        <v>3.1</v>
      </c>
      <c r="G98" s="9" t="n">
        <f aca="false">G97+D98</f>
        <v>1174.4</v>
      </c>
      <c r="H98" s="9" t="n">
        <f aca="false">H97+D98</f>
        <v>12.7</v>
      </c>
      <c r="I98" s="20" t="n">
        <f aca="false">MAX(F95:F194)</f>
        <v>16</v>
      </c>
      <c r="J98" s="9" t="n">
        <v>0</v>
      </c>
      <c r="K98" s="9" t="n">
        <f aca="false">K97+J98</f>
        <v>156.9</v>
      </c>
      <c r="L98" s="9" t="n">
        <v>0.4</v>
      </c>
      <c r="M98" s="9" t="n">
        <f aca="false">M97+L98</f>
        <v>140.9</v>
      </c>
      <c r="N98" s="14" t="n">
        <f aca="false">J98-L98</f>
        <v>-0.4</v>
      </c>
      <c r="O98" s="9" t="n">
        <f aca="false">O97+N98</f>
        <v>86.2</v>
      </c>
      <c r="P98" s="9" t="n">
        <v>93</v>
      </c>
      <c r="Q98" s="9" t="n">
        <v>1</v>
      </c>
      <c r="R98" s="15" t="n">
        <f aca="false">Q98*L98</f>
        <v>0.4</v>
      </c>
      <c r="S98" s="15" t="n">
        <f aca="false">J98-R98</f>
        <v>-0.4</v>
      </c>
      <c r="T98" s="15" t="n">
        <f aca="false">MIN(197.4,(T97+S98))</f>
        <v>100.215925925926</v>
      </c>
      <c r="U98" s="9" t="n">
        <v>0</v>
      </c>
      <c r="V98" s="19" t="n">
        <v>280.7</v>
      </c>
      <c r="W98" s="9" t="n">
        <f aca="false">V98/D98</f>
        <v>112.28</v>
      </c>
      <c r="X98" s="9" t="n">
        <f aca="false">X97+V98</f>
        <v>73075.9</v>
      </c>
      <c r="Y98" s="9" t="n">
        <f aca="false">Y97+V98</f>
        <v>681.1</v>
      </c>
      <c r="Z98" s="17" t="n">
        <f aca="false">(Z96/100)/I108</f>
        <v>0.949236481782316</v>
      </c>
      <c r="AA98" s="9" t="n">
        <v>8.56478239564333</v>
      </c>
    </row>
    <row r="99" s="9" customFormat="true" ht="15" hidden="false" customHeight="false" outlineLevel="0" collapsed="false">
      <c r="A99" s="29"/>
      <c r="B99" s="30"/>
      <c r="C99" s="12" t="n">
        <v>41977</v>
      </c>
      <c r="D99" s="20" t="n">
        <v>3.7</v>
      </c>
      <c r="E99" s="20" t="n">
        <v>2.3</v>
      </c>
      <c r="F99" s="20" t="n">
        <v>4.6</v>
      </c>
      <c r="G99" s="9" t="n">
        <f aca="false">G98+D99</f>
        <v>1178.1</v>
      </c>
      <c r="H99" s="9" t="n">
        <f aca="false">H98+D99</f>
        <v>16.4</v>
      </c>
      <c r="I99" s="31" t="s">
        <v>34</v>
      </c>
      <c r="J99" s="9" t="n">
        <v>0</v>
      </c>
      <c r="K99" s="9" t="n">
        <f aca="false">K98+J99</f>
        <v>156.9</v>
      </c>
      <c r="L99" s="9" t="n">
        <v>0.2</v>
      </c>
      <c r="M99" s="9" t="n">
        <f aca="false">M98+L99</f>
        <v>141.1</v>
      </c>
      <c r="N99" s="14" t="n">
        <f aca="false">J99-L99</f>
        <v>-0.2</v>
      </c>
      <c r="O99" s="9" t="n">
        <f aca="false">O98+N99</f>
        <v>86</v>
      </c>
      <c r="P99" s="9" t="n">
        <v>94</v>
      </c>
      <c r="Q99" s="9" t="n">
        <v>1</v>
      </c>
      <c r="R99" s="15" t="n">
        <f aca="false">Q99*L99</f>
        <v>0.2</v>
      </c>
      <c r="S99" s="15" t="n">
        <f aca="false">J99-R99</f>
        <v>-0.2</v>
      </c>
      <c r="T99" s="15" t="n">
        <f aca="false">MIN(197.4,(T98+S99))</f>
        <v>100.015925925926</v>
      </c>
      <c r="U99" s="31" t="s">
        <v>35</v>
      </c>
      <c r="V99" s="19" t="n">
        <v>130.9</v>
      </c>
      <c r="W99" s="9" t="n">
        <f aca="false">V99/D99</f>
        <v>35.3783783783784</v>
      </c>
      <c r="X99" s="9" t="n">
        <f aca="false">X98+V99</f>
        <v>73206.8</v>
      </c>
      <c r="Y99" s="9" t="n">
        <f aca="false">Y98+V99</f>
        <v>812</v>
      </c>
      <c r="Z99" s="31" t="s">
        <v>36</v>
      </c>
      <c r="AA99" s="9" t="n">
        <v>8.53680760221078</v>
      </c>
    </row>
    <row r="100" s="9" customFormat="true" ht="15" hidden="false" customHeight="false" outlineLevel="0" collapsed="false">
      <c r="A100" s="29"/>
      <c r="B100" s="30"/>
      <c r="C100" s="12" t="n">
        <v>41978</v>
      </c>
      <c r="D100" s="20" t="n">
        <v>3.9</v>
      </c>
      <c r="E100" s="20" t="n">
        <v>3.4</v>
      </c>
      <c r="F100" s="20" t="n">
        <v>4.5</v>
      </c>
      <c r="G100" s="9" t="n">
        <f aca="false">G99+D100</f>
        <v>1182</v>
      </c>
      <c r="H100" s="9" t="n">
        <f aca="false">H99+D100</f>
        <v>20.3</v>
      </c>
      <c r="I100" s="15" t="n">
        <f aca="false">AVERAGE(D95:D194)</f>
        <v>4.27</v>
      </c>
      <c r="J100" s="9" t="n">
        <v>0</v>
      </c>
      <c r="K100" s="9" t="n">
        <f aca="false">K99+J100</f>
        <v>156.9</v>
      </c>
      <c r="L100" s="9" t="n">
        <v>0.5</v>
      </c>
      <c r="M100" s="9" t="n">
        <f aca="false">M99+L100</f>
        <v>141.6</v>
      </c>
      <c r="N100" s="14" t="n">
        <f aca="false">J100-L100</f>
        <v>-0.5</v>
      </c>
      <c r="O100" s="9" t="n">
        <f aca="false">O99+N100</f>
        <v>85.5</v>
      </c>
      <c r="P100" s="9" t="n">
        <v>95</v>
      </c>
      <c r="Q100" s="9" t="n">
        <v>1</v>
      </c>
      <c r="R100" s="15" t="n">
        <f aca="false">Q100*L100</f>
        <v>0.5</v>
      </c>
      <c r="S100" s="15" t="n">
        <f aca="false">J100-R100</f>
        <v>-0.5</v>
      </c>
      <c r="T100" s="15" t="n">
        <f aca="false">MIN(197.4,(T99+S100))</f>
        <v>99.515925925926</v>
      </c>
      <c r="U100" s="9" t="n">
        <v>0</v>
      </c>
      <c r="V100" s="19" t="n">
        <v>491.1</v>
      </c>
      <c r="W100" s="9" t="n">
        <f aca="false">V100/D100</f>
        <v>125.923076923077</v>
      </c>
      <c r="X100" s="9" t="n">
        <f aca="false">X99+V100</f>
        <v>73697.9</v>
      </c>
      <c r="Y100" s="9" t="n">
        <f aca="false">Y99+V100</f>
        <v>1303.1</v>
      </c>
      <c r="Z100" s="9" t="n">
        <v>88</v>
      </c>
      <c r="AA100" s="9" t="n">
        <v>8.51011876186408</v>
      </c>
    </row>
    <row r="101" s="9" customFormat="true" ht="15" hidden="false" customHeight="false" outlineLevel="0" collapsed="false">
      <c r="A101" s="29"/>
      <c r="B101" s="30"/>
      <c r="C101" s="12" t="n">
        <v>41979</v>
      </c>
      <c r="D101" s="20" t="n">
        <v>4</v>
      </c>
      <c r="E101" s="20" t="n">
        <v>3.4</v>
      </c>
      <c r="F101" s="9" t="n">
        <v>5.7</v>
      </c>
      <c r="G101" s="9" t="n">
        <f aca="false">G100+D101</f>
        <v>1186</v>
      </c>
      <c r="H101" s="9" t="n">
        <f aca="false">H100+D101</f>
        <v>24.3</v>
      </c>
      <c r="I101" s="31" t="s">
        <v>37</v>
      </c>
      <c r="J101" s="9" t="n">
        <v>0</v>
      </c>
      <c r="K101" s="9" t="n">
        <f aca="false">K100+J101</f>
        <v>156.9</v>
      </c>
      <c r="L101" s="9" t="n">
        <v>0.6</v>
      </c>
      <c r="M101" s="9" t="n">
        <f aca="false">M100+L101</f>
        <v>142.2</v>
      </c>
      <c r="N101" s="14" t="n">
        <f aca="false">J101-L101</f>
        <v>-0.6</v>
      </c>
      <c r="O101" s="9" t="n">
        <f aca="false">O100+N101</f>
        <v>84.9</v>
      </c>
      <c r="P101" s="9" t="n">
        <v>96</v>
      </c>
      <c r="Q101" s="9" t="n">
        <v>1</v>
      </c>
      <c r="R101" s="15" t="n">
        <f aca="false">Q101*L101</f>
        <v>0.6</v>
      </c>
      <c r="S101" s="15" t="n">
        <f aca="false">J101-R101</f>
        <v>-0.6</v>
      </c>
      <c r="T101" s="15" t="n">
        <f aca="false">MIN(197.4,(T100+S101))</f>
        <v>98.915925925926</v>
      </c>
      <c r="U101" s="31" t="s">
        <v>38</v>
      </c>
      <c r="V101" s="19" t="n">
        <v>483.2</v>
      </c>
      <c r="W101" s="9" t="n">
        <f aca="false">V101/D101</f>
        <v>120.8</v>
      </c>
      <c r="X101" s="9" t="n">
        <f aca="false">X100+V101</f>
        <v>74181.1</v>
      </c>
      <c r="Y101" s="9" t="n">
        <f aca="false">Y100+V101</f>
        <v>1786.3</v>
      </c>
      <c r="AA101" s="9" t="n">
        <v>8.48474351770272</v>
      </c>
    </row>
    <row r="102" s="9" customFormat="true" ht="15" hidden="false" customHeight="false" outlineLevel="0" collapsed="false">
      <c r="A102" s="29"/>
      <c r="B102" s="30"/>
      <c r="C102" s="12" t="n">
        <v>41980</v>
      </c>
      <c r="D102" s="20" t="n">
        <v>2.6</v>
      </c>
      <c r="E102" s="32" t="n">
        <v>-0.6</v>
      </c>
      <c r="F102" s="20" t="n">
        <v>4.7</v>
      </c>
      <c r="G102" s="9" t="n">
        <f aca="false">G101+D102</f>
        <v>1188.6</v>
      </c>
      <c r="H102" s="9" t="n">
        <f aca="false">H101+D102</f>
        <v>26.9</v>
      </c>
      <c r="I102" s="9" t="n">
        <v>33</v>
      </c>
      <c r="J102" s="9" t="n">
        <v>2</v>
      </c>
      <c r="K102" s="9" t="n">
        <f aca="false">K101+J102</f>
        <v>158.9</v>
      </c>
      <c r="L102" s="9" t="n">
        <v>0.1</v>
      </c>
      <c r="M102" s="9" t="n">
        <f aca="false">M101+L102</f>
        <v>142.3</v>
      </c>
      <c r="N102" s="9" t="n">
        <f aca="false">J102-L102</f>
        <v>1.9</v>
      </c>
      <c r="O102" s="9" t="n">
        <f aca="false">O101+N102</f>
        <v>86.8</v>
      </c>
      <c r="P102" s="9" t="n">
        <v>97</v>
      </c>
      <c r="Q102" s="9" t="n">
        <v>1</v>
      </c>
      <c r="R102" s="15" t="n">
        <f aca="false">Q102*L102</f>
        <v>0.1</v>
      </c>
      <c r="S102" s="15" t="n">
        <f aca="false">J102-R102</f>
        <v>1.9</v>
      </c>
      <c r="T102" s="15" t="n">
        <f aca="false">MIN(197.4,(T101+S102))</f>
        <v>100.815925925926</v>
      </c>
      <c r="U102" s="15" t="n">
        <f aca="false">MIN(T95:T194)</f>
        <v>98.915925925926</v>
      </c>
      <c r="V102" s="19" t="n">
        <v>110.7</v>
      </c>
      <c r="W102" s="9" t="n">
        <f aca="false">V102/D102</f>
        <v>42.5769230769231</v>
      </c>
      <c r="X102" s="9" t="n">
        <f aca="false">X101+V102</f>
        <v>74291.8</v>
      </c>
      <c r="Y102" s="9" t="n">
        <f aca="false">Y101+V102</f>
        <v>1897</v>
      </c>
      <c r="AA102" s="9" t="n">
        <v>8.4607086609392</v>
      </c>
    </row>
    <row r="103" s="9" customFormat="true" ht="15" hidden="false" customHeight="false" outlineLevel="0" collapsed="false">
      <c r="A103" s="29"/>
      <c r="B103" s="30"/>
      <c r="C103" s="12" t="n">
        <v>41981</v>
      </c>
      <c r="D103" s="20" t="n">
        <v>3.1</v>
      </c>
      <c r="E103" s="20" t="n">
        <v>1.2</v>
      </c>
      <c r="F103" s="9" t="n">
        <v>5.6</v>
      </c>
      <c r="G103" s="9" t="n">
        <f aca="false">G102+D103</f>
        <v>1191.7</v>
      </c>
      <c r="H103" s="9" t="n">
        <f aca="false">H102+D103</f>
        <v>30</v>
      </c>
      <c r="I103" s="31" t="s">
        <v>39</v>
      </c>
      <c r="J103" s="9" t="n">
        <v>2.3</v>
      </c>
      <c r="K103" s="9" t="n">
        <f aca="false">K102+J103</f>
        <v>161.2</v>
      </c>
      <c r="L103" s="9" t="n">
        <v>0.2</v>
      </c>
      <c r="M103" s="9" t="n">
        <f aca="false">M102+L103</f>
        <v>142.5</v>
      </c>
      <c r="N103" s="9" t="n">
        <f aca="false">J103-L103</f>
        <v>2.1</v>
      </c>
      <c r="O103" s="9" t="n">
        <f aca="false">O102+N103</f>
        <v>88.9</v>
      </c>
      <c r="P103" s="9" t="n">
        <v>98</v>
      </c>
      <c r="Q103" s="9" t="n">
        <v>1</v>
      </c>
      <c r="R103" s="15" t="n">
        <f aca="false">Q103*L103</f>
        <v>0.2</v>
      </c>
      <c r="S103" s="15" t="n">
        <f aca="false">J103-R103</f>
        <v>2.1</v>
      </c>
      <c r="T103" s="15" t="n">
        <f aca="false">MIN(197.4,(T102+S103))</f>
        <v>102.915925925926</v>
      </c>
      <c r="U103" s="31" t="s">
        <v>40</v>
      </c>
      <c r="V103" s="19" t="n">
        <v>82.9</v>
      </c>
      <c r="W103" s="9" t="n">
        <f aca="false">V103/D103</f>
        <v>26.741935483871</v>
      </c>
      <c r="X103" s="9" t="n">
        <f aca="false">X102+V103</f>
        <v>74374.7</v>
      </c>
      <c r="Y103" s="9" t="n">
        <f aca="false">Y102+V103</f>
        <v>1979.9</v>
      </c>
      <c r="AA103" s="9" t="n">
        <v>8.43804003768621</v>
      </c>
    </row>
    <row r="104" s="9" customFormat="true" ht="15" hidden="false" customHeight="false" outlineLevel="0" collapsed="false">
      <c r="A104" s="29"/>
      <c r="B104" s="30"/>
      <c r="C104" s="12" t="n">
        <v>41982</v>
      </c>
      <c r="D104" s="20" t="n">
        <v>1.5</v>
      </c>
      <c r="E104" s="32" t="n">
        <v>-1.9</v>
      </c>
      <c r="F104" s="20" t="n">
        <v>5</v>
      </c>
      <c r="G104" s="9" t="n">
        <f aca="false">G103+D104</f>
        <v>1193.2</v>
      </c>
      <c r="H104" s="9" t="n">
        <f aca="false">H103+D104</f>
        <v>31.5</v>
      </c>
      <c r="I104" s="9" t="n">
        <v>0</v>
      </c>
      <c r="J104" s="9" t="n">
        <v>1.9</v>
      </c>
      <c r="K104" s="9" t="n">
        <f aca="false">K103+J104</f>
        <v>163.1</v>
      </c>
      <c r="L104" s="9" t="n">
        <v>0.4</v>
      </c>
      <c r="M104" s="9" t="n">
        <f aca="false">M103+L104</f>
        <v>142.9</v>
      </c>
      <c r="N104" s="9" t="n">
        <f aca="false">J104-L104</f>
        <v>1.5</v>
      </c>
      <c r="O104" s="9" t="n">
        <f aca="false">O103+N104</f>
        <v>90.4</v>
      </c>
      <c r="P104" s="9" t="n">
        <v>99</v>
      </c>
      <c r="Q104" s="9" t="n">
        <v>1</v>
      </c>
      <c r="R104" s="15" t="n">
        <f aca="false">Q104*L104</f>
        <v>0.4</v>
      </c>
      <c r="S104" s="15" t="n">
        <f aca="false">J104-R104</f>
        <v>1.5</v>
      </c>
      <c r="T104" s="15" t="n">
        <f aca="false">MIN(197.4,(T103+S104))</f>
        <v>104.415925925926</v>
      </c>
      <c r="U104" s="15" t="n">
        <f aca="false">MAX(T95:T194)</f>
        <v>197.4</v>
      </c>
      <c r="V104" s="19" t="n">
        <v>358.5</v>
      </c>
      <c r="W104" s="9" t="n">
        <f aca="false">V104/D104</f>
        <v>239</v>
      </c>
      <c r="X104" s="9" t="n">
        <f aca="false">X103+V104</f>
        <v>74733.2</v>
      </c>
      <c r="Y104" s="9" t="n">
        <f aca="false">Y103+V104</f>
        <v>2338.4</v>
      </c>
      <c r="AA104" s="9" t="n">
        <v>8.41676245648357</v>
      </c>
    </row>
    <row r="105" s="9" customFormat="true" ht="15" hidden="false" customHeight="false" outlineLevel="0" collapsed="false">
      <c r="A105" s="29"/>
      <c r="B105" s="11"/>
      <c r="C105" s="12" t="n">
        <v>41983</v>
      </c>
      <c r="D105" s="9" t="n">
        <v>6.1</v>
      </c>
      <c r="E105" s="20" t="n">
        <v>1.2</v>
      </c>
      <c r="F105" s="9" t="n">
        <v>8.5</v>
      </c>
      <c r="G105" s="9" t="n">
        <f aca="false">G104+D105</f>
        <v>1199.3</v>
      </c>
      <c r="H105" s="9" t="n">
        <f aca="false">H104+D105</f>
        <v>37.6</v>
      </c>
      <c r="I105" s="31" t="s">
        <v>41</v>
      </c>
      <c r="J105" s="9" t="n">
        <v>1.1</v>
      </c>
      <c r="K105" s="9" t="n">
        <f aca="false">K104+J105</f>
        <v>164.2</v>
      </c>
      <c r="L105" s="9" t="n">
        <v>0.1</v>
      </c>
      <c r="M105" s="9" t="n">
        <f aca="false">M104+L105</f>
        <v>143</v>
      </c>
      <c r="N105" s="9" t="n">
        <f aca="false">J105-L105</f>
        <v>1</v>
      </c>
      <c r="O105" s="9" t="n">
        <f aca="false">O104+N105</f>
        <v>91.4</v>
      </c>
      <c r="P105" s="9" t="n">
        <v>100</v>
      </c>
      <c r="Q105" s="9" t="n">
        <v>1</v>
      </c>
      <c r="R105" s="15" t="n">
        <f aca="false">Q105*L105</f>
        <v>0.1</v>
      </c>
      <c r="S105" s="15" t="n">
        <f aca="false">J105-R105</f>
        <v>1</v>
      </c>
      <c r="T105" s="15" t="n">
        <f aca="false">MIN(197.4,(T104+S105))</f>
        <v>105.415925925926</v>
      </c>
      <c r="U105" s="31" t="s">
        <v>42</v>
      </c>
      <c r="V105" s="19" t="n">
        <v>166.9</v>
      </c>
      <c r="W105" s="9" t="n">
        <f aca="false">V105/D105</f>
        <v>27.3606557377049</v>
      </c>
      <c r="X105" s="9" t="n">
        <f aca="false">X104+V105</f>
        <v>74900.1</v>
      </c>
      <c r="Y105" s="9" t="n">
        <f aca="false">Y104+V105</f>
        <v>2505.3</v>
      </c>
      <c r="AA105" s="9" t="n">
        <v>8.39689959718429</v>
      </c>
    </row>
    <row r="106" s="9" customFormat="true" ht="15" hidden="false" customHeight="false" outlineLevel="0" collapsed="false">
      <c r="A106" s="29"/>
      <c r="B106" s="11"/>
      <c r="C106" s="12" t="n">
        <v>41984</v>
      </c>
      <c r="D106" s="9" t="n">
        <v>7.5</v>
      </c>
      <c r="E106" s="9" t="n">
        <v>5.4</v>
      </c>
      <c r="F106" s="9" t="n">
        <v>8.5</v>
      </c>
      <c r="G106" s="9" t="n">
        <f aca="false">G105+D106</f>
        <v>1206.8</v>
      </c>
      <c r="H106" s="9" t="n">
        <f aca="false">H105+D106</f>
        <v>45.1</v>
      </c>
      <c r="I106" s="9" t="n">
        <v>49</v>
      </c>
      <c r="J106" s="9" t="n">
        <v>0.9</v>
      </c>
      <c r="K106" s="9" t="n">
        <f aca="false">K105+J106</f>
        <v>165.1</v>
      </c>
      <c r="L106" s="9" t="n">
        <v>0.6</v>
      </c>
      <c r="M106" s="9" t="n">
        <f aca="false">M105+L106</f>
        <v>143.6</v>
      </c>
      <c r="N106" s="9" t="n">
        <f aca="false">J106-L106</f>
        <v>0.3</v>
      </c>
      <c r="O106" s="9" t="n">
        <f aca="false">O105+N106</f>
        <v>91.7</v>
      </c>
      <c r="P106" s="9" t="n">
        <v>101</v>
      </c>
      <c r="Q106" s="9" t="n">
        <v>1</v>
      </c>
      <c r="R106" s="15" t="n">
        <f aca="false">Q106*L106</f>
        <v>0.6</v>
      </c>
      <c r="S106" s="15" t="n">
        <f aca="false">J106-R106</f>
        <v>0.3</v>
      </c>
      <c r="T106" s="15" t="n">
        <f aca="false">MIN(197.4,(T105+S106))</f>
        <v>105.715925925926</v>
      </c>
      <c r="U106" s="17" t="n">
        <f aca="false">AVERAGE(T95:T194)</f>
        <v>157.773014814815</v>
      </c>
      <c r="V106" s="19" t="n">
        <v>297.9</v>
      </c>
      <c r="W106" s="9" t="n">
        <f aca="false">V106/D106</f>
        <v>39.72</v>
      </c>
      <c r="X106" s="9" t="n">
        <f aca="false">X105+V106</f>
        <v>75198</v>
      </c>
      <c r="Y106" s="9" t="n">
        <f aca="false">Y105+V106</f>
        <v>2803.2</v>
      </c>
      <c r="AA106" s="9" t="n">
        <v>8.37847392183615</v>
      </c>
    </row>
    <row r="107" s="9" customFormat="true" ht="15" hidden="false" customHeight="false" outlineLevel="0" collapsed="false">
      <c r="A107" s="29"/>
      <c r="B107" s="11"/>
      <c r="C107" s="12" t="n">
        <v>41985</v>
      </c>
      <c r="D107" s="9" t="n">
        <v>9.3</v>
      </c>
      <c r="E107" s="9" t="n">
        <v>8.4</v>
      </c>
      <c r="F107" s="9" t="n">
        <v>10.3</v>
      </c>
      <c r="G107" s="9" t="n">
        <f aca="false">G106+D107</f>
        <v>1216.1</v>
      </c>
      <c r="H107" s="9" t="n">
        <f aca="false">H106+D107</f>
        <v>54.4</v>
      </c>
      <c r="I107" s="31" t="s">
        <v>43</v>
      </c>
      <c r="J107" s="9" t="n">
        <v>10.8</v>
      </c>
      <c r="K107" s="9" t="n">
        <f aca="false">K106+J107</f>
        <v>175.9</v>
      </c>
      <c r="L107" s="9" t="n">
        <v>0.8</v>
      </c>
      <c r="M107" s="9" t="n">
        <f aca="false">M106+L107</f>
        <v>144.4</v>
      </c>
      <c r="N107" s="9" t="n">
        <f aca="false">J107-L107</f>
        <v>10</v>
      </c>
      <c r="O107" s="9" t="n">
        <f aca="false">O106+N107</f>
        <v>101.7</v>
      </c>
      <c r="P107" s="9" t="n">
        <v>102</v>
      </c>
      <c r="Q107" s="9" t="n">
        <v>1</v>
      </c>
      <c r="R107" s="15" t="n">
        <f aca="false">Q107*L107</f>
        <v>0.8</v>
      </c>
      <c r="S107" s="15" t="n">
        <f aca="false">J107-R107</f>
        <v>10</v>
      </c>
      <c r="T107" s="15" t="n">
        <f aca="false">MIN(197.4,(T106+S107))</f>
        <v>115.715925925926</v>
      </c>
      <c r="U107" s="31" t="s">
        <v>45</v>
      </c>
      <c r="V107" s="19" t="n">
        <v>119.5</v>
      </c>
      <c r="W107" s="9" t="n">
        <f aca="false">V107/D107</f>
        <v>12.8494623655914</v>
      </c>
      <c r="X107" s="9" t="n">
        <f aca="false">X106+V107</f>
        <v>75317.5</v>
      </c>
      <c r="Y107" s="9" t="n">
        <f aca="false">Y106+V107</f>
        <v>2922.7</v>
      </c>
      <c r="AA107" s="9" t="n">
        <v>8.36150658820588</v>
      </c>
    </row>
    <row r="108" s="9" customFormat="true" ht="15" hidden="false" customHeight="false" outlineLevel="0" collapsed="false">
      <c r="A108" s="29"/>
      <c r="B108" s="11"/>
      <c r="C108" s="12" t="n">
        <v>41986</v>
      </c>
      <c r="D108" s="9" t="n">
        <v>5.9</v>
      </c>
      <c r="E108" s="20" t="n">
        <v>3.5</v>
      </c>
      <c r="F108" s="9" t="n">
        <v>7.7</v>
      </c>
      <c r="G108" s="9" t="n">
        <f aca="false">G107+D108</f>
        <v>1222</v>
      </c>
      <c r="H108" s="9" t="n">
        <f aca="false">H107+D108</f>
        <v>60.3</v>
      </c>
      <c r="I108" s="9" t="n">
        <v>430.9</v>
      </c>
      <c r="J108" s="9" t="n">
        <v>8.4</v>
      </c>
      <c r="K108" s="9" t="n">
        <f aca="false">K107+J108</f>
        <v>184.3</v>
      </c>
      <c r="L108" s="9" t="n">
        <v>0.2</v>
      </c>
      <c r="M108" s="9" t="n">
        <f aca="false">M107+L108</f>
        <v>144.6</v>
      </c>
      <c r="N108" s="9" t="n">
        <f aca="false">J108-L108</f>
        <v>8.2</v>
      </c>
      <c r="O108" s="9" t="n">
        <f aca="false">O107+N108</f>
        <v>109.9</v>
      </c>
      <c r="P108" s="9" t="n">
        <v>103</v>
      </c>
      <c r="Q108" s="9" t="n">
        <v>1</v>
      </c>
      <c r="R108" s="15" t="n">
        <f aca="false">Q108*L108</f>
        <v>0.2</v>
      </c>
      <c r="S108" s="15" t="n">
        <f aca="false">J108-R108</f>
        <v>8.2</v>
      </c>
      <c r="T108" s="15" t="n">
        <f aca="false">MIN(197.4,(T107+S108))</f>
        <v>123.915925925926</v>
      </c>
      <c r="U108" s="9" t="n">
        <v>31</v>
      </c>
      <c r="V108" s="19" t="n">
        <v>67.7</v>
      </c>
      <c r="W108" s="9" t="n">
        <f aca="false">V108/D108</f>
        <v>11.4745762711864</v>
      </c>
      <c r="X108" s="9" t="n">
        <f aca="false">X107+V108</f>
        <v>75385.2</v>
      </c>
      <c r="Y108" s="9" t="n">
        <f aca="false">Y107+V108</f>
        <v>2990.4</v>
      </c>
      <c r="AA108" s="9" t="n">
        <v>8.34601736659641</v>
      </c>
    </row>
    <row r="109" s="9" customFormat="true" ht="15" hidden="false" customHeight="false" outlineLevel="0" collapsed="false">
      <c r="A109" s="29"/>
      <c r="B109" s="30"/>
      <c r="C109" s="12" t="n">
        <v>41987</v>
      </c>
      <c r="D109" s="20" t="n">
        <v>0.4</v>
      </c>
      <c r="E109" s="32" t="n">
        <v>-0.9</v>
      </c>
      <c r="F109" s="20" t="n">
        <v>1</v>
      </c>
      <c r="G109" s="9" t="n">
        <f aca="false">G108+D109</f>
        <v>1222.4</v>
      </c>
      <c r="H109" s="9" t="n">
        <f aca="false">H108+D109</f>
        <v>60.7</v>
      </c>
      <c r="J109" s="9" t="n">
        <v>0</v>
      </c>
      <c r="K109" s="9" t="n">
        <f aca="false">K108+J109</f>
        <v>184.3</v>
      </c>
      <c r="L109" s="9" t="n">
        <v>0.3</v>
      </c>
      <c r="M109" s="9" t="n">
        <f aca="false">M108+L109</f>
        <v>144.9</v>
      </c>
      <c r="N109" s="14" t="n">
        <f aca="false">J109-L109</f>
        <v>-0.3</v>
      </c>
      <c r="O109" s="9" t="n">
        <f aca="false">O108+N109</f>
        <v>109.6</v>
      </c>
      <c r="P109" s="9" t="n">
        <v>104</v>
      </c>
      <c r="Q109" s="9" t="n">
        <v>1</v>
      </c>
      <c r="R109" s="15" t="n">
        <f aca="false">Q109*L109</f>
        <v>0.3</v>
      </c>
      <c r="S109" s="15" t="n">
        <f aca="false">J109-R109</f>
        <v>-0.3</v>
      </c>
      <c r="T109" s="15" t="n">
        <f aca="false">MIN(197.4,(T108+S109))</f>
        <v>123.615925925926</v>
      </c>
      <c r="V109" s="19" t="n">
        <v>293.9</v>
      </c>
      <c r="W109" s="9" t="n">
        <f aca="false">V109/D109</f>
        <v>734.75</v>
      </c>
      <c r="X109" s="9" t="n">
        <f aca="false">X108+V109</f>
        <v>75679.1</v>
      </c>
      <c r="Y109" s="9" t="n">
        <f aca="false">Y108+V109</f>
        <v>3284.3</v>
      </c>
      <c r="AA109" s="9" t="n">
        <v>8.33202456060303</v>
      </c>
    </row>
    <row r="110" s="9" customFormat="true" ht="15" hidden="false" customHeight="false" outlineLevel="0" collapsed="false">
      <c r="A110" s="29"/>
      <c r="B110" s="30"/>
      <c r="C110" s="12" t="n">
        <v>41988</v>
      </c>
      <c r="D110" s="20" t="n">
        <v>3</v>
      </c>
      <c r="E110" s="32" t="n">
        <v>-0.3</v>
      </c>
      <c r="F110" s="9" t="n">
        <v>5.6</v>
      </c>
      <c r="G110" s="9" t="n">
        <f aca="false">G109+D110</f>
        <v>1225.4</v>
      </c>
      <c r="H110" s="9" t="n">
        <f aca="false">H109+D110</f>
        <v>63.7</v>
      </c>
      <c r="J110" s="9" t="n">
        <v>0.9</v>
      </c>
      <c r="K110" s="9" t="n">
        <f aca="false">K109+J110</f>
        <v>185.2</v>
      </c>
      <c r="L110" s="9" t="n">
        <v>0.1</v>
      </c>
      <c r="M110" s="9" t="n">
        <f aca="false">M109+L110</f>
        <v>145</v>
      </c>
      <c r="N110" s="9" t="n">
        <f aca="false">J110-L110</f>
        <v>0.8</v>
      </c>
      <c r="O110" s="9" t="n">
        <f aca="false">O109+N110</f>
        <v>110.4</v>
      </c>
      <c r="P110" s="9" t="n">
        <v>105</v>
      </c>
      <c r="Q110" s="9" t="n">
        <v>1</v>
      </c>
      <c r="R110" s="15" t="n">
        <f aca="false">Q110*L110</f>
        <v>0.1</v>
      </c>
      <c r="S110" s="15" t="n">
        <f aca="false">J110-R110</f>
        <v>0.8</v>
      </c>
      <c r="T110" s="15" t="n">
        <f aca="false">MIN(197.4,(T109+S110))</f>
        <v>124.415925925926</v>
      </c>
      <c r="U110" s="15" t="n">
        <f aca="false">(U106*100)/197.4</f>
        <v>79.9255394198657</v>
      </c>
      <c r="V110" s="19" t="n">
        <v>86.2</v>
      </c>
      <c r="W110" s="9" t="n">
        <f aca="false">V110/D110</f>
        <v>28.7333333333333</v>
      </c>
      <c r="X110" s="9" t="n">
        <f aca="false">X109+V110</f>
        <v>75765.3</v>
      </c>
      <c r="Y110" s="9" t="n">
        <f aca="false">Y109+V110</f>
        <v>3370.5</v>
      </c>
      <c r="AA110" s="9" t="n">
        <v>8.31954493244205</v>
      </c>
    </row>
    <row r="111" s="9" customFormat="true" ht="15" hidden="false" customHeight="false" outlineLevel="0" collapsed="false">
      <c r="A111" s="29"/>
      <c r="B111" s="11"/>
      <c r="C111" s="12" t="n">
        <v>41989</v>
      </c>
      <c r="D111" s="9" t="n">
        <v>6.1</v>
      </c>
      <c r="E111" s="9" t="n">
        <v>5.1</v>
      </c>
      <c r="F111" s="9" t="n">
        <v>8.2</v>
      </c>
      <c r="G111" s="9" t="n">
        <f aca="false">G110+D111</f>
        <v>1231.5</v>
      </c>
      <c r="H111" s="9" t="n">
        <f aca="false">H110+D111</f>
        <v>69.8</v>
      </c>
      <c r="J111" s="9" t="n">
        <v>4.9</v>
      </c>
      <c r="K111" s="9" t="n">
        <f aca="false">K110+J111</f>
        <v>190.1</v>
      </c>
      <c r="L111" s="9" t="n">
        <v>0.4</v>
      </c>
      <c r="M111" s="9" t="n">
        <f aca="false">M110+L111</f>
        <v>145.4</v>
      </c>
      <c r="N111" s="9" t="n">
        <f aca="false">J111-L111</f>
        <v>4.5</v>
      </c>
      <c r="O111" s="9" t="n">
        <f aca="false">O110+N111</f>
        <v>114.9</v>
      </c>
      <c r="P111" s="9" t="n">
        <v>106</v>
      </c>
      <c r="Q111" s="9" t="n">
        <v>1</v>
      </c>
      <c r="R111" s="15" t="n">
        <f aca="false">Q111*L111</f>
        <v>0.4</v>
      </c>
      <c r="S111" s="15" t="n">
        <f aca="false">J111-R111</f>
        <v>4.5</v>
      </c>
      <c r="T111" s="15" t="n">
        <f aca="false">MIN(197.4,(T110+S111))</f>
        <v>128.915925925926</v>
      </c>
      <c r="V111" s="19" t="n">
        <v>219.9</v>
      </c>
      <c r="W111" s="9" t="n">
        <f aca="false">V111/D111</f>
        <v>36.0491803278689</v>
      </c>
      <c r="X111" s="9" t="n">
        <f aca="false">X110+V111</f>
        <v>75985.2</v>
      </c>
      <c r="Y111" s="9" t="n">
        <f aca="false">Y110+V111</f>
        <v>3590.4</v>
      </c>
      <c r="AA111" s="9" t="n">
        <v>8.30859363346455</v>
      </c>
    </row>
    <row r="112" s="9" customFormat="true" ht="15" hidden="false" customHeight="false" outlineLevel="0" collapsed="false">
      <c r="A112" s="29"/>
      <c r="B112" s="11"/>
      <c r="C112" s="12" t="n">
        <v>41990</v>
      </c>
      <c r="D112" s="9" t="n">
        <v>8.7</v>
      </c>
      <c r="E112" s="20" t="n">
        <v>4.9</v>
      </c>
      <c r="F112" s="9" t="n">
        <v>12</v>
      </c>
      <c r="G112" s="9" t="n">
        <f aca="false">G111+D112</f>
        <v>1240.2</v>
      </c>
      <c r="H112" s="9" t="n">
        <f aca="false">H111+D112</f>
        <v>78.5</v>
      </c>
      <c r="J112" s="9" t="n">
        <v>7.4</v>
      </c>
      <c r="K112" s="9" t="n">
        <f aca="false">K111+J112</f>
        <v>197.5</v>
      </c>
      <c r="L112" s="9" t="n">
        <v>0.2</v>
      </c>
      <c r="M112" s="9" t="n">
        <f aca="false">M111+L112</f>
        <v>145.6</v>
      </c>
      <c r="N112" s="9" t="n">
        <f aca="false">J112-L112</f>
        <v>7.2</v>
      </c>
      <c r="O112" s="9" t="n">
        <f aca="false">O111+N112</f>
        <v>122.1</v>
      </c>
      <c r="P112" s="9" t="n">
        <v>107</v>
      </c>
      <c r="Q112" s="9" t="n">
        <v>1</v>
      </c>
      <c r="R112" s="15" t="n">
        <f aca="false">Q112*L112</f>
        <v>0.2</v>
      </c>
      <c r="S112" s="15" t="n">
        <f aca="false">J112-R112</f>
        <v>7.2</v>
      </c>
      <c r="T112" s="15" t="n">
        <f aca="false">MIN(197.4,(T111+S112))</f>
        <v>136.115925925926</v>
      </c>
      <c r="V112" s="19" t="n">
        <v>63.6</v>
      </c>
      <c r="W112" s="9" t="n">
        <f aca="false">V112/D112</f>
        <v>7.31034482758621</v>
      </c>
      <c r="X112" s="9" t="n">
        <f aca="false">X111+V112</f>
        <v>76048.8</v>
      </c>
      <c r="Y112" s="9" t="n">
        <f aca="false">Y111+V112</f>
        <v>3654</v>
      </c>
      <c r="AA112" s="9" t="n">
        <v>8.29918414043902</v>
      </c>
    </row>
    <row r="113" s="9" customFormat="true" ht="15" hidden="false" customHeight="false" outlineLevel="0" collapsed="false">
      <c r="A113" s="29"/>
      <c r="B113" s="11"/>
      <c r="C113" s="12" t="n">
        <v>41991</v>
      </c>
      <c r="D113" s="9" t="n">
        <v>11.9</v>
      </c>
      <c r="E113" s="9" t="n">
        <v>11.1</v>
      </c>
      <c r="F113" s="9" t="n">
        <v>13.3</v>
      </c>
      <c r="G113" s="9" t="n">
        <f aca="false">G112+D113</f>
        <v>1252.1</v>
      </c>
      <c r="H113" s="9" t="n">
        <f aca="false">H112+D113</f>
        <v>90.4</v>
      </c>
      <c r="J113" s="9" t="n">
        <v>0</v>
      </c>
      <c r="K113" s="9" t="n">
        <f aca="false">K112+J113</f>
        <v>197.5</v>
      </c>
      <c r="L113" s="9" t="n">
        <v>0.6</v>
      </c>
      <c r="M113" s="9" t="n">
        <f aca="false">M112+L113</f>
        <v>146.2</v>
      </c>
      <c r="N113" s="14" t="n">
        <f aca="false">J113-L113</f>
        <v>-0.6</v>
      </c>
      <c r="O113" s="9" t="n">
        <f aca="false">O112+N113</f>
        <v>121.5</v>
      </c>
      <c r="P113" s="9" t="n">
        <v>108</v>
      </c>
      <c r="Q113" s="9" t="n">
        <v>1</v>
      </c>
      <c r="R113" s="15" t="n">
        <f aca="false">Q113*L113</f>
        <v>0.6</v>
      </c>
      <c r="S113" s="15" t="n">
        <f aca="false">J113-R113</f>
        <v>-0.6</v>
      </c>
      <c r="T113" s="15" t="n">
        <f aca="false">MIN(197.4,(T112+S113))</f>
        <v>135.515925925926</v>
      </c>
      <c r="V113" s="19" t="n">
        <v>119.9</v>
      </c>
      <c r="W113" s="9" t="n">
        <f aca="false">V113/D113</f>
        <v>10.0756302521008</v>
      </c>
      <c r="X113" s="9" t="n">
        <f aca="false">X112+V113</f>
        <v>76168.7</v>
      </c>
      <c r="Y113" s="9" t="n">
        <f aca="false">Y112+V113</f>
        <v>3773.9</v>
      </c>
      <c r="AA113" s="9" t="n">
        <v>8.29132819814912</v>
      </c>
    </row>
    <row r="114" s="9" customFormat="true" ht="15" hidden="false" customHeight="false" outlineLevel="0" collapsed="false">
      <c r="A114" s="29"/>
      <c r="B114" s="11"/>
      <c r="C114" s="12" t="n">
        <v>41992</v>
      </c>
      <c r="D114" s="9" t="n">
        <v>10.1</v>
      </c>
      <c r="E114" s="9" t="n">
        <v>10.2</v>
      </c>
      <c r="F114" s="9" t="n">
        <v>11.2</v>
      </c>
      <c r="G114" s="9" t="n">
        <f aca="false">G113+D114</f>
        <v>1262.2</v>
      </c>
      <c r="H114" s="9" t="n">
        <f aca="false">H113+D114</f>
        <v>100.5</v>
      </c>
      <c r="J114" s="9" t="n">
        <v>4.1</v>
      </c>
      <c r="K114" s="9" t="n">
        <f aca="false">K113+J114</f>
        <v>201.6</v>
      </c>
      <c r="L114" s="9" t="n">
        <v>0.8</v>
      </c>
      <c r="M114" s="9" t="n">
        <f aca="false">M113+L114</f>
        <v>147</v>
      </c>
      <c r="N114" s="9" t="n">
        <f aca="false">J114-L114</f>
        <v>3.3</v>
      </c>
      <c r="O114" s="9" t="n">
        <f aca="false">O113+N114</f>
        <v>124.8</v>
      </c>
      <c r="P114" s="9" t="n">
        <v>109</v>
      </c>
      <c r="Q114" s="9" t="n">
        <v>1</v>
      </c>
      <c r="R114" s="15" t="n">
        <f aca="false">Q114*L114</f>
        <v>0.8</v>
      </c>
      <c r="S114" s="15" t="n">
        <f aca="false">J114-R114</f>
        <v>3.3</v>
      </c>
      <c r="T114" s="15" t="n">
        <f aca="false">MIN(197.4,(T113+S114))</f>
        <v>138.815925925926</v>
      </c>
      <c r="V114" s="19" t="n">
        <v>86.2</v>
      </c>
      <c r="W114" s="9" t="n">
        <f aca="false">V114/D114</f>
        <v>8.53465346534654</v>
      </c>
      <c r="X114" s="9" t="n">
        <f aca="false">X113+V114</f>
        <v>76254.9</v>
      </c>
      <c r="Y114" s="9" t="n">
        <f aca="false">Y113+V114</f>
        <v>3860.1</v>
      </c>
      <c r="AA114" s="9" t="n">
        <v>8.28503576880813</v>
      </c>
    </row>
    <row r="115" s="9" customFormat="true" ht="15" hidden="false" customHeight="false" outlineLevel="0" collapsed="false">
      <c r="A115" s="29"/>
      <c r="B115" s="11"/>
      <c r="C115" s="12" t="n">
        <v>41993</v>
      </c>
      <c r="D115" s="9" t="n">
        <v>7</v>
      </c>
      <c r="E115" s="9" t="n">
        <v>6.4</v>
      </c>
      <c r="F115" s="9" t="n">
        <v>8.8</v>
      </c>
      <c r="G115" s="9" t="n">
        <f aca="false">G114+D115</f>
        <v>1269.2</v>
      </c>
      <c r="H115" s="9" t="n">
        <f aca="false">H114+D115</f>
        <v>107.5</v>
      </c>
      <c r="J115" s="9" t="n">
        <v>0</v>
      </c>
      <c r="K115" s="9" t="n">
        <f aca="false">K114+J115</f>
        <v>201.6</v>
      </c>
      <c r="L115" s="9" t="n">
        <v>1</v>
      </c>
      <c r="M115" s="9" t="n">
        <f aca="false">M114+L115</f>
        <v>148</v>
      </c>
      <c r="N115" s="14" t="n">
        <f aca="false">J115-L115</f>
        <v>-1</v>
      </c>
      <c r="O115" s="9" t="n">
        <f aca="false">O114+N115</f>
        <v>123.8</v>
      </c>
      <c r="P115" s="9" t="n">
        <v>110</v>
      </c>
      <c r="Q115" s="9" t="n">
        <v>1</v>
      </c>
      <c r="R115" s="15" t="n">
        <f aca="false">Q115*L115</f>
        <v>1</v>
      </c>
      <c r="S115" s="15" t="n">
        <f aca="false">J115-R115</f>
        <v>-1</v>
      </c>
      <c r="T115" s="15" t="n">
        <f aca="false">MIN(197.4,(T114+S115))</f>
        <v>137.815925925926</v>
      </c>
      <c r="V115" s="19" t="n">
        <v>217</v>
      </c>
      <c r="W115" s="9" t="n">
        <f aca="false">V115/D115</f>
        <v>31</v>
      </c>
      <c r="X115" s="9" t="n">
        <f aca="false">X114+V115</f>
        <v>76471.9</v>
      </c>
      <c r="Y115" s="9" t="n">
        <f aca="false">Y114+V115</f>
        <v>4077.1</v>
      </c>
      <c r="AA115" s="9" t="n">
        <v>8.28031498873857</v>
      </c>
    </row>
    <row r="116" s="9" customFormat="true" ht="15" hidden="false" customHeight="false" outlineLevel="0" collapsed="false">
      <c r="A116" s="29"/>
      <c r="B116" s="11"/>
      <c r="C116" s="12" t="n">
        <v>41994</v>
      </c>
      <c r="D116" s="9" t="n">
        <v>7</v>
      </c>
      <c r="E116" s="20" t="n">
        <v>4.8</v>
      </c>
      <c r="F116" s="9" t="n">
        <v>8.3</v>
      </c>
      <c r="G116" s="9" t="n">
        <f aca="false">G115+D116</f>
        <v>1276.2</v>
      </c>
      <c r="H116" s="9" t="n">
        <f aca="false">H115+D116</f>
        <v>114.5</v>
      </c>
      <c r="J116" s="9" t="n">
        <v>0</v>
      </c>
      <c r="K116" s="9" t="n">
        <f aca="false">K115+J116</f>
        <v>201.6</v>
      </c>
      <c r="L116" s="9" t="n">
        <v>0.6</v>
      </c>
      <c r="M116" s="9" t="n">
        <f aca="false">M115+L116</f>
        <v>148.6</v>
      </c>
      <c r="N116" s="14" t="n">
        <f aca="false">J116-L116</f>
        <v>-0.6</v>
      </c>
      <c r="O116" s="9" t="n">
        <f aca="false">O115+N116</f>
        <v>123.2</v>
      </c>
      <c r="P116" s="9" t="n">
        <v>111</v>
      </c>
      <c r="Q116" s="9" t="n">
        <v>1</v>
      </c>
      <c r="R116" s="15" t="n">
        <f aca="false">Q116*L116</f>
        <v>0.6</v>
      </c>
      <c r="S116" s="15" t="n">
        <f aca="false">J116-R116</f>
        <v>-0.6</v>
      </c>
      <c r="T116" s="15" t="n">
        <f aca="false">MIN(197.4,(T115+S116))</f>
        <v>137.215925925926</v>
      </c>
      <c r="V116" s="19" t="n">
        <v>141.8</v>
      </c>
      <c r="W116" s="9" t="n">
        <f aca="false">V116/D116</f>
        <v>20.2571428571429</v>
      </c>
      <c r="X116" s="9" t="n">
        <f aca="false">X115+V116</f>
        <v>76613.7</v>
      </c>
      <c r="Y116" s="9" t="n">
        <f aca="false">Y115+V116</f>
        <v>4218.9</v>
      </c>
      <c r="AA116" s="9" t="n">
        <v>8.27717213270673</v>
      </c>
    </row>
    <row r="117" s="9" customFormat="true" ht="15" hidden="false" customHeight="false" outlineLevel="0" collapsed="false">
      <c r="A117" s="29"/>
      <c r="B117" s="11"/>
      <c r="C117" s="12" t="n">
        <v>41995</v>
      </c>
      <c r="D117" s="9" t="n">
        <v>8.6</v>
      </c>
      <c r="E117" s="9" t="n">
        <v>7.3</v>
      </c>
      <c r="F117" s="9" t="n">
        <v>9.7</v>
      </c>
      <c r="G117" s="9" t="n">
        <f aca="false">G116+D117</f>
        <v>1284.8</v>
      </c>
      <c r="H117" s="9" t="n">
        <f aca="false">H116+D117</f>
        <v>123.1</v>
      </c>
      <c r="J117" s="9" t="n">
        <v>0.1</v>
      </c>
      <c r="K117" s="9" t="n">
        <f aca="false">K116+J117</f>
        <v>201.7</v>
      </c>
      <c r="L117" s="9" t="n">
        <v>0.7</v>
      </c>
      <c r="M117" s="9" t="n">
        <f aca="false">M116+L117</f>
        <v>149.3</v>
      </c>
      <c r="N117" s="14" t="n">
        <f aca="false">J117-L117</f>
        <v>-0.6</v>
      </c>
      <c r="O117" s="9" t="n">
        <f aca="false">O116+N117</f>
        <v>122.6</v>
      </c>
      <c r="P117" s="9" t="n">
        <v>112</v>
      </c>
      <c r="Q117" s="9" t="n">
        <v>1</v>
      </c>
      <c r="R117" s="15" t="n">
        <f aca="false">Q117*L117</f>
        <v>0.7</v>
      </c>
      <c r="S117" s="15" t="n">
        <f aca="false">J117-R117</f>
        <v>-0.6</v>
      </c>
      <c r="T117" s="15" t="n">
        <f aca="false">MIN(197.4,(T116+S117))</f>
        <v>136.615925925926</v>
      </c>
      <c r="V117" s="19" t="n">
        <v>135.3</v>
      </c>
      <c r="W117" s="9" t="n">
        <f aca="false">V117/D117</f>
        <v>15.7325581395349</v>
      </c>
      <c r="X117" s="9" t="n">
        <f aca="false">X116+V117</f>
        <v>76749</v>
      </c>
      <c r="Y117" s="9" t="n">
        <f aca="false">Y116+V117</f>
        <v>4354.2</v>
      </c>
      <c r="AA117" s="9" t="n">
        <v>8.27561158623616</v>
      </c>
    </row>
    <row r="118" s="9" customFormat="true" ht="15" hidden="false" customHeight="false" outlineLevel="0" collapsed="false">
      <c r="A118" s="29"/>
      <c r="B118" s="11"/>
      <c r="C118" s="12" t="n">
        <v>41996</v>
      </c>
      <c r="D118" s="9" t="n">
        <v>6.8</v>
      </c>
      <c r="E118" s="9" t="n">
        <v>5.8</v>
      </c>
      <c r="F118" s="9" t="n">
        <v>7.5</v>
      </c>
      <c r="G118" s="9" t="n">
        <f aca="false">G117+D118</f>
        <v>1291.6</v>
      </c>
      <c r="H118" s="9" t="n">
        <f aca="false">H117+D118</f>
        <v>129.9</v>
      </c>
      <c r="J118" s="9" t="n">
        <v>0.1</v>
      </c>
      <c r="K118" s="9" t="n">
        <f aca="false">K117+J118</f>
        <v>201.8</v>
      </c>
      <c r="L118" s="9" t="n">
        <v>0.2</v>
      </c>
      <c r="M118" s="9" t="n">
        <f aca="false">M117+L118</f>
        <v>149.5</v>
      </c>
      <c r="N118" s="14" t="n">
        <f aca="false">J118-L118</f>
        <v>-0.1</v>
      </c>
      <c r="O118" s="9" t="n">
        <f aca="false">O117+N118</f>
        <v>122.5</v>
      </c>
      <c r="P118" s="9" t="n">
        <v>113</v>
      </c>
      <c r="Q118" s="9" t="n">
        <v>1</v>
      </c>
      <c r="R118" s="15" t="n">
        <f aca="false">Q118*L118</f>
        <v>0.2</v>
      </c>
      <c r="S118" s="15" t="n">
        <f aca="false">J118-R118</f>
        <v>-0.1</v>
      </c>
      <c r="T118" s="15" t="n">
        <f aca="false">MIN(197.4,(T117+S118))</f>
        <v>136.515925925926</v>
      </c>
      <c r="V118" s="19" t="n">
        <v>94.7</v>
      </c>
      <c r="W118" s="9" t="n">
        <f aca="false">V118/D118</f>
        <v>13.9264705882353</v>
      </c>
      <c r="X118" s="9" t="n">
        <f aca="false">X117+V118</f>
        <v>76843.7</v>
      </c>
      <c r="Y118" s="9" t="n">
        <f aca="false">Y117+V118</f>
        <v>4448.9</v>
      </c>
      <c r="AA118" s="9" t="n">
        <v>8.27563582615394</v>
      </c>
    </row>
    <row r="119" s="9" customFormat="true" ht="15" hidden="false" customHeight="false" outlineLevel="0" collapsed="false">
      <c r="A119" s="29"/>
      <c r="B119" s="11"/>
      <c r="C119" s="12" t="n">
        <v>41997</v>
      </c>
      <c r="D119" s="9" t="n">
        <v>8.1</v>
      </c>
      <c r="E119" s="9" t="n">
        <v>5.7</v>
      </c>
      <c r="F119" s="9" t="n">
        <v>9.5</v>
      </c>
      <c r="G119" s="9" t="n">
        <f aca="false">G118+D119</f>
        <v>1299.7</v>
      </c>
      <c r="H119" s="9" t="n">
        <f aca="false">H118+D119</f>
        <v>138</v>
      </c>
      <c r="J119" s="9" t="n">
        <v>0.9</v>
      </c>
      <c r="K119" s="9" t="n">
        <f aca="false">K118+J119</f>
        <v>202.7</v>
      </c>
      <c r="L119" s="9" t="n">
        <v>0.3</v>
      </c>
      <c r="M119" s="9" t="n">
        <f aca="false">M118+L119</f>
        <v>149.8</v>
      </c>
      <c r="N119" s="9" t="n">
        <f aca="false">J119-L119</f>
        <v>0.6</v>
      </c>
      <c r="O119" s="9" t="n">
        <f aca="false">O118+N119</f>
        <v>123.1</v>
      </c>
      <c r="P119" s="9" t="n">
        <v>114</v>
      </c>
      <c r="Q119" s="9" t="n">
        <v>1</v>
      </c>
      <c r="R119" s="15" t="n">
        <f aca="false">Q119*L119</f>
        <v>0.3</v>
      </c>
      <c r="S119" s="15" t="n">
        <f aca="false">J119-R119</f>
        <v>0.6</v>
      </c>
      <c r="T119" s="15" t="n">
        <f aca="false">MIN(197.4,(T118+S119))</f>
        <v>137.115925925926</v>
      </c>
      <c r="V119" s="19" t="n">
        <v>125.5</v>
      </c>
      <c r="W119" s="9" t="n">
        <f aca="false">V119/D119</f>
        <v>15.4938271604938</v>
      </c>
      <c r="X119" s="9" t="n">
        <f aca="false">X118+V119</f>
        <v>76969.2</v>
      </c>
      <c r="Y119" s="9" t="n">
        <f aca="false">Y118+V119</f>
        <v>4574.4</v>
      </c>
      <c r="AA119" s="9" t="n">
        <v>8.27724540954928</v>
      </c>
    </row>
    <row r="120" s="9" customFormat="true" ht="15" hidden="false" customHeight="false" outlineLevel="0" collapsed="false">
      <c r="A120" s="29"/>
      <c r="B120" s="30"/>
      <c r="C120" s="12" t="n">
        <v>41998</v>
      </c>
      <c r="D120" s="20" t="n">
        <v>5</v>
      </c>
      <c r="E120" s="20" t="n">
        <v>4.5</v>
      </c>
      <c r="F120" s="9" t="n">
        <v>6.9</v>
      </c>
      <c r="G120" s="9" t="n">
        <f aca="false">G119+D120</f>
        <v>1304.7</v>
      </c>
      <c r="H120" s="9" t="n">
        <f aca="false">H119+D120</f>
        <v>143</v>
      </c>
      <c r="J120" s="9" t="n">
        <v>0.1</v>
      </c>
      <c r="K120" s="9" t="n">
        <f aca="false">K119+J120</f>
        <v>202.8</v>
      </c>
      <c r="L120" s="9" t="n">
        <v>0.5</v>
      </c>
      <c r="M120" s="9" t="n">
        <f aca="false">M119+L120</f>
        <v>150.3</v>
      </c>
      <c r="N120" s="14" t="n">
        <f aca="false">J120-L120</f>
        <v>-0.4</v>
      </c>
      <c r="O120" s="9" t="n">
        <f aca="false">O119+N120</f>
        <v>122.7</v>
      </c>
      <c r="P120" s="9" t="n">
        <v>115</v>
      </c>
      <c r="Q120" s="9" t="n">
        <v>1</v>
      </c>
      <c r="R120" s="15" t="n">
        <f aca="false">Q120*L120</f>
        <v>0.5</v>
      </c>
      <c r="S120" s="15" t="n">
        <f aca="false">J120-R120</f>
        <v>-0.4</v>
      </c>
      <c r="T120" s="15" t="n">
        <f aca="false">MIN(197.4,(T119+S120))</f>
        <v>136.715925925926</v>
      </c>
      <c r="V120" s="19" t="n">
        <v>394.6</v>
      </c>
      <c r="W120" s="9" t="n">
        <f aca="false">V120/D120</f>
        <v>78.92</v>
      </c>
      <c r="X120" s="9" t="n">
        <f aca="false">X119+V120</f>
        <v>77363.8</v>
      </c>
      <c r="Y120" s="9" t="n">
        <f aca="false">Y119+V120</f>
        <v>4969</v>
      </c>
      <c r="AA120" s="9" t="n">
        <v>8.28043897124667</v>
      </c>
    </row>
    <row r="121" s="9" customFormat="true" ht="15" hidden="false" customHeight="false" outlineLevel="0" collapsed="false">
      <c r="A121" s="29"/>
      <c r="B121" s="30"/>
      <c r="C121" s="12" t="n">
        <v>41999</v>
      </c>
      <c r="D121" s="20" t="n">
        <v>2.2</v>
      </c>
      <c r="E121" s="32" t="n">
        <v>-1.1</v>
      </c>
      <c r="F121" s="9" t="n">
        <v>7.4</v>
      </c>
      <c r="G121" s="9" t="n">
        <f aca="false">G120+D121</f>
        <v>1306.9</v>
      </c>
      <c r="H121" s="9" t="n">
        <f aca="false">H120+D121</f>
        <v>145.2</v>
      </c>
      <c r="J121" s="9" t="n">
        <v>12.3</v>
      </c>
      <c r="K121" s="9" t="n">
        <f aca="false">K120+J121</f>
        <v>215.1</v>
      </c>
      <c r="L121" s="9" t="n">
        <v>0.5</v>
      </c>
      <c r="M121" s="9" t="n">
        <f aca="false">M120+L121</f>
        <v>150.8</v>
      </c>
      <c r="N121" s="9" t="n">
        <f aca="false">J121-L121</f>
        <v>11.8</v>
      </c>
      <c r="O121" s="9" t="n">
        <f aca="false">O120+N121</f>
        <v>134.5</v>
      </c>
      <c r="P121" s="9" t="n">
        <v>116</v>
      </c>
      <c r="Q121" s="9" t="n">
        <v>1</v>
      </c>
      <c r="R121" s="15" t="n">
        <f aca="false">Q121*L121</f>
        <v>0.5</v>
      </c>
      <c r="S121" s="15" t="n">
        <f aca="false">J121-R121</f>
        <v>11.8</v>
      </c>
      <c r="T121" s="15" t="n">
        <f aca="false">MIN(197.4,(T120+S121))</f>
        <v>148.515925925926</v>
      </c>
      <c r="V121" s="19" t="n">
        <v>196.4</v>
      </c>
      <c r="W121" s="9" t="n">
        <f aca="false">V121/D121</f>
        <v>89.2727272727273</v>
      </c>
      <c r="X121" s="9" t="n">
        <f aca="false">X120+V121</f>
        <v>77560.2</v>
      </c>
      <c r="Y121" s="9" t="n">
        <f aca="false">Y120+V121</f>
        <v>5165.4</v>
      </c>
      <c r="AA121" s="9" t="n">
        <v>8.285213229817</v>
      </c>
    </row>
    <row r="122" s="9" customFormat="true" ht="15" hidden="false" customHeight="false" outlineLevel="0" collapsed="false">
      <c r="A122" s="29"/>
      <c r="B122" s="30"/>
      <c r="C122" s="12" t="n">
        <v>42000</v>
      </c>
      <c r="D122" s="20" t="n">
        <v>5</v>
      </c>
      <c r="E122" s="20" t="n">
        <v>3.5</v>
      </c>
      <c r="F122" s="9" t="n">
        <v>7.1</v>
      </c>
      <c r="G122" s="9" t="n">
        <f aca="false">G121+D122</f>
        <v>1311.9</v>
      </c>
      <c r="H122" s="9" t="n">
        <f aca="false">H121+D122</f>
        <v>150.2</v>
      </c>
      <c r="J122" s="9" t="n">
        <v>0.2</v>
      </c>
      <c r="K122" s="9" t="n">
        <f aca="false">K121+J122</f>
        <v>215.3</v>
      </c>
      <c r="L122" s="9" t="n">
        <v>1</v>
      </c>
      <c r="M122" s="9" t="n">
        <f aca="false">M121+L122</f>
        <v>151.8</v>
      </c>
      <c r="N122" s="14" t="n">
        <f aca="false">J122-L122</f>
        <v>-0.8</v>
      </c>
      <c r="O122" s="9" t="n">
        <f aca="false">O121+N122</f>
        <v>133.7</v>
      </c>
      <c r="P122" s="9" t="n">
        <v>117</v>
      </c>
      <c r="Q122" s="9" t="n">
        <v>1</v>
      </c>
      <c r="R122" s="15" t="n">
        <f aca="false">Q122*L122</f>
        <v>1</v>
      </c>
      <c r="S122" s="15" t="n">
        <f aca="false">J122-R122</f>
        <v>-0.8</v>
      </c>
      <c r="T122" s="15" t="n">
        <f aca="false">MIN(197.4,(T121+S122))</f>
        <v>147.715925925926</v>
      </c>
      <c r="V122" s="19" t="n">
        <v>150</v>
      </c>
      <c r="W122" s="9" t="n">
        <f aca="false">V122/D122</f>
        <v>30</v>
      </c>
      <c r="X122" s="9" t="n">
        <f aca="false">X121+V122</f>
        <v>77710.2</v>
      </c>
      <c r="Y122" s="9" t="n">
        <f aca="false">Y121+V122</f>
        <v>5315.4</v>
      </c>
      <c r="AA122" s="9" t="n">
        <v>8.29156300207086</v>
      </c>
    </row>
    <row r="123" s="9" customFormat="true" ht="15" hidden="false" customHeight="false" outlineLevel="0" collapsed="false">
      <c r="A123" s="29"/>
      <c r="B123" s="30"/>
      <c r="C123" s="12" t="n">
        <v>42001</v>
      </c>
      <c r="D123" s="32" t="n">
        <v>-1.1</v>
      </c>
      <c r="E123" s="32" t="n">
        <v>-1.9</v>
      </c>
      <c r="F123" s="32" t="n">
        <v>-0.2</v>
      </c>
      <c r="G123" s="9" t="n">
        <v>1311.9</v>
      </c>
      <c r="H123" s="9" t="n">
        <v>150.2</v>
      </c>
      <c r="J123" s="9" t="n">
        <v>0</v>
      </c>
      <c r="K123" s="9" t="n">
        <f aca="false">K122+J123</f>
        <v>215.3</v>
      </c>
      <c r="L123" s="9" t="n">
        <v>0.7</v>
      </c>
      <c r="M123" s="9" t="n">
        <f aca="false">M122+L123</f>
        <v>152.5</v>
      </c>
      <c r="N123" s="14" t="n">
        <f aca="false">J123-L123</f>
        <v>-0.7</v>
      </c>
      <c r="O123" s="9" t="n">
        <f aca="false">O122+N123</f>
        <v>133</v>
      </c>
      <c r="P123" s="9" t="n">
        <v>118</v>
      </c>
      <c r="Q123" s="9" t="n">
        <v>1</v>
      </c>
      <c r="R123" s="15" t="n">
        <f aca="false">Q123*L123</f>
        <v>0.7</v>
      </c>
      <c r="S123" s="15" t="n">
        <f aca="false">J123-R123</f>
        <v>-0.7</v>
      </c>
      <c r="T123" s="15" t="n">
        <f aca="false">MIN(197.4,(T122+S123))</f>
        <v>147.015925925926</v>
      </c>
      <c r="V123" s="19" t="n">
        <v>203.6</v>
      </c>
      <c r="W123" s="9" t="n">
        <f aca="false">V123/D123</f>
        <v>-185.090909090909</v>
      </c>
      <c r="X123" s="9" t="n">
        <f aca="false">X122+V123</f>
        <v>77913.8</v>
      </c>
      <c r="Y123" s="9" t="n">
        <f aca="false">Y122+V123</f>
        <v>5519</v>
      </c>
      <c r="AA123" s="9" t="n">
        <v>8.29948122589994</v>
      </c>
    </row>
    <row r="124" s="9" customFormat="true" ht="15" hidden="false" customHeight="false" outlineLevel="0" collapsed="false">
      <c r="A124" s="29"/>
      <c r="B124" s="30"/>
      <c r="C124" s="12" t="n">
        <v>42002</v>
      </c>
      <c r="D124" s="32" t="n">
        <v>-0.3</v>
      </c>
      <c r="E124" s="32" t="n">
        <v>-5.8</v>
      </c>
      <c r="F124" s="20" t="n">
        <v>3.3</v>
      </c>
      <c r="G124" s="9" t="n">
        <v>1311.9</v>
      </c>
      <c r="H124" s="9" t="n">
        <v>150.2</v>
      </c>
      <c r="J124" s="9" t="n">
        <v>0</v>
      </c>
      <c r="K124" s="9" t="n">
        <f aca="false">K123+J124</f>
        <v>215.3</v>
      </c>
      <c r="L124" s="9" t="n">
        <v>0.2</v>
      </c>
      <c r="M124" s="9" t="n">
        <f aca="false">M123+L124</f>
        <v>152.7</v>
      </c>
      <c r="N124" s="14" t="n">
        <f aca="false">J124-L124</f>
        <v>-0.2</v>
      </c>
      <c r="O124" s="9" t="n">
        <f aca="false">O123+N124</f>
        <v>132.8</v>
      </c>
      <c r="P124" s="9" t="n">
        <v>119</v>
      </c>
      <c r="Q124" s="9" t="n">
        <v>1</v>
      </c>
      <c r="R124" s="15" t="n">
        <f aca="false">Q124*L124</f>
        <v>0.2</v>
      </c>
      <c r="S124" s="15" t="n">
        <f aca="false">J124-R124</f>
        <v>-0.2</v>
      </c>
      <c r="T124" s="15" t="n">
        <f aca="false">MIN(197.4,(T123+S124))</f>
        <v>146.815925925926</v>
      </c>
      <c r="V124" s="19" t="n">
        <v>477.1</v>
      </c>
      <c r="W124" s="9" t="n">
        <f aca="false">V124/D124</f>
        <v>-1590.33333333333</v>
      </c>
      <c r="X124" s="9" t="n">
        <f aca="false">X123+V124</f>
        <v>78390.9</v>
      </c>
      <c r="Y124" s="9" t="n">
        <f aca="false">Y123+V124</f>
        <v>5996.1</v>
      </c>
      <c r="AA124" s="9" t="n">
        <v>8.30895899125619</v>
      </c>
    </row>
    <row r="125" s="9" customFormat="true" ht="15" hidden="false" customHeight="false" outlineLevel="0" collapsed="false">
      <c r="A125" s="29"/>
      <c r="B125" s="30"/>
      <c r="C125" s="12" t="n">
        <v>42003</v>
      </c>
      <c r="D125" s="20" t="n">
        <v>2.4</v>
      </c>
      <c r="E125" s="20" t="n">
        <v>1.1</v>
      </c>
      <c r="F125" s="20" t="n">
        <v>4.7</v>
      </c>
      <c r="G125" s="9" t="n">
        <f aca="false">G124+D125</f>
        <v>1314.3</v>
      </c>
      <c r="H125" s="9" t="n">
        <f aca="false">H124+D125</f>
        <v>152.6</v>
      </c>
      <c r="J125" s="9" t="n">
        <v>0</v>
      </c>
      <c r="K125" s="9" t="n">
        <f aca="false">K124+J125</f>
        <v>215.3</v>
      </c>
      <c r="L125" s="9" t="n">
        <v>0.5</v>
      </c>
      <c r="M125" s="9" t="n">
        <f aca="false">M124+L125</f>
        <v>153.2</v>
      </c>
      <c r="N125" s="14" t="n">
        <f aca="false">J125-L125</f>
        <v>-0.5</v>
      </c>
      <c r="O125" s="9" t="n">
        <f aca="false">O124+N125</f>
        <v>132.3</v>
      </c>
      <c r="P125" s="9" t="n">
        <v>120</v>
      </c>
      <c r="Q125" s="9" t="n">
        <v>1</v>
      </c>
      <c r="R125" s="15" t="n">
        <f aca="false">Q125*L125</f>
        <v>0.5</v>
      </c>
      <c r="S125" s="15" t="n">
        <f aca="false">J125-R125</f>
        <v>-0.5</v>
      </c>
      <c r="T125" s="15" t="n">
        <f aca="false">MIN(197.4,(T124+S125))</f>
        <v>146.315925925926</v>
      </c>
      <c r="V125" s="19" t="n">
        <v>425.3</v>
      </c>
      <c r="W125" s="9" t="n">
        <f aca="false">V125/D125</f>
        <v>177.208333333333</v>
      </c>
      <c r="X125" s="9" t="n">
        <f aca="false">X124+V125</f>
        <v>78816.2</v>
      </c>
      <c r="Y125" s="9" t="n">
        <f aca="false">Y124+V125</f>
        <v>6421.4</v>
      </c>
      <c r="AA125" s="9" t="n">
        <v>8.31998557898569</v>
      </c>
    </row>
    <row r="126" s="9" customFormat="true" ht="15" hidden="false" customHeight="false" outlineLevel="0" collapsed="false">
      <c r="A126" s="29"/>
      <c r="B126" s="30"/>
      <c r="C126" s="12" t="n">
        <v>42004</v>
      </c>
      <c r="D126" s="20" t="n">
        <v>1.6</v>
      </c>
      <c r="E126" s="20" t="n">
        <v>0</v>
      </c>
      <c r="F126" s="9" t="n">
        <v>5.6</v>
      </c>
      <c r="G126" s="9" t="n">
        <f aca="false">G125+D126</f>
        <v>1315.9</v>
      </c>
      <c r="H126" s="9" t="n">
        <f aca="false">H125+D126</f>
        <v>154.2</v>
      </c>
      <c r="J126" s="9" t="n">
        <v>0</v>
      </c>
      <c r="K126" s="9" t="n">
        <f aca="false">K125+J126</f>
        <v>215.3</v>
      </c>
      <c r="L126" s="9" t="n">
        <v>0.7</v>
      </c>
      <c r="M126" s="9" t="n">
        <f aca="false">M125+L126</f>
        <v>153.9</v>
      </c>
      <c r="N126" s="14" t="n">
        <f aca="false">J126-L126</f>
        <v>-0.7</v>
      </c>
      <c r="O126" s="9" t="n">
        <f aca="false">O125+N126</f>
        <v>131.6</v>
      </c>
      <c r="P126" s="9" t="n">
        <v>121</v>
      </c>
      <c r="Q126" s="9" t="n">
        <v>1</v>
      </c>
      <c r="R126" s="15" t="n">
        <f aca="false">Q126*L126</f>
        <v>0.7</v>
      </c>
      <c r="S126" s="15" t="n">
        <f aca="false">J126-R126</f>
        <v>-0.7</v>
      </c>
      <c r="T126" s="15" t="n">
        <f aca="false">MIN(197.4,(T125+S126))</f>
        <v>145.615925925926</v>
      </c>
      <c r="V126" s="19" t="n">
        <v>542.1</v>
      </c>
      <c r="W126" s="9" t="n">
        <f aca="false">V126/D126</f>
        <v>338.8125</v>
      </c>
      <c r="X126" s="9" t="n">
        <f aca="false">X125+V126</f>
        <v>79358.3</v>
      </c>
      <c r="Y126" s="9" t="n">
        <f aca="false">Y125+V126</f>
        <v>6963.5</v>
      </c>
      <c r="AA126" s="9" t="n">
        <v>8.33254850716574</v>
      </c>
    </row>
    <row r="127" s="9" customFormat="true" ht="15" hidden="false" customHeight="false" outlineLevel="0" collapsed="false">
      <c r="A127" s="29"/>
      <c r="B127" s="30"/>
      <c r="C127" s="12" t="n">
        <v>42005</v>
      </c>
      <c r="D127" s="20" t="n">
        <v>0.3</v>
      </c>
      <c r="E127" s="32" t="n">
        <v>-3.7</v>
      </c>
      <c r="F127" s="20" t="n">
        <v>4.4</v>
      </c>
      <c r="G127" s="9" t="n">
        <f aca="false">G126+D127</f>
        <v>1316.2</v>
      </c>
      <c r="H127" s="9" t="n">
        <f aca="false">H126+D127</f>
        <v>154.5</v>
      </c>
      <c r="J127" s="9" t="n">
        <v>0.1</v>
      </c>
      <c r="K127" s="9" t="n">
        <f aca="false">K126+J127</f>
        <v>215.4</v>
      </c>
      <c r="L127" s="9" t="n">
        <v>0.5</v>
      </c>
      <c r="M127" s="9" t="n">
        <f aca="false">M126+L127</f>
        <v>154.4</v>
      </c>
      <c r="N127" s="14" t="n">
        <f aca="false">J127-L127</f>
        <v>-0.4</v>
      </c>
      <c r="O127" s="9" t="n">
        <f aca="false">O126+N127</f>
        <v>131.2</v>
      </c>
      <c r="P127" s="9" t="n">
        <v>122</v>
      </c>
      <c r="Q127" s="9" t="n">
        <v>1</v>
      </c>
      <c r="R127" s="15" t="n">
        <f aca="false">Q127*L127</f>
        <v>0.5</v>
      </c>
      <c r="S127" s="15" t="n">
        <f aca="false">J127-R127</f>
        <v>-0.4</v>
      </c>
      <c r="T127" s="15" t="n">
        <f aca="false">MIN(197.4,(T126+S127))</f>
        <v>145.215925925926</v>
      </c>
      <c r="V127" s="19" t="n">
        <v>443.7</v>
      </c>
      <c r="W127" s="9" t="n">
        <f aca="false">V127/D127</f>
        <v>1479</v>
      </c>
      <c r="X127" s="9" t="n">
        <f aca="false">X126+V127</f>
        <v>79802</v>
      </c>
      <c r="Y127" s="9" t="n">
        <f aca="false">Y126+V127</f>
        <v>7407.2</v>
      </c>
      <c r="AA127" s="9" t="n">
        <v>8.35117610244369</v>
      </c>
    </row>
    <row r="128" s="9" customFormat="true" ht="15" hidden="false" customHeight="false" outlineLevel="0" collapsed="false">
      <c r="A128" s="29"/>
      <c r="B128" s="30"/>
      <c r="C128" s="12" t="n">
        <v>42006</v>
      </c>
      <c r="D128" s="20" t="n">
        <v>4.1</v>
      </c>
      <c r="E128" s="20" t="n">
        <v>0.9</v>
      </c>
      <c r="F128" s="9" t="n">
        <v>6.1</v>
      </c>
      <c r="G128" s="9" t="n">
        <f aca="false">G127+D128</f>
        <v>1320.3</v>
      </c>
      <c r="H128" s="9" t="n">
        <f aca="false">H127+D128</f>
        <v>158.6</v>
      </c>
      <c r="J128" s="9" t="n">
        <v>2.1</v>
      </c>
      <c r="K128" s="9" t="n">
        <f aca="false">K127+J128</f>
        <v>217.5</v>
      </c>
      <c r="L128" s="9" t="n">
        <v>0.2</v>
      </c>
      <c r="M128" s="9" t="n">
        <f aca="false">M127+L128</f>
        <v>154.6</v>
      </c>
      <c r="N128" s="9" t="n">
        <f aca="false">J128-L128</f>
        <v>1.9</v>
      </c>
      <c r="O128" s="9" t="n">
        <f aca="false">O127+N128</f>
        <v>133.1</v>
      </c>
      <c r="P128" s="9" t="n">
        <v>123</v>
      </c>
      <c r="Q128" s="9" t="n">
        <v>1</v>
      </c>
      <c r="R128" s="15" t="n">
        <f aca="false">Q128*L128</f>
        <v>0.2</v>
      </c>
      <c r="S128" s="15" t="n">
        <f aca="false">J128-R128</f>
        <v>1.9</v>
      </c>
      <c r="T128" s="15" t="n">
        <f aca="false">MIN(197.4,(T127+S128))</f>
        <v>147.115925925926</v>
      </c>
      <c r="V128" s="19" t="n">
        <v>190.7</v>
      </c>
      <c r="W128" s="9" t="n">
        <f aca="false">V128/D128</f>
        <v>46.5121951219512</v>
      </c>
      <c r="X128" s="9" t="n">
        <f aca="false">X127+V128</f>
        <v>79992.7</v>
      </c>
      <c r="Y128" s="9" t="n">
        <f aca="false">Y127+V128</f>
        <v>7597.9</v>
      </c>
      <c r="AA128" s="9" t="n">
        <v>8.36721824964375</v>
      </c>
    </row>
    <row r="129" s="9" customFormat="true" ht="15" hidden="false" customHeight="false" outlineLevel="0" collapsed="false">
      <c r="A129" s="29"/>
      <c r="B129" s="11"/>
      <c r="C129" s="12" t="n">
        <v>42007</v>
      </c>
      <c r="D129" s="9" t="n">
        <v>7.7</v>
      </c>
      <c r="E129" s="20" t="n">
        <v>1.7</v>
      </c>
      <c r="F129" s="9" t="n">
        <v>12.2</v>
      </c>
      <c r="G129" s="9" t="n">
        <f aca="false">G128+D129</f>
        <v>1328</v>
      </c>
      <c r="H129" s="9" t="n">
        <f aca="false">H128+D129</f>
        <v>166.3</v>
      </c>
      <c r="J129" s="9" t="n">
        <v>5.6</v>
      </c>
      <c r="K129" s="9" t="n">
        <f aca="false">K128+J129</f>
        <v>223.1</v>
      </c>
      <c r="L129" s="9" t="n">
        <v>0.1</v>
      </c>
      <c r="M129" s="9" t="n">
        <f aca="false">M128+L129</f>
        <v>154.7</v>
      </c>
      <c r="N129" s="9" t="n">
        <f aca="false">J129-L129</f>
        <v>5.5</v>
      </c>
      <c r="O129" s="9" t="n">
        <f aca="false">O128+N129</f>
        <v>138.6</v>
      </c>
      <c r="P129" s="9" t="n">
        <v>124</v>
      </c>
      <c r="Q129" s="9" t="n">
        <v>1</v>
      </c>
      <c r="R129" s="15" t="n">
        <f aca="false">Q129*L129</f>
        <v>0.1</v>
      </c>
      <c r="S129" s="15" t="n">
        <f aca="false">J129-R129</f>
        <v>5.5</v>
      </c>
      <c r="T129" s="15" t="n">
        <f aca="false">MIN(197.4,(T128+S129))</f>
        <v>152.615925925926</v>
      </c>
      <c r="V129" s="19" t="n">
        <v>106.7</v>
      </c>
      <c r="W129" s="9" t="n">
        <f aca="false">V129/D129</f>
        <v>13.8571428571429</v>
      </c>
      <c r="X129" s="9" t="n">
        <f aca="false">X128+V129</f>
        <v>80099.4</v>
      </c>
      <c r="Y129" s="9" t="n">
        <f aca="false">Y128+V129</f>
        <v>7704.6</v>
      </c>
      <c r="AA129" s="9" t="n">
        <v>8.38474372905813</v>
      </c>
    </row>
    <row r="130" s="9" customFormat="true" ht="15" hidden="false" customHeight="false" outlineLevel="0" collapsed="false">
      <c r="A130" s="29"/>
      <c r="B130" s="30"/>
      <c r="C130" s="12" t="n">
        <v>42008</v>
      </c>
      <c r="D130" s="20" t="n">
        <v>3.3</v>
      </c>
      <c r="E130" s="20" t="n">
        <v>0.7</v>
      </c>
      <c r="F130" s="9" t="n">
        <v>5.9</v>
      </c>
      <c r="G130" s="9" t="n">
        <f aca="false">G129+D130</f>
        <v>1331.3</v>
      </c>
      <c r="H130" s="9" t="n">
        <f aca="false">H129+D130</f>
        <v>169.6</v>
      </c>
      <c r="J130" s="9" t="n">
        <v>0</v>
      </c>
      <c r="K130" s="9" t="n">
        <f aca="false">K129+J130</f>
        <v>223.1</v>
      </c>
      <c r="L130" s="9" t="n">
        <v>0.2</v>
      </c>
      <c r="M130" s="9" t="n">
        <f aca="false">M129+L130</f>
        <v>154.9</v>
      </c>
      <c r="N130" s="14" t="n">
        <f aca="false">J130-L130</f>
        <v>-0.2</v>
      </c>
      <c r="O130" s="9" t="n">
        <f aca="false">O129+N130</f>
        <v>138.4</v>
      </c>
      <c r="P130" s="9" t="n">
        <v>125</v>
      </c>
      <c r="Q130" s="9" t="n">
        <v>1</v>
      </c>
      <c r="R130" s="15" t="n">
        <f aca="false">Q130*L130</f>
        <v>0.2</v>
      </c>
      <c r="S130" s="15" t="n">
        <f aca="false">J130-R130</f>
        <v>-0.2</v>
      </c>
      <c r="T130" s="15" t="n">
        <f aca="false">MIN(197.4,(T129+S130))</f>
        <v>152.415925925926</v>
      </c>
      <c r="V130" s="19" t="n">
        <v>175.3</v>
      </c>
      <c r="W130" s="9" t="n">
        <f aca="false">V130/D130</f>
        <v>53.1212121212121</v>
      </c>
      <c r="X130" s="9" t="n">
        <f aca="false">X129+V130</f>
        <v>80274.7</v>
      </c>
      <c r="Y130" s="9" t="n">
        <f aca="false">Y129+V130</f>
        <v>7879.9</v>
      </c>
      <c r="AA130" s="9" t="n">
        <v>8.403733164633</v>
      </c>
    </row>
    <row r="131" s="9" customFormat="true" ht="15" hidden="false" customHeight="false" outlineLevel="0" collapsed="false">
      <c r="A131" s="29"/>
      <c r="B131" s="30"/>
      <c r="C131" s="12" t="n">
        <v>42009</v>
      </c>
      <c r="D131" s="32" t="n">
        <v>-0.6</v>
      </c>
      <c r="E131" s="32" t="n">
        <v>-2</v>
      </c>
      <c r="F131" s="20" t="n">
        <v>1.5</v>
      </c>
      <c r="G131" s="9" t="n">
        <v>1331.3</v>
      </c>
      <c r="H131" s="9" t="n">
        <v>169.6</v>
      </c>
      <c r="J131" s="9" t="n">
        <v>0.1</v>
      </c>
      <c r="K131" s="9" t="n">
        <f aca="false">K130+J131</f>
        <v>223.2</v>
      </c>
      <c r="L131" s="9" t="n">
        <v>0.2</v>
      </c>
      <c r="M131" s="9" t="n">
        <f aca="false">M130+L131</f>
        <v>155.1</v>
      </c>
      <c r="N131" s="14" t="n">
        <f aca="false">J131-L131</f>
        <v>-0.1</v>
      </c>
      <c r="O131" s="9" t="n">
        <f aca="false">O130+N131</f>
        <v>138.3</v>
      </c>
      <c r="P131" s="9" t="n">
        <v>126</v>
      </c>
      <c r="Q131" s="9" t="n">
        <v>1</v>
      </c>
      <c r="R131" s="15" t="n">
        <f aca="false">Q131*L131</f>
        <v>0.2</v>
      </c>
      <c r="S131" s="15" t="n">
        <f aca="false">J131-R131</f>
        <v>-0.1</v>
      </c>
      <c r="T131" s="15" t="n">
        <f aca="false">MIN(197.4,(T130+S131))</f>
        <v>152.315925925926</v>
      </c>
      <c r="V131" s="19" t="n">
        <v>143.8</v>
      </c>
      <c r="W131" s="9" t="n">
        <f aca="false">V131/D131</f>
        <v>-239.666666666667</v>
      </c>
      <c r="X131" s="9" t="n">
        <f aca="false">X130+V131</f>
        <v>80418.5</v>
      </c>
      <c r="Y131" s="9" t="n">
        <f aca="false">Y130+V131</f>
        <v>8023.7</v>
      </c>
      <c r="AA131" s="9" t="n">
        <v>8.42416576941892</v>
      </c>
    </row>
    <row r="132" s="9" customFormat="true" ht="15" hidden="false" customHeight="false" outlineLevel="0" collapsed="false">
      <c r="A132" s="29"/>
      <c r="B132" s="30"/>
      <c r="C132" s="12" t="n">
        <v>42010</v>
      </c>
      <c r="D132" s="20" t="n">
        <v>0.6</v>
      </c>
      <c r="E132" s="32" t="n">
        <v>-1.9</v>
      </c>
      <c r="F132" s="20" t="n">
        <v>4.2</v>
      </c>
      <c r="G132" s="9" t="n">
        <f aca="false">G131+D132</f>
        <v>1331.9</v>
      </c>
      <c r="H132" s="9" t="n">
        <f aca="false">H131+D132</f>
        <v>170.2</v>
      </c>
      <c r="J132" s="9" t="n">
        <v>0</v>
      </c>
      <c r="K132" s="9" t="n">
        <f aca="false">K131+J132</f>
        <v>223.2</v>
      </c>
      <c r="L132" s="9" t="n">
        <v>0.3</v>
      </c>
      <c r="M132" s="9" t="n">
        <f aca="false">M131+L132</f>
        <v>155.4</v>
      </c>
      <c r="N132" s="14" t="n">
        <f aca="false">J132-L132</f>
        <v>-0.3</v>
      </c>
      <c r="O132" s="9" t="n">
        <f aca="false">O131+N132</f>
        <v>138</v>
      </c>
      <c r="P132" s="9" t="n">
        <v>127</v>
      </c>
      <c r="Q132" s="9" t="n">
        <v>1</v>
      </c>
      <c r="R132" s="15" t="n">
        <f aca="false">Q132*L132</f>
        <v>0.3</v>
      </c>
      <c r="S132" s="15" t="n">
        <f aca="false">J132-R132</f>
        <v>-0.3</v>
      </c>
      <c r="T132" s="15" t="n">
        <f aca="false">MIN(197.4,(T131+S132))</f>
        <v>152.015925925926</v>
      </c>
      <c r="V132" s="19" t="n">
        <v>251</v>
      </c>
      <c r="W132" s="9" t="n">
        <f aca="false">V132/D132</f>
        <v>418.333333333333</v>
      </c>
      <c r="X132" s="9" t="n">
        <f aca="false">X131+V132</f>
        <v>80669.5</v>
      </c>
      <c r="Y132" s="9" t="n">
        <f aca="false">Y131+V132</f>
        <v>8274.7</v>
      </c>
      <c r="AA132" s="9" t="n">
        <v>8.44601942767804</v>
      </c>
    </row>
    <row r="133" s="9" customFormat="true" ht="15" hidden="false" customHeight="false" outlineLevel="0" collapsed="false">
      <c r="A133" s="29"/>
      <c r="B133" s="30"/>
      <c r="C133" s="12" t="n">
        <v>42011</v>
      </c>
      <c r="D133" s="20" t="n">
        <v>4.1</v>
      </c>
      <c r="E133" s="20" t="n">
        <v>2.6</v>
      </c>
      <c r="F133" s="9" t="n">
        <v>8.3</v>
      </c>
      <c r="G133" s="9" t="n">
        <f aca="false">G132+D133</f>
        <v>1336</v>
      </c>
      <c r="H133" s="9" t="n">
        <f aca="false">H132+D133</f>
        <v>174.3</v>
      </c>
      <c r="J133" s="9" t="n">
        <v>0</v>
      </c>
      <c r="K133" s="9" t="n">
        <f aca="false">K132+J133</f>
        <v>223.2</v>
      </c>
      <c r="L133" s="9" t="n">
        <v>0.5</v>
      </c>
      <c r="M133" s="9" t="n">
        <f aca="false">M132+L133</f>
        <v>155.9</v>
      </c>
      <c r="N133" s="14" t="n">
        <f aca="false">J133-L133</f>
        <v>-0.5</v>
      </c>
      <c r="O133" s="9" t="n">
        <f aca="false">O132+N133</f>
        <v>137.5</v>
      </c>
      <c r="P133" s="9" t="n">
        <v>128</v>
      </c>
      <c r="Q133" s="9" t="n">
        <v>1</v>
      </c>
      <c r="R133" s="15" t="n">
        <f aca="false">Q133*L133</f>
        <v>0.5</v>
      </c>
      <c r="S133" s="15" t="n">
        <f aca="false">J133-R133</f>
        <v>-0.5</v>
      </c>
      <c r="T133" s="15" t="n">
        <f aca="false">MIN(197.4,(T132+S133))</f>
        <v>151.515925925926</v>
      </c>
      <c r="V133" s="19" t="n">
        <v>190.4</v>
      </c>
      <c r="W133" s="9" t="n">
        <f aca="false">V133/D133</f>
        <v>46.4390243902439</v>
      </c>
      <c r="X133" s="9" t="n">
        <f aca="false">X132+V133</f>
        <v>80859.9</v>
      </c>
      <c r="Y133" s="9" t="n">
        <f aca="false">Y132+V133</f>
        <v>8465.1</v>
      </c>
      <c r="AA133" s="9" t="n">
        <v>8.46927078047342</v>
      </c>
    </row>
    <row r="134" s="9" customFormat="true" ht="15" hidden="false" customHeight="false" outlineLevel="0" collapsed="false">
      <c r="A134" s="29"/>
      <c r="B134" s="11"/>
      <c r="C134" s="12" t="n">
        <v>42012</v>
      </c>
      <c r="D134" s="9" t="n">
        <v>8</v>
      </c>
      <c r="E134" s="20" t="n">
        <v>5</v>
      </c>
      <c r="F134" s="9" t="n">
        <v>9.8</v>
      </c>
      <c r="G134" s="9" t="n">
        <f aca="false">G133+D134</f>
        <v>1344</v>
      </c>
      <c r="H134" s="9" t="n">
        <f aca="false">H133+D134</f>
        <v>182.3</v>
      </c>
      <c r="J134" s="9" t="n">
        <v>3.3</v>
      </c>
      <c r="K134" s="9" t="n">
        <f aca="false">K133+J134</f>
        <v>226.5</v>
      </c>
      <c r="L134" s="9" t="n">
        <v>0.1</v>
      </c>
      <c r="M134" s="9" t="n">
        <f aca="false">M133+L134</f>
        <v>156</v>
      </c>
      <c r="N134" s="9" t="n">
        <f aca="false">J134-L134</f>
        <v>3.2</v>
      </c>
      <c r="O134" s="9" t="n">
        <f aca="false">O133+N134</f>
        <v>140.7</v>
      </c>
      <c r="P134" s="9" t="n">
        <v>129</v>
      </c>
      <c r="Q134" s="9" t="n">
        <v>1</v>
      </c>
      <c r="R134" s="15" t="n">
        <f aca="false">Q134*L134</f>
        <v>0.1</v>
      </c>
      <c r="S134" s="15" t="n">
        <f aca="false">J134-R134</f>
        <v>3.2</v>
      </c>
      <c r="T134" s="15" t="n">
        <f aca="false">MIN(197.4,(T133+S134))</f>
        <v>154.715925925926</v>
      </c>
      <c r="V134" s="19" t="n">
        <v>94.1</v>
      </c>
      <c r="W134" s="9" t="n">
        <f aca="false">V134/D134</f>
        <v>11.7625</v>
      </c>
      <c r="X134" s="9" t="n">
        <f aca="false">X133+V134</f>
        <v>80954</v>
      </c>
      <c r="Y134" s="9" t="n">
        <f aca="false">Y133+V134</f>
        <v>8559.2</v>
      </c>
      <c r="AA134" s="9" t="n">
        <v>8.49389531409087</v>
      </c>
    </row>
    <row r="135" s="9" customFormat="true" ht="15" hidden="false" customHeight="false" outlineLevel="0" collapsed="false">
      <c r="A135" s="29"/>
      <c r="B135" s="11"/>
      <c r="C135" s="12" t="n">
        <v>42013</v>
      </c>
      <c r="D135" s="9" t="n">
        <v>10.6</v>
      </c>
      <c r="E135" s="9" t="n">
        <v>6</v>
      </c>
      <c r="F135" s="9" t="n">
        <v>13.3</v>
      </c>
      <c r="G135" s="9" t="n">
        <f aca="false">G134+D135</f>
        <v>1354.6</v>
      </c>
      <c r="H135" s="9" t="n">
        <f aca="false">H134+D135</f>
        <v>192.9</v>
      </c>
      <c r="J135" s="9" t="n">
        <v>0.9</v>
      </c>
      <c r="K135" s="9" t="n">
        <f aca="false">K134+J135</f>
        <v>227.4</v>
      </c>
      <c r="L135" s="9" t="n">
        <v>0.2</v>
      </c>
      <c r="M135" s="9" t="n">
        <f aca="false">M134+L135</f>
        <v>156.2</v>
      </c>
      <c r="N135" s="9" t="n">
        <f aca="false">J135-L135</f>
        <v>0.7</v>
      </c>
      <c r="O135" s="9" t="n">
        <f aca="false">O134+N135</f>
        <v>141.4</v>
      </c>
      <c r="P135" s="9" t="n">
        <v>130</v>
      </c>
      <c r="Q135" s="9" t="n">
        <v>1</v>
      </c>
      <c r="R135" s="15" t="n">
        <f aca="false">Q135*L135</f>
        <v>0.2</v>
      </c>
      <c r="S135" s="15" t="n">
        <f aca="false">J135-R135</f>
        <v>0.7</v>
      </c>
      <c r="T135" s="15" t="n">
        <f aca="false">MIN(197.4,(T134+S135))</f>
        <v>155.415925925926</v>
      </c>
      <c r="V135" s="19" t="n">
        <v>110.5</v>
      </c>
      <c r="W135" s="9" t="n">
        <f aca="false">V135/D135</f>
        <v>10.4245283018868</v>
      </c>
      <c r="X135" s="9" t="n">
        <f aca="false">X134+V135</f>
        <v>81064.5</v>
      </c>
      <c r="Y135" s="9" t="n">
        <f aca="false">Y134+V135</f>
        <v>8669.7</v>
      </c>
      <c r="AA135" s="9" t="n">
        <v>8.51986745064451</v>
      </c>
    </row>
    <row r="136" s="9" customFormat="true" ht="15" hidden="false" customHeight="false" outlineLevel="0" collapsed="false">
      <c r="A136" s="29"/>
      <c r="B136" s="11"/>
      <c r="C136" s="12" t="n">
        <v>42014</v>
      </c>
      <c r="D136" s="9" t="n">
        <v>11.6</v>
      </c>
      <c r="E136" s="9" t="n">
        <v>11.2</v>
      </c>
      <c r="F136" s="9" t="n">
        <v>12.6</v>
      </c>
      <c r="G136" s="9" t="n">
        <f aca="false">G135+D136</f>
        <v>1366.2</v>
      </c>
      <c r="H136" s="9" t="n">
        <f aca="false">H135+D136</f>
        <v>204.5</v>
      </c>
      <c r="J136" s="9" t="n">
        <v>4.4</v>
      </c>
      <c r="K136" s="9" t="n">
        <f aca="false">K135+J136</f>
        <v>231.8</v>
      </c>
      <c r="L136" s="9" t="n">
        <v>0.9</v>
      </c>
      <c r="M136" s="9" t="n">
        <f aca="false">M135+L136</f>
        <v>157.1</v>
      </c>
      <c r="N136" s="9" t="n">
        <f aca="false">J136-L136</f>
        <v>3.5</v>
      </c>
      <c r="O136" s="9" t="n">
        <f aca="false">O135+N136</f>
        <v>144.9</v>
      </c>
      <c r="P136" s="9" t="n">
        <v>131</v>
      </c>
      <c r="Q136" s="9" t="n">
        <v>1</v>
      </c>
      <c r="R136" s="15" t="n">
        <f aca="false">Q136*L136</f>
        <v>0.9</v>
      </c>
      <c r="S136" s="15" t="n">
        <f aca="false">J136-R136</f>
        <v>3.5</v>
      </c>
      <c r="T136" s="15" t="n">
        <f aca="false">MIN(197.4,(T135+S136))</f>
        <v>158.915925925926</v>
      </c>
      <c r="V136" s="19" t="n">
        <v>150.1</v>
      </c>
      <c r="W136" s="9" t="n">
        <f aca="false">V136/D136</f>
        <v>12.9396551724138</v>
      </c>
      <c r="X136" s="9" t="n">
        <f aca="false">X135+V136</f>
        <v>81214.6</v>
      </c>
      <c r="Y136" s="9" t="n">
        <f aca="false">Y135+V136</f>
        <v>8819.8</v>
      </c>
      <c r="AA136" s="9" t="n">
        <v>8.54716064022603</v>
      </c>
    </row>
    <row r="137" s="9" customFormat="true" ht="15" hidden="false" customHeight="false" outlineLevel="0" collapsed="false">
      <c r="A137" s="29"/>
      <c r="B137" s="11"/>
      <c r="C137" s="12" t="n">
        <v>42015</v>
      </c>
      <c r="D137" s="9" t="n">
        <v>5.7</v>
      </c>
      <c r="E137" s="20" t="n">
        <v>4</v>
      </c>
      <c r="F137" s="9" t="n">
        <v>7.6</v>
      </c>
      <c r="G137" s="9" t="n">
        <f aca="false">G136+D137</f>
        <v>1371.9</v>
      </c>
      <c r="H137" s="9" t="n">
        <f aca="false">H136+D137</f>
        <v>210.2</v>
      </c>
      <c r="J137" s="9" t="n">
        <v>0</v>
      </c>
      <c r="K137" s="9" t="n">
        <f aca="false">K136+J137</f>
        <v>231.8</v>
      </c>
      <c r="L137" s="9" t="n">
        <v>0.8</v>
      </c>
      <c r="M137" s="9" t="n">
        <f aca="false">M136+L137</f>
        <v>157.9</v>
      </c>
      <c r="N137" s="14" t="n">
        <f aca="false">J137-L137</f>
        <v>-0.8</v>
      </c>
      <c r="O137" s="9" t="n">
        <f aca="false">O136+N137</f>
        <v>144.1</v>
      </c>
      <c r="P137" s="9" t="n">
        <v>132</v>
      </c>
      <c r="Q137" s="9" t="n">
        <v>1</v>
      </c>
      <c r="R137" s="15" t="n">
        <f aca="false">Q137*L137</f>
        <v>0.8</v>
      </c>
      <c r="S137" s="15" t="n">
        <f aca="false">J137-R137</f>
        <v>-0.8</v>
      </c>
      <c r="T137" s="15" t="n">
        <f aca="false">MIN(197.4,(T136+S137))</f>
        <v>158.115925925926</v>
      </c>
      <c r="V137" s="19" t="n">
        <v>630.4</v>
      </c>
      <c r="W137" s="9" t="n">
        <f aca="false">V137/D137</f>
        <v>110.59649122807</v>
      </c>
      <c r="X137" s="9" t="n">
        <f aca="false">X136+V137</f>
        <v>81845</v>
      </c>
      <c r="Y137" s="9" t="n">
        <f aca="false">Y136+V137</f>
        <v>9450.2</v>
      </c>
      <c r="AA137" s="9" t="n">
        <v>8.57574745397272</v>
      </c>
    </row>
    <row r="138" s="9" customFormat="true" ht="15" hidden="false" customHeight="false" outlineLevel="0" collapsed="false">
      <c r="A138" s="29"/>
      <c r="B138" s="11"/>
      <c r="C138" s="12" t="n">
        <v>42016</v>
      </c>
      <c r="D138" s="9" t="n">
        <v>6.8</v>
      </c>
      <c r="E138" s="20" t="n">
        <v>4.3</v>
      </c>
      <c r="F138" s="9" t="n">
        <v>7.8</v>
      </c>
      <c r="G138" s="9" t="n">
        <f aca="false">G137+D138</f>
        <v>1378.7</v>
      </c>
      <c r="H138" s="9" t="n">
        <f aca="false">H137+D138</f>
        <v>217</v>
      </c>
      <c r="J138" s="9" t="n">
        <v>0</v>
      </c>
      <c r="K138" s="9" t="n">
        <f aca="false">K137+J138</f>
        <v>231.8</v>
      </c>
      <c r="L138" s="9" t="n">
        <v>0.7</v>
      </c>
      <c r="M138" s="9" t="n">
        <f aca="false">M137+L138</f>
        <v>158.6</v>
      </c>
      <c r="N138" s="14" t="n">
        <f aca="false">J138-L138</f>
        <v>-0.7</v>
      </c>
      <c r="O138" s="9" t="n">
        <f aca="false">O137+N138</f>
        <v>143.4</v>
      </c>
      <c r="P138" s="9" t="n">
        <v>133</v>
      </c>
      <c r="Q138" s="9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MIN(197.4,(T137+S138))</f>
        <v>157.415925925926</v>
      </c>
      <c r="V138" s="19" t="n">
        <v>103</v>
      </c>
      <c r="W138" s="9" t="n">
        <f aca="false">V138/D138</f>
        <v>15.1470588235294</v>
      </c>
      <c r="X138" s="9" t="n">
        <f aca="false">X137+V138</f>
        <v>81948</v>
      </c>
      <c r="Y138" s="9" t="n">
        <f aca="false">Y137+V138</f>
        <v>9553.2</v>
      </c>
      <c r="AA138" s="9" t="n">
        <v>8.60559967745109</v>
      </c>
    </row>
    <row r="139" s="9" customFormat="true" ht="15" hidden="false" customHeight="false" outlineLevel="0" collapsed="false">
      <c r="A139" s="29"/>
      <c r="B139" s="11"/>
      <c r="C139" s="12" t="n">
        <v>42017</v>
      </c>
      <c r="D139" s="9" t="n">
        <v>8</v>
      </c>
      <c r="E139" s="9" t="n">
        <v>5.9</v>
      </c>
      <c r="F139" s="9" t="n">
        <v>9.7</v>
      </c>
      <c r="G139" s="9" t="n">
        <f aca="false">G138+D139</f>
        <v>1386.7</v>
      </c>
      <c r="H139" s="9" t="n">
        <f aca="false">H138+D139</f>
        <v>225</v>
      </c>
      <c r="J139" s="9" t="n">
        <v>5</v>
      </c>
      <c r="K139" s="9" t="n">
        <f aca="false">K138+J139</f>
        <v>236.8</v>
      </c>
      <c r="L139" s="9" t="n">
        <v>0.9</v>
      </c>
      <c r="M139" s="9" t="n">
        <f aca="false">M138+L139</f>
        <v>159.5</v>
      </c>
      <c r="N139" s="9" t="n">
        <f aca="false">J139-L139</f>
        <v>4.1</v>
      </c>
      <c r="O139" s="9" t="n">
        <f aca="false">O138+N139</f>
        <v>147.5</v>
      </c>
      <c r="P139" s="9" t="n">
        <v>134</v>
      </c>
      <c r="Q139" s="9" t="n">
        <v>1</v>
      </c>
      <c r="R139" s="15" t="n">
        <f aca="false">Q139*L139</f>
        <v>0.9</v>
      </c>
      <c r="S139" s="15" t="n">
        <f aca="false">J139-R139</f>
        <v>4.1</v>
      </c>
      <c r="T139" s="15" t="n">
        <f aca="false">MIN(197.4,(T138+S139))</f>
        <v>161.515925925926</v>
      </c>
      <c r="V139" s="19" t="n">
        <v>177.9</v>
      </c>
      <c r="W139" s="9" t="n">
        <f aca="false">V139/D139</f>
        <v>22.2375</v>
      </c>
      <c r="X139" s="9" t="n">
        <f aca="false">X138+V139</f>
        <v>82125.9</v>
      </c>
      <c r="Y139" s="9" t="n">
        <f aca="false">Y138+V139</f>
        <v>9731.1</v>
      </c>
      <c r="AA139" s="9" t="n">
        <v>8.63668840377988</v>
      </c>
    </row>
    <row r="140" s="9" customFormat="true" ht="15" hidden="false" customHeight="false" outlineLevel="0" collapsed="false">
      <c r="A140" s="29"/>
      <c r="B140" s="11"/>
      <c r="C140" s="12" t="n">
        <v>42018</v>
      </c>
      <c r="D140" s="9" t="n">
        <v>6.9</v>
      </c>
      <c r="E140" s="9" t="n">
        <v>5.8</v>
      </c>
      <c r="F140" s="9" t="n">
        <v>9.1</v>
      </c>
      <c r="G140" s="9" t="n">
        <f aca="false">G139+D140</f>
        <v>1393.6</v>
      </c>
      <c r="H140" s="9" t="n">
        <f aca="false">H139+D140</f>
        <v>231.9</v>
      </c>
      <c r="J140" s="9" t="n">
        <v>1.8</v>
      </c>
      <c r="K140" s="9" t="n">
        <f aca="false">K139+J140</f>
        <v>238.6</v>
      </c>
      <c r="L140" s="9" t="n">
        <v>1.1</v>
      </c>
      <c r="M140" s="9" t="n">
        <f aca="false">M139+L140</f>
        <v>160.6</v>
      </c>
      <c r="N140" s="9" t="n">
        <f aca="false">J140-L140</f>
        <v>0.7</v>
      </c>
      <c r="O140" s="9" t="n">
        <f aca="false">O139+N140</f>
        <v>148.2</v>
      </c>
      <c r="P140" s="9" t="n">
        <v>135</v>
      </c>
      <c r="Q140" s="9" t="n">
        <v>1</v>
      </c>
      <c r="R140" s="15" t="n">
        <f aca="false">Q140*L140</f>
        <v>1.1</v>
      </c>
      <c r="S140" s="15" t="n">
        <f aca="false">J140-R140</f>
        <v>0.7</v>
      </c>
      <c r="T140" s="15" t="n">
        <f aca="false">MIN(197.4,(T139+S140))</f>
        <v>162.215925925926</v>
      </c>
      <c r="V140" s="19" t="n">
        <v>182</v>
      </c>
      <c r="W140" s="9" t="n">
        <f aca="false">V140/D140</f>
        <v>26.3768115942029</v>
      </c>
      <c r="X140" s="9" t="n">
        <f aca="false">X139+V140</f>
        <v>82307.9</v>
      </c>
      <c r="Y140" s="9" t="n">
        <f aca="false">Y139+V140</f>
        <v>9913.1</v>
      </c>
      <c r="AA140" s="9" t="n">
        <v>8.66898412594824</v>
      </c>
    </row>
    <row r="141" s="9" customFormat="true" ht="15" hidden="false" customHeight="false" outlineLevel="0" collapsed="false">
      <c r="A141" s="29"/>
      <c r="B141" s="11"/>
      <c r="C141" s="12" t="n">
        <v>42019</v>
      </c>
      <c r="D141" s="9" t="n">
        <v>8.7</v>
      </c>
      <c r="E141" s="9" t="n">
        <v>6.3</v>
      </c>
      <c r="F141" s="9" t="n">
        <v>10.8</v>
      </c>
      <c r="G141" s="9" t="n">
        <f aca="false">G140+D141</f>
        <v>1402.3</v>
      </c>
      <c r="H141" s="9" t="n">
        <f aca="false">H140+D141</f>
        <v>240.6</v>
      </c>
      <c r="J141" s="9" t="n">
        <v>3.2</v>
      </c>
      <c r="K141" s="9" t="n">
        <f aca="false">K140+J141</f>
        <v>241.8</v>
      </c>
      <c r="L141" s="9" t="n">
        <v>1.1</v>
      </c>
      <c r="M141" s="9" t="n">
        <f aca="false">M140+L141</f>
        <v>161.7</v>
      </c>
      <c r="N141" s="9" t="n">
        <f aca="false">J141-L141</f>
        <v>2.1</v>
      </c>
      <c r="O141" s="9" t="n">
        <f aca="false">O140+N141</f>
        <v>150.3</v>
      </c>
      <c r="P141" s="9" t="n">
        <v>136</v>
      </c>
      <c r="Q141" s="9" t="n">
        <v>1</v>
      </c>
      <c r="R141" s="15" t="n">
        <f aca="false">Q141*L141</f>
        <v>1.1</v>
      </c>
      <c r="S141" s="15" t="n">
        <f aca="false">J141-R141</f>
        <v>2.1</v>
      </c>
      <c r="T141" s="15" t="n">
        <f aca="false">MIN(197.4,(T140+S141))</f>
        <v>164.315925925926</v>
      </c>
      <c r="V141" s="19" t="n">
        <v>152.7</v>
      </c>
      <c r="W141" s="9" t="n">
        <f aca="false">V141/D141</f>
        <v>17.551724137931</v>
      </c>
      <c r="X141" s="9" t="n">
        <f aca="false">X140+V141</f>
        <v>82460.6</v>
      </c>
      <c r="Y141" s="9" t="n">
        <f aca="false">Y140+V141</f>
        <v>10065.8</v>
      </c>
      <c r="AA141" s="9" t="n">
        <v>8.7024568278207</v>
      </c>
    </row>
    <row r="142" s="9" customFormat="true" ht="15" hidden="false" customHeight="false" outlineLevel="0" collapsed="false">
      <c r="A142" s="29"/>
      <c r="B142" s="11"/>
      <c r="C142" s="12" t="n">
        <v>42020</v>
      </c>
      <c r="D142" s="9" t="n">
        <v>5.4</v>
      </c>
      <c r="E142" s="20" t="n">
        <v>4.7</v>
      </c>
      <c r="F142" s="9" t="n">
        <v>7.1</v>
      </c>
      <c r="G142" s="9" t="n">
        <f aca="false">G141+D142</f>
        <v>1407.7</v>
      </c>
      <c r="H142" s="9" t="n">
        <f aca="false">H141+D142</f>
        <v>246</v>
      </c>
      <c r="J142" s="9" t="n">
        <v>0.8</v>
      </c>
      <c r="K142" s="9" t="n">
        <f aca="false">K141+J142</f>
        <v>242.6</v>
      </c>
      <c r="L142" s="9" t="n">
        <v>0.5</v>
      </c>
      <c r="M142" s="9" t="n">
        <f aca="false">M141+L142</f>
        <v>162.2</v>
      </c>
      <c r="N142" s="9" t="n">
        <f aca="false">J142-L142</f>
        <v>0.3</v>
      </c>
      <c r="O142" s="9" t="n">
        <f aca="false">O141+N142</f>
        <v>150.6</v>
      </c>
      <c r="P142" s="9" t="n">
        <v>137</v>
      </c>
      <c r="Q142" s="9" t="n">
        <v>1</v>
      </c>
      <c r="R142" s="15" t="n">
        <f aca="false">Q142*L142</f>
        <v>0.5</v>
      </c>
      <c r="S142" s="15" t="n">
        <f aca="false">J142-R142</f>
        <v>0.3</v>
      </c>
      <c r="T142" s="15" t="n">
        <f aca="false">MIN(197.4,(T141+S142))</f>
        <v>164.615925925926</v>
      </c>
      <c r="V142" s="19" t="n">
        <v>329</v>
      </c>
      <c r="W142" s="9" t="n">
        <f aca="false">V142/D142</f>
        <v>60.9259259259259</v>
      </c>
      <c r="X142" s="9" t="n">
        <f aca="false">X141+V142</f>
        <v>82789.6</v>
      </c>
      <c r="Y142" s="9" t="n">
        <f aca="false">Y141+V142</f>
        <v>10394.8</v>
      </c>
      <c r="AA142" s="9" t="n">
        <v>8.73707607335963</v>
      </c>
    </row>
    <row r="143" s="9" customFormat="true" ht="15" hidden="false" customHeight="false" outlineLevel="0" collapsed="false">
      <c r="A143" s="29"/>
      <c r="B143" s="30"/>
      <c r="C143" s="12" t="n">
        <v>42021</v>
      </c>
      <c r="D143" s="20" t="n">
        <v>1.4</v>
      </c>
      <c r="E143" s="20" t="n">
        <v>0</v>
      </c>
      <c r="F143" s="20" t="n">
        <v>2.2</v>
      </c>
      <c r="G143" s="9" t="n">
        <f aca="false">G142+D143</f>
        <v>1409.1</v>
      </c>
      <c r="H143" s="9" t="n">
        <f aca="false">H142+D143</f>
        <v>247.4</v>
      </c>
      <c r="J143" s="9" t="n">
        <v>0</v>
      </c>
      <c r="K143" s="9" t="n">
        <f aca="false">K142+J143</f>
        <v>242.6</v>
      </c>
      <c r="L143" s="9" t="n">
        <v>0.3</v>
      </c>
      <c r="M143" s="9" t="n">
        <f aca="false">M142+L143</f>
        <v>162.5</v>
      </c>
      <c r="N143" s="14" t="n">
        <f aca="false">J143-L143</f>
        <v>-0.3</v>
      </c>
      <c r="O143" s="9" t="n">
        <f aca="false">O142+N143</f>
        <v>150.3</v>
      </c>
      <c r="P143" s="9" t="n">
        <v>138</v>
      </c>
      <c r="Q143" s="9" t="n">
        <v>1</v>
      </c>
      <c r="R143" s="15" t="n">
        <f aca="false">Q143*L143</f>
        <v>0.3</v>
      </c>
      <c r="S143" s="15" t="n">
        <f aca="false">J143-R143</f>
        <v>-0.3</v>
      </c>
      <c r="T143" s="15" t="n">
        <f aca="false">MIN(197.4,(T142+S143))</f>
        <v>164.315925925926</v>
      </c>
      <c r="V143" s="19" t="n">
        <v>330.9</v>
      </c>
      <c r="W143" s="9" t="n">
        <f aca="false">V143/D143</f>
        <v>236.357142857143</v>
      </c>
      <c r="X143" s="9" t="n">
        <f aca="false">X142+V143</f>
        <v>83120.5</v>
      </c>
      <c r="Y143" s="9" t="n">
        <f aca="false">Y142+V143</f>
        <v>10725.7</v>
      </c>
      <c r="AA143" s="9" t="n">
        <v>8.77281109363745</v>
      </c>
    </row>
    <row r="144" s="9" customFormat="true" ht="15" hidden="false" customHeight="false" outlineLevel="0" collapsed="false">
      <c r="A144" s="29"/>
      <c r="B144" s="30"/>
      <c r="C144" s="12" t="n">
        <v>42022</v>
      </c>
      <c r="D144" s="20" t="n">
        <v>1.9</v>
      </c>
      <c r="E144" s="20" t="n">
        <v>0.3</v>
      </c>
      <c r="F144" s="20" t="n">
        <v>4.9</v>
      </c>
      <c r="G144" s="9" t="n">
        <f aca="false">G143+D144</f>
        <v>1411</v>
      </c>
      <c r="H144" s="9" t="n">
        <f aca="false">H143+D144</f>
        <v>249.3</v>
      </c>
      <c r="J144" s="9" t="n">
        <v>0</v>
      </c>
      <c r="K144" s="9" t="n">
        <f aca="false">K143+J144</f>
        <v>242.6</v>
      </c>
      <c r="L144" s="9" t="n">
        <v>0.6</v>
      </c>
      <c r="M144" s="9" t="n">
        <f aca="false">M143+L144</f>
        <v>163.1</v>
      </c>
      <c r="N144" s="14" t="n">
        <f aca="false">J144-L144</f>
        <v>-0.6</v>
      </c>
      <c r="O144" s="9" t="n">
        <f aca="false">O143+N144</f>
        <v>149.7</v>
      </c>
      <c r="P144" s="9" t="n">
        <v>139</v>
      </c>
      <c r="Q144" s="9" t="n">
        <v>1</v>
      </c>
      <c r="R144" s="15" t="n">
        <f aca="false">Q144*L144</f>
        <v>0.6</v>
      </c>
      <c r="S144" s="15" t="n">
        <f aca="false">J144-R144</f>
        <v>-0.6</v>
      </c>
      <c r="T144" s="15" t="n">
        <f aca="false">MIN(197.4,(T143+S144))</f>
        <v>163.715925925926</v>
      </c>
      <c r="V144" s="19" t="n">
        <v>482</v>
      </c>
      <c r="W144" s="9" t="n">
        <f aca="false">V144/D144</f>
        <v>253.684210526316</v>
      </c>
      <c r="X144" s="9" t="n">
        <f aca="false">X143+V144</f>
        <v>83602.5</v>
      </c>
      <c r="Y144" s="9" t="n">
        <f aca="false">Y143+V144</f>
        <v>11207.7</v>
      </c>
      <c r="AA144" s="9" t="n">
        <v>8.80963087125398</v>
      </c>
    </row>
    <row r="145" s="9" customFormat="true" ht="15" hidden="false" customHeight="false" outlineLevel="0" collapsed="false">
      <c r="A145" s="29"/>
      <c r="B145" s="30"/>
      <c r="C145" s="12" t="n">
        <v>42023</v>
      </c>
      <c r="D145" s="20" t="n">
        <v>0.1</v>
      </c>
      <c r="E145" s="32" t="n">
        <v>-2.1</v>
      </c>
      <c r="F145" s="20" t="n">
        <v>1.6</v>
      </c>
      <c r="G145" s="9" t="n">
        <f aca="false">G144+D145</f>
        <v>1411.1</v>
      </c>
      <c r="H145" s="9" t="n">
        <f aca="false">H144+D145</f>
        <v>249.4</v>
      </c>
      <c r="J145" s="9" t="n">
        <v>1</v>
      </c>
      <c r="K145" s="9" t="n">
        <f aca="false">K144+J145</f>
        <v>243.6</v>
      </c>
      <c r="L145" s="9" t="n">
        <v>0.2</v>
      </c>
      <c r="M145" s="9" t="n">
        <f aca="false">M144+L145</f>
        <v>163.3</v>
      </c>
      <c r="N145" s="9" t="n">
        <f aca="false">J145-L145</f>
        <v>0.8</v>
      </c>
      <c r="O145" s="9" t="n">
        <f aca="false">O144+N145</f>
        <v>150.5</v>
      </c>
      <c r="P145" s="9" t="n">
        <v>140</v>
      </c>
      <c r="Q145" s="9" t="n">
        <v>1</v>
      </c>
      <c r="R145" s="15" t="n">
        <f aca="false">Q145*L145</f>
        <v>0.2</v>
      </c>
      <c r="S145" s="15" t="n">
        <f aca="false">J145-R145</f>
        <v>0.8</v>
      </c>
      <c r="T145" s="15" t="n">
        <f aca="false">MIN(197.4,(T144+S145))</f>
        <v>164.515925925926</v>
      </c>
      <c r="V145" s="19" t="n">
        <v>144.9</v>
      </c>
      <c r="W145" s="9" t="n">
        <f aca="false">V145/D145</f>
        <v>1449</v>
      </c>
      <c r="X145" s="9" t="n">
        <f aca="false">X144+V145</f>
        <v>83747.4</v>
      </c>
      <c r="Y145" s="9" t="n">
        <f aca="false">Y144+V145</f>
        <v>11352.6</v>
      </c>
      <c r="AA145" s="9" t="n">
        <v>8.8475042218184</v>
      </c>
    </row>
    <row r="146" s="9" customFormat="true" ht="15" hidden="false" customHeight="false" outlineLevel="0" collapsed="false">
      <c r="A146" s="29"/>
      <c r="B146" s="30"/>
      <c r="C146" s="12" t="n">
        <v>42024</v>
      </c>
      <c r="D146" s="32" t="n">
        <v>-1.5</v>
      </c>
      <c r="E146" s="32" t="n">
        <v>-2</v>
      </c>
      <c r="F146" s="32" t="n">
        <v>-0.3</v>
      </c>
      <c r="G146" s="9" t="n">
        <v>1411.1</v>
      </c>
      <c r="H146" s="9" t="n">
        <v>249.4</v>
      </c>
      <c r="J146" s="9" t="n">
        <v>0</v>
      </c>
      <c r="K146" s="9" t="n">
        <f aca="false">K145+J146</f>
        <v>243.6</v>
      </c>
      <c r="L146" s="9" t="n">
        <v>0.3</v>
      </c>
      <c r="M146" s="9" t="n">
        <f aca="false">M145+L146</f>
        <v>163.6</v>
      </c>
      <c r="N146" s="14" t="n">
        <f aca="false">J146-L146</f>
        <v>-0.3</v>
      </c>
      <c r="O146" s="9" t="n">
        <f aca="false">O145+N146</f>
        <v>150.2</v>
      </c>
      <c r="P146" s="9" t="n">
        <v>141</v>
      </c>
      <c r="Q146" s="9" t="n">
        <v>1</v>
      </c>
      <c r="R146" s="15" t="n">
        <f aca="false">Q146*L146</f>
        <v>0.3</v>
      </c>
      <c r="S146" s="15" t="n">
        <f aca="false">J146-R146</f>
        <v>-0.3</v>
      </c>
      <c r="T146" s="15" t="n">
        <f aca="false">MIN(197.4,(T145+S146))</f>
        <v>164.215925925926</v>
      </c>
      <c r="V146" s="19" t="n">
        <v>291.3</v>
      </c>
      <c r="W146" s="9" t="n">
        <f aca="false">V146/D146</f>
        <v>-194.2</v>
      </c>
      <c r="X146" s="9" t="n">
        <f aca="false">X145+V146</f>
        <v>84038.7</v>
      </c>
      <c r="Y146" s="9" t="n">
        <f aca="false">Y145+V146</f>
        <v>11643.9</v>
      </c>
      <c r="AA146" s="9" t="n">
        <v>8.88639987219997</v>
      </c>
    </row>
    <row r="147" s="9" customFormat="true" ht="15" hidden="false" customHeight="false" outlineLevel="0" collapsed="false">
      <c r="A147" s="29"/>
      <c r="B147" s="30"/>
      <c r="C147" s="12" t="n">
        <v>42025</v>
      </c>
      <c r="D147" s="20" t="n">
        <v>0.6</v>
      </c>
      <c r="E147" s="32" t="n">
        <v>-1.9</v>
      </c>
      <c r="F147" s="20" t="n">
        <v>3</v>
      </c>
      <c r="G147" s="9" t="n">
        <f aca="false">G146+D147</f>
        <v>1411.7</v>
      </c>
      <c r="H147" s="9" t="n">
        <f aca="false">H146+D147</f>
        <v>250</v>
      </c>
      <c r="J147" s="9" t="n">
        <v>0</v>
      </c>
      <c r="K147" s="9" t="n">
        <f aca="false">K146+J147</f>
        <v>243.6</v>
      </c>
      <c r="L147" s="9" t="n">
        <v>0.6</v>
      </c>
      <c r="M147" s="9" t="n">
        <f aca="false">M146+L147</f>
        <v>164.2</v>
      </c>
      <c r="N147" s="14" t="n">
        <f aca="false">J147-L147</f>
        <v>-0.6</v>
      </c>
      <c r="O147" s="9" t="n">
        <f aca="false">O146+N147</f>
        <v>149.6</v>
      </c>
      <c r="P147" s="9" t="n">
        <v>142</v>
      </c>
      <c r="Q147" s="9" t="n">
        <v>1</v>
      </c>
      <c r="R147" s="15" t="n">
        <f aca="false">Q147*L147</f>
        <v>0.6</v>
      </c>
      <c r="S147" s="15" t="n">
        <f aca="false">J147-R147</f>
        <v>-0.6</v>
      </c>
      <c r="T147" s="15" t="n">
        <f aca="false">MIN(197.4,(T146+S147))</f>
        <v>163.615925925926</v>
      </c>
      <c r="V147" s="19" t="n">
        <v>567.8</v>
      </c>
      <c r="W147" s="9" t="n">
        <f aca="false">V147/D147</f>
        <v>946.333333333333</v>
      </c>
      <c r="X147" s="9" t="n">
        <f aca="false">X146+V147</f>
        <v>84606.5</v>
      </c>
      <c r="Y147" s="9" t="n">
        <f aca="false">Y146+V147</f>
        <v>12211.7</v>
      </c>
      <c r="AA147" s="9" t="n">
        <v>8.92628653529531</v>
      </c>
    </row>
    <row r="148" s="9" customFormat="true" ht="15" hidden="false" customHeight="false" outlineLevel="0" collapsed="false">
      <c r="A148" s="29"/>
      <c r="B148" s="30"/>
      <c r="C148" s="12" t="n">
        <v>42026</v>
      </c>
      <c r="D148" s="20" t="n">
        <v>0</v>
      </c>
      <c r="E148" s="32" t="n">
        <v>-1.3</v>
      </c>
      <c r="F148" s="20" t="n">
        <v>1.3</v>
      </c>
      <c r="G148" s="9" t="n">
        <f aca="false">G147+D148</f>
        <v>1411.7</v>
      </c>
      <c r="H148" s="9" t="n">
        <f aca="false">H147+D148</f>
        <v>250</v>
      </c>
      <c r="J148" s="9" t="n">
        <v>0</v>
      </c>
      <c r="K148" s="9" t="n">
        <f aca="false">K147+J148</f>
        <v>243.6</v>
      </c>
      <c r="L148" s="9" t="n">
        <v>0.4</v>
      </c>
      <c r="M148" s="9" t="n">
        <f aca="false">M147+L148</f>
        <v>164.6</v>
      </c>
      <c r="N148" s="14" t="n">
        <f aca="false">J148-L148</f>
        <v>-0.4</v>
      </c>
      <c r="O148" s="9" t="n">
        <f aca="false">O147+N148</f>
        <v>149.2</v>
      </c>
      <c r="P148" s="9" t="n">
        <v>143</v>
      </c>
      <c r="Q148" s="9" t="n">
        <v>1</v>
      </c>
      <c r="R148" s="15" t="n">
        <f aca="false">Q148*L148</f>
        <v>0.4</v>
      </c>
      <c r="S148" s="15" t="n">
        <f aca="false">J148-R148</f>
        <v>-0.4</v>
      </c>
      <c r="T148" s="15" t="n">
        <f aca="false">MIN(197.4,(T147+S148))</f>
        <v>163.215925925926</v>
      </c>
      <c r="V148" s="19" t="n">
        <v>240.5</v>
      </c>
      <c r="W148" s="9" t="e">
        <f aca="false">V148/D148</f>
        <v>#DIV/0!</v>
      </c>
      <c r="X148" s="9" t="n">
        <f aca="false">X147+V148</f>
        <v>84847</v>
      </c>
      <c r="Y148" s="9" t="n">
        <f aca="false">Y147+V148</f>
        <v>12452.2</v>
      </c>
      <c r="AA148" s="9" t="n">
        <v>8.96713298110362</v>
      </c>
    </row>
    <row r="149" s="9" customFormat="true" ht="15" hidden="false" customHeight="false" outlineLevel="0" collapsed="false">
      <c r="A149" s="29"/>
      <c r="B149" s="11"/>
      <c r="C149" s="12" t="n">
        <v>42027</v>
      </c>
      <c r="D149" s="32" t="n">
        <v>-0.1</v>
      </c>
      <c r="E149" s="32" t="n">
        <v>-0.7</v>
      </c>
      <c r="F149" s="20" t="n">
        <v>1.5</v>
      </c>
      <c r="G149" s="9" t="n">
        <v>1411.7</v>
      </c>
      <c r="H149" s="9" t="n">
        <v>250</v>
      </c>
      <c r="J149" s="9" t="n">
        <v>0.3</v>
      </c>
      <c r="K149" s="9" t="n">
        <f aca="false">K148+J149</f>
        <v>243.9</v>
      </c>
      <c r="L149" s="9" t="n">
        <v>0.7</v>
      </c>
      <c r="M149" s="9" t="n">
        <f aca="false">M148+L149</f>
        <v>165.3</v>
      </c>
      <c r="N149" s="14" t="n">
        <f aca="false">J149-L149</f>
        <v>-0.4</v>
      </c>
      <c r="O149" s="9" t="n">
        <f aca="false">O148+N149</f>
        <v>148.8</v>
      </c>
      <c r="P149" s="9" t="n">
        <v>144</v>
      </c>
      <c r="Q149" s="9" t="n">
        <v>1</v>
      </c>
      <c r="R149" s="15" t="n">
        <f aca="false">Q149*L149</f>
        <v>0.7</v>
      </c>
      <c r="S149" s="15" t="n">
        <f aca="false">J149-R149</f>
        <v>-0.4</v>
      </c>
      <c r="T149" s="15" t="n">
        <f aca="false">MIN(197.4,(T148+S149))</f>
        <v>162.815925925926</v>
      </c>
      <c r="V149" s="19" t="n">
        <v>644.7</v>
      </c>
      <c r="W149" s="9" t="n">
        <f aca="false">V149/D149</f>
        <v>-6447</v>
      </c>
      <c r="X149" s="9" t="n">
        <f aca="false">X148+V149</f>
        <v>85491.7</v>
      </c>
      <c r="Y149" s="9" t="n">
        <f aca="false">Y148+V149</f>
        <v>13096.9</v>
      </c>
      <c r="AA149" s="9" t="n">
        <v>9.00890810394285</v>
      </c>
    </row>
    <row r="150" s="9" customFormat="true" ht="15" hidden="false" customHeight="false" outlineLevel="0" collapsed="false">
      <c r="A150" s="29"/>
      <c r="B150" s="11"/>
      <c r="C150" s="12" t="n">
        <v>42028</v>
      </c>
      <c r="D150" s="20" t="n">
        <v>1.4</v>
      </c>
      <c r="E150" s="32" t="n">
        <v>-1.5</v>
      </c>
      <c r="F150" s="9" t="n">
        <v>5.1</v>
      </c>
      <c r="G150" s="9" t="n">
        <f aca="false">G149+D150</f>
        <v>1413.1</v>
      </c>
      <c r="H150" s="9" t="n">
        <f aca="false">H149+D150</f>
        <v>251.4</v>
      </c>
      <c r="J150" s="9" t="n">
        <v>1.5</v>
      </c>
      <c r="K150" s="9" t="n">
        <f aca="false">K149+J150</f>
        <v>245.4</v>
      </c>
      <c r="L150" s="9" t="n">
        <v>0.7</v>
      </c>
      <c r="M150" s="9" t="n">
        <f aca="false">M149+L150</f>
        <v>166</v>
      </c>
      <c r="N150" s="9" t="n">
        <f aca="false">J150-L150</f>
        <v>0.8</v>
      </c>
      <c r="O150" s="9" t="n">
        <f aca="false">O149+N150</f>
        <v>149.6</v>
      </c>
      <c r="P150" s="9" t="n">
        <v>145</v>
      </c>
      <c r="Q150" s="9" t="n">
        <v>1</v>
      </c>
      <c r="R150" s="15" t="n">
        <f aca="false">Q150*L150</f>
        <v>0.7</v>
      </c>
      <c r="S150" s="15" t="n">
        <f aca="false">J150-R150</f>
        <v>0.8</v>
      </c>
      <c r="T150" s="15" t="n">
        <f aca="false">MIN(197.4,(T149+S150))</f>
        <v>163.615925925926</v>
      </c>
      <c r="V150" s="19" t="n">
        <v>571.4</v>
      </c>
      <c r="W150" s="9" t="n">
        <f aca="false">V150/D150</f>
        <v>408.142857142857</v>
      </c>
      <c r="X150" s="9" t="n">
        <f aca="false">X149+V150</f>
        <v>86063.1</v>
      </c>
      <c r="Y150" s="9" t="n">
        <f aca="false">Y149+V150</f>
        <v>13668.3</v>
      </c>
      <c r="AA150" s="9" t="n">
        <v>9.05158098567992</v>
      </c>
    </row>
    <row r="151" s="9" customFormat="true" ht="15" hidden="false" customHeight="false" outlineLevel="0" collapsed="false">
      <c r="A151" s="29"/>
      <c r="B151" s="11"/>
      <c r="C151" s="12" t="n">
        <v>42029</v>
      </c>
      <c r="D151" s="20" t="n">
        <v>2.1</v>
      </c>
      <c r="E151" s="32" t="n">
        <v>-1.5</v>
      </c>
      <c r="F151" s="20" t="n">
        <v>4.3</v>
      </c>
      <c r="G151" s="9" t="n">
        <f aca="false">G150+D151</f>
        <v>1415.2</v>
      </c>
      <c r="H151" s="9" t="n">
        <f aca="false">H150+D151</f>
        <v>253.5</v>
      </c>
      <c r="J151" s="9" t="n">
        <v>0.5</v>
      </c>
      <c r="K151" s="9" t="n">
        <f aca="false">K150+J151</f>
        <v>245.9</v>
      </c>
      <c r="L151" s="9" t="n">
        <v>0.3</v>
      </c>
      <c r="M151" s="9" t="n">
        <f aca="false">M150+L151</f>
        <v>166.3</v>
      </c>
      <c r="N151" s="9" t="n">
        <f aca="false">J151-L151</f>
        <v>0.2</v>
      </c>
      <c r="O151" s="9" t="n">
        <f aca="false">O150+N151</f>
        <v>149.8</v>
      </c>
      <c r="P151" s="9" t="n">
        <v>146</v>
      </c>
      <c r="Q151" s="9" t="n">
        <v>1</v>
      </c>
      <c r="R151" s="15" t="n">
        <f aca="false">Q151*L151</f>
        <v>0.3</v>
      </c>
      <c r="S151" s="15" t="n">
        <f aca="false">J151-R151</f>
        <v>0.2</v>
      </c>
      <c r="T151" s="15" t="n">
        <f aca="false">MIN(197.4,(T150+S151))</f>
        <v>163.815925925926</v>
      </c>
      <c r="V151" s="19" t="n">
        <v>221.1</v>
      </c>
      <c r="W151" s="9" t="n">
        <f aca="false">V151/D151</f>
        <v>105.285714285714</v>
      </c>
      <c r="X151" s="9" t="n">
        <f aca="false">X150+V151</f>
        <v>86284.2</v>
      </c>
      <c r="Y151" s="9" t="n">
        <f aca="false">Y150+V151</f>
        <v>13889.4</v>
      </c>
      <c r="AA151" s="9" t="n">
        <v>9.09512095488606</v>
      </c>
    </row>
    <row r="152" s="9" customFormat="true" ht="15" hidden="false" customHeight="false" outlineLevel="0" collapsed="false">
      <c r="A152" s="29"/>
      <c r="B152" s="11"/>
      <c r="C152" s="12" t="n">
        <v>42030</v>
      </c>
      <c r="D152" s="9" t="n">
        <v>5.3</v>
      </c>
      <c r="E152" s="20" t="n">
        <v>3.3</v>
      </c>
      <c r="F152" s="9" t="n">
        <v>7.6</v>
      </c>
      <c r="G152" s="9" t="n">
        <f aca="false">G151+D152</f>
        <v>1420.5</v>
      </c>
      <c r="H152" s="9" t="n">
        <f aca="false">H151+D152</f>
        <v>258.8</v>
      </c>
      <c r="J152" s="9" t="n">
        <v>2.4</v>
      </c>
      <c r="K152" s="9" t="n">
        <f aca="false">K151+J152</f>
        <v>248.3</v>
      </c>
      <c r="L152" s="9" t="n">
        <v>0.3</v>
      </c>
      <c r="M152" s="9" t="n">
        <f aca="false">M151+L152</f>
        <v>166.6</v>
      </c>
      <c r="N152" s="9" t="n">
        <f aca="false">J152-L152</f>
        <v>2.1</v>
      </c>
      <c r="O152" s="9" t="n">
        <f aca="false">O151+N152</f>
        <v>151.9</v>
      </c>
      <c r="P152" s="9" t="n">
        <v>147</v>
      </c>
      <c r="Q152" s="9" t="n">
        <v>1</v>
      </c>
      <c r="R152" s="15" t="n">
        <f aca="false">Q152*L152</f>
        <v>0.3</v>
      </c>
      <c r="S152" s="15" t="n">
        <f aca="false">J152-R152</f>
        <v>2.1</v>
      </c>
      <c r="T152" s="15" t="n">
        <f aca="false">MIN(197.4,(T151+S152))</f>
        <v>165.915925925926</v>
      </c>
      <c r="V152" s="19" t="n">
        <v>137.3</v>
      </c>
      <c r="W152" s="9" t="n">
        <f aca="false">V152/D152</f>
        <v>25.9056603773585</v>
      </c>
      <c r="X152" s="9" t="n">
        <f aca="false">X151+V152</f>
        <v>86421.5</v>
      </c>
      <c r="Y152" s="9" t="n">
        <f aca="false">Y151+V152</f>
        <v>14026.7</v>
      </c>
      <c r="AA152" s="9" t="n">
        <v>9.13949764186404</v>
      </c>
    </row>
    <row r="153" s="9" customFormat="true" ht="15" hidden="false" customHeight="false" outlineLevel="0" collapsed="false">
      <c r="A153" s="29"/>
      <c r="B153" s="11" t="n">
        <v>8</v>
      </c>
      <c r="C153" s="12" t="n">
        <v>42031</v>
      </c>
      <c r="D153" s="20" t="n">
        <v>4</v>
      </c>
      <c r="E153" s="20" t="n">
        <v>0.7</v>
      </c>
      <c r="F153" s="9" t="n">
        <v>5.6</v>
      </c>
      <c r="G153" s="9" t="n">
        <f aca="false">G152+D153</f>
        <v>1424.5</v>
      </c>
      <c r="H153" s="9" t="n">
        <f aca="false">H152+D153</f>
        <v>262.8</v>
      </c>
      <c r="J153" s="9" t="n">
        <v>0</v>
      </c>
      <c r="K153" s="9" t="n">
        <f aca="false">K152+J153</f>
        <v>248.3</v>
      </c>
      <c r="L153" s="9" t="n">
        <v>0.4</v>
      </c>
      <c r="M153" s="9" t="n">
        <f aca="false">M152+L153</f>
        <v>167</v>
      </c>
      <c r="N153" s="14" t="n">
        <f aca="false">J153-L153</f>
        <v>-0.4</v>
      </c>
      <c r="O153" s="9" t="n">
        <f aca="false">O152+N153</f>
        <v>151.5</v>
      </c>
      <c r="P153" s="9" t="n">
        <v>148</v>
      </c>
      <c r="Q153" s="9" t="n">
        <v>1</v>
      </c>
      <c r="R153" s="15" t="n">
        <f aca="false">Q153*L153</f>
        <v>0.4</v>
      </c>
      <c r="S153" s="15" t="n">
        <f aca="false">J153-R153</f>
        <v>-0.4</v>
      </c>
      <c r="T153" s="15" t="n">
        <f aca="false">MIN(197.4,(T152+S153))</f>
        <v>165.515925925926</v>
      </c>
      <c r="V153" s="19" t="n">
        <v>441.1</v>
      </c>
      <c r="W153" s="9" t="n">
        <f aca="false">V153/D153</f>
        <v>110.275</v>
      </c>
      <c r="X153" s="9" t="n">
        <f aca="false">X152+V153</f>
        <v>86862.6</v>
      </c>
      <c r="Y153" s="9" t="n">
        <f aca="false">Y152+V153</f>
        <v>14467.8</v>
      </c>
      <c r="AA153" s="9" t="n">
        <v>9.18468102952656</v>
      </c>
    </row>
    <row r="154" s="9" customFormat="true" ht="15" hidden="false" customHeight="false" outlineLevel="0" collapsed="false">
      <c r="A154" s="29"/>
      <c r="B154" s="11"/>
      <c r="C154" s="12" t="n">
        <v>42032</v>
      </c>
      <c r="D154" s="9" t="n">
        <v>5.7</v>
      </c>
      <c r="E154" s="20" t="n">
        <v>4.4</v>
      </c>
      <c r="F154" s="9" t="n">
        <v>7.3</v>
      </c>
      <c r="G154" s="9" t="n">
        <f aca="false">G153+D154</f>
        <v>1430.2</v>
      </c>
      <c r="H154" s="9" t="n">
        <f aca="false">H153+D154</f>
        <v>268.5</v>
      </c>
      <c r="J154" s="9" t="n">
        <v>3.2</v>
      </c>
      <c r="K154" s="9" t="n">
        <f aca="false">K153+J154</f>
        <v>251.5</v>
      </c>
      <c r="L154" s="9" t="n">
        <v>0.4</v>
      </c>
      <c r="M154" s="9" t="n">
        <f aca="false">M153+L154</f>
        <v>167.4</v>
      </c>
      <c r="N154" s="9" t="n">
        <f aca="false">J154-L154</f>
        <v>2.8</v>
      </c>
      <c r="O154" s="9" t="n">
        <f aca="false">O153+N154</f>
        <v>154.3</v>
      </c>
      <c r="P154" s="9" t="n">
        <v>149</v>
      </c>
      <c r="Q154" s="9" t="n">
        <v>1</v>
      </c>
      <c r="R154" s="15" t="n">
        <f aca="false">Q154*L154</f>
        <v>0.4</v>
      </c>
      <c r="S154" s="15" t="n">
        <f aca="false">J154-R154</f>
        <v>2.8</v>
      </c>
      <c r="T154" s="15" t="n">
        <f aca="false">MIN(197.4,(T153+S154))</f>
        <v>168.315925925926</v>
      </c>
      <c r="V154" s="19" t="n">
        <v>146.4</v>
      </c>
      <c r="W154" s="9" t="n">
        <f aca="false">V154/D154</f>
        <v>25.6842105263158</v>
      </c>
      <c r="X154" s="9" t="n">
        <f aca="false">X153+V154</f>
        <v>87009</v>
      </c>
      <c r="Y154" s="9" t="n">
        <f aca="false">Y153+V154</f>
        <v>14614.2</v>
      </c>
      <c r="AA154" s="9" t="n">
        <v>9.23064150013615</v>
      </c>
    </row>
    <row r="155" s="9" customFormat="true" ht="15" hidden="false" customHeight="false" outlineLevel="0" collapsed="false">
      <c r="A155" s="29"/>
      <c r="B155" s="11"/>
      <c r="C155" s="12" t="n">
        <v>42033</v>
      </c>
      <c r="D155" s="20" t="n">
        <v>4.5</v>
      </c>
      <c r="E155" s="20" t="n">
        <v>4</v>
      </c>
      <c r="F155" s="9" t="n">
        <v>5.7</v>
      </c>
      <c r="G155" s="9" t="n">
        <f aca="false">G154+D155</f>
        <v>1434.7</v>
      </c>
      <c r="H155" s="9" t="n">
        <f aca="false">H154+D155</f>
        <v>273</v>
      </c>
      <c r="J155" s="9" t="n">
        <v>4.4</v>
      </c>
      <c r="K155" s="9" t="n">
        <f aca="false">K154+J155</f>
        <v>255.9</v>
      </c>
      <c r="L155" s="9" t="n">
        <v>0.5</v>
      </c>
      <c r="M155" s="9" t="n">
        <f aca="false">M154+L155</f>
        <v>167.9</v>
      </c>
      <c r="N155" s="9" t="n">
        <f aca="false">J155-L155</f>
        <v>3.9</v>
      </c>
      <c r="O155" s="9" t="n">
        <f aca="false">O154+N155</f>
        <v>158.2</v>
      </c>
      <c r="P155" s="9" t="n">
        <v>150</v>
      </c>
      <c r="Q155" s="9" t="n">
        <v>1</v>
      </c>
      <c r="R155" s="15" t="n">
        <f aca="false">Q155*L155</f>
        <v>0.5</v>
      </c>
      <c r="S155" s="15" t="n">
        <f aca="false">J155-R155</f>
        <v>3.9</v>
      </c>
      <c r="T155" s="15" t="n">
        <f aca="false">MIN(197.4,(T154+S155))</f>
        <v>172.215925925926</v>
      </c>
      <c r="V155" s="19" t="n">
        <v>153.6</v>
      </c>
      <c r="W155" s="9" t="n">
        <f aca="false">V155/D155</f>
        <v>34.1333333333333</v>
      </c>
      <c r="X155" s="9" t="n">
        <f aca="false">X154+V155</f>
        <v>87162.6</v>
      </c>
      <c r="Y155" s="9" t="n">
        <f aca="false">Y154+V155</f>
        <v>14767.8</v>
      </c>
      <c r="AA155" s="9" t="n">
        <v>9.27734987794345</v>
      </c>
    </row>
    <row r="156" s="9" customFormat="true" ht="15" hidden="false" customHeight="false" outlineLevel="0" collapsed="false">
      <c r="A156" s="29"/>
      <c r="B156" s="11"/>
      <c r="C156" s="12" t="n">
        <v>42034</v>
      </c>
      <c r="D156" s="20" t="n">
        <v>1.6</v>
      </c>
      <c r="E156" s="20" t="n">
        <v>1.1</v>
      </c>
      <c r="F156" s="20" t="n">
        <v>2.7</v>
      </c>
      <c r="G156" s="9" t="n">
        <f aca="false">G155+D156</f>
        <v>1436.3</v>
      </c>
      <c r="H156" s="9" t="n">
        <f aca="false">H155+D156</f>
        <v>274.6</v>
      </c>
      <c r="J156" s="9" t="n">
        <v>2.8</v>
      </c>
      <c r="K156" s="9" t="n">
        <f aca="false">K155+J156</f>
        <v>258.7</v>
      </c>
      <c r="L156" s="9" t="n">
        <v>0.3</v>
      </c>
      <c r="M156" s="9" t="n">
        <f aca="false">M155+L156</f>
        <v>168.2</v>
      </c>
      <c r="N156" s="9" t="n">
        <f aca="false">J156-L156</f>
        <v>2.5</v>
      </c>
      <c r="O156" s="9" t="n">
        <f aca="false">O155+N156</f>
        <v>160.7</v>
      </c>
      <c r="P156" s="9" t="n">
        <v>151</v>
      </c>
      <c r="Q156" s="9" t="n">
        <v>1</v>
      </c>
      <c r="R156" s="15" t="n">
        <f aca="false">Q156*L156</f>
        <v>0.3</v>
      </c>
      <c r="S156" s="15" t="n">
        <f aca="false">J156-R156</f>
        <v>2.5</v>
      </c>
      <c r="T156" s="15" t="n">
        <f aca="false">MIN(197.4,(T155+S156))</f>
        <v>174.715925925926</v>
      </c>
      <c r="V156" s="19" t="n">
        <v>131.3</v>
      </c>
      <c r="W156" s="9" t="n">
        <f aca="false">V156/D156</f>
        <v>82.0625</v>
      </c>
      <c r="X156" s="9" t="n">
        <f aca="false">X155+V156</f>
        <v>87293.9</v>
      </c>
      <c r="Y156" s="9" t="n">
        <f aca="false">Y155+V156</f>
        <v>14899.1</v>
      </c>
      <c r="AA156" s="9" t="n">
        <v>9.32477746778594</v>
      </c>
    </row>
    <row r="157" s="9" customFormat="true" ht="15" hidden="false" customHeight="false" outlineLevel="0" collapsed="false">
      <c r="A157" s="29"/>
      <c r="B157" s="11"/>
      <c r="C157" s="12" t="n">
        <v>42035</v>
      </c>
      <c r="D157" s="20" t="n">
        <v>2.7</v>
      </c>
      <c r="E157" s="20" t="n">
        <v>1</v>
      </c>
      <c r="F157" s="9" t="n">
        <v>5.2</v>
      </c>
      <c r="G157" s="9" t="n">
        <f aca="false">G156+D157</f>
        <v>1439</v>
      </c>
      <c r="H157" s="9" t="n">
        <f aca="false">H156+D157</f>
        <v>277.3</v>
      </c>
      <c r="J157" s="9" t="n">
        <v>2.9</v>
      </c>
      <c r="K157" s="9" t="n">
        <f aca="false">K156+J157</f>
        <v>261.6</v>
      </c>
      <c r="L157" s="9" t="n">
        <v>0.6</v>
      </c>
      <c r="M157" s="9" t="n">
        <f aca="false">M156+L157</f>
        <v>168.8</v>
      </c>
      <c r="N157" s="9" t="n">
        <f aca="false">J157-L157</f>
        <v>2.3</v>
      </c>
      <c r="O157" s="9" t="n">
        <f aca="false">O156+N157</f>
        <v>163</v>
      </c>
      <c r="P157" s="9" t="n">
        <v>152</v>
      </c>
      <c r="Q157" s="9" t="n">
        <v>1</v>
      </c>
      <c r="R157" s="15" t="n">
        <f aca="false">Q157*L157</f>
        <v>0.6</v>
      </c>
      <c r="S157" s="15" t="n">
        <f aca="false">J157-R157</f>
        <v>2.3</v>
      </c>
      <c r="T157" s="15" t="n">
        <f aca="false">MIN(197.4,(T156+S157))</f>
        <v>177.015925925926</v>
      </c>
      <c r="V157" s="19" t="n">
        <v>379.7</v>
      </c>
      <c r="W157" s="9" t="n">
        <f aca="false">V157/D157</f>
        <v>140.62962962963</v>
      </c>
      <c r="X157" s="9" t="n">
        <f aca="false">X156+V157</f>
        <v>87673.6</v>
      </c>
      <c r="Y157" s="9" t="n">
        <f aca="false">Y156+V157</f>
        <v>15278.8</v>
      </c>
      <c r="AA157" s="9" t="n">
        <v>9.37289608973081</v>
      </c>
    </row>
    <row r="158" s="9" customFormat="true" ht="15" hidden="false" customHeight="false" outlineLevel="0" collapsed="false">
      <c r="A158" s="29"/>
      <c r="B158" s="11"/>
      <c r="C158" s="12" t="n">
        <v>42036</v>
      </c>
      <c r="D158" s="20" t="n">
        <v>3</v>
      </c>
      <c r="E158" s="20" t="n">
        <v>2</v>
      </c>
      <c r="F158" s="20" t="n">
        <v>3.8</v>
      </c>
      <c r="G158" s="9" t="n">
        <f aca="false">G157+D158</f>
        <v>1442</v>
      </c>
      <c r="H158" s="9" t="n">
        <f aca="false">H157+D158</f>
        <v>280.3</v>
      </c>
      <c r="J158" s="9" t="n">
        <v>2.2</v>
      </c>
      <c r="K158" s="9" t="n">
        <f aca="false">K157+J158</f>
        <v>263.8</v>
      </c>
      <c r="L158" s="9" t="n">
        <v>0.4</v>
      </c>
      <c r="M158" s="9" t="n">
        <f aca="false">M157+L158</f>
        <v>169.2</v>
      </c>
      <c r="N158" s="9" t="n">
        <f aca="false">J158-L158</f>
        <v>1.8</v>
      </c>
      <c r="O158" s="9" t="n">
        <f aca="false">O157+N158</f>
        <v>164.8</v>
      </c>
      <c r="P158" s="9" t="n">
        <v>153</v>
      </c>
      <c r="Q158" s="9" t="n">
        <v>1</v>
      </c>
      <c r="R158" s="15" t="n">
        <f aca="false">Q158*L158</f>
        <v>0.4</v>
      </c>
      <c r="S158" s="15" t="n">
        <f aca="false">J158-R158</f>
        <v>1.8</v>
      </c>
      <c r="T158" s="15" t="n">
        <f aca="false">MIN(197.4,(T157+S158))</f>
        <v>178.815925925926</v>
      </c>
      <c r="V158" s="19" t="n">
        <v>225</v>
      </c>
      <c r="W158" s="9" t="n">
        <f aca="false">V158/D158</f>
        <v>75</v>
      </c>
      <c r="X158" s="9" t="n">
        <f aca="false">X157+V158</f>
        <v>87898.6</v>
      </c>
      <c r="Y158" s="9" t="n">
        <f aca="false">Y157+V158</f>
        <v>15503.8</v>
      </c>
      <c r="AA158" s="9" t="n">
        <v>9.42167810986428</v>
      </c>
    </row>
    <row r="159" s="9" customFormat="true" ht="15" hidden="false" customHeight="false" outlineLevel="0" collapsed="false">
      <c r="A159" s="29"/>
      <c r="B159" s="11"/>
      <c r="C159" s="12" t="n">
        <v>42037</v>
      </c>
      <c r="D159" s="20" t="n">
        <v>1.3</v>
      </c>
      <c r="E159" s="20" t="n">
        <v>0.2</v>
      </c>
      <c r="F159" s="20" t="n">
        <v>3</v>
      </c>
      <c r="G159" s="9" t="n">
        <f aca="false">G158+D159</f>
        <v>1443.3</v>
      </c>
      <c r="H159" s="9" t="n">
        <f aca="false">H158+D159</f>
        <v>281.6</v>
      </c>
      <c r="J159" s="33" t="n">
        <v>1.5</v>
      </c>
      <c r="K159" s="9" t="n">
        <f aca="false">K158+J159</f>
        <v>265.3</v>
      </c>
      <c r="L159" s="9" t="n">
        <v>0.3</v>
      </c>
      <c r="M159" s="9" t="n">
        <f aca="false">M158+L159</f>
        <v>169.5</v>
      </c>
      <c r="N159" s="9" t="n">
        <f aca="false">J159-L159</f>
        <v>1.2</v>
      </c>
      <c r="O159" s="9" t="n">
        <f aca="false">O158+N159</f>
        <v>166</v>
      </c>
      <c r="P159" s="9" t="n">
        <v>154</v>
      </c>
      <c r="Q159" s="9" t="n">
        <v>1</v>
      </c>
      <c r="R159" s="15" t="n">
        <f aca="false">Q159*L159</f>
        <v>0.3</v>
      </c>
      <c r="S159" s="15" t="n">
        <f aca="false">J159-R159</f>
        <v>1.2</v>
      </c>
      <c r="T159" s="15" t="n">
        <f aca="false">MIN(197.4,(T158+S159))</f>
        <v>180.015925925926</v>
      </c>
      <c r="V159" s="19" t="n">
        <v>253.7</v>
      </c>
      <c r="W159" s="9" t="n">
        <f aca="false">V159/D159</f>
        <v>195.153846153846</v>
      </c>
      <c r="X159" s="9" t="n">
        <f aca="false">X158+V159</f>
        <v>88152.3</v>
      </c>
      <c r="Y159" s="9" t="n">
        <f aca="false">Y158+V159</f>
        <v>15757.5</v>
      </c>
      <c r="AA159" s="9" t="n">
        <v>9.47109646734643</v>
      </c>
      <c r="AB159" s="34" t="s">
        <v>46</v>
      </c>
    </row>
    <row r="160" s="9" customFormat="true" ht="15" hidden="false" customHeight="false" outlineLevel="0" collapsed="false">
      <c r="A160" s="29"/>
      <c r="B160" s="11" t="n">
        <v>9</v>
      </c>
      <c r="C160" s="12" t="n">
        <v>42038</v>
      </c>
      <c r="D160" s="20" t="n">
        <v>0.1</v>
      </c>
      <c r="E160" s="32" t="n">
        <v>-2.4</v>
      </c>
      <c r="F160" s="20" t="n">
        <v>3</v>
      </c>
      <c r="G160" s="9" t="n">
        <f aca="false">G159+D160</f>
        <v>1443.4</v>
      </c>
      <c r="H160" s="9" t="n">
        <f aca="false">H159+D160</f>
        <v>281.7</v>
      </c>
      <c r="J160" s="33" t="n">
        <v>0</v>
      </c>
      <c r="K160" s="9" t="n">
        <f aca="false">K159+J160</f>
        <v>265.3</v>
      </c>
      <c r="L160" s="9" t="n">
        <v>0.5</v>
      </c>
      <c r="M160" s="9" t="n">
        <f aca="false">M159+L160</f>
        <v>170</v>
      </c>
      <c r="N160" s="14" t="n">
        <f aca="false">J160-L160</f>
        <v>-0.5</v>
      </c>
      <c r="O160" s="9" t="n">
        <f aca="false">O159+N160</f>
        <v>165.5</v>
      </c>
      <c r="P160" s="9" t="n">
        <v>155</v>
      </c>
      <c r="Q160" s="9" t="n">
        <v>1</v>
      </c>
      <c r="R160" s="15" t="n">
        <f aca="false">Q160*L160</f>
        <v>0.5</v>
      </c>
      <c r="S160" s="15" t="n">
        <f aca="false">J160-R160</f>
        <v>-0.5</v>
      </c>
      <c r="T160" s="15" t="n">
        <f aca="false">MIN(197.4,(T159+S160))</f>
        <v>179.515925925926</v>
      </c>
      <c r="V160" s="19" t="n">
        <v>605.3</v>
      </c>
      <c r="W160" s="9" t="n">
        <f aca="false">V160/D160</f>
        <v>6053</v>
      </c>
      <c r="X160" s="9" t="n">
        <f aca="false">X159+V160</f>
        <v>88757.6</v>
      </c>
      <c r="Y160" s="9" t="n">
        <f aca="false">Y159+V160</f>
        <v>16362.8</v>
      </c>
      <c r="AA160" s="9" t="n">
        <v>9.52112469786376</v>
      </c>
      <c r="AB160" s="17" t="n">
        <f aca="false">AVERAGE(T166:T179)</f>
        <v>178.85164021164</v>
      </c>
    </row>
    <row r="161" s="9" customFormat="true" ht="15" hidden="false" customHeight="false" outlineLevel="0" collapsed="false">
      <c r="A161" s="29"/>
      <c r="B161" s="11"/>
      <c r="C161" s="12" t="n">
        <v>42039</v>
      </c>
      <c r="D161" s="20" t="n">
        <v>0.7</v>
      </c>
      <c r="E161" s="32" t="n">
        <v>-1</v>
      </c>
      <c r="F161" s="20" t="n">
        <v>2.4</v>
      </c>
      <c r="G161" s="9" t="n">
        <f aca="false">G160+D161</f>
        <v>1444.1</v>
      </c>
      <c r="H161" s="9" t="n">
        <f aca="false">H160+D161</f>
        <v>282.4</v>
      </c>
      <c r="J161" s="33" t="n">
        <v>0</v>
      </c>
      <c r="K161" s="9" t="n">
        <f aca="false">K160+J161</f>
        <v>265.3</v>
      </c>
      <c r="L161" s="9" t="n">
        <v>0.9</v>
      </c>
      <c r="M161" s="9" t="n">
        <f aca="false">M160+L161</f>
        <v>170.9</v>
      </c>
      <c r="N161" s="14" t="n">
        <f aca="false">J161-L161</f>
        <v>-0.9</v>
      </c>
      <c r="O161" s="9" t="n">
        <f aca="false">O160+N161</f>
        <v>164.6</v>
      </c>
      <c r="P161" s="9" t="n">
        <v>156</v>
      </c>
      <c r="Q161" s="9" t="n">
        <v>1</v>
      </c>
      <c r="R161" s="15" t="n">
        <f aca="false">Q161*L161</f>
        <v>0.9</v>
      </c>
      <c r="S161" s="15" t="n">
        <f aca="false">J161-R161</f>
        <v>-0.9</v>
      </c>
      <c r="T161" s="15" t="n">
        <f aca="false">MIN(197.4,(T160+S161))</f>
        <v>178.615925925926</v>
      </c>
      <c r="V161" s="9" t="n">
        <v>929.9</v>
      </c>
      <c r="W161" s="9" t="n">
        <f aca="false">V161/D161</f>
        <v>1328.42857142857</v>
      </c>
      <c r="X161" s="9" t="n">
        <f aca="false">X160+V161</f>
        <v>89687.5</v>
      </c>
      <c r="Y161" s="9" t="n">
        <f aca="false">Y160+V161</f>
        <v>17292.7</v>
      </c>
      <c r="AA161" s="9" t="n">
        <v>9.57173695362315</v>
      </c>
      <c r="AB161" s="34" t="s">
        <v>47</v>
      </c>
    </row>
    <row r="162" s="9" customFormat="true" ht="15" hidden="false" customHeight="false" outlineLevel="0" collapsed="false">
      <c r="A162" s="29"/>
      <c r="B162" s="11"/>
      <c r="C162" s="12" t="n">
        <v>42040</v>
      </c>
      <c r="D162" s="20" t="n">
        <v>0.6</v>
      </c>
      <c r="E162" s="32" t="n">
        <v>-0.8</v>
      </c>
      <c r="F162" s="20" t="n">
        <v>2.9</v>
      </c>
      <c r="G162" s="9" t="n">
        <f aca="false">G161+D162</f>
        <v>1444.7</v>
      </c>
      <c r="H162" s="9" t="n">
        <f aca="false">H161+D162</f>
        <v>283</v>
      </c>
      <c r="J162" s="33" t="n">
        <v>0</v>
      </c>
      <c r="K162" s="9" t="n">
        <f aca="false">K161+J162</f>
        <v>265.3</v>
      </c>
      <c r="L162" s="9" t="n">
        <v>0.9</v>
      </c>
      <c r="M162" s="9" t="n">
        <f aca="false">M161+L162</f>
        <v>171.8</v>
      </c>
      <c r="N162" s="14" t="n">
        <f aca="false">J162-L162</f>
        <v>-0.9</v>
      </c>
      <c r="O162" s="9" t="n">
        <f aca="false">O161+N162</f>
        <v>163.7</v>
      </c>
      <c r="P162" s="9" t="n">
        <v>157</v>
      </c>
      <c r="Q162" s="9" t="n">
        <v>1</v>
      </c>
      <c r="R162" s="15" t="n">
        <f aca="false">Q162*L162</f>
        <v>0.9</v>
      </c>
      <c r="S162" s="15" t="n">
        <f aca="false">J162-R162</f>
        <v>-0.9</v>
      </c>
      <c r="T162" s="15" t="n">
        <f aca="false">MIN(197.4,(T161+S162))</f>
        <v>177.715925925926</v>
      </c>
      <c r="V162" s="19" t="n">
        <v>591.1</v>
      </c>
      <c r="W162" s="9" t="n">
        <f aca="false">V162/D162</f>
        <v>985.166666666667</v>
      </c>
      <c r="X162" s="9" t="n">
        <f aca="false">X161+V162</f>
        <v>90278.6</v>
      </c>
      <c r="Y162" s="9" t="n">
        <f aca="false">Y161+V162</f>
        <v>17883.8</v>
      </c>
      <c r="AA162" s="9" t="n">
        <v>9.62290802003971</v>
      </c>
      <c r="AB162" s="9" t="n">
        <v>4</v>
      </c>
    </row>
    <row r="163" s="9" customFormat="true" ht="15" hidden="false" customHeight="false" outlineLevel="0" collapsed="false">
      <c r="A163" s="29"/>
      <c r="B163" s="11"/>
      <c r="C163" s="12" t="n">
        <v>42041</v>
      </c>
      <c r="D163" s="32" t="n">
        <v>-0.3</v>
      </c>
      <c r="E163" s="32" t="n">
        <v>-2</v>
      </c>
      <c r="F163" s="20" t="n">
        <v>1.5</v>
      </c>
      <c r="G163" s="9" t="n">
        <v>1444.7</v>
      </c>
      <c r="H163" s="9" t="n">
        <v>283</v>
      </c>
      <c r="J163" s="33" t="n">
        <v>0</v>
      </c>
      <c r="K163" s="9" t="n">
        <f aca="false">K162+J163</f>
        <v>265.3</v>
      </c>
      <c r="L163" s="9" t="n">
        <v>1.2</v>
      </c>
      <c r="M163" s="9" t="n">
        <f aca="false">M162+L163</f>
        <v>173</v>
      </c>
      <c r="N163" s="14" t="n">
        <f aca="false">J163-L163</f>
        <v>-1.2</v>
      </c>
      <c r="O163" s="9" t="n">
        <f aca="false">O162+N163</f>
        <v>162.5</v>
      </c>
      <c r="P163" s="9" t="n">
        <v>158</v>
      </c>
      <c r="Q163" s="9" t="n">
        <v>1</v>
      </c>
      <c r="R163" s="15" t="n">
        <f aca="false">Q163*L163</f>
        <v>1.2</v>
      </c>
      <c r="S163" s="15" t="n">
        <f aca="false">J163-R163</f>
        <v>-1.2</v>
      </c>
      <c r="T163" s="15" t="n">
        <f aca="false">MIN(197.4,(T162+S163))</f>
        <v>176.515925925926</v>
      </c>
      <c r="V163" s="9" t="n">
        <v>974.4</v>
      </c>
      <c r="W163" s="9" t="n">
        <f aca="false">V163/D163</f>
        <v>-3248</v>
      </c>
      <c r="X163" s="9" t="n">
        <f aca="false">X162+V163</f>
        <v>91253</v>
      </c>
      <c r="Y163" s="9" t="n">
        <f aca="false">Y162+V163</f>
        <v>18858.2</v>
      </c>
      <c r="AA163" s="9" t="n">
        <v>9.67461332927754</v>
      </c>
      <c r="AB163" s="34" t="s">
        <v>48</v>
      </c>
    </row>
    <row r="164" s="9" customFormat="true" ht="15" hidden="false" customHeight="false" outlineLevel="0" collapsed="false">
      <c r="A164" s="29"/>
      <c r="B164" s="11"/>
      <c r="C164" s="12" t="n">
        <v>42042</v>
      </c>
      <c r="D164" s="20" t="n">
        <v>1</v>
      </c>
      <c r="E164" s="32" t="n">
        <v>-2.3</v>
      </c>
      <c r="F164" s="20" t="n">
        <v>3.5</v>
      </c>
      <c r="G164" s="9" t="n">
        <f aca="false">G163+D164</f>
        <v>1445.7</v>
      </c>
      <c r="H164" s="9" t="n">
        <f aca="false">H163+D164</f>
        <v>284</v>
      </c>
      <c r="J164" s="33" t="n">
        <v>0.2</v>
      </c>
      <c r="K164" s="9" t="n">
        <f aca="false">K163+J164</f>
        <v>265.5</v>
      </c>
      <c r="L164" s="9" t="n">
        <v>1.3</v>
      </c>
      <c r="M164" s="9" t="n">
        <f aca="false">M163+L164</f>
        <v>174.3</v>
      </c>
      <c r="N164" s="14" t="n">
        <f aca="false">J164-L164</f>
        <v>-1.1</v>
      </c>
      <c r="O164" s="9" t="n">
        <f aca="false">O163+N164</f>
        <v>161.4</v>
      </c>
      <c r="P164" s="9" t="n">
        <v>159</v>
      </c>
      <c r="Q164" s="9" t="n">
        <v>1</v>
      </c>
      <c r="R164" s="15" t="n">
        <f aca="false">Q164*L164</f>
        <v>1.3</v>
      </c>
      <c r="S164" s="15" t="n">
        <f aca="false">J164-R164</f>
        <v>-1.1</v>
      </c>
      <c r="T164" s="15" t="n">
        <f aca="false">MIN(197.4,(T163+S164))</f>
        <v>175.415925925926</v>
      </c>
      <c r="V164" s="9" t="n">
        <v>983.2</v>
      </c>
      <c r="W164" s="9" t="n">
        <f aca="false">V164/D164</f>
        <v>983.2</v>
      </c>
      <c r="X164" s="9" t="n">
        <f aca="false">X163+V164</f>
        <v>92236.2</v>
      </c>
      <c r="Y164" s="9" t="n">
        <f aca="false">Y163+V164</f>
        <v>19841.4</v>
      </c>
      <c r="AA164" s="9" t="n">
        <v>9.72682897080729</v>
      </c>
      <c r="AB164" s="9" t="n">
        <v>3</v>
      </c>
    </row>
    <row r="165" s="9" customFormat="true" ht="15" hidden="false" customHeight="false" outlineLevel="0" collapsed="false">
      <c r="A165" s="29"/>
      <c r="B165" s="11"/>
      <c r="C165" s="12" t="n">
        <v>42043</v>
      </c>
      <c r="D165" s="20" t="n">
        <v>3.3</v>
      </c>
      <c r="E165" s="20" t="n">
        <v>1.7</v>
      </c>
      <c r="F165" s="9" t="n">
        <v>6.2</v>
      </c>
      <c r="G165" s="9" t="n">
        <f aca="false">G164+D165</f>
        <v>1449</v>
      </c>
      <c r="H165" s="9" t="n">
        <f aca="false">H164+D165</f>
        <v>287.3</v>
      </c>
      <c r="J165" s="33" t="n">
        <v>0</v>
      </c>
      <c r="K165" s="9" t="n">
        <f aca="false">K164+J165</f>
        <v>265.5</v>
      </c>
      <c r="L165" s="9" t="n">
        <v>0.9</v>
      </c>
      <c r="M165" s="9" t="n">
        <f aca="false">M164+L165</f>
        <v>175.2</v>
      </c>
      <c r="N165" s="14" t="n">
        <f aca="false">J165-L165</f>
        <v>-0.9</v>
      </c>
      <c r="O165" s="9" t="n">
        <f aca="false">O164+N165</f>
        <v>160.5</v>
      </c>
      <c r="P165" s="9" t="n">
        <v>160</v>
      </c>
      <c r="Q165" s="9" t="n">
        <v>1</v>
      </c>
      <c r="R165" s="15" t="n">
        <f aca="false">Q165*L165</f>
        <v>0.9</v>
      </c>
      <c r="S165" s="15" t="n">
        <f aca="false">J165-R165</f>
        <v>-0.9</v>
      </c>
      <c r="T165" s="15" t="n">
        <f aca="false">MIN(197.4,(T164+S165))</f>
        <v>174.515925925926</v>
      </c>
      <c r="V165" s="19" t="n">
        <v>474.9</v>
      </c>
      <c r="W165" s="9" t="n">
        <f aca="false">V165/D165</f>
        <v>143.909090909091</v>
      </c>
      <c r="X165" s="9" t="n">
        <f aca="false">X164+V165</f>
        <v>92711.1</v>
      </c>
      <c r="Y165" s="9" t="n">
        <f aca="false">Y164+V165</f>
        <v>20316.3</v>
      </c>
      <c r="AA165" s="9" t="n">
        <v>9.77953169914732</v>
      </c>
      <c r="AB165" s="34" t="s">
        <v>49</v>
      </c>
    </row>
    <row r="166" s="9" customFormat="true" ht="15" hidden="false" customHeight="false" outlineLevel="0" collapsed="false">
      <c r="A166" s="29"/>
      <c r="B166" s="11"/>
      <c r="C166" s="12" t="n">
        <v>42044</v>
      </c>
      <c r="D166" s="20" t="n">
        <v>2.1</v>
      </c>
      <c r="E166" s="32" t="n">
        <v>-0.2</v>
      </c>
      <c r="F166" s="20" t="n">
        <v>4.8</v>
      </c>
      <c r="G166" s="9" t="n">
        <f aca="false">G165+D166</f>
        <v>1451.1</v>
      </c>
      <c r="H166" s="9" t="n">
        <f aca="false">H165+D166</f>
        <v>289.4</v>
      </c>
      <c r="J166" s="33" t="n">
        <v>0</v>
      </c>
      <c r="K166" s="9" t="n">
        <f aca="false">K165+J166</f>
        <v>265.5</v>
      </c>
      <c r="L166" s="9" t="n">
        <v>0.5</v>
      </c>
      <c r="M166" s="9" t="n">
        <f aca="false">M165+L166</f>
        <v>175.7</v>
      </c>
      <c r="N166" s="14" t="n">
        <f aca="false">J166-L166</f>
        <v>-0.5</v>
      </c>
      <c r="O166" s="9" t="n">
        <f aca="false">O165+N166</f>
        <v>160</v>
      </c>
      <c r="P166" s="9" t="n">
        <v>161</v>
      </c>
      <c r="Q166" s="9" t="n">
        <v>1</v>
      </c>
      <c r="R166" s="15" t="n">
        <f aca="false">Q166*L166</f>
        <v>0.5</v>
      </c>
      <c r="S166" s="15" t="n">
        <f aca="false">J166-R166</f>
        <v>-0.5</v>
      </c>
      <c r="T166" s="35" t="n">
        <f aca="false">MIN(197.4,(T165+S166))</f>
        <v>174.015925925926</v>
      </c>
      <c r="V166" s="19" t="n">
        <v>318.4</v>
      </c>
      <c r="W166" s="9" t="n">
        <f aca="false">V166/D166</f>
        <v>151.619047619048</v>
      </c>
      <c r="X166" s="9" t="n">
        <f aca="false">X165+V166</f>
        <v>93029.5</v>
      </c>
      <c r="Y166" s="9" t="n">
        <f aca="false">Y165+V166</f>
        <v>20634.7</v>
      </c>
      <c r="AA166" s="9" t="n">
        <v>9.83269893895636</v>
      </c>
      <c r="AB166" s="9" t="n">
        <v>0</v>
      </c>
    </row>
    <row r="167" s="9" customFormat="true" ht="15" hidden="false" customHeight="false" outlineLevel="0" collapsed="false">
      <c r="A167" s="29"/>
      <c r="B167" s="11" t="n">
        <v>10</v>
      </c>
      <c r="C167" s="12" t="n">
        <v>42045</v>
      </c>
      <c r="D167" s="20" t="n">
        <v>3.8</v>
      </c>
      <c r="E167" s="20" t="n">
        <v>1.7</v>
      </c>
      <c r="F167" s="9" t="n">
        <v>5.8</v>
      </c>
      <c r="G167" s="9" t="n">
        <f aca="false">G166+D167</f>
        <v>1454.9</v>
      </c>
      <c r="H167" s="9" t="n">
        <f aca="false">H166+D167</f>
        <v>293.2</v>
      </c>
      <c r="J167" s="33" t="n">
        <v>0</v>
      </c>
      <c r="K167" s="9" t="n">
        <f aca="false">K166+J167</f>
        <v>265.5</v>
      </c>
      <c r="L167" s="9" t="n">
        <v>0.7</v>
      </c>
      <c r="M167" s="9" t="n">
        <f aca="false">M166+L167</f>
        <v>176.4</v>
      </c>
      <c r="N167" s="14" t="n">
        <f aca="false">J167-L167</f>
        <v>-0.7</v>
      </c>
      <c r="O167" s="9" t="n">
        <f aca="false">O166+N167</f>
        <v>159.3</v>
      </c>
      <c r="P167" s="9" t="n">
        <v>162</v>
      </c>
      <c r="Q167" s="9" t="n">
        <v>1</v>
      </c>
      <c r="R167" s="15" t="n">
        <f aca="false">Q167*L167</f>
        <v>0.7</v>
      </c>
      <c r="S167" s="15" t="n">
        <f aca="false">J167-R167</f>
        <v>-0.7</v>
      </c>
      <c r="T167" s="35" t="n">
        <f aca="false">MIN(197.4,(T166+S167))</f>
        <v>173.315925925926</v>
      </c>
      <c r="V167" s="19" t="n">
        <v>341.9</v>
      </c>
      <c r="W167" s="9" t="n">
        <f aca="false">V167/D167</f>
        <v>89.9736842105263</v>
      </c>
      <c r="X167" s="9" t="n">
        <f aca="false">X166+V167</f>
        <v>93371.4</v>
      </c>
      <c r="Y167" s="9" t="n">
        <f aca="false">Y166+V167</f>
        <v>20976.6</v>
      </c>
      <c r="AA167" s="9" t="n">
        <v>9.88630878764554</v>
      </c>
      <c r="AB167" s="34" t="s">
        <v>50</v>
      </c>
    </row>
    <row r="168" s="9" customFormat="true" ht="15" hidden="false" customHeight="false" outlineLevel="0" collapsed="false">
      <c r="A168" s="29"/>
      <c r="B168" s="11"/>
      <c r="C168" s="12" t="n">
        <v>42046</v>
      </c>
      <c r="D168" s="20" t="n">
        <v>2.8</v>
      </c>
      <c r="E168" s="20" t="n">
        <v>0.2</v>
      </c>
      <c r="F168" s="9" t="n">
        <v>6.5</v>
      </c>
      <c r="G168" s="9" t="n">
        <f aca="false">G167+D168</f>
        <v>1457.7</v>
      </c>
      <c r="H168" s="9" t="n">
        <f aca="false">H167+D168</f>
        <v>296</v>
      </c>
      <c r="J168" s="33" t="n">
        <v>0</v>
      </c>
      <c r="K168" s="9" t="n">
        <f aca="false">K167+J168</f>
        <v>265.5</v>
      </c>
      <c r="L168" s="9" t="n">
        <v>1.2</v>
      </c>
      <c r="M168" s="9" t="n">
        <f aca="false">M167+L168</f>
        <v>177.6</v>
      </c>
      <c r="N168" s="14" t="n">
        <f aca="false">J168-L168</f>
        <v>-1.2</v>
      </c>
      <c r="O168" s="9" t="n">
        <f aca="false">O167+N168</f>
        <v>158.1</v>
      </c>
      <c r="P168" s="9" t="n">
        <v>163</v>
      </c>
      <c r="Q168" s="9" t="n">
        <v>1</v>
      </c>
      <c r="R168" s="15" t="n">
        <f aca="false">Q168*L168</f>
        <v>1.2</v>
      </c>
      <c r="S168" s="15" t="n">
        <f aca="false">J168-R168</f>
        <v>-1.2</v>
      </c>
      <c r="T168" s="35" t="n">
        <f aca="false">MIN(197.4,(T167+S168))</f>
        <v>172.115925925926</v>
      </c>
      <c r="V168" s="9" t="n">
        <v>1027.2</v>
      </c>
      <c r="W168" s="9" t="n">
        <f aca="false">V168/D168</f>
        <v>366.857142857143</v>
      </c>
      <c r="X168" s="9" t="n">
        <f aca="false">X167+V168</f>
        <v>94398.6</v>
      </c>
      <c r="Y168" s="9" t="n">
        <f aca="false">Y167+V168</f>
        <v>22003.8</v>
      </c>
      <c r="AA168" s="9" t="n">
        <v>9.94034001567612</v>
      </c>
      <c r="AB168" s="9" t="n">
        <f aca="false">SUM(J170:J179)</f>
        <v>28.2</v>
      </c>
    </row>
    <row r="169" s="38" customFormat="true" ht="15" hidden="false" customHeight="false" outlineLevel="0" collapsed="false">
      <c r="A169" s="29"/>
      <c r="B169" s="36" t="s">
        <v>51</v>
      </c>
      <c r="C169" s="37" t="n">
        <v>42047</v>
      </c>
      <c r="D169" s="38" t="n">
        <v>1.2</v>
      </c>
      <c r="E169" s="38" t="n">
        <v>-2.5</v>
      </c>
      <c r="F169" s="38" t="n">
        <v>5.3</v>
      </c>
      <c r="G169" s="38" t="n">
        <f aca="false">G168+D169</f>
        <v>1458.9</v>
      </c>
      <c r="H169" s="38" t="n">
        <f aca="false">H168+D169</f>
        <v>297.2</v>
      </c>
      <c r="J169" s="38" t="n">
        <v>0</v>
      </c>
      <c r="K169" s="38" t="n">
        <f aca="false">K168+J169</f>
        <v>265.5</v>
      </c>
      <c r="L169" s="38" t="n">
        <v>0.9</v>
      </c>
      <c r="M169" s="38" t="n">
        <f aca="false">M168+L169</f>
        <v>178.5</v>
      </c>
      <c r="N169" s="38" t="n">
        <f aca="false">J169-L169</f>
        <v>-0.9</v>
      </c>
      <c r="O169" s="38" t="n">
        <f aca="false">O168+N169</f>
        <v>157.2</v>
      </c>
      <c r="P169" s="38" t="n">
        <v>164</v>
      </c>
      <c r="Q169" s="38" t="n">
        <v>1</v>
      </c>
      <c r="R169" s="39" t="n">
        <f aca="false">Q169*L169</f>
        <v>0.9</v>
      </c>
      <c r="S169" s="39" t="n">
        <f aca="false">J169-R169</f>
        <v>-0.9</v>
      </c>
      <c r="T169" s="39" t="n">
        <f aca="false">MIN(197.4,(T168+S169))</f>
        <v>171.215925925926</v>
      </c>
      <c r="V169" s="38" t="n">
        <v>815.5</v>
      </c>
      <c r="W169" s="38" t="n">
        <f aca="false">V169/D169</f>
        <v>679.583333333333</v>
      </c>
      <c r="X169" s="38" t="n">
        <f aca="false">X168+V169</f>
        <v>95214.1</v>
      </c>
      <c r="Y169" s="38" t="n">
        <f aca="false">Y168+V169</f>
        <v>22819.3</v>
      </c>
      <c r="AA169" s="38" t="n">
        <v>9.99477206470656</v>
      </c>
    </row>
    <row r="170" s="9" customFormat="true" ht="15" hidden="false" customHeight="false" outlineLevel="0" collapsed="false">
      <c r="A170" s="29"/>
      <c r="B170" s="11"/>
      <c r="C170" s="12" t="n">
        <v>42048</v>
      </c>
      <c r="D170" s="9" t="n">
        <v>6.4</v>
      </c>
      <c r="E170" s="32" t="n">
        <v>-0.3</v>
      </c>
      <c r="F170" s="9" t="n">
        <v>11.7</v>
      </c>
      <c r="G170" s="9" t="n">
        <f aca="false">G169+D170</f>
        <v>1465.3</v>
      </c>
      <c r="H170" s="9" t="n">
        <f aca="false">H169+D170</f>
        <v>303.6</v>
      </c>
      <c r="J170" s="33" t="n">
        <v>3</v>
      </c>
      <c r="K170" s="9" t="n">
        <f aca="false">K169+J170</f>
        <v>268.5</v>
      </c>
      <c r="L170" s="9" t="n">
        <v>1.2</v>
      </c>
      <c r="M170" s="9" t="n">
        <f aca="false">M169+L170</f>
        <v>179.7</v>
      </c>
      <c r="N170" s="9" t="n">
        <f aca="false">J170-L170</f>
        <v>1.8</v>
      </c>
      <c r="O170" s="9" t="n">
        <f aca="false">O169+N170</f>
        <v>159</v>
      </c>
      <c r="P170" s="9" t="n">
        <v>165</v>
      </c>
      <c r="Q170" s="9" t="n">
        <v>1</v>
      </c>
      <c r="R170" s="15" t="n">
        <f aca="false">Q170*L170</f>
        <v>1.2</v>
      </c>
      <c r="S170" s="15" t="n">
        <f aca="false">J170-R170</f>
        <v>1.8</v>
      </c>
      <c r="T170" s="35" t="n">
        <f aca="false">MIN(197.4,(T169+S170))</f>
        <v>173.015925925926</v>
      </c>
      <c r="V170" s="19" t="n">
        <v>846.5</v>
      </c>
      <c r="W170" s="9" t="n">
        <f aca="false">V170/D170</f>
        <v>132.265625</v>
      </c>
      <c r="X170" s="9" t="n">
        <f aca="false">X169+V170</f>
        <v>96060.6</v>
      </c>
      <c r="Y170" s="9" t="n">
        <f aca="false">Y169+V170</f>
        <v>23665.8</v>
      </c>
      <c r="AA170" s="9" t="n">
        <v>10.0495850437491</v>
      </c>
    </row>
    <row r="171" s="9" customFormat="true" ht="15" hidden="false" customHeight="false" outlineLevel="0" collapsed="false">
      <c r="A171" s="29"/>
      <c r="B171" s="11"/>
      <c r="C171" s="12" t="n">
        <v>42049</v>
      </c>
      <c r="D171" s="9" t="n">
        <v>6.2</v>
      </c>
      <c r="E171" s="9" t="n">
        <v>5.7</v>
      </c>
      <c r="F171" s="9" t="n">
        <v>6.8</v>
      </c>
      <c r="G171" s="9" t="n">
        <f aca="false">G170+D171</f>
        <v>1471.5</v>
      </c>
      <c r="H171" s="9" t="n">
        <f aca="false">H170+D171</f>
        <v>309.8</v>
      </c>
      <c r="J171" s="33" t="n">
        <v>7.2</v>
      </c>
      <c r="K171" s="9" t="n">
        <f aca="false">K170+J171</f>
        <v>275.7</v>
      </c>
      <c r="L171" s="9" t="n">
        <v>0.4</v>
      </c>
      <c r="M171" s="9" t="n">
        <f aca="false">M170+L171</f>
        <v>180.1</v>
      </c>
      <c r="N171" s="9" t="n">
        <f aca="false">J171-L171</f>
        <v>6.8</v>
      </c>
      <c r="O171" s="9" t="n">
        <f aca="false">O170+N171</f>
        <v>165.8</v>
      </c>
      <c r="P171" s="9" t="n">
        <v>166</v>
      </c>
      <c r="Q171" s="9" t="n">
        <v>1</v>
      </c>
      <c r="R171" s="15" t="n">
        <f aca="false">Q171*L171</f>
        <v>0.4</v>
      </c>
      <c r="S171" s="15" t="n">
        <f aca="false">J171-R171</f>
        <v>6.8</v>
      </c>
      <c r="T171" s="35" t="n">
        <f aca="false">MIN(197.4,(T170+S171))</f>
        <v>179.815925925926</v>
      </c>
      <c r="V171" s="19" t="n">
        <v>184.7</v>
      </c>
      <c r="W171" s="9" t="n">
        <f aca="false">V171/D171</f>
        <v>29.7903225806452</v>
      </c>
      <c r="X171" s="9" t="n">
        <f aca="false">X170+V171</f>
        <v>96245.3</v>
      </c>
      <c r="Y171" s="9" t="n">
        <f aca="false">Y170+V171</f>
        <v>23850.5</v>
      </c>
      <c r="AA171" s="9" t="n">
        <v>10.1047597234912</v>
      </c>
    </row>
    <row r="172" s="9" customFormat="true" ht="15" hidden="false" customHeight="false" outlineLevel="0" collapsed="false">
      <c r="A172" s="29"/>
      <c r="B172" s="11"/>
      <c r="C172" s="12" t="n">
        <v>42050</v>
      </c>
      <c r="D172" s="9" t="n">
        <v>5.5</v>
      </c>
      <c r="E172" s="20" t="n">
        <v>4.9</v>
      </c>
      <c r="F172" s="9" t="n">
        <v>6.9</v>
      </c>
      <c r="G172" s="9" t="n">
        <f aca="false">G171+D172</f>
        <v>1477</v>
      </c>
      <c r="H172" s="9" t="n">
        <f aca="false">H171+D172</f>
        <v>315.3</v>
      </c>
      <c r="J172" s="33" t="n">
        <v>0.2</v>
      </c>
      <c r="K172" s="9" t="n">
        <f aca="false">K171+J172</f>
        <v>275.9</v>
      </c>
      <c r="L172" s="9" t="n">
        <v>0.4</v>
      </c>
      <c r="M172" s="9" t="n">
        <f aca="false">M171+L172</f>
        <v>180.5</v>
      </c>
      <c r="N172" s="14" t="n">
        <f aca="false">J172-L172</f>
        <v>-0.2</v>
      </c>
      <c r="O172" s="9" t="n">
        <f aca="false">O171+N172</f>
        <v>165.6</v>
      </c>
      <c r="P172" s="9" t="n">
        <v>167</v>
      </c>
      <c r="Q172" s="9" t="n">
        <v>1</v>
      </c>
      <c r="R172" s="15" t="n">
        <f aca="false">Q172*L172</f>
        <v>0.4</v>
      </c>
      <c r="S172" s="15" t="n">
        <f aca="false">J172-R172</f>
        <v>-0.2</v>
      </c>
      <c r="T172" s="35" t="n">
        <f aca="false">MIN(197.4,(T171+S172))</f>
        <v>179.615925925926</v>
      </c>
      <c r="V172" s="19" t="n">
        <v>269.1</v>
      </c>
      <c r="W172" s="9" t="n">
        <f aca="false">V172/D172</f>
        <v>48.9272727272727</v>
      </c>
      <c r="X172" s="9" t="n">
        <f aca="false">X171+V172</f>
        <v>96514.4</v>
      </c>
      <c r="Y172" s="9" t="n">
        <f aca="false">Y171+V172</f>
        <v>24119.6</v>
      </c>
      <c r="AA172" s="9" t="n">
        <v>10.1602775289334</v>
      </c>
    </row>
    <row r="173" s="9" customFormat="true" ht="15" hidden="false" customHeight="false" outlineLevel="0" collapsed="false">
      <c r="A173" s="29"/>
      <c r="B173" s="11"/>
      <c r="C173" s="12" t="n">
        <v>42051</v>
      </c>
      <c r="D173" s="20" t="n">
        <v>2.4</v>
      </c>
      <c r="E173" s="32" t="n">
        <v>-0.1</v>
      </c>
      <c r="F173" s="20" t="n">
        <v>4.2</v>
      </c>
      <c r="G173" s="9" t="n">
        <f aca="false">G172+D173</f>
        <v>1479.4</v>
      </c>
      <c r="H173" s="9" t="n">
        <f aca="false">H172+D173</f>
        <v>317.7</v>
      </c>
      <c r="J173" s="33" t="n">
        <v>0</v>
      </c>
      <c r="K173" s="9" t="n">
        <f aca="false">K172+J173</f>
        <v>275.9</v>
      </c>
      <c r="L173" s="9" t="n">
        <v>0.5</v>
      </c>
      <c r="M173" s="9" t="n">
        <f aca="false">M172+L173</f>
        <v>181</v>
      </c>
      <c r="N173" s="14" t="n">
        <f aca="false">J173-L173</f>
        <v>-0.5</v>
      </c>
      <c r="O173" s="9" t="n">
        <f aca="false">O172+N173</f>
        <v>165.1</v>
      </c>
      <c r="P173" s="9" t="n">
        <v>168</v>
      </c>
      <c r="Q173" s="9" t="n">
        <v>1</v>
      </c>
      <c r="R173" s="15" t="n">
        <f aca="false">Q173*L173</f>
        <v>0.5</v>
      </c>
      <c r="S173" s="15" t="n">
        <f aca="false">J173-R173</f>
        <v>-0.5</v>
      </c>
      <c r="T173" s="35" t="n">
        <f aca="false">MIN(197.4,(T172+S173))</f>
        <v>179.115925925926</v>
      </c>
      <c r="V173" s="19" t="n">
        <v>473.8</v>
      </c>
      <c r="W173" s="9" t="n">
        <f aca="false">V173/D173</f>
        <v>197.416666666667</v>
      </c>
      <c r="X173" s="9" t="n">
        <f aca="false">X172+V173</f>
        <v>96988.2</v>
      </c>
      <c r="Y173" s="9" t="n">
        <f aca="false">Y172+V173</f>
        <v>24593.4</v>
      </c>
      <c r="AA173" s="9" t="n">
        <v>10.2161205304866</v>
      </c>
    </row>
    <row r="174" s="9" customFormat="true" ht="15" hidden="false" customHeight="false" outlineLevel="0" collapsed="false">
      <c r="A174" s="29"/>
      <c r="B174" s="11"/>
      <c r="C174" s="12" t="n">
        <v>42052</v>
      </c>
      <c r="D174" s="20" t="n">
        <v>4.2</v>
      </c>
      <c r="E174" s="20" t="n">
        <v>1.5</v>
      </c>
      <c r="F174" s="9" t="n">
        <v>6</v>
      </c>
      <c r="G174" s="9" t="n">
        <f aca="false">G173+D174</f>
        <v>1483.6</v>
      </c>
      <c r="H174" s="9" t="n">
        <f aca="false">H173+D174</f>
        <v>321.9</v>
      </c>
      <c r="J174" s="33" t="n">
        <v>0.2</v>
      </c>
      <c r="K174" s="9" t="n">
        <f aca="false">K173+J174</f>
        <v>276.1</v>
      </c>
      <c r="L174" s="9" t="n">
        <v>0.4</v>
      </c>
      <c r="M174" s="9" t="n">
        <f aca="false">M173+L174</f>
        <v>181.4</v>
      </c>
      <c r="N174" s="14" t="n">
        <f aca="false">J174-L174</f>
        <v>-0.2</v>
      </c>
      <c r="O174" s="9" t="n">
        <f aca="false">O173+N174</f>
        <v>164.9</v>
      </c>
      <c r="P174" s="9" t="n">
        <v>169</v>
      </c>
      <c r="Q174" s="9" t="n">
        <v>1</v>
      </c>
      <c r="R174" s="15" t="n">
        <f aca="false">Q174*L174</f>
        <v>0.4</v>
      </c>
      <c r="S174" s="15" t="n">
        <f aca="false">J174-R174</f>
        <v>-0.2</v>
      </c>
      <c r="T174" s="35" t="n">
        <f aca="false">MIN(197.4,(T173+S174))</f>
        <v>178.915925925926</v>
      </c>
      <c r="V174" s="19" t="n">
        <v>406.4</v>
      </c>
      <c r="W174" s="9" t="n">
        <f aca="false">V174/D174</f>
        <v>96.7619047619048</v>
      </c>
      <c r="X174" s="9" t="n">
        <f aca="false">X173+V174</f>
        <v>97394.6</v>
      </c>
      <c r="Y174" s="9" t="n">
        <f aca="false">Y173+V174</f>
        <v>24999.8</v>
      </c>
      <c r="AA174" s="9" t="n">
        <v>10.2722714336698</v>
      </c>
      <c r="AD174" s="34" t="s">
        <v>46</v>
      </c>
    </row>
    <row r="175" s="9" customFormat="true" ht="15" hidden="false" customHeight="false" outlineLevel="0" collapsed="false">
      <c r="A175" s="29"/>
      <c r="B175" s="11"/>
      <c r="C175" s="12" t="n">
        <v>42053</v>
      </c>
      <c r="D175" s="20" t="n">
        <v>3</v>
      </c>
      <c r="E175" s="20" t="n">
        <v>1</v>
      </c>
      <c r="F175" s="20" t="n">
        <v>4.9</v>
      </c>
      <c r="G175" s="9" t="n">
        <f aca="false">G174+D175</f>
        <v>1486.6</v>
      </c>
      <c r="H175" s="9" t="n">
        <f aca="false">H174+D175</f>
        <v>324.9</v>
      </c>
      <c r="J175" s="33" t="n">
        <v>0</v>
      </c>
      <c r="K175" s="9" t="n">
        <f aca="false">K174+J175</f>
        <v>276.1</v>
      </c>
      <c r="L175" s="9" t="n">
        <v>0.5</v>
      </c>
      <c r="M175" s="9" t="n">
        <f aca="false">M174+L175</f>
        <v>181.9</v>
      </c>
      <c r="N175" s="14" t="n">
        <f aca="false">J175-L175</f>
        <v>-0.5</v>
      </c>
      <c r="O175" s="9" t="n">
        <f aca="false">O174+N175</f>
        <v>164.4</v>
      </c>
      <c r="P175" s="9" t="n">
        <v>170</v>
      </c>
      <c r="Q175" s="9" t="n">
        <v>1</v>
      </c>
      <c r="R175" s="15" t="n">
        <f aca="false">Q175*L175</f>
        <v>0.5</v>
      </c>
      <c r="S175" s="15" t="n">
        <f aca="false">J175-R175</f>
        <v>-0.5</v>
      </c>
      <c r="T175" s="35" t="n">
        <f aca="false">MIN(197.4,(T174+S175))</f>
        <v>178.415925925926</v>
      </c>
      <c r="V175" s="19" t="n">
        <v>367.9</v>
      </c>
      <c r="W175" s="9" t="n">
        <f aca="false">V175/D175</f>
        <v>122.633333333333</v>
      </c>
      <c r="X175" s="9" t="n">
        <f aca="false">X174+V175</f>
        <v>97762.5</v>
      </c>
      <c r="Y175" s="9" t="n">
        <f aca="false">Y174+V175</f>
        <v>25367.7</v>
      </c>
      <c r="AA175" s="9" t="n">
        <v>10.3287135675388</v>
      </c>
      <c r="AD175" s="17" t="n">
        <f aca="false">(AB160*(90/147))+(AB185*(57/147))</f>
        <v>179.702767643112</v>
      </c>
    </row>
    <row r="176" s="9" customFormat="true" ht="15" hidden="false" customHeight="false" outlineLevel="0" collapsed="false">
      <c r="A176" s="29"/>
      <c r="B176" s="11"/>
      <c r="C176" s="12" t="n">
        <v>42054</v>
      </c>
      <c r="D176" s="20" t="n">
        <v>3.3</v>
      </c>
      <c r="E176" s="32" t="n">
        <v>-1.3</v>
      </c>
      <c r="F176" s="9" t="n">
        <v>6.5</v>
      </c>
      <c r="G176" s="9" t="n">
        <f aca="false">G175+D176</f>
        <v>1489.9</v>
      </c>
      <c r="H176" s="9" t="n">
        <f aca="false">H175+D176</f>
        <v>328.2</v>
      </c>
      <c r="J176" s="33" t="n">
        <v>0</v>
      </c>
      <c r="K176" s="9" t="n">
        <f aca="false">K175+J176</f>
        <v>276.1</v>
      </c>
      <c r="L176" s="9" t="n">
        <v>1</v>
      </c>
      <c r="M176" s="9" t="n">
        <f aca="false">M175+L176</f>
        <v>182.9</v>
      </c>
      <c r="N176" s="14" t="n">
        <f aca="false">J176-L176</f>
        <v>-1</v>
      </c>
      <c r="O176" s="9" t="n">
        <f aca="false">O175+N176</f>
        <v>163.4</v>
      </c>
      <c r="P176" s="9" t="n">
        <v>171</v>
      </c>
      <c r="Q176" s="9" t="n">
        <v>1</v>
      </c>
      <c r="R176" s="15" t="n">
        <f aca="false">Q176*L176</f>
        <v>1</v>
      </c>
      <c r="S176" s="15" t="n">
        <f aca="false">J176-R176</f>
        <v>-1</v>
      </c>
      <c r="T176" s="35" t="n">
        <f aca="false">MIN(197.4,(T175+S176))</f>
        <v>177.415925925926</v>
      </c>
      <c r="V176" s="9" t="n">
        <v>1108.6</v>
      </c>
      <c r="W176" s="9" t="n">
        <f aca="false">V176/D176</f>
        <v>335.939393939394</v>
      </c>
      <c r="X176" s="9" t="n">
        <f aca="false">X175+V176</f>
        <v>98871.1</v>
      </c>
      <c r="Y176" s="9" t="n">
        <f aca="false">Y175+V176</f>
        <v>26476.3</v>
      </c>
      <c r="AA176" s="9" t="n">
        <v>10.3854308719719</v>
      </c>
      <c r="AD176" s="34" t="s">
        <v>47</v>
      </c>
    </row>
    <row r="177" s="9" customFormat="true" ht="15" hidden="false" customHeight="false" outlineLevel="0" collapsed="false">
      <c r="A177" s="29"/>
      <c r="B177" s="11"/>
      <c r="C177" s="12" t="n">
        <v>42055</v>
      </c>
      <c r="D177" s="9" t="n">
        <v>6.2</v>
      </c>
      <c r="E177" s="20" t="n">
        <v>4.7</v>
      </c>
      <c r="F177" s="9" t="n">
        <v>8</v>
      </c>
      <c r="G177" s="9" t="n">
        <f aca="false">G176+D177</f>
        <v>1496.1</v>
      </c>
      <c r="H177" s="9" t="n">
        <f aca="false">H176+D177</f>
        <v>334.4</v>
      </c>
      <c r="J177" s="33" t="n">
        <v>9.8</v>
      </c>
      <c r="K177" s="9" t="n">
        <f aca="false">K176+J177</f>
        <v>285.9</v>
      </c>
      <c r="L177" s="9" t="n">
        <v>0.8</v>
      </c>
      <c r="M177" s="9" t="n">
        <f aca="false">M176+L177</f>
        <v>183.7</v>
      </c>
      <c r="N177" s="9" t="n">
        <f aca="false">J177-L177</f>
        <v>9</v>
      </c>
      <c r="O177" s="9" t="n">
        <f aca="false">O176+N177</f>
        <v>172.4</v>
      </c>
      <c r="P177" s="9" t="n">
        <v>172</v>
      </c>
      <c r="Q177" s="9" t="n">
        <v>1</v>
      </c>
      <c r="R177" s="15" t="n">
        <f aca="false">Q177*L177</f>
        <v>0.8</v>
      </c>
      <c r="S177" s="15" t="n">
        <f aca="false">J177-R177</f>
        <v>9</v>
      </c>
      <c r="T177" s="35" t="n">
        <f aca="false">MIN(197.4,(T176+S177))</f>
        <v>186.415925925926</v>
      </c>
      <c r="V177" s="19" t="n">
        <v>209.5</v>
      </c>
      <c r="W177" s="9" t="n">
        <f aca="false">V177/D177</f>
        <v>33.7903225806452</v>
      </c>
      <c r="X177" s="9" t="n">
        <f aca="false">X176+V177</f>
        <v>99080.6</v>
      </c>
      <c r="Y177" s="9" t="n">
        <f aca="false">Y176+V177</f>
        <v>26685.8</v>
      </c>
      <c r="AA177" s="9" t="n">
        <v>10.4424078839322</v>
      </c>
      <c r="AD177" s="9" t="n">
        <f aca="false">(AB162*(90/147))+(AB187*(57/147))</f>
        <v>4</v>
      </c>
    </row>
    <row r="178" s="9" customFormat="true" ht="15" hidden="false" customHeight="false" outlineLevel="0" collapsed="false">
      <c r="A178" s="29"/>
      <c r="B178" s="11"/>
      <c r="C178" s="12" t="n">
        <v>42056</v>
      </c>
      <c r="D178" s="20" t="n">
        <v>2.7</v>
      </c>
      <c r="E178" s="20" t="n">
        <v>1.9</v>
      </c>
      <c r="F178" s="20" t="n">
        <v>3.2</v>
      </c>
      <c r="G178" s="9" t="n">
        <f aca="false">G177+D178</f>
        <v>1498.8</v>
      </c>
      <c r="H178" s="9" t="n">
        <f aca="false">H177+D178</f>
        <v>337.1</v>
      </c>
      <c r="J178" s="33" t="n">
        <v>1.5</v>
      </c>
      <c r="K178" s="9" t="n">
        <f aca="false">K177+J178</f>
        <v>287.4</v>
      </c>
      <c r="L178" s="9" t="n">
        <v>0.3</v>
      </c>
      <c r="M178" s="9" t="n">
        <f aca="false">M177+L178</f>
        <v>184</v>
      </c>
      <c r="N178" s="9" t="n">
        <f aca="false">J178-L178</f>
        <v>1.2</v>
      </c>
      <c r="O178" s="9" t="n">
        <f aca="false">O177+N178</f>
        <v>173.6</v>
      </c>
      <c r="P178" s="9" t="n">
        <v>173</v>
      </c>
      <c r="Q178" s="9" t="n">
        <v>1</v>
      </c>
      <c r="R178" s="15" t="n">
        <f aca="false">Q178*L178</f>
        <v>0.3</v>
      </c>
      <c r="S178" s="15" t="n">
        <f aca="false">J178-R178</f>
        <v>1.2</v>
      </c>
      <c r="T178" s="35" t="n">
        <f aca="false">MIN(197.4,(T177+S178))</f>
        <v>187.615925925926</v>
      </c>
      <c r="V178" s="19" t="n">
        <v>288.6</v>
      </c>
      <c r="W178" s="9" t="n">
        <f aca="false">V178/D178</f>
        <v>106.888888888889</v>
      </c>
      <c r="X178" s="9" t="n">
        <f aca="false">X177+V178</f>
        <v>99369.2</v>
      </c>
      <c r="Y178" s="9" t="n">
        <f aca="false">Y177+V178</f>
        <v>26974.4</v>
      </c>
      <c r="AA178" s="9" t="n">
        <v>10.4996297228165</v>
      </c>
      <c r="AD178" s="34" t="s">
        <v>48</v>
      </c>
    </row>
    <row r="179" s="9" customFormat="true" ht="15" hidden="false" customHeight="false" outlineLevel="0" collapsed="false">
      <c r="A179" s="29"/>
      <c r="B179" s="11"/>
      <c r="C179" s="12" t="n">
        <v>42057</v>
      </c>
      <c r="D179" s="20" t="n">
        <v>3.1</v>
      </c>
      <c r="E179" s="32" t="n">
        <v>-1.7</v>
      </c>
      <c r="F179" s="9" t="n">
        <v>7.6</v>
      </c>
      <c r="G179" s="9" t="n">
        <f aca="false">G178+D179</f>
        <v>1501.9</v>
      </c>
      <c r="H179" s="9" t="n">
        <f aca="false">H178+D179</f>
        <v>340.2</v>
      </c>
      <c r="J179" s="33" t="n">
        <v>6.3</v>
      </c>
      <c r="K179" s="9" t="n">
        <f aca="false">K178+J179</f>
        <v>293.7</v>
      </c>
      <c r="L179" s="9" t="n">
        <v>1</v>
      </c>
      <c r="M179" s="9" t="n">
        <f aca="false">M178+L179</f>
        <v>185</v>
      </c>
      <c r="N179" s="9" t="n">
        <f aca="false">J179-L179</f>
        <v>5.3</v>
      </c>
      <c r="O179" s="9" t="n">
        <f aca="false">O178+N179</f>
        <v>178.9</v>
      </c>
      <c r="P179" s="9" t="n">
        <v>174</v>
      </c>
      <c r="Q179" s="9" t="n">
        <v>1</v>
      </c>
      <c r="R179" s="15" t="n">
        <f aca="false">Q179*L179</f>
        <v>1</v>
      </c>
      <c r="S179" s="15" t="n">
        <f aca="false">J179-R179</f>
        <v>5.3</v>
      </c>
      <c r="T179" s="35" t="n">
        <f aca="false">MIN(197.4,(T178+S179))</f>
        <v>192.915925925926</v>
      </c>
      <c r="V179" s="9" t="n">
        <v>967.6</v>
      </c>
      <c r="W179" s="9" t="n">
        <f aca="false">V179/D179</f>
        <v>312.129032258065</v>
      </c>
      <c r="X179" s="9" t="n">
        <f aca="false">X178+V179</f>
        <v>100336.8</v>
      </c>
      <c r="Y179" s="9" t="n">
        <f aca="false">Y178+V179</f>
        <v>27942</v>
      </c>
      <c r="AA179" s="9" t="n">
        <v>10.5570820749976</v>
      </c>
      <c r="AD179" s="15" t="n">
        <f aca="false">(AB164*(90/147))+(AB189*(57/147))</f>
        <v>5.3265306122449</v>
      </c>
    </row>
    <row r="180" s="9" customFormat="true" ht="15" hidden="false" customHeight="false" outlineLevel="0" collapsed="false">
      <c r="A180" s="29"/>
      <c r="B180" s="11"/>
      <c r="C180" s="12" t="n">
        <v>42058</v>
      </c>
      <c r="D180" s="9" t="n">
        <v>6.2</v>
      </c>
      <c r="E180" s="20" t="n">
        <v>3.6</v>
      </c>
      <c r="F180" s="9" t="n">
        <v>10</v>
      </c>
      <c r="G180" s="9" t="n">
        <f aca="false">G179+D180</f>
        <v>1508.1</v>
      </c>
      <c r="H180" s="9" t="n">
        <f aca="false">H179+D180</f>
        <v>346.4</v>
      </c>
      <c r="J180" s="9" t="n">
        <v>3.9</v>
      </c>
      <c r="K180" s="9" t="n">
        <f aca="false">K179+J180</f>
        <v>297.6</v>
      </c>
      <c r="L180" s="9" t="n">
        <v>1.2</v>
      </c>
      <c r="M180" s="9" t="n">
        <f aca="false">M179+L180</f>
        <v>186.2</v>
      </c>
      <c r="N180" s="9" t="n">
        <f aca="false">J180-L180</f>
        <v>2.7</v>
      </c>
      <c r="O180" s="9" t="n">
        <f aca="false">O179+N180</f>
        <v>181.6</v>
      </c>
      <c r="P180" s="9" t="n">
        <v>175</v>
      </c>
      <c r="Q180" s="9" t="n">
        <v>1</v>
      </c>
      <c r="R180" s="15" t="n">
        <f aca="false">Q180*L180</f>
        <v>1.2</v>
      </c>
      <c r="S180" s="15" t="n">
        <f aca="false">J180-R180</f>
        <v>2.7</v>
      </c>
      <c r="T180" s="15" t="n">
        <f aca="false">MIN(197.4,(T179+S180))</f>
        <v>195.615925925926</v>
      </c>
      <c r="V180" s="19" t="n">
        <v>592.7</v>
      </c>
      <c r="W180" s="9" t="n">
        <f aca="false">V180/D180</f>
        <v>95.5967741935484</v>
      </c>
      <c r="X180" s="9" t="n">
        <f aca="false">X179+V180</f>
        <v>100929.5</v>
      </c>
      <c r="Y180" s="9" t="n">
        <f aca="false">Y179+V180</f>
        <v>28534.7</v>
      </c>
      <c r="AA180" s="9" t="n">
        <v>10.6147511776557</v>
      </c>
      <c r="AD180" s="34" t="s">
        <v>49</v>
      </c>
    </row>
    <row r="181" s="9" customFormat="true" ht="15" hidden="false" customHeight="false" outlineLevel="0" collapsed="false">
      <c r="A181" s="29"/>
      <c r="B181" s="11"/>
      <c r="C181" s="12" t="n">
        <v>42059</v>
      </c>
      <c r="D181" s="20" t="n">
        <v>3.9</v>
      </c>
      <c r="E181" s="20" t="n">
        <v>1.9</v>
      </c>
      <c r="F181" s="9" t="n">
        <v>6.9</v>
      </c>
      <c r="G181" s="9" t="n">
        <f aca="false">G180+D181</f>
        <v>1512</v>
      </c>
      <c r="H181" s="9" t="n">
        <f aca="false">H180+D181</f>
        <v>350.3</v>
      </c>
      <c r="J181" s="9" t="n">
        <v>0.3</v>
      </c>
      <c r="K181" s="9" t="n">
        <f aca="false">K180+J181</f>
        <v>297.9</v>
      </c>
      <c r="L181" s="9" t="n">
        <v>0.7</v>
      </c>
      <c r="M181" s="9" t="n">
        <f aca="false">M180+L181</f>
        <v>186.9</v>
      </c>
      <c r="N181" s="14" t="n">
        <f aca="false">J181-L181</f>
        <v>-0.4</v>
      </c>
      <c r="O181" s="9" t="n">
        <f aca="false">O180+N181</f>
        <v>181.2</v>
      </c>
      <c r="P181" s="9" t="n">
        <v>176</v>
      </c>
      <c r="Q181" s="9" t="n">
        <v>1</v>
      </c>
      <c r="R181" s="15" t="n">
        <f aca="false">Q181*L181</f>
        <v>0.7</v>
      </c>
      <c r="S181" s="15" t="n">
        <f aca="false">J181-R181</f>
        <v>-0.4</v>
      </c>
      <c r="T181" s="15" t="n">
        <f aca="false">MIN(197.4,(T180+S181))</f>
        <v>195.215925925926</v>
      </c>
      <c r="V181" s="19" t="n">
        <v>578.3</v>
      </c>
      <c r="W181" s="9" t="n">
        <f aca="false">V181/D181</f>
        <v>148.282051282051</v>
      </c>
      <c r="X181" s="9" t="n">
        <f aca="false">X180+V181</f>
        <v>101507.8</v>
      </c>
      <c r="Y181" s="9" t="n">
        <f aca="false">Y180+V181</f>
        <v>29113</v>
      </c>
      <c r="AA181" s="9" t="n">
        <v>10.6726238019919</v>
      </c>
      <c r="AD181" s="9" t="n">
        <f aca="false">(AB166*(90/147))+(AB191*(57/147))</f>
        <v>0</v>
      </c>
    </row>
    <row r="182" s="9" customFormat="true" ht="15" hidden="false" customHeight="false" outlineLevel="0" collapsed="false">
      <c r="A182" s="29"/>
      <c r="B182" s="11"/>
      <c r="C182" s="12" t="n">
        <v>42060</v>
      </c>
      <c r="D182" s="20" t="n">
        <v>4.8</v>
      </c>
      <c r="E182" s="20" t="n">
        <v>1.5</v>
      </c>
      <c r="F182" s="9" t="n">
        <v>6.6</v>
      </c>
      <c r="G182" s="9" t="n">
        <f aca="false">G181+D182</f>
        <v>1516.8</v>
      </c>
      <c r="H182" s="9" t="n">
        <f aca="false">H181+D182</f>
        <v>355.1</v>
      </c>
      <c r="J182" s="9" t="n">
        <v>1.4</v>
      </c>
      <c r="K182" s="9" t="n">
        <f aca="false">K181+J182</f>
        <v>299.3</v>
      </c>
      <c r="L182" s="9" t="n">
        <v>0.2</v>
      </c>
      <c r="M182" s="9" t="n">
        <f aca="false">M181+L182</f>
        <v>187.1</v>
      </c>
      <c r="N182" s="9" t="n">
        <f aca="false">J182-L182</f>
        <v>1.2</v>
      </c>
      <c r="O182" s="9" t="n">
        <f aca="false">O181+N182</f>
        <v>182.4</v>
      </c>
      <c r="P182" s="9" t="n">
        <v>177</v>
      </c>
      <c r="Q182" s="9" t="n">
        <v>1</v>
      </c>
      <c r="R182" s="15" t="n">
        <f aca="false">Q182*L182</f>
        <v>0.2</v>
      </c>
      <c r="S182" s="15" t="n">
        <f aca="false">J182-R182</f>
        <v>1.2</v>
      </c>
      <c r="T182" s="15" t="n">
        <f aca="false">MIN(197.4,(T181+S182))</f>
        <v>196.415925925926</v>
      </c>
      <c r="V182" s="19" t="n">
        <v>188.2</v>
      </c>
      <c r="W182" s="9" t="n">
        <f aca="false">V182/D182</f>
        <v>39.2083333333333</v>
      </c>
      <c r="X182" s="9" t="n">
        <f aca="false">X181+V182</f>
        <v>101696</v>
      </c>
      <c r="Y182" s="9" t="n">
        <f aca="false">Y181+V182</f>
        <v>29301.2</v>
      </c>
      <c r="AA182" s="9" t="n">
        <v>10.7306872359066</v>
      </c>
      <c r="AD182" s="34" t="s">
        <v>50</v>
      </c>
    </row>
    <row r="183" s="9" customFormat="true" ht="15" hidden="false" customHeight="false" outlineLevel="0" collapsed="false">
      <c r="A183" s="29"/>
      <c r="B183" s="11"/>
      <c r="C183" s="12" t="n">
        <v>42061</v>
      </c>
      <c r="D183" s="9" t="n">
        <v>8.1</v>
      </c>
      <c r="E183" s="20" t="n">
        <v>5.9</v>
      </c>
      <c r="F183" s="9" t="n">
        <v>10.1</v>
      </c>
      <c r="G183" s="9" t="n">
        <f aca="false">G182+D183</f>
        <v>1524.9</v>
      </c>
      <c r="H183" s="9" t="n">
        <f aca="false">H182+D183</f>
        <v>363.2</v>
      </c>
      <c r="J183" s="9" t="n">
        <v>6.3</v>
      </c>
      <c r="K183" s="9" t="n">
        <f aca="false">K182+J183</f>
        <v>305.6</v>
      </c>
      <c r="L183" s="9" t="n">
        <v>0.5</v>
      </c>
      <c r="M183" s="9" t="n">
        <f aca="false">M182+L183</f>
        <v>187.6</v>
      </c>
      <c r="N183" s="9" t="n">
        <f aca="false">J183-L183</f>
        <v>5.8</v>
      </c>
      <c r="O183" s="9" t="n">
        <f aca="false">O182+N183</f>
        <v>188.2</v>
      </c>
      <c r="P183" s="9" t="n">
        <v>178</v>
      </c>
      <c r="Q183" s="9" t="n">
        <v>1</v>
      </c>
      <c r="R183" s="15" t="n">
        <f aca="false">Q183*L183</f>
        <v>0.5</v>
      </c>
      <c r="S183" s="15" t="n">
        <f aca="false">J183-R183</f>
        <v>5.8</v>
      </c>
      <c r="T183" s="15" t="n">
        <f aca="false">MIN(197.4,(T182+S183))</f>
        <v>197.4</v>
      </c>
      <c r="V183" s="19" t="n">
        <v>333.1</v>
      </c>
      <c r="W183" s="9" t="n">
        <f aca="false">V183/D183</f>
        <v>41.1234567901235</v>
      </c>
      <c r="X183" s="9" t="n">
        <f aca="false">X182+V183</f>
        <v>102029.1</v>
      </c>
      <c r="Y183" s="9" t="n">
        <f aca="false">Y182+V183</f>
        <v>29634.3</v>
      </c>
      <c r="AA183" s="9" t="n">
        <v>10.7889292662213</v>
      </c>
      <c r="AD183" s="15" t="n">
        <f aca="false">(AB168*(90/147))+(AB193*(57/147))</f>
        <v>17.3040816326531</v>
      </c>
    </row>
    <row r="184" s="9" customFormat="true" ht="15" hidden="false" customHeight="false" outlineLevel="0" collapsed="false">
      <c r="A184" s="29"/>
      <c r="B184" s="11"/>
      <c r="C184" s="12" t="n">
        <v>42062</v>
      </c>
      <c r="D184" s="20" t="n">
        <v>4.9</v>
      </c>
      <c r="E184" s="20" t="n">
        <v>4.1</v>
      </c>
      <c r="F184" s="9" t="n">
        <v>7.9</v>
      </c>
      <c r="G184" s="9" t="n">
        <f aca="false">G183+D184</f>
        <v>1529.8</v>
      </c>
      <c r="H184" s="9" t="n">
        <f aca="false">H183+D184</f>
        <v>368.1</v>
      </c>
      <c r="J184" s="33" t="n">
        <v>0</v>
      </c>
      <c r="K184" s="9" t="n">
        <f aca="false">K183+J184</f>
        <v>305.6</v>
      </c>
      <c r="L184" s="9" t="n">
        <v>1.6</v>
      </c>
      <c r="M184" s="9" t="n">
        <f aca="false">M183+L184</f>
        <v>189.2</v>
      </c>
      <c r="N184" s="14" t="n">
        <f aca="false">J184-L184</f>
        <v>-1.6</v>
      </c>
      <c r="O184" s="9" t="n">
        <f aca="false">O183+N184</f>
        <v>186.6</v>
      </c>
      <c r="P184" s="9" t="n">
        <v>179</v>
      </c>
      <c r="Q184" s="9" t="n">
        <v>1</v>
      </c>
      <c r="R184" s="15" t="n">
        <f aca="false">Q184*L184</f>
        <v>1.6</v>
      </c>
      <c r="S184" s="15" t="n">
        <f aca="false">J184-R184</f>
        <v>-1.6</v>
      </c>
      <c r="T184" s="15" t="n">
        <f aca="false">MIN(197.4,(T183+S184))</f>
        <v>195.8</v>
      </c>
      <c r="V184" s="19" t="n">
        <v>876.4</v>
      </c>
      <c r="W184" s="9" t="n">
        <f aca="false">V184/D184</f>
        <v>178.857142857143</v>
      </c>
      <c r="X184" s="9" t="n">
        <f aca="false">X183+V184</f>
        <v>102905.5</v>
      </c>
      <c r="Y184" s="9" t="n">
        <f aca="false">Y183+V184</f>
        <v>30510.7</v>
      </c>
      <c r="AA184" s="9" t="n">
        <v>10.8473381605151</v>
      </c>
      <c r="AB184" s="34" t="s">
        <v>46</v>
      </c>
    </row>
    <row r="185" s="9" customFormat="true" ht="15" hidden="false" customHeight="false" outlineLevel="0" collapsed="false">
      <c r="A185" s="29"/>
      <c r="B185" s="11"/>
      <c r="C185" s="12" t="n">
        <v>42063</v>
      </c>
      <c r="D185" s="20" t="n">
        <v>4.7</v>
      </c>
      <c r="E185" s="32" t="n">
        <v>-1.2</v>
      </c>
      <c r="F185" s="9" t="n">
        <v>10</v>
      </c>
      <c r="G185" s="9" t="n">
        <f aca="false">G184+D185</f>
        <v>1534.5</v>
      </c>
      <c r="H185" s="9" t="n">
        <f aca="false">H184+D185</f>
        <v>372.8</v>
      </c>
      <c r="J185" s="33" t="n">
        <v>5</v>
      </c>
      <c r="K185" s="9" t="n">
        <f aca="false">K184+J185</f>
        <v>310.6</v>
      </c>
      <c r="L185" s="9" t="n">
        <v>1.1</v>
      </c>
      <c r="M185" s="9" t="n">
        <f aca="false">M184+L185</f>
        <v>190.3</v>
      </c>
      <c r="N185" s="9" t="n">
        <f aca="false">J185-L185</f>
        <v>3.9</v>
      </c>
      <c r="O185" s="9" t="n">
        <f aca="false">O184+N185</f>
        <v>190.5</v>
      </c>
      <c r="P185" s="9" t="n">
        <v>180</v>
      </c>
      <c r="Q185" s="9" t="n">
        <v>1</v>
      </c>
      <c r="R185" s="15" t="n">
        <f aca="false">Q185*L185</f>
        <v>1.1</v>
      </c>
      <c r="S185" s="15" t="n">
        <f aca="false">J185-R185</f>
        <v>3.9</v>
      </c>
      <c r="T185" s="15" t="n">
        <f aca="false">MIN(197.4,(T184+S185))</f>
        <v>197.4</v>
      </c>
      <c r="V185" s="19" t="n">
        <v>583.5</v>
      </c>
      <c r="W185" s="9" t="n">
        <f aca="false">V185/D185</f>
        <v>124.148936170213</v>
      </c>
      <c r="X185" s="9" t="n">
        <f aca="false">X184+V185</f>
        <v>103489</v>
      </c>
      <c r="Y185" s="9" t="n">
        <f aca="false">Y184+V185</f>
        <v>31094.2</v>
      </c>
      <c r="AA185" s="9" t="n">
        <v>10.9059026486411</v>
      </c>
      <c r="AB185" s="17" t="n">
        <f aca="false">AVERAGE(T191:T204)</f>
        <v>181.046653061225</v>
      </c>
    </row>
    <row r="186" s="9" customFormat="true" ht="15" hidden="false" customHeight="false" outlineLevel="0" collapsed="false">
      <c r="A186" s="29"/>
      <c r="B186" s="11"/>
      <c r="C186" s="12" t="n">
        <v>42064</v>
      </c>
      <c r="D186" s="9" t="n">
        <v>9.9</v>
      </c>
      <c r="E186" s="9" t="n">
        <v>7</v>
      </c>
      <c r="F186" s="9" t="n">
        <v>11</v>
      </c>
      <c r="G186" s="9" t="n">
        <f aca="false">G185+D186</f>
        <v>1544.4</v>
      </c>
      <c r="H186" s="9" t="n">
        <f aca="false">H185+D186</f>
        <v>382.7</v>
      </c>
      <c r="J186" s="33" t="n">
        <v>1.8</v>
      </c>
      <c r="K186" s="9" t="n">
        <f aca="false">K185+J186</f>
        <v>312.4</v>
      </c>
      <c r="L186" s="9" t="n">
        <v>0.8</v>
      </c>
      <c r="M186" s="9" t="n">
        <f aca="false">M185+L186</f>
        <v>191.1</v>
      </c>
      <c r="N186" s="9" t="n">
        <f aca="false">J186-L186</f>
        <v>1</v>
      </c>
      <c r="O186" s="9" t="n">
        <f aca="false">O185+N186</f>
        <v>191.5</v>
      </c>
      <c r="P186" s="9" t="n">
        <v>181</v>
      </c>
      <c r="Q186" s="9" t="n">
        <v>1</v>
      </c>
      <c r="R186" s="15" t="n">
        <f aca="false">Q186*L186</f>
        <v>0.8</v>
      </c>
      <c r="S186" s="15" t="n">
        <f aca="false">J186-R186</f>
        <v>1</v>
      </c>
      <c r="T186" s="15" t="n">
        <f aca="false">MIN(197.4,(T185+S186))</f>
        <v>197.4</v>
      </c>
      <c r="V186" s="19" t="n">
        <v>460</v>
      </c>
      <c r="W186" s="9" t="n">
        <f aca="false">V186/D186</f>
        <v>46.4646464646465</v>
      </c>
      <c r="X186" s="9" t="n">
        <f aca="false">X185+V186</f>
        <v>103949</v>
      </c>
      <c r="Y186" s="9" t="n">
        <f aca="false">Y185+V186</f>
        <v>31554.2</v>
      </c>
      <c r="AA186" s="9" t="n">
        <v>10.9646119039825</v>
      </c>
      <c r="AB186" s="34" t="s">
        <v>47</v>
      </c>
    </row>
    <row r="187" s="9" customFormat="true" ht="15" hidden="false" customHeight="false" outlineLevel="0" collapsed="false">
      <c r="A187" s="29"/>
      <c r="B187" s="11"/>
      <c r="C187" s="12" t="n">
        <v>42065</v>
      </c>
      <c r="D187" s="9" t="n">
        <v>7.3</v>
      </c>
      <c r="E187" s="9" t="n">
        <v>6</v>
      </c>
      <c r="F187" s="9" t="n">
        <v>9.7</v>
      </c>
      <c r="G187" s="9" t="n">
        <f aca="false">G186+D187</f>
        <v>1551.7</v>
      </c>
      <c r="H187" s="9" t="n">
        <f aca="false">H186+D187</f>
        <v>390</v>
      </c>
      <c r="J187" s="33" t="n">
        <v>0.8</v>
      </c>
      <c r="K187" s="9" t="n">
        <f aca="false">K186+J187</f>
        <v>313.2</v>
      </c>
      <c r="L187" s="9" t="n">
        <v>1.6</v>
      </c>
      <c r="M187" s="9" t="n">
        <f aca="false">M186+L187</f>
        <v>192.7</v>
      </c>
      <c r="N187" s="14" t="n">
        <f aca="false">J187-L187</f>
        <v>-0.8</v>
      </c>
      <c r="O187" s="9" t="n">
        <f aca="false">O186+N187</f>
        <v>190.7</v>
      </c>
      <c r="P187" s="9" t="n">
        <v>182</v>
      </c>
      <c r="Q187" s="9" t="n">
        <v>1</v>
      </c>
      <c r="R187" s="15" t="n">
        <f aca="false">Q187*L187</f>
        <v>1.6</v>
      </c>
      <c r="S187" s="15" t="n">
        <f aca="false">J187-R187</f>
        <v>-0.8</v>
      </c>
      <c r="T187" s="15" t="n">
        <f aca="false">MIN(197.4,(T186+S187))</f>
        <v>196.6</v>
      </c>
      <c r="V187" s="19" t="n">
        <v>893</v>
      </c>
      <c r="W187" s="9" t="n">
        <f aca="false">V187/D187</f>
        <v>122.328767123288</v>
      </c>
      <c r="X187" s="9" t="n">
        <f aca="false">X186+V187</f>
        <v>104842</v>
      </c>
      <c r="Y187" s="9" t="n">
        <f aca="false">Y186+V187</f>
        <v>32447.2</v>
      </c>
      <c r="AA187" s="9" t="n">
        <v>11.0234555245018</v>
      </c>
      <c r="AB187" s="9" t="n">
        <v>4</v>
      </c>
    </row>
    <row r="188" s="9" customFormat="true" ht="15" hidden="false" customHeight="false" outlineLevel="0" collapsed="false">
      <c r="A188" s="29"/>
      <c r="B188" s="11"/>
      <c r="C188" s="12" t="n">
        <v>42066</v>
      </c>
      <c r="D188" s="9" t="n">
        <v>5.4</v>
      </c>
      <c r="E188" s="20" t="n">
        <v>2.8</v>
      </c>
      <c r="F188" s="9" t="n">
        <v>10.1</v>
      </c>
      <c r="G188" s="9" t="n">
        <f aca="false">G187+D188</f>
        <v>1557.1</v>
      </c>
      <c r="H188" s="9" t="n">
        <f aca="false">H187+D188</f>
        <v>395.4</v>
      </c>
      <c r="J188" s="33" t="n">
        <v>1.3</v>
      </c>
      <c r="K188" s="9" t="n">
        <f aca="false">K187+J188</f>
        <v>314.5</v>
      </c>
      <c r="L188" s="9" t="n">
        <v>1.4</v>
      </c>
      <c r="M188" s="9" t="n">
        <f aca="false">M187+L188</f>
        <v>194.1</v>
      </c>
      <c r="N188" s="14" t="n">
        <f aca="false">J188-L188</f>
        <v>-0.0999999999999999</v>
      </c>
      <c r="O188" s="9" t="n">
        <f aca="false">O187+N188</f>
        <v>190.6</v>
      </c>
      <c r="P188" s="9" t="n">
        <v>183</v>
      </c>
      <c r="Q188" s="9" t="n">
        <v>1</v>
      </c>
      <c r="R188" s="15" t="n">
        <f aca="false">Q188*L188</f>
        <v>1.4</v>
      </c>
      <c r="S188" s="15" t="n">
        <f aca="false">J188-R188</f>
        <v>-0.0999999999999999</v>
      </c>
      <c r="T188" s="15" t="n">
        <f aca="false">MIN(197.4,(T187+S188))</f>
        <v>196.5</v>
      </c>
      <c r="V188" s="19" t="n">
        <v>897.2</v>
      </c>
      <c r="W188" s="9" t="n">
        <f aca="false">V188/D188</f>
        <v>166.148148148148</v>
      </c>
      <c r="X188" s="9" t="n">
        <f aca="false">X187+V188</f>
        <v>105739.2</v>
      </c>
      <c r="Y188" s="9" t="n">
        <f aca="false">Y187+V188</f>
        <v>33344.4</v>
      </c>
      <c r="AA188" s="9" t="n">
        <v>11.0824235136319</v>
      </c>
      <c r="AB188" s="34" t="s">
        <v>48</v>
      </c>
    </row>
    <row r="189" s="9" customFormat="true" ht="15" hidden="false" customHeight="false" outlineLevel="0" collapsed="false">
      <c r="A189" s="29"/>
      <c r="B189" s="11"/>
      <c r="C189" s="12" t="n">
        <v>42067</v>
      </c>
      <c r="D189" s="20" t="n">
        <v>4</v>
      </c>
      <c r="E189" s="20" t="n">
        <v>0.2</v>
      </c>
      <c r="F189" s="9" t="n">
        <v>7.5</v>
      </c>
      <c r="G189" s="9" t="n">
        <f aca="false">G188+D189</f>
        <v>1561.1</v>
      </c>
      <c r="H189" s="9" t="n">
        <f aca="false">H188+D189</f>
        <v>399.4</v>
      </c>
      <c r="J189" s="33" t="n">
        <v>0.1</v>
      </c>
      <c r="K189" s="9" t="n">
        <f aca="false">K188+J189</f>
        <v>314.6</v>
      </c>
      <c r="L189" s="9" t="n">
        <v>1.2</v>
      </c>
      <c r="M189" s="9" t="n">
        <f aca="false">M188+L189</f>
        <v>195.3</v>
      </c>
      <c r="N189" s="14" t="n">
        <f aca="false">J189-L189</f>
        <v>-1.1</v>
      </c>
      <c r="O189" s="9" t="n">
        <f aca="false">O188+N189</f>
        <v>189.5</v>
      </c>
      <c r="P189" s="9" t="n">
        <v>184</v>
      </c>
      <c r="Q189" s="9" t="n">
        <v>1</v>
      </c>
      <c r="R189" s="15" t="n">
        <f aca="false">Q189*L189</f>
        <v>1.2</v>
      </c>
      <c r="S189" s="15" t="n">
        <f aca="false">J189-R189</f>
        <v>-1.1</v>
      </c>
      <c r="T189" s="15" t="n">
        <f aca="false">MIN(197.4,(T188+S189))</f>
        <v>195.4</v>
      </c>
      <c r="V189" s="9" t="n">
        <v>1016.1</v>
      </c>
      <c r="W189" s="9" t="n">
        <f aca="false">V189/D189</f>
        <v>254.025</v>
      </c>
      <c r="X189" s="9" t="n">
        <f aca="false">X188+V189</f>
        <v>106755.3</v>
      </c>
      <c r="Y189" s="9" t="n">
        <f aca="false">Y188+V189</f>
        <v>34360.5</v>
      </c>
      <c r="AA189" s="9" t="n">
        <v>11.1415062610532</v>
      </c>
      <c r="AB189" s="9" t="n">
        <v>9</v>
      </c>
    </row>
    <row r="190" s="9" customFormat="true" ht="15" hidden="false" customHeight="false" outlineLevel="0" collapsed="false">
      <c r="A190" s="29"/>
      <c r="B190" s="11"/>
      <c r="C190" s="12" t="n">
        <v>42068</v>
      </c>
      <c r="D190" s="20" t="n">
        <v>4.6</v>
      </c>
      <c r="E190" s="32" t="n">
        <v>-0.4</v>
      </c>
      <c r="F190" s="9" t="n">
        <v>10</v>
      </c>
      <c r="G190" s="9" t="n">
        <f aca="false">G189+D190</f>
        <v>1565.7</v>
      </c>
      <c r="H190" s="9" t="n">
        <f aca="false">H189+D190</f>
        <v>404</v>
      </c>
      <c r="J190" s="33" t="n">
        <v>0</v>
      </c>
      <c r="K190" s="9" t="n">
        <f aca="false">K189+J190</f>
        <v>314.6</v>
      </c>
      <c r="L190" s="9" t="n">
        <v>1.3</v>
      </c>
      <c r="M190" s="9" t="n">
        <f aca="false">M189+L190</f>
        <v>196.6</v>
      </c>
      <c r="N190" s="14" t="n">
        <f aca="false">J190-L190</f>
        <v>-1.3</v>
      </c>
      <c r="O190" s="9" t="n">
        <f aca="false">O189+N190</f>
        <v>188.2</v>
      </c>
      <c r="P190" s="9" t="n">
        <v>185</v>
      </c>
      <c r="Q190" s="9" t="n">
        <v>1</v>
      </c>
      <c r="R190" s="15" t="n">
        <f aca="false">Q190*L190</f>
        <v>1.3</v>
      </c>
      <c r="S190" s="15" t="n">
        <f aca="false">J190-R190</f>
        <v>-1.3</v>
      </c>
      <c r="T190" s="15" t="n">
        <f aca="false">MIN(197.4,(T189+S190))</f>
        <v>194.1</v>
      </c>
      <c r="V190" s="9" t="n">
        <v>953.4</v>
      </c>
      <c r="W190" s="9" t="n">
        <f aca="false">V190/D190</f>
        <v>207.260869565217</v>
      </c>
      <c r="X190" s="9" t="n">
        <f aca="false">X189+V190</f>
        <v>107708.7</v>
      </c>
      <c r="Y190" s="9" t="n">
        <f aca="false">Y189+V190</f>
        <v>35313.9</v>
      </c>
      <c r="AA190" s="9" t="n">
        <v>11.2006945233936</v>
      </c>
      <c r="AB190" s="34" t="s">
        <v>49</v>
      </c>
    </row>
    <row r="191" s="9" customFormat="true" ht="15" hidden="false" customHeight="false" outlineLevel="0" collapsed="false">
      <c r="A191" s="29"/>
      <c r="B191" s="11"/>
      <c r="C191" s="12" t="n">
        <v>42069</v>
      </c>
      <c r="D191" s="20" t="n">
        <v>4.4</v>
      </c>
      <c r="E191" s="32" t="n">
        <v>-1.2</v>
      </c>
      <c r="F191" s="9" t="n">
        <v>10.6</v>
      </c>
      <c r="G191" s="9" t="n">
        <f aca="false">G190+D191</f>
        <v>1570.1</v>
      </c>
      <c r="H191" s="9" t="n">
        <f aca="false">H190+D191</f>
        <v>408.4</v>
      </c>
      <c r="J191" s="33" t="n">
        <v>0</v>
      </c>
      <c r="K191" s="9" t="n">
        <f aca="false">K190+J191</f>
        <v>314.6</v>
      </c>
      <c r="L191" s="9" t="n">
        <v>1.9</v>
      </c>
      <c r="M191" s="9" t="n">
        <f aca="false">M190+L191</f>
        <v>198.5</v>
      </c>
      <c r="N191" s="14" t="n">
        <f aca="false">J191-L191</f>
        <v>-1.9</v>
      </c>
      <c r="O191" s="9" t="n">
        <f aca="false">O190+N191</f>
        <v>186.3</v>
      </c>
      <c r="P191" s="9" t="n">
        <v>186</v>
      </c>
      <c r="Q191" s="9" t="n">
        <v>1</v>
      </c>
      <c r="R191" s="15" t="n">
        <f aca="false">Q191*L191</f>
        <v>1.9</v>
      </c>
      <c r="S191" s="15" t="n">
        <f aca="false">J191-R191</f>
        <v>-1.9</v>
      </c>
      <c r="T191" s="35" t="n">
        <f aca="false">MIN(197.4,(T190+S191))</f>
        <v>192.2</v>
      </c>
      <c r="V191" s="9" t="n">
        <v>1485.6</v>
      </c>
      <c r="W191" s="9" t="n">
        <f aca="false">V191/D191</f>
        <v>337.636363636364</v>
      </c>
      <c r="X191" s="9" t="n">
        <f aca="false">X190+V191</f>
        <v>109194.3</v>
      </c>
      <c r="Y191" s="9" t="n">
        <f aca="false">Y190+V191</f>
        <v>36799.5</v>
      </c>
      <c r="AA191" s="9" t="n">
        <v>11.2599794048885</v>
      </c>
      <c r="AB191" s="9" t="n">
        <v>0</v>
      </c>
    </row>
    <row r="192" s="9" customFormat="true" ht="15" hidden="false" customHeight="false" outlineLevel="0" collapsed="false">
      <c r="A192" s="29"/>
      <c r="B192" s="11"/>
      <c r="C192" s="12" t="n">
        <v>42070</v>
      </c>
      <c r="D192" s="9" t="n">
        <v>5.5</v>
      </c>
      <c r="E192" s="32" t="n">
        <v>-0.9</v>
      </c>
      <c r="F192" s="9" t="n">
        <v>12.1</v>
      </c>
      <c r="G192" s="9" t="n">
        <f aca="false">G191+D192</f>
        <v>1575.6</v>
      </c>
      <c r="H192" s="9" t="n">
        <f aca="false">H191+D192</f>
        <v>413.9</v>
      </c>
      <c r="J192" s="33" t="n">
        <v>0</v>
      </c>
      <c r="K192" s="9" t="n">
        <f aca="false">K191+J192</f>
        <v>314.6</v>
      </c>
      <c r="L192" s="9" t="n">
        <v>2.1</v>
      </c>
      <c r="M192" s="9" t="n">
        <f aca="false">M191+L192</f>
        <v>200.6</v>
      </c>
      <c r="N192" s="14" t="n">
        <f aca="false">J192-L192</f>
        <v>-2.1</v>
      </c>
      <c r="O192" s="9" t="n">
        <f aca="false">O191+N192</f>
        <v>184.2</v>
      </c>
      <c r="P192" s="9" t="n">
        <v>187</v>
      </c>
      <c r="Q192" s="9" t="n">
        <v>1</v>
      </c>
      <c r="R192" s="15" t="n">
        <f aca="false">Q192*L192</f>
        <v>2.1</v>
      </c>
      <c r="S192" s="15" t="n">
        <f aca="false">J192-R192</f>
        <v>-2.1</v>
      </c>
      <c r="T192" s="35" t="n">
        <f aca="false">MIN(197.4,(T191+S192))</f>
        <v>190.1</v>
      </c>
      <c r="V192" s="9" t="n">
        <v>1483.7</v>
      </c>
      <c r="W192" s="9" t="n">
        <f aca="false">V192/D192</f>
        <v>269.763636363636</v>
      </c>
      <c r="X192" s="9" t="n">
        <f aca="false">X191+V192</f>
        <v>110678</v>
      </c>
      <c r="Y192" s="9" t="n">
        <f aca="false">Y191+V192</f>
        <v>38283.2</v>
      </c>
      <c r="AA192" s="9" t="n">
        <v>11.3193523380277</v>
      </c>
      <c r="AB192" s="34" t="s">
        <v>50</v>
      </c>
    </row>
    <row r="193" s="9" customFormat="true" ht="15" hidden="false" customHeight="false" outlineLevel="0" collapsed="false">
      <c r="A193" s="29"/>
      <c r="B193" s="11"/>
      <c r="C193" s="12" t="n">
        <v>42071</v>
      </c>
      <c r="D193" s="9" t="n">
        <v>8.2</v>
      </c>
      <c r="E193" s="32" t="n">
        <v>-0.4</v>
      </c>
      <c r="F193" s="9" t="n">
        <v>16</v>
      </c>
      <c r="G193" s="9" t="n">
        <f aca="false">G192+D193</f>
        <v>1583.8</v>
      </c>
      <c r="H193" s="9" t="n">
        <f aca="false">H192+D193</f>
        <v>422.1</v>
      </c>
      <c r="J193" s="33" t="n">
        <v>0</v>
      </c>
      <c r="K193" s="9" t="n">
        <f aca="false">K192+J193</f>
        <v>314.6</v>
      </c>
      <c r="L193" s="9" t="n">
        <v>2.4</v>
      </c>
      <c r="M193" s="9" t="n">
        <f aca="false">M192+L193</f>
        <v>203</v>
      </c>
      <c r="N193" s="14" t="n">
        <f aca="false">J193-L193</f>
        <v>-2.4</v>
      </c>
      <c r="O193" s="9" t="n">
        <f aca="false">O192+N193</f>
        <v>181.8</v>
      </c>
      <c r="P193" s="9" t="n">
        <v>188</v>
      </c>
      <c r="Q193" s="9" t="n">
        <v>1</v>
      </c>
      <c r="R193" s="15" t="n">
        <f aca="false">Q193*L193</f>
        <v>2.4</v>
      </c>
      <c r="S193" s="15" t="n">
        <f aca="false">J193-R193</f>
        <v>-2.4</v>
      </c>
      <c r="T193" s="35" t="n">
        <f aca="false">MIN(197.4,(T192+S193))</f>
        <v>187.7</v>
      </c>
      <c r="V193" s="9" t="n">
        <v>1433.8</v>
      </c>
      <c r="W193" s="9" t="n">
        <f aca="false">V193/D193</f>
        <v>174.853658536585</v>
      </c>
      <c r="X193" s="9" t="n">
        <f aca="false">X192+V193</f>
        <v>112111.8</v>
      </c>
      <c r="Y193" s="9" t="n">
        <f aca="false">Y192+V193</f>
        <v>39717</v>
      </c>
      <c r="AA193" s="9" t="n">
        <v>11.3788050642179</v>
      </c>
      <c r="AB193" s="9" t="n">
        <f aca="false">SUM(J195:J204)</f>
        <v>0.1</v>
      </c>
    </row>
    <row r="194" s="42" customFormat="true" ht="15" hidden="false" customHeight="false" outlineLevel="0" collapsed="false">
      <c r="A194" s="29"/>
      <c r="B194" s="40" t="s">
        <v>52</v>
      </c>
      <c r="C194" s="41" t="n">
        <v>42072</v>
      </c>
      <c r="D194" s="42" t="n">
        <v>8.8</v>
      </c>
      <c r="E194" s="42" t="n">
        <v>6.4</v>
      </c>
      <c r="F194" s="42" t="n">
        <v>12</v>
      </c>
      <c r="G194" s="42" t="n">
        <f aca="false">G193+D194</f>
        <v>1592.6</v>
      </c>
      <c r="H194" s="42" t="n">
        <f aca="false">H193+D194</f>
        <v>430.9</v>
      </c>
      <c r="J194" s="42" t="n">
        <v>0</v>
      </c>
      <c r="K194" s="42" t="n">
        <f aca="false">K193+J194</f>
        <v>314.6</v>
      </c>
      <c r="L194" s="42" t="n">
        <v>1.7</v>
      </c>
      <c r="M194" s="42" t="n">
        <f aca="false">M193+L194</f>
        <v>204.7</v>
      </c>
      <c r="N194" s="42" t="n">
        <f aca="false">J194-L194</f>
        <v>-1.7</v>
      </c>
      <c r="O194" s="42" t="n">
        <f aca="false">O193+N194</f>
        <v>180.1</v>
      </c>
      <c r="P194" s="42" t="n">
        <v>189</v>
      </c>
      <c r="Q194" s="43" t="n">
        <v>1</v>
      </c>
      <c r="R194" s="44" t="n">
        <f aca="false">Q194*L194</f>
        <v>1.7</v>
      </c>
      <c r="S194" s="44" t="n">
        <f aca="false">J194-R194</f>
        <v>-1.7</v>
      </c>
      <c r="T194" s="45" t="n">
        <f aca="false">MIN(197.4,(T193+S194))</f>
        <v>186</v>
      </c>
      <c r="V194" s="42" t="n">
        <v>1185.6</v>
      </c>
      <c r="W194" s="42" t="n">
        <f aca="false">V194/D194</f>
        <v>134.727272727273</v>
      </c>
      <c r="X194" s="42" t="n">
        <f aca="false">X193+V194</f>
        <v>113297.4</v>
      </c>
      <c r="Y194" s="43" t="n">
        <f aca="false">Y193+V194</f>
        <v>40902.6</v>
      </c>
      <c r="AA194" s="43" t="n">
        <v>11.4383296144815</v>
      </c>
    </row>
    <row r="195" s="9" customFormat="true" ht="15" hidden="false" customHeight="true" outlineLevel="0" collapsed="false">
      <c r="A195" s="46" t="s">
        <v>53</v>
      </c>
      <c r="B195" s="11"/>
      <c r="C195" s="12" t="n">
        <v>42073</v>
      </c>
      <c r="D195" s="9" t="n">
        <v>8.9</v>
      </c>
      <c r="E195" s="9" t="n">
        <v>5.3</v>
      </c>
      <c r="F195" s="9" t="n">
        <v>12.5</v>
      </c>
      <c r="G195" s="9" t="n">
        <f aca="false">G194+D195</f>
        <v>1601.5</v>
      </c>
      <c r="H195" s="9" t="n">
        <v>8.9</v>
      </c>
      <c r="I195" s="47" t="s">
        <v>28</v>
      </c>
      <c r="J195" s="33" t="n">
        <v>0.1</v>
      </c>
      <c r="K195" s="9" t="n">
        <f aca="false">K194+J195</f>
        <v>314.7</v>
      </c>
      <c r="L195" s="9" t="n">
        <v>0.5</v>
      </c>
      <c r="M195" s="9" t="n">
        <f aca="false">M194+L195</f>
        <v>205.2</v>
      </c>
      <c r="N195" s="14" t="n">
        <f aca="false">J195-L195</f>
        <v>-0.4</v>
      </c>
      <c r="O195" s="9" t="n">
        <f aca="false">O194+N195</f>
        <v>179.7</v>
      </c>
      <c r="P195" s="9" t="n">
        <v>190</v>
      </c>
      <c r="Q195" s="17" t="n">
        <f aca="false">1+((P195-189)/35)*(1.15-1)</f>
        <v>1.00428571428571</v>
      </c>
      <c r="R195" s="15" t="n">
        <f aca="false">Q195*L195</f>
        <v>0.502142857142857</v>
      </c>
      <c r="S195" s="15" t="n">
        <f aca="false">J195-R195</f>
        <v>-0.402142857142857</v>
      </c>
      <c r="T195" s="35" t="n">
        <f aca="false">MIN(197.4,(T194+S195))</f>
        <v>185.597857142857</v>
      </c>
      <c r="U195" s="47" t="s">
        <v>29</v>
      </c>
      <c r="V195" s="19" t="n">
        <v>344.7</v>
      </c>
      <c r="W195" s="9" t="n">
        <f aca="false">V195/D195</f>
        <v>38.7303370786517</v>
      </c>
      <c r="X195" s="9" t="n">
        <f aca="false">X194+V195</f>
        <v>113642.1</v>
      </c>
      <c r="Y195" s="9" t="n">
        <v>344.7</v>
      </c>
      <c r="Z195" s="47" t="s">
        <v>30</v>
      </c>
      <c r="AA195" s="9" t="n">
        <v>11.4979182902117</v>
      </c>
    </row>
    <row r="196" s="9" customFormat="true" ht="15" hidden="false" customHeight="false" outlineLevel="0" collapsed="false">
      <c r="A196" s="46"/>
      <c r="B196" s="11"/>
      <c r="C196" s="12" t="n">
        <v>42074</v>
      </c>
      <c r="D196" s="9" t="n">
        <v>7.8</v>
      </c>
      <c r="E196" s="20" t="n">
        <v>4.7</v>
      </c>
      <c r="F196" s="9" t="n">
        <v>12.4</v>
      </c>
      <c r="G196" s="9" t="n">
        <f aca="false">G195+D196</f>
        <v>1609.3</v>
      </c>
      <c r="H196" s="9" t="n">
        <f aca="false">H195+D196</f>
        <v>16.7</v>
      </c>
      <c r="I196" s="9" t="n">
        <f aca="false">MIN(E195:E229)</f>
        <v>-1.4</v>
      </c>
      <c r="J196" s="33" t="n">
        <v>0</v>
      </c>
      <c r="K196" s="9" t="n">
        <f aca="false">K195+J196</f>
        <v>314.7</v>
      </c>
      <c r="L196" s="9" t="n">
        <v>2.1</v>
      </c>
      <c r="M196" s="9" t="n">
        <f aca="false">M195+L196</f>
        <v>207.3</v>
      </c>
      <c r="N196" s="14" t="n">
        <f aca="false">J196-L196</f>
        <v>-2.1</v>
      </c>
      <c r="O196" s="9" t="n">
        <f aca="false">O195+N196</f>
        <v>177.6</v>
      </c>
      <c r="P196" s="9" t="n">
        <v>191</v>
      </c>
      <c r="Q196" s="17" t="n">
        <f aca="false">1+((P196-189)/35)*(1.15-1)</f>
        <v>1.00857142857143</v>
      </c>
      <c r="R196" s="15" t="n">
        <f aca="false">Q196*L196</f>
        <v>2.118</v>
      </c>
      <c r="S196" s="15" t="n">
        <f aca="false">J196-R196</f>
        <v>-2.118</v>
      </c>
      <c r="T196" s="35" t="n">
        <f aca="false">MIN(197.4,(T195+S196))</f>
        <v>183.479857142857</v>
      </c>
      <c r="U196" s="9" t="n">
        <v>29</v>
      </c>
      <c r="V196" s="9" t="n">
        <v>1490.7</v>
      </c>
      <c r="W196" s="9" t="n">
        <f aca="false">V196/D196</f>
        <v>191.115384615385</v>
      </c>
      <c r="X196" s="9" t="n">
        <f aca="false">X195+V196</f>
        <v>115132.8</v>
      </c>
      <c r="Y196" s="9" t="n">
        <f aca="false">Y195+V196</f>
        <v>1835.4</v>
      </c>
      <c r="Z196" s="9" t="n">
        <v>41995.9</v>
      </c>
      <c r="AA196" s="9" t="n">
        <v>11.5575636439992</v>
      </c>
    </row>
    <row r="197" s="9" customFormat="true" ht="15" hidden="false" customHeight="false" outlineLevel="0" collapsed="false">
      <c r="A197" s="46"/>
      <c r="B197" s="11"/>
      <c r="C197" s="12" t="n">
        <v>42075</v>
      </c>
      <c r="D197" s="9" t="n">
        <v>6.5</v>
      </c>
      <c r="E197" s="20" t="n">
        <v>0.1</v>
      </c>
      <c r="F197" s="9" t="n">
        <v>12</v>
      </c>
      <c r="G197" s="9" t="n">
        <f aca="false">G196+D197</f>
        <v>1615.8</v>
      </c>
      <c r="H197" s="9" t="n">
        <f aca="false">H196+D197</f>
        <v>23.2</v>
      </c>
      <c r="I197" s="47" t="s">
        <v>31</v>
      </c>
      <c r="J197" s="33" t="n">
        <v>0</v>
      </c>
      <c r="K197" s="9" t="n">
        <f aca="false">K196+J197</f>
        <v>314.7</v>
      </c>
      <c r="L197" s="9" t="n">
        <v>2.2</v>
      </c>
      <c r="M197" s="9" t="n">
        <f aca="false">M196+L197</f>
        <v>209.5</v>
      </c>
      <c r="N197" s="14" t="n">
        <f aca="false">J197-L197</f>
        <v>-2.2</v>
      </c>
      <c r="O197" s="9" t="n">
        <f aca="false">O196+N197</f>
        <v>175.4</v>
      </c>
      <c r="P197" s="9" t="n">
        <v>192</v>
      </c>
      <c r="Q197" s="17" t="n">
        <f aca="false">1+((P197-189)/35)*(1.15-1)</f>
        <v>1.01285714285714</v>
      </c>
      <c r="R197" s="15" t="n">
        <f aca="false">Q197*L197</f>
        <v>2.22828571428571</v>
      </c>
      <c r="S197" s="15" t="n">
        <f aca="false">J197-R197</f>
        <v>-2.22828571428571</v>
      </c>
      <c r="T197" s="35" t="n">
        <f aca="false">MIN(197.4,(T196+S197))</f>
        <v>181.251571428571</v>
      </c>
      <c r="U197" s="47" t="s">
        <v>32</v>
      </c>
      <c r="V197" s="9" t="n">
        <v>1638.3</v>
      </c>
      <c r="W197" s="9" t="n">
        <f aca="false">V197/D197</f>
        <v>252.046153846154</v>
      </c>
      <c r="X197" s="9" t="n">
        <f aca="false">X196+V197</f>
        <v>116771.1</v>
      </c>
      <c r="Y197" s="9" t="n">
        <f aca="false">Y196+V197</f>
        <v>3473.7</v>
      </c>
      <c r="Z197" s="47" t="s">
        <v>33</v>
      </c>
      <c r="AA197" s="9" t="n">
        <v>11.6172584605448</v>
      </c>
    </row>
    <row r="198" s="9" customFormat="true" ht="15" hidden="false" customHeight="false" outlineLevel="0" collapsed="false">
      <c r="A198" s="46"/>
      <c r="B198" s="11"/>
      <c r="C198" s="12" t="n">
        <v>42076</v>
      </c>
      <c r="D198" s="9" t="n">
        <v>5.6</v>
      </c>
      <c r="E198" s="20" t="n">
        <v>0.8</v>
      </c>
      <c r="F198" s="9" t="n">
        <v>10.9</v>
      </c>
      <c r="G198" s="9" t="n">
        <f aca="false">G197+D198</f>
        <v>1621.4</v>
      </c>
      <c r="H198" s="9" t="n">
        <f aca="false">H197+D198</f>
        <v>28.8</v>
      </c>
      <c r="I198" s="9" t="n">
        <f aca="false">MAX(F195:F229)</f>
        <v>20.7</v>
      </c>
      <c r="J198" s="33" t="n">
        <v>0</v>
      </c>
      <c r="K198" s="9" t="n">
        <f aca="false">K197+J198</f>
        <v>314.7</v>
      </c>
      <c r="L198" s="9" t="n">
        <v>1.3</v>
      </c>
      <c r="M198" s="9" t="n">
        <f aca="false">M197+L198</f>
        <v>210.8</v>
      </c>
      <c r="N198" s="14" t="n">
        <f aca="false">J198-L198</f>
        <v>-1.3</v>
      </c>
      <c r="O198" s="9" t="n">
        <f aca="false">O197+N198</f>
        <v>174.1</v>
      </c>
      <c r="P198" s="9" t="n">
        <v>193</v>
      </c>
      <c r="Q198" s="17" t="n">
        <f aca="false">1+((P198-189)/35)*(1.15-1)</f>
        <v>1.01714285714286</v>
      </c>
      <c r="R198" s="15" t="n">
        <f aca="false">Q198*L198</f>
        <v>1.32228571428571</v>
      </c>
      <c r="S198" s="15" t="n">
        <f aca="false">J198-R198</f>
        <v>-1.32228571428571</v>
      </c>
      <c r="T198" s="35" t="n">
        <f aca="false">MIN(197.4,(T197+S198))</f>
        <v>179.929285714286</v>
      </c>
      <c r="U198" s="9" t="n">
        <v>0</v>
      </c>
      <c r="V198" s="9" t="n">
        <v>1004.2</v>
      </c>
      <c r="W198" s="9" t="n">
        <f aca="false">V198/D198</f>
        <v>179.321428571429</v>
      </c>
      <c r="X198" s="9" t="n">
        <f aca="false">X197+V198</f>
        <v>117775.3</v>
      </c>
      <c r="Y198" s="9" t="n">
        <f aca="false">Y197+V198</f>
        <v>4477.9</v>
      </c>
      <c r="Z198" s="17" t="n">
        <f aca="false">(Z196/100)/I208</f>
        <v>1.4714751226349</v>
      </c>
      <c r="AA198" s="9" t="n">
        <v>11.6769957376663</v>
      </c>
    </row>
    <row r="199" s="9" customFormat="true" ht="15" hidden="false" customHeight="false" outlineLevel="0" collapsed="false">
      <c r="A199" s="46"/>
      <c r="B199" s="11"/>
      <c r="C199" s="12" t="n">
        <v>42077</v>
      </c>
      <c r="D199" s="9" t="n">
        <v>6.1</v>
      </c>
      <c r="E199" s="20" t="n">
        <v>2.9</v>
      </c>
      <c r="F199" s="9" t="n">
        <v>8.5</v>
      </c>
      <c r="G199" s="9" t="n">
        <f aca="false">G198+D199</f>
        <v>1627.5</v>
      </c>
      <c r="H199" s="9" t="n">
        <f aca="false">H198+D199</f>
        <v>34.9</v>
      </c>
      <c r="I199" s="47" t="s">
        <v>34</v>
      </c>
      <c r="J199" s="33" t="n">
        <v>0</v>
      </c>
      <c r="K199" s="9" t="n">
        <f aca="false">K198+J199</f>
        <v>314.7</v>
      </c>
      <c r="L199" s="9" t="n">
        <v>1.6</v>
      </c>
      <c r="M199" s="9" t="n">
        <f aca="false">M198+L199</f>
        <v>212.4</v>
      </c>
      <c r="N199" s="14" t="n">
        <f aca="false">J199-L199</f>
        <v>-1.6</v>
      </c>
      <c r="O199" s="9" t="n">
        <f aca="false">O198+N199</f>
        <v>172.5</v>
      </c>
      <c r="P199" s="9" t="n">
        <v>194</v>
      </c>
      <c r="Q199" s="17" t="n">
        <f aca="false">1+((P199-189)/35)*(1.15-1)</f>
        <v>1.02142857142857</v>
      </c>
      <c r="R199" s="15" t="n">
        <f aca="false">Q199*L199</f>
        <v>1.63428571428571</v>
      </c>
      <c r="S199" s="15" t="n">
        <f aca="false">J199-R199</f>
        <v>-1.63428571428571</v>
      </c>
      <c r="T199" s="35" t="n">
        <f aca="false">MIN(197.4,(T198+S199))</f>
        <v>178.295</v>
      </c>
      <c r="U199" s="47" t="s">
        <v>35</v>
      </c>
      <c r="V199" s="9" t="n">
        <v>1322.1</v>
      </c>
      <c r="W199" s="9" t="n">
        <f aca="false">V199/D199</f>
        <v>216.737704918033</v>
      </c>
      <c r="X199" s="9" t="n">
        <f aca="false">X198+V199</f>
        <v>119097.4</v>
      </c>
      <c r="Y199" s="9" t="n">
        <f aca="false">Y198+V199</f>
        <v>5800</v>
      </c>
      <c r="Z199" s="47" t="s">
        <v>36</v>
      </c>
      <c r="AA199" s="9" t="n">
        <v>11.7367686674097</v>
      </c>
    </row>
    <row r="200" s="9" customFormat="true" ht="15" hidden="false" customHeight="false" outlineLevel="0" collapsed="false">
      <c r="A200" s="46"/>
      <c r="B200" s="11"/>
      <c r="C200" s="12" t="n">
        <v>42078</v>
      </c>
      <c r="D200" s="9" t="n">
        <v>5.6</v>
      </c>
      <c r="E200" s="20" t="n">
        <v>4.5</v>
      </c>
      <c r="F200" s="9" t="n">
        <v>7.5</v>
      </c>
      <c r="G200" s="9" t="n">
        <f aca="false">G199+D200</f>
        <v>1633.1</v>
      </c>
      <c r="H200" s="9" t="n">
        <f aca="false">H199+D200</f>
        <v>40.5</v>
      </c>
      <c r="I200" s="15" t="n">
        <f aca="false">AVERAGE(D195:D229)</f>
        <v>8.15428571428571</v>
      </c>
      <c r="J200" s="33" t="n">
        <v>0</v>
      </c>
      <c r="K200" s="9" t="n">
        <f aca="false">K199+J200</f>
        <v>314.7</v>
      </c>
      <c r="L200" s="9" t="n">
        <v>0.8</v>
      </c>
      <c r="M200" s="9" t="n">
        <f aca="false">M199+L200</f>
        <v>213.2</v>
      </c>
      <c r="N200" s="14" t="n">
        <f aca="false">J200-L200</f>
        <v>-0.8</v>
      </c>
      <c r="O200" s="9" t="n">
        <f aca="false">O199+N200</f>
        <v>171.7</v>
      </c>
      <c r="P200" s="9" t="n">
        <v>195</v>
      </c>
      <c r="Q200" s="17" t="n">
        <f aca="false">1+((P200-189)/35)*(1.15-1)</f>
        <v>1.02571428571429</v>
      </c>
      <c r="R200" s="15" t="n">
        <f aca="false">Q200*L200</f>
        <v>0.820571428571429</v>
      </c>
      <c r="S200" s="15" t="n">
        <f aca="false">J200-R200</f>
        <v>-0.820571428571429</v>
      </c>
      <c r="T200" s="35" t="n">
        <f aca="false">MIN(197.4,(T199+S200))</f>
        <v>177.474428571429</v>
      </c>
      <c r="U200" s="9" t="n">
        <v>0</v>
      </c>
      <c r="V200" s="19" t="n">
        <v>609.5</v>
      </c>
      <c r="W200" s="9" t="n">
        <f aca="false">V200/D200</f>
        <v>108.839285714286</v>
      </c>
      <c r="X200" s="9" t="n">
        <f aca="false">X199+V200</f>
        <v>119706.9</v>
      </c>
      <c r="Y200" s="9" t="n">
        <f aca="false">Y199+V200</f>
        <v>6409.5</v>
      </c>
      <c r="Z200" s="9" t="n">
        <v>11</v>
      </c>
      <c r="AA200" s="9" t="n">
        <v>11.7965706172693</v>
      </c>
    </row>
    <row r="201" s="9" customFormat="true" ht="15" hidden="false" customHeight="false" outlineLevel="0" collapsed="false">
      <c r="A201" s="46"/>
      <c r="B201" s="11"/>
      <c r="C201" s="12" t="n">
        <v>42079</v>
      </c>
      <c r="D201" s="9" t="n">
        <v>6.4</v>
      </c>
      <c r="E201" s="20" t="n">
        <v>0.7</v>
      </c>
      <c r="F201" s="9" t="n">
        <v>10.8</v>
      </c>
      <c r="G201" s="9" t="n">
        <f aca="false">G200+D201</f>
        <v>1639.5</v>
      </c>
      <c r="H201" s="9" t="n">
        <f aca="false">H200+D201</f>
        <v>46.9</v>
      </c>
      <c r="I201" s="47" t="s">
        <v>37</v>
      </c>
      <c r="J201" s="33" t="n">
        <v>0</v>
      </c>
      <c r="K201" s="9" t="n">
        <f aca="false">K200+J201</f>
        <v>314.7</v>
      </c>
      <c r="L201" s="9" t="n">
        <v>1.5</v>
      </c>
      <c r="M201" s="9" t="n">
        <f aca="false">M200+L201</f>
        <v>214.7</v>
      </c>
      <c r="N201" s="14" t="n">
        <f aca="false">J201-L201</f>
        <v>-1.5</v>
      </c>
      <c r="O201" s="9" t="n">
        <f aca="false">O200+N201</f>
        <v>170.2</v>
      </c>
      <c r="P201" s="9" t="n">
        <v>196</v>
      </c>
      <c r="Q201" s="17" t="n">
        <f aca="false">1+((P201-189)/35)*(1.15-1)</f>
        <v>1.03</v>
      </c>
      <c r="R201" s="15" t="n">
        <f aca="false">Q201*L201</f>
        <v>1.545</v>
      </c>
      <c r="S201" s="15" t="n">
        <f aca="false">J201-R201</f>
        <v>-1.545</v>
      </c>
      <c r="T201" s="35" t="n">
        <f aca="false">MIN(197.4,(T200+S201))</f>
        <v>175.929428571429</v>
      </c>
      <c r="U201" s="47" t="s">
        <v>38</v>
      </c>
      <c r="V201" s="9" t="n">
        <v>1258.9</v>
      </c>
      <c r="W201" s="9" t="n">
        <f aca="false">V201/D201</f>
        <v>196.703125</v>
      </c>
      <c r="X201" s="9" t="n">
        <f aca="false">X200+V201</f>
        <v>120965.8</v>
      </c>
      <c r="Y201" s="9" t="n">
        <f aca="false">Y200+V201</f>
        <v>7668.4</v>
      </c>
      <c r="AA201" s="9" t="n">
        <v>11.8563951115219</v>
      </c>
    </row>
    <row r="202" s="9" customFormat="true" ht="15" hidden="false" customHeight="false" outlineLevel="0" collapsed="false">
      <c r="A202" s="46"/>
      <c r="B202" s="11"/>
      <c r="C202" s="12" t="n">
        <v>42080</v>
      </c>
      <c r="D202" s="9" t="n">
        <v>8.6</v>
      </c>
      <c r="E202" s="20" t="n">
        <v>0.3</v>
      </c>
      <c r="F202" s="9" t="n">
        <v>15.7</v>
      </c>
      <c r="G202" s="9" t="n">
        <f aca="false">G201+D202</f>
        <v>1648.1</v>
      </c>
      <c r="H202" s="9" t="n">
        <f aca="false">H201+D202</f>
        <v>55.5</v>
      </c>
      <c r="I202" s="9" t="n">
        <v>2</v>
      </c>
      <c r="J202" s="33" t="n">
        <v>0</v>
      </c>
      <c r="K202" s="9" t="n">
        <f aca="false">K201+J202</f>
        <v>314.7</v>
      </c>
      <c r="L202" s="9" t="n">
        <v>2</v>
      </c>
      <c r="M202" s="9" t="n">
        <f aca="false">M201+L202</f>
        <v>216.7</v>
      </c>
      <c r="N202" s="14" t="n">
        <f aca="false">J202-L202</f>
        <v>-2</v>
      </c>
      <c r="O202" s="9" t="n">
        <f aca="false">O201+N202</f>
        <v>168.2</v>
      </c>
      <c r="P202" s="9" t="n">
        <v>197</v>
      </c>
      <c r="Q202" s="17" t="n">
        <f aca="false">1+((P202-189)/35)*(1.15-1)</f>
        <v>1.03428571428571</v>
      </c>
      <c r="R202" s="15" t="n">
        <f aca="false">Q202*L202</f>
        <v>2.06857142857143</v>
      </c>
      <c r="S202" s="15" t="n">
        <f aca="false">J202-R202</f>
        <v>-2.06857142857143</v>
      </c>
      <c r="T202" s="35" t="n">
        <f aca="false">MIN(197.4,(T201+S202))</f>
        <v>173.860857142857</v>
      </c>
      <c r="U202" s="15" t="n">
        <f aca="false">MIN(T195:T229)</f>
        <v>161.366</v>
      </c>
      <c r="V202" s="9" t="n">
        <v>1391.3</v>
      </c>
      <c r="W202" s="9" t="n">
        <f aca="false">V202/D202</f>
        <v>161.779069767442</v>
      </c>
      <c r="X202" s="9" t="n">
        <f aca="false">X201+V202</f>
        <v>122357.1</v>
      </c>
      <c r="Y202" s="9" t="n">
        <f aca="false">Y201+V202</f>
        <v>9059.7</v>
      </c>
      <c r="AA202" s="9" t="n">
        <v>11.9162358126761</v>
      </c>
    </row>
    <row r="203" s="9" customFormat="true" ht="15" hidden="false" customHeight="false" outlineLevel="0" collapsed="false">
      <c r="A203" s="46"/>
      <c r="B203" s="11"/>
      <c r="C203" s="12" t="n">
        <v>42081</v>
      </c>
      <c r="D203" s="9" t="n">
        <v>9.3</v>
      </c>
      <c r="E203" s="20" t="n">
        <v>3.4</v>
      </c>
      <c r="F203" s="9" t="n">
        <v>14.9</v>
      </c>
      <c r="G203" s="9" t="n">
        <f aca="false">G202+D203</f>
        <v>1657.4</v>
      </c>
      <c r="H203" s="9" t="n">
        <f aca="false">H202+D203</f>
        <v>64.8</v>
      </c>
      <c r="I203" s="47" t="s">
        <v>39</v>
      </c>
      <c r="J203" s="33" t="n">
        <v>0</v>
      </c>
      <c r="K203" s="9" t="n">
        <f aca="false">K202+J203</f>
        <v>314.7</v>
      </c>
      <c r="L203" s="9" t="n">
        <v>1.7</v>
      </c>
      <c r="M203" s="9" t="n">
        <f aca="false">M202+L203</f>
        <v>218.4</v>
      </c>
      <c r="N203" s="14" t="n">
        <f aca="false">J203-L203</f>
        <v>-1.7</v>
      </c>
      <c r="O203" s="9" t="n">
        <f aca="false">O202+N203</f>
        <v>166.5</v>
      </c>
      <c r="P203" s="9" t="n">
        <v>198</v>
      </c>
      <c r="Q203" s="17" t="n">
        <f aca="false">1+((P203-189)/35)*(1.15-1)</f>
        <v>1.03857142857143</v>
      </c>
      <c r="R203" s="15" t="n">
        <f aca="false">Q203*L203</f>
        <v>1.76557142857143</v>
      </c>
      <c r="S203" s="15" t="n">
        <f aca="false">J203-R203</f>
        <v>-1.76557142857143</v>
      </c>
      <c r="T203" s="35" t="n">
        <f aca="false">MIN(197.4,(T202+S203))</f>
        <v>172.095285714286</v>
      </c>
      <c r="U203" s="47" t="s">
        <v>40</v>
      </c>
      <c r="V203" s="9" t="n">
        <v>957.2</v>
      </c>
      <c r="W203" s="9" t="n">
        <f aca="false">V203/D203</f>
        <v>102.924731182796</v>
      </c>
      <c r="X203" s="9" t="n">
        <f aca="false">X202+V203</f>
        <v>123314.3</v>
      </c>
      <c r="Y203" s="9" t="n">
        <f aca="false">Y202+V203</f>
        <v>10016.9</v>
      </c>
      <c r="AA203" s="9" t="n">
        <v>11.976086503038</v>
      </c>
    </row>
    <row r="204" s="9" customFormat="true" ht="15" hidden="false" customHeight="false" outlineLevel="0" collapsed="false">
      <c r="A204" s="46"/>
      <c r="B204" s="11"/>
      <c r="C204" s="12" t="n">
        <v>42082</v>
      </c>
      <c r="D204" s="9" t="n">
        <v>6.5</v>
      </c>
      <c r="E204" s="20" t="n">
        <v>5</v>
      </c>
      <c r="F204" s="9" t="n">
        <v>7.8</v>
      </c>
      <c r="G204" s="9" t="n">
        <f aca="false">G203+D204</f>
        <v>1663.9</v>
      </c>
      <c r="H204" s="9" t="n">
        <f aca="false">H203+D204</f>
        <v>71.3</v>
      </c>
      <c r="I204" s="9" t="n">
        <v>0</v>
      </c>
      <c r="J204" s="33" t="n">
        <v>0</v>
      </c>
      <c r="K204" s="9" t="n">
        <f aca="false">K203+J204</f>
        <v>314.7</v>
      </c>
      <c r="L204" s="9" t="n">
        <v>1.3</v>
      </c>
      <c r="M204" s="9" t="n">
        <f aca="false">M203+L204</f>
        <v>219.7</v>
      </c>
      <c r="N204" s="14" t="n">
        <f aca="false">J204-L204</f>
        <v>-1.3</v>
      </c>
      <c r="O204" s="9" t="n">
        <f aca="false">O203+N204</f>
        <v>165.2</v>
      </c>
      <c r="P204" s="9" t="n">
        <v>199</v>
      </c>
      <c r="Q204" s="17" t="n">
        <f aca="false">1+((P204-189)/35)*(1.15-1)</f>
        <v>1.04285714285714</v>
      </c>
      <c r="R204" s="15" t="n">
        <f aca="false">Q204*L204</f>
        <v>1.35571428571429</v>
      </c>
      <c r="S204" s="15" t="n">
        <f aca="false">J204-R204</f>
        <v>-1.35571428571429</v>
      </c>
      <c r="T204" s="35" t="n">
        <f aca="false">MIN(197.4,(T203+S204))</f>
        <v>170.739571428571</v>
      </c>
      <c r="U204" s="15" t="n">
        <f aca="false">MAX(T195:T229)</f>
        <v>186.661285714286</v>
      </c>
      <c r="V204" s="19" t="n">
        <v>758.4</v>
      </c>
      <c r="W204" s="9" t="n">
        <f aca="false">V204/D204</f>
        <v>116.676923076923</v>
      </c>
      <c r="X204" s="9" t="n">
        <f aca="false">X203+V204</f>
        <v>124072.7</v>
      </c>
      <c r="Y204" s="9" t="n">
        <f aca="false">Y203+V204</f>
        <v>10775.3</v>
      </c>
      <c r="AA204" s="9" t="n">
        <v>12.0359410663935</v>
      </c>
    </row>
    <row r="205" s="9" customFormat="true" ht="15" hidden="false" customHeight="false" outlineLevel="0" collapsed="false">
      <c r="A205" s="46"/>
      <c r="B205" s="11"/>
      <c r="C205" s="12" t="n">
        <v>42083</v>
      </c>
      <c r="D205" s="9" t="n">
        <v>7.5</v>
      </c>
      <c r="E205" s="9" t="n">
        <v>5.9</v>
      </c>
      <c r="F205" s="9" t="n">
        <v>9.7</v>
      </c>
      <c r="G205" s="9" t="n">
        <f aca="false">G204+D205</f>
        <v>1671.4</v>
      </c>
      <c r="H205" s="9" t="n">
        <f aca="false">H204+D205</f>
        <v>78.8</v>
      </c>
      <c r="I205" s="47" t="s">
        <v>41</v>
      </c>
      <c r="J205" s="9" t="n">
        <v>0</v>
      </c>
      <c r="K205" s="9" t="n">
        <f aca="false">K204+J205</f>
        <v>314.7</v>
      </c>
      <c r="L205" s="9" t="n">
        <v>1.8</v>
      </c>
      <c r="M205" s="9" t="n">
        <f aca="false">M204+L205</f>
        <v>221.5</v>
      </c>
      <c r="N205" s="14" t="n">
        <f aca="false">J205-L205</f>
        <v>-1.8</v>
      </c>
      <c r="O205" s="9" t="n">
        <f aca="false">O204+N205</f>
        <v>163.4</v>
      </c>
      <c r="P205" s="9" t="n">
        <v>200</v>
      </c>
      <c r="Q205" s="17" t="n">
        <f aca="false">1+((P205-189)/35)*(1.15-1)</f>
        <v>1.04714285714286</v>
      </c>
      <c r="R205" s="15" t="n">
        <f aca="false">Q205*L205</f>
        <v>1.88485714285714</v>
      </c>
      <c r="S205" s="15" t="n">
        <f aca="false">J205-R205</f>
        <v>-1.88485714285714</v>
      </c>
      <c r="T205" s="15" t="n">
        <f aca="false">MIN(197.4,(T204+S205))</f>
        <v>168.854714285714</v>
      </c>
      <c r="U205" s="47" t="s">
        <v>42</v>
      </c>
      <c r="V205" s="9" t="n">
        <v>1284.9</v>
      </c>
      <c r="W205" s="9" t="n">
        <f aca="false">V205/D205</f>
        <v>171.32</v>
      </c>
      <c r="X205" s="9" t="n">
        <f aca="false">X204+V205</f>
        <v>125357.6</v>
      </c>
      <c r="Y205" s="9" t="n">
        <f aca="false">Y204+V205</f>
        <v>12060.2</v>
      </c>
      <c r="AA205" s="9" t="n">
        <v>12.0957934698047</v>
      </c>
    </row>
    <row r="206" s="9" customFormat="true" ht="15" hidden="false" customHeight="false" outlineLevel="0" collapsed="false">
      <c r="A206" s="46"/>
      <c r="B206" s="11"/>
      <c r="C206" s="12" t="n">
        <v>42084</v>
      </c>
      <c r="D206" s="9" t="n">
        <v>5.6</v>
      </c>
      <c r="E206" s="20" t="n">
        <v>3.4</v>
      </c>
      <c r="F206" s="9" t="n">
        <v>7.2</v>
      </c>
      <c r="G206" s="9" t="n">
        <f aca="false">G205+D206</f>
        <v>1677</v>
      </c>
      <c r="H206" s="9" t="n">
        <f aca="false">H205+D206</f>
        <v>84.4</v>
      </c>
      <c r="I206" s="9" t="n">
        <v>21</v>
      </c>
      <c r="J206" s="9" t="n">
        <v>0</v>
      </c>
      <c r="K206" s="9" t="n">
        <f aca="false">K205+J206</f>
        <v>314.7</v>
      </c>
      <c r="L206" s="9" t="n">
        <v>0.9</v>
      </c>
      <c r="M206" s="9" t="n">
        <f aca="false">M205+L206</f>
        <v>222.4</v>
      </c>
      <c r="N206" s="14" t="n">
        <f aca="false">J206-L206</f>
        <v>-0.9</v>
      </c>
      <c r="O206" s="9" t="n">
        <f aca="false">O205+N206</f>
        <v>162.5</v>
      </c>
      <c r="P206" s="9" t="n">
        <v>201</v>
      </c>
      <c r="Q206" s="17" t="n">
        <f aca="false">1+((P206-189)/35)*(1.15-1)</f>
        <v>1.05142857142857</v>
      </c>
      <c r="R206" s="15" t="n">
        <f aca="false">Q206*L206</f>
        <v>0.946285714285714</v>
      </c>
      <c r="S206" s="15" t="n">
        <f aca="false">J206-R206</f>
        <v>-0.946285714285714</v>
      </c>
      <c r="T206" s="15" t="n">
        <f aca="false">MIN(197.4,(T205+S206))</f>
        <v>167.908428571429</v>
      </c>
      <c r="U206" s="17" t="n">
        <f aca="false">AVERAGE(T195:T229)</f>
        <v>174.616669387755</v>
      </c>
      <c r="V206" s="19" t="n">
        <v>772.6</v>
      </c>
      <c r="W206" s="9" t="n">
        <f aca="false">V206/D206</f>
        <v>137.964285714286</v>
      </c>
      <c r="X206" s="9" t="n">
        <f aca="false">X205+V206</f>
        <v>126130.2</v>
      </c>
      <c r="Y206" s="9" t="n">
        <f aca="false">Y205+V206</f>
        <v>12832.8</v>
      </c>
      <c r="AA206" s="9" t="n">
        <v>12.1556377455172</v>
      </c>
    </row>
    <row r="207" s="9" customFormat="true" ht="15" hidden="false" customHeight="false" outlineLevel="0" collapsed="false">
      <c r="A207" s="46"/>
      <c r="B207" s="11"/>
      <c r="C207" s="12" t="n">
        <v>42085</v>
      </c>
      <c r="D207" s="9" t="n">
        <v>6.4</v>
      </c>
      <c r="E207" s="20" t="n">
        <v>5</v>
      </c>
      <c r="F207" s="9" t="n">
        <v>9.6</v>
      </c>
      <c r="G207" s="9" t="n">
        <f aca="false">G206+D207</f>
        <v>1683.4</v>
      </c>
      <c r="H207" s="9" t="n">
        <f aca="false">H206+D207</f>
        <v>90.8</v>
      </c>
      <c r="I207" s="47" t="s">
        <v>43</v>
      </c>
      <c r="J207" s="9" t="n">
        <v>0</v>
      </c>
      <c r="K207" s="9" t="n">
        <f aca="false">K206+J207</f>
        <v>314.7</v>
      </c>
      <c r="L207" s="9" t="n">
        <v>2.4</v>
      </c>
      <c r="M207" s="9" t="n">
        <f aca="false">M206+L207</f>
        <v>224.8</v>
      </c>
      <c r="N207" s="14" t="n">
        <f aca="false">J207-L207</f>
        <v>-2.4</v>
      </c>
      <c r="O207" s="9" t="n">
        <f aca="false">O206+N207</f>
        <v>160.1</v>
      </c>
      <c r="P207" s="9" t="n">
        <v>202</v>
      </c>
      <c r="Q207" s="17" t="n">
        <f aca="false">1+((P207-189)/35)*(1.15-1)</f>
        <v>1.05571428571429</v>
      </c>
      <c r="R207" s="15" t="n">
        <f aca="false">Q207*L207</f>
        <v>2.53371428571429</v>
      </c>
      <c r="S207" s="15" t="n">
        <f aca="false">J207-R207</f>
        <v>-2.53371428571429</v>
      </c>
      <c r="T207" s="15" t="n">
        <f aca="false">MIN(197.4,(T206+S207))</f>
        <v>165.374714285714</v>
      </c>
      <c r="V207" s="9" t="n">
        <v>1723.9</v>
      </c>
      <c r="W207" s="9" t="n">
        <f aca="false">V207/D207</f>
        <v>269.359375</v>
      </c>
      <c r="X207" s="9" t="n">
        <f aca="false">X206+V207</f>
        <v>127854.1</v>
      </c>
      <c r="Y207" s="9" t="n">
        <f aca="false">Y206+V207</f>
        <v>14556.7</v>
      </c>
      <c r="AA207" s="9" t="n">
        <v>12.2154679729778</v>
      </c>
    </row>
    <row r="208" s="9" customFormat="true" ht="15" hidden="false" customHeight="false" outlineLevel="0" collapsed="false">
      <c r="A208" s="46"/>
      <c r="B208" s="11"/>
      <c r="C208" s="12" t="n">
        <v>42086</v>
      </c>
      <c r="D208" s="9" t="n">
        <v>6.2</v>
      </c>
      <c r="E208" s="32" t="n">
        <v>-1.4</v>
      </c>
      <c r="F208" s="9" t="n">
        <v>12.5</v>
      </c>
      <c r="G208" s="9" t="n">
        <f aca="false">G207+D208</f>
        <v>1689.6</v>
      </c>
      <c r="H208" s="9" t="n">
        <f aca="false">H207+D208</f>
        <v>97</v>
      </c>
      <c r="I208" s="9" t="n">
        <v>285.4</v>
      </c>
      <c r="J208" s="9" t="n">
        <v>0</v>
      </c>
      <c r="K208" s="9" t="n">
        <f aca="false">K207+J208</f>
        <v>314.7</v>
      </c>
      <c r="L208" s="9" t="n">
        <v>2</v>
      </c>
      <c r="M208" s="9" t="n">
        <f aca="false">M207+L208</f>
        <v>226.8</v>
      </c>
      <c r="N208" s="14" t="n">
        <f aca="false">J208-L208</f>
        <v>-2</v>
      </c>
      <c r="O208" s="9" t="n">
        <f aca="false">O207+N208</f>
        <v>158.1</v>
      </c>
      <c r="P208" s="9" t="n">
        <v>203</v>
      </c>
      <c r="Q208" s="17" t="n">
        <f aca="false">1+((P208-189)/35)*(1.15-1)</f>
        <v>1.06</v>
      </c>
      <c r="R208" s="15" t="n">
        <f aca="false">Q208*L208</f>
        <v>2.12</v>
      </c>
      <c r="S208" s="15" t="n">
        <f aca="false">J208-R208</f>
        <v>-2.12</v>
      </c>
      <c r="T208" s="15" t="n">
        <f aca="false">MIN(197.4,(T207+S208))</f>
        <v>163.254714285714</v>
      </c>
      <c r="U208" s="15" t="n">
        <f aca="false">(U206*100)/197.4</f>
        <v>88.4582924963298</v>
      </c>
      <c r="V208" s="9" t="n">
        <v>1724.1</v>
      </c>
      <c r="W208" s="9" t="n">
        <f aca="false">V208/D208</f>
        <v>278.08064516129</v>
      </c>
      <c r="X208" s="9" t="n">
        <f aca="false">X207+V208</f>
        <v>129578.2</v>
      </c>
      <c r="Y208" s="9" t="n">
        <f aca="false">Y207+V208</f>
        <v>16280.8</v>
      </c>
      <c r="AA208" s="9" t="n">
        <v>12.275278260955</v>
      </c>
    </row>
    <row r="209" s="9" customFormat="true" ht="15" hidden="false" customHeight="false" outlineLevel="0" collapsed="false">
      <c r="A209" s="46"/>
      <c r="B209" s="11"/>
      <c r="C209" s="12" t="n">
        <v>42087</v>
      </c>
      <c r="D209" s="9" t="n">
        <v>6</v>
      </c>
      <c r="E209" s="20" t="n">
        <v>4.9</v>
      </c>
      <c r="F209" s="9" t="n">
        <v>8.6</v>
      </c>
      <c r="G209" s="9" t="n">
        <f aca="false">G208+D209</f>
        <v>1695.6</v>
      </c>
      <c r="H209" s="9" t="n">
        <f aca="false">H208+D209</f>
        <v>103</v>
      </c>
      <c r="J209" s="9" t="n">
        <v>8.5</v>
      </c>
      <c r="K209" s="9" t="n">
        <f aca="false">K208+J209</f>
        <v>323.2</v>
      </c>
      <c r="L209" s="9" t="n">
        <v>1.6</v>
      </c>
      <c r="M209" s="9" t="n">
        <f aca="false">M208+L209</f>
        <v>228.4</v>
      </c>
      <c r="N209" s="9" t="n">
        <f aca="false">J209-L209</f>
        <v>6.9</v>
      </c>
      <c r="O209" s="9" t="n">
        <f aca="false">O208+N209</f>
        <v>165</v>
      </c>
      <c r="P209" s="9" t="n">
        <v>204</v>
      </c>
      <c r="Q209" s="17" t="n">
        <f aca="false">1+((P209-189)/35)*(1.15-1)</f>
        <v>1.06428571428571</v>
      </c>
      <c r="R209" s="15" t="n">
        <f aca="false">Q209*L209</f>
        <v>1.70285714285714</v>
      </c>
      <c r="S209" s="15" t="n">
        <f aca="false">J209-R209</f>
        <v>6.79714285714286</v>
      </c>
      <c r="T209" s="15" t="n">
        <f aca="false">MIN(197.4,(T208+S209))</f>
        <v>170.051857142857</v>
      </c>
      <c r="V209" s="9" t="n">
        <v>1176.3</v>
      </c>
      <c r="W209" s="9" t="n">
        <f aca="false">V209/D209</f>
        <v>196.05</v>
      </c>
      <c r="X209" s="9" t="n">
        <f aca="false">X208+V209</f>
        <v>130754.5</v>
      </c>
      <c r="Y209" s="9" t="n">
        <f aca="false">Y208+V209</f>
        <v>17457.1</v>
      </c>
      <c r="AA209" s="9" t="n">
        <v>12.3350627297613</v>
      </c>
    </row>
    <row r="210" s="9" customFormat="true" ht="15" hidden="false" customHeight="false" outlineLevel="0" collapsed="false">
      <c r="A210" s="46"/>
      <c r="B210" s="11"/>
      <c r="C210" s="12" t="n">
        <v>42088</v>
      </c>
      <c r="D210" s="20" t="n">
        <v>4.9</v>
      </c>
      <c r="E210" s="20" t="n">
        <v>3.9</v>
      </c>
      <c r="F210" s="9" t="n">
        <v>7.7</v>
      </c>
      <c r="G210" s="9" t="n">
        <f aca="false">G209+D210</f>
        <v>1700.5</v>
      </c>
      <c r="H210" s="9" t="n">
        <f aca="false">H209+D210</f>
        <v>107.9</v>
      </c>
      <c r="J210" s="9" t="n">
        <v>0.1</v>
      </c>
      <c r="K210" s="9" t="n">
        <f aca="false">K209+J210</f>
        <v>323.3</v>
      </c>
      <c r="L210" s="9" t="n">
        <v>1.3</v>
      </c>
      <c r="M210" s="9" t="n">
        <f aca="false">M209+L210</f>
        <v>229.7</v>
      </c>
      <c r="N210" s="14" t="n">
        <f aca="false">J210-L210</f>
        <v>-1.2</v>
      </c>
      <c r="O210" s="9" t="n">
        <f aca="false">O209+N210</f>
        <v>163.8</v>
      </c>
      <c r="P210" s="9" t="n">
        <v>205</v>
      </c>
      <c r="Q210" s="17" t="n">
        <f aca="false">1+((P210-189)/35)*(1.15-1)</f>
        <v>1.06857142857143</v>
      </c>
      <c r="R210" s="15" t="n">
        <f aca="false">Q210*L210</f>
        <v>1.38914285714286</v>
      </c>
      <c r="S210" s="15" t="n">
        <f aca="false">J210-R210</f>
        <v>-1.28914285714286</v>
      </c>
      <c r="T210" s="15" t="n">
        <f aca="false">MIN(197.4,(T209+S210))</f>
        <v>168.762714285714</v>
      </c>
      <c r="V210" s="9" t="n">
        <v>966.3</v>
      </c>
      <c r="W210" s="9" t="n">
        <f aca="false">V210/D210</f>
        <v>197.204081632653</v>
      </c>
      <c r="X210" s="9" t="n">
        <f aca="false">X209+V210</f>
        <v>131720.8</v>
      </c>
      <c r="Y210" s="9" t="n">
        <f aca="false">Y209+V210</f>
        <v>18423.4</v>
      </c>
      <c r="AA210" s="9" t="n">
        <v>12.3948154935711</v>
      </c>
    </row>
    <row r="211" s="9" customFormat="true" ht="15" hidden="false" customHeight="false" outlineLevel="0" collapsed="false">
      <c r="A211" s="46"/>
      <c r="B211" s="11"/>
      <c r="C211" s="12" t="n">
        <v>42089</v>
      </c>
      <c r="D211" s="20" t="n">
        <v>4.3</v>
      </c>
      <c r="E211" s="32" t="n">
        <v>-1.2</v>
      </c>
      <c r="F211" s="9" t="n">
        <v>7.4</v>
      </c>
      <c r="G211" s="9" t="n">
        <f aca="false">G210+D211</f>
        <v>1704.8</v>
      </c>
      <c r="H211" s="9" t="n">
        <f aca="false">H210+D211</f>
        <v>112.2</v>
      </c>
      <c r="J211" s="9" t="n">
        <v>1.5</v>
      </c>
      <c r="K211" s="9" t="n">
        <f aca="false">K210+J211</f>
        <v>324.8</v>
      </c>
      <c r="L211" s="9" t="n">
        <v>0.7</v>
      </c>
      <c r="M211" s="9" t="n">
        <f aca="false">M210+L211</f>
        <v>230.4</v>
      </c>
      <c r="N211" s="9" t="n">
        <f aca="false">J211-L211</f>
        <v>0.8</v>
      </c>
      <c r="O211" s="9" t="n">
        <f aca="false">O210+N211</f>
        <v>164.6</v>
      </c>
      <c r="P211" s="9" t="n">
        <v>206</v>
      </c>
      <c r="Q211" s="17" t="n">
        <f aca="false">1+((P211-189)/35)*(1.15-1)</f>
        <v>1.07285714285714</v>
      </c>
      <c r="R211" s="15" t="n">
        <f aca="false">Q211*L211</f>
        <v>0.751</v>
      </c>
      <c r="S211" s="15" t="n">
        <f aca="false">J211-R211</f>
        <v>0.749</v>
      </c>
      <c r="T211" s="15" t="n">
        <f aca="false">MIN(197.4,(T210+S211))</f>
        <v>169.511714285714</v>
      </c>
      <c r="V211" s="19" t="n">
        <v>804.8</v>
      </c>
      <c r="W211" s="9" t="n">
        <f aca="false">V211/D211</f>
        <v>187.162790697674</v>
      </c>
      <c r="X211" s="9" t="n">
        <f aca="false">X210+V211</f>
        <v>132525.6</v>
      </c>
      <c r="Y211" s="9" t="n">
        <f aca="false">Y210+V211</f>
        <v>19228.2</v>
      </c>
      <c r="AA211" s="9" t="n">
        <v>12.4545306428303</v>
      </c>
    </row>
    <row r="212" s="9" customFormat="true" ht="15" hidden="false" customHeight="false" outlineLevel="0" collapsed="false">
      <c r="A212" s="46"/>
      <c r="B212" s="11"/>
      <c r="C212" s="12" t="n">
        <v>42090</v>
      </c>
      <c r="D212" s="9" t="n">
        <v>7</v>
      </c>
      <c r="E212" s="20" t="n">
        <v>2.3</v>
      </c>
      <c r="F212" s="9" t="n">
        <v>11.2</v>
      </c>
      <c r="G212" s="9" t="n">
        <f aca="false">G211+D212</f>
        <v>1711.8</v>
      </c>
      <c r="H212" s="9" t="n">
        <f aca="false">H211+D212</f>
        <v>119.2</v>
      </c>
      <c r="J212" s="9" t="n">
        <v>0.7</v>
      </c>
      <c r="K212" s="9" t="n">
        <f aca="false">K211+J212</f>
        <v>325.5</v>
      </c>
      <c r="L212" s="9" t="n">
        <v>1.1</v>
      </c>
      <c r="M212" s="9" t="n">
        <f aca="false">M211+L212</f>
        <v>231.5</v>
      </c>
      <c r="N212" s="14" t="n">
        <f aca="false">J212-L212</f>
        <v>-0.4</v>
      </c>
      <c r="O212" s="9" t="n">
        <f aca="false">O211+N212</f>
        <v>164.2</v>
      </c>
      <c r="P212" s="9" t="n">
        <v>207</v>
      </c>
      <c r="Q212" s="17" t="n">
        <f aca="false">1+((P212-189)/35)*(1.15-1)</f>
        <v>1.07714285714286</v>
      </c>
      <c r="R212" s="15" t="n">
        <f aca="false">Q212*L212</f>
        <v>1.18485714285714</v>
      </c>
      <c r="S212" s="15" t="n">
        <f aca="false">J212-R212</f>
        <v>-0.484857142857143</v>
      </c>
      <c r="T212" s="15" t="n">
        <f aca="false">MIN(197.4,(T211+S212))</f>
        <v>169.026857142857</v>
      </c>
      <c r="V212" s="19" t="n">
        <v>727.4</v>
      </c>
      <c r="W212" s="9" t="n">
        <f aca="false">V212/D212</f>
        <v>103.914285714286</v>
      </c>
      <c r="X212" s="9" t="n">
        <f aca="false">X211+V212</f>
        <v>133253</v>
      </c>
      <c r="Y212" s="9" t="n">
        <f aca="false">Y211+V212</f>
        <v>19955.6</v>
      </c>
      <c r="AA212" s="9" t="n">
        <v>12.5142022267535</v>
      </c>
    </row>
    <row r="213" s="9" customFormat="true" ht="15" hidden="false" customHeight="false" outlineLevel="0" collapsed="false">
      <c r="A213" s="46"/>
      <c r="B213" s="11"/>
      <c r="C213" s="12" t="n">
        <v>42091</v>
      </c>
      <c r="D213" s="9" t="n">
        <v>9.9</v>
      </c>
      <c r="E213" s="20" t="n">
        <v>4.3</v>
      </c>
      <c r="F213" s="9" t="n">
        <v>12.2</v>
      </c>
      <c r="G213" s="9" t="n">
        <f aca="false">G212+D213</f>
        <v>1721.7</v>
      </c>
      <c r="H213" s="9" t="n">
        <f aca="false">H212+D213</f>
        <v>129.1</v>
      </c>
      <c r="J213" s="9" t="n">
        <v>2.7</v>
      </c>
      <c r="K213" s="9" t="n">
        <f aca="false">K212+J213</f>
        <v>328.2</v>
      </c>
      <c r="L213" s="9" t="n">
        <v>0.4</v>
      </c>
      <c r="M213" s="9" t="n">
        <f aca="false">M212+L213</f>
        <v>231.9</v>
      </c>
      <c r="N213" s="9" t="n">
        <f aca="false">J213-L213</f>
        <v>2.3</v>
      </c>
      <c r="O213" s="9" t="n">
        <f aca="false">O212+N213</f>
        <v>166.5</v>
      </c>
      <c r="P213" s="9" t="n">
        <v>208</v>
      </c>
      <c r="Q213" s="17" t="n">
        <f aca="false">1+((P213-189)/35)*(1.15-1)</f>
        <v>1.08142857142857</v>
      </c>
      <c r="R213" s="15" t="n">
        <f aca="false">Q213*L213</f>
        <v>0.432571428571429</v>
      </c>
      <c r="S213" s="15" t="n">
        <f aca="false">J213-R213</f>
        <v>2.26742857142857</v>
      </c>
      <c r="T213" s="15" t="n">
        <f aca="false">MIN(197.4,(T212+S213))</f>
        <v>171.294285714286</v>
      </c>
      <c r="V213" s="19" t="n">
        <v>473</v>
      </c>
      <c r="W213" s="9" t="n">
        <f aca="false">V213/D213</f>
        <v>47.7777777777778</v>
      </c>
      <c r="X213" s="9" t="n">
        <f aca="false">X212+V213</f>
        <v>133726</v>
      </c>
      <c r="Y213" s="9" t="n">
        <f aca="false">Y212+V213</f>
        <v>20428.6</v>
      </c>
      <c r="AA213" s="9" t="n">
        <v>12.5738242359039</v>
      </c>
    </row>
    <row r="214" s="9" customFormat="true" ht="15" hidden="false" customHeight="false" outlineLevel="0" collapsed="false">
      <c r="A214" s="46"/>
      <c r="B214" s="11"/>
      <c r="C214" s="12" t="n">
        <v>42092</v>
      </c>
      <c r="D214" s="9" t="n">
        <v>11.2</v>
      </c>
      <c r="E214" s="9" t="n">
        <v>9.8</v>
      </c>
      <c r="F214" s="9" t="n">
        <v>12.6</v>
      </c>
      <c r="G214" s="9" t="n">
        <f aca="false">G213+D214</f>
        <v>1732.9</v>
      </c>
      <c r="H214" s="9" t="n">
        <f aca="false">H213+D214</f>
        <v>140.3</v>
      </c>
      <c r="J214" s="9" t="n">
        <v>12.4</v>
      </c>
      <c r="K214" s="9" t="n">
        <f aca="false">K213+J214</f>
        <v>340.6</v>
      </c>
      <c r="L214" s="9" t="n">
        <v>0.7</v>
      </c>
      <c r="M214" s="9" t="n">
        <f aca="false">M213+L214</f>
        <v>232.6</v>
      </c>
      <c r="N214" s="9" t="n">
        <f aca="false">J214-L214</f>
        <v>11.7</v>
      </c>
      <c r="O214" s="9" t="n">
        <f aca="false">O213+N214</f>
        <v>178.2</v>
      </c>
      <c r="P214" s="9" t="n">
        <v>209</v>
      </c>
      <c r="Q214" s="17" t="n">
        <f aca="false">1+((P214-189)/35)*(1.15-1)</f>
        <v>1.08571428571429</v>
      </c>
      <c r="R214" s="15" t="n">
        <f aca="false">Q214*L214</f>
        <v>0.76</v>
      </c>
      <c r="S214" s="15" t="n">
        <f aca="false">J214-R214</f>
        <v>11.64</v>
      </c>
      <c r="T214" s="15" t="n">
        <f aca="false">MIN(197.4,(T213+S214))</f>
        <v>182.934285714286</v>
      </c>
      <c r="V214" s="19" t="n">
        <v>238.6</v>
      </c>
      <c r="W214" s="9" t="n">
        <f aca="false">V214/D214</f>
        <v>21.3035714285714</v>
      </c>
      <c r="X214" s="9" t="n">
        <f aca="false">X213+V214</f>
        <v>133964.6</v>
      </c>
      <c r="Y214" s="9" t="n">
        <f aca="false">Y213+V214</f>
        <v>20667.2</v>
      </c>
      <c r="AA214" s="9" t="n">
        <v>12.6333905848532</v>
      </c>
    </row>
    <row r="215" s="9" customFormat="true" ht="15" hidden="false" customHeight="false" outlineLevel="0" collapsed="false">
      <c r="A215" s="46"/>
      <c r="B215" s="11"/>
      <c r="C215" s="12" t="n">
        <v>42093</v>
      </c>
      <c r="D215" s="9" t="n">
        <v>10.7</v>
      </c>
      <c r="E215" s="9" t="n">
        <v>9</v>
      </c>
      <c r="F215" s="9" t="n">
        <v>12.3</v>
      </c>
      <c r="G215" s="9" t="n">
        <f aca="false">G214+D215</f>
        <v>1743.6</v>
      </c>
      <c r="H215" s="9" t="n">
        <f aca="false">H214+D215</f>
        <v>151</v>
      </c>
      <c r="J215" s="9" t="n">
        <v>0.1</v>
      </c>
      <c r="K215" s="9" t="n">
        <f aca="false">K214+J215</f>
        <v>340.7</v>
      </c>
      <c r="L215" s="9" t="n">
        <v>2.4</v>
      </c>
      <c r="M215" s="9" t="n">
        <f aca="false">M214+L215</f>
        <v>235</v>
      </c>
      <c r="N215" s="14" t="n">
        <f aca="false">J215-L215</f>
        <v>-2.3</v>
      </c>
      <c r="O215" s="9" t="n">
        <f aca="false">O214+N215</f>
        <v>175.9</v>
      </c>
      <c r="P215" s="9" t="n">
        <v>210</v>
      </c>
      <c r="Q215" s="17" t="n">
        <f aca="false">1+((P215-189)/35)*(1.15-1)</f>
        <v>1.09</v>
      </c>
      <c r="R215" s="15" t="n">
        <f aca="false">Q215*L215</f>
        <v>2.616</v>
      </c>
      <c r="S215" s="15" t="n">
        <f aca="false">J215-R215</f>
        <v>-2.516</v>
      </c>
      <c r="T215" s="15" t="n">
        <f aca="false">MIN(197.4,(T214+S215))</f>
        <v>180.418285714286</v>
      </c>
      <c r="V215" s="9" t="n">
        <v>1496.2</v>
      </c>
      <c r="W215" s="9" t="n">
        <f aca="false">V215/D215</f>
        <v>139.831775700935</v>
      </c>
      <c r="X215" s="9" t="n">
        <f aca="false">X214+V215</f>
        <v>135460.8</v>
      </c>
      <c r="Y215" s="9" t="n">
        <f aca="false">Y214+V215</f>
        <v>22163.4</v>
      </c>
      <c r="AA215" s="9" t="n">
        <v>12.6928950949179</v>
      </c>
    </row>
    <row r="216" s="9" customFormat="true" ht="15" hidden="false" customHeight="false" outlineLevel="0" collapsed="false">
      <c r="A216" s="46"/>
      <c r="B216" s="11"/>
      <c r="C216" s="12" t="n">
        <v>42094</v>
      </c>
      <c r="D216" s="9" t="n">
        <v>10.9</v>
      </c>
      <c r="E216" s="9" t="n">
        <v>10</v>
      </c>
      <c r="F216" s="9" t="n">
        <v>13.1</v>
      </c>
      <c r="G216" s="9" t="n">
        <f aca="false">G215+D216</f>
        <v>1754.5</v>
      </c>
      <c r="H216" s="9" t="n">
        <f aca="false">H215+D216</f>
        <v>161.9</v>
      </c>
      <c r="J216" s="9" t="n">
        <v>0.4</v>
      </c>
      <c r="K216" s="9" t="n">
        <f aca="false">K215+J216</f>
        <v>341.1</v>
      </c>
      <c r="L216" s="9" t="n">
        <v>2.9</v>
      </c>
      <c r="M216" s="9" t="n">
        <f aca="false">M215+L216</f>
        <v>237.9</v>
      </c>
      <c r="N216" s="14" t="n">
        <f aca="false">J216-L216</f>
        <v>-2.5</v>
      </c>
      <c r="O216" s="9" t="n">
        <f aca="false">O215+N216</f>
        <v>173.4</v>
      </c>
      <c r="P216" s="9" t="n">
        <v>211</v>
      </c>
      <c r="Q216" s="17" t="n">
        <f aca="false">1+((P216-189)/35)*(1.15-1)</f>
        <v>1.09428571428571</v>
      </c>
      <c r="R216" s="15" t="n">
        <f aca="false">Q216*L216</f>
        <v>3.17342857142857</v>
      </c>
      <c r="S216" s="15" t="n">
        <f aca="false">J216-R216</f>
        <v>-2.77342857142857</v>
      </c>
      <c r="T216" s="15" t="n">
        <f aca="false">MIN(197.4,(T215+S216))</f>
        <v>177.644857142857</v>
      </c>
      <c r="V216" s="9" t="n">
        <v>1511.9</v>
      </c>
      <c r="W216" s="9" t="n">
        <f aca="false">V216/D216</f>
        <v>138.706422018349</v>
      </c>
      <c r="X216" s="9" t="n">
        <f aca="false">X215+V216</f>
        <v>136972.7</v>
      </c>
      <c r="Y216" s="9" t="n">
        <f aca="false">Y215+V216</f>
        <v>23675.3</v>
      </c>
      <c r="AA216" s="9" t="n">
        <v>12.7523314769699</v>
      </c>
    </row>
    <row r="217" s="9" customFormat="true" ht="15" hidden="false" customHeight="false" outlineLevel="0" collapsed="false">
      <c r="A217" s="46"/>
      <c r="B217" s="11"/>
      <c r="C217" s="12" t="n">
        <v>42095</v>
      </c>
      <c r="D217" s="9" t="n">
        <v>8</v>
      </c>
      <c r="E217" s="20" t="n">
        <v>4.8</v>
      </c>
      <c r="F217" s="9" t="n">
        <v>10.9</v>
      </c>
      <c r="G217" s="9" t="n">
        <f aca="false">G216+D217</f>
        <v>1762.5</v>
      </c>
      <c r="H217" s="9" t="n">
        <f aca="false">H216+D217</f>
        <v>169.9</v>
      </c>
      <c r="J217" s="9" t="n">
        <v>0</v>
      </c>
      <c r="K217" s="9" t="n">
        <f aca="false">K216+J217</f>
        <v>341.1</v>
      </c>
      <c r="L217" s="9" t="n">
        <v>2.3</v>
      </c>
      <c r="M217" s="9" t="n">
        <f aca="false">M216+L217</f>
        <v>240.2</v>
      </c>
      <c r="N217" s="14" t="n">
        <f aca="false">J217-L217</f>
        <v>-2.3</v>
      </c>
      <c r="O217" s="9" t="n">
        <f aca="false">O216+N217</f>
        <v>171.1</v>
      </c>
      <c r="P217" s="9" t="n">
        <v>212</v>
      </c>
      <c r="Q217" s="17" t="n">
        <f aca="false">1+((P217-189)/35)*(1.15-1)</f>
        <v>1.09857142857143</v>
      </c>
      <c r="R217" s="15" t="n">
        <f aca="false">Q217*L217</f>
        <v>2.52671428571429</v>
      </c>
      <c r="S217" s="15" t="n">
        <f aca="false">J217-R217</f>
        <v>-2.52671428571429</v>
      </c>
      <c r="T217" s="15" t="n">
        <f aca="false">MIN(197.4,(T216+S217))</f>
        <v>175.118142857143</v>
      </c>
      <c r="V217" s="9" t="n">
        <v>1399.6</v>
      </c>
      <c r="W217" s="9" t="n">
        <f aca="false">V217/D217</f>
        <v>174.95</v>
      </c>
      <c r="X217" s="9" t="n">
        <f aca="false">X216+V217</f>
        <v>138372.3</v>
      </c>
      <c r="Y217" s="9" t="n">
        <f aca="false">Y216+V217</f>
        <v>25074.9</v>
      </c>
      <c r="AA217" s="9" t="n">
        <v>12.8116933143195</v>
      </c>
    </row>
    <row r="218" s="9" customFormat="true" ht="15" hidden="false" customHeight="false" outlineLevel="0" collapsed="false">
      <c r="A218" s="46"/>
      <c r="B218" s="11"/>
      <c r="C218" s="12" t="n">
        <v>42096</v>
      </c>
      <c r="D218" s="9" t="n">
        <v>8.4</v>
      </c>
      <c r="E218" s="9" t="n">
        <v>7.1</v>
      </c>
      <c r="F218" s="9" t="n">
        <v>11</v>
      </c>
      <c r="G218" s="9" t="n">
        <f aca="false">G217+D218</f>
        <v>1770.9</v>
      </c>
      <c r="H218" s="9" t="n">
        <f aca="false">H217+D218</f>
        <v>178.3</v>
      </c>
      <c r="J218" s="9" t="n">
        <v>4</v>
      </c>
      <c r="K218" s="9" t="n">
        <f aca="false">K217+J218</f>
        <v>345.1</v>
      </c>
      <c r="L218" s="9" t="n">
        <v>0.9</v>
      </c>
      <c r="M218" s="9" t="n">
        <f aca="false">M217+L218</f>
        <v>241.1</v>
      </c>
      <c r="N218" s="9" t="n">
        <f aca="false">J218-L218</f>
        <v>3.1</v>
      </c>
      <c r="O218" s="9" t="n">
        <f aca="false">O217+N218</f>
        <v>174.2</v>
      </c>
      <c r="P218" s="9" t="n">
        <v>213</v>
      </c>
      <c r="Q218" s="17" t="n">
        <f aca="false">1+((P218-189)/35)*(1.15-1)</f>
        <v>1.10285714285714</v>
      </c>
      <c r="R218" s="15" t="n">
        <f aca="false">Q218*L218</f>
        <v>0.992571428571429</v>
      </c>
      <c r="S218" s="15" t="n">
        <f aca="false">J218-R218</f>
        <v>3.00742857142857</v>
      </c>
      <c r="T218" s="15" t="n">
        <f aca="false">MIN(197.4,(T217+S218))</f>
        <v>178.125571428571</v>
      </c>
      <c r="V218" s="19" t="n">
        <v>461.3</v>
      </c>
      <c r="W218" s="9" t="n">
        <f aca="false">V218/D218</f>
        <v>54.9166666666667</v>
      </c>
      <c r="X218" s="9" t="n">
        <f aca="false">X217+V218</f>
        <v>138833.6</v>
      </c>
      <c r="Y218" s="9" t="n">
        <f aca="false">Y217+V218</f>
        <v>25536.2</v>
      </c>
      <c r="AA218" s="9" t="n">
        <v>12.8709740456715</v>
      </c>
    </row>
    <row r="219" s="9" customFormat="true" ht="15" hidden="false" customHeight="false" outlineLevel="0" collapsed="false">
      <c r="A219" s="46"/>
      <c r="B219" s="11"/>
      <c r="C219" s="12" t="n">
        <v>42097</v>
      </c>
      <c r="D219" s="9" t="n">
        <v>8.5</v>
      </c>
      <c r="E219" s="9" t="n">
        <v>7.1</v>
      </c>
      <c r="F219" s="9" t="n">
        <v>10.4</v>
      </c>
      <c r="G219" s="9" t="n">
        <f aca="false">G218+D219</f>
        <v>1779.4</v>
      </c>
      <c r="H219" s="9" t="n">
        <f aca="false">H218+D219</f>
        <v>186.8</v>
      </c>
      <c r="J219" s="9" t="n">
        <v>9.2</v>
      </c>
      <c r="K219" s="9" t="n">
        <f aca="false">K218+J219</f>
        <v>354.3</v>
      </c>
      <c r="L219" s="9" t="n">
        <v>0.6</v>
      </c>
      <c r="M219" s="9" t="n">
        <f aca="false">M218+L219</f>
        <v>241.7</v>
      </c>
      <c r="N219" s="9" t="n">
        <f aca="false">J219-L219</f>
        <v>8.6</v>
      </c>
      <c r="O219" s="9" t="n">
        <f aca="false">O218+N219</f>
        <v>182.8</v>
      </c>
      <c r="P219" s="9" t="n">
        <v>214</v>
      </c>
      <c r="Q219" s="17" t="n">
        <f aca="false">1+((P219-189)/35)*(1.15-1)</f>
        <v>1.10714285714286</v>
      </c>
      <c r="R219" s="15" t="n">
        <f aca="false">Q219*L219</f>
        <v>0.664285714285714</v>
      </c>
      <c r="S219" s="15" t="n">
        <f aca="false">J219-R219</f>
        <v>8.53571428571429</v>
      </c>
      <c r="T219" s="15" t="n">
        <f aca="false">MIN(197.4,(T218+S219))</f>
        <v>186.661285714286</v>
      </c>
      <c r="V219" s="19" t="n">
        <v>317.1</v>
      </c>
      <c r="W219" s="9" t="n">
        <f aca="false">V219/D219</f>
        <v>37.3058823529412</v>
      </c>
      <c r="X219" s="9" t="n">
        <f aca="false">X218+V219</f>
        <v>139150.7</v>
      </c>
      <c r="Y219" s="9" t="n">
        <f aca="false">Y218+V219</f>
        <v>25853.3</v>
      </c>
      <c r="AA219" s="9" t="n">
        <v>12.9301669481539</v>
      </c>
    </row>
    <row r="220" s="9" customFormat="true" ht="15" hidden="false" customHeight="false" outlineLevel="0" collapsed="false">
      <c r="A220" s="46"/>
      <c r="B220" s="11"/>
      <c r="C220" s="12" t="n">
        <v>42098</v>
      </c>
      <c r="D220" s="9" t="n">
        <v>7.2</v>
      </c>
      <c r="E220" s="9" t="n">
        <v>6.4</v>
      </c>
      <c r="F220" s="9" t="n">
        <v>9.8</v>
      </c>
      <c r="G220" s="9" t="n">
        <f aca="false">G219+D220</f>
        <v>1786.6</v>
      </c>
      <c r="H220" s="9" t="n">
        <f aca="false">H219+D220</f>
        <v>194</v>
      </c>
      <c r="J220" s="9" t="n">
        <v>0.9</v>
      </c>
      <c r="K220" s="9" t="n">
        <f aca="false">K219+J220</f>
        <v>355.2</v>
      </c>
      <c r="L220" s="9" t="n">
        <v>1</v>
      </c>
      <c r="M220" s="9" t="n">
        <f aca="false">M219+L220</f>
        <v>242.7</v>
      </c>
      <c r="N220" s="14" t="n">
        <f aca="false">J220-L220</f>
        <v>-0.1</v>
      </c>
      <c r="O220" s="9" t="n">
        <f aca="false">O219+N220</f>
        <v>182.7</v>
      </c>
      <c r="P220" s="9" t="n">
        <v>215</v>
      </c>
      <c r="Q220" s="17" t="n">
        <f aca="false">1+((P220-189)/35)*(1.15-1)</f>
        <v>1.11142857142857</v>
      </c>
      <c r="R220" s="15" t="n">
        <f aca="false">Q220*L220</f>
        <v>1.11142857142857</v>
      </c>
      <c r="S220" s="15" t="n">
        <f aca="false">J220-R220</f>
        <v>-0.211428571428571</v>
      </c>
      <c r="T220" s="15" t="n">
        <f aca="false">MIN(197.4,(T219+S220))</f>
        <v>186.449857142857</v>
      </c>
      <c r="V220" s="19" t="n">
        <v>753.7</v>
      </c>
      <c r="W220" s="9" t="n">
        <f aca="false">V220/D220</f>
        <v>104.680555555556</v>
      </c>
      <c r="X220" s="9" t="n">
        <f aca="false">X219+V220</f>
        <v>139904.4</v>
      </c>
      <c r="Y220" s="9" t="n">
        <f aca="false">Y219+V220</f>
        <v>26607</v>
      </c>
      <c r="AA220" s="9" t="n">
        <v>12.9892651204229</v>
      </c>
    </row>
    <row r="221" s="9" customFormat="true" ht="15" hidden="false" customHeight="false" outlineLevel="0" collapsed="false">
      <c r="A221" s="46"/>
      <c r="B221" s="11"/>
      <c r="C221" s="12" t="n">
        <v>42099</v>
      </c>
      <c r="D221" s="9" t="n">
        <v>5.8</v>
      </c>
      <c r="E221" s="20" t="n">
        <v>1.6</v>
      </c>
      <c r="F221" s="9" t="n">
        <v>10.2</v>
      </c>
      <c r="G221" s="9" t="n">
        <f aca="false">G220+D221</f>
        <v>1792.4</v>
      </c>
      <c r="H221" s="9" t="n">
        <f aca="false">H220+D221</f>
        <v>199.8</v>
      </c>
      <c r="J221" s="9" t="n">
        <v>0</v>
      </c>
      <c r="K221" s="9" t="n">
        <f aca="false">K220+J221</f>
        <v>355.2</v>
      </c>
      <c r="L221" s="9" t="n">
        <v>2.1</v>
      </c>
      <c r="M221" s="9" t="n">
        <f aca="false">M220+L221</f>
        <v>244.8</v>
      </c>
      <c r="N221" s="14" t="n">
        <f aca="false">J221-L221</f>
        <v>-2.1</v>
      </c>
      <c r="O221" s="9" t="n">
        <f aca="false">O220+N221</f>
        <v>180.6</v>
      </c>
      <c r="P221" s="9" t="n">
        <v>216</v>
      </c>
      <c r="Q221" s="17" t="n">
        <f aca="false">1+((P221-189)/35)*(1.15-1)</f>
        <v>1.11571428571429</v>
      </c>
      <c r="R221" s="15" t="n">
        <f aca="false">Q221*L221</f>
        <v>2.343</v>
      </c>
      <c r="S221" s="15" t="n">
        <f aca="false">J221-R221</f>
        <v>-2.343</v>
      </c>
      <c r="T221" s="15" t="n">
        <f aca="false">MIN(197.4,(T220+S221))</f>
        <v>184.106857142857</v>
      </c>
      <c r="V221" s="9" t="n">
        <v>1611.7</v>
      </c>
      <c r="W221" s="9" t="n">
        <f aca="false">V221/D221</f>
        <v>277.879310344828</v>
      </c>
      <c r="X221" s="9" t="n">
        <f aca="false">X220+V221</f>
        <v>141516.1</v>
      </c>
      <c r="Y221" s="9" t="n">
        <f aca="false">Y220+V221</f>
        <v>28218.7</v>
      </c>
      <c r="AA221" s="9" t="n">
        <v>13.0482614658459</v>
      </c>
    </row>
    <row r="222" s="50" customFormat="true" ht="15" hidden="false" customHeight="false" outlineLevel="0" collapsed="false">
      <c r="A222" s="46"/>
      <c r="B222" s="48"/>
      <c r="C222" s="49" t="n">
        <v>42100</v>
      </c>
      <c r="D222" s="50" t="n">
        <v>7.1</v>
      </c>
      <c r="E222" s="51" t="n">
        <v>0</v>
      </c>
      <c r="F222" s="50" t="n">
        <v>13</v>
      </c>
      <c r="G222" s="50" t="n">
        <f aca="false">G221+D222</f>
        <v>1799.5</v>
      </c>
      <c r="H222" s="50" t="n">
        <f aca="false">H221+D222</f>
        <v>206.9</v>
      </c>
      <c r="J222" s="50" t="n">
        <v>0</v>
      </c>
      <c r="K222" s="50" t="n">
        <f aca="false">K221+J222</f>
        <v>355.2</v>
      </c>
      <c r="L222" s="50" t="n">
        <v>2.4</v>
      </c>
      <c r="M222" s="50" t="n">
        <f aca="false">M221+L222</f>
        <v>247.2</v>
      </c>
      <c r="N222" s="52" t="n">
        <f aca="false">J222-L222</f>
        <v>-2.4</v>
      </c>
      <c r="O222" s="50" t="n">
        <f aca="false">O221+N222</f>
        <v>178.2</v>
      </c>
      <c r="P222" s="50" t="n">
        <v>217</v>
      </c>
      <c r="Q222" s="17" t="n">
        <f aca="false">1+((P222-189)/35)*(1.15-1)</f>
        <v>1.12</v>
      </c>
      <c r="R222" s="53" t="n">
        <f aca="false">Q222*L222</f>
        <v>2.688</v>
      </c>
      <c r="S222" s="53" t="n">
        <f aca="false">J222-R222</f>
        <v>-2.688</v>
      </c>
      <c r="T222" s="15" t="n">
        <f aca="false">MIN(197.4,(T221+S222))</f>
        <v>181.418857142857</v>
      </c>
      <c r="V222" s="50" t="n">
        <v>1877.2</v>
      </c>
      <c r="W222" s="50" t="n">
        <f aca="false">V222/D222</f>
        <v>264.394366197183</v>
      </c>
      <c r="X222" s="50" t="n">
        <f aca="false">X221+V222</f>
        <v>143393.3</v>
      </c>
      <c r="Y222" s="9" t="n">
        <f aca="false">Y221+V222</f>
        <v>30095.9</v>
      </c>
      <c r="AA222" s="9" t="n">
        <v>13.1071486757708</v>
      </c>
    </row>
    <row r="223" s="9" customFormat="true" ht="15" hidden="false" customHeight="false" outlineLevel="0" collapsed="false">
      <c r="A223" s="46"/>
      <c r="B223" s="54"/>
      <c r="C223" s="55" t="n">
        <v>42101</v>
      </c>
      <c r="D223" s="9" t="n">
        <v>7.9</v>
      </c>
      <c r="E223" s="9" t="n">
        <v>1.7</v>
      </c>
      <c r="F223" s="9" t="n">
        <v>13.1</v>
      </c>
      <c r="G223" s="9" t="n">
        <f aca="false">G222+D223</f>
        <v>1807.4</v>
      </c>
      <c r="H223" s="9" t="n">
        <f aca="false">H222+D223</f>
        <v>214.8</v>
      </c>
      <c r="J223" s="9" t="n">
        <v>0</v>
      </c>
      <c r="K223" s="9" t="n">
        <f aca="false">K222+J223</f>
        <v>355.2</v>
      </c>
      <c r="L223" s="9" t="n">
        <v>2.8</v>
      </c>
      <c r="M223" s="9" t="n">
        <f aca="false">M222+L223</f>
        <v>250</v>
      </c>
      <c r="N223" s="9" t="n">
        <f aca="false">J223-L223</f>
        <v>-2.8</v>
      </c>
      <c r="O223" s="9" t="n">
        <f aca="false">O222+N223</f>
        <v>175.4</v>
      </c>
      <c r="P223" s="9" t="n">
        <v>218</v>
      </c>
      <c r="Q223" s="17" t="n">
        <f aca="false">1+((P223-189)/35)*(1.15-1)</f>
        <v>1.12428571428571</v>
      </c>
      <c r="R223" s="15" t="n">
        <f aca="false">Q223*L223</f>
        <v>3.148</v>
      </c>
      <c r="S223" s="15" t="n">
        <f aca="false">J223-R223</f>
        <v>-3.148</v>
      </c>
      <c r="T223" s="15" t="n">
        <f aca="false">MIN(197.4,(T222+S223))</f>
        <v>178.270857142857</v>
      </c>
      <c r="V223" s="9" t="n">
        <v>2058.9</v>
      </c>
      <c r="W223" s="9" t="n">
        <f aca="false">V223/D223</f>
        <v>260.620253164557</v>
      </c>
      <c r="X223" s="9" t="n">
        <f aca="false">X222+V223</f>
        <v>145452.2</v>
      </c>
      <c r="Y223" s="9" t="n">
        <f aca="false">Y222+V223</f>
        <v>32154.8</v>
      </c>
      <c r="AA223" s="9" t="n">
        <v>13.1659192128855</v>
      </c>
    </row>
    <row r="224" s="9" customFormat="true" ht="15" hidden="false" customHeight="false" outlineLevel="0" collapsed="false">
      <c r="A224" s="46"/>
      <c r="B224" s="54"/>
      <c r="C224" s="12" t="n">
        <v>42102</v>
      </c>
      <c r="D224" s="9" t="n">
        <v>9.1</v>
      </c>
      <c r="E224" s="20" t="n">
        <v>1.3</v>
      </c>
      <c r="F224" s="9" t="n">
        <v>15.9</v>
      </c>
      <c r="G224" s="9" t="n">
        <f aca="false">G223+D224</f>
        <v>1816.5</v>
      </c>
      <c r="H224" s="9" t="n">
        <f aca="false">H223+D224</f>
        <v>223.9</v>
      </c>
      <c r="J224" s="9" t="n">
        <v>0</v>
      </c>
      <c r="K224" s="9" t="n">
        <f aca="false">K223+J224</f>
        <v>355.2</v>
      </c>
      <c r="L224" s="9" t="n">
        <v>2.9</v>
      </c>
      <c r="M224" s="9" t="n">
        <f aca="false">M223+L224</f>
        <v>252.9</v>
      </c>
      <c r="N224" s="14" t="n">
        <f aca="false">J224-L224</f>
        <v>-2.9</v>
      </c>
      <c r="O224" s="9" t="n">
        <f aca="false">O223+N224</f>
        <v>172.5</v>
      </c>
      <c r="P224" s="9" t="n">
        <v>219</v>
      </c>
      <c r="Q224" s="17" t="n">
        <f aca="false">1+((P224-189)/35)*(1.15-1)</f>
        <v>1.12857142857143</v>
      </c>
      <c r="R224" s="15" t="n">
        <f aca="false">Q224*L224</f>
        <v>3.27285714285714</v>
      </c>
      <c r="S224" s="15" t="n">
        <f aca="false">J224-R224</f>
        <v>-3.27285714285714</v>
      </c>
      <c r="T224" s="15" t="n">
        <f aca="false">MIN(197.4,(T223+S224))</f>
        <v>174.998</v>
      </c>
      <c r="V224" s="9" t="n">
        <v>1932.3</v>
      </c>
      <c r="W224" s="9" t="n">
        <f aca="false">V224/D224</f>
        <v>212.340659340659</v>
      </c>
      <c r="X224" s="9" t="n">
        <f aca="false">X223+V224</f>
        <v>147384.5</v>
      </c>
      <c r="Y224" s="9" t="n">
        <f aca="false">Y223+V224</f>
        <v>34087.1</v>
      </c>
      <c r="AA224" s="9" t="n">
        <v>13.2245652946806</v>
      </c>
    </row>
    <row r="225" s="9" customFormat="true" ht="15" hidden="false" customHeight="false" outlineLevel="0" collapsed="false">
      <c r="A225" s="46"/>
      <c r="B225" s="54"/>
      <c r="C225" s="12" t="n">
        <v>42103</v>
      </c>
      <c r="D225" s="9" t="n">
        <v>11.7</v>
      </c>
      <c r="E225" s="20" t="n">
        <v>2.5</v>
      </c>
      <c r="F225" s="9" t="n">
        <v>19.2</v>
      </c>
      <c r="G225" s="9" t="n">
        <f aca="false">G224+D225</f>
        <v>1828.2</v>
      </c>
      <c r="H225" s="9" t="n">
        <f aca="false">H224+D225</f>
        <v>235.6</v>
      </c>
      <c r="J225" s="9" t="n">
        <v>0</v>
      </c>
      <c r="K225" s="9" t="n">
        <f aca="false">K224+J225</f>
        <v>355.2</v>
      </c>
      <c r="L225" s="9" t="n">
        <v>3.1</v>
      </c>
      <c r="M225" s="9" t="n">
        <f aca="false">M224+L225</f>
        <v>256</v>
      </c>
      <c r="N225" s="14" t="n">
        <f aca="false">J225-L225</f>
        <v>-3.1</v>
      </c>
      <c r="O225" s="9" t="n">
        <f aca="false">O224+N225</f>
        <v>169.4</v>
      </c>
      <c r="P225" s="9" t="n">
        <v>220</v>
      </c>
      <c r="Q225" s="17" t="n">
        <f aca="false">1+((P225-189)/35)*(1.15-1)</f>
        <v>1.13285714285714</v>
      </c>
      <c r="R225" s="15" t="n">
        <f aca="false">Q225*L225</f>
        <v>3.51185714285714</v>
      </c>
      <c r="S225" s="15" t="n">
        <f aca="false">J225-R225</f>
        <v>-3.51185714285714</v>
      </c>
      <c r="T225" s="15" t="n">
        <f aca="false">MIN(197.4,(T224+S225))</f>
        <v>171.486142857143</v>
      </c>
      <c r="V225" s="9" t="n">
        <v>1891.6</v>
      </c>
      <c r="W225" s="9" t="n">
        <f aca="false">V225/D225</f>
        <v>161.675213675214</v>
      </c>
      <c r="X225" s="9" t="n">
        <f aca="false">X224+V225</f>
        <v>149276.1</v>
      </c>
      <c r="Y225" s="9" t="n">
        <f aca="false">Y224+V225</f>
        <v>35978.7</v>
      </c>
      <c r="AA225" s="9" t="n">
        <v>13.2830788770229</v>
      </c>
    </row>
    <row r="226" s="9" customFormat="true" ht="15" hidden="false" customHeight="false" outlineLevel="0" collapsed="false">
      <c r="A226" s="46"/>
      <c r="B226" s="54"/>
      <c r="C226" s="12" t="n">
        <v>42104</v>
      </c>
      <c r="D226" s="9" t="n">
        <v>13.4</v>
      </c>
      <c r="E226" s="9" t="n">
        <v>5.6</v>
      </c>
      <c r="F226" s="9" t="n">
        <v>20.7</v>
      </c>
      <c r="G226" s="9" t="n">
        <f aca="false">G225+D226</f>
        <v>1841.6</v>
      </c>
      <c r="H226" s="9" t="n">
        <f aca="false">H225+D226</f>
        <v>249</v>
      </c>
      <c r="J226" s="9" t="n">
        <v>0</v>
      </c>
      <c r="K226" s="9" t="n">
        <f aca="false">K225+J226</f>
        <v>355.2</v>
      </c>
      <c r="L226" s="9" t="n">
        <v>3.6</v>
      </c>
      <c r="M226" s="9" t="n">
        <f aca="false">M225+L226</f>
        <v>259.6</v>
      </c>
      <c r="N226" s="14" t="n">
        <f aca="false">J226-L226</f>
        <v>-3.6</v>
      </c>
      <c r="O226" s="9" t="n">
        <f aca="false">O225+N226</f>
        <v>165.8</v>
      </c>
      <c r="P226" s="9" t="n">
        <v>221</v>
      </c>
      <c r="Q226" s="17" t="n">
        <f aca="false">1+((P226-189)/35)*(1.15-1)</f>
        <v>1.13714285714286</v>
      </c>
      <c r="R226" s="15" t="n">
        <f aca="false">Q226*L226</f>
        <v>4.09371428571429</v>
      </c>
      <c r="S226" s="15" t="n">
        <f aca="false">J226-R226</f>
        <v>-4.09371428571429</v>
      </c>
      <c r="T226" s="15" t="n">
        <f aca="false">MIN(197.4,(T225+S226))</f>
        <v>167.392428571429</v>
      </c>
      <c r="V226" s="9" t="n">
        <v>1849.5</v>
      </c>
      <c r="W226" s="9" t="n">
        <f aca="false">V226/D226</f>
        <v>138.022388059701</v>
      </c>
      <c r="X226" s="9" t="n">
        <f aca="false">X225+V226</f>
        <v>151125.6</v>
      </c>
      <c r="Y226" s="9" t="n">
        <f aca="false">Y225+V226</f>
        <v>37828.2</v>
      </c>
      <c r="AA226" s="9" t="n">
        <v>13.3414516378566</v>
      </c>
    </row>
    <row r="227" s="9" customFormat="true" ht="15" hidden="false" customHeight="false" outlineLevel="0" collapsed="false">
      <c r="A227" s="46"/>
      <c r="B227" s="54"/>
      <c r="C227" s="12" t="n">
        <v>42105</v>
      </c>
      <c r="D227" s="9" t="n">
        <v>11.8</v>
      </c>
      <c r="E227" s="9" t="n">
        <v>11.6</v>
      </c>
      <c r="F227" s="9" t="n">
        <v>14.4</v>
      </c>
      <c r="G227" s="9" t="n">
        <f aca="false">G226+D227</f>
        <v>1853.4</v>
      </c>
      <c r="H227" s="9" t="n">
        <f aca="false">H226+D227</f>
        <v>260.8</v>
      </c>
      <c r="J227" s="9" t="n">
        <v>2</v>
      </c>
      <c r="K227" s="9" t="n">
        <f aca="false">K226+J227</f>
        <v>357.2</v>
      </c>
      <c r="L227" s="9" t="n">
        <v>1.8</v>
      </c>
      <c r="M227" s="9" t="n">
        <f aca="false">M226+L227</f>
        <v>261.4</v>
      </c>
      <c r="N227" s="9" t="n">
        <f aca="false">J227-L227</f>
        <v>0.2</v>
      </c>
      <c r="O227" s="9" t="n">
        <f aca="false">O226+N227</f>
        <v>166</v>
      </c>
      <c r="P227" s="9" t="n">
        <v>222</v>
      </c>
      <c r="Q227" s="17" t="n">
        <f aca="false">1+((P227-189)/35)*(1.15-1)</f>
        <v>1.14142857142857</v>
      </c>
      <c r="R227" s="15" t="n">
        <f aca="false">Q227*L227</f>
        <v>2.05457142857143</v>
      </c>
      <c r="S227" s="15" t="n">
        <f aca="false">J227-R227</f>
        <v>-0.0545714285714287</v>
      </c>
      <c r="T227" s="15" t="n">
        <f aca="false">MIN(197.4,(T226+S227))</f>
        <v>167.337857142857</v>
      </c>
      <c r="V227" s="9" t="n">
        <v>794.9</v>
      </c>
      <c r="W227" s="9" t="n">
        <f aca="false">V227/D227</f>
        <v>67.364406779661</v>
      </c>
      <c r="X227" s="9" t="n">
        <f aca="false">X226+V227</f>
        <v>151920.5</v>
      </c>
      <c r="Y227" s="9" t="n">
        <f aca="false">Y226+V227</f>
        <v>38623.1</v>
      </c>
      <c r="AA227" s="9" t="n">
        <v>13.3996749610478</v>
      </c>
    </row>
    <row r="228" s="9" customFormat="true" ht="15" hidden="false" customHeight="false" outlineLevel="0" collapsed="false">
      <c r="A228" s="46"/>
      <c r="B228" s="54"/>
      <c r="C228" s="12" t="n">
        <v>42106</v>
      </c>
      <c r="D228" s="9" t="n">
        <v>11.6</v>
      </c>
      <c r="E228" s="20" t="n">
        <v>3.7</v>
      </c>
      <c r="F228" s="9" t="n">
        <v>17.5</v>
      </c>
      <c r="G228" s="9" t="n">
        <f aca="false">G227+D228</f>
        <v>1865</v>
      </c>
      <c r="H228" s="9" t="n">
        <f aca="false">H227+D228</f>
        <v>272.4</v>
      </c>
      <c r="J228" s="9" t="n">
        <v>0</v>
      </c>
      <c r="K228" s="9" t="n">
        <f aca="false">K227+J228</f>
        <v>357.2</v>
      </c>
      <c r="L228" s="9" t="n">
        <v>1.9</v>
      </c>
      <c r="M228" s="9" t="n">
        <f aca="false">M227+L228</f>
        <v>263.3</v>
      </c>
      <c r="N228" s="14" t="n">
        <f aca="false">J228-L228</f>
        <v>-1.9</v>
      </c>
      <c r="O228" s="9" t="n">
        <f aca="false">O227+N228</f>
        <v>164.1</v>
      </c>
      <c r="P228" s="9" t="n">
        <v>223</v>
      </c>
      <c r="Q228" s="17" t="n">
        <f aca="false">1+((P228-189)/35)*(1.15-1)</f>
        <v>1.14571428571429</v>
      </c>
      <c r="R228" s="15" t="n">
        <f aca="false">Q228*L228</f>
        <v>2.17685714285714</v>
      </c>
      <c r="S228" s="15" t="n">
        <f aca="false">J228-R228</f>
        <v>-2.17685714285714</v>
      </c>
      <c r="T228" s="15" t="n">
        <f aca="false">MIN(197.4,(T227+S228))</f>
        <v>165.161</v>
      </c>
      <c r="V228" s="9" t="n">
        <v>1293.2</v>
      </c>
      <c r="W228" s="9" t="n">
        <f aca="false">V228/D228</f>
        <v>111.48275862069</v>
      </c>
      <c r="X228" s="9" t="n">
        <f aca="false">X227+V228</f>
        <v>153213.7</v>
      </c>
      <c r="Y228" s="9" t="n">
        <f aca="false">Y227+V228</f>
        <v>39916.3</v>
      </c>
      <c r="AA228" s="9" t="n">
        <v>13.4577399203893</v>
      </c>
    </row>
    <row r="229" s="24" customFormat="true" ht="15" hidden="false" customHeight="false" outlineLevel="0" collapsed="false">
      <c r="A229" s="46"/>
      <c r="B229" s="21"/>
      <c r="C229" s="56" t="n">
        <v>42107</v>
      </c>
      <c r="D229" s="24" t="n">
        <v>13</v>
      </c>
      <c r="E229" s="24" t="n">
        <v>5.3</v>
      </c>
      <c r="F229" s="24" t="n">
        <v>19.1</v>
      </c>
      <c r="G229" s="24" t="n">
        <f aca="false">G228+D229</f>
        <v>1878</v>
      </c>
      <c r="H229" s="24" t="n">
        <f aca="false">H228+D229</f>
        <v>285.4</v>
      </c>
      <c r="J229" s="24" t="n">
        <v>0</v>
      </c>
      <c r="K229" s="24" t="n">
        <f aca="false">K228+J229</f>
        <v>357.2</v>
      </c>
      <c r="L229" s="24" t="n">
        <v>3.3</v>
      </c>
      <c r="M229" s="24" t="n">
        <f aca="false">M228+L229</f>
        <v>266.6</v>
      </c>
      <c r="N229" s="57" t="n">
        <f aca="false">J229-L229</f>
        <v>-3.3</v>
      </c>
      <c r="O229" s="24" t="n">
        <f aca="false">O228+N229</f>
        <v>160.8</v>
      </c>
      <c r="P229" s="24" t="n">
        <v>224</v>
      </c>
      <c r="Q229" s="58" t="n">
        <f aca="false">1+((P229-189)/35)*(1.15-1)</f>
        <v>1.15</v>
      </c>
      <c r="R229" s="26" t="n">
        <f aca="false">Q229*L229</f>
        <v>3.795</v>
      </c>
      <c r="S229" s="26" t="n">
        <f aca="false">J229-R229</f>
        <v>-3.795</v>
      </c>
      <c r="T229" s="59" t="n">
        <f aca="false">MIN(197.4,(T228+S229))</f>
        <v>161.366</v>
      </c>
      <c r="V229" s="24" t="n">
        <v>2079.6</v>
      </c>
      <c r="W229" s="24" t="n">
        <f aca="false">V229/D229</f>
        <v>159.969230769231</v>
      </c>
      <c r="X229" s="24" t="n">
        <f aca="false">X228+V229</f>
        <v>155293.3</v>
      </c>
      <c r="Y229" s="60" t="n">
        <f aca="false">Y228+V229</f>
        <v>41995.9</v>
      </c>
      <c r="AA229" s="60" t="n">
        <v>13.5156372637911</v>
      </c>
    </row>
    <row r="230" s="9" customFormat="true" ht="15" hidden="false" customHeight="false" outlineLevel="0" collapsed="false">
      <c r="A230" s="61" t="s">
        <v>54</v>
      </c>
      <c r="C230" s="12" t="n">
        <v>42108</v>
      </c>
      <c r="D230" s="9" t="n">
        <v>15.6</v>
      </c>
      <c r="E230" s="9" t="n">
        <v>7.8</v>
      </c>
      <c r="F230" s="9" t="n">
        <v>22.8</v>
      </c>
      <c r="G230" s="9" t="n">
        <f aca="false">G229+D230</f>
        <v>1893.6</v>
      </c>
      <c r="H230" s="9" t="n">
        <v>15.6</v>
      </c>
      <c r="I230" s="62" t="s">
        <v>28</v>
      </c>
      <c r="J230" s="9" t="n">
        <v>0</v>
      </c>
      <c r="K230" s="9" t="n">
        <f aca="false">K229+J230</f>
        <v>357.2</v>
      </c>
      <c r="L230" s="9" t="n">
        <v>3.8</v>
      </c>
      <c r="M230" s="9" t="n">
        <f aca="false">M229+L230</f>
        <v>270.4</v>
      </c>
      <c r="N230" s="14" t="n">
        <f aca="false">J230-L230</f>
        <v>-3.8</v>
      </c>
      <c r="O230" s="9" t="n">
        <f aca="false">O229+N230</f>
        <v>157</v>
      </c>
      <c r="P230" s="9" t="n">
        <v>225</v>
      </c>
      <c r="Q230" s="9" t="n">
        <v>1.15</v>
      </c>
      <c r="R230" s="15" t="n">
        <f aca="false">Q230*L230</f>
        <v>4.37</v>
      </c>
      <c r="S230" s="15" t="n">
        <f aca="false">J230-R230</f>
        <v>-4.37</v>
      </c>
      <c r="T230" s="15" t="n">
        <f aca="false">MIN(197.4,(T229+S230))</f>
        <v>156.996</v>
      </c>
      <c r="U230" s="62" t="s">
        <v>29</v>
      </c>
      <c r="V230" s="9" t="n">
        <v>2001.5</v>
      </c>
      <c r="W230" s="9" t="n">
        <f aca="false">V230/D230</f>
        <v>128.301282051282</v>
      </c>
      <c r="X230" s="9" t="n">
        <f aca="false">X229+V230</f>
        <v>157294.8</v>
      </c>
      <c r="Y230" s="9" t="n">
        <v>2001.5</v>
      </c>
      <c r="Z230" s="62" t="s">
        <v>30</v>
      </c>
      <c r="AA230" s="9" t="n">
        <v>13.5733573976781</v>
      </c>
    </row>
    <row r="231" s="9" customFormat="true" ht="15" hidden="false" customHeight="false" outlineLevel="0" collapsed="false">
      <c r="A231" s="61"/>
      <c r="C231" s="12" t="n">
        <v>42109</v>
      </c>
      <c r="D231" s="9" t="n">
        <v>16.9</v>
      </c>
      <c r="E231" s="9" t="n">
        <v>9</v>
      </c>
      <c r="F231" s="9" t="n">
        <v>24.1</v>
      </c>
      <c r="G231" s="9" t="n">
        <f aca="false">G230+D231</f>
        <v>1910.5</v>
      </c>
      <c r="H231" s="9" t="n">
        <f aca="false">H230+D231</f>
        <v>32.5</v>
      </c>
      <c r="I231" s="9" t="n">
        <f aca="false">MIN(E230:E250)</f>
        <v>4.5</v>
      </c>
      <c r="J231" s="9" t="n">
        <v>0</v>
      </c>
      <c r="K231" s="9" t="n">
        <f aca="false">K230+J231</f>
        <v>357.2</v>
      </c>
      <c r="L231" s="9" t="n">
        <v>3.5</v>
      </c>
      <c r="M231" s="9" t="n">
        <f aca="false">M230+L231</f>
        <v>273.9</v>
      </c>
      <c r="N231" s="14" t="n">
        <f aca="false">J231-L231</f>
        <v>-3.5</v>
      </c>
      <c r="O231" s="9" t="n">
        <f aca="false">O230+N231</f>
        <v>153.5</v>
      </c>
      <c r="P231" s="9" t="n">
        <v>226</v>
      </c>
      <c r="Q231" s="9" t="n">
        <v>1.15</v>
      </c>
      <c r="R231" s="15" t="n">
        <f aca="false">Q231*L231</f>
        <v>4.025</v>
      </c>
      <c r="S231" s="15" t="n">
        <f aca="false">J231-R231</f>
        <v>-4.025</v>
      </c>
      <c r="T231" s="15" t="n">
        <f aca="false">MIN(197.4,(T230+S231))</f>
        <v>152.971</v>
      </c>
      <c r="U231" s="9" t="n">
        <v>13</v>
      </c>
      <c r="V231" s="9" t="n">
        <v>1952.8</v>
      </c>
      <c r="W231" s="9" t="n">
        <f aca="false">V231/D231</f>
        <v>115.550295857988</v>
      </c>
      <c r="X231" s="9" t="n">
        <f aca="false">X230+V231</f>
        <v>159247.6</v>
      </c>
      <c r="Y231" s="9" t="n">
        <f aca="false">Y230+V231</f>
        <v>3954.3</v>
      </c>
      <c r="Z231" s="9" t="n">
        <v>34493.9</v>
      </c>
      <c r="AA231" s="9" t="n">
        <v>13.6308903716257</v>
      </c>
    </row>
    <row r="232" s="9" customFormat="true" ht="15" hidden="false" customHeight="false" outlineLevel="0" collapsed="false">
      <c r="A232" s="61"/>
      <c r="C232" s="12" t="n">
        <v>42110</v>
      </c>
      <c r="D232" s="9" t="n">
        <v>16.1</v>
      </c>
      <c r="E232" s="9" t="n">
        <v>10.1</v>
      </c>
      <c r="F232" s="9" t="n">
        <v>21.7</v>
      </c>
      <c r="G232" s="9" t="n">
        <f aca="false">G231+D232</f>
        <v>1926.6</v>
      </c>
      <c r="H232" s="9" t="n">
        <f aca="false">H231+D232</f>
        <v>48.6</v>
      </c>
      <c r="I232" s="62" t="s">
        <v>31</v>
      </c>
      <c r="J232" s="9" t="n">
        <v>0.3</v>
      </c>
      <c r="K232" s="9" t="n">
        <f aca="false">K231+J232</f>
        <v>357.5</v>
      </c>
      <c r="L232" s="9" t="n">
        <v>3</v>
      </c>
      <c r="M232" s="9" t="n">
        <f aca="false">M231+L232</f>
        <v>276.9</v>
      </c>
      <c r="N232" s="14" t="n">
        <f aca="false">J232-L232</f>
        <v>-2.7</v>
      </c>
      <c r="O232" s="9" t="n">
        <f aca="false">O231+N232</f>
        <v>150.8</v>
      </c>
      <c r="P232" s="9" t="n">
        <v>227</v>
      </c>
      <c r="Q232" s="9" t="n">
        <v>1.15</v>
      </c>
      <c r="R232" s="15" t="n">
        <f aca="false">Q232*L232</f>
        <v>3.45</v>
      </c>
      <c r="S232" s="15" t="n">
        <f aca="false">J232-R232</f>
        <v>-3.15</v>
      </c>
      <c r="T232" s="15" t="n">
        <f aca="false">MIN(197.4,(T231+S232))</f>
        <v>149.821</v>
      </c>
      <c r="U232" s="62" t="s">
        <v>32</v>
      </c>
      <c r="V232" s="9" t="n">
        <v>1618.8</v>
      </c>
      <c r="W232" s="9" t="n">
        <f aca="false">V232/D232</f>
        <v>100.546583850932</v>
      </c>
      <c r="X232" s="9" t="n">
        <f aca="false">X231+V232</f>
        <v>160866.4</v>
      </c>
      <c r="Y232" s="9" t="n">
        <f aca="false">Y231+V232</f>
        <v>5573.1</v>
      </c>
      <c r="Z232" s="62" t="s">
        <v>33</v>
      </c>
      <c r="AA232" s="9" t="n">
        <v>13.6882258632629</v>
      </c>
    </row>
    <row r="233" s="9" customFormat="true" ht="15" hidden="false" customHeight="false" outlineLevel="0" collapsed="false">
      <c r="A233" s="61"/>
      <c r="C233" s="12" t="n">
        <v>42111</v>
      </c>
      <c r="D233" s="9" t="n">
        <v>13.9</v>
      </c>
      <c r="E233" s="9" t="n">
        <v>12.4</v>
      </c>
      <c r="F233" s="9" t="n">
        <v>17.3</v>
      </c>
      <c r="G233" s="9" t="n">
        <f aca="false">G232+D233</f>
        <v>1940.5</v>
      </c>
      <c r="H233" s="9" t="n">
        <f aca="false">H232+D233</f>
        <v>62.5</v>
      </c>
      <c r="I233" s="9" t="n">
        <f aca="false">MAX(F230:F250)</f>
        <v>24.1</v>
      </c>
      <c r="J233" s="9" t="n">
        <v>2.5</v>
      </c>
      <c r="K233" s="9" t="n">
        <f aca="false">K232+J233</f>
        <v>360</v>
      </c>
      <c r="L233" s="9" t="n">
        <v>1.8</v>
      </c>
      <c r="M233" s="9" t="n">
        <f aca="false">M232+L233</f>
        <v>278.7</v>
      </c>
      <c r="N233" s="9" t="n">
        <f aca="false">J233-L233</f>
        <v>0.7</v>
      </c>
      <c r="O233" s="9" t="n">
        <f aca="false">O232+N233</f>
        <v>151.5</v>
      </c>
      <c r="P233" s="9" t="n">
        <v>228</v>
      </c>
      <c r="Q233" s="9" t="n">
        <v>1.15</v>
      </c>
      <c r="R233" s="15" t="n">
        <f aca="false">Q233*L233</f>
        <v>2.07</v>
      </c>
      <c r="S233" s="15" t="n">
        <f aca="false">J233-R233</f>
        <v>0.43</v>
      </c>
      <c r="T233" s="15" t="n">
        <f aca="false">MIN(197.4,(T232+S233))</f>
        <v>150.251</v>
      </c>
      <c r="U233" s="9" t="n">
        <v>0</v>
      </c>
      <c r="V233" s="9" t="n">
        <v>1031.3</v>
      </c>
      <c r="W233" s="9" t="n">
        <f aca="false">V233/D233</f>
        <v>74.1942446043165</v>
      </c>
      <c r="X233" s="9" t="n">
        <f aca="false">X232+V233</f>
        <v>161897.7</v>
      </c>
      <c r="Y233" s="9" t="n">
        <f aca="false">Y232+V233</f>
        <v>6604.4</v>
      </c>
      <c r="Z233" s="17" t="n">
        <f aca="false">(Z231/100)/I243</f>
        <v>1.28182460052025</v>
      </c>
      <c r="AA233" s="9" t="n">
        <v>13.745353163479</v>
      </c>
    </row>
    <row r="234" s="9" customFormat="true" ht="15" hidden="false" customHeight="false" outlineLevel="0" collapsed="false">
      <c r="A234" s="61"/>
      <c r="C234" s="12" t="n">
        <v>42112</v>
      </c>
      <c r="D234" s="9" t="n">
        <v>11.1</v>
      </c>
      <c r="E234" s="9" t="n">
        <v>7.7</v>
      </c>
      <c r="F234" s="9" t="n">
        <v>14.6</v>
      </c>
      <c r="G234" s="9" t="n">
        <f aca="false">G233+D234</f>
        <v>1951.6</v>
      </c>
      <c r="H234" s="9" t="n">
        <f aca="false">H233+D234</f>
        <v>73.6</v>
      </c>
      <c r="I234" s="62" t="s">
        <v>34</v>
      </c>
      <c r="J234" s="9" t="n">
        <v>0</v>
      </c>
      <c r="K234" s="9" t="n">
        <f aca="false">K233+J234</f>
        <v>360</v>
      </c>
      <c r="L234" s="9" t="n">
        <v>3.9</v>
      </c>
      <c r="M234" s="9" t="n">
        <f aca="false">M233+L234</f>
        <v>282.6</v>
      </c>
      <c r="N234" s="14" t="n">
        <f aca="false">J234-L234</f>
        <v>-3.9</v>
      </c>
      <c r="O234" s="9" t="n">
        <f aca="false">O233+N234</f>
        <v>147.6</v>
      </c>
      <c r="P234" s="9" t="n">
        <v>229</v>
      </c>
      <c r="Q234" s="9" t="n">
        <v>1.15</v>
      </c>
      <c r="R234" s="15" t="n">
        <f aca="false">Q234*L234</f>
        <v>4.485</v>
      </c>
      <c r="S234" s="15" t="n">
        <f aca="false">J234-R234</f>
        <v>-4.485</v>
      </c>
      <c r="T234" s="15" t="n">
        <f aca="false">MIN(197.4,(T233+S234))</f>
        <v>145.766</v>
      </c>
      <c r="U234" s="62" t="s">
        <v>35</v>
      </c>
      <c r="V234" s="9" t="n">
        <v>2182.6</v>
      </c>
      <c r="W234" s="9" t="n">
        <f aca="false">V234/D234</f>
        <v>196.630630630631</v>
      </c>
      <c r="X234" s="9" t="n">
        <f aca="false">X233+V234</f>
        <v>164080.3</v>
      </c>
      <c r="Y234" s="9" t="n">
        <f aca="false">Y233+V234</f>
        <v>8787</v>
      </c>
      <c r="Z234" s="62" t="s">
        <v>36</v>
      </c>
      <c r="AA234" s="9" t="n">
        <v>13.802261161972</v>
      </c>
    </row>
    <row r="235" s="9" customFormat="true" ht="15" hidden="false" customHeight="false" outlineLevel="0" collapsed="false">
      <c r="A235" s="61"/>
      <c r="C235" s="12" t="n">
        <v>42113</v>
      </c>
      <c r="D235" s="9" t="n">
        <v>11</v>
      </c>
      <c r="E235" s="9" t="n">
        <v>5.1</v>
      </c>
      <c r="F235" s="9" t="n">
        <v>17.2</v>
      </c>
      <c r="G235" s="9" t="n">
        <f aca="false">G234+D235</f>
        <v>1962.6</v>
      </c>
      <c r="H235" s="9" t="n">
        <f aca="false">H234+D235</f>
        <v>84.6</v>
      </c>
      <c r="I235" s="15" t="n">
        <f aca="false">AVERAGE(D230:D250)</f>
        <v>12.8142857142857</v>
      </c>
      <c r="J235" s="9" t="n">
        <v>0</v>
      </c>
      <c r="K235" s="9" t="n">
        <f aca="false">K234+J235</f>
        <v>360</v>
      </c>
      <c r="L235" s="9" t="n">
        <v>4.3</v>
      </c>
      <c r="M235" s="9" t="n">
        <f aca="false">M234+L235</f>
        <v>286.9</v>
      </c>
      <c r="N235" s="14" t="n">
        <f aca="false">J235-L235</f>
        <v>-4.3</v>
      </c>
      <c r="O235" s="9" t="n">
        <f aca="false">O234+N235</f>
        <v>143.3</v>
      </c>
      <c r="P235" s="9" t="n">
        <v>230</v>
      </c>
      <c r="Q235" s="9" t="n">
        <v>1.15</v>
      </c>
      <c r="R235" s="15" t="n">
        <f aca="false">Q235*L235</f>
        <v>4.945</v>
      </c>
      <c r="S235" s="15" t="n">
        <f aca="false">J235-R235</f>
        <v>-4.945</v>
      </c>
      <c r="T235" s="15" t="n">
        <f aca="false">MIN(197.4,(T234+S235))</f>
        <v>140.821</v>
      </c>
      <c r="U235" s="9" t="n">
        <v>0</v>
      </c>
      <c r="V235" s="9" t="n">
        <v>2551.9</v>
      </c>
      <c r="W235" s="9" t="n">
        <f aca="false">V235/D235</f>
        <v>231.990909090909</v>
      </c>
      <c r="X235" s="9" t="n">
        <f aca="false">X234+V235</f>
        <v>166632.2</v>
      </c>
      <c r="Y235" s="9" t="n">
        <f aca="false">Y234+V235</f>
        <v>11338.9</v>
      </c>
      <c r="Z235" s="9" t="n">
        <v>4</v>
      </c>
      <c r="AA235" s="9" t="n">
        <v>13.8589383331813</v>
      </c>
    </row>
    <row r="236" s="9" customFormat="true" ht="15" hidden="false" customHeight="false" outlineLevel="0" collapsed="false">
      <c r="A236" s="61"/>
      <c r="C236" s="12" t="n">
        <v>42114</v>
      </c>
      <c r="D236" s="9" t="n">
        <v>12.8</v>
      </c>
      <c r="E236" s="9" t="n">
        <v>5.1</v>
      </c>
      <c r="F236" s="9" t="n">
        <v>19.8</v>
      </c>
      <c r="G236" s="9" t="n">
        <f aca="false">G235+D236</f>
        <v>1975.4</v>
      </c>
      <c r="H236" s="9" t="n">
        <f aca="false">H235+D236</f>
        <v>97.4</v>
      </c>
      <c r="I236" s="62" t="s">
        <v>37</v>
      </c>
      <c r="J236" s="9" t="n">
        <v>0</v>
      </c>
      <c r="K236" s="9" t="n">
        <f aca="false">K235+J236</f>
        <v>360</v>
      </c>
      <c r="L236" s="9" t="n">
        <v>4.2</v>
      </c>
      <c r="M236" s="9" t="n">
        <f aca="false">M235+L236</f>
        <v>291.1</v>
      </c>
      <c r="N236" s="14" t="n">
        <f aca="false">J236-L236</f>
        <v>-4.2</v>
      </c>
      <c r="O236" s="9" t="n">
        <f aca="false">O235+N236</f>
        <v>139.1</v>
      </c>
      <c r="P236" s="9" t="n">
        <v>231</v>
      </c>
      <c r="Q236" s="9" t="n">
        <v>1.15</v>
      </c>
      <c r="R236" s="15" t="n">
        <f aca="false">Q236*L236</f>
        <v>4.83</v>
      </c>
      <c r="S236" s="15" t="n">
        <f aca="false">J236-R236</f>
        <v>-4.83</v>
      </c>
      <c r="T236" s="15" t="n">
        <f aca="false">MIN(197.4,(T235+S236))</f>
        <v>135.991</v>
      </c>
      <c r="U236" s="62" t="s">
        <v>38</v>
      </c>
      <c r="V236" s="9" t="n">
        <v>2434.3</v>
      </c>
      <c r="W236" s="9" t="n">
        <f aca="false">V236/D236</f>
        <v>190.1796875</v>
      </c>
      <c r="X236" s="9" t="n">
        <f aca="false">X235+V236</f>
        <v>169066.5</v>
      </c>
      <c r="Y236" s="9" t="n">
        <f aca="false">Y235+V236</f>
        <v>13773.2</v>
      </c>
      <c r="AA236" s="9" t="n">
        <v>13.9153727226509</v>
      </c>
    </row>
    <row r="237" s="9" customFormat="true" ht="15" hidden="false" customHeight="false" outlineLevel="0" collapsed="false">
      <c r="A237" s="61"/>
      <c r="C237" s="12" t="n">
        <v>42115</v>
      </c>
      <c r="D237" s="9" t="n">
        <v>14.3</v>
      </c>
      <c r="E237" s="9" t="n">
        <v>6.5</v>
      </c>
      <c r="F237" s="9" t="n">
        <v>21.4</v>
      </c>
      <c r="G237" s="9" t="n">
        <f aca="false">G236+D237</f>
        <v>1989.7</v>
      </c>
      <c r="H237" s="9" t="n">
        <f aca="false">H236+D237</f>
        <v>111.7</v>
      </c>
      <c r="I237" s="9" t="n">
        <v>0</v>
      </c>
      <c r="J237" s="9" t="n">
        <v>0</v>
      </c>
      <c r="K237" s="9" t="n">
        <f aca="false">K236+J237</f>
        <v>360</v>
      </c>
      <c r="L237" s="9" t="n">
        <v>4.3</v>
      </c>
      <c r="M237" s="9" t="n">
        <f aca="false">M236+L237</f>
        <v>295.4</v>
      </c>
      <c r="N237" s="14" t="n">
        <f aca="false">J237-L237</f>
        <v>-4.3</v>
      </c>
      <c r="O237" s="9" t="n">
        <f aca="false">O236+N237</f>
        <v>134.8</v>
      </c>
      <c r="P237" s="9" t="n">
        <v>232</v>
      </c>
      <c r="Q237" s="9" t="n">
        <v>1.15</v>
      </c>
      <c r="R237" s="15" t="n">
        <f aca="false">Q237*L237</f>
        <v>4.945</v>
      </c>
      <c r="S237" s="15" t="n">
        <f aca="false">J237-R237</f>
        <v>-4.945</v>
      </c>
      <c r="T237" s="15" t="n">
        <f aca="false">MIN(197.4,(T236+S237))</f>
        <v>131.046</v>
      </c>
      <c r="U237" s="15" t="n">
        <f aca="false">MIN(T230:T250)</f>
        <v>119.441</v>
      </c>
      <c r="V237" s="9" t="n">
        <v>2447.7</v>
      </c>
      <c r="W237" s="9" t="n">
        <f aca="false">V237/D237</f>
        <v>171.167832167832</v>
      </c>
      <c r="X237" s="9" t="n">
        <f aca="false">X236+V237</f>
        <v>171514.2</v>
      </c>
      <c r="Y237" s="9" t="n">
        <f aca="false">Y236+V237</f>
        <v>16220.9</v>
      </c>
      <c r="AA237" s="9" t="n">
        <v>13.9715519338742</v>
      </c>
    </row>
    <row r="238" s="9" customFormat="true" ht="15" hidden="false" customHeight="false" outlineLevel="0" collapsed="false">
      <c r="A238" s="61"/>
      <c r="C238" s="12" t="n">
        <v>42116</v>
      </c>
      <c r="D238" s="9" t="n">
        <v>14.4</v>
      </c>
      <c r="E238" s="9" t="n">
        <v>8.8</v>
      </c>
      <c r="F238" s="9" t="n">
        <v>21.6</v>
      </c>
      <c r="G238" s="9" t="n">
        <f aca="false">G237+D238</f>
        <v>2004.1</v>
      </c>
      <c r="H238" s="9" t="n">
        <f aca="false">H237+D238</f>
        <v>126.1</v>
      </c>
      <c r="I238" s="62" t="s">
        <v>39</v>
      </c>
      <c r="J238" s="9" t="n">
        <v>0</v>
      </c>
      <c r="K238" s="9" t="n">
        <f aca="false">K237+J238</f>
        <v>360</v>
      </c>
      <c r="L238" s="9" t="n">
        <v>5</v>
      </c>
      <c r="M238" s="9" t="n">
        <f aca="false">M237+L238</f>
        <v>300.4</v>
      </c>
      <c r="N238" s="14" t="n">
        <f aca="false">J238-L238</f>
        <v>-5</v>
      </c>
      <c r="O238" s="9" t="n">
        <f aca="false">O237+N238</f>
        <v>129.8</v>
      </c>
      <c r="P238" s="9" t="n">
        <v>233</v>
      </c>
      <c r="Q238" s="9" t="n">
        <v>1.15</v>
      </c>
      <c r="R238" s="15" t="n">
        <f aca="false">Q238*L238</f>
        <v>5.75</v>
      </c>
      <c r="S238" s="15" t="n">
        <f aca="false">J238-R238</f>
        <v>-5.75</v>
      </c>
      <c r="T238" s="15" t="n">
        <f aca="false">MIN(197.4,(T237+S238))</f>
        <v>125.296</v>
      </c>
      <c r="U238" s="62" t="s">
        <v>40</v>
      </c>
      <c r="V238" s="9" t="n">
        <v>2643.2</v>
      </c>
      <c r="W238" s="9" t="n">
        <f aca="false">V238/D238</f>
        <v>183.555555555556</v>
      </c>
      <c r="X238" s="9" t="n">
        <f aca="false">X237+V238</f>
        <v>174157.4</v>
      </c>
      <c r="Y238" s="9" t="n">
        <f aca="false">Y237+V238</f>
        <v>18864.1</v>
      </c>
      <c r="AA238" s="9" t="n">
        <v>14.0274631156743</v>
      </c>
    </row>
    <row r="239" s="50" customFormat="true" ht="15" hidden="false" customHeight="false" outlineLevel="0" collapsed="false">
      <c r="A239" s="61"/>
      <c r="C239" s="63" t="n">
        <v>42117</v>
      </c>
      <c r="D239" s="50" t="n">
        <v>13.3</v>
      </c>
      <c r="E239" s="50" t="n">
        <v>6.5</v>
      </c>
      <c r="F239" s="50" t="n">
        <v>19.5</v>
      </c>
      <c r="G239" s="50" t="n">
        <f aca="false">G238+D239</f>
        <v>2017.4</v>
      </c>
      <c r="H239" s="50" t="n">
        <f aca="false">H238+D239</f>
        <v>139.4</v>
      </c>
      <c r="I239" s="50" t="n">
        <v>0</v>
      </c>
      <c r="J239" s="50" t="n">
        <v>0</v>
      </c>
      <c r="K239" s="50" t="n">
        <f aca="false">K238+J239</f>
        <v>360</v>
      </c>
      <c r="L239" s="50" t="n">
        <v>4.3</v>
      </c>
      <c r="M239" s="50" t="n">
        <f aca="false">M238+L239</f>
        <v>304.7</v>
      </c>
      <c r="N239" s="50" t="n">
        <f aca="false">J239-L239</f>
        <v>-4.3</v>
      </c>
      <c r="O239" s="50" t="n">
        <f aca="false">O238+N239</f>
        <v>125.5</v>
      </c>
      <c r="P239" s="50" t="n">
        <v>234</v>
      </c>
      <c r="Q239" s="9" t="n">
        <v>1.15</v>
      </c>
      <c r="R239" s="53" t="n">
        <f aca="false">Q239*L239</f>
        <v>4.945</v>
      </c>
      <c r="S239" s="53" t="n">
        <f aca="false">J239-R239</f>
        <v>-4.945</v>
      </c>
      <c r="T239" s="15" t="n">
        <f aca="false">MIN(197.4,(T238+S239))</f>
        <v>120.351</v>
      </c>
      <c r="U239" s="15" t="n">
        <f aca="false">MAX(T230:T250)</f>
        <v>158.486</v>
      </c>
      <c r="V239" s="50" t="n">
        <v>2657.7</v>
      </c>
      <c r="W239" s="50" t="n">
        <f aca="false">V239/D239</f>
        <v>199.827067669173</v>
      </c>
      <c r="X239" s="50" t="n">
        <f aca="false">X238+V239</f>
        <v>176815.1</v>
      </c>
      <c r="Y239" s="9" t="n">
        <f aca="false">Y238+V239</f>
        <v>21521.8</v>
      </c>
      <c r="AA239" s="9" t="n">
        <v>14.0830929501791</v>
      </c>
    </row>
    <row r="240" s="9" customFormat="true" ht="15" hidden="false" customHeight="true" outlineLevel="0" collapsed="false">
      <c r="A240" s="64"/>
      <c r="C240" s="12" t="n">
        <v>42118</v>
      </c>
      <c r="D240" s="9" t="n">
        <v>12.2</v>
      </c>
      <c r="E240" s="9" t="n">
        <v>7.4</v>
      </c>
      <c r="F240" s="9" t="n">
        <v>15.8</v>
      </c>
      <c r="G240" s="9" t="n">
        <f aca="false">G239+D240</f>
        <v>2029.6</v>
      </c>
      <c r="H240" s="9" t="n">
        <f aca="false">H239+D240</f>
        <v>151.6</v>
      </c>
      <c r="I240" s="62" t="s">
        <v>41</v>
      </c>
      <c r="J240" s="9" t="n">
        <v>0.7</v>
      </c>
      <c r="K240" s="9" t="n">
        <f aca="false">K239+J240</f>
        <v>360.7</v>
      </c>
      <c r="L240" s="9" t="n">
        <v>1.4</v>
      </c>
      <c r="M240" s="9" t="n">
        <f aca="false">M239+L240</f>
        <v>306.1</v>
      </c>
      <c r="N240" s="14" t="n">
        <f aca="false">J240-L240</f>
        <v>-0.7</v>
      </c>
      <c r="O240" s="9" t="n">
        <f aca="false">O239+N240</f>
        <v>124.8</v>
      </c>
      <c r="P240" s="9" t="n">
        <v>235</v>
      </c>
      <c r="Q240" s="9" t="n">
        <v>1.15</v>
      </c>
      <c r="R240" s="15" t="n">
        <f aca="false">Q240*L240</f>
        <v>1.61</v>
      </c>
      <c r="S240" s="15" t="n">
        <f aca="false">J240-R240</f>
        <v>-0.91</v>
      </c>
      <c r="T240" s="15" t="n">
        <f aca="false">MIN(197.4,(T239+S240))</f>
        <v>119.441</v>
      </c>
      <c r="U240" s="62" t="s">
        <v>42</v>
      </c>
      <c r="V240" s="9" t="n">
        <v>926.7</v>
      </c>
      <c r="W240" s="9" t="n">
        <f aca="false">V240/D240</f>
        <v>75.9590163934426</v>
      </c>
      <c r="X240" s="9" t="n">
        <f aca="false">X239+V240</f>
        <v>177741.8</v>
      </c>
      <c r="Y240" s="9" t="n">
        <f aca="false">Y239+V240</f>
        <v>22448.5</v>
      </c>
      <c r="AA240" s="9" t="n">
        <v>14.1384276414545</v>
      </c>
    </row>
    <row r="241" s="9" customFormat="true" ht="15" hidden="false" customHeight="false" outlineLevel="0" collapsed="false">
      <c r="A241" s="64"/>
      <c r="C241" s="12" t="n">
        <v>42119</v>
      </c>
      <c r="D241" s="9" t="n">
        <v>14.2</v>
      </c>
      <c r="E241" s="9" t="n">
        <v>12</v>
      </c>
      <c r="F241" s="9" t="n">
        <v>16.5</v>
      </c>
      <c r="G241" s="9" t="n">
        <f aca="false">G240+D241</f>
        <v>2043.8</v>
      </c>
      <c r="H241" s="9" t="n">
        <f aca="false">H240+D241</f>
        <v>165.8</v>
      </c>
      <c r="I241" s="9" t="n">
        <v>2</v>
      </c>
      <c r="J241" s="9" t="n">
        <v>8.2</v>
      </c>
      <c r="K241" s="9" t="n">
        <f aca="false">K240+J241</f>
        <v>368.9</v>
      </c>
      <c r="L241" s="9" t="n">
        <v>2.2</v>
      </c>
      <c r="M241" s="9" t="n">
        <f aca="false">M240+L241</f>
        <v>308.3</v>
      </c>
      <c r="N241" s="9" t="n">
        <f aca="false">J241-L241</f>
        <v>6</v>
      </c>
      <c r="O241" s="9" t="n">
        <f aca="false">O240+N241</f>
        <v>130.8</v>
      </c>
      <c r="P241" s="9" t="n">
        <v>236</v>
      </c>
      <c r="Q241" s="9" t="n">
        <v>1.15</v>
      </c>
      <c r="R241" s="15" t="n">
        <f aca="false">Q241*L241</f>
        <v>2.53</v>
      </c>
      <c r="S241" s="15" t="n">
        <f aca="false">J241-R241</f>
        <v>5.67</v>
      </c>
      <c r="T241" s="15" t="n">
        <f aca="false">MIN(197.4,(T240+S241))</f>
        <v>125.111</v>
      </c>
      <c r="U241" s="17" t="n">
        <f aca="false">AVERAGE(T230:T250)</f>
        <v>138.373380952381</v>
      </c>
      <c r="V241" s="9" t="n">
        <v>1474</v>
      </c>
      <c r="W241" s="9" t="n">
        <f aca="false">V241/D241</f>
        <v>103.802816901408</v>
      </c>
      <c r="X241" s="9" t="n">
        <f aca="false">X240+V241</f>
        <v>179215.8</v>
      </c>
      <c r="Y241" s="9" t="n">
        <f aca="false">Y240+V241</f>
        <v>23922.5</v>
      </c>
      <c r="AA241" s="9" t="n">
        <v>14.1934529048636</v>
      </c>
    </row>
    <row r="242" s="9" customFormat="true" ht="15" hidden="false" customHeight="false" outlineLevel="0" collapsed="false">
      <c r="A242" s="64"/>
      <c r="C242" s="12" t="n">
        <v>42120</v>
      </c>
      <c r="D242" s="9" t="n">
        <v>13.1</v>
      </c>
      <c r="E242" s="9" t="n">
        <v>10.2</v>
      </c>
      <c r="F242" s="9" t="n">
        <v>16.7</v>
      </c>
      <c r="G242" s="9" t="n">
        <f aca="false">G241+D242</f>
        <v>2056.9</v>
      </c>
      <c r="H242" s="9" t="n">
        <f aca="false">H241+D242</f>
        <v>178.9</v>
      </c>
      <c r="I242" s="62" t="s">
        <v>43</v>
      </c>
      <c r="J242" s="9" t="n">
        <v>8.2</v>
      </c>
      <c r="K242" s="9" t="n">
        <f aca="false">K241+J242</f>
        <v>377.1</v>
      </c>
      <c r="L242" s="9" t="n">
        <v>2.2</v>
      </c>
      <c r="M242" s="9" t="n">
        <f aca="false">M241+L242</f>
        <v>310.5</v>
      </c>
      <c r="N242" s="9" t="n">
        <f aca="false">J242-L242</f>
        <v>6</v>
      </c>
      <c r="O242" s="9" t="n">
        <f aca="false">O241+N242</f>
        <v>136.8</v>
      </c>
      <c r="P242" s="9" t="n">
        <v>237</v>
      </c>
      <c r="Q242" s="9" t="n">
        <v>1.15</v>
      </c>
      <c r="R242" s="15" t="n">
        <f aca="false">Q242*L242</f>
        <v>2.53</v>
      </c>
      <c r="S242" s="15" t="n">
        <f aca="false">J242-R242</f>
        <v>5.67</v>
      </c>
      <c r="T242" s="15" t="n">
        <f aca="false">MIN(197.4,(T241+S242))</f>
        <v>130.781</v>
      </c>
      <c r="V242" s="9" t="n">
        <v>1358.9</v>
      </c>
      <c r="W242" s="9" t="n">
        <f aca="false">V242/D242</f>
        <v>103.732824427481</v>
      </c>
      <c r="X242" s="9" t="n">
        <f aca="false">X241+V242</f>
        <v>180574.7</v>
      </c>
      <c r="Y242" s="9" t="n">
        <f aca="false">Y241+V242</f>
        <v>25281.4</v>
      </c>
      <c r="AA242" s="9" t="n">
        <v>14.248153957224</v>
      </c>
    </row>
    <row r="243" s="9" customFormat="true" ht="15" hidden="false" customHeight="false" outlineLevel="0" collapsed="false">
      <c r="A243" s="64"/>
      <c r="C243" s="12" t="n">
        <v>42121</v>
      </c>
      <c r="D243" s="9" t="n">
        <v>10.2</v>
      </c>
      <c r="E243" s="9" t="n">
        <v>9.1</v>
      </c>
      <c r="F243" s="9" t="n">
        <v>11.7</v>
      </c>
      <c r="G243" s="9" t="n">
        <f aca="false">G242+D243</f>
        <v>2067.1</v>
      </c>
      <c r="H243" s="9" t="n">
        <f aca="false">H242+D243</f>
        <v>189.1</v>
      </c>
      <c r="I243" s="9" t="n">
        <v>269.1</v>
      </c>
      <c r="J243" s="9" t="n">
        <v>0</v>
      </c>
      <c r="K243" s="9" t="n">
        <f aca="false">K242+J243</f>
        <v>377.1</v>
      </c>
      <c r="L243" s="9" t="n">
        <v>2.1</v>
      </c>
      <c r="M243" s="9" t="n">
        <f aca="false">M242+L243</f>
        <v>312.6</v>
      </c>
      <c r="N243" s="14" t="n">
        <f aca="false">J243-L243</f>
        <v>-2.1</v>
      </c>
      <c r="O243" s="9" t="n">
        <f aca="false">O242+N243</f>
        <v>134.7</v>
      </c>
      <c r="P243" s="9" t="n">
        <v>238</v>
      </c>
      <c r="Q243" s="9" t="n">
        <v>1.15</v>
      </c>
      <c r="R243" s="15" t="n">
        <f aca="false">Q243*L243</f>
        <v>2.415</v>
      </c>
      <c r="S243" s="15" t="n">
        <f aca="false">J243-R243</f>
        <v>-2.415</v>
      </c>
      <c r="T243" s="15" t="n">
        <f aca="false">MIN(197.4,(T242+S243))</f>
        <v>128.366</v>
      </c>
      <c r="U243" s="9" t="n">
        <f aca="false">(U241*100)/197.4</f>
        <v>70.0979640082984</v>
      </c>
      <c r="V243" s="9" t="n">
        <v>1506.7</v>
      </c>
      <c r="W243" s="9" t="n">
        <f aca="false">V243/D243</f>
        <v>147.71568627451</v>
      </c>
      <c r="X243" s="9" t="n">
        <f aca="false">X242+V243</f>
        <v>182081.4</v>
      </c>
      <c r="Y243" s="9" t="n">
        <f aca="false">Y242+V243</f>
        <v>26788.1</v>
      </c>
      <c r="AA243" s="9" t="n">
        <v>14.3025155078395</v>
      </c>
    </row>
    <row r="244" s="9" customFormat="true" ht="15" hidden="false" customHeight="false" outlineLevel="0" collapsed="false">
      <c r="A244" s="64"/>
      <c r="C244" s="12" t="n">
        <v>42122</v>
      </c>
      <c r="D244" s="9" t="n">
        <v>8.9</v>
      </c>
      <c r="E244" s="20" t="n">
        <v>4.5</v>
      </c>
      <c r="F244" s="9" t="n">
        <v>13</v>
      </c>
      <c r="G244" s="9" t="n">
        <f aca="false">G243+D244</f>
        <v>2076</v>
      </c>
      <c r="H244" s="9" t="n">
        <f aca="false">H243+D244</f>
        <v>198</v>
      </c>
      <c r="J244" s="9" t="n">
        <v>0</v>
      </c>
      <c r="K244" s="9" t="n">
        <f aca="false">K243+J244</f>
        <v>377.1</v>
      </c>
      <c r="L244" s="9" t="n">
        <v>2.9</v>
      </c>
      <c r="M244" s="9" t="n">
        <f aca="false">M243+L244</f>
        <v>315.5</v>
      </c>
      <c r="N244" s="14" t="n">
        <f aca="false">J244-L244</f>
        <v>-2.9</v>
      </c>
      <c r="O244" s="9" t="n">
        <f aca="false">O243+N244</f>
        <v>131.8</v>
      </c>
      <c r="P244" s="9" t="n">
        <v>239</v>
      </c>
      <c r="Q244" s="9" t="n">
        <v>1.15</v>
      </c>
      <c r="R244" s="15" t="n">
        <f aca="false">Q244*L244</f>
        <v>3.335</v>
      </c>
      <c r="S244" s="15" t="n">
        <f aca="false">J244-R244</f>
        <v>-3.335</v>
      </c>
      <c r="T244" s="15" t="n">
        <f aca="false">MIN(197.4,(T243+S244))</f>
        <v>125.031</v>
      </c>
      <c r="V244" s="9" t="n">
        <v>2190.3</v>
      </c>
      <c r="W244" s="9" t="n">
        <f aca="false">V244/D244</f>
        <v>246.101123595506</v>
      </c>
      <c r="X244" s="9" t="n">
        <f aca="false">X243+V244</f>
        <v>184271.7</v>
      </c>
      <c r="Y244" s="9" t="n">
        <f aca="false">Y243+V244</f>
        <v>28978.4</v>
      </c>
      <c r="AA244" s="9" t="n">
        <v>14.3565217504874</v>
      </c>
    </row>
    <row r="245" s="9" customFormat="true" ht="15" hidden="false" customHeight="false" outlineLevel="0" collapsed="false">
      <c r="A245" s="64"/>
      <c r="C245" s="12" t="n">
        <v>42123</v>
      </c>
      <c r="D245" s="9" t="n">
        <v>10</v>
      </c>
      <c r="E245" s="20" t="n">
        <v>4.8</v>
      </c>
      <c r="F245" s="9" t="n">
        <v>14.9</v>
      </c>
      <c r="G245" s="9" t="n">
        <f aca="false">G244+D245</f>
        <v>2086</v>
      </c>
      <c r="H245" s="9" t="n">
        <f aca="false">H244+D245</f>
        <v>208</v>
      </c>
      <c r="J245" s="9" t="n">
        <v>0.3</v>
      </c>
      <c r="K245" s="9" t="n">
        <f aca="false">K244+J245</f>
        <v>377.4</v>
      </c>
      <c r="L245" s="9" t="n">
        <v>2.8</v>
      </c>
      <c r="M245" s="9" t="n">
        <f aca="false">M244+L245</f>
        <v>318.3</v>
      </c>
      <c r="N245" s="14" t="n">
        <f aca="false">J245-L245</f>
        <v>-2.5</v>
      </c>
      <c r="O245" s="9" t="n">
        <f aca="false">O244+N245</f>
        <v>129.3</v>
      </c>
      <c r="P245" s="9" t="n">
        <v>240</v>
      </c>
      <c r="Q245" s="9" t="n">
        <v>1.15</v>
      </c>
      <c r="R245" s="15" t="n">
        <f aca="false">Q245*L245</f>
        <v>3.22</v>
      </c>
      <c r="S245" s="15" t="n">
        <f aca="false">J245-R245</f>
        <v>-2.92</v>
      </c>
      <c r="T245" s="15" t="n">
        <f aca="false">MIN(197.4,(T244+S245))</f>
        <v>122.111</v>
      </c>
      <c r="V245" s="9" t="n">
        <v>1908.4</v>
      </c>
      <c r="W245" s="9" t="n">
        <f aca="false">V245/D245</f>
        <v>190.84</v>
      </c>
      <c r="X245" s="9" t="n">
        <f aca="false">X244+V245</f>
        <v>186180.1</v>
      </c>
      <c r="Y245" s="9" t="n">
        <f aca="false">Y244+V245</f>
        <v>30886.8</v>
      </c>
      <c r="AA245" s="9" t="n">
        <v>14.4101563564467</v>
      </c>
    </row>
    <row r="246" s="9" customFormat="true" ht="15" hidden="false" customHeight="false" outlineLevel="0" collapsed="false">
      <c r="A246" s="64"/>
      <c r="C246" s="12" t="n">
        <v>42124</v>
      </c>
      <c r="D246" s="9" t="n">
        <v>9.6</v>
      </c>
      <c r="E246" s="9" t="n">
        <v>8</v>
      </c>
      <c r="F246" s="9" t="n">
        <v>10.7</v>
      </c>
      <c r="G246" s="9" t="n">
        <f aca="false">G245+D246</f>
        <v>2095.6</v>
      </c>
      <c r="H246" s="9" t="n">
        <f aca="false">H245+D246</f>
        <v>217.6</v>
      </c>
      <c r="J246" s="9" t="n">
        <v>18</v>
      </c>
      <c r="K246" s="9" t="n">
        <f aca="false">K245+J246</f>
        <v>395.4</v>
      </c>
      <c r="L246" s="9" t="n">
        <v>0.8</v>
      </c>
      <c r="M246" s="9" t="n">
        <f aca="false">M245+L246</f>
        <v>319.1</v>
      </c>
      <c r="N246" s="9" t="n">
        <f aca="false">J246-L246</f>
        <v>17.2</v>
      </c>
      <c r="O246" s="9" t="n">
        <f aca="false">O245+N246</f>
        <v>146.5</v>
      </c>
      <c r="P246" s="9" t="n">
        <v>241</v>
      </c>
      <c r="Q246" s="9" t="n">
        <v>1.15</v>
      </c>
      <c r="R246" s="15" t="n">
        <f aca="false">Q246*L246</f>
        <v>0.92</v>
      </c>
      <c r="S246" s="15" t="n">
        <f aca="false">J246-R246</f>
        <v>17.08</v>
      </c>
      <c r="T246" s="15" t="n">
        <f aca="false">MIN(197.4,(T245+S246))</f>
        <v>139.191</v>
      </c>
      <c r="V246" s="19" t="n">
        <v>460</v>
      </c>
      <c r="W246" s="9" t="n">
        <f aca="false">V246/D246</f>
        <v>47.9166666666667</v>
      </c>
      <c r="X246" s="9" t="n">
        <f aca="false">X245+V246</f>
        <v>186640.1</v>
      </c>
      <c r="Y246" s="9" t="n">
        <f aca="false">Y245+V246</f>
        <v>31346.8</v>
      </c>
      <c r="AA246" s="9" t="n">
        <v>14.4634024686567</v>
      </c>
    </row>
    <row r="247" s="9" customFormat="true" ht="15" hidden="false" customHeight="false" outlineLevel="0" collapsed="false">
      <c r="A247" s="64"/>
      <c r="C247" s="12" t="n">
        <v>42125</v>
      </c>
      <c r="D247" s="9" t="n">
        <v>9.5</v>
      </c>
      <c r="E247" s="9" t="n">
        <v>8.1</v>
      </c>
      <c r="F247" s="9" t="n">
        <v>10.7</v>
      </c>
      <c r="G247" s="9" t="n">
        <f aca="false">G246+D247</f>
        <v>2105.1</v>
      </c>
      <c r="H247" s="9" t="n">
        <f aca="false">H246+D247</f>
        <v>227.1</v>
      </c>
      <c r="J247" s="9" t="n">
        <v>3.6</v>
      </c>
      <c r="K247" s="9" t="n">
        <f aca="false">K246+J247</f>
        <v>399</v>
      </c>
      <c r="L247" s="9" t="n">
        <v>0.6</v>
      </c>
      <c r="M247" s="9" t="n">
        <f aca="false">M246+L247</f>
        <v>319.7</v>
      </c>
      <c r="N247" s="9" t="n">
        <f aca="false">J247-L247</f>
        <v>3</v>
      </c>
      <c r="O247" s="9" t="n">
        <f aca="false">O246+N247</f>
        <v>149.5</v>
      </c>
      <c r="P247" s="9" t="n">
        <v>242</v>
      </c>
      <c r="Q247" s="9" t="n">
        <v>1.15</v>
      </c>
      <c r="R247" s="15" t="n">
        <f aca="false">Q247*L247</f>
        <v>0.69</v>
      </c>
      <c r="S247" s="15" t="n">
        <f aca="false">J247-R247</f>
        <v>2.91</v>
      </c>
      <c r="T247" s="15" t="n">
        <f aca="false">MIN(197.4,(T246+S247))</f>
        <v>142.101</v>
      </c>
      <c r="V247" s="19" t="n">
        <v>393.7</v>
      </c>
      <c r="W247" s="9" t="n">
        <f aca="false">V247/D247</f>
        <v>41.4421052631579</v>
      </c>
      <c r="X247" s="9" t="n">
        <f aca="false">X246+V247</f>
        <v>187033.8</v>
      </c>
      <c r="Y247" s="9" t="n">
        <f aca="false">Y246+V247</f>
        <v>31740.5</v>
      </c>
      <c r="AA247" s="9" t="n">
        <v>14.5162426970988</v>
      </c>
    </row>
    <row r="248" s="9" customFormat="true" ht="15" hidden="false" customHeight="false" outlineLevel="0" collapsed="false">
      <c r="A248" s="64"/>
      <c r="C248" s="12" t="n">
        <v>42126</v>
      </c>
      <c r="D248" s="9" t="n">
        <v>11.5</v>
      </c>
      <c r="E248" s="9" t="n">
        <v>8.8</v>
      </c>
      <c r="F248" s="9" t="n">
        <v>13.8</v>
      </c>
      <c r="G248" s="9" t="n">
        <f aca="false">G247+D248</f>
        <v>2116.6</v>
      </c>
      <c r="H248" s="9" t="n">
        <f aca="false">H247+D248</f>
        <v>238.6</v>
      </c>
      <c r="J248" s="9" t="n">
        <v>9.2</v>
      </c>
      <c r="K248" s="9" t="n">
        <f aca="false">K247+J248</f>
        <v>408.2</v>
      </c>
      <c r="L248" s="9" t="n">
        <v>0.7</v>
      </c>
      <c r="M248" s="9" t="n">
        <f aca="false">M247+L248</f>
        <v>320.4</v>
      </c>
      <c r="N248" s="9" t="n">
        <f aca="false">J248-L248</f>
        <v>8.5</v>
      </c>
      <c r="O248" s="9" t="n">
        <f aca="false">O247+N248</f>
        <v>158</v>
      </c>
      <c r="P248" s="9" t="n">
        <v>243</v>
      </c>
      <c r="Q248" s="9" t="n">
        <v>1.15</v>
      </c>
      <c r="R248" s="15" t="n">
        <f aca="false">Q248*L248</f>
        <v>0.805</v>
      </c>
      <c r="S248" s="15" t="n">
        <f aca="false">J248-R248</f>
        <v>8.395</v>
      </c>
      <c r="T248" s="15" t="n">
        <f aca="false">MIN(197.4,(T247+S248))</f>
        <v>150.496</v>
      </c>
      <c r="V248" s="19" t="n">
        <v>477.7</v>
      </c>
      <c r="W248" s="9" t="n">
        <f aca="false">V248/D248</f>
        <v>41.5391304347826</v>
      </c>
      <c r="X248" s="9" t="n">
        <f aca="false">X247+V248</f>
        <v>187511.5</v>
      </c>
      <c r="Y248" s="9" t="n">
        <f aca="false">Y247+V248</f>
        <v>32218.2</v>
      </c>
      <c r="AA248" s="9" t="n">
        <v>14.5686591154993</v>
      </c>
    </row>
    <row r="249" s="9" customFormat="true" ht="15" hidden="false" customHeight="false" outlineLevel="0" collapsed="false">
      <c r="A249" s="64"/>
      <c r="C249" s="12" t="n">
        <v>42127</v>
      </c>
      <c r="D249" s="9" t="n">
        <v>15.5</v>
      </c>
      <c r="E249" s="9" t="n">
        <v>12.4</v>
      </c>
      <c r="F249" s="9" t="n">
        <v>18.1</v>
      </c>
      <c r="G249" s="9" t="n">
        <f aca="false">G248+D249</f>
        <v>2132.1</v>
      </c>
      <c r="H249" s="9" t="n">
        <f aca="false">H248+D249</f>
        <v>254.1</v>
      </c>
      <c r="J249" s="9" t="n">
        <v>6.3</v>
      </c>
      <c r="K249" s="9" t="n">
        <f aca="false">K248+J249</f>
        <v>414.5</v>
      </c>
      <c r="L249" s="9" t="n">
        <v>1.2</v>
      </c>
      <c r="M249" s="9" t="n">
        <f aca="false">M248+L249</f>
        <v>321.6</v>
      </c>
      <c r="N249" s="9" t="n">
        <f aca="false">J249-L249</f>
        <v>5.1</v>
      </c>
      <c r="O249" s="9" t="n">
        <f aca="false">O248+N249</f>
        <v>163.1</v>
      </c>
      <c r="P249" s="9" t="n">
        <v>244</v>
      </c>
      <c r="Q249" s="9" t="n">
        <v>1.15</v>
      </c>
      <c r="R249" s="15" t="n">
        <f aca="false">Q249*L249</f>
        <v>1.38</v>
      </c>
      <c r="S249" s="15" t="n">
        <f aca="false">J249-R249</f>
        <v>4.92</v>
      </c>
      <c r="T249" s="15" t="n">
        <f aca="false">MIN(197.4,(T248+S249))</f>
        <v>155.416</v>
      </c>
      <c r="V249" s="19" t="n">
        <v>830</v>
      </c>
      <c r="W249" s="9" t="n">
        <f aca="false">V249/D249</f>
        <v>53.5483870967742</v>
      </c>
      <c r="X249" s="9" t="n">
        <f aca="false">X248+V249</f>
        <v>188341.5</v>
      </c>
      <c r="Y249" s="9" t="n">
        <f aca="false">Y248+V249</f>
        <v>33048.2</v>
      </c>
      <c r="AA249" s="9" t="n">
        <v>14.6206332594533</v>
      </c>
    </row>
    <row r="250" s="24" customFormat="true" ht="15" hidden="false" customHeight="false" outlineLevel="0" collapsed="false">
      <c r="A250" s="65" t="s">
        <v>55</v>
      </c>
      <c r="C250" s="56" t="n">
        <v>42128</v>
      </c>
      <c r="D250" s="24" t="n">
        <v>15</v>
      </c>
      <c r="E250" s="24" t="n">
        <v>11.2</v>
      </c>
      <c r="F250" s="24" t="n">
        <v>17.3</v>
      </c>
      <c r="G250" s="24" t="n">
        <f aca="false">G249+D250</f>
        <v>2147.1</v>
      </c>
      <c r="H250" s="24" t="n">
        <f aca="false">H249+D250</f>
        <v>269.1</v>
      </c>
      <c r="J250" s="24" t="n">
        <v>5.6</v>
      </c>
      <c r="K250" s="24" t="n">
        <f aca="false">K249+J250</f>
        <v>420.1</v>
      </c>
      <c r="L250" s="24" t="n">
        <v>2.2</v>
      </c>
      <c r="M250" s="24" t="n">
        <f aca="false">M249+L250</f>
        <v>323.8</v>
      </c>
      <c r="N250" s="24" t="n">
        <f aca="false">J250-L250</f>
        <v>3.4</v>
      </c>
      <c r="O250" s="24" t="n">
        <f aca="false">O249+N250</f>
        <v>166.5</v>
      </c>
      <c r="P250" s="24" t="n">
        <v>245</v>
      </c>
      <c r="Q250" s="24" t="n">
        <v>1.15</v>
      </c>
      <c r="R250" s="26" t="n">
        <f aca="false">Q250*L250</f>
        <v>2.53</v>
      </c>
      <c r="S250" s="26" t="n">
        <f aca="false">J250-R250</f>
        <v>3.07</v>
      </c>
      <c r="T250" s="59" t="n">
        <f aca="false">MIN(197.4,(T249+S250))</f>
        <v>158.486</v>
      </c>
      <c r="V250" s="24" t="n">
        <v>1445.7</v>
      </c>
      <c r="W250" s="24" t="n">
        <f aca="false">V250/D250</f>
        <v>96.38</v>
      </c>
      <c r="X250" s="24" t="n">
        <f aca="false">X249+V250</f>
        <v>189787.2</v>
      </c>
      <c r="Y250" s="60" t="n">
        <f aca="false">Y249+V250</f>
        <v>34493.9</v>
      </c>
      <c r="AA250" s="60" t="n">
        <v>14.6721461260732</v>
      </c>
    </row>
    <row r="251" s="9" customFormat="true" ht="15" hidden="false" customHeight="false" outlineLevel="0" collapsed="false">
      <c r="A251" s="66" t="n">
        <v>300</v>
      </c>
      <c r="B251" s="11"/>
      <c r="C251" s="12" t="n">
        <v>42129</v>
      </c>
      <c r="D251" s="9" t="n">
        <v>15.5</v>
      </c>
      <c r="E251" s="9" t="n">
        <v>15.9</v>
      </c>
      <c r="F251" s="9" t="n">
        <v>17</v>
      </c>
      <c r="G251" s="9" t="n">
        <f aca="false">G250+D251</f>
        <v>2162.6</v>
      </c>
      <c r="H251" s="9" t="n">
        <v>15.5</v>
      </c>
      <c r="I251" s="67" t="s">
        <v>28</v>
      </c>
      <c r="J251" s="9" t="n">
        <v>1.8</v>
      </c>
      <c r="K251" s="9" t="n">
        <f aca="false">K250+J251</f>
        <v>421.9</v>
      </c>
      <c r="L251" s="9" t="n">
        <v>4.1</v>
      </c>
      <c r="M251" s="9" t="n">
        <f aca="false">M250+L251</f>
        <v>327.9</v>
      </c>
      <c r="N251" s="14" t="n">
        <f aca="false">J251-L251</f>
        <v>-2.3</v>
      </c>
      <c r="O251" s="9" t="n">
        <f aca="false">O250+N251</f>
        <v>164.2</v>
      </c>
      <c r="P251" s="9" t="n">
        <v>246</v>
      </c>
      <c r="Q251" s="9" t="n">
        <v>1.15</v>
      </c>
      <c r="R251" s="15" t="n">
        <f aca="false">Q251*L251</f>
        <v>4.715</v>
      </c>
      <c r="S251" s="15" t="n">
        <f aca="false">J251-R251</f>
        <v>-2.915</v>
      </c>
      <c r="T251" s="15" t="n">
        <f aca="false">MIN(197.4,(T250+S251))</f>
        <v>155.571</v>
      </c>
      <c r="U251" s="67" t="s">
        <v>29</v>
      </c>
      <c r="V251" s="9" t="n">
        <v>2148</v>
      </c>
      <c r="W251" s="9" t="n">
        <f aca="false">V251/D251</f>
        <v>138.58064516129</v>
      </c>
      <c r="X251" s="9" t="n">
        <f aca="false">X250+V251</f>
        <v>191935.2</v>
      </c>
      <c r="Y251" s="9" t="n">
        <v>2148</v>
      </c>
      <c r="Z251" s="67" t="s">
        <v>30</v>
      </c>
      <c r="AA251" s="9" t="n">
        <v>14.723178175268</v>
      </c>
    </row>
    <row r="252" s="9" customFormat="true" ht="15" hidden="false" customHeight="false" outlineLevel="0" collapsed="false">
      <c r="A252" s="66"/>
      <c r="B252" s="11"/>
      <c r="C252" s="12" t="n">
        <v>42130</v>
      </c>
      <c r="D252" s="9" t="n">
        <v>12.2</v>
      </c>
      <c r="E252" s="9" t="n">
        <v>9.6</v>
      </c>
      <c r="F252" s="9" t="n">
        <v>15.2</v>
      </c>
      <c r="G252" s="9" t="n">
        <f aca="false">G251+D252</f>
        <v>2174.8</v>
      </c>
      <c r="H252" s="9" t="n">
        <f aca="false">H251+D252</f>
        <v>27.7</v>
      </c>
      <c r="I252" s="9" t="n">
        <f aca="false">MIN(E251:E272)</f>
        <v>5.2</v>
      </c>
      <c r="J252" s="9" t="n">
        <v>1.4</v>
      </c>
      <c r="K252" s="9" t="n">
        <f aca="false">K251+J252</f>
        <v>423.3</v>
      </c>
      <c r="L252" s="9" t="n">
        <v>3.6</v>
      </c>
      <c r="M252" s="9" t="n">
        <f aca="false">M251+L252</f>
        <v>331.5</v>
      </c>
      <c r="N252" s="14" t="n">
        <f aca="false">J252-L252</f>
        <v>-2.2</v>
      </c>
      <c r="O252" s="9" t="n">
        <f aca="false">O251+N252</f>
        <v>162</v>
      </c>
      <c r="P252" s="9" t="n">
        <v>247</v>
      </c>
      <c r="Q252" s="9" t="n">
        <v>1.15</v>
      </c>
      <c r="R252" s="15" t="n">
        <f aca="false">Q252*L252</f>
        <v>4.14</v>
      </c>
      <c r="S252" s="15" t="n">
        <f aca="false">J252-R252</f>
        <v>-2.74</v>
      </c>
      <c r="T252" s="15" t="n">
        <f aca="false">MIN(197.4,(T251+S252))</f>
        <v>152.831</v>
      </c>
      <c r="U252" s="9" t="n">
        <v>21</v>
      </c>
      <c r="V252" s="9" t="n">
        <v>2281.1</v>
      </c>
      <c r="W252" s="9" t="n">
        <f aca="false">V252/D252</f>
        <v>186.975409836066</v>
      </c>
      <c r="X252" s="9" t="n">
        <f aca="false">X251+V252</f>
        <v>194216.3</v>
      </c>
      <c r="Y252" s="9" t="n">
        <f aca="false">Y251+V252</f>
        <v>4429.1</v>
      </c>
      <c r="Z252" s="9" t="n">
        <v>44451.6</v>
      </c>
      <c r="AA252" s="9" t="n">
        <v>14.7737093327615</v>
      </c>
    </row>
    <row r="253" s="9" customFormat="true" ht="15" hidden="false" customHeight="false" outlineLevel="0" collapsed="false">
      <c r="A253" s="66"/>
      <c r="B253" s="11"/>
      <c r="C253" s="12" t="n">
        <v>42131</v>
      </c>
      <c r="D253" s="9" t="n">
        <v>12.2</v>
      </c>
      <c r="E253" s="9" t="n">
        <v>7.4</v>
      </c>
      <c r="F253" s="9" t="n">
        <v>16.4</v>
      </c>
      <c r="G253" s="9" t="n">
        <f aca="false">G252+D253</f>
        <v>2187</v>
      </c>
      <c r="H253" s="9" t="n">
        <f aca="false">H252+D253</f>
        <v>39.9</v>
      </c>
      <c r="I253" s="67" t="s">
        <v>31</v>
      </c>
      <c r="J253" s="9" t="n">
        <v>0</v>
      </c>
      <c r="K253" s="9" t="n">
        <f aca="false">K252+J253</f>
        <v>423.3</v>
      </c>
      <c r="L253" s="9" t="n">
        <v>3.3</v>
      </c>
      <c r="M253" s="9" t="n">
        <f aca="false">M252+L253</f>
        <v>334.8</v>
      </c>
      <c r="N253" s="14" t="n">
        <f aca="false">J253-L253</f>
        <v>-3.3</v>
      </c>
      <c r="O253" s="9" t="n">
        <f aca="false">O252+N253</f>
        <v>158.7</v>
      </c>
      <c r="P253" s="9" t="n">
        <v>248</v>
      </c>
      <c r="Q253" s="9" t="n">
        <v>1.15</v>
      </c>
      <c r="R253" s="15" t="n">
        <f aca="false">Q253*L253</f>
        <v>3.795</v>
      </c>
      <c r="S253" s="15" t="n">
        <f aca="false">J253-R253</f>
        <v>-3.795</v>
      </c>
      <c r="T253" s="15" t="n">
        <f aca="false">MIN(197.4,(T252+S253))</f>
        <v>149.036</v>
      </c>
      <c r="U253" s="67" t="s">
        <v>32</v>
      </c>
      <c r="V253" s="9" t="n">
        <v>2187.3</v>
      </c>
      <c r="W253" s="9" t="n">
        <f aca="false">V253/D253</f>
        <v>179.286885245902</v>
      </c>
      <c r="X253" s="9" t="n">
        <f aca="false">X252+V253</f>
        <v>196403.6</v>
      </c>
      <c r="Y253" s="9" t="n">
        <f aca="false">Y252+V253</f>
        <v>6616.4</v>
      </c>
      <c r="Z253" s="67" t="s">
        <v>33</v>
      </c>
      <c r="AA253" s="9" t="n">
        <v>14.8237189949589</v>
      </c>
    </row>
    <row r="254" s="9" customFormat="true" ht="15" hidden="false" customHeight="false" outlineLevel="0" collapsed="false">
      <c r="A254" s="66"/>
      <c r="B254" s="11"/>
      <c r="C254" s="12" t="n">
        <v>42132</v>
      </c>
      <c r="D254" s="9" t="n">
        <v>14</v>
      </c>
      <c r="E254" s="9" t="n">
        <v>9.9</v>
      </c>
      <c r="F254" s="9" t="n">
        <v>18.2</v>
      </c>
      <c r="G254" s="9" t="n">
        <f aca="false">G253+D254</f>
        <v>2201</v>
      </c>
      <c r="H254" s="9" t="n">
        <f aca="false">H253+D254</f>
        <v>53.9</v>
      </c>
      <c r="I254" s="9" t="n">
        <f aca="false">MAX(F251:F272)</f>
        <v>25.4</v>
      </c>
      <c r="J254" s="9" t="n">
        <v>0.2</v>
      </c>
      <c r="K254" s="9" t="n">
        <f aca="false">K253+J254</f>
        <v>423.5</v>
      </c>
      <c r="L254" s="9" t="n">
        <v>2.1</v>
      </c>
      <c r="M254" s="9" t="n">
        <f aca="false">M253+L254</f>
        <v>336.9</v>
      </c>
      <c r="N254" s="14" t="n">
        <f aca="false">J254-L254</f>
        <v>-1.9</v>
      </c>
      <c r="O254" s="9" t="n">
        <f aca="false">O253+N254</f>
        <v>156.8</v>
      </c>
      <c r="P254" s="9" t="n">
        <v>249</v>
      </c>
      <c r="Q254" s="9" t="n">
        <v>1.15</v>
      </c>
      <c r="R254" s="15" t="n">
        <f aca="false">Q254*L254</f>
        <v>2.415</v>
      </c>
      <c r="S254" s="15" t="n">
        <f aca="false">J254-R254</f>
        <v>-2.215</v>
      </c>
      <c r="T254" s="15" t="n">
        <f aca="false">MIN(197.4,(T253+S254))</f>
        <v>146.821</v>
      </c>
      <c r="U254" s="9" t="n">
        <v>0</v>
      </c>
      <c r="V254" s="9" t="n">
        <v>1391.3</v>
      </c>
      <c r="W254" s="9" t="n">
        <f aca="false">V254/D254</f>
        <v>99.3785714285714</v>
      </c>
      <c r="X254" s="9" t="n">
        <f aca="false">X253+V254</f>
        <v>197794.9</v>
      </c>
      <c r="Y254" s="9" t="n">
        <f aca="false">Y253+V254</f>
        <v>8007.7</v>
      </c>
      <c r="Z254" s="17" t="n">
        <f aca="false">(Z252/100)/I264</f>
        <v>1.46366809351334</v>
      </c>
      <c r="AA254" s="9" t="n">
        <v>14.8731860357722</v>
      </c>
    </row>
    <row r="255" s="9" customFormat="true" ht="15" hidden="false" customHeight="false" outlineLevel="0" collapsed="false">
      <c r="A255" s="66"/>
      <c r="B255" s="11"/>
      <c r="C255" s="12" t="n">
        <v>42133</v>
      </c>
      <c r="D255" s="9" t="n">
        <v>15.7</v>
      </c>
      <c r="E255" s="9" t="n">
        <v>13.5</v>
      </c>
      <c r="F255" s="9" t="n">
        <v>18.9</v>
      </c>
      <c r="G255" s="9" t="n">
        <f aca="false">G254+D255</f>
        <v>2216.7</v>
      </c>
      <c r="H255" s="9" t="n">
        <f aca="false">H254+D255</f>
        <v>69.6</v>
      </c>
      <c r="I255" s="67" t="s">
        <v>34</v>
      </c>
      <c r="J255" s="9" t="n">
        <v>0</v>
      </c>
      <c r="K255" s="9" t="n">
        <f aca="false">K254+J255</f>
        <v>423.5</v>
      </c>
      <c r="L255" s="9" t="n">
        <v>4</v>
      </c>
      <c r="M255" s="9" t="n">
        <f aca="false">M254+L255</f>
        <v>340.9</v>
      </c>
      <c r="N255" s="14" t="n">
        <f aca="false">J255-L255</f>
        <v>-4</v>
      </c>
      <c r="O255" s="9" t="n">
        <f aca="false">O254+N255</f>
        <v>152.8</v>
      </c>
      <c r="P255" s="9" t="n">
        <v>250</v>
      </c>
      <c r="Q255" s="9" t="n">
        <v>1.15</v>
      </c>
      <c r="R255" s="15" t="n">
        <f aca="false">Q255*L255</f>
        <v>4.6</v>
      </c>
      <c r="S255" s="15" t="n">
        <f aca="false">J255-R255</f>
        <v>-4.6</v>
      </c>
      <c r="T255" s="15" t="n">
        <f aca="false">MIN(197.4,(T254+S255))</f>
        <v>142.221</v>
      </c>
      <c r="U255" s="67" t="s">
        <v>35</v>
      </c>
      <c r="V255" s="9" t="n">
        <v>2127.1</v>
      </c>
      <c r="W255" s="9" t="n">
        <f aca="false">V255/D255</f>
        <v>135.484076433121</v>
      </c>
      <c r="X255" s="9" t="n">
        <f aca="false">X254+V255</f>
        <v>199922</v>
      </c>
      <c r="Y255" s="9" t="n">
        <f aca="false">Y254+V255</f>
        <v>10134.8</v>
      </c>
      <c r="Z255" s="67" t="s">
        <v>36</v>
      </c>
      <c r="AA255" s="9" t="n">
        <v>14.922088815515</v>
      </c>
    </row>
    <row r="256" s="9" customFormat="true" ht="15" hidden="false" customHeight="false" outlineLevel="0" collapsed="false">
      <c r="A256" s="66"/>
      <c r="B256" s="11"/>
      <c r="C256" s="12" t="n">
        <v>42134</v>
      </c>
      <c r="D256" s="9" t="n">
        <v>15.8</v>
      </c>
      <c r="E256" s="9" t="n">
        <v>10.6</v>
      </c>
      <c r="F256" s="9" t="n">
        <v>21</v>
      </c>
      <c r="G256" s="9" t="n">
        <f aca="false">G255+D256</f>
        <v>2232.5</v>
      </c>
      <c r="H256" s="9" t="n">
        <f aca="false">H255+D256</f>
        <v>85.4</v>
      </c>
      <c r="I256" s="15" t="n">
        <f aca="false">AVERAGE(D251:D272)</f>
        <v>13.8045454545455</v>
      </c>
      <c r="J256" s="9" t="n">
        <v>0</v>
      </c>
      <c r="K256" s="9" t="n">
        <f aca="false">K255+J256</f>
        <v>423.5</v>
      </c>
      <c r="L256" s="9" t="n">
        <v>4.2</v>
      </c>
      <c r="M256" s="9" t="n">
        <f aca="false">M255+L256</f>
        <v>345.1</v>
      </c>
      <c r="N256" s="14" t="n">
        <f aca="false">J256-L256</f>
        <v>-4.2</v>
      </c>
      <c r="O256" s="9" t="n">
        <f aca="false">O255+N256</f>
        <v>148.6</v>
      </c>
      <c r="P256" s="9" t="n">
        <v>251</v>
      </c>
      <c r="Q256" s="9" t="n">
        <v>1.15</v>
      </c>
      <c r="R256" s="15" t="n">
        <f aca="false">Q256*L256</f>
        <v>4.83</v>
      </c>
      <c r="S256" s="15" t="n">
        <f aca="false">J256-R256</f>
        <v>-4.83</v>
      </c>
      <c r="T256" s="15" t="n">
        <f aca="false">MIN(197.4,(T255+S256))</f>
        <v>137.391</v>
      </c>
      <c r="U256" s="9" t="n">
        <v>0</v>
      </c>
      <c r="V256" s="9" t="n">
        <v>2504.8</v>
      </c>
      <c r="W256" s="9" t="n">
        <f aca="false">V256/D256</f>
        <v>158.53164556962</v>
      </c>
      <c r="X256" s="9" t="n">
        <f aca="false">X255+V256</f>
        <v>202426.8</v>
      </c>
      <c r="Y256" s="9" t="n">
        <f aca="false">Y255+V256</f>
        <v>12639.6</v>
      </c>
      <c r="Z256" s="9" t="n">
        <v>0</v>
      </c>
      <c r="AA256" s="9" t="n">
        <v>14.970405191975</v>
      </c>
    </row>
    <row r="257" s="9" customFormat="true" ht="15" hidden="false" customHeight="false" outlineLevel="0" collapsed="false">
      <c r="A257" s="66"/>
      <c r="B257" s="11"/>
      <c r="C257" s="12" t="n">
        <v>42135</v>
      </c>
      <c r="D257" s="9" t="n">
        <v>19.2</v>
      </c>
      <c r="E257" s="9" t="n">
        <v>12.1</v>
      </c>
      <c r="F257" s="18" t="n">
        <v>25.4</v>
      </c>
      <c r="G257" s="9" t="n">
        <f aca="false">G256+D257</f>
        <v>2251.7</v>
      </c>
      <c r="H257" s="9" t="n">
        <f aca="false">H256+D257</f>
        <v>104.6</v>
      </c>
      <c r="I257" s="67" t="s">
        <v>37</v>
      </c>
      <c r="J257" s="9" t="n">
        <v>0</v>
      </c>
      <c r="K257" s="9" t="n">
        <f aca="false">K256+J257</f>
        <v>423.5</v>
      </c>
      <c r="L257" s="9" t="n">
        <v>3.6</v>
      </c>
      <c r="M257" s="9" t="n">
        <f aca="false">M256+L257</f>
        <v>348.7</v>
      </c>
      <c r="N257" s="14" t="n">
        <f aca="false">J257-L257</f>
        <v>-3.6</v>
      </c>
      <c r="O257" s="9" t="n">
        <f aca="false">O256+N257</f>
        <v>145</v>
      </c>
      <c r="P257" s="9" t="n">
        <v>252</v>
      </c>
      <c r="Q257" s="9" t="n">
        <v>1.15</v>
      </c>
      <c r="R257" s="15" t="n">
        <f aca="false">Q257*L257</f>
        <v>4.14</v>
      </c>
      <c r="S257" s="15" t="n">
        <f aca="false">J257-R257</f>
        <v>-4.14</v>
      </c>
      <c r="T257" s="15" t="n">
        <f aca="false">MIN(197.4,(T256+S257))</f>
        <v>133.251</v>
      </c>
      <c r="U257" s="67" t="s">
        <v>38</v>
      </c>
      <c r="V257" s="9" t="n">
        <v>2073.4</v>
      </c>
      <c r="W257" s="9" t="n">
        <f aca="false">V257/D257</f>
        <v>107.989583333333</v>
      </c>
      <c r="X257" s="9" t="n">
        <f aca="false">X256+V257</f>
        <v>204500.2</v>
      </c>
      <c r="Y257" s="9" t="n">
        <f aca="false">Y256+V257</f>
        <v>14713</v>
      </c>
      <c r="AA257" s="9" t="n">
        <v>15.0181125337721</v>
      </c>
    </row>
    <row r="258" s="9" customFormat="true" ht="15" hidden="false" customHeight="false" outlineLevel="0" collapsed="false">
      <c r="A258" s="66"/>
      <c r="B258" s="11"/>
      <c r="C258" s="12" t="n">
        <v>42136</v>
      </c>
      <c r="D258" s="9" t="n">
        <v>16.5</v>
      </c>
      <c r="E258" s="9" t="n">
        <v>14.7</v>
      </c>
      <c r="F258" s="9" t="n">
        <v>20.9</v>
      </c>
      <c r="G258" s="9" t="n">
        <f aca="false">G257+D258</f>
        <v>2268.2</v>
      </c>
      <c r="H258" s="9" t="n">
        <f aca="false">H257+D258</f>
        <v>121.1</v>
      </c>
      <c r="I258" s="9" t="n">
        <v>0</v>
      </c>
      <c r="J258" s="9" t="n">
        <v>0</v>
      </c>
      <c r="K258" s="9" t="n">
        <f aca="false">K257+J258</f>
        <v>423.5</v>
      </c>
      <c r="L258" s="9" t="n">
        <v>3.3</v>
      </c>
      <c r="M258" s="9" t="n">
        <f aca="false">M257+L258</f>
        <v>352</v>
      </c>
      <c r="N258" s="14" t="n">
        <f aca="false">J258-L258</f>
        <v>-3.3</v>
      </c>
      <c r="O258" s="9" t="n">
        <f aca="false">O257+N258</f>
        <v>141.7</v>
      </c>
      <c r="P258" s="9" t="n">
        <v>253</v>
      </c>
      <c r="Q258" s="9" t="n">
        <v>1.15</v>
      </c>
      <c r="R258" s="15" t="n">
        <f aca="false">Q258*L258</f>
        <v>3.795</v>
      </c>
      <c r="S258" s="15" t="n">
        <f aca="false">J258-R258</f>
        <v>-3.795</v>
      </c>
      <c r="T258" s="15" t="n">
        <f aca="false">MIN(197.4,(T257+S258))</f>
        <v>129.456</v>
      </c>
      <c r="U258" s="15" t="n">
        <f aca="false">MIN(T251:T272)</f>
        <v>86.3860000000001</v>
      </c>
      <c r="V258" s="9" t="n">
        <v>1617.8</v>
      </c>
      <c r="W258" s="9" t="n">
        <f aca="false">V258/D258</f>
        <v>98.0484848484849</v>
      </c>
      <c r="X258" s="9" t="n">
        <f aca="false">X257+V258</f>
        <v>206118</v>
      </c>
      <c r="Y258" s="9" t="n">
        <f aca="false">Y257+V258</f>
        <v>16330.8</v>
      </c>
      <c r="AA258" s="9" t="n">
        <v>15.065187736107</v>
      </c>
    </row>
    <row r="259" s="9" customFormat="true" ht="15" hidden="false" customHeight="false" outlineLevel="0" collapsed="false">
      <c r="A259" s="66"/>
      <c r="B259" s="11"/>
      <c r="C259" s="12" t="n">
        <v>42137</v>
      </c>
      <c r="D259" s="9" t="n">
        <v>15.9</v>
      </c>
      <c r="E259" s="9" t="n">
        <v>10</v>
      </c>
      <c r="F259" s="9" t="n">
        <v>20.5</v>
      </c>
      <c r="G259" s="9" t="n">
        <f aca="false">G258+D259</f>
        <v>2284.1</v>
      </c>
      <c r="H259" s="9" t="n">
        <f aca="false">H258+D259</f>
        <v>137</v>
      </c>
      <c r="I259" s="67" t="s">
        <v>39</v>
      </c>
      <c r="J259" s="9" t="n">
        <v>0</v>
      </c>
      <c r="K259" s="9" t="n">
        <f aca="false">K258+J259</f>
        <v>423.5</v>
      </c>
      <c r="L259" s="9" t="n">
        <v>3.2</v>
      </c>
      <c r="M259" s="9" t="n">
        <f aca="false">M258+L259</f>
        <v>355.2</v>
      </c>
      <c r="N259" s="14" t="n">
        <f aca="false">J259-L259</f>
        <v>-3.2</v>
      </c>
      <c r="O259" s="9" t="n">
        <f aca="false">O258+N259</f>
        <v>138.5</v>
      </c>
      <c r="P259" s="9" t="n">
        <v>254</v>
      </c>
      <c r="Q259" s="9" t="n">
        <v>1.15</v>
      </c>
      <c r="R259" s="15" t="n">
        <f aca="false">Q259*L259</f>
        <v>3.68</v>
      </c>
      <c r="S259" s="15" t="n">
        <f aca="false">J259-R259</f>
        <v>-3.68</v>
      </c>
      <c r="T259" s="15" t="n">
        <f aca="false">MIN(197.4,(T258+S259))</f>
        <v>125.776</v>
      </c>
      <c r="U259" s="67" t="s">
        <v>40</v>
      </c>
      <c r="V259" s="9" t="n">
        <v>1800.2</v>
      </c>
      <c r="W259" s="9" t="n">
        <f aca="false">V259/D259</f>
        <v>113.220125786164</v>
      </c>
      <c r="X259" s="9" t="n">
        <f aca="false">X258+V259</f>
        <v>207918.2</v>
      </c>
      <c r="Y259" s="9" t="n">
        <f aca="false">Y258+V259</f>
        <v>18131</v>
      </c>
      <c r="AA259" s="9" t="n">
        <v>15.1116072389986</v>
      </c>
    </row>
    <row r="260" s="9" customFormat="true" ht="15" hidden="false" customHeight="false" outlineLevel="0" collapsed="false">
      <c r="A260" s="66"/>
      <c r="B260" s="11"/>
      <c r="C260" s="12" t="n">
        <v>42138</v>
      </c>
      <c r="D260" s="9" t="n">
        <v>13.5</v>
      </c>
      <c r="E260" s="9" t="n">
        <v>12.3</v>
      </c>
      <c r="F260" s="9" t="n">
        <v>16</v>
      </c>
      <c r="G260" s="9" t="n">
        <f aca="false">G259+D260</f>
        <v>2297.6</v>
      </c>
      <c r="H260" s="9" t="n">
        <f aca="false">H259+D260</f>
        <v>150.5</v>
      </c>
      <c r="I260" s="9" t="n">
        <v>1</v>
      </c>
      <c r="J260" s="9" t="n">
        <v>5.7</v>
      </c>
      <c r="K260" s="9" t="n">
        <f aca="false">K259+J260</f>
        <v>429.2</v>
      </c>
      <c r="L260" s="9" t="n">
        <v>1.6</v>
      </c>
      <c r="M260" s="9" t="n">
        <f aca="false">M259+L260</f>
        <v>356.8</v>
      </c>
      <c r="N260" s="9" t="n">
        <f aca="false">J260-L260</f>
        <v>4.1</v>
      </c>
      <c r="O260" s="9" t="n">
        <f aca="false">O259+N260</f>
        <v>142.6</v>
      </c>
      <c r="P260" s="9" t="n">
        <v>255</v>
      </c>
      <c r="Q260" s="9" t="n">
        <v>1.15</v>
      </c>
      <c r="R260" s="15" t="n">
        <f aca="false">Q260*L260</f>
        <v>1.84</v>
      </c>
      <c r="S260" s="15" t="n">
        <f aca="false">J260-R260</f>
        <v>3.86</v>
      </c>
      <c r="T260" s="15" t="n">
        <f aca="false">MIN(197.4,(T259+S260))</f>
        <v>129.636</v>
      </c>
      <c r="U260" s="15" t="n">
        <f aca="false">MAX(T251:T272)</f>
        <v>155.571</v>
      </c>
      <c r="V260" s="9" t="n">
        <v>993.8</v>
      </c>
      <c r="W260" s="9" t="n">
        <f aca="false">V260/D260</f>
        <v>73.6148148148148</v>
      </c>
      <c r="X260" s="9" t="n">
        <f aca="false">X259+V260</f>
        <v>208912</v>
      </c>
      <c r="Y260" s="9" t="n">
        <f aca="false">Y259+V260</f>
        <v>19124.8</v>
      </c>
      <c r="AA260" s="9" t="n">
        <v>15.1573470481062</v>
      </c>
    </row>
    <row r="261" s="9" customFormat="true" ht="15" hidden="false" customHeight="false" outlineLevel="0" collapsed="false">
      <c r="A261" s="66"/>
      <c r="B261" s="11"/>
      <c r="C261" s="12" t="n">
        <v>42139</v>
      </c>
      <c r="D261" s="9" t="n">
        <v>11</v>
      </c>
      <c r="E261" s="9" t="n">
        <v>8.9</v>
      </c>
      <c r="F261" s="9" t="n">
        <v>14</v>
      </c>
      <c r="G261" s="9" t="n">
        <f aca="false">G260+D261</f>
        <v>2308.6</v>
      </c>
      <c r="H261" s="9" t="n">
        <f aca="false">H260+D261</f>
        <v>161.5</v>
      </c>
      <c r="I261" s="67" t="s">
        <v>41</v>
      </c>
      <c r="J261" s="9" t="n">
        <v>0</v>
      </c>
      <c r="K261" s="9" t="n">
        <f aca="false">K260+J261</f>
        <v>429.2</v>
      </c>
      <c r="L261" s="9" t="n">
        <v>1.6</v>
      </c>
      <c r="M261" s="9" t="n">
        <f aca="false">M260+L261</f>
        <v>358.4</v>
      </c>
      <c r="N261" s="14" t="n">
        <f aca="false">J261-L261</f>
        <v>-1.6</v>
      </c>
      <c r="O261" s="9" t="n">
        <f aca="false">O260+N261</f>
        <v>141</v>
      </c>
      <c r="P261" s="9" t="n">
        <v>256</v>
      </c>
      <c r="Q261" s="9" t="n">
        <v>1.15</v>
      </c>
      <c r="R261" s="15" t="n">
        <f aca="false">Q261*L261</f>
        <v>1.84</v>
      </c>
      <c r="S261" s="15" t="n">
        <f aca="false">J261-R261</f>
        <v>-1.84</v>
      </c>
      <c r="T261" s="15" t="n">
        <f aca="false">MIN(197.4,(T260+S261))</f>
        <v>127.796</v>
      </c>
      <c r="U261" s="67" t="s">
        <v>42</v>
      </c>
      <c r="V261" s="9" t="n">
        <v>1108.1</v>
      </c>
      <c r="W261" s="9" t="n">
        <f aca="false">V261/D261</f>
        <v>100.736363636364</v>
      </c>
      <c r="X261" s="9" t="n">
        <f aca="false">X260+V261</f>
        <v>210020.1</v>
      </c>
      <c r="Y261" s="9" t="n">
        <f aca="false">Y260+V261</f>
        <v>20232.9</v>
      </c>
      <c r="AA261" s="9" t="n">
        <v>15.2023827582232</v>
      </c>
    </row>
    <row r="262" s="50" customFormat="true" ht="15" hidden="false" customHeight="false" outlineLevel="0" collapsed="false">
      <c r="A262" s="66"/>
      <c r="B262" s="48"/>
      <c r="C262" s="49" t="n">
        <v>42140</v>
      </c>
      <c r="D262" s="50" t="n">
        <v>11.6</v>
      </c>
      <c r="E262" s="50" t="n">
        <v>8</v>
      </c>
      <c r="F262" s="50" t="n">
        <v>16.1</v>
      </c>
      <c r="G262" s="50" t="n">
        <f aca="false">G261+D262</f>
        <v>2320.2</v>
      </c>
      <c r="H262" s="50" t="n">
        <f aca="false">H261+D262</f>
        <v>173.1</v>
      </c>
      <c r="I262" s="50" t="n">
        <v>0</v>
      </c>
      <c r="J262" s="50" t="n">
        <v>0</v>
      </c>
      <c r="K262" s="50" t="n">
        <f aca="false">K261+J262</f>
        <v>429.2</v>
      </c>
      <c r="L262" s="50" t="n">
        <v>1.8</v>
      </c>
      <c r="M262" s="50" t="n">
        <f aca="false">M261+L262</f>
        <v>360.2</v>
      </c>
      <c r="N262" s="52" t="n">
        <f aca="false">J262-L262</f>
        <v>-1.8</v>
      </c>
      <c r="O262" s="50" t="n">
        <f aca="false">O261+N262</f>
        <v>139.2</v>
      </c>
      <c r="P262" s="50" t="n">
        <v>257</v>
      </c>
      <c r="Q262" s="9" t="n">
        <v>1.15</v>
      </c>
      <c r="R262" s="53" t="n">
        <f aca="false">Q262*L262</f>
        <v>2.07</v>
      </c>
      <c r="S262" s="53" t="n">
        <f aca="false">J262-R262</f>
        <v>-2.07</v>
      </c>
      <c r="T262" s="15" t="n">
        <f aca="false">MIN(197.4,(T261+S262))</f>
        <v>125.726</v>
      </c>
      <c r="U262" s="68" t="n">
        <f aca="false">AVERAGE(T251:T272)</f>
        <v>122.606681818182</v>
      </c>
      <c r="V262" s="50" t="n">
        <v>1126.8</v>
      </c>
      <c r="W262" s="50" t="n">
        <f aca="false">V262/D262</f>
        <v>97.1379310344828</v>
      </c>
      <c r="X262" s="50" t="n">
        <f aca="false">X261+V262</f>
        <v>211146.9</v>
      </c>
      <c r="Y262" s="9" t="n">
        <f aca="false">Y261+V262</f>
        <v>21359.7</v>
      </c>
      <c r="AA262" s="9" t="n">
        <v>15.2466895795214</v>
      </c>
    </row>
    <row r="263" s="9" customFormat="true" ht="15" hidden="false" customHeight="true" outlineLevel="0" collapsed="false">
      <c r="A263" s="66"/>
      <c r="B263" s="11"/>
      <c r="C263" s="12" t="n">
        <v>42141</v>
      </c>
      <c r="D263" s="9" t="n">
        <v>13</v>
      </c>
      <c r="E263" s="9" t="n">
        <v>7.9</v>
      </c>
      <c r="F263" s="9" t="n">
        <v>17.9</v>
      </c>
      <c r="G263" s="9" t="n">
        <f aca="false">G262+D263</f>
        <v>2333.2</v>
      </c>
      <c r="H263" s="9" t="n">
        <f aca="false">H262+D263</f>
        <v>186.1</v>
      </c>
      <c r="I263" s="67" t="s">
        <v>43</v>
      </c>
      <c r="J263" s="9" t="n">
        <v>0</v>
      </c>
      <c r="K263" s="9" t="n">
        <f aca="false">K262+J263</f>
        <v>429.2</v>
      </c>
      <c r="L263" s="9" t="n">
        <v>3.6</v>
      </c>
      <c r="M263" s="9" t="n">
        <f aca="false">M262+L263</f>
        <v>363.8</v>
      </c>
      <c r="N263" s="14" t="n">
        <f aca="false">J263-L263</f>
        <v>-3.6</v>
      </c>
      <c r="O263" s="9" t="n">
        <f aca="false">O262+N263</f>
        <v>135.6</v>
      </c>
      <c r="P263" s="9" t="n">
        <v>258</v>
      </c>
      <c r="Q263" s="9" t="n">
        <v>1.15</v>
      </c>
      <c r="R263" s="15" t="n">
        <f aca="false">Q263*L263</f>
        <v>4.14</v>
      </c>
      <c r="S263" s="15" t="n">
        <f aca="false">J263-R263</f>
        <v>-4.14</v>
      </c>
      <c r="T263" s="15" t="n">
        <f aca="false">MIN(197.4,(T262+S263))</f>
        <v>121.586</v>
      </c>
      <c r="V263" s="9" t="n">
        <v>2294.8</v>
      </c>
      <c r="W263" s="9" t="n">
        <f aca="false">V263/D263</f>
        <v>176.523076923077</v>
      </c>
      <c r="X263" s="9" t="n">
        <f aca="false">X262+V263</f>
        <v>213441.7</v>
      </c>
      <c r="Y263" s="9" t="n">
        <f aca="false">Y262+V263</f>
        <v>23654.5</v>
      </c>
      <c r="AA263" s="9" t="n">
        <v>15.2902423666155</v>
      </c>
    </row>
    <row r="264" s="9" customFormat="true" ht="15" hidden="false" customHeight="false" outlineLevel="0" collapsed="false">
      <c r="A264" s="66"/>
      <c r="B264" s="11"/>
      <c r="C264" s="12" t="n">
        <v>42142</v>
      </c>
      <c r="D264" s="9" t="n">
        <v>13.3</v>
      </c>
      <c r="E264" s="9" t="n">
        <v>8.6</v>
      </c>
      <c r="F264" s="9" t="n">
        <v>19.5</v>
      </c>
      <c r="G264" s="9" t="n">
        <f aca="false">G263+D264</f>
        <v>2346.5</v>
      </c>
      <c r="H264" s="9" t="n">
        <f aca="false">H263+D264</f>
        <v>199.4</v>
      </c>
      <c r="I264" s="9" t="n">
        <v>303.7</v>
      </c>
      <c r="J264" s="9" t="n">
        <v>0.4</v>
      </c>
      <c r="K264" s="9" t="n">
        <f aca="false">K263+J264</f>
        <v>429.6</v>
      </c>
      <c r="L264" s="9" t="n">
        <v>4.1</v>
      </c>
      <c r="M264" s="9" t="n">
        <f aca="false">M263+L264</f>
        <v>367.9</v>
      </c>
      <c r="N264" s="14" t="n">
        <f aca="false">J264-L264</f>
        <v>-3.7</v>
      </c>
      <c r="O264" s="9" t="n">
        <f aca="false">O263+N264</f>
        <v>131.9</v>
      </c>
      <c r="P264" s="9" t="n">
        <v>259</v>
      </c>
      <c r="Q264" s="9" t="n">
        <v>1.15</v>
      </c>
      <c r="R264" s="15" t="n">
        <f aca="false">Q264*L264</f>
        <v>4.715</v>
      </c>
      <c r="S264" s="15" t="n">
        <f aca="false">J264-R264</f>
        <v>-4.315</v>
      </c>
      <c r="T264" s="15" t="n">
        <f aca="false">MIN(197.4,(T263+S264))</f>
        <v>117.271</v>
      </c>
      <c r="U264" s="9" t="n">
        <f aca="false">(U262*100)/197.4</f>
        <v>62.1107810629087</v>
      </c>
      <c r="V264" s="9" t="n">
        <v>2238.4</v>
      </c>
      <c r="W264" s="9" t="n">
        <f aca="false">V264/D264</f>
        <v>168.300751879699</v>
      </c>
      <c r="X264" s="9" t="n">
        <f aca="false">X263+V264</f>
        <v>215680.1</v>
      </c>
      <c r="Y264" s="9" t="n">
        <f aca="false">Y263+V264</f>
        <v>25892.9</v>
      </c>
      <c r="AA264" s="9" t="n">
        <v>15.3330156505037</v>
      </c>
    </row>
    <row r="265" s="9" customFormat="true" ht="15" hidden="false" customHeight="false" outlineLevel="0" collapsed="false">
      <c r="A265" s="66"/>
      <c r="B265" s="11"/>
      <c r="C265" s="12" t="n">
        <v>42143</v>
      </c>
      <c r="D265" s="9" t="n">
        <v>10.1</v>
      </c>
      <c r="E265" s="9" t="n">
        <v>8</v>
      </c>
      <c r="F265" s="9" t="n">
        <v>14.8</v>
      </c>
      <c r="G265" s="9" t="n">
        <f aca="false">G264+D265</f>
        <v>2356.6</v>
      </c>
      <c r="H265" s="9" t="n">
        <f aca="false">H264+D265</f>
        <v>209.5</v>
      </c>
      <c r="J265" s="9" t="n">
        <v>0.7</v>
      </c>
      <c r="K265" s="9" t="n">
        <f aca="false">K264+J265</f>
        <v>430.3</v>
      </c>
      <c r="L265" s="9" t="n">
        <v>4.1</v>
      </c>
      <c r="M265" s="9" t="n">
        <f aca="false">M264+L265</f>
        <v>372</v>
      </c>
      <c r="N265" s="14" t="n">
        <f aca="false">J265-L265</f>
        <v>-3.4</v>
      </c>
      <c r="O265" s="9" t="n">
        <f aca="false">O264+N265</f>
        <v>128.5</v>
      </c>
      <c r="P265" s="9" t="n">
        <v>260</v>
      </c>
      <c r="Q265" s="9" t="n">
        <v>1.15</v>
      </c>
      <c r="R265" s="15" t="n">
        <f aca="false">Q265*L265</f>
        <v>4.715</v>
      </c>
      <c r="S265" s="15" t="n">
        <f aca="false">J265-R265</f>
        <v>-4.015</v>
      </c>
      <c r="T265" s="15" t="n">
        <f aca="false">MIN(197.4,(T264+S265))</f>
        <v>113.256</v>
      </c>
      <c r="V265" s="9" t="n">
        <v>2634.1</v>
      </c>
      <c r="W265" s="9" t="n">
        <f aca="false">V265/D265</f>
        <v>260.80198019802</v>
      </c>
      <c r="X265" s="9" t="n">
        <f aca="false">X264+V265</f>
        <v>218314.2</v>
      </c>
      <c r="Y265" s="9" t="n">
        <f aca="false">Y264+V265</f>
        <v>28527</v>
      </c>
      <c r="AA265" s="9" t="n">
        <v>15.3749836734314</v>
      </c>
    </row>
    <row r="266" s="9" customFormat="true" ht="15" hidden="false" customHeight="false" outlineLevel="0" collapsed="false">
      <c r="A266" s="66"/>
      <c r="B266" s="11"/>
      <c r="C266" s="12" t="n">
        <v>42144</v>
      </c>
      <c r="D266" s="9" t="n">
        <v>9.2</v>
      </c>
      <c r="E266" s="9" t="n">
        <v>5.9</v>
      </c>
      <c r="F266" s="9" t="n">
        <v>12.7</v>
      </c>
      <c r="G266" s="9" t="n">
        <f aca="false">G265+D266</f>
        <v>2365.8</v>
      </c>
      <c r="H266" s="9" t="n">
        <f aca="false">H265+D266</f>
        <v>218.7</v>
      </c>
      <c r="J266" s="9" t="n">
        <v>0.3</v>
      </c>
      <c r="K266" s="9" t="n">
        <f aca="false">K265+J266</f>
        <v>430.6</v>
      </c>
      <c r="L266" s="9" t="n">
        <v>2.7</v>
      </c>
      <c r="M266" s="9" t="n">
        <f aca="false">M265+L266</f>
        <v>374.7</v>
      </c>
      <c r="N266" s="14" t="n">
        <f aca="false">J266-L266</f>
        <v>-2.4</v>
      </c>
      <c r="O266" s="9" t="n">
        <f aca="false">O265+N266</f>
        <v>126.1</v>
      </c>
      <c r="P266" s="9" t="n">
        <v>261</v>
      </c>
      <c r="Q266" s="9" t="n">
        <v>1.15</v>
      </c>
      <c r="R266" s="15" t="n">
        <f aca="false">Q266*L266</f>
        <v>3.105</v>
      </c>
      <c r="S266" s="15" t="n">
        <f aca="false">J266-R266</f>
        <v>-2.805</v>
      </c>
      <c r="T266" s="15" t="n">
        <f aca="false">MIN(197.4,(T265+S266))</f>
        <v>110.451</v>
      </c>
      <c r="V266" s="9" t="n">
        <v>2015.8</v>
      </c>
      <c r="W266" s="9" t="n">
        <f aca="false">V266/D266</f>
        <v>219.108695652174</v>
      </c>
      <c r="X266" s="9" t="n">
        <f aca="false">X265+V266</f>
        <v>220330</v>
      </c>
      <c r="Y266" s="9" t="n">
        <f aca="false">Y265+V266</f>
        <v>30542.8</v>
      </c>
      <c r="AA266" s="9" t="n">
        <v>15.4161204267035</v>
      </c>
    </row>
    <row r="267" s="9" customFormat="true" ht="15" hidden="false" customHeight="false" outlineLevel="0" collapsed="false">
      <c r="A267" s="66"/>
      <c r="B267" s="11"/>
      <c r="C267" s="12" t="n">
        <v>42145</v>
      </c>
      <c r="D267" s="9" t="n">
        <v>11.8</v>
      </c>
      <c r="E267" s="9" t="n">
        <v>5.2</v>
      </c>
      <c r="F267" s="9" t="n">
        <v>16.6</v>
      </c>
      <c r="G267" s="9" t="n">
        <f aca="false">G266+D267</f>
        <v>2377.6</v>
      </c>
      <c r="H267" s="9" t="n">
        <f aca="false">H266+D267</f>
        <v>230.5</v>
      </c>
      <c r="J267" s="9" t="n">
        <v>0</v>
      </c>
      <c r="K267" s="9" t="n">
        <f aca="false">K266+J267</f>
        <v>430.6</v>
      </c>
      <c r="L267" s="9" t="n">
        <v>3.7</v>
      </c>
      <c r="M267" s="9" t="n">
        <f aca="false">M266+L267</f>
        <v>378.4</v>
      </c>
      <c r="N267" s="14" t="n">
        <f aca="false">J267-L267</f>
        <v>-3.7</v>
      </c>
      <c r="O267" s="9" t="n">
        <f aca="false">O266+N267</f>
        <v>122.4</v>
      </c>
      <c r="P267" s="9" t="n">
        <v>262</v>
      </c>
      <c r="Q267" s="9" t="n">
        <v>1.15</v>
      </c>
      <c r="R267" s="15" t="n">
        <f aca="false">Q267*L267</f>
        <v>4.255</v>
      </c>
      <c r="S267" s="15" t="n">
        <f aca="false">J267-R267</f>
        <v>-4.255</v>
      </c>
      <c r="T267" s="15" t="n">
        <f aca="false">MIN(197.4,(T266+S267))</f>
        <v>106.196</v>
      </c>
      <c r="V267" s="9" t="n">
        <v>2581.5</v>
      </c>
      <c r="W267" s="9" t="n">
        <f aca="false">V267/D267</f>
        <v>218.771186440678</v>
      </c>
      <c r="X267" s="9" t="n">
        <f aca="false">X266+V267</f>
        <v>222911.5</v>
      </c>
      <c r="Y267" s="9" t="n">
        <f aca="false">Y266+V267</f>
        <v>33124.3</v>
      </c>
      <c r="AA267" s="9" t="n">
        <v>15.456399691461</v>
      </c>
    </row>
    <row r="268" s="9" customFormat="true" ht="15" hidden="false" customHeight="false" outlineLevel="0" collapsed="false">
      <c r="A268" s="66"/>
      <c r="B268" s="11"/>
      <c r="C268" s="12" t="n">
        <v>42146</v>
      </c>
      <c r="D268" s="9" t="n">
        <v>13.5</v>
      </c>
      <c r="E268" s="9" t="n">
        <v>8.5</v>
      </c>
      <c r="F268" s="9" t="n">
        <v>18.2</v>
      </c>
      <c r="G268" s="9" t="n">
        <f aca="false">G267+D268</f>
        <v>2391.1</v>
      </c>
      <c r="H268" s="9" t="n">
        <f aca="false">H267+D268</f>
        <v>244</v>
      </c>
      <c r="J268" s="9" t="n">
        <v>0</v>
      </c>
      <c r="K268" s="9" t="n">
        <f aca="false">K267+J268</f>
        <v>430.6</v>
      </c>
      <c r="L268" s="9" t="n">
        <v>3.4</v>
      </c>
      <c r="M268" s="9" t="n">
        <f aca="false">M267+L268</f>
        <v>381.8</v>
      </c>
      <c r="N268" s="14" t="n">
        <f aca="false">J268-L268</f>
        <v>-3.4</v>
      </c>
      <c r="O268" s="9" t="n">
        <f aca="false">O267+N268</f>
        <v>119</v>
      </c>
      <c r="P268" s="9" t="n">
        <v>263</v>
      </c>
      <c r="Q268" s="9" t="n">
        <v>1.15</v>
      </c>
      <c r="R268" s="15" t="n">
        <f aca="false">Q268*L268</f>
        <v>3.91</v>
      </c>
      <c r="S268" s="15" t="n">
        <f aca="false">J268-R268</f>
        <v>-3.91</v>
      </c>
      <c r="T268" s="15" t="n">
        <f aca="false">MIN(197.4,(T267+S268))</f>
        <v>102.286</v>
      </c>
      <c r="V268" s="9" t="n">
        <v>2067.7</v>
      </c>
      <c r="W268" s="9" t="n">
        <f aca="false">V268/D268</f>
        <v>153.162962962963</v>
      </c>
      <c r="X268" s="9" t="n">
        <f aca="false">X267+V268</f>
        <v>224979.2</v>
      </c>
      <c r="Y268" s="9" t="n">
        <f aca="false">Y267+V268</f>
        <v>35192</v>
      </c>
      <c r="AA268" s="9" t="n">
        <v>15.4957950824135</v>
      </c>
    </row>
    <row r="269" s="9" customFormat="true" ht="15" hidden="false" customHeight="false" outlineLevel="0" collapsed="false">
      <c r="A269" s="66"/>
      <c r="B269" s="11"/>
      <c r="C269" s="12" t="n">
        <v>42147</v>
      </c>
      <c r="D269" s="9" t="n">
        <v>15.2</v>
      </c>
      <c r="E269" s="9" t="n">
        <v>10</v>
      </c>
      <c r="F269" s="9" t="n">
        <v>20.2</v>
      </c>
      <c r="G269" s="9" t="n">
        <f aca="false">G268+D269</f>
        <v>2406.3</v>
      </c>
      <c r="H269" s="9" t="n">
        <f aca="false">H268+D269</f>
        <v>259.2</v>
      </c>
      <c r="J269" s="9" t="n">
        <v>0</v>
      </c>
      <c r="K269" s="9" t="n">
        <f aca="false">K268+J269</f>
        <v>430.6</v>
      </c>
      <c r="L269" s="9" t="n">
        <v>3.6</v>
      </c>
      <c r="M269" s="9" t="n">
        <f aca="false">M268+L269</f>
        <v>385.4</v>
      </c>
      <c r="N269" s="14" t="n">
        <f aca="false">J269-L269</f>
        <v>-3.6</v>
      </c>
      <c r="O269" s="9" t="n">
        <f aca="false">O268+N269</f>
        <v>115.4</v>
      </c>
      <c r="P269" s="9" t="n">
        <v>264</v>
      </c>
      <c r="Q269" s="9" t="n">
        <v>1.15</v>
      </c>
      <c r="R269" s="15" t="n">
        <f aca="false">Q269*L269</f>
        <v>4.14</v>
      </c>
      <c r="S269" s="15" t="n">
        <f aca="false">J269-R269</f>
        <v>-4.14</v>
      </c>
      <c r="T269" s="15" t="n">
        <f aca="false">MIN(197.4,(T268+S269))</f>
        <v>98.1460000000001</v>
      </c>
      <c r="V269" s="9" t="n">
        <v>2055.9</v>
      </c>
      <c r="W269" s="9" t="n">
        <f aca="false">V269/D269</f>
        <v>135.256578947368</v>
      </c>
      <c r="X269" s="9" t="n">
        <f aca="false">X268+V269</f>
        <v>227035.1</v>
      </c>
      <c r="Y269" s="9" t="n">
        <f aca="false">Y268+V269</f>
        <v>37247.9</v>
      </c>
      <c r="AA269" s="9" t="n">
        <v>15.5342800945023</v>
      </c>
    </row>
    <row r="270" s="9" customFormat="true" ht="15" hidden="false" customHeight="false" outlineLevel="0" collapsed="false">
      <c r="A270" s="66"/>
      <c r="B270" s="11"/>
      <c r="C270" s="12" t="n">
        <v>42148</v>
      </c>
      <c r="D270" s="9" t="n">
        <v>15.7</v>
      </c>
      <c r="E270" s="9" t="n">
        <v>12</v>
      </c>
      <c r="F270" s="9" t="n">
        <v>19.7</v>
      </c>
      <c r="G270" s="9" t="n">
        <f aca="false">G269+D270</f>
        <v>2422</v>
      </c>
      <c r="H270" s="9" t="n">
        <f aca="false">H269+D270</f>
        <v>274.9</v>
      </c>
      <c r="J270" s="9" t="n">
        <v>2.3</v>
      </c>
      <c r="K270" s="9" t="n">
        <f aca="false">K269+J270</f>
        <v>432.9</v>
      </c>
      <c r="L270" s="9" t="n">
        <v>4.5</v>
      </c>
      <c r="M270" s="9" t="n">
        <f aca="false">M269+L270</f>
        <v>389.9</v>
      </c>
      <c r="N270" s="14" t="n">
        <f aca="false">J270-L270</f>
        <v>-2.2</v>
      </c>
      <c r="O270" s="9" t="n">
        <f aca="false">O269+N270</f>
        <v>113.2</v>
      </c>
      <c r="P270" s="9" t="n">
        <v>265</v>
      </c>
      <c r="Q270" s="9" t="n">
        <v>1.15</v>
      </c>
      <c r="R270" s="15" t="n">
        <f aca="false">Q270*L270</f>
        <v>5.175</v>
      </c>
      <c r="S270" s="15" t="n">
        <f aca="false">J270-R270</f>
        <v>-2.875</v>
      </c>
      <c r="T270" s="15" t="n">
        <f aca="false">MIN(197.4,(T269+S270))</f>
        <v>95.2710000000001</v>
      </c>
      <c r="V270" s="9" t="n">
        <v>2604.6</v>
      </c>
      <c r="W270" s="9" t="n">
        <f aca="false">V270/D270</f>
        <v>165.898089171975</v>
      </c>
      <c r="X270" s="9" t="n">
        <f aca="false">X269+V270</f>
        <v>229639.7</v>
      </c>
      <c r="Y270" s="9" t="n">
        <f aca="false">Y269+V270</f>
        <v>39852.5</v>
      </c>
      <c r="AA270" s="9" t="n">
        <v>15.5718281524457</v>
      </c>
    </row>
    <row r="271" s="9" customFormat="true" ht="15" hidden="false" customHeight="false" outlineLevel="0" collapsed="false">
      <c r="A271" s="66"/>
      <c r="B271" s="11"/>
      <c r="C271" s="12" t="n">
        <v>42149</v>
      </c>
      <c r="D271" s="9" t="n">
        <v>14.7</v>
      </c>
      <c r="E271" s="9" t="n">
        <v>13</v>
      </c>
      <c r="F271" s="9" t="n">
        <v>18.5</v>
      </c>
      <c r="G271" s="9" t="n">
        <f aca="false">G270+D271</f>
        <v>2436.7</v>
      </c>
      <c r="H271" s="9" t="n">
        <f aca="false">H270+D271</f>
        <v>289.6</v>
      </c>
      <c r="J271" s="9" t="n">
        <v>0.2</v>
      </c>
      <c r="K271" s="9" t="n">
        <f aca="false">K270+J271</f>
        <v>433.1</v>
      </c>
      <c r="L271" s="9" t="n">
        <v>3.9</v>
      </c>
      <c r="M271" s="9" t="n">
        <f aca="false">M270+L271</f>
        <v>393.8</v>
      </c>
      <c r="N271" s="14" t="n">
        <f aca="false">J271-L271</f>
        <v>-3.7</v>
      </c>
      <c r="O271" s="9" t="n">
        <f aca="false">O270+N271</f>
        <v>109.5</v>
      </c>
      <c r="P271" s="9" t="n">
        <v>266</v>
      </c>
      <c r="Q271" s="9" t="n">
        <v>1.15</v>
      </c>
      <c r="R271" s="15" t="n">
        <f aca="false">Q271*L271</f>
        <v>4.485</v>
      </c>
      <c r="S271" s="15" t="n">
        <f aca="false">J271-R271</f>
        <v>-4.285</v>
      </c>
      <c r="T271" s="15" t="n">
        <f aca="false">MIN(197.4,(T270+S271))</f>
        <v>90.9860000000001</v>
      </c>
      <c r="V271" s="9" t="n">
        <v>2142.7</v>
      </c>
      <c r="W271" s="9" t="n">
        <f aca="false">V271/D271</f>
        <v>145.761904761905</v>
      </c>
      <c r="X271" s="9" t="n">
        <f aca="false">X270+V271</f>
        <v>231782.4</v>
      </c>
      <c r="Y271" s="9" t="n">
        <f aca="false">Y270+V271</f>
        <v>41995.2</v>
      </c>
      <c r="AA271" s="9" t="n">
        <v>15.6084126630948</v>
      </c>
    </row>
    <row r="272" s="24" customFormat="true" ht="15" hidden="false" customHeight="false" outlineLevel="0" collapsed="false">
      <c r="A272" s="66"/>
      <c r="B272" s="21" t="n">
        <v>300</v>
      </c>
      <c r="C272" s="56" t="n">
        <v>42150</v>
      </c>
      <c r="D272" s="24" t="n">
        <v>14.1</v>
      </c>
      <c r="E272" s="24" t="n">
        <v>10.6</v>
      </c>
      <c r="F272" s="24" t="n">
        <v>17.4</v>
      </c>
      <c r="G272" s="24" t="n">
        <f aca="false">G271+D272</f>
        <v>2450.8</v>
      </c>
      <c r="H272" s="24" t="n">
        <f aca="false">H271+D272</f>
        <v>303.7</v>
      </c>
      <c r="J272" s="24" t="n">
        <v>0</v>
      </c>
      <c r="K272" s="24" t="n">
        <f aca="false">K271+J272</f>
        <v>433.1</v>
      </c>
      <c r="L272" s="24" t="n">
        <v>4</v>
      </c>
      <c r="M272" s="24" t="n">
        <f aca="false">M271+L272</f>
        <v>397.8</v>
      </c>
      <c r="N272" s="57" t="n">
        <f aca="false">J272-L272</f>
        <v>-4</v>
      </c>
      <c r="O272" s="24" t="n">
        <f aca="false">O271+N272</f>
        <v>105.5</v>
      </c>
      <c r="P272" s="24" t="n">
        <v>267</v>
      </c>
      <c r="Q272" s="24" t="n">
        <v>1.15</v>
      </c>
      <c r="R272" s="26" t="n">
        <f aca="false">Q272*L272</f>
        <v>4.6</v>
      </c>
      <c r="S272" s="26" t="n">
        <f aca="false">J272-R272</f>
        <v>-4.6</v>
      </c>
      <c r="T272" s="59" t="n">
        <f aca="false">MIN(197.4,(T271+S272))</f>
        <v>86.3860000000001</v>
      </c>
      <c r="V272" s="24" t="n">
        <v>2456.4</v>
      </c>
      <c r="W272" s="24" t="n">
        <f aca="false">V272/D272</f>
        <v>174.212765957447</v>
      </c>
      <c r="X272" s="24" t="n">
        <f aca="false">X271+V272</f>
        <v>234238.8</v>
      </c>
      <c r="Y272" s="60" t="n">
        <f aca="false">Y271+V272</f>
        <v>44451.6</v>
      </c>
      <c r="AA272" s="60" t="n">
        <v>15.6440070705034</v>
      </c>
    </row>
    <row r="273" s="9" customFormat="true" ht="15" hidden="false" customHeight="false" outlineLevel="0" collapsed="false">
      <c r="A273" s="69" t="n">
        <v>600</v>
      </c>
      <c r="B273" s="11"/>
      <c r="C273" s="12" t="n">
        <v>42151</v>
      </c>
      <c r="D273" s="9" t="n">
        <v>15.1</v>
      </c>
      <c r="E273" s="9" t="n">
        <v>10.6</v>
      </c>
      <c r="F273" s="9" t="n">
        <v>19.9</v>
      </c>
      <c r="G273" s="9" t="n">
        <f aca="false">G272+D273</f>
        <v>2465.9</v>
      </c>
      <c r="H273" s="9" t="n">
        <v>15.1</v>
      </c>
      <c r="I273" s="70" t="s">
        <v>28</v>
      </c>
      <c r="J273" s="9" t="n">
        <v>0</v>
      </c>
      <c r="K273" s="9" t="n">
        <f aca="false">K272+J273</f>
        <v>433.1</v>
      </c>
      <c r="L273" s="9" t="n">
        <v>3.9</v>
      </c>
      <c r="M273" s="9" t="n">
        <f aca="false">M272+L273</f>
        <v>401.7</v>
      </c>
      <c r="N273" s="14" t="n">
        <f aca="false">J273-L273</f>
        <v>-3.9</v>
      </c>
      <c r="O273" s="9" t="n">
        <f aca="false">O272+N273</f>
        <v>101.6</v>
      </c>
      <c r="P273" s="9" t="n">
        <v>268</v>
      </c>
      <c r="Q273" s="17" t="n">
        <f aca="false">1.15+((P273-267)/54)*(0.35-1.15)</f>
        <v>1.13518518518519</v>
      </c>
      <c r="R273" s="15" t="n">
        <f aca="false">Q273*L273</f>
        <v>4.42722222222222</v>
      </c>
      <c r="S273" s="15" t="n">
        <f aca="false">J273-R273</f>
        <v>-4.42722222222222</v>
      </c>
      <c r="T273" s="15" t="n">
        <f aca="false">MIN(197.4,(T272+S273))</f>
        <v>81.9587777777778</v>
      </c>
      <c r="U273" s="70" t="s">
        <v>29</v>
      </c>
      <c r="V273" s="9" t="n">
        <v>2269.1</v>
      </c>
      <c r="W273" s="9" t="n">
        <f aca="false">V273/D273</f>
        <v>150.271523178808</v>
      </c>
      <c r="X273" s="9" t="n">
        <f aca="false">X272+V273</f>
        <v>236507.9</v>
      </c>
      <c r="Y273" s="9" t="n">
        <v>2269.1</v>
      </c>
      <c r="Z273" s="70" t="s">
        <v>30</v>
      </c>
      <c r="AA273" s="9" t="n">
        <v>15.6785849135895</v>
      </c>
    </row>
    <row r="274" s="9" customFormat="true" ht="15" hidden="false" customHeight="false" outlineLevel="0" collapsed="false">
      <c r="A274" s="69"/>
      <c r="B274" s="11"/>
      <c r="C274" s="12" t="n">
        <v>42152</v>
      </c>
      <c r="D274" s="9" t="n">
        <v>14.4</v>
      </c>
      <c r="E274" s="9" t="n">
        <v>11</v>
      </c>
      <c r="F274" s="9" t="n">
        <v>19.6</v>
      </c>
      <c r="G274" s="9" t="n">
        <f aca="false">G273+D274</f>
        <v>2480.3</v>
      </c>
      <c r="H274" s="9" t="n">
        <f aca="false">H273+D274</f>
        <v>29.5</v>
      </c>
      <c r="I274" s="9" t="n">
        <f aca="false">MIN(E273:E290)</f>
        <v>9.9</v>
      </c>
      <c r="J274" s="9" t="n">
        <v>0</v>
      </c>
      <c r="K274" s="9" t="n">
        <f aca="false">K273+J274</f>
        <v>433.1</v>
      </c>
      <c r="L274" s="9" t="n">
        <v>3.9</v>
      </c>
      <c r="M274" s="9" t="n">
        <f aca="false">M273+L274</f>
        <v>405.6</v>
      </c>
      <c r="N274" s="14" t="n">
        <f aca="false">J274-L274</f>
        <v>-3.9</v>
      </c>
      <c r="O274" s="9" t="n">
        <f aca="false">O273+N274</f>
        <v>97.6999999999999</v>
      </c>
      <c r="P274" s="9" t="n">
        <v>269</v>
      </c>
      <c r="Q274" s="17" t="n">
        <f aca="false">1.15+((P274-267)/54)*(0.35-1.15)</f>
        <v>1.12037037037037</v>
      </c>
      <c r="R274" s="15" t="n">
        <f aca="false">Q274*L274</f>
        <v>4.36944444444444</v>
      </c>
      <c r="S274" s="15" t="n">
        <f aca="false">J274-R274</f>
        <v>-4.36944444444444</v>
      </c>
      <c r="T274" s="15" t="n">
        <f aca="false">MIN(197.4,(T273+S274))</f>
        <v>77.5893333333334</v>
      </c>
      <c r="U274" s="9" t="n">
        <v>17</v>
      </c>
      <c r="V274" s="9" t="n">
        <v>2161.9</v>
      </c>
      <c r="W274" s="9" t="n">
        <f aca="false">V274/D274</f>
        <v>150.131944444444</v>
      </c>
      <c r="X274" s="9" t="n">
        <f aca="false">X273+V274</f>
        <v>238669.8</v>
      </c>
      <c r="Y274" s="9" t="n">
        <f aca="false">Y273+V274</f>
        <v>4431</v>
      </c>
      <c r="Z274" s="9" t="n">
        <v>40268.7</v>
      </c>
      <c r="AA274" s="9" t="n">
        <v>15.7121198862393</v>
      </c>
    </row>
    <row r="275" s="9" customFormat="true" ht="15" hidden="false" customHeight="false" outlineLevel="0" collapsed="false">
      <c r="A275" s="69"/>
      <c r="B275" s="11"/>
      <c r="C275" s="12" t="n">
        <v>42153</v>
      </c>
      <c r="D275" s="9" t="n">
        <v>14.3</v>
      </c>
      <c r="E275" s="9" t="n">
        <v>9.9</v>
      </c>
      <c r="F275" s="9" t="n">
        <v>17.2</v>
      </c>
      <c r="G275" s="9" t="n">
        <f aca="false">G274+D275</f>
        <v>2494.6</v>
      </c>
      <c r="H275" s="9" t="n">
        <f aca="false">H274+D275</f>
        <v>43.8</v>
      </c>
      <c r="I275" s="70" t="s">
        <v>31</v>
      </c>
      <c r="J275" s="9" t="n">
        <v>1</v>
      </c>
      <c r="K275" s="9" t="n">
        <f aca="false">K274+J275</f>
        <v>434.1</v>
      </c>
      <c r="L275" s="9" t="n">
        <v>3</v>
      </c>
      <c r="M275" s="9" t="n">
        <f aca="false">M274+L275</f>
        <v>408.6</v>
      </c>
      <c r="N275" s="14" t="n">
        <f aca="false">J275-L275</f>
        <v>-2</v>
      </c>
      <c r="O275" s="9" t="n">
        <f aca="false">O274+N275</f>
        <v>95.6999999999999</v>
      </c>
      <c r="P275" s="9" t="n">
        <v>270</v>
      </c>
      <c r="Q275" s="17" t="n">
        <f aca="false">1.15+((P275-267)/54)*(0.35-1.15)</f>
        <v>1.10555555555556</v>
      </c>
      <c r="R275" s="15" t="n">
        <f aca="false">Q275*L275</f>
        <v>3.31666666666667</v>
      </c>
      <c r="S275" s="15" t="n">
        <f aca="false">J275-R275</f>
        <v>-2.31666666666667</v>
      </c>
      <c r="T275" s="15" t="n">
        <f aca="false">MIN(197.4,(T274+S275))</f>
        <v>75.2726666666667</v>
      </c>
      <c r="U275" s="70" t="s">
        <v>32</v>
      </c>
      <c r="V275" s="9" t="n">
        <v>1586</v>
      </c>
      <c r="W275" s="9" t="n">
        <f aca="false">V275/D275</f>
        <v>110.909090909091</v>
      </c>
      <c r="X275" s="9" t="n">
        <f aca="false">X274+V275</f>
        <v>240255.8</v>
      </c>
      <c r="Y275" s="9" t="n">
        <f aca="false">Y274+V275</f>
        <v>6017</v>
      </c>
      <c r="Z275" s="70" t="s">
        <v>33</v>
      </c>
      <c r="AA275" s="9" t="n">
        <v>15.7445858996748</v>
      </c>
    </row>
    <row r="276" s="9" customFormat="true" ht="15" hidden="false" customHeight="false" outlineLevel="0" collapsed="false">
      <c r="A276" s="69"/>
      <c r="B276" s="11"/>
      <c r="C276" s="12" t="n">
        <v>42154</v>
      </c>
      <c r="D276" s="9" t="n">
        <v>14</v>
      </c>
      <c r="E276" s="9" t="n">
        <v>10.6</v>
      </c>
      <c r="F276" s="9" t="n">
        <v>17.3</v>
      </c>
      <c r="G276" s="9" t="n">
        <f aca="false">G275+D276</f>
        <v>2508.6</v>
      </c>
      <c r="H276" s="9" t="n">
        <f aca="false">H275+D276</f>
        <v>57.8</v>
      </c>
      <c r="I276" s="9" t="n">
        <f aca="false">MAX(F273:F290)</f>
        <v>32.5</v>
      </c>
      <c r="J276" s="9" t="n">
        <v>0</v>
      </c>
      <c r="K276" s="9" t="n">
        <f aca="false">K275+J276</f>
        <v>434.1</v>
      </c>
      <c r="L276" s="9" t="n">
        <v>3.9</v>
      </c>
      <c r="M276" s="9" t="n">
        <f aca="false">M275+L276</f>
        <v>412.5</v>
      </c>
      <c r="N276" s="14" t="n">
        <f aca="false">J276-L276</f>
        <v>-3.9</v>
      </c>
      <c r="O276" s="9" t="n">
        <f aca="false">O275+N276</f>
        <v>91.7999999999999</v>
      </c>
      <c r="P276" s="9" t="n">
        <v>271</v>
      </c>
      <c r="Q276" s="17" t="n">
        <f aca="false">1.15+((P276-267)/54)*(0.35-1.15)</f>
        <v>1.09074074074074</v>
      </c>
      <c r="R276" s="15" t="n">
        <f aca="false">Q276*L276</f>
        <v>4.25388888888889</v>
      </c>
      <c r="S276" s="15" t="n">
        <f aca="false">J276-R276</f>
        <v>-4.25388888888889</v>
      </c>
      <c r="T276" s="15" t="n">
        <f aca="false">MIN(197.4,(T275+S276))</f>
        <v>71.0187777777778</v>
      </c>
      <c r="U276" s="9" t="n">
        <v>0</v>
      </c>
      <c r="V276" s="9" t="n">
        <v>2321.9</v>
      </c>
      <c r="W276" s="9" t="n">
        <f aca="false">V276/D276</f>
        <v>165.85</v>
      </c>
      <c r="X276" s="9" t="n">
        <f aca="false">X275+V276</f>
        <v>242577.7</v>
      </c>
      <c r="Y276" s="9" t="n">
        <f aca="false">Y275+V276</f>
        <v>8338.9</v>
      </c>
      <c r="Z276" s="17" t="n">
        <f aca="false">(Z274/100)/I286</f>
        <v>1.30700097370983</v>
      </c>
      <c r="AA276" s="9" t="n">
        <v>15.7759571468813</v>
      </c>
    </row>
    <row r="277" s="9" customFormat="true" ht="15" hidden="false" customHeight="false" outlineLevel="0" collapsed="false">
      <c r="A277" s="69"/>
      <c r="B277" s="11"/>
      <c r="C277" s="12" t="n">
        <v>42155</v>
      </c>
      <c r="D277" s="9" t="n">
        <v>14.2</v>
      </c>
      <c r="E277" s="9" t="n">
        <v>10</v>
      </c>
      <c r="F277" s="9" t="n">
        <v>17</v>
      </c>
      <c r="G277" s="9" t="n">
        <f aca="false">G276+D277</f>
        <v>2522.8</v>
      </c>
      <c r="H277" s="9" t="n">
        <f aca="false">H276+D277</f>
        <v>72</v>
      </c>
      <c r="I277" s="70" t="s">
        <v>34</v>
      </c>
      <c r="J277" s="9" t="n">
        <v>3.6</v>
      </c>
      <c r="K277" s="9" t="n">
        <f aca="false">K276+J277</f>
        <v>437.7</v>
      </c>
      <c r="L277" s="9" t="n">
        <v>1.4</v>
      </c>
      <c r="M277" s="9" t="n">
        <f aca="false">M276+L277</f>
        <v>413.9</v>
      </c>
      <c r="N277" s="9" t="n">
        <f aca="false">J277-L277</f>
        <v>2.2</v>
      </c>
      <c r="O277" s="9" t="n">
        <f aca="false">O276+N277</f>
        <v>93.9999999999999</v>
      </c>
      <c r="P277" s="9" t="n">
        <v>272</v>
      </c>
      <c r="Q277" s="17" t="n">
        <f aca="false">1.15+((P277-267)/54)*(0.35-1.15)</f>
        <v>1.07592592592593</v>
      </c>
      <c r="R277" s="15" t="n">
        <f aca="false">Q277*L277</f>
        <v>1.5062962962963</v>
      </c>
      <c r="S277" s="15" t="n">
        <f aca="false">J277-R277</f>
        <v>2.0937037037037</v>
      </c>
      <c r="T277" s="15" t="n">
        <f aca="false">MIN(197.4,(T276+S277))</f>
        <v>73.1124814814816</v>
      </c>
      <c r="U277" s="70" t="s">
        <v>35</v>
      </c>
      <c r="V277" s="19" t="n">
        <v>731.5</v>
      </c>
      <c r="W277" s="9" t="n">
        <f aca="false">V277/D277</f>
        <v>51.5140845070423</v>
      </c>
      <c r="X277" s="9" t="n">
        <f aca="false">X276+V277</f>
        <v>243309.2</v>
      </c>
      <c r="Y277" s="9" t="n">
        <f aca="false">Y276+V277</f>
        <v>9070.4</v>
      </c>
      <c r="Z277" s="70" t="s">
        <v>36</v>
      </c>
      <c r="AA277" s="9" t="n">
        <v>15.8062081688572</v>
      </c>
    </row>
    <row r="278" s="9" customFormat="true" ht="15" hidden="false" customHeight="false" outlineLevel="0" collapsed="false">
      <c r="A278" s="69"/>
      <c r="B278" s="11"/>
      <c r="C278" s="12" t="n">
        <v>42156</v>
      </c>
      <c r="D278" s="9" t="n">
        <v>13.2</v>
      </c>
      <c r="E278" s="9" t="n">
        <v>10.2</v>
      </c>
      <c r="F278" s="9" t="n">
        <v>15.5</v>
      </c>
      <c r="G278" s="9" t="n">
        <f aca="false">G277+D278</f>
        <v>2536</v>
      </c>
      <c r="H278" s="9" t="n">
        <f aca="false">H277+D278</f>
        <v>85.2</v>
      </c>
      <c r="I278" s="15" t="n">
        <f aca="false">AVERAGE(D273:D290)</f>
        <v>17.1166666666667</v>
      </c>
      <c r="J278" s="9" t="n">
        <v>0</v>
      </c>
      <c r="K278" s="9" t="n">
        <f aca="false">K277+J278</f>
        <v>437.7</v>
      </c>
      <c r="L278" s="9" t="n">
        <v>2.8</v>
      </c>
      <c r="M278" s="9" t="n">
        <f aca="false">M277+L278</f>
        <v>416.7</v>
      </c>
      <c r="N278" s="9" t="n">
        <f aca="false">J278-L278</f>
        <v>-2.8</v>
      </c>
      <c r="O278" s="9" t="n">
        <f aca="false">O277+N278</f>
        <v>91.1999999999999</v>
      </c>
      <c r="P278" s="9" t="n">
        <v>273</v>
      </c>
      <c r="Q278" s="17" t="n">
        <f aca="false">1.15+((P278-267)/54)*(0.35-1.15)</f>
        <v>1.06111111111111</v>
      </c>
      <c r="R278" s="15" t="n">
        <f aca="false">Q278*L278</f>
        <v>2.97111111111111</v>
      </c>
      <c r="S278" s="15" t="n">
        <f aca="false">J278-R278</f>
        <v>-2.97111111111111</v>
      </c>
      <c r="T278" s="15" t="n">
        <f aca="false">MIN(197.4,(T277+S278))</f>
        <v>70.1413703703704</v>
      </c>
      <c r="U278" s="9" t="n">
        <v>12</v>
      </c>
      <c r="V278" s="9" t="n">
        <v>1707.5</v>
      </c>
      <c r="W278" s="9" t="n">
        <f aca="false">V278/D278</f>
        <v>129.356060606061</v>
      </c>
      <c r="X278" s="9" t="n">
        <f aca="false">X277+V278</f>
        <v>245016.7</v>
      </c>
      <c r="Y278" s="9" t="n">
        <f aca="false">Y277+V278</f>
        <v>10777.9</v>
      </c>
      <c r="Z278" s="9" t="n">
        <v>1</v>
      </c>
      <c r="AA278" s="9" t="n">
        <v>15.8353139224259</v>
      </c>
    </row>
    <row r="279" s="9" customFormat="true" ht="15" hidden="false" customHeight="false" outlineLevel="0" collapsed="false">
      <c r="A279" s="69"/>
      <c r="B279" s="11"/>
      <c r="C279" s="12" t="n">
        <v>42157</v>
      </c>
      <c r="D279" s="9" t="n">
        <v>17.9</v>
      </c>
      <c r="E279" s="9" t="n">
        <v>12.4</v>
      </c>
      <c r="F279" s="9" t="n">
        <v>22.3</v>
      </c>
      <c r="G279" s="9" t="n">
        <f aca="false">G278+D279</f>
        <v>2553.9</v>
      </c>
      <c r="H279" s="9" t="n">
        <f aca="false">H278+D279</f>
        <v>103.1</v>
      </c>
      <c r="I279" s="70" t="s">
        <v>37</v>
      </c>
      <c r="J279" s="9" t="n">
        <v>0</v>
      </c>
      <c r="K279" s="9" t="n">
        <f aca="false">K278+J279</f>
        <v>437.7</v>
      </c>
      <c r="L279" s="9" t="n">
        <v>4.5</v>
      </c>
      <c r="M279" s="9" t="n">
        <f aca="false">M278+L279</f>
        <v>421.2</v>
      </c>
      <c r="N279" s="14" t="n">
        <f aca="false">J279-L279</f>
        <v>-4.5</v>
      </c>
      <c r="O279" s="9" t="n">
        <f aca="false">O278+N279</f>
        <v>86.6999999999999</v>
      </c>
      <c r="P279" s="9" t="n">
        <v>274</v>
      </c>
      <c r="Q279" s="17" t="n">
        <f aca="false">1.15+((P279-267)/54)*(0.35-1.15)</f>
        <v>1.0462962962963</v>
      </c>
      <c r="R279" s="15" t="n">
        <f aca="false">Q279*L279</f>
        <v>4.70833333333333</v>
      </c>
      <c r="S279" s="15" t="n">
        <f aca="false">J279-R279</f>
        <v>-4.70833333333333</v>
      </c>
      <c r="T279" s="15" t="n">
        <f aca="false">MIN(197.4,(T278+S279))</f>
        <v>65.4330370370371</v>
      </c>
      <c r="U279" s="70" t="s">
        <v>38</v>
      </c>
      <c r="V279" s="9" t="n">
        <v>1877</v>
      </c>
      <c r="W279" s="9" t="n">
        <f aca="false">V279/D279</f>
        <v>104.860335195531</v>
      </c>
      <c r="X279" s="9" t="n">
        <f aca="false">X278+V279</f>
        <v>246893.7</v>
      </c>
      <c r="Y279" s="9" t="n">
        <f aca="false">Y278+V279</f>
        <v>12654.9</v>
      </c>
      <c r="AA279" s="9" t="n">
        <v>15.8632498493166</v>
      </c>
    </row>
    <row r="280" s="9" customFormat="true" ht="15" hidden="false" customHeight="false" outlineLevel="0" collapsed="false">
      <c r="A280" s="69"/>
      <c r="B280" s="11"/>
      <c r="C280" s="12" t="n">
        <v>42158</v>
      </c>
      <c r="D280" s="9" t="n">
        <v>16.8</v>
      </c>
      <c r="E280" s="9" t="n">
        <v>15.5</v>
      </c>
      <c r="F280" s="9" t="n">
        <v>20.3</v>
      </c>
      <c r="G280" s="9" t="n">
        <f aca="false">G279+D280</f>
        <v>2570.7</v>
      </c>
      <c r="H280" s="9" t="n">
        <f aca="false">H279+D280</f>
        <v>119.9</v>
      </c>
      <c r="I280" s="9" t="n">
        <v>0</v>
      </c>
      <c r="J280" s="9" t="n">
        <v>0.2</v>
      </c>
      <c r="K280" s="9" t="n">
        <f aca="false">K279+J280</f>
        <v>437.9</v>
      </c>
      <c r="L280" s="9" t="n">
        <v>3.7</v>
      </c>
      <c r="M280" s="9" t="n">
        <f aca="false">M279+L280</f>
        <v>424.9</v>
      </c>
      <c r="N280" s="14" t="n">
        <f aca="false">J280-L280</f>
        <v>-3.5</v>
      </c>
      <c r="O280" s="9" t="n">
        <f aca="false">O279+N280</f>
        <v>83.1999999999999</v>
      </c>
      <c r="P280" s="9" t="n">
        <v>275</v>
      </c>
      <c r="Q280" s="17" t="n">
        <f aca="false">1.15+((P280-267)/54)*(0.35-1.15)</f>
        <v>1.03148148148148</v>
      </c>
      <c r="R280" s="15" t="n">
        <f aca="false">Q280*L280</f>
        <v>3.81648148148148</v>
      </c>
      <c r="S280" s="15" t="n">
        <f aca="false">J280-R280</f>
        <v>-3.61648148148148</v>
      </c>
      <c r="T280" s="15" t="n">
        <f aca="false">MIN(197.4,(T279+S280))</f>
        <v>61.8165555555556</v>
      </c>
      <c r="U280" s="15" t="n">
        <f aca="false">MIN(T273:T290)</f>
        <v>13.3185925925927</v>
      </c>
      <c r="V280" s="9" t="n">
        <v>1821.5</v>
      </c>
      <c r="W280" s="9" t="n">
        <f aca="false">V280/D280</f>
        <v>108.422619047619</v>
      </c>
      <c r="X280" s="9" t="n">
        <f aca="false">X279+V280</f>
        <v>248715.2</v>
      </c>
      <c r="Y280" s="9" t="n">
        <f aca="false">Y279+V280</f>
        <v>14476.4</v>
      </c>
      <c r="AA280" s="9" t="n">
        <v>15.8899919461976</v>
      </c>
    </row>
    <row r="281" s="9" customFormat="true" ht="15" hidden="false" customHeight="false" outlineLevel="0" collapsed="false">
      <c r="A281" s="69"/>
      <c r="B281" s="11"/>
      <c r="C281" s="12" t="n">
        <v>42159</v>
      </c>
      <c r="D281" s="9" t="n">
        <v>19</v>
      </c>
      <c r="E281" s="9" t="n">
        <v>10.4</v>
      </c>
      <c r="F281" s="18" t="n">
        <v>25.7</v>
      </c>
      <c r="G281" s="9" t="n">
        <f aca="false">G280+D281</f>
        <v>2589.7</v>
      </c>
      <c r="H281" s="9" t="n">
        <f aca="false">H280+D281</f>
        <v>138.9</v>
      </c>
      <c r="I281" s="70" t="s">
        <v>39</v>
      </c>
      <c r="J281" s="9" t="n">
        <v>0</v>
      </c>
      <c r="K281" s="9" t="n">
        <f aca="false">K280+J281</f>
        <v>437.9</v>
      </c>
      <c r="L281" s="9" t="n">
        <v>5.8</v>
      </c>
      <c r="M281" s="9" t="n">
        <f aca="false">M280+L281</f>
        <v>430.7</v>
      </c>
      <c r="N281" s="14" t="n">
        <f aca="false">J281-L281</f>
        <v>-5.8</v>
      </c>
      <c r="O281" s="9" t="n">
        <f aca="false">O280+N281</f>
        <v>77.3999999999999</v>
      </c>
      <c r="P281" s="9" t="n">
        <v>276</v>
      </c>
      <c r="Q281" s="17" t="n">
        <f aca="false">1.15+((P281-267)/54)*(0.35-1.15)</f>
        <v>1.01666666666667</v>
      </c>
      <c r="R281" s="15" t="n">
        <f aca="false">Q281*L281</f>
        <v>5.89666666666667</v>
      </c>
      <c r="S281" s="15" t="n">
        <f aca="false">J281-R281</f>
        <v>-5.89666666666667</v>
      </c>
      <c r="T281" s="15" t="n">
        <f aca="false">MIN(197.4,(T280+S281))</f>
        <v>55.919888888889</v>
      </c>
      <c r="U281" s="70" t="s">
        <v>40</v>
      </c>
      <c r="V281" s="9" t="n">
        <v>3145.9</v>
      </c>
      <c r="W281" s="9" t="n">
        <f aca="false">V281/D281</f>
        <v>165.573684210526</v>
      </c>
      <c r="X281" s="9" t="n">
        <f aca="false">X280+V281</f>
        <v>251861.1</v>
      </c>
      <c r="Y281" s="9" t="n">
        <f aca="false">Y280+V281</f>
        <v>17622.3</v>
      </c>
      <c r="AA281" s="9" t="n">
        <v>15.9155168353171</v>
      </c>
    </row>
    <row r="282" s="9" customFormat="true" ht="15" hidden="false" customHeight="false" outlineLevel="0" collapsed="false">
      <c r="A282" s="69"/>
      <c r="B282" s="11"/>
      <c r="C282" s="12" t="n">
        <v>42160</v>
      </c>
      <c r="D282" s="9" t="n">
        <v>23.8</v>
      </c>
      <c r="E282" s="9" t="n">
        <v>16.5</v>
      </c>
      <c r="F282" s="18" t="n">
        <v>32.5</v>
      </c>
      <c r="G282" s="9" t="n">
        <f aca="false">G281+D282</f>
        <v>2613.5</v>
      </c>
      <c r="H282" s="9" t="n">
        <f aca="false">H281+D282</f>
        <v>162.7</v>
      </c>
      <c r="I282" s="9" t="n">
        <v>4</v>
      </c>
      <c r="J282" s="9" t="n">
        <v>0</v>
      </c>
      <c r="K282" s="9" t="n">
        <f aca="false">K281+J282</f>
        <v>437.9</v>
      </c>
      <c r="L282" s="9" t="n">
        <v>5.5</v>
      </c>
      <c r="M282" s="9" t="n">
        <f aca="false">M281+L282</f>
        <v>436.2</v>
      </c>
      <c r="N282" s="14" t="n">
        <f aca="false">J282-L282</f>
        <v>-5.5</v>
      </c>
      <c r="O282" s="9" t="n">
        <f aca="false">O281+N282</f>
        <v>71.8999999999999</v>
      </c>
      <c r="P282" s="9" t="n">
        <v>277</v>
      </c>
      <c r="Q282" s="17" t="n">
        <f aca="false">1.15+((P282-267)/54)*(0.35-1.15)</f>
        <v>1.00185185185185</v>
      </c>
      <c r="R282" s="15" t="n">
        <f aca="false">Q282*L282</f>
        <v>5.51018518518518</v>
      </c>
      <c r="S282" s="15" t="n">
        <f aca="false">J282-R282</f>
        <v>-5.51018518518518</v>
      </c>
      <c r="T282" s="15" t="n">
        <f aca="false">MIN(197.4,(T281+S282))</f>
        <v>50.4097037037038</v>
      </c>
      <c r="U282" s="15" t="n">
        <f aca="false">MAX(T273:T290)</f>
        <v>81.9587777777778</v>
      </c>
      <c r="V282" s="9" t="n">
        <v>2299.1</v>
      </c>
      <c r="W282" s="9" t="n">
        <f aca="false">V282/D282</f>
        <v>96.6008403361345</v>
      </c>
      <c r="X282" s="9" t="n">
        <f aca="false">X281+V282</f>
        <v>254160.2</v>
      </c>
      <c r="Y282" s="9" t="n">
        <f aca="false">Y281+V282</f>
        <v>19921.4</v>
      </c>
      <c r="AA282" s="9" t="n">
        <v>15.9398018353857</v>
      </c>
    </row>
    <row r="283" s="50" customFormat="true" ht="15" hidden="false" customHeight="false" outlineLevel="0" collapsed="false">
      <c r="A283" s="69"/>
      <c r="B283" s="48"/>
      <c r="C283" s="49" t="n">
        <v>42161</v>
      </c>
      <c r="D283" s="50" t="n">
        <v>17</v>
      </c>
      <c r="E283" s="50" t="n">
        <v>14.1</v>
      </c>
      <c r="F283" s="50" t="n">
        <v>20.7</v>
      </c>
      <c r="G283" s="50" t="n">
        <f aca="false">G282+D283</f>
        <v>2630.5</v>
      </c>
      <c r="H283" s="50" t="n">
        <f aca="false">H282+D283</f>
        <v>179.7</v>
      </c>
      <c r="I283" s="70" t="s">
        <v>41</v>
      </c>
      <c r="J283" s="50" t="n">
        <v>0</v>
      </c>
      <c r="K283" s="50" t="n">
        <f aca="false">K282+J283</f>
        <v>437.9</v>
      </c>
      <c r="L283" s="50" t="n">
        <v>5.7</v>
      </c>
      <c r="M283" s="50" t="n">
        <f aca="false">M282+L283</f>
        <v>441.9</v>
      </c>
      <c r="N283" s="52" t="n">
        <f aca="false">J283-L283</f>
        <v>-5.7</v>
      </c>
      <c r="O283" s="50" t="n">
        <f aca="false">O282+N283</f>
        <v>66.1999999999999</v>
      </c>
      <c r="P283" s="50" t="n">
        <v>278</v>
      </c>
      <c r="Q283" s="17" t="n">
        <f aca="false">1.15+((P283-267)/54)*(0.35-1.15)</f>
        <v>0.987037037037037</v>
      </c>
      <c r="R283" s="53" t="n">
        <f aca="false">Q283*L283</f>
        <v>5.62611111111111</v>
      </c>
      <c r="S283" s="53" t="n">
        <f aca="false">J283-R283</f>
        <v>-5.62611111111111</v>
      </c>
      <c r="T283" s="15" t="n">
        <f aca="false">MIN(197.4,(T282+S283))</f>
        <v>44.7835925925927</v>
      </c>
      <c r="U283" s="70" t="s">
        <v>42</v>
      </c>
      <c r="V283" s="50" t="n">
        <v>2797.9</v>
      </c>
      <c r="W283" s="50" t="n">
        <f aca="false">V283/D283</f>
        <v>164.582352941176</v>
      </c>
      <c r="X283" s="50" t="n">
        <f aca="false">X282+V283</f>
        <v>256958.1</v>
      </c>
      <c r="Y283" s="9" t="n">
        <f aca="false">Y282+V283</f>
        <v>22719.3</v>
      </c>
      <c r="AA283" s="9" t="n">
        <v>15.9628250323111</v>
      </c>
    </row>
    <row r="284" s="9" customFormat="true" ht="15" hidden="false" customHeight="true" outlineLevel="0" collapsed="false">
      <c r="A284" s="69"/>
      <c r="B284" s="11"/>
      <c r="C284" s="12" t="n">
        <v>42162</v>
      </c>
      <c r="D284" s="9" t="n">
        <v>16.2</v>
      </c>
      <c r="E284" s="9" t="n">
        <v>11.1</v>
      </c>
      <c r="F284" s="9" t="n">
        <v>20.9</v>
      </c>
      <c r="G284" s="9" t="n">
        <f aca="false">G283+D284</f>
        <v>2646.7</v>
      </c>
      <c r="H284" s="9" t="n">
        <f aca="false">H283+D284</f>
        <v>195.9</v>
      </c>
      <c r="I284" s="9" t="n">
        <v>0</v>
      </c>
      <c r="J284" s="9" t="n">
        <v>0</v>
      </c>
      <c r="K284" s="9" t="n">
        <f aca="false">K283+J284</f>
        <v>437.9</v>
      </c>
      <c r="L284" s="9" t="n">
        <v>5.1</v>
      </c>
      <c r="M284" s="9" t="n">
        <f aca="false">M283+L284</f>
        <v>447</v>
      </c>
      <c r="N284" s="14" t="n">
        <f aca="false">J284-L284</f>
        <v>-5.1</v>
      </c>
      <c r="O284" s="9" t="n">
        <f aca="false">O283+N284</f>
        <v>61.0999999999999</v>
      </c>
      <c r="P284" s="9" t="n">
        <v>279</v>
      </c>
      <c r="Q284" s="17" t="n">
        <f aca="false">1.15+((P284-267)/54)*(0.35-1.15)</f>
        <v>0.972222222222222</v>
      </c>
      <c r="R284" s="15" t="n">
        <f aca="false">Q284*L284</f>
        <v>4.95833333333333</v>
      </c>
      <c r="S284" s="15" t="n">
        <f aca="false">J284-R284</f>
        <v>-4.95833333333333</v>
      </c>
      <c r="T284" s="15" t="n">
        <f aca="false">MIN(197.4,(T283+S284))</f>
        <v>39.8252592592593</v>
      </c>
      <c r="U284" s="71" t="n">
        <f aca="false">AVERAGE(T273:T290)</f>
        <v>50.4136646090536</v>
      </c>
      <c r="V284" s="9" t="n">
        <v>2625.8</v>
      </c>
      <c r="W284" s="9" t="n">
        <f aca="false">V284/D284</f>
        <v>162.086419753086</v>
      </c>
      <c r="X284" s="9" t="n">
        <f aca="false">X283+V284</f>
        <v>259583.9</v>
      </c>
      <c r="Y284" s="9" t="n">
        <f aca="false">Y283+V284</f>
        <v>25345.1</v>
      </c>
      <c r="AA284" s="9" t="n">
        <v>15.9845653493789</v>
      </c>
    </row>
    <row r="285" s="9" customFormat="true" ht="15" hidden="false" customHeight="false" outlineLevel="0" collapsed="false">
      <c r="A285" s="69"/>
      <c r="B285" s="11"/>
      <c r="C285" s="12" t="n">
        <v>42163</v>
      </c>
      <c r="D285" s="9" t="n">
        <v>15.5</v>
      </c>
      <c r="E285" s="9" t="n">
        <v>11.8</v>
      </c>
      <c r="F285" s="9" t="n">
        <v>19.7</v>
      </c>
      <c r="G285" s="9" t="n">
        <f aca="false">G284+D285</f>
        <v>2662.2</v>
      </c>
      <c r="H285" s="9" t="n">
        <f aca="false">H284+D285</f>
        <v>211.4</v>
      </c>
      <c r="I285" s="70" t="s">
        <v>43</v>
      </c>
      <c r="J285" s="9" t="n">
        <v>0</v>
      </c>
      <c r="K285" s="9" t="n">
        <f aca="false">K284+J285</f>
        <v>437.9</v>
      </c>
      <c r="L285" s="9" t="n">
        <v>6.2</v>
      </c>
      <c r="M285" s="9" t="n">
        <f aca="false">M284+L285</f>
        <v>453.2</v>
      </c>
      <c r="N285" s="14" t="n">
        <f aca="false">J285-L285</f>
        <v>-6.2</v>
      </c>
      <c r="O285" s="9" t="n">
        <f aca="false">O284+N285</f>
        <v>54.8999999999999</v>
      </c>
      <c r="P285" s="9" t="n">
        <v>280</v>
      </c>
      <c r="Q285" s="17" t="n">
        <f aca="false">1.15+((P285-267)/54)*(0.35-1.15)</f>
        <v>0.957407407407407</v>
      </c>
      <c r="R285" s="15" t="n">
        <f aca="false">Q285*L285</f>
        <v>5.93592592592593</v>
      </c>
      <c r="S285" s="15" t="n">
        <f aca="false">J285-R285</f>
        <v>-5.93592592592593</v>
      </c>
      <c r="T285" s="15" t="n">
        <f aca="false">MIN(197.4,(T284+S285))</f>
        <v>33.8893333333334</v>
      </c>
      <c r="V285" s="9" t="n">
        <v>3311.4</v>
      </c>
      <c r="W285" s="9" t="n">
        <f aca="false">V285/D285</f>
        <v>213.638709677419</v>
      </c>
      <c r="X285" s="9" t="n">
        <f aca="false">X284+V285</f>
        <v>262895.3</v>
      </c>
      <c r="Y285" s="9" t="n">
        <f aca="false">Y284+V285</f>
        <v>28656.5</v>
      </c>
      <c r="AA285" s="9" t="n">
        <v>16.0050026164563</v>
      </c>
    </row>
    <row r="286" s="9" customFormat="true" ht="15" hidden="false" customHeight="false" outlineLevel="0" collapsed="false">
      <c r="A286" s="69"/>
      <c r="B286" s="11"/>
      <c r="C286" s="12" t="n">
        <v>42164</v>
      </c>
      <c r="D286" s="9" t="n">
        <v>15.4</v>
      </c>
      <c r="E286" s="9" t="n">
        <v>11.2</v>
      </c>
      <c r="F286" s="9" t="n">
        <v>19.8</v>
      </c>
      <c r="G286" s="9" t="n">
        <f aca="false">G285+D286</f>
        <v>2677.6</v>
      </c>
      <c r="H286" s="9" t="n">
        <f aca="false">H285+D286</f>
        <v>226.8</v>
      </c>
      <c r="I286" s="9" t="n">
        <v>308.1</v>
      </c>
      <c r="J286" s="9" t="n">
        <v>0</v>
      </c>
      <c r="K286" s="9" t="n">
        <f aca="false">K285+J286</f>
        <v>437.9</v>
      </c>
      <c r="L286" s="9" t="n">
        <v>5.2</v>
      </c>
      <c r="M286" s="9" t="n">
        <f aca="false">M285+L286</f>
        <v>458.4</v>
      </c>
      <c r="N286" s="14" t="n">
        <f aca="false">J286-L286</f>
        <v>-5.2</v>
      </c>
      <c r="O286" s="9" t="n">
        <f aca="false">O285+N286</f>
        <v>49.6999999999999</v>
      </c>
      <c r="P286" s="9" t="n">
        <v>281</v>
      </c>
      <c r="Q286" s="17" t="n">
        <f aca="false">1.15+((P286-267)/54)*(0.35-1.15)</f>
        <v>0.942592592592593</v>
      </c>
      <c r="R286" s="15" t="n">
        <f aca="false">Q286*L286</f>
        <v>4.90148148148148</v>
      </c>
      <c r="S286" s="15" t="n">
        <f aca="false">J286-R286</f>
        <v>-4.90148148148148</v>
      </c>
      <c r="T286" s="15" t="n">
        <f aca="false">MIN(197.4,(T285+S286))</f>
        <v>28.9878518518519</v>
      </c>
      <c r="U286" s="9" t="n">
        <f aca="false">(U284*100)/197.4</f>
        <v>25.5388371879704</v>
      </c>
      <c r="V286" s="9" t="n">
        <v>2618.4</v>
      </c>
      <c r="W286" s="9" t="n">
        <f aca="false">V286/D286</f>
        <v>170.025974025974</v>
      </c>
      <c r="X286" s="9" t="n">
        <f aca="false">X285+V286</f>
        <v>265513.7</v>
      </c>
      <c r="Y286" s="9" t="n">
        <f aca="false">Y285+V286</f>
        <v>31274.9</v>
      </c>
      <c r="AA286" s="9" t="n">
        <v>16.0241176377864</v>
      </c>
    </row>
    <row r="287" s="9" customFormat="true" ht="15" hidden="false" customHeight="false" outlineLevel="0" collapsed="false">
      <c r="A287" s="69"/>
      <c r="B287" s="11"/>
      <c r="C287" s="12" t="n">
        <v>42165</v>
      </c>
      <c r="D287" s="9" t="n">
        <v>17.6</v>
      </c>
      <c r="E287" s="9" t="n">
        <v>13</v>
      </c>
      <c r="F287" s="9" t="n">
        <v>21.5</v>
      </c>
      <c r="G287" s="9" t="n">
        <f aca="false">G286+D287</f>
        <v>2695.2</v>
      </c>
      <c r="H287" s="9" t="n">
        <f aca="false">H286+D287</f>
        <v>244.4</v>
      </c>
      <c r="J287" s="9" t="n">
        <v>0</v>
      </c>
      <c r="K287" s="9" t="n">
        <f aca="false">K286+J287</f>
        <v>437.9</v>
      </c>
      <c r="L287" s="9" t="n">
        <v>4.8</v>
      </c>
      <c r="M287" s="9" t="n">
        <f aca="false">M286+L287</f>
        <v>463.2</v>
      </c>
      <c r="N287" s="14" t="n">
        <f aca="false">J287-L287</f>
        <v>-4.8</v>
      </c>
      <c r="O287" s="9" t="n">
        <f aca="false">O286+N287</f>
        <v>44.8999999999999</v>
      </c>
      <c r="P287" s="9" t="n">
        <v>282</v>
      </c>
      <c r="Q287" s="17" t="n">
        <f aca="false">1.15+((P287-267)/54)*(0.35-1.15)</f>
        <v>0.927777777777778</v>
      </c>
      <c r="R287" s="15" t="n">
        <f aca="false">Q287*L287</f>
        <v>4.45333333333333</v>
      </c>
      <c r="S287" s="15" t="n">
        <f aca="false">J287-R287</f>
        <v>-4.45333333333333</v>
      </c>
      <c r="T287" s="15" t="n">
        <f aca="false">MIN(197.4,(T286+S287))</f>
        <v>24.5345185185186</v>
      </c>
      <c r="V287" s="9" t="n">
        <v>2179.5</v>
      </c>
      <c r="W287" s="9" t="n">
        <f aca="false">V287/D287</f>
        <v>123.835227272727</v>
      </c>
      <c r="X287" s="9" t="n">
        <f aca="false">X286+V287</f>
        <v>267693.2</v>
      </c>
      <c r="Y287" s="9" t="n">
        <f aca="false">Y286+V287</f>
        <v>33454.4</v>
      </c>
      <c r="AA287" s="9" t="n">
        <v>16.0418922579304</v>
      </c>
    </row>
    <row r="288" s="9" customFormat="true" ht="15" hidden="false" customHeight="false" outlineLevel="0" collapsed="false">
      <c r="A288" s="69"/>
      <c r="B288" s="11"/>
      <c r="C288" s="12" t="n">
        <v>42166</v>
      </c>
      <c r="D288" s="9" t="n">
        <v>22.2</v>
      </c>
      <c r="E288" s="9" t="n">
        <v>15.8</v>
      </c>
      <c r="F288" s="18" t="n">
        <v>27.8</v>
      </c>
      <c r="G288" s="9" t="n">
        <f aca="false">G287+D288</f>
        <v>2717.4</v>
      </c>
      <c r="H288" s="9" t="n">
        <f aca="false">H287+D288</f>
        <v>266.6</v>
      </c>
      <c r="J288" s="9" t="n">
        <v>1.9</v>
      </c>
      <c r="K288" s="9" t="n">
        <f aca="false">K287+J288</f>
        <v>439.8</v>
      </c>
      <c r="L288" s="9" t="n">
        <v>4.8</v>
      </c>
      <c r="M288" s="9" t="n">
        <f aca="false">M287+L288</f>
        <v>468</v>
      </c>
      <c r="N288" s="14" t="n">
        <f aca="false">J288-L288</f>
        <v>-2.9</v>
      </c>
      <c r="O288" s="9" t="n">
        <f aca="false">O287+N288</f>
        <v>41.9999999999999</v>
      </c>
      <c r="P288" s="9" t="n">
        <v>283</v>
      </c>
      <c r="Q288" s="17" t="n">
        <f aca="false">1.15+((P288-267)/54)*(0.35-1.15)</f>
        <v>0.912962962962963</v>
      </c>
      <c r="R288" s="15" t="n">
        <f aca="false">Q288*L288</f>
        <v>4.38222222222222</v>
      </c>
      <c r="S288" s="15" t="n">
        <f aca="false">J288-R288</f>
        <v>-2.48222222222222</v>
      </c>
      <c r="T288" s="15" t="n">
        <f aca="false">MIN(197.4,(T287+S288))</f>
        <v>22.0522962962964</v>
      </c>
      <c r="V288" s="9" t="n">
        <v>2270.4</v>
      </c>
      <c r="W288" s="9" t="n">
        <f aca="false">V288/D288</f>
        <v>102.27027027027</v>
      </c>
      <c r="X288" s="9" t="n">
        <f aca="false">X287+V288</f>
        <v>269963.6</v>
      </c>
      <c r="Y288" s="9" t="n">
        <f aca="false">Y287+V288</f>
        <v>35724.8</v>
      </c>
      <c r="AA288" s="9" t="n">
        <v>16.0583094254145</v>
      </c>
    </row>
    <row r="289" s="9" customFormat="true" ht="15" hidden="false" customHeight="false" outlineLevel="0" collapsed="false">
      <c r="A289" s="69"/>
      <c r="B289" s="11"/>
      <c r="C289" s="12" t="n">
        <v>42167</v>
      </c>
      <c r="D289" s="9" t="n">
        <v>21.5</v>
      </c>
      <c r="E289" s="9" t="n">
        <v>19.2</v>
      </c>
      <c r="F289" s="18" t="n">
        <v>26.2</v>
      </c>
      <c r="G289" s="9" t="n">
        <f aca="false">G288+D289</f>
        <v>2738.9</v>
      </c>
      <c r="H289" s="9" t="n">
        <f aca="false">H288+D289</f>
        <v>288.1</v>
      </c>
      <c r="J289" s="9" t="n">
        <v>0</v>
      </c>
      <c r="K289" s="9" t="n">
        <f aca="false">K288+J289</f>
        <v>439.8</v>
      </c>
      <c r="L289" s="9" t="n">
        <v>5.2</v>
      </c>
      <c r="M289" s="9" t="n">
        <f aca="false">M288+L289</f>
        <v>473.2</v>
      </c>
      <c r="N289" s="14" t="n">
        <f aca="false">J289-L289</f>
        <v>-5.2</v>
      </c>
      <c r="O289" s="9" t="n">
        <f aca="false">O288+N289</f>
        <v>36.7999999999999</v>
      </c>
      <c r="P289" s="9" t="n">
        <v>284</v>
      </c>
      <c r="Q289" s="17" t="n">
        <f aca="false">1.15+((P289-267)/54)*(0.35-1.15)</f>
        <v>0.898148148148148</v>
      </c>
      <c r="R289" s="15" t="n">
        <f aca="false">Q289*L289</f>
        <v>4.67037037037037</v>
      </c>
      <c r="S289" s="15" t="n">
        <f aca="false">J289-R289</f>
        <v>-4.67037037037037</v>
      </c>
      <c r="T289" s="15" t="n">
        <f aca="false">MIN(197.4,(T288+S289))</f>
        <v>17.381925925926</v>
      </c>
      <c r="V289" s="9" t="n">
        <v>2208.3</v>
      </c>
      <c r="W289" s="9" t="n">
        <f aca="false">V289/D289</f>
        <v>102.711627906977</v>
      </c>
      <c r="X289" s="9" t="n">
        <f aca="false">X288+V289</f>
        <v>272171.9</v>
      </c>
      <c r="Y289" s="9" t="n">
        <f aca="false">Y288+V289</f>
        <v>37933.1</v>
      </c>
      <c r="AA289" s="9" t="n">
        <v>16.0733532536391</v>
      </c>
    </row>
    <row r="290" s="24" customFormat="true" ht="15" hidden="false" customHeight="false" outlineLevel="0" collapsed="false">
      <c r="A290" s="69"/>
      <c r="B290" s="21" t="n">
        <v>600</v>
      </c>
      <c r="C290" s="56" t="n">
        <v>42168</v>
      </c>
      <c r="D290" s="24" t="n">
        <v>20</v>
      </c>
      <c r="E290" s="24" t="n">
        <v>16.2</v>
      </c>
      <c r="F290" s="24" t="n">
        <v>24.1</v>
      </c>
      <c r="G290" s="24" t="n">
        <f aca="false">G289+D290</f>
        <v>2758.9</v>
      </c>
      <c r="H290" s="24" t="n">
        <f aca="false">H289+D290</f>
        <v>308.1</v>
      </c>
      <c r="J290" s="24" t="n">
        <v>0</v>
      </c>
      <c r="K290" s="24" t="n">
        <f aca="false">K289+J290</f>
        <v>439.8</v>
      </c>
      <c r="L290" s="24" t="n">
        <v>4.6</v>
      </c>
      <c r="M290" s="24" t="n">
        <f aca="false">M289+L290</f>
        <v>477.8</v>
      </c>
      <c r="N290" s="57" t="n">
        <f aca="false">J290-L290</f>
        <v>-4.6</v>
      </c>
      <c r="O290" s="24" t="n">
        <f aca="false">O289+N290</f>
        <v>32.1999999999999</v>
      </c>
      <c r="P290" s="24" t="n">
        <v>285</v>
      </c>
      <c r="Q290" s="58" t="n">
        <f aca="false">1.15+((P290-267)/54)*(0.35-1.15)</f>
        <v>0.883333333333333</v>
      </c>
      <c r="R290" s="26" t="n">
        <f aca="false">Q290*L290</f>
        <v>4.06333333333333</v>
      </c>
      <c r="S290" s="26" t="n">
        <f aca="false">J290-R290</f>
        <v>-4.06333333333333</v>
      </c>
      <c r="T290" s="27" t="n">
        <f aca="false">MIN(197.4,(T289+S290))</f>
        <v>13.3185925925927</v>
      </c>
      <c r="V290" s="24" t="n">
        <v>2335.6</v>
      </c>
      <c r="W290" s="24" t="n">
        <f aca="false">V290/D290</f>
        <v>116.78</v>
      </c>
      <c r="X290" s="24" t="n">
        <f aca="false">X289+V290</f>
        <v>274507.5</v>
      </c>
      <c r="Y290" s="25" t="n">
        <f aca="false">Y289+V290</f>
        <v>40268.7</v>
      </c>
      <c r="AA290" s="25" t="n">
        <v>16.087009078614</v>
      </c>
    </row>
    <row r="291" s="9" customFormat="true" ht="15" hidden="false" customHeight="false" outlineLevel="0" collapsed="false">
      <c r="A291" s="72" t="n">
        <v>1000</v>
      </c>
      <c r="B291" s="11"/>
      <c r="C291" s="12" t="n">
        <v>42169</v>
      </c>
      <c r="D291" s="9" t="n">
        <v>18.9</v>
      </c>
      <c r="E291" s="9" t="n">
        <v>15.1</v>
      </c>
      <c r="F291" s="9" t="n">
        <v>24</v>
      </c>
      <c r="G291" s="9" t="n">
        <f aca="false">G290+D291</f>
        <v>2777.8</v>
      </c>
      <c r="H291" s="9" t="n">
        <v>18.9</v>
      </c>
      <c r="I291" s="73" t="s">
        <v>28</v>
      </c>
      <c r="J291" s="9" t="n">
        <v>0</v>
      </c>
      <c r="K291" s="9" t="n">
        <f aca="false">K290+J291</f>
        <v>439.8</v>
      </c>
      <c r="L291" s="9" t="n">
        <v>4.2</v>
      </c>
      <c r="M291" s="9" t="n">
        <f aca="false">M290+L291</f>
        <v>482</v>
      </c>
      <c r="N291" s="14" t="n">
        <f aca="false">J291-L291</f>
        <v>-4.2</v>
      </c>
      <c r="O291" s="9" t="n">
        <f aca="false">O290+N291</f>
        <v>27.9999999999999</v>
      </c>
      <c r="P291" s="9" t="n">
        <v>286</v>
      </c>
      <c r="Q291" s="17" t="n">
        <f aca="false">1.15+((P291-267)/54)*(0.35-1.15)</f>
        <v>0.868518518518519</v>
      </c>
      <c r="R291" s="15" t="n">
        <f aca="false">Q291*L291</f>
        <v>3.64777777777778</v>
      </c>
      <c r="S291" s="15" t="n">
        <f aca="false">J291-R291</f>
        <v>-3.64777777777778</v>
      </c>
      <c r="T291" s="15" t="n">
        <f aca="false">MIN(197.4,(T290+S291))</f>
        <v>9.67081481481489</v>
      </c>
      <c r="U291" s="73" t="s">
        <v>29</v>
      </c>
      <c r="V291" s="9" t="n">
        <v>1701.9</v>
      </c>
      <c r="W291" s="9" t="n">
        <f aca="false">V291/D291</f>
        <v>90.0476190476191</v>
      </c>
      <c r="X291" s="9" t="n">
        <f aca="false">X290+V291</f>
        <v>276209.4</v>
      </c>
      <c r="Y291" s="9" t="n">
        <v>1701.9</v>
      </c>
      <c r="Z291" s="73" t="s">
        <v>30</v>
      </c>
      <c r="AA291" s="9" t="n">
        <v>16.0992635130962</v>
      </c>
    </row>
    <row r="292" s="9" customFormat="true" ht="15" hidden="false" customHeight="false" outlineLevel="0" collapsed="false">
      <c r="A292" s="72"/>
      <c r="B292" s="11"/>
      <c r="C292" s="12" t="n">
        <v>42170</v>
      </c>
      <c r="D292" s="9" t="n">
        <v>17.4</v>
      </c>
      <c r="E292" s="9" t="n">
        <v>15</v>
      </c>
      <c r="F292" s="9" t="n">
        <v>20.5</v>
      </c>
      <c r="G292" s="9" t="n">
        <f aca="false">G291+D292</f>
        <v>2795.2</v>
      </c>
      <c r="H292" s="9" t="n">
        <f aca="false">H291+D292</f>
        <v>36.3</v>
      </c>
      <c r="I292" s="9" t="n">
        <f aca="false">MIN(E291:E311)</f>
        <v>9.1</v>
      </c>
      <c r="J292" s="9" t="n">
        <v>0</v>
      </c>
      <c r="K292" s="9" t="n">
        <f aca="false">K291+J292</f>
        <v>439.8</v>
      </c>
      <c r="L292" s="9" t="n">
        <v>3.9</v>
      </c>
      <c r="M292" s="9" t="n">
        <f aca="false">M291+L292</f>
        <v>485.9</v>
      </c>
      <c r="N292" s="14" t="n">
        <f aca="false">J292-L292</f>
        <v>-3.9</v>
      </c>
      <c r="O292" s="9" t="n">
        <f aca="false">O291+N292</f>
        <v>24.0999999999999</v>
      </c>
      <c r="P292" s="9" t="n">
        <v>287</v>
      </c>
      <c r="Q292" s="17" t="n">
        <f aca="false">1.15+((P292-267)/54)*(0.35-1.15)</f>
        <v>0.853703703703704</v>
      </c>
      <c r="R292" s="15" t="n">
        <f aca="false">Q292*L292</f>
        <v>3.32944444444444</v>
      </c>
      <c r="S292" s="15" t="n">
        <f aca="false">J292-R292</f>
        <v>-3.32944444444444</v>
      </c>
      <c r="T292" s="15" t="n">
        <f aca="false">MIN(197.4,(T291+S292))</f>
        <v>6.34137037037045</v>
      </c>
      <c r="U292" s="9" t="n">
        <v>20</v>
      </c>
      <c r="V292" s="9" t="n">
        <v>2022.3</v>
      </c>
      <c r="W292" s="9" t="n">
        <f aca="false">V292/D292</f>
        <v>116.224137931034</v>
      </c>
      <c r="X292" s="9" t="n">
        <f aca="false">X291+V292</f>
        <v>278231.7</v>
      </c>
      <c r="Y292" s="9" t="n">
        <f aca="false">Y291+V292</f>
        <v>3724.2</v>
      </c>
      <c r="Z292" s="9" t="n">
        <v>47902.7</v>
      </c>
      <c r="AA292" s="9" t="n">
        <v>16.1101044967227</v>
      </c>
    </row>
    <row r="293" s="9" customFormat="true" ht="15" hidden="false" customHeight="false" outlineLevel="0" collapsed="false">
      <c r="A293" s="72"/>
      <c r="B293" s="11"/>
      <c r="C293" s="12" t="n">
        <v>42171</v>
      </c>
      <c r="D293" s="9" t="n">
        <v>16.3</v>
      </c>
      <c r="E293" s="9" t="n">
        <v>11.7</v>
      </c>
      <c r="F293" s="9" t="n">
        <v>21</v>
      </c>
      <c r="G293" s="9" t="n">
        <f aca="false">G292+D293</f>
        <v>2811.5</v>
      </c>
      <c r="H293" s="9" t="n">
        <f aca="false">H292+D293</f>
        <v>52.6</v>
      </c>
      <c r="I293" s="73" t="s">
        <v>31</v>
      </c>
      <c r="J293" s="9" t="n">
        <v>0</v>
      </c>
      <c r="K293" s="9" t="n">
        <f aca="false">K292+J293</f>
        <v>439.8</v>
      </c>
      <c r="L293" s="9" t="n">
        <v>4.4</v>
      </c>
      <c r="M293" s="9" t="n">
        <f aca="false">M292+L293</f>
        <v>490.3</v>
      </c>
      <c r="N293" s="14" t="n">
        <f aca="false">J293-L293</f>
        <v>-4.4</v>
      </c>
      <c r="O293" s="9" t="n">
        <f aca="false">O292+N293</f>
        <v>19.6999999999999</v>
      </c>
      <c r="P293" s="9" t="n">
        <v>288</v>
      </c>
      <c r="Q293" s="17" t="n">
        <f aca="false">1.15+((P293-267)/54)*(0.35-1.15)</f>
        <v>0.838888888888889</v>
      </c>
      <c r="R293" s="15" t="n">
        <f aca="false">Q293*L293</f>
        <v>3.69111111111111</v>
      </c>
      <c r="S293" s="15" t="n">
        <f aca="false">J293-R293</f>
        <v>-3.69111111111111</v>
      </c>
      <c r="T293" s="15" t="n">
        <f aca="false">MIN(197.4,(T292+S293))</f>
        <v>2.65025925925934</v>
      </c>
      <c r="U293" s="73" t="s">
        <v>32</v>
      </c>
      <c r="V293" s="9" t="n">
        <v>1945</v>
      </c>
      <c r="W293" s="9" t="n">
        <f aca="false">V293/D293</f>
        <v>119.325153374233</v>
      </c>
      <c r="X293" s="9" t="n">
        <f aca="false">X292+V293</f>
        <v>280176.7</v>
      </c>
      <c r="Y293" s="9" t="n">
        <f aca="false">Y292+V293</f>
        <v>5669.2</v>
      </c>
      <c r="Z293" s="73" t="s">
        <v>33</v>
      </c>
      <c r="AA293" s="9" t="n">
        <v>16.1195213417536</v>
      </c>
    </row>
    <row r="294" s="9" customFormat="true" ht="15" hidden="false" customHeight="false" outlineLevel="0" collapsed="false">
      <c r="A294" s="72"/>
      <c r="B294" s="11"/>
      <c r="C294" s="12" t="n">
        <v>42172</v>
      </c>
      <c r="D294" s="9" t="n">
        <v>18.5</v>
      </c>
      <c r="E294" s="9" t="n">
        <v>11.3</v>
      </c>
      <c r="F294" s="9" t="n">
        <v>23.7</v>
      </c>
      <c r="G294" s="9" t="n">
        <f aca="false">G293+D294</f>
        <v>2830</v>
      </c>
      <c r="H294" s="9" t="n">
        <f aca="false">H293+D294</f>
        <v>71.1</v>
      </c>
      <c r="I294" s="9" t="n">
        <f aca="false">MAX(F291:F311)</f>
        <v>36.2</v>
      </c>
      <c r="J294" s="9" t="n">
        <v>0</v>
      </c>
      <c r="K294" s="9" t="n">
        <f aca="false">K293+J294</f>
        <v>439.8</v>
      </c>
      <c r="L294" s="9" t="n">
        <v>5.1</v>
      </c>
      <c r="M294" s="9" t="n">
        <f aca="false">M293+L294</f>
        <v>495.4</v>
      </c>
      <c r="N294" s="14" t="n">
        <f aca="false">J294-L294</f>
        <v>-5.1</v>
      </c>
      <c r="O294" s="9" t="n">
        <f aca="false">O293+N294</f>
        <v>14.5999999999999</v>
      </c>
      <c r="P294" s="9" t="n">
        <v>289</v>
      </c>
      <c r="Q294" s="17" t="n">
        <f aca="false">1.15+((P294-267)/54)*(0.35-1.15)</f>
        <v>0.824074074074074</v>
      </c>
      <c r="R294" s="15" t="n">
        <f aca="false">Q294*L294</f>
        <v>4.20277777777778</v>
      </c>
      <c r="S294" s="15" t="n">
        <f aca="false">J294-R294</f>
        <v>-4.20277777777778</v>
      </c>
      <c r="T294" s="15" t="n">
        <v>0</v>
      </c>
      <c r="U294" s="9" t="n">
        <v>17</v>
      </c>
      <c r="V294" s="9" t="n">
        <v>2768.6</v>
      </c>
      <c r="W294" s="9" t="n">
        <f aca="false">V294/D294</f>
        <v>149.654054054054</v>
      </c>
      <c r="X294" s="9" t="n">
        <f aca="false">X293+V294</f>
        <v>282945.3</v>
      </c>
      <c r="Y294" s="9" t="n">
        <f aca="false">Y293+V294</f>
        <v>8437.8</v>
      </c>
      <c r="Z294" s="17" t="n">
        <f aca="false">(Z292/100)/I304</f>
        <v>1.13111452184179</v>
      </c>
      <c r="AA294" s="9" t="n">
        <v>16.1275047740674</v>
      </c>
    </row>
    <row r="295" s="9" customFormat="true" ht="15" hidden="false" customHeight="false" outlineLevel="0" collapsed="false">
      <c r="A295" s="72"/>
      <c r="B295" s="11"/>
      <c r="C295" s="12" t="n">
        <v>42173</v>
      </c>
      <c r="D295" s="9" t="n">
        <v>17.2</v>
      </c>
      <c r="E295" s="9" t="n">
        <v>16.6</v>
      </c>
      <c r="F295" s="9" t="n">
        <v>19.6</v>
      </c>
      <c r="G295" s="9" t="n">
        <f aca="false">G294+D295</f>
        <v>2847.2</v>
      </c>
      <c r="H295" s="9" t="n">
        <f aca="false">H294+D295</f>
        <v>88.3</v>
      </c>
      <c r="I295" s="73" t="s">
        <v>34</v>
      </c>
      <c r="J295" s="9" t="n">
        <v>0.3</v>
      </c>
      <c r="K295" s="9" t="n">
        <f aca="false">K294+J295</f>
        <v>440.1</v>
      </c>
      <c r="L295" s="9" t="n">
        <v>2.6</v>
      </c>
      <c r="M295" s="9" t="n">
        <f aca="false">M294+L295</f>
        <v>498</v>
      </c>
      <c r="N295" s="14" t="n">
        <f aca="false">J295-L295</f>
        <v>-2.3</v>
      </c>
      <c r="O295" s="9" t="n">
        <f aca="false">O294+N295</f>
        <v>12.2999999999999</v>
      </c>
      <c r="P295" s="9" t="n">
        <v>290</v>
      </c>
      <c r="Q295" s="17" t="n">
        <f aca="false">1.15+((P295-267)/54)*(0.35-1.15)</f>
        <v>0.809259259259259</v>
      </c>
      <c r="R295" s="15" t="n">
        <f aca="false">Q295*L295</f>
        <v>2.10407407407407</v>
      </c>
      <c r="S295" s="15" t="n">
        <f aca="false">J295-R295</f>
        <v>-1.80407407407407</v>
      </c>
      <c r="T295" s="15" t="n">
        <v>0</v>
      </c>
      <c r="U295" s="73" t="s">
        <v>35</v>
      </c>
      <c r="V295" s="9" t="n">
        <v>1212.2</v>
      </c>
      <c r="W295" s="9" t="n">
        <f aca="false">V295/D295</f>
        <v>70.4767441860465</v>
      </c>
      <c r="X295" s="9" t="n">
        <f aca="false">X294+V295</f>
        <v>284157.5</v>
      </c>
      <c r="Y295" s="9" t="n">
        <f aca="false">Y294+V295</f>
        <v>9650</v>
      </c>
      <c r="Z295" s="73" t="s">
        <v>36</v>
      </c>
      <c r="AA295" s="9" t="n">
        <v>16.1340469690827</v>
      </c>
    </row>
    <row r="296" s="9" customFormat="true" ht="15" hidden="false" customHeight="false" outlineLevel="0" collapsed="false">
      <c r="A296" s="72"/>
      <c r="B296" s="11"/>
      <c r="C296" s="12" t="n">
        <v>42174</v>
      </c>
      <c r="D296" s="9" t="n">
        <v>16.2</v>
      </c>
      <c r="E296" s="9" t="n">
        <v>11.8</v>
      </c>
      <c r="F296" s="9" t="n">
        <v>21.3</v>
      </c>
      <c r="G296" s="9" t="n">
        <f aca="false">G295+D296</f>
        <v>2863.4</v>
      </c>
      <c r="H296" s="9" t="n">
        <f aca="false">H295+D296</f>
        <v>104.5</v>
      </c>
      <c r="I296" s="15" t="n">
        <f aca="false">AVERAGE(D291:D311)</f>
        <v>20.1666666666667</v>
      </c>
      <c r="J296" s="9" t="n">
        <v>0</v>
      </c>
      <c r="K296" s="9" t="n">
        <f aca="false">K295+J296</f>
        <v>440.1</v>
      </c>
      <c r="L296" s="9" t="n">
        <v>4.7</v>
      </c>
      <c r="M296" s="9" t="n">
        <f aca="false">M295+L296</f>
        <v>502.7</v>
      </c>
      <c r="N296" s="14" t="n">
        <f aca="false">J296-L296</f>
        <v>-4.7</v>
      </c>
      <c r="O296" s="9" t="n">
        <f aca="false">O295+N296</f>
        <v>7.59999999999991</v>
      </c>
      <c r="P296" s="9" t="n">
        <v>291</v>
      </c>
      <c r="Q296" s="17" t="n">
        <f aca="false">1.15+((P296-267)/54)*(0.35-1.15)</f>
        <v>0.794444444444444</v>
      </c>
      <c r="R296" s="15" t="n">
        <f aca="false">Q296*L296</f>
        <v>3.73388888888889</v>
      </c>
      <c r="S296" s="15" t="n">
        <f aca="false">J296-R296</f>
        <v>-3.73388888888889</v>
      </c>
      <c r="T296" s="15" t="n">
        <v>0</v>
      </c>
      <c r="U296" s="9" t="n">
        <v>4</v>
      </c>
      <c r="V296" s="9" t="n">
        <v>2509.3</v>
      </c>
      <c r="W296" s="9" t="n">
        <f aca="false">V296/D296</f>
        <v>154.895061728395</v>
      </c>
      <c r="X296" s="9" t="n">
        <f aca="false">X295+V296</f>
        <v>286666.8</v>
      </c>
      <c r="Y296" s="9" t="n">
        <f aca="false">Y295+V296</f>
        <v>12159.3</v>
      </c>
      <c r="Z296" s="9" t="n">
        <v>0</v>
      </c>
      <c r="AA296" s="9" t="n">
        <v>16.1391415823157</v>
      </c>
    </row>
    <row r="297" s="9" customFormat="true" ht="15" hidden="false" customHeight="false" outlineLevel="0" collapsed="false">
      <c r="A297" s="72"/>
      <c r="B297" s="11"/>
      <c r="C297" s="12" t="n">
        <v>42175</v>
      </c>
      <c r="D297" s="9" t="n">
        <v>16.5</v>
      </c>
      <c r="E297" s="9" t="n">
        <v>9.9</v>
      </c>
      <c r="F297" s="9" t="n">
        <v>20.2</v>
      </c>
      <c r="G297" s="9" t="n">
        <f aca="false">G296+D297</f>
        <v>2879.9</v>
      </c>
      <c r="H297" s="9" t="n">
        <f aca="false">H296+D297</f>
        <v>121</v>
      </c>
      <c r="I297" s="73" t="s">
        <v>37</v>
      </c>
      <c r="J297" s="9" t="n">
        <v>0</v>
      </c>
      <c r="K297" s="9" t="n">
        <f aca="false">K296+J297</f>
        <v>440.1</v>
      </c>
      <c r="L297" s="9" t="n">
        <v>3.3</v>
      </c>
      <c r="M297" s="9" t="n">
        <f aca="false">M296+L297</f>
        <v>506</v>
      </c>
      <c r="N297" s="14" t="n">
        <f aca="false">J297-L297</f>
        <v>-3.3</v>
      </c>
      <c r="O297" s="9" t="n">
        <f aca="false">O296+N297</f>
        <v>4.29999999999991</v>
      </c>
      <c r="P297" s="9" t="n">
        <v>292</v>
      </c>
      <c r="Q297" s="17" t="n">
        <f aca="false">1.15+((P297-267)/54)*(0.35-1.15)</f>
        <v>0.77962962962963</v>
      </c>
      <c r="R297" s="15" t="n">
        <f aca="false">Q297*L297</f>
        <v>2.57277777777778</v>
      </c>
      <c r="S297" s="15" t="n">
        <f aca="false">J297-R297</f>
        <v>-2.57277777777778</v>
      </c>
      <c r="T297" s="15" t="n">
        <v>0</v>
      </c>
      <c r="U297" s="73" t="s">
        <v>38</v>
      </c>
      <c r="V297" s="9" t="n">
        <v>1965.1</v>
      </c>
      <c r="W297" s="9" t="n">
        <f aca="false">V297/D297</f>
        <v>119.09696969697</v>
      </c>
      <c r="X297" s="9" t="n">
        <f aca="false">X296+V297</f>
        <v>288631.9</v>
      </c>
      <c r="Y297" s="9" t="n">
        <f aca="false">Y296+V297</f>
        <v>14124.4</v>
      </c>
      <c r="AA297" s="9" t="n">
        <v>16.1427837743245</v>
      </c>
    </row>
    <row r="298" s="9" customFormat="true" ht="15" hidden="false" customHeight="false" outlineLevel="0" collapsed="false">
      <c r="A298" s="72"/>
      <c r="B298" s="11"/>
      <c r="C298" s="12" t="n">
        <v>42176</v>
      </c>
      <c r="D298" s="9" t="n">
        <v>18.2</v>
      </c>
      <c r="E298" s="9" t="n">
        <v>15.8</v>
      </c>
      <c r="F298" s="9" t="n">
        <v>21.1</v>
      </c>
      <c r="G298" s="9" t="n">
        <f aca="false">G297+D298</f>
        <v>2898.1</v>
      </c>
      <c r="H298" s="9" t="n">
        <f aca="false">H297+D298</f>
        <v>139.2</v>
      </c>
      <c r="I298" s="9" t="n">
        <v>0</v>
      </c>
      <c r="J298" s="9" t="n">
        <v>0</v>
      </c>
      <c r="K298" s="9" t="n">
        <f aca="false">K297+J298</f>
        <v>440.1</v>
      </c>
      <c r="L298" s="9" t="n">
        <v>4.5</v>
      </c>
      <c r="M298" s="9" t="n">
        <f aca="false">M297+L298</f>
        <v>510.5</v>
      </c>
      <c r="N298" s="14" t="n">
        <f aca="false">J298-L298</f>
        <v>-4.5</v>
      </c>
      <c r="O298" s="9" t="n">
        <v>0</v>
      </c>
      <c r="P298" s="9" t="n">
        <v>293</v>
      </c>
      <c r="Q298" s="17" t="n">
        <f aca="false">1.15+((P298-267)/54)*(0.35-1.15)</f>
        <v>0.764814814814815</v>
      </c>
      <c r="R298" s="15" t="n">
        <f aca="false">Q298*L298</f>
        <v>3.44166666666667</v>
      </c>
      <c r="S298" s="15" t="n">
        <f aca="false">J298-R298</f>
        <v>-3.44166666666667</v>
      </c>
      <c r="T298" s="15" t="n">
        <v>0</v>
      </c>
      <c r="U298" s="15" t="n">
        <v>0</v>
      </c>
      <c r="V298" s="9" t="n">
        <v>2416.6</v>
      </c>
      <c r="W298" s="9" t="n">
        <f aca="false">V298/D298</f>
        <v>132.78021978022</v>
      </c>
      <c r="X298" s="9" t="n">
        <f aca="false">X297+V298</f>
        <v>291048.5</v>
      </c>
      <c r="Y298" s="9" t="n">
        <f aca="false">Y297+V298</f>
        <v>16541</v>
      </c>
      <c r="AA298" s="9" t="n">
        <v>16.1449702298335</v>
      </c>
    </row>
    <row r="299" s="9" customFormat="true" ht="15" hidden="false" customHeight="false" outlineLevel="0" collapsed="false">
      <c r="A299" s="72"/>
      <c r="B299" s="11"/>
      <c r="C299" s="12" t="n">
        <v>42177</v>
      </c>
      <c r="D299" s="9" t="n">
        <v>14.3</v>
      </c>
      <c r="E299" s="9" t="n">
        <v>12.6</v>
      </c>
      <c r="F299" s="9" t="n">
        <v>19.1</v>
      </c>
      <c r="G299" s="9" t="n">
        <f aca="false">G298+D299</f>
        <v>2912.4</v>
      </c>
      <c r="H299" s="9" t="n">
        <f aca="false">H298+D299</f>
        <v>153.5</v>
      </c>
      <c r="I299" s="73" t="s">
        <v>39</v>
      </c>
      <c r="J299" s="9" t="n">
        <v>3.6</v>
      </c>
      <c r="K299" s="9" t="n">
        <f aca="false">K298+J299</f>
        <v>443.7</v>
      </c>
      <c r="L299" s="9" t="n">
        <v>2.8</v>
      </c>
      <c r="M299" s="9" t="n">
        <f aca="false">M298+L299</f>
        <v>513.3</v>
      </c>
      <c r="N299" s="9" t="n">
        <f aca="false">J299-L299</f>
        <v>0.8</v>
      </c>
      <c r="O299" s="9" t="n">
        <f aca="false">O298+N299</f>
        <v>0.8</v>
      </c>
      <c r="P299" s="9" t="n">
        <v>294</v>
      </c>
      <c r="Q299" s="17" t="n">
        <f aca="false">1.15+((P299-267)/54)*(0.35-1.15)</f>
        <v>0.75</v>
      </c>
      <c r="R299" s="15" t="n">
        <f aca="false">Q299*L299</f>
        <v>2.1</v>
      </c>
      <c r="S299" s="15" t="n">
        <f aca="false">J299-R299</f>
        <v>1.5</v>
      </c>
      <c r="T299" s="15" t="n">
        <f aca="false">MIN(197.4,(T298+S299))</f>
        <v>1.5</v>
      </c>
      <c r="U299" s="73" t="s">
        <v>40</v>
      </c>
      <c r="V299" s="9" t="n">
        <v>1236.5</v>
      </c>
      <c r="W299" s="9" t="n">
        <f aca="false">V299/D299</f>
        <v>86.4685314685315</v>
      </c>
      <c r="X299" s="9" t="n">
        <f aca="false">X298+V299</f>
        <v>292285</v>
      </c>
      <c r="Y299" s="9" t="n">
        <f aca="false">Y298+V299</f>
        <v>17777.5</v>
      </c>
      <c r="AA299" s="9" t="n">
        <v>16.1456991708802</v>
      </c>
    </row>
    <row r="300" s="9" customFormat="true" ht="15" hidden="false" customHeight="false" outlineLevel="0" collapsed="false">
      <c r="A300" s="72"/>
      <c r="B300" s="11"/>
      <c r="C300" s="12" t="n">
        <v>42178</v>
      </c>
      <c r="D300" s="9" t="n">
        <v>13.8</v>
      </c>
      <c r="E300" s="9" t="n">
        <v>10.3</v>
      </c>
      <c r="F300" s="9" t="n">
        <v>17.5</v>
      </c>
      <c r="G300" s="9" t="n">
        <f aca="false">G299+D300</f>
        <v>2926.2</v>
      </c>
      <c r="H300" s="9" t="n">
        <f aca="false">H299+D300</f>
        <v>167.3</v>
      </c>
      <c r="I300" s="9" t="n">
        <v>9</v>
      </c>
      <c r="J300" s="9" t="n">
        <v>0</v>
      </c>
      <c r="K300" s="9" t="n">
        <f aca="false">K299+J300</f>
        <v>443.7</v>
      </c>
      <c r="L300" s="9" t="n">
        <v>3.2</v>
      </c>
      <c r="M300" s="9" t="n">
        <f aca="false">M299+L300</f>
        <v>516.5</v>
      </c>
      <c r="N300" s="14" t="n">
        <f aca="false">J300-L300</f>
        <v>-3.2</v>
      </c>
      <c r="O300" s="9" t="n">
        <v>0</v>
      </c>
      <c r="P300" s="9" t="n">
        <v>295</v>
      </c>
      <c r="Q300" s="17" t="n">
        <f aca="false">1.15+((P300-267)/54)*(0.35-1.15)</f>
        <v>0.735185185185185</v>
      </c>
      <c r="R300" s="15" t="n">
        <f aca="false">Q300*L300</f>
        <v>2.35259259259259</v>
      </c>
      <c r="S300" s="15" t="n">
        <f aca="false">J300-R300</f>
        <v>-2.35259259259259</v>
      </c>
      <c r="T300" s="15" t="n">
        <v>0</v>
      </c>
      <c r="U300" s="15" t="n">
        <v>9.7</v>
      </c>
      <c r="V300" s="9" t="n">
        <v>1798.7</v>
      </c>
      <c r="W300" s="9" t="n">
        <f aca="false">V300/D300</f>
        <v>130.340579710145</v>
      </c>
      <c r="X300" s="9" t="n">
        <f aca="false">X299+V300</f>
        <v>294083.7</v>
      </c>
      <c r="Y300" s="9" t="n">
        <f aca="false">Y299+V300</f>
        <v>19576.2</v>
      </c>
      <c r="AA300" s="9" t="n">
        <v>16.1449703638726</v>
      </c>
    </row>
    <row r="301" s="9" customFormat="true" ht="15" hidden="false" customHeight="false" outlineLevel="0" collapsed="false">
      <c r="A301" s="72"/>
      <c r="B301" s="11"/>
      <c r="C301" s="12" t="n">
        <v>42179</v>
      </c>
      <c r="D301" s="9" t="n">
        <v>17</v>
      </c>
      <c r="E301" s="9" t="n">
        <v>9.1</v>
      </c>
      <c r="F301" s="9" t="n">
        <v>23.7</v>
      </c>
      <c r="G301" s="9" t="n">
        <f aca="false">G300+D301</f>
        <v>2943.2</v>
      </c>
      <c r="H301" s="9" t="n">
        <f aca="false">H300+D301</f>
        <v>184.3</v>
      </c>
      <c r="I301" s="73" t="s">
        <v>41</v>
      </c>
      <c r="J301" s="9" t="n">
        <v>0</v>
      </c>
      <c r="K301" s="9" t="n">
        <f aca="false">K300+J301</f>
        <v>443.7</v>
      </c>
      <c r="L301" s="9" t="n">
        <v>4.2</v>
      </c>
      <c r="M301" s="9" t="n">
        <f aca="false">M300+L301</f>
        <v>520.7</v>
      </c>
      <c r="N301" s="14" t="n">
        <f aca="false">J301-L301</f>
        <v>-4.2</v>
      </c>
      <c r="O301" s="9" t="n">
        <v>0</v>
      </c>
      <c r="P301" s="9" t="n">
        <v>296</v>
      </c>
      <c r="Q301" s="17" t="n">
        <f aca="false">1.15+((P301-267)/54)*(0.35-1.15)</f>
        <v>0.72037037037037</v>
      </c>
      <c r="R301" s="15" t="n">
        <f aca="false">Q301*L301</f>
        <v>3.02555555555556</v>
      </c>
      <c r="S301" s="15" t="n">
        <f aca="false">J301-R301</f>
        <v>-3.02555555555556</v>
      </c>
      <c r="T301" s="15" t="n">
        <v>0</v>
      </c>
      <c r="U301" s="73" t="s">
        <v>42</v>
      </c>
      <c r="V301" s="9" t="n">
        <v>2410.6</v>
      </c>
      <c r="W301" s="9" t="n">
        <f aca="false">V301/D301</f>
        <v>141.8</v>
      </c>
      <c r="X301" s="9" t="n">
        <f aca="false">X300+V301</f>
        <v>296494.3</v>
      </c>
      <c r="Y301" s="9" t="n">
        <f aca="false">Y300+V301</f>
        <v>21986.8</v>
      </c>
      <c r="AA301" s="9" t="n">
        <v>16.1427851204995</v>
      </c>
    </row>
    <row r="302" s="9" customFormat="true" ht="15" hidden="false" customHeight="false" outlineLevel="0" collapsed="false">
      <c r="A302" s="72"/>
      <c r="B302" s="11"/>
      <c r="C302" s="12" t="n">
        <v>42180</v>
      </c>
      <c r="D302" s="9" t="n">
        <v>20.3</v>
      </c>
      <c r="E302" s="9" t="n">
        <v>13.1</v>
      </c>
      <c r="F302" s="18" t="n">
        <v>27</v>
      </c>
      <c r="G302" s="9" t="n">
        <f aca="false">G301+D302</f>
        <v>2963.5</v>
      </c>
      <c r="H302" s="9" t="n">
        <f aca="false">H301+D302</f>
        <v>204.6</v>
      </c>
      <c r="I302" s="9" t="n">
        <v>0</v>
      </c>
      <c r="J302" s="9" t="n">
        <v>0</v>
      </c>
      <c r="K302" s="9" t="n">
        <f aca="false">K301+J302</f>
        <v>443.7</v>
      </c>
      <c r="L302" s="9" t="n">
        <v>3.9</v>
      </c>
      <c r="M302" s="9" t="n">
        <f aca="false">M301+L302</f>
        <v>524.6</v>
      </c>
      <c r="N302" s="14" t="n">
        <f aca="false">J302-L302</f>
        <v>-3.9</v>
      </c>
      <c r="O302" s="9" t="n">
        <v>0</v>
      </c>
      <c r="P302" s="9" t="n">
        <v>297</v>
      </c>
      <c r="Q302" s="17" t="n">
        <f aca="false">1.15+((P302-267)/54)*(0.35-1.15)</f>
        <v>0.705555555555556</v>
      </c>
      <c r="R302" s="15" t="n">
        <f aca="false">Q302*L302</f>
        <v>2.75166666666667</v>
      </c>
      <c r="S302" s="15" t="n">
        <f aca="false">J302-R302</f>
        <v>-2.75166666666667</v>
      </c>
      <c r="T302" s="15" t="n">
        <v>0</v>
      </c>
      <c r="U302" s="17" t="n">
        <f aca="false">AVERAGE(T291:T311)</f>
        <v>0.960116402116413</v>
      </c>
      <c r="V302" s="9" t="n">
        <v>2056.9</v>
      </c>
      <c r="W302" s="9" t="n">
        <f aca="false">V302/D302</f>
        <v>101.325123152709</v>
      </c>
      <c r="X302" s="9" t="n">
        <f aca="false">X301+V302</f>
        <v>298551.2</v>
      </c>
      <c r="Y302" s="9" t="n">
        <f aca="false">Y301+V302</f>
        <v>24043.7</v>
      </c>
      <c r="AA302" s="9" t="n">
        <v>16.1391462924845</v>
      </c>
    </row>
    <row r="303" s="9" customFormat="true" ht="15" hidden="false" customHeight="false" outlineLevel="0" collapsed="false">
      <c r="A303" s="72"/>
      <c r="B303" s="11"/>
      <c r="C303" s="12" t="n">
        <v>42181</v>
      </c>
      <c r="D303" s="9" t="n">
        <v>23</v>
      </c>
      <c r="E303" s="9" t="n">
        <v>15.3</v>
      </c>
      <c r="F303" s="18" t="n">
        <v>29.6</v>
      </c>
      <c r="G303" s="9" t="n">
        <f aca="false">G302+D303</f>
        <v>2986.5</v>
      </c>
      <c r="H303" s="9" t="n">
        <f aca="false">H302+D303</f>
        <v>227.6</v>
      </c>
      <c r="I303" s="73" t="s">
        <v>43</v>
      </c>
      <c r="J303" s="9" t="n">
        <v>0</v>
      </c>
      <c r="K303" s="9" t="n">
        <f aca="false">K302+J303</f>
        <v>443.7</v>
      </c>
      <c r="L303" s="9" t="n">
        <v>5.1</v>
      </c>
      <c r="M303" s="9" t="n">
        <f aca="false">M302+L303</f>
        <v>529.7</v>
      </c>
      <c r="N303" s="14" t="n">
        <f aca="false">J303-L303</f>
        <v>-5.1</v>
      </c>
      <c r="O303" s="9" t="n">
        <v>0</v>
      </c>
      <c r="P303" s="9" t="n">
        <v>298</v>
      </c>
      <c r="Q303" s="17" t="n">
        <f aca="false">1.15+((P303-267)/54)*(0.35-1.15)</f>
        <v>0.690740740740741</v>
      </c>
      <c r="R303" s="15" t="n">
        <f aca="false">Q303*L303</f>
        <v>3.52277777777778</v>
      </c>
      <c r="S303" s="15" t="n">
        <f aca="false">J303-R303</f>
        <v>-3.52277777777778</v>
      </c>
      <c r="T303" s="15" t="n">
        <v>0</v>
      </c>
      <c r="V303" s="9" t="n">
        <v>2230.8</v>
      </c>
      <c r="W303" s="9" t="n">
        <f aca="false">V303/D303</f>
        <v>96.9913043478261</v>
      </c>
      <c r="X303" s="9" t="n">
        <f aca="false">X302+V303</f>
        <v>300782</v>
      </c>
      <c r="Y303" s="9" t="n">
        <f aca="false">Y302+V303</f>
        <v>26274.5</v>
      </c>
      <c r="AA303" s="9" t="n">
        <v>16.1340582602282</v>
      </c>
    </row>
    <row r="304" s="9" customFormat="true" ht="15" hidden="false" customHeight="false" outlineLevel="0" collapsed="false">
      <c r="A304" s="72"/>
      <c r="B304" s="11"/>
      <c r="C304" s="12" t="n">
        <v>42182</v>
      </c>
      <c r="D304" s="9" t="n">
        <v>20.5</v>
      </c>
      <c r="E304" s="9" t="n">
        <v>17.7</v>
      </c>
      <c r="F304" s="9" t="n">
        <v>24.4</v>
      </c>
      <c r="G304" s="9" t="n">
        <f aca="false">G303+D304</f>
        <v>3007</v>
      </c>
      <c r="H304" s="9" t="n">
        <f aca="false">H303+D304</f>
        <v>248.1</v>
      </c>
      <c r="I304" s="9" t="n">
        <v>423.5</v>
      </c>
      <c r="J304" s="9" t="n">
        <v>0</v>
      </c>
      <c r="K304" s="9" t="n">
        <f aca="false">K303+J304</f>
        <v>443.7</v>
      </c>
      <c r="L304" s="9" t="n">
        <v>6.1</v>
      </c>
      <c r="M304" s="9" t="n">
        <f aca="false">M303+L304</f>
        <v>535.8</v>
      </c>
      <c r="N304" s="14" t="n">
        <f aca="false">J304-L304</f>
        <v>-6.1</v>
      </c>
      <c r="O304" s="9" t="n">
        <v>0</v>
      </c>
      <c r="P304" s="9" t="n">
        <v>299</v>
      </c>
      <c r="Q304" s="17" t="n">
        <f aca="false">1.15+((P304-267)/54)*(0.35-1.15)</f>
        <v>0.675925925925926</v>
      </c>
      <c r="R304" s="15" t="n">
        <f aca="false">Q304*L304</f>
        <v>4.12314814814815</v>
      </c>
      <c r="S304" s="15" t="n">
        <f aca="false">J304-R304</f>
        <v>-4.12314814814815</v>
      </c>
      <c r="T304" s="15" t="n">
        <v>0</v>
      </c>
      <c r="U304" s="9" t="n">
        <f aca="false">(U302*100)/197.4</f>
        <v>0.486381156087342</v>
      </c>
      <c r="V304" s="9" t="n">
        <v>2790.4</v>
      </c>
      <c r="W304" s="9" t="n">
        <f aca="false">V304/D304</f>
        <v>136.117073170732</v>
      </c>
      <c r="X304" s="9" t="n">
        <f aca="false">X303+V304</f>
        <v>303572.4</v>
      </c>
      <c r="Y304" s="9" t="n">
        <f aca="false">Y303+V304</f>
        <v>29064.9</v>
      </c>
      <c r="AA304" s="9" t="n">
        <v>16.1275269154332</v>
      </c>
    </row>
    <row r="305" s="9" customFormat="true" ht="15" hidden="false" customHeight="false" outlineLevel="0" collapsed="false">
      <c r="A305" s="72"/>
      <c r="B305" s="11"/>
      <c r="C305" s="12" t="n">
        <v>42183</v>
      </c>
      <c r="D305" s="9" t="n">
        <v>21.9</v>
      </c>
      <c r="E305" s="9" t="n">
        <v>12.9</v>
      </c>
      <c r="F305" s="18" t="n">
        <v>28.3</v>
      </c>
      <c r="G305" s="9" t="n">
        <f aca="false">G304+D305</f>
        <v>3028.9</v>
      </c>
      <c r="H305" s="9" t="n">
        <f aca="false">H304+D305</f>
        <v>270</v>
      </c>
      <c r="J305" s="9" t="n">
        <v>0</v>
      </c>
      <c r="K305" s="9" t="n">
        <f aca="false">K304+J305</f>
        <v>443.7</v>
      </c>
      <c r="L305" s="9" t="n">
        <v>5.3</v>
      </c>
      <c r="M305" s="9" t="n">
        <f aca="false">M304+L305</f>
        <v>541.1</v>
      </c>
      <c r="N305" s="14" t="n">
        <f aca="false">J305-L305</f>
        <v>-5.3</v>
      </c>
      <c r="O305" s="9" t="n">
        <v>0</v>
      </c>
      <c r="P305" s="9" t="n">
        <v>300</v>
      </c>
      <c r="Q305" s="17" t="n">
        <f aca="false">1.15+((P305-267)/54)*(0.35-1.15)</f>
        <v>0.661111111111111</v>
      </c>
      <c r="R305" s="15" t="n">
        <f aca="false">Q305*L305</f>
        <v>3.50388888888889</v>
      </c>
      <c r="S305" s="15" t="n">
        <f aca="false">J305-R305</f>
        <v>-3.50388888888889</v>
      </c>
      <c r="T305" s="15" t="n">
        <v>0</v>
      </c>
      <c r="V305" s="9" t="n">
        <v>2684.1</v>
      </c>
      <c r="W305" s="9" t="n">
        <f aca="false">V305/D305</f>
        <v>122.561643835616</v>
      </c>
      <c r="X305" s="9" t="n">
        <f aca="false">X304+V305</f>
        <v>306256.5</v>
      </c>
      <c r="Y305" s="9" t="n">
        <f aca="false">Y304+V305</f>
        <v>31749</v>
      </c>
      <c r="AA305" s="9" t="n">
        <v>16.1195596378565</v>
      </c>
    </row>
    <row r="306" s="50" customFormat="true" ht="15" hidden="false" customHeight="false" outlineLevel="0" collapsed="false">
      <c r="A306" s="72"/>
      <c r="B306" s="48"/>
      <c r="C306" s="49" t="n">
        <v>42184</v>
      </c>
      <c r="D306" s="50" t="n">
        <v>21.9</v>
      </c>
      <c r="E306" s="50" t="n">
        <v>17</v>
      </c>
      <c r="F306" s="74" t="n">
        <v>28.4</v>
      </c>
      <c r="G306" s="50" t="n">
        <f aca="false">G305+D306</f>
        <v>3050.8</v>
      </c>
      <c r="H306" s="50" t="n">
        <f aca="false">H305+D306</f>
        <v>291.9</v>
      </c>
      <c r="J306" s="50" t="n">
        <v>0</v>
      </c>
      <c r="K306" s="50" t="n">
        <f aca="false">K305+J306</f>
        <v>443.7</v>
      </c>
      <c r="L306" s="50" t="n">
        <v>6.1</v>
      </c>
      <c r="M306" s="50" t="n">
        <f aca="false">M305+L306</f>
        <v>547.2</v>
      </c>
      <c r="N306" s="52" t="n">
        <f aca="false">J306-L306</f>
        <v>-6.1</v>
      </c>
      <c r="O306" s="50" t="n">
        <v>0</v>
      </c>
      <c r="P306" s="50" t="n">
        <v>301</v>
      </c>
      <c r="Q306" s="17" t="n">
        <f aca="false">1.15+((P306-267)/54)*(0.35-1.15)</f>
        <v>0.646296296296296</v>
      </c>
      <c r="R306" s="53" t="n">
        <f aca="false">Q306*L306</f>
        <v>3.94240740740741</v>
      </c>
      <c r="S306" s="53" t="n">
        <f aca="false">J306-R306</f>
        <v>-3.94240740740741</v>
      </c>
      <c r="T306" s="15" t="n">
        <v>0</v>
      </c>
      <c r="V306" s="50" t="n">
        <v>2853.8</v>
      </c>
      <c r="W306" s="50" t="n">
        <f aca="false">V306/D306</f>
        <v>130.310502283105</v>
      </c>
      <c r="X306" s="50" t="n">
        <f aca="false">X305+V306</f>
        <v>309110.3</v>
      </c>
      <c r="Y306" s="9" t="n">
        <f aca="false">Y305+V306</f>
        <v>34602.8</v>
      </c>
      <c r="AA306" s="9" t="n">
        <v>16.1101652663812</v>
      </c>
    </row>
    <row r="307" s="9" customFormat="true" ht="15" hidden="false" customHeight="true" outlineLevel="0" collapsed="false">
      <c r="A307" s="72"/>
      <c r="B307" s="75"/>
      <c r="C307" s="12" t="n">
        <v>42185</v>
      </c>
      <c r="D307" s="9" t="n">
        <v>24.5</v>
      </c>
      <c r="E307" s="9" t="n">
        <v>14.7</v>
      </c>
      <c r="F307" s="18" t="n">
        <v>32.1</v>
      </c>
      <c r="G307" s="9" t="n">
        <f aca="false">G306+D307</f>
        <v>3075.3</v>
      </c>
      <c r="H307" s="9" t="n">
        <f aca="false">H306+D307</f>
        <v>316.4</v>
      </c>
      <c r="J307" s="9" t="n">
        <v>0</v>
      </c>
      <c r="K307" s="9" t="n">
        <f aca="false">K306+J307</f>
        <v>443.7</v>
      </c>
      <c r="L307" s="9" t="n">
        <v>7.9</v>
      </c>
      <c r="M307" s="9" t="n">
        <f aca="false">M306+L307</f>
        <v>555.1</v>
      </c>
      <c r="N307" s="14" t="n">
        <f aca="false">J307-L307</f>
        <v>-7.9</v>
      </c>
      <c r="O307" s="9" t="n">
        <v>0</v>
      </c>
      <c r="P307" s="9" t="n">
        <v>302</v>
      </c>
      <c r="Q307" s="17" t="n">
        <f aca="false">1.15+((P307-267)/54)*(0.35-1.15)</f>
        <v>0.631481481481481</v>
      </c>
      <c r="R307" s="15" t="n">
        <f aca="false">Q307*L307</f>
        <v>4.9887037037037</v>
      </c>
      <c r="S307" s="15" t="n">
        <f aca="false">J307-R307</f>
        <v>-4.9887037037037</v>
      </c>
      <c r="T307" s="15" t="n">
        <v>0</v>
      </c>
      <c r="U307" s="16"/>
      <c r="V307" s="9" t="n">
        <v>3263.2</v>
      </c>
      <c r="W307" s="9" t="n">
        <f aca="false">V307/D307</f>
        <v>133.191836734694</v>
      </c>
      <c r="X307" s="9" t="n">
        <f aca="false">X306+V307</f>
        <v>312373.5</v>
      </c>
      <c r="Y307" s="9" t="n">
        <f aca="false">Y306+V307</f>
        <v>37866</v>
      </c>
      <c r="Z307" s="16"/>
      <c r="AA307" s="9" t="n">
        <v>16.099354064644</v>
      </c>
    </row>
    <row r="308" s="9" customFormat="true" ht="15" hidden="false" customHeight="false" outlineLevel="0" collapsed="false">
      <c r="A308" s="72"/>
      <c r="B308" s="75"/>
      <c r="C308" s="12" t="n">
        <v>42186</v>
      </c>
      <c r="D308" s="18" t="n">
        <v>29.1</v>
      </c>
      <c r="E308" s="9" t="n">
        <v>19.9</v>
      </c>
      <c r="F308" s="18" t="n">
        <v>36.2</v>
      </c>
      <c r="G308" s="9" t="n">
        <f aca="false">G307+D308</f>
        <v>3104.4</v>
      </c>
      <c r="H308" s="9" t="n">
        <f aca="false">H307+D308</f>
        <v>345.5</v>
      </c>
      <c r="J308" s="9" t="n">
        <v>0</v>
      </c>
      <c r="K308" s="9" t="n">
        <f aca="false">K307+J308</f>
        <v>443.7</v>
      </c>
      <c r="L308" s="9" t="n">
        <v>8</v>
      </c>
      <c r="M308" s="9" t="n">
        <f aca="false">M307+L308</f>
        <v>563.1</v>
      </c>
      <c r="N308" s="14" t="n">
        <f aca="false">J308-L308</f>
        <v>-8</v>
      </c>
      <c r="O308" s="9" t="n">
        <v>0</v>
      </c>
      <c r="P308" s="9" t="n">
        <v>303</v>
      </c>
      <c r="Q308" s="17" t="n">
        <f aca="false">1.15+((P308-267)/54)*(0.35-1.15)</f>
        <v>0.616666666666667</v>
      </c>
      <c r="R308" s="15" t="n">
        <f aca="false">Q308*L308</f>
        <v>4.93333333333333</v>
      </c>
      <c r="S308" s="15" t="n">
        <f aca="false">J308-R308</f>
        <v>-4.93333333333333</v>
      </c>
      <c r="T308" s="15" t="n">
        <v>0</v>
      </c>
      <c r="V308" s="9" t="n">
        <v>2902.7</v>
      </c>
      <c r="W308" s="9" t="n">
        <f aca="false">V308/D308</f>
        <v>99.7491408934708</v>
      </c>
      <c r="X308" s="9" t="n">
        <f aca="false">X307+V308</f>
        <v>315276.2</v>
      </c>
      <c r="Y308" s="9" t="n">
        <f aca="false">Y307+V308</f>
        <v>40768.7</v>
      </c>
      <c r="AA308" s="9" t="n">
        <v>16.0871376814971</v>
      </c>
    </row>
    <row r="309" s="9" customFormat="true" ht="15" hidden="false" customHeight="false" outlineLevel="0" collapsed="false">
      <c r="A309" s="72"/>
      <c r="B309" s="75"/>
      <c r="C309" s="12" t="n">
        <v>42187</v>
      </c>
      <c r="D309" s="18" t="n">
        <v>26.2</v>
      </c>
      <c r="E309" s="9" t="n">
        <v>22.7</v>
      </c>
      <c r="F309" s="18" t="n">
        <v>30.4</v>
      </c>
      <c r="G309" s="9" t="n">
        <f aca="false">G308+D309</f>
        <v>3130.6</v>
      </c>
      <c r="H309" s="9" t="n">
        <f aca="false">H308+D309</f>
        <v>371.7</v>
      </c>
      <c r="J309" s="9" t="n">
        <v>0.2</v>
      </c>
      <c r="K309" s="9" t="n">
        <f aca="false">K308+J309</f>
        <v>443.9</v>
      </c>
      <c r="L309" s="9" t="n">
        <v>6</v>
      </c>
      <c r="M309" s="9" t="n">
        <f aca="false">M308+L309</f>
        <v>569.1</v>
      </c>
      <c r="N309" s="14" t="n">
        <f aca="false">J309-L309</f>
        <v>-5.8</v>
      </c>
      <c r="O309" s="9" t="n">
        <v>0</v>
      </c>
      <c r="P309" s="9" t="n">
        <v>304</v>
      </c>
      <c r="Q309" s="17" t="n">
        <f aca="false">1.15+((P309-267)/54)*(0.35-1.15)</f>
        <v>0.601851851851852</v>
      </c>
      <c r="R309" s="15" t="n">
        <f aca="false">Q309*L309</f>
        <v>3.61111111111111</v>
      </c>
      <c r="S309" s="15" t="n">
        <f aca="false">J309-R309</f>
        <v>-3.41111111111111</v>
      </c>
      <c r="T309" s="15" t="n">
        <v>0</v>
      </c>
      <c r="U309" s="16"/>
      <c r="V309" s="9" t="n">
        <v>2542.2</v>
      </c>
      <c r="W309" s="9" t="n">
        <f aca="false">V309/D309</f>
        <v>97.030534351145</v>
      </c>
      <c r="X309" s="9" t="n">
        <f aca="false">X308+V309</f>
        <v>317818.4</v>
      </c>
      <c r="Y309" s="9" t="n">
        <f aca="false">Y308+V309</f>
        <v>43310.9</v>
      </c>
      <c r="Z309" s="16"/>
      <c r="AA309" s="9" t="n">
        <v>16.0735291066208</v>
      </c>
    </row>
    <row r="310" s="9" customFormat="true" ht="15" hidden="false" customHeight="false" outlineLevel="0" collapsed="false">
      <c r="A310" s="72"/>
      <c r="B310" s="75"/>
      <c r="C310" s="12" t="n">
        <v>42188</v>
      </c>
      <c r="D310" s="18" t="n">
        <v>27.1</v>
      </c>
      <c r="E310" s="9" t="n">
        <v>19.2</v>
      </c>
      <c r="F310" s="18" t="n">
        <v>34.9</v>
      </c>
      <c r="G310" s="9" t="n">
        <f aca="false">G309+D310</f>
        <v>3157.7</v>
      </c>
      <c r="H310" s="9" t="n">
        <f aca="false">H309+D310</f>
        <v>398.8</v>
      </c>
      <c r="J310" s="9" t="n">
        <v>0</v>
      </c>
      <c r="K310" s="9" t="n">
        <f aca="false">K309+J310</f>
        <v>443.9</v>
      </c>
      <c r="L310" s="9" t="n">
        <v>6.9</v>
      </c>
      <c r="M310" s="9" t="n">
        <f aca="false">M309+L310</f>
        <v>576</v>
      </c>
      <c r="N310" s="14" t="n">
        <f aca="false">J310-L310</f>
        <v>-6.9</v>
      </c>
      <c r="O310" s="9" t="n">
        <v>0</v>
      </c>
      <c r="P310" s="9" t="n">
        <v>305</v>
      </c>
      <c r="Q310" s="17" t="n">
        <f aca="false">1.15+((P310-267)/54)*(0.35-1.15)</f>
        <v>0.587037037037037</v>
      </c>
      <c r="R310" s="15" t="n">
        <f aca="false">Q310*L310</f>
        <v>4.05055555555556</v>
      </c>
      <c r="S310" s="15" t="n">
        <f aca="false">J310-R310</f>
        <v>-4.05055555555556</v>
      </c>
      <c r="T310" s="15" t="n">
        <v>0</v>
      </c>
      <c r="V310" s="9" t="n">
        <v>2749.6</v>
      </c>
      <c r="W310" s="9" t="n">
        <f aca="false">V310/D310</f>
        <v>101.461254612546</v>
      </c>
      <c r="X310" s="9" t="n">
        <f aca="false">X309+V310</f>
        <v>320568</v>
      </c>
      <c r="Y310" s="9" t="n">
        <f aca="false">Y309+V310</f>
        <v>46060.5</v>
      </c>
      <c r="AA310" s="9" t="n">
        <v>16.0585426216341</v>
      </c>
    </row>
    <row r="311" s="78" customFormat="true" ht="15" hidden="false" customHeight="false" outlineLevel="0" collapsed="false">
      <c r="A311" s="72"/>
      <c r="B311" s="76" t="n">
        <v>1000</v>
      </c>
      <c r="C311" s="77" t="n">
        <v>42189</v>
      </c>
      <c r="D311" s="78" t="n">
        <v>24.7</v>
      </c>
      <c r="E311" s="78" t="n">
        <v>22.5</v>
      </c>
      <c r="F311" s="79" t="n">
        <v>28.6</v>
      </c>
      <c r="G311" s="78" t="n">
        <f aca="false">G310+D311</f>
        <v>3182.4</v>
      </c>
      <c r="H311" s="78" t="n">
        <f aca="false">H310+D311</f>
        <v>423.5</v>
      </c>
      <c r="J311" s="78" t="n">
        <v>0.5</v>
      </c>
      <c r="K311" s="78" t="n">
        <f aca="false">K310+J311</f>
        <v>444.4</v>
      </c>
      <c r="L311" s="78" t="n">
        <v>3.8</v>
      </c>
      <c r="M311" s="78" t="n">
        <f aca="false">M310+L311</f>
        <v>579.8</v>
      </c>
      <c r="N311" s="80" t="n">
        <f aca="false">J311-L311</f>
        <v>-3.3</v>
      </c>
      <c r="O311" s="78" t="n">
        <v>0</v>
      </c>
      <c r="P311" s="78" t="n">
        <v>306</v>
      </c>
      <c r="Q311" s="81" t="n">
        <f aca="false">1.15+((P311-267)/54)*(0.35-1.15)</f>
        <v>0.572222222222222</v>
      </c>
      <c r="R311" s="82" t="n">
        <f aca="false">Q311*L311</f>
        <v>2.17444444444444</v>
      </c>
      <c r="S311" s="82" t="n">
        <f aca="false">J311-R311</f>
        <v>-1.67444444444444</v>
      </c>
      <c r="T311" s="15" t="n">
        <v>0</v>
      </c>
      <c r="V311" s="78" t="n">
        <v>1842.2</v>
      </c>
      <c r="W311" s="78" t="n">
        <f aca="false">V311/D311</f>
        <v>74.582995951417</v>
      </c>
      <c r="X311" s="78" t="n">
        <f aca="false">X310+V311</f>
        <v>322410.2</v>
      </c>
      <c r="Y311" s="9" t="n">
        <f aca="false">Y310+V311</f>
        <v>47902.7</v>
      </c>
      <c r="AA311" s="9" t="n">
        <v>16.0421937470834</v>
      </c>
    </row>
    <row r="312" s="9" customFormat="true" ht="15" hidden="false" customHeight="false" outlineLevel="0" collapsed="false">
      <c r="A312" s="83"/>
      <c r="B312" s="75"/>
      <c r="C312" s="12" t="n">
        <v>42190</v>
      </c>
      <c r="D312" s="9" t="n">
        <v>21.5</v>
      </c>
      <c r="E312" s="9" t="n">
        <v>18.7</v>
      </c>
      <c r="F312" s="9" t="n">
        <v>26.7</v>
      </c>
      <c r="G312" s="9" t="n">
        <f aca="false">G311+D312</f>
        <v>3203.9</v>
      </c>
      <c r="H312" s="9" t="n">
        <v>21.5</v>
      </c>
      <c r="J312" s="9" t="n">
        <v>0.1</v>
      </c>
      <c r="K312" s="9" t="n">
        <f aca="false">K311+J312</f>
        <v>444.5</v>
      </c>
      <c r="L312" s="9" t="n">
        <v>5.2</v>
      </c>
      <c r="M312" s="9" t="n">
        <f aca="false">M311+L312</f>
        <v>585</v>
      </c>
      <c r="N312" s="14" t="n">
        <f aca="false">J312-L312</f>
        <v>-5.1</v>
      </c>
      <c r="O312" s="9" t="n">
        <v>0</v>
      </c>
      <c r="P312" s="9" t="n">
        <v>307</v>
      </c>
      <c r="Q312" s="17" t="n">
        <f aca="false">1.15+((P312-267)/54)*(0.35-1.15)</f>
        <v>0.557407407407407</v>
      </c>
      <c r="R312" s="15" t="n">
        <f aca="false">Q312*L312</f>
        <v>2.89851851851852</v>
      </c>
      <c r="S312" s="15" t="n">
        <f aca="false">J312-R312</f>
        <v>-2.79851851851852</v>
      </c>
      <c r="T312" s="15" t="n">
        <v>0</v>
      </c>
      <c r="V312" s="9" t="n">
        <v>2184.6</v>
      </c>
      <c r="W312" s="9" t="n">
        <f aca="false">V312/D312</f>
        <v>101.609302325581</v>
      </c>
      <c r="X312" s="9" t="n">
        <f aca="false">X311+V312</f>
        <v>324594.8</v>
      </c>
      <c r="Y312" s="9" t="n">
        <f aca="false">Y311+V312</f>
        <v>50087.3</v>
      </c>
      <c r="AA312" s="9" t="n">
        <v>16.0244991857082</v>
      </c>
    </row>
    <row r="313" s="9" customFormat="true" ht="15" hidden="false" customHeight="false" outlineLevel="0" collapsed="false">
      <c r="A313" s="83"/>
      <c r="B313" s="75"/>
      <c r="C313" s="12" t="n">
        <v>42191</v>
      </c>
      <c r="D313" s="9" t="n">
        <v>22.4</v>
      </c>
      <c r="E313" s="9" t="n">
        <v>13.4</v>
      </c>
      <c r="F313" s="9" t="n">
        <v>29.7</v>
      </c>
      <c r="G313" s="9" t="n">
        <f aca="false">G312+D313</f>
        <v>3226.3</v>
      </c>
      <c r="H313" s="9" t="n">
        <f aca="false">H312+D313</f>
        <v>43.9</v>
      </c>
      <c r="J313" s="9" t="n">
        <v>0</v>
      </c>
      <c r="K313" s="9" t="n">
        <f aca="false">K312+J313</f>
        <v>444.5</v>
      </c>
      <c r="L313" s="9" t="n">
        <v>6.5</v>
      </c>
      <c r="M313" s="9" t="n">
        <f aca="false">M312+L313</f>
        <v>591.5</v>
      </c>
      <c r="N313" s="14" t="n">
        <f aca="false">J313-L313</f>
        <v>-6.5</v>
      </c>
      <c r="O313" s="9" t="n">
        <v>0</v>
      </c>
      <c r="P313" s="9" t="n">
        <v>308</v>
      </c>
      <c r="Q313" s="17" t="n">
        <f aca="false">1.15+((P313-267)/54)*(0.35-1.15)</f>
        <v>0.542592592592593</v>
      </c>
      <c r="R313" s="15" t="n">
        <f aca="false">Q313*L313</f>
        <v>3.52685185185185</v>
      </c>
      <c r="S313" s="15" t="n">
        <f aca="false">J313-R313</f>
        <v>-3.52685185185185</v>
      </c>
      <c r="T313" s="15" t="n">
        <v>0</v>
      </c>
      <c r="V313" s="9" t="n">
        <v>2948.6</v>
      </c>
      <c r="W313" s="9" t="n">
        <f aca="false">V313/D313</f>
        <v>131.633928571429</v>
      </c>
      <c r="X313" s="9" t="n">
        <f aca="false">X312+V313</f>
        <v>327543.4</v>
      </c>
      <c r="Y313" s="9" t="n">
        <f aca="false">Y312+V313</f>
        <v>53035.9</v>
      </c>
      <c r="AA313" s="9" t="n">
        <v>16.0054767624052</v>
      </c>
    </row>
    <row r="314" s="9" customFormat="true" ht="15" hidden="false" customHeight="false" outlineLevel="0" collapsed="false">
      <c r="A314" s="83"/>
      <c r="B314" s="75"/>
      <c r="C314" s="12" t="n">
        <v>42192</v>
      </c>
      <c r="D314" s="9" t="n">
        <v>21.4</v>
      </c>
      <c r="E314" s="9" t="n">
        <v>17.9</v>
      </c>
      <c r="F314" s="9" t="n">
        <v>27.3</v>
      </c>
      <c r="G314" s="9" t="n">
        <f aca="false">G313+D314</f>
        <v>3247.7</v>
      </c>
      <c r="H314" s="9" t="n">
        <f aca="false">H313+D314</f>
        <v>65.3</v>
      </c>
      <c r="J314" s="9" t="n">
        <v>0.2</v>
      </c>
      <c r="K314" s="9" t="n">
        <f aca="false">K313+J314</f>
        <v>444.7</v>
      </c>
      <c r="L314" s="9" t="n">
        <v>5.1</v>
      </c>
      <c r="M314" s="9" t="n">
        <f aca="false">M313+L314</f>
        <v>596.6</v>
      </c>
      <c r="N314" s="14" t="n">
        <f aca="false">J314-L314</f>
        <v>-4.9</v>
      </c>
      <c r="O314" s="9" t="n">
        <v>0</v>
      </c>
      <c r="P314" s="9" t="n">
        <v>309</v>
      </c>
      <c r="Q314" s="17" t="n">
        <f aca="false">1.15+((P314-267)/54)*(0.35-1.15)</f>
        <v>0.527777777777778</v>
      </c>
      <c r="R314" s="15" t="n">
        <f aca="false">Q314*L314</f>
        <v>2.69166666666667</v>
      </c>
      <c r="S314" s="15" t="n">
        <f aca="false">J314-R314</f>
        <v>-2.49166666666667</v>
      </c>
      <c r="T314" s="15" t="n">
        <v>0</v>
      </c>
      <c r="V314" s="9" t="n">
        <v>1774.2</v>
      </c>
      <c r="W314" s="9" t="n">
        <f aca="false">V314/D314</f>
        <v>82.9065420560748</v>
      </c>
      <c r="X314" s="9" t="n">
        <f aca="false">X313+V314</f>
        <v>329317.6</v>
      </c>
      <c r="Y314" s="9" t="n">
        <f aca="false">Y313+V314</f>
        <v>54810.1</v>
      </c>
      <c r="AA314" s="9" t="n">
        <v>15.9851453613226</v>
      </c>
    </row>
    <row r="315" s="9" customFormat="true" ht="15" hidden="false" customHeight="false" outlineLevel="0" collapsed="false">
      <c r="A315" s="83"/>
      <c r="B315" s="75"/>
      <c r="C315" s="12" t="n">
        <v>42193</v>
      </c>
      <c r="D315" s="9" t="n">
        <v>17.5</v>
      </c>
      <c r="E315" s="9" t="n">
        <v>16.2</v>
      </c>
      <c r="F315" s="9" t="n">
        <v>20.5</v>
      </c>
      <c r="G315" s="9" t="n">
        <f aca="false">G314+D315</f>
        <v>3265.2</v>
      </c>
      <c r="H315" s="9" t="n">
        <f aca="false">H314+D315</f>
        <v>82.8</v>
      </c>
      <c r="J315" s="9" t="n">
        <v>0</v>
      </c>
      <c r="K315" s="9" t="n">
        <f aca="false">K314+J315</f>
        <v>444.7</v>
      </c>
      <c r="L315" s="9" t="n">
        <v>5.9</v>
      </c>
      <c r="M315" s="9" t="n">
        <f aca="false">M314+L315</f>
        <v>602.5</v>
      </c>
      <c r="N315" s="14" t="n">
        <f aca="false">J315-L315</f>
        <v>-5.9</v>
      </c>
      <c r="O315" s="9" t="n">
        <v>0</v>
      </c>
      <c r="P315" s="9" t="n">
        <v>310</v>
      </c>
      <c r="Q315" s="17" t="n">
        <f aca="false">1.15+((P315-267)/54)*(0.35-1.15)</f>
        <v>0.512962962962963</v>
      </c>
      <c r="R315" s="15" t="n">
        <f aca="false">Q315*L315</f>
        <v>3.02648148148148</v>
      </c>
      <c r="S315" s="15" t="n">
        <f aca="false">J315-R315</f>
        <v>-3.02648148148148</v>
      </c>
      <c r="T315" s="15" t="n">
        <v>0</v>
      </c>
      <c r="V315" s="9" t="n">
        <v>2769.2</v>
      </c>
      <c r="W315" s="9" t="n">
        <f aca="false">V315/D315</f>
        <v>158.24</v>
      </c>
      <c r="X315" s="9" t="n">
        <f aca="false">X314+V315</f>
        <v>332086.8</v>
      </c>
      <c r="Y315" s="9" t="n">
        <f aca="false">Y314+V315</f>
        <v>57579.3</v>
      </c>
      <c r="AA315" s="9" t="n">
        <v>15.9635248605274</v>
      </c>
    </row>
    <row r="316" s="9" customFormat="true" ht="15" hidden="false" customHeight="false" outlineLevel="0" collapsed="false">
      <c r="A316" s="83"/>
      <c r="B316" s="75"/>
      <c r="C316" s="12" t="n">
        <v>42194</v>
      </c>
      <c r="D316" s="9" t="n">
        <v>17.3</v>
      </c>
      <c r="E316" s="9" t="n">
        <v>13.3</v>
      </c>
      <c r="F316" s="9" t="n">
        <v>22.4</v>
      </c>
      <c r="G316" s="9" t="n">
        <f aca="false">G315+D316</f>
        <v>3282.5</v>
      </c>
      <c r="H316" s="9" t="n">
        <f aca="false">H315+D316</f>
        <v>100.1</v>
      </c>
      <c r="J316" s="9" t="n">
        <v>0</v>
      </c>
      <c r="K316" s="9" t="n">
        <f aca="false">K315+J316</f>
        <v>444.7</v>
      </c>
      <c r="L316" s="9" t="n">
        <v>6.2</v>
      </c>
      <c r="M316" s="9" t="n">
        <f aca="false">M315+L316</f>
        <v>608.7</v>
      </c>
      <c r="N316" s="14" t="n">
        <f aca="false">J316-L316</f>
        <v>-6.2</v>
      </c>
      <c r="O316" s="9" t="n">
        <v>0</v>
      </c>
      <c r="P316" s="9" t="n">
        <v>311</v>
      </c>
      <c r="Q316" s="17" t="n">
        <f aca="false">1.15+((P316-267)/54)*(0.35-1.15)</f>
        <v>0.498148148148148</v>
      </c>
      <c r="R316" s="15" t="n">
        <f aca="false">Q316*L316</f>
        <v>3.08851851851852</v>
      </c>
      <c r="S316" s="15" t="n">
        <f aca="false">J316-R316</f>
        <v>-3.08851851851852</v>
      </c>
      <c r="T316" s="15" t="n">
        <v>0</v>
      </c>
      <c r="V316" s="9" t="n">
        <v>3143.7</v>
      </c>
      <c r="W316" s="9" t="n">
        <f aca="false">V316/D316</f>
        <v>181.71676300578</v>
      </c>
      <c r="X316" s="9" t="n">
        <f aca="false">X315+V316</f>
        <v>335230.5</v>
      </c>
      <c r="Y316" s="9" t="n">
        <f aca="false">Y315+V316</f>
        <v>60723</v>
      </c>
      <c r="AA316" s="9" t="n">
        <v>15.9406360646887</v>
      </c>
    </row>
    <row r="317" s="9" customFormat="true" ht="15" hidden="false" customHeight="false" outlineLevel="0" collapsed="false">
      <c r="A317" s="83"/>
      <c r="B317" s="75"/>
      <c r="C317" s="12" t="n">
        <v>42195</v>
      </c>
      <c r="D317" s="9" t="n">
        <v>19.7</v>
      </c>
      <c r="E317" s="9" t="n">
        <v>10.6</v>
      </c>
      <c r="F317" s="9" t="n">
        <v>27.1</v>
      </c>
      <c r="G317" s="9" t="n">
        <f aca="false">G316+D317</f>
        <v>3302.2</v>
      </c>
      <c r="H317" s="9" t="n">
        <f aca="false">H316+D317</f>
        <v>119.8</v>
      </c>
      <c r="J317" s="9" t="n">
        <v>0</v>
      </c>
      <c r="K317" s="9" t="n">
        <f aca="false">K316+J317</f>
        <v>444.7</v>
      </c>
      <c r="L317" s="9" t="n">
        <v>7.1</v>
      </c>
      <c r="M317" s="9" t="n">
        <f aca="false">M316+L317</f>
        <v>615.8</v>
      </c>
      <c r="N317" s="14" t="n">
        <f aca="false">J317-L317</f>
        <v>-7.1</v>
      </c>
      <c r="O317" s="9" t="n">
        <v>0</v>
      </c>
      <c r="P317" s="9" t="n">
        <v>312</v>
      </c>
      <c r="Q317" s="17" t="n">
        <f aca="false">1.15+((P317-267)/54)*(0.35-1.15)</f>
        <v>0.483333333333333</v>
      </c>
      <c r="R317" s="15" t="n">
        <f aca="false">Q317*L317</f>
        <v>3.43166666666667</v>
      </c>
      <c r="S317" s="15" t="n">
        <f aca="false">J317-R317</f>
        <v>-3.43166666666667</v>
      </c>
      <c r="T317" s="15" t="n">
        <v>0</v>
      </c>
      <c r="V317" s="9" t="n">
        <v>3236.4</v>
      </c>
      <c r="W317" s="9" t="n">
        <f aca="false">V317/D317</f>
        <v>164.284263959391</v>
      </c>
      <c r="X317" s="9" t="n">
        <f aca="false">X316+V317</f>
        <v>338466.9</v>
      </c>
      <c r="Y317" s="9" t="n">
        <f aca="false">Y316+V317</f>
        <v>63959.4</v>
      </c>
      <c r="AA317" s="9" t="n">
        <v>15.9165006362207</v>
      </c>
    </row>
    <row r="318" s="9" customFormat="true" ht="15" hidden="false" customHeight="false" outlineLevel="0" collapsed="false">
      <c r="A318" s="83"/>
      <c r="B318" s="75"/>
      <c r="C318" s="12" t="n">
        <v>42196</v>
      </c>
      <c r="D318" s="9" t="n">
        <v>20.9</v>
      </c>
      <c r="E318" s="9" t="n">
        <v>13.9</v>
      </c>
      <c r="F318" s="9" t="n">
        <v>27.7</v>
      </c>
      <c r="G318" s="9" t="n">
        <f aca="false">G317+D318</f>
        <v>3323.1</v>
      </c>
      <c r="H318" s="9" t="n">
        <f aca="false">H317+D318</f>
        <v>140.7</v>
      </c>
      <c r="J318" s="9" t="n">
        <v>0</v>
      </c>
      <c r="K318" s="9" t="n">
        <f aca="false">K317+J318</f>
        <v>444.7</v>
      </c>
      <c r="L318" s="9" t="n">
        <v>7.1</v>
      </c>
      <c r="M318" s="9" t="n">
        <f aca="false">M317+L318</f>
        <v>622.9</v>
      </c>
      <c r="N318" s="14" t="n">
        <f aca="false">J318-L318</f>
        <v>-7.1</v>
      </c>
      <c r="O318" s="9" t="n">
        <v>0</v>
      </c>
      <c r="P318" s="9" t="n">
        <v>313</v>
      </c>
      <c r="Q318" s="17" t="n">
        <f aca="false">1.15+((P318-267)/54)*(0.35-1.15)</f>
        <v>0.468518518518518</v>
      </c>
      <c r="R318" s="15" t="n">
        <f aca="false">Q318*L318</f>
        <v>3.32648148148148</v>
      </c>
      <c r="S318" s="15" t="n">
        <f aca="false">J318-R318</f>
        <v>-3.32648148148148</v>
      </c>
      <c r="T318" s="15" t="n">
        <v>0</v>
      </c>
      <c r="V318" s="9" t="n">
        <v>3209.5</v>
      </c>
      <c r="W318" s="9" t="n">
        <f aca="false">V318/D318</f>
        <v>153.564593301435</v>
      </c>
      <c r="X318" s="9" t="n">
        <f aca="false">X317+V318</f>
        <v>341676.4</v>
      </c>
      <c r="Y318" s="9" t="n">
        <f aca="false">Y317+V318</f>
        <v>67168.9</v>
      </c>
      <c r="AA318" s="9" t="n">
        <v>15.8911410253227</v>
      </c>
    </row>
    <row r="319" s="9" customFormat="true" ht="15" hidden="false" customHeight="false" outlineLevel="0" collapsed="false">
      <c r="A319" s="83"/>
      <c r="B319" s="75"/>
      <c r="C319" s="12" t="n">
        <v>42197</v>
      </c>
      <c r="D319" s="9" t="n">
        <v>19</v>
      </c>
      <c r="E319" s="9" t="n">
        <v>14</v>
      </c>
      <c r="F319" s="9" t="n">
        <v>24.7</v>
      </c>
      <c r="G319" s="9" t="n">
        <f aca="false">G318+D319</f>
        <v>3342.1</v>
      </c>
      <c r="H319" s="9" t="n">
        <f aca="false">H318+D319</f>
        <v>159.7</v>
      </c>
      <c r="J319" s="9" t="n">
        <v>0</v>
      </c>
      <c r="K319" s="9" t="n">
        <f aca="false">K318+J319</f>
        <v>444.7</v>
      </c>
      <c r="L319" s="9" t="n">
        <v>4.7</v>
      </c>
      <c r="M319" s="9" t="n">
        <f aca="false">M318+L319</f>
        <v>627.6</v>
      </c>
      <c r="N319" s="14" t="n">
        <f aca="false">J319-L319</f>
        <v>-4.7</v>
      </c>
      <c r="O319" s="9" t="n">
        <v>0</v>
      </c>
      <c r="P319" s="9" t="n">
        <v>314</v>
      </c>
      <c r="Q319" s="17" t="n">
        <f aca="false">1.15+((P319-267)/54)*(0.35-1.15)</f>
        <v>0.453703703703704</v>
      </c>
      <c r="R319" s="15" t="n">
        <f aca="false">Q319*L319</f>
        <v>2.13240740740741</v>
      </c>
      <c r="S319" s="15" t="n">
        <f aca="false">J319-R319</f>
        <v>-2.13240740740741</v>
      </c>
      <c r="T319" s="15" t="n">
        <v>0</v>
      </c>
      <c r="V319" s="9" t="n">
        <v>2285.9</v>
      </c>
      <c r="W319" s="9" t="n">
        <f aca="false">V319/D319</f>
        <v>120.310526315789</v>
      </c>
      <c r="X319" s="9" t="n">
        <f aca="false">X318+V319</f>
        <v>343962.3</v>
      </c>
      <c r="Y319" s="9" t="n">
        <f aca="false">Y318+V319</f>
        <v>69454.8</v>
      </c>
      <c r="AA319" s="9" t="n">
        <v>15.8645803993407</v>
      </c>
    </row>
    <row r="320" s="9" customFormat="true" ht="15" hidden="false" customHeight="false" outlineLevel="0" collapsed="false">
      <c r="A320" s="83"/>
      <c r="B320" s="75"/>
      <c r="C320" s="12" t="n">
        <v>42198</v>
      </c>
      <c r="D320" s="9" t="n">
        <v>21.1</v>
      </c>
      <c r="E320" s="9" t="n">
        <v>17.4</v>
      </c>
      <c r="F320" s="9" t="n">
        <v>24.9</v>
      </c>
      <c r="G320" s="9" t="n">
        <f aca="false">G319+D320</f>
        <v>3363.2</v>
      </c>
      <c r="H320" s="9" t="n">
        <f aca="false">H319+D320</f>
        <v>180.8</v>
      </c>
      <c r="J320" s="9" t="n">
        <v>0</v>
      </c>
      <c r="K320" s="9" t="n">
        <f aca="false">K319+J320</f>
        <v>444.7</v>
      </c>
      <c r="L320" s="9" t="n">
        <v>5.4</v>
      </c>
      <c r="M320" s="9" t="n">
        <f aca="false">M319+L320</f>
        <v>633</v>
      </c>
      <c r="N320" s="14" t="n">
        <f aca="false">J320-L320</f>
        <v>-5.4</v>
      </c>
      <c r="O320" s="9" t="n">
        <v>0</v>
      </c>
      <c r="P320" s="9" t="n">
        <v>315</v>
      </c>
      <c r="Q320" s="17" t="n">
        <f aca="false">1.15+((P320-267)/54)*(0.35-1.15)</f>
        <v>0.438888888888889</v>
      </c>
      <c r="R320" s="15" t="n">
        <f aca="false">Q320*L320</f>
        <v>2.37</v>
      </c>
      <c r="S320" s="15" t="n">
        <f aca="false">J320-R320</f>
        <v>-2.37</v>
      </c>
      <c r="T320" s="15" t="n">
        <v>0</v>
      </c>
      <c r="V320" s="9" t="n">
        <v>2303.4</v>
      </c>
      <c r="W320" s="9" t="n">
        <f aca="false">V320/D320</f>
        <v>109.165876777251</v>
      </c>
      <c r="X320" s="9" t="n">
        <f aca="false">X319+V320</f>
        <v>346265.7</v>
      </c>
      <c r="Y320" s="9" t="n">
        <f aca="false">Y319+V320</f>
        <v>71758.2</v>
      </c>
      <c r="AA320" s="9" t="n">
        <v>15.8368425718651</v>
      </c>
    </row>
    <row r="321" s="9" customFormat="true" ht="15" hidden="false" customHeight="false" outlineLevel="0" collapsed="false">
      <c r="A321" s="83"/>
      <c r="B321" s="75"/>
      <c r="C321" s="12" t="n">
        <v>42199</v>
      </c>
      <c r="D321" s="9" t="n">
        <v>20.3</v>
      </c>
      <c r="E321" s="9" t="n">
        <v>16.1</v>
      </c>
      <c r="F321" s="9" t="n">
        <v>25.3</v>
      </c>
      <c r="G321" s="9" t="n">
        <f aca="false">G320+D321</f>
        <v>3383.5</v>
      </c>
      <c r="H321" s="9" t="n">
        <f aca="false">H320+D321</f>
        <v>201.1</v>
      </c>
      <c r="J321" s="9" t="n">
        <v>0</v>
      </c>
      <c r="K321" s="9" t="n">
        <f aca="false">K320+J321</f>
        <v>444.7</v>
      </c>
      <c r="L321" s="9" t="n">
        <v>4</v>
      </c>
      <c r="M321" s="9" t="n">
        <f aca="false">M320+L321</f>
        <v>637</v>
      </c>
      <c r="N321" s="14" t="n">
        <f aca="false">J321-L321</f>
        <v>-4</v>
      </c>
      <c r="O321" s="9" t="n">
        <v>0</v>
      </c>
      <c r="P321" s="9" t="n">
        <v>316</v>
      </c>
      <c r="Q321" s="17" t="n">
        <f aca="false">1.15+((P321-267)/54)*(0.35-1.15)</f>
        <v>0.424074074074074</v>
      </c>
      <c r="R321" s="15" t="n">
        <f aca="false">Q321*L321</f>
        <v>1.6962962962963</v>
      </c>
      <c r="S321" s="15" t="n">
        <f aca="false">J321-R321</f>
        <v>-1.6962962962963</v>
      </c>
      <c r="T321" s="15" t="n">
        <v>0</v>
      </c>
      <c r="V321" s="9" t="n">
        <v>1729.6</v>
      </c>
      <c r="W321" s="9" t="n">
        <f aca="false">V321/D321</f>
        <v>85.2019704433498</v>
      </c>
      <c r="X321" s="9" t="n">
        <f aca="false">X320+V321</f>
        <v>347995.3</v>
      </c>
      <c r="Y321" s="9" t="n">
        <f aca="false">Y320+V321</f>
        <v>73487.8</v>
      </c>
      <c r="AA321" s="9" t="n">
        <v>15.8079519319573</v>
      </c>
    </row>
    <row r="322" s="9" customFormat="true" ht="15" hidden="false" customHeight="false" outlineLevel="0" collapsed="false">
      <c r="A322" s="83"/>
      <c r="B322" s="75"/>
      <c r="C322" s="12" t="n">
        <v>42200</v>
      </c>
      <c r="D322" s="9" t="n">
        <v>23.1</v>
      </c>
      <c r="E322" s="9" t="n">
        <v>14.8</v>
      </c>
      <c r="F322" s="9" t="n">
        <v>29.2</v>
      </c>
      <c r="G322" s="9" t="n">
        <f aca="false">G321+D322</f>
        <v>3406.6</v>
      </c>
      <c r="H322" s="9" t="n">
        <f aca="false">H321+D322</f>
        <v>224.2</v>
      </c>
      <c r="J322" s="9" t="n">
        <v>0</v>
      </c>
      <c r="K322" s="9" t="n">
        <f aca="false">K321+J322</f>
        <v>444.7</v>
      </c>
      <c r="L322" s="9" t="n">
        <v>6.1</v>
      </c>
      <c r="M322" s="9" t="n">
        <f aca="false">M321+L322</f>
        <v>643.1</v>
      </c>
      <c r="N322" s="14" t="n">
        <f aca="false">J322-L322</f>
        <v>-6.1</v>
      </c>
      <c r="O322" s="9" t="n">
        <v>0</v>
      </c>
      <c r="P322" s="9" t="n">
        <v>317</v>
      </c>
      <c r="Q322" s="17" t="n">
        <f aca="false">1.15+((P322-267)/54)*(0.35-1.15)</f>
        <v>0.409259259259259</v>
      </c>
      <c r="R322" s="15" t="n">
        <f aca="false">Q322*L322</f>
        <v>2.49648148148148</v>
      </c>
      <c r="S322" s="15" t="n">
        <f aca="false">J322-R322</f>
        <v>-2.49648148148148</v>
      </c>
      <c r="T322" s="15" t="n">
        <v>0</v>
      </c>
      <c r="V322" s="9" t="n">
        <v>2941.7</v>
      </c>
      <c r="W322" s="9" t="n">
        <f aca="false">V322/D322</f>
        <v>127.34632034632</v>
      </c>
      <c r="X322" s="9" t="n">
        <f aca="false">X321+V322</f>
        <v>350937</v>
      </c>
      <c r="Y322" s="9" t="n">
        <f aca="false">Y321+V322</f>
        <v>76429.5</v>
      </c>
      <c r="AA322" s="9" t="n">
        <v>15.7779333738798</v>
      </c>
    </row>
    <row r="323" s="9" customFormat="true" ht="15" hidden="false" customHeight="false" outlineLevel="0" collapsed="false">
      <c r="A323" s="83"/>
      <c r="B323" s="75"/>
      <c r="C323" s="12" t="n">
        <v>42201</v>
      </c>
      <c r="D323" s="9" t="n">
        <v>27.3</v>
      </c>
      <c r="E323" s="9" t="n">
        <v>19.1</v>
      </c>
      <c r="F323" s="9" t="n">
        <v>34</v>
      </c>
      <c r="G323" s="9" t="n">
        <f aca="false">G322+D323</f>
        <v>3433.9</v>
      </c>
      <c r="H323" s="9" t="n">
        <f aca="false">H322+D323</f>
        <v>251.5</v>
      </c>
      <c r="J323" s="9" t="n">
        <v>0</v>
      </c>
      <c r="K323" s="9" t="n">
        <f aca="false">K322+J323</f>
        <v>444.7</v>
      </c>
      <c r="L323" s="9" t="n">
        <v>8</v>
      </c>
      <c r="M323" s="9" t="n">
        <f aca="false">M322+L323</f>
        <v>651.1</v>
      </c>
      <c r="N323" s="14" t="n">
        <f aca="false">J323-L323</f>
        <v>-8</v>
      </c>
      <c r="O323" s="9" t="n">
        <v>0</v>
      </c>
      <c r="P323" s="9" t="n">
        <v>318</v>
      </c>
      <c r="Q323" s="17" t="n">
        <f aca="false">1.15+((P323-267)/54)*(0.35-1.15)</f>
        <v>0.394444444444445</v>
      </c>
      <c r="R323" s="15" t="n">
        <f aca="false">Q323*L323</f>
        <v>3.15555555555556</v>
      </c>
      <c r="S323" s="15" t="n">
        <f aca="false">J323-R323</f>
        <v>-3.15555555555556</v>
      </c>
      <c r="T323" s="15" t="n">
        <v>0</v>
      </c>
      <c r="V323" s="9" t="n">
        <v>2900.6</v>
      </c>
      <c r="W323" s="9" t="n">
        <f aca="false">V323/D323</f>
        <v>106.249084249084</v>
      </c>
      <c r="X323" s="9" t="n">
        <f aca="false">X322+V323</f>
        <v>353837.6</v>
      </c>
      <c r="Y323" s="9" t="n">
        <f aca="false">Y322+V323</f>
        <v>79330.1</v>
      </c>
      <c r="AA323" s="9" t="n">
        <v>15.7468122276811</v>
      </c>
    </row>
    <row r="324" s="9" customFormat="true" ht="15" hidden="false" customHeight="false" outlineLevel="0" collapsed="false">
      <c r="A324" s="83"/>
      <c r="B324" s="75"/>
      <c r="C324" s="12" t="n">
        <v>42202</v>
      </c>
      <c r="D324" s="9" t="n">
        <v>24.2</v>
      </c>
      <c r="E324" s="9" t="n">
        <v>19.8</v>
      </c>
      <c r="F324" s="9" t="n">
        <v>28</v>
      </c>
      <c r="G324" s="9" t="n">
        <f aca="false">G323+D324</f>
        <v>3458.1</v>
      </c>
      <c r="H324" s="9" t="n">
        <f aca="false">H323+D324</f>
        <v>275.7</v>
      </c>
      <c r="J324" s="9" t="n">
        <v>0</v>
      </c>
      <c r="K324" s="9" t="n">
        <f aca="false">K323+J324</f>
        <v>444.7</v>
      </c>
      <c r="L324" s="9" t="n">
        <v>6.5</v>
      </c>
      <c r="M324" s="9" t="n">
        <f aca="false">M323+L324</f>
        <v>657.6</v>
      </c>
      <c r="N324" s="14" t="n">
        <f aca="false">J324-L324</f>
        <v>-6.5</v>
      </c>
      <c r="O324" s="9" t="n">
        <v>0</v>
      </c>
      <c r="P324" s="9" t="n">
        <v>319</v>
      </c>
      <c r="Q324" s="17" t="n">
        <f aca="false">1.15+((P324-267)/54)*(0.35-1.15)</f>
        <v>0.37962962962963</v>
      </c>
      <c r="R324" s="15" t="n">
        <f aca="false">Q324*L324</f>
        <v>2.46759259259259</v>
      </c>
      <c r="S324" s="15" t="n">
        <f aca="false">J324-R324</f>
        <v>-2.46759259259259</v>
      </c>
      <c r="T324" s="15" t="n">
        <v>0</v>
      </c>
      <c r="V324" s="9" t="n">
        <v>2751.3</v>
      </c>
      <c r="W324" s="9" t="n">
        <f aca="false">V324/D324</f>
        <v>113.690082644628</v>
      </c>
      <c r="X324" s="9" t="n">
        <f aca="false">X323+V324</f>
        <v>356588.9</v>
      </c>
      <c r="Y324" s="9" t="n">
        <f aca="false">Y323+V324</f>
        <v>82081.4</v>
      </c>
      <c r="AA324" s="9" t="n">
        <v>15.7146141909609</v>
      </c>
    </row>
    <row r="325" s="9" customFormat="true" ht="15" hidden="false" customHeight="false" outlineLevel="0" collapsed="false">
      <c r="A325" s="83"/>
      <c r="B325" s="75"/>
      <c r="C325" s="12" t="n">
        <v>42203</v>
      </c>
      <c r="D325" s="9" t="n">
        <v>23</v>
      </c>
      <c r="E325" s="9" t="n">
        <v>18.1</v>
      </c>
      <c r="F325" s="9" t="n">
        <v>28.3</v>
      </c>
      <c r="G325" s="9" t="n">
        <f aca="false">G324+D325</f>
        <v>3481.1</v>
      </c>
      <c r="H325" s="9" t="n">
        <f aca="false">H324+D325</f>
        <v>298.7</v>
      </c>
      <c r="J325" s="9" t="n">
        <v>14.5</v>
      </c>
      <c r="K325" s="9" t="n">
        <f aca="false">K324+J325</f>
        <v>459.2</v>
      </c>
      <c r="L325" s="9" t="n">
        <v>4.3</v>
      </c>
      <c r="M325" s="9" t="n">
        <f aca="false">M324+L325</f>
        <v>661.9</v>
      </c>
      <c r="N325" s="9" t="n">
        <f aca="false">J325-L325</f>
        <v>10.2</v>
      </c>
      <c r="O325" s="9" t="n">
        <f aca="false">O324+N325</f>
        <v>10.2</v>
      </c>
      <c r="P325" s="9" t="n">
        <v>320</v>
      </c>
      <c r="Q325" s="17" t="n">
        <f aca="false">1.15+((P325-267)/54)*(0.35-1.15)</f>
        <v>0.364814814814815</v>
      </c>
      <c r="R325" s="15" t="n">
        <f aca="false">Q325*L325</f>
        <v>1.5687037037037</v>
      </c>
      <c r="S325" s="15" t="n">
        <f aca="false">J325-R325</f>
        <v>12.9312962962963</v>
      </c>
      <c r="T325" s="15" t="n">
        <f aca="false">MIN(197.4,(T324+S325))</f>
        <v>12.9312962962963</v>
      </c>
      <c r="V325" s="9" t="n">
        <v>1952.8</v>
      </c>
      <c r="W325" s="9" t="n">
        <f aca="false">V325/D325</f>
        <v>84.904347826087</v>
      </c>
      <c r="X325" s="9" t="n">
        <f aca="false">X324+V325</f>
        <v>358541.7</v>
      </c>
      <c r="Y325" s="9" t="n">
        <f aca="false">Y324+V325</f>
        <v>84034.2</v>
      </c>
      <c r="AA325" s="9" t="n">
        <v>15.681365262114</v>
      </c>
    </row>
    <row r="326" s="9" customFormat="true" ht="15" hidden="false" customHeight="false" outlineLevel="0" collapsed="false">
      <c r="A326" s="83"/>
      <c r="B326" s="75"/>
      <c r="C326" s="12" t="n">
        <v>42204</v>
      </c>
      <c r="D326" s="9" t="n">
        <v>20.8</v>
      </c>
      <c r="E326" s="9" t="n">
        <v>17.2</v>
      </c>
      <c r="F326" s="9" t="n">
        <v>23.6</v>
      </c>
      <c r="G326" s="9" t="n">
        <f aca="false">G325+D326</f>
        <v>3501.9</v>
      </c>
      <c r="H326" s="9" t="n">
        <f aca="false">H325+D326</f>
        <v>319.5</v>
      </c>
      <c r="J326" s="9" t="n">
        <v>0</v>
      </c>
      <c r="K326" s="9" t="n">
        <f aca="false">K325+J326</f>
        <v>459.2</v>
      </c>
      <c r="L326" s="9" t="n">
        <v>4.1</v>
      </c>
      <c r="M326" s="9" t="n">
        <f aca="false">M325+L326</f>
        <v>666</v>
      </c>
      <c r="N326" s="14" t="n">
        <f aca="false">J326-L326</f>
        <v>-4.1</v>
      </c>
      <c r="O326" s="9" t="n">
        <f aca="false">O325+N326</f>
        <v>6.1</v>
      </c>
      <c r="P326" s="9" t="n">
        <v>321</v>
      </c>
      <c r="Q326" s="17" t="n">
        <f aca="false">1.15+((P326-267)/54)*(0.35-1.15)</f>
        <v>0.35</v>
      </c>
      <c r="R326" s="15" t="n">
        <f aca="false">Q326*L326</f>
        <v>1.435</v>
      </c>
      <c r="S326" s="15" t="n">
        <f aca="false">J326-R326</f>
        <v>-1.435</v>
      </c>
      <c r="T326" s="15" t="n">
        <f aca="false">MIN(197.4,(T325+S326))</f>
        <v>11.4962962962963</v>
      </c>
      <c r="V326" s="9" t="n">
        <v>1895.2</v>
      </c>
      <c r="W326" s="9" t="n">
        <f aca="false">V326/D326</f>
        <v>91.1153846153846</v>
      </c>
      <c r="X326" s="9" t="n">
        <f aca="false">X325+V326</f>
        <v>360436.9</v>
      </c>
      <c r="Y326" s="9" t="n">
        <f aca="false">Y325+V326</f>
        <v>85929.4</v>
      </c>
      <c r="AA326" s="9" t="n">
        <v>15.6470916753263</v>
      </c>
    </row>
    <row r="327" s="9" customFormat="true" ht="15" hidden="false" customHeight="true" outlineLevel="0" collapsed="false">
      <c r="A327" s="83"/>
      <c r="B327" s="84" t="s">
        <v>56</v>
      </c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</sheetData>
  <mergeCells count="14">
    <mergeCell ref="D1:I2"/>
    <mergeCell ref="J1:U2"/>
    <mergeCell ref="V1:Z2"/>
    <mergeCell ref="P3:T3"/>
    <mergeCell ref="G4:H4"/>
    <mergeCell ref="X4:Y4"/>
    <mergeCell ref="A5:Z5"/>
    <mergeCell ref="A6:A94"/>
    <mergeCell ref="A95:A194"/>
    <mergeCell ref="A195:A229"/>
    <mergeCell ref="A251:A272"/>
    <mergeCell ref="A273:A290"/>
    <mergeCell ref="A291:A311"/>
    <mergeCell ref="B327:Z327"/>
  </mergeCells>
  <conditionalFormatting sqref="T5:T326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65.8</formula>
    </cfRule>
  </conditionalFormatting>
  <conditionalFormatting sqref="S6:S326">
    <cfRule type="cellIs" priority="4" operator="lessThanOrEqual" aboveAverage="0" equalAverage="0" bottom="0" percent="0" rank="0" text="" dxfId="2">
      <formula>0</formula>
    </cfRule>
  </conditionalFormatting>
  <conditionalFormatting sqref="T1:T4">
    <cfRule type="cellIs" priority="5" operator="equal" aboveAverage="0" equalAverage="0" bottom="0" percent="0" rank="0" text="" dxfId="3">
      <formula>0</formula>
    </cfRule>
    <cfRule type="cellIs" priority="6" operator="lessThanOrEqual" aboveAverage="0" equalAverage="0" bottom="0" percent="0" rank="0" text="" dxfId="4">
      <formula>65.8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27"/>
  <sheetViews>
    <sheetView showFormulas="false" showGridLines="true" showRowColHeaders="true" showZeros="true" rightToLeft="false" tabSelected="false" showOutlineSymbols="true" defaultGridColor="true" view="normal" topLeftCell="A142" colorId="64" zoomScale="60" zoomScaleNormal="60" zoomScalePageLayoutView="100" workbookViewId="0">
      <selection pane="topLeft" activeCell="A95" activeCellId="0" sqref="A95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 t="s">
        <v>3</v>
      </c>
      <c r="Q3" s="3"/>
      <c r="R3" s="3"/>
      <c r="S3" s="3"/>
      <c r="T3" s="3"/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6"/>
      <c r="I4" s="1" t="s">
        <v>10</v>
      </c>
      <c r="J4" s="1" t="s">
        <v>57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58</v>
      </c>
      <c r="P4" s="1" t="s">
        <v>17</v>
      </c>
      <c r="Q4" s="1" t="s">
        <v>18</v>
      </c>
      <c r="R4" s="1" t="s">
        <v>19</v>
      </c>
      <c r="S4" s="1" t="s">
        <v>20</v>
      </c>
      <c r="T4" s="7" t="s">
        <v>21</v>
      </c>
      <c r="U4" s="1" t="s">
        <v>10</v>
      </c>
      <c r="V4" s="1" t="s">
        <v>22</v>
      </c>
      <c r="W4" s="1" t="s">
        <v>23</v>
      </c>
      <c r="X4" s="6" t="s">
        <v>24</v>
      </c>
      <c r="Y4" s="6"/>
      <c r="Z4" s="1" t="s">
        <v>10</v>
      </c>
    </row>
    <row r="5" s="9" customFormat="true" ht="15" hidden="false" customHeight="false" outlineLevel="0" collapsed="false">
      <c r="A5" s="8" t="s">
        <v>26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9" customFormat="true" ht="15" hidden="false" customHeight="false" outlineLevel="0" collapsed="false">
      <c r="A6" s="10" t="s">
        <v>27</v>
      </c>
      <c r="B6" s="11"/>
      <c r="C6" s="12" t="n">
        <v>41884</v>
      </c>
      <c r="D6" s="9" t="n">
        <v>17.6</v>
      </c>
      <c r="E6" s="9" t="n">
        <v>13.4</v>
      </c>
      <c r="F6" s="9" t="n">
        <v>21.9</v>
      </c>
      <c r="G6" s="9" t="n">
        <f aca="false">D6</f>
        <v>17.6</v>
      </c>
      <c r="I6" s="13" t="s">
        <v>28</v>
      </c>
      <c r="J6" s="9" t="n">
        <v>0</v>
      </c>
      <c r="K6" s="9" t="n">
        <f aca="false">J6</f>
        <v>0</v>
      </c>
      <c r="L6" s="9" t="n">
        <v>2.9</v>
      </c>
      <c r="M6" s="9" t="n">
        <f aca="false">L6</f>
        <v>2.9</v>
      </c>
      <c r="N6" s="14" t="n">
        <f aca="false">J6-L6</f>
        <v>-2.9</v>
      </c>
      <c r="O6" s="9" t="n">
        <v>17</v>
      </c>
      <c r="P6" s="9" t="n">
        <v>1</v>
      </c>
      <c r="Q6" s="9" t="n">
        <v>0.35</v>
      </c>
      <c r="R6" s="15" t="n">
        <f aca="false">Q6*L6</f>
        <v>1.015</v>
      </c>
      <c r="S6" s="15" t="n">
        <f aca="false">J6-R6</f>
        <v>-1.015</v>
      </c>
      <c r="T6" s="15" t="n">
        <v>18.9</v>
      </c>
      <c r="U6" s="13" t="s">
        <v>29</v>
      </c>
      <c r="V6" s="9" t="n">
        <v>1455.1</v>
      </c>
      <c r="W6" s="9" t="n">
        <f aca="false">V6/D6</f>
        <v>82.6761363636364</v>
      </c>
      <c r="X6" s="9" t="n">
        <f aca="false">V6</f>
        <v>1455.1</v>
      </c>
      <c r="Y6" s="16"/>
      <c r="Z6" s="13" t="s">
        <v>30</v>
      </c>
      <c r="AA6" s="9" t="n">
        <v>13.4320983665222</v>
      </c>
    </row>
    <row r="7" s="9" customFormat="true" ht="15" hidden="false" customHeight="false" outlineLevel="0" collapsed="false">
      <c r="A7" s="10"/>
      <c r="B7" s="11"/>
      <c r="C7" s="12" t="n">
        <v>41885</v>
      </c>
      <c r="D7" s="9" t="n">
        <v>17.4</v>
      </c>
      <c r="E7" s="9" t="n">
        <v>12.4</v>
      </c>
      <c r="F7" s="9" t="n">
        <v>22.2</v>
      </c>
      <c r="G7" s="9" t="n">
        <f aca="false">G6+D7</f>
        <v>35</v>
      </c>
      <c r="I7" s="9" t="n">
        <f aca="false">MIN(E6:E94)</f>
        <v>3.1</v>
      </c>
      <c r="J7" s="9" t="n">
        <v>0</v>
      </c>
      <c r="K7" s="9" t="n">
        <f aca="false">K6+J7</f>
        <v>0</v>
      </c>
      <c r="L7" s="9" t="n">
        <v>3.4</v>
      </c>
      <c r="M7" s="9" t="n">
        <f aca="false">M6+L7</f>
        <v>6.3</v>
      </c>
      <c r="N7" s="14" t="n">
        <f aca="false">J7-L7</f>
        <v>-3.4</v>
      </c>
      <c r="O7" s="9" t="n">
        <f aca="false">O6+N7</f>
        <v>13.6</v>
      </c>
      <c r="P7" s="9" t="n">
        <v>2</v>
      </c>
      <c r="Q7" s="9" t="n">
        <v>0.35</v>
      </c>
      <c r="R7" s="15" t="n">
        <f aca="false">Q7*L7</f>
        <v>1.19</v>
      </c>
      <c r="S7" s="15" t="n">
        <f aca="false">J7-R7</f>
        <v>-1.19</v>
      </c>
      <c r="T7" s="15" t="n">
        <f aca="false">MIN(197.4,(T6+S7))</f>
        <v>17.71</v>
      </c>
      <c r="U7" s="9" t="n">
        <v>62</v>
      </c>
      <c r="V7" s="9" t="n">
        <v>1782.8</v>
      </c>
      <c r="W7" s="9" t="n">
        <f aca="false">V7/D7</f>
        <v>102.459770114943</v>
      </c>
      <c r="X7" s="9" t="n">
        <f aca="false">X6+V7</f>
        <v>3237.9</v>
      </c>
      <c r="Z7" s="9" t="n">
        <v>72394.8</v>
      </c>
      <c r="AA7" s="9" t="n">
        <v>13.3747473290418</v>
      </c>
    </row>
    <row r="8" s="9" customFormat="true" ht="15" hidden="false" customHeight="false" outlineLevel="0" collapsed="false">
      <c r="A8" s="10"/>
      <c r="B8" s="11"/>
      <c r="C8" s="12" t="n">
        <v>41886</v>
      </c>
      <c r="D8" s="9" t="n">
        <v>17.6</v>
      </c>
      <c r="E8" s="9" t="n">
        <v>14.3</v>
      </c>
      <c r="F8" s="9" t="n">
        <v>21</v>
      </c>
      <c r="G8" s="9" t="n">
        <f aca="false">G7+D8</f>
        <v>52.6</v>
      </c>
      <c r="I8" s="13" t="s">
        <v>31</v>
      </c>
      <c r="J8" s="9" t="n">
        <v>0</v>
      </c>
      <c r="K8" s="9" t="n">
        <f aca="false">K7+J8</f>
        <v>0</v>
      </c>
      <c r="L8" s="9" t="n">
        <v>2.9</v>
      </c>
      <c r="M8" s="9" t="n">
        <f aca="false">M7+L8</f>
        <v>9.2</v>
      </c>
      <c r="N8" s="14" t="n">
        <f aca="false">J8-L8</f>
        <v>-2.9</v>
      </c>
      <c r="O8" s="9" t="n">
        <f aca="false">O7+N8</f>
        <v>10.7</v>
      </c>
      <c r="P8" s="9" t="n">
        <v>3</v>
      </c>
      <c r="Q8" s="9" t="n">
        <v>0.35</v>
      </c>
      <c r="R8" s="15" t="n">
        <f aca="false">Q8*L8</f>
        <v>1.015</v>
      </c>
      <c r="S8" s="15" t="n">
        <f aca="false">J8-R8</f>
        <v>-1.015</v>
      </c>
      <c r="T8" s="15" t="n">
        <f aca="false">MIN(197.4,(T7+S8))</f>
        <v>16.695</v>
      </c>
      <c r="U8" s="13" t="s">
        <v>32</v>
      </c>
      <c r="V8" s="9" t="n">
        <v>1664.8</v>
      </c>
      <c r="W8" s="9" t="n">
        <f aca="false">V8/D8</f>
        <v>94.5909090909091</v>
      </c>
      <c r="X8" s="9" t="n">
        <f aca="false">X7+V8</f>
        <v>4902.7</v>
      </c>
      <c r="Y8" s="16"/>
      <c r="Z8" s="13" t="s">
        <v>33</v>
      </c>
      <c r="AA8" s="9" t="n">
        <v>13.3172503703023</v>
      </c>
    </row>
    <row r="9" s="9" customFormat="true" ht="15" hidden="false" customHeight="false" outlineLevel="0" collapsed="false">
      <c r="A9" s="10"/>
      <c r="B9" s="11"/>
      <c r="C9" s="12" t="n">
        <v>41887</v>
      </c>
      <c r="D9" s="9" t="n">
        <v>18.3</v>
      </c>
      <c r="E9" s="9" t="n">
        <v>14.1</v>
      </c>
      <c r="F9" s="9" t="n">
        <v>22.4</v>
      </c>
      <c r="G9" s="9" t="n">
        <f aca="false">G8+D9</f>
        <v>70.9</v>
      </c>
      <c r="I9" s="9" t="n">
        <f aca="false">MAX(F6:F94)</f>
        <v>26.6</v>
      </c>
      <c r="J9" s="9" t="n">
        <v>0</v>
      </c>
      <c r="K9" s="9" t="n">
        <f aca="false">K8+J9</f>
        <v>0</v>
      </c>
      <c r="L9" s="9" t="n">
        <v>3</v>
      </c>
      <c r="M9" s="9" t="n">
        <f aca="false">M8+L9</f>
        <v>12.2</v>
      </c>
      <c r="N9" s="14" t="n">
        <f aca="false">J9-L9</f>
        <v>-3</v>
      </c>
      <c r="O9" s="9" t="n">
        <f aca="false">O8+N9</f>
        <v>7.7</v>
      </c>
      <c r="P9" s="9" t="n">
        <v>4</v>
      </c>
      <c r="Q9" s="9" t="n">
        <v>0.35</v>
      </c>
      <c r="R9" s="15" t="n">
        <f aca="false">Q9*L9</f>
        <v>1.05</v>
      </c>
      <c r="S9" s="15" t="n">
        <f aca="false">J9-R9</f>
        <v>-1.05</v>
      </c>
      <c r="T9" s="15" t="n">
        <f aca="false">MIN(197.4,(T8+S9))</f>
        <v>15.645</v>
      </c>
      <c r="U9" s="9" t="n">
        <v>1</v>
      </c>
      <c r="V9" s="9" t="n">
        <v>1680.4</v>
      </c>
      <c r="W9" s="9" t="n">
        <f aca="false">V9/D9</f>
        <v>91.8251366120219</v>
      </c>
      <c r="X9" s="9" t="n">
        <f aca="false">X8+V9</f>
        <v>6583.1</v>
      </c>
      <c r="Z9" s="17" t="n">
        <f aca="false">(Z7/100)/I19</f>
        <v>0.623179822673668</v>
      </c>
      <c r="AA9" s="9" t="n">
        <v>13.2596157342212</v>
      </c>
    </row>
    <row r="10" s="9" customFormat="true" ht="15" hidden="false" customHeight="false" outlineLevel="0" collapsed="false">
      <c r="A10" s="10"/>
      <c r="B10" s="11"/>
      <c r="C10" s="12" t="n">
        <v>41888</v>
      </c>
      <c r="D10" s="9" t="n">
        <v>18.7</v>
      </c>
      <c r="E10" s="9" t="n">
        <v>16.3</v>
      </c>
      <c r="F10" s="9" t="n">
        <v>22.7</v>
      </c>
      <c r="G10" s="9" t="n">
        <f aca="false">G9+D10</f>
        <v>89.6</v>
      </c>
      <c r="I10" s="13" t="s">
        <v>34</v>
      </c>
      <c r="J10" s="9" t="n">
        <v>0</v>
      </c>
      <c r="K10" s="9" t="n">
        <f aca="false">K9+J10</f>
        <v>0</v>
      </c>
      <c r="L10" s="9" t="n">
        <v>2.9</v>
      </c>
      <c r="M10" s="9" t="n">
        <f aca="false">M9+L10</f>
        <v>15.1</v>
      </c>
      <c r="N10" s="14" t="n">
        <f aca="false">J10-L10</f>
        <v>-2.9</v>
      </c>
      <c r="O10" s="9" t="n">
        <f aca="false">O9+N10</f>
        <v>4.8</v>
      </c>
      <c r="P10" s="9" t="n">
        <v>5</v>
      </c>
      <c r="Q10" s="9" t="n">
        <v>0.35</v>
      </c>
      <c r="R10" s="15" t="n">
        <f aca="false">Q10*L10</f>
        <v>1.015</v>
      </c>
      <c r="S10" s="15" t="n">
        <f aca="false">J10-R10</f>
        <v>-1.015</v>
      </c>
      <c r="T10" s="15" t="n">
        <f aca="false">MIN(197.4,(T9+S10))</f>
        <v>14.63</v>
      </c>
      <c r="U10" s="13" t="s">
        <v>35</v>
      </c>
      <c r="V10" s="9" t="n">
        <v>1639.5</v>
      </c>
      <c r="W10" s="9" t="n">
        <f aca="false">V10/D10</f>
        <v>87.6737967914439</v>
      </c>
      <c r="X10" s="9" t="n">
        <f aca="false">X9+V10</f>
        <v>8222.6</v>
      </c>
      <c r="Y10" s="16"/>
      <c r="Z10" s="13" t="s">
        <v>36</v>
      </c>
      <c r="AA10" s="9" t="n">
        <v>13.2018513703671</v>
      </c>
    </row>
    <row r="11" s="9" customFormat="true" ht="15" hidden="false" customHeight="false" outlineLevel="0" collapsed="false">
      <c r="A11" s="10"/>
      <c r="B11" s="11"/>
      <c r="C11" s="12" t="n">
        <v>41889</v>
      </c>
      <c r="D11" s="9" t="n">
        <v>18.2</v>
      </c>
      <c r="E11" s="9" t="n">
        <v>12.5</v>
      </c>
      <c r="F11" s="9" t="n">
        <v>24.7</v>
      </c>
      <c r="G11" s="9" t="n">
        <f aca="false">G10+D11</f>
        <v>107.8</v>
      </c>
      <c r="I11" s="15" t="n">
        <f aca="false">AVERAGE(D6:D94)</f>
        <v>13.052808988764</v>
      </c>
      <c r="J11" s="9" t="n">
        <v>0</v>
      </c>
      <c r="K11" s="9" t="n">
        <f aca="false">K10+J11</f>
        <v>0</v>
      </c>
      <c r="L11" s="9" t="n">
        <v>2.9</v>
      </c>
      <c r="M11" s="9" t="n">
        <f aca="false">M10+L11</f>
        <v>18</v>
      </c>
      <c r="N11" s="14" t="n">
        <f aca="false">J11-L11</f>
        <v>-2.9</v>
      </c>
      <c r="O11" s="9" t="n">
        <f aca="false">O10+N11</f>
        <v>1.9</v>
      </c>
      <c r="P11" s="9" t="n">
        <v>6</v>
      </c>
      <c r="Q11" s="9" t="n">
        <v>0.35</v>
      </c>
      <c r="R11" s="15" t="n">
        <f aca="false">Q11*L11</f>
        <v>1.015</v>
      </c>
      <c r="S11" s="15" t="n">
        <f aca="false">J11-R11</f>
        <v>-1.015</v>
      </c>
      <c r="T11" s="15" t="n">
        <f aca="false">MIN(197.4,(T10+S11))</f>
        <v>13.615</v>
      </c>
      <c r="U11" s="9" t="n">
        <v>67</v>
      </c>
      <c r="V11" s="9" t="n">
        <v>1527.6</v>
      </c>
      <c r="W11" s="9" t="n">
        <f aca="false">V11/D11</f>
        <v>83.9340659340659</v>
      </c>
      <c r="X11" s="9" t="n">
        <f aca="false">X10+V11</f>
        <v>9750.2</v>
      </c>
      <c r="Z11" s="9" t="n">
        <v>42</v>
      </c>
      <c r="AA11" s="9" t="n">
        <v>13.1439649495344</v>
      </c>
    </row>
    <row r="12" s="9" customFormat="true" ht="15" hidden="false" customHeight="false" outlineLevel="0" collapsed="false">
      <c r="A12" s="10"/>
      <c r="B12" s="11"/>
      <c r="C12" s="12" t="n">
        <v>41890</v>
      </c>
      <c r="D12" s="9" t="n">
        <v>18.7</v>
      </c>
      <c r="E12" s="9" t="n">
        <v>13</v>
      </c>
      <c r="F12" s="9" t="n">
        <v>24.8</v>
      </c>
      <c r="G12" s="9" t="n">
        <f aca="false">G11+D12</f>
        <v>126.5</v>
      </c>
      <c r="I12" s="13" t="s">
        <v>37</v>
      </c>
      <c r="J12" s="9" t="n">
        <v>0</v>
      </c>
      <c r="K12" s="9" t="n">
        <f aca="false">K11+J12</f>
        <v>0</v>
      </c>
      <c r="L12" s="9" t="n">
        <v>3.4</v>
      </c>
      <c r="M12" s="9" t="n">
        <f aca="false">M11+L12</f>
        <v>21.4</v>
      </c>
      <c r="N12" s="14" t="n">
        <f aca="false">J12-L12</f>
        <v>-3.4</v>
      </c>
      <c r="O12" s="9" t="n">
        <v>0</v>
      </c>
      <c r="P12" s="9" t="n">
        <v>7</v>
      </c>
      <c r="Q12" s="9" t="n">
        <v>0.35</v>
      </c>
      <c r="R12" s="15" t="n">
        <f aca="false">Q12*L12</f>
        <v>1.19</v>
      </c>
      <c r="S12" s="15" t="n">
        <f aca="false">J12-R12</f>
        <v>-1.19</v>
      </c>
      <c r="T12" s="15" t="n">
        <f aca="false">MIN(197.4,(T11+S12))</f>
        <v>12.425</v>
      </c>
      <c r="U12" s="13" t="s">
        <v>38</v>
      </c>
      <c r="V12" s="9" t="n">
        <v>1632.5</v>
      </c>
      <c r="W12" s="9" t="n">
        <f aca="false">V12/D12</f>
        <v>87.2994652406417</v>
      </c>
      <c r="X12" s="9" t="n">
        <f aca="false">X11+V12</f>
        <v>11382.7</v>
      </c>
      <c r="AA12" s="9" t="n">
        <v>13.085963879425</v>
      </c>
    </row>
    <row r="13" s="9" customFormat="true" ht="15" hidden="false" customHeight="false" outlineLevel="0" collapsed="false">
      <c r="A13" s="10"/>
      <c r="B13" s="11"/>
      <c r="C13" s="12" t="n">
        <v>41891</v>
      </c>
      <c r="D13" s="9" t="n">
        <v>17</v>
      </c>
      <c r="E13" s="9" t="n">
        <v>12.8</v>
      </c>
      <c r="F13" s="9" t="n">
        <v>22.5</v>
      </c>
      <c r="G13" s="9" t="n">
        <f aca="false">G12+D13</f>
        <v>143.5</v>
      </c>
      <c r="I13" s="9" t="n">
        <v>0</v>
      </c>
      <c r="J13" s="9" t="n">
        <v>0</v>
      </c>
      <c r="K13" s="9" t="n">
        <f aca="false">K12+J13</f>
        <v>0</v>
      </c>
      <c r="L13" s="9" t="n">
        <v>3.4</v>
      </c>
      <c r="M13" s="9" t="n">
        <f aca="false">M12+L13</f>
        <v>24.8</v>
      </c>
      <c r="N13" s="14" t="n">
        <f aca="false">J13-L13</f>
        <v>-3.4</v>
      </c>
      <c r="O13" s="9" t="n">
        <v>0</v>
      </c>
      <c r="P13" s="9" t="n">
        <v>8</v>
      </c>
      <c r="Q13" s="9" t="n">
        <v>0.35</v>
      </c>
      <c r="R13" s="15" t="n">
        <f aca="false">Q13*L13</f>
        <v>1.19</v>
      </c>
      <c r="S13" s="15" t="n">
        <f aca="false">J13-R13</f>
        <v>-1.19</v>
      </c>
      <c r="T13" s="15" t="n">
        <f aca="false">MIN(197.4,(T12+S13))</f>
        <v>11.235</v>
      </c>
      <c r="U13" s="15" t="n">
        <v>0</v>
      </c>
      <c r="V13" s="9" t="n">
        <v>1639.5</v>
      </c>
      <c r="W13" s="9" t="n">
        <f aca="false">V13/D13</f>
        <v>96.4411764705882</v>
      </c>
      <c r="X13" s="9" t="n">
        <f aca="false">X12+V13</f>
        <v>13022.2</v>
      </c>
      <c r="AA13" s="9" t="n">
        <v>13.0278553204241</v>
      </c>
    </row>
    <row r="14" s="9" customFormat="true" ht="15" hidden="false" customHeight="false" outlineLevel="0" collapsed="false">
      <c r="A14" s="10"/>
      <c r="B14" s="11"/>
      <c r="C14" s="12" t="n">
        <v>41892</v>
      </c>
      <c r="D14" s="9" t="n">
        <v>15.1</v>
      </c>
      <c r="E14" s="9" t="n">
        <v>10.4</v>
      </c>
      <c r="F14" s="9" t="n">
        <v>20.8</v>
      </c>
      <c r="G14" s="9" t="n">
        <f aca="false">G13+D14</f>
        <v>158.6</v>
      </c>
      <c r="I14" s="13" t="s">
        <v>39</v>
      </c>
      <c r="J14" s="9" t="n">
        <v>0</v>
      </c>
      <c r="K14" s="9" t="n">
        <f aca="false">K13+J14</f>
        <v>0</v>
      </c>
      <c r="L14" s="9" t="n">
        <v>3.4</v>
      </c>
      <c r="M14" s="9" t="n">
        <f aca="false">M13+L14</f>
        <v>28.2</v>
      </c>
      <c r="N14" s="14" t="n">
        <f aca="false">J14-L14</f>
        <v>-3.4</v>
      </c>
      <c r="O14" s="9" t="n">
        <v>0</v>
      </c>
      <c r="P14" s="9" t="n">
        <v>9</v>
      </c>
      <c r="Q14" s="9" t="n">
        <f aca="false">0.35+((P14-8)/81)*(1-0.35)</f>
        <v>0.358024691358025</v>
      </c>
      <c r="R14" s="15" t="n">
        <f aca="false">Q14*L14</f>
        <v>1.21728395061728</v>
      </c>
      <c r="S14" s="15" t="n">
        <f aca="false">J14-R14</f>
        <v>-1.21728395061728</v>
      </c>
      <c r="T14" s="15" t="n">
        <f aca="false">MIN(197.4,(T13+S14))</f>
        <v>10.0177160493827</v>
      </c>
      <c r="U14" s="13" t="s">
        <v>40</v>
      </c>
      <c r="V14" s="9" t="n">
        <v>1805.3</v>
      </c>
      <c r="W14" s="9" t="n">
        <f aca="false">V14/D14</f>
        <v>119.556291390728</v>
      </c>
      <c r="X14" s="9" t="n">
        <f aca="false">X13+V14</f>
        <v>14827.5</v>
      </c>
      <c r="AA14" s="9" t="n">
        <v>12.9696462014545</v>
      </c>
    </row>
    <row r="15" s="9" customFormat="true" ht="15" hidden="false" customHeight="false" outlineLevel="0" collapsed="false">
      <c r="A15" s="10"/>
      <c r="B15" s="11"/>
      <c r="C15" s="12" t="n">
        <v>41893</v>
      </c>
      <c r="D15" s="9" t="n">
        <v>14.4</v>
      </c>
      <c r="E15" s="9" t="n">
        <v>8.9</v>
      </c>
      <c r="F15" s="9" t="n">
        <v>20.2</v>
      </c>
      <c r="G15" s="9" t="n">
        <f aca="false">G14+D15</f>
        <v>173</v>
      </c>
      <c r="I15" s="9" t="n">
        <v>3</v>
      </c>
      <c r="J15" s="9" t="n">
        <v>0</v>
      </c>
      <c r="K15" s="9" t="n">
        <f aca="false">K14+J15</f>
        <v>0</v>
      </c>
      <c r="L15" s="9" t="n">
        <v>3.2</v>
      </c>
      <c r="M15" s="9" t="n">
        <f aca="false">M14+L15</f>
        <v>31.4</v>
      </c>
      <c r="N15" s="14" t="n">
        <f aca="false">J15-L15</f>
        <v>-3.2</v>
      </c>
      <c r="O15" s="9" t="n">
        <v>0</v>
      </c>
      <c r="P15" s="9" t="n">
        <v>10</v>
      </c>
      <c r="Q15" s="9" t="n">
        <f aca="false">0.35+((P15-8)/81)*(1-0.35)</f>
        <v>0.366049382716049</v>
      </c>
      <c r="R15" s="15" t="n">
        <f aca="false">Q15*L15</f>
        <v>1.17135802469136</v>
      </c>
      <c r="S15" s="15" t="n">
        <f aca="false">J15-R15</f>
        <v>-1.17135802469136</v>
      </c>
      <c r="T15" s="15" t="n">
        <f aca="false">MIN(197.4,(T14+S15))</f>
        <v>8.84635802469135</v>
      </c>
      <c r="U15" s="15" t="n">
        <f aca="false">MAX(T6:T94)</f>
        <v>103.307098765432</v>
      </c>
      <c r="V15" s="9" t="n">
        <v>1815.8</v>
      </c>
      <c r="W15" s="9" t="n">
        <f aca="false">V15/D15</f>
        <v>126.097222222222</v>
      </c>
      <c r="X15" s="9" t="n">
        <f aca="false">X14+V15</f>
        <v>16643.3</v>
      </c>
      <c r="AA15" s="9" t="n">
        <v>12.9113432359031</v>
      </c>
    </row>
    <row r="16" s="9" customFormat="true" ht="15" hidden="false" customHeight="false" outlineLevel="0" collapsed="false">
      <c r="A16" s="10"/>
      <c r="B16" s="11"/>
      <c r="C16" s="12" t="n">
        <v>41894</v>
      </c>
      <c r="D16" s="9" t="n">
        <v>15.2</v>
      </c>
      <c r="E16" s="9" t="n">
        <v>9.6</v>
      </c>
      <c r="F16" s="9" t="n">
        <v>20.3</v>
      </c>
      <c r="G16" s="9" t="n">
        <f aca="false">G15+D16</f>
        <v>188.2</v>
      </c>
      <c r="I16" s="13" t="s">
        <v>41</v>
      </c>
      <c r="J16" s="9" t="n">
        <v>0</v>
      </c>
      <c r="K16" s="9" t="n">
        <f aca="false">K15+J16</f>
        <v>0</v>
      </c>
      <c r="L16" s="9" t="n">
        <v>3.6</v>
      </c>
      <c r="M16" s="9" t="n">
        <f aca="false">M15+L16</f>
        <v>35</v>
      </c>
      <c r="N16" s="14" t="n">
        <f aca="false">J16-L16</f>
        <v>-3.6</v>
      </c>
      <c r="O16" s="9" t="n">
        <v>0</v>
      </c>
      <c r="P16" s="9" t="n">
        <v>11</v>
      </c>
      <c r="Q16" s="9" t="n">
        <f aca="false">0.35+((P16-8)/81)*(1-0.35)</f>
        <v>0.374074074074074</v>
      </c>
      <c r="R16" s="15" t="n">
        <f aca="false">Q16*L16</f>
        <v>1.34666666666667</v>
      </c>
      <c r="S16" s="15" t="n">
        <f aca="false">J16-R16</f>
        <v>-1.34666666666667</v>
      </c>
      <c r="T16" s="15" t="n">
        <f aca="false">MIN(197.4,(T15+S16))</f>
        <v>7.49969135802469</v>
      </c>
      <c r="U16" s="13" t="s">
        <v>42</v>
      </c>
      <c r="V16" s="9" t="n">
        <v>1948.3</v>
      </c>
      <c r="W16" s="9" t="n">
        <f aca="false">V16/D16</f>
        <v>128.177631578947</v>
      </c>
      <c r="X16" s="9" t="n">
        <f aca="false">X15+V16</f>
        <v>18591.6</v>
      </c>
      <c r="AA16" s="9" t="n">
        <v>12.8529529376094</v>
      </c>
    </row>
    <row r="17" s="9" customFormat="true" ht="15" hidden="false" customHeight="false" outlineLevel="0" collapsed="false">
      <c r="A17" s="10"/>
      <c r="B17" s="11"/>
      <c r="C17" s="12" t="n">
        <v>41895</v>
      </c>
      <c r="D17" s="9" t="n">
        <v>17.2</v>
      </c>
      <c r="E17" s="9" t="n">
        <v>11.8</v>
      </c>
      <c r="F17" s="9" t="n">
        <v>22.8</v>
      </c>
      <c r="G17" s="9" t="n">
        <f aca="false">G16+D17</f>
        <v>205.4</v>
      </c>
      <c r="I17" s="9" t="n">
        <v>4</v>
      </c>
      <c r="J17" s="9" t="n">
        <v>0</v>
      </c>
      <c r="K17" s="9" t="n">
        <f aca="false">K16+J17</f>
        <v>0</v>
      </c>
      <c r="L17" s="9" t="n">
        <v>3.1</v>
      </c>
      <c r="M17" s="9" t="n">
        <f aca="false">M16+L17</f>
        <v>38.1</v>
      </c>
      <c r="N17" s="14" t="n">
        <f aca="false">J17-L17</f>
        <v>-3.1</v>
      </c>
      <c r="O17" s="9" t="n">
        <v>0</v>
      </c>
      <c r="P17" s="9" t="n">
        <v>12</v>
      </c>
      <c r="Q17" s="9" t="n">
        <f aca="false">0.35+((P17-8)/81)*(1-0.35)</f>
        <v>0.382098765432099</v>
      </c>
      <c r="R17" s="15" t="n">
        <f aca="false">Q17*L17</f>
        <v>1.18450617283951</v>
      </c>
      <c r="S17" s="15" t="n">
        <f aca="false">J17-R17</f>
        <v>-1.18450617283951</v>
      </c>
      <c r="T17" s="15" t="n">
        <f aca="false">MIN(197.4,(T16+S17))</f>
        <v>6.31518518518518</v>
      </c>
      <c r="U17" s="17" t="n">
        <f aca="false">AVERAGE(T6:T94)</f>
        <v>46.2962838119018</v>
      </c>
      <c r="V17" s="9" t="n">
        <v>1563.7</v>
      </c>
      <c r="W17" s="9" t="n">
        <f aca="false">V17/D17</f>
        <v>90.9127906976744</v>
      </c>
      <c r="X17" s="9" t="n">
        <f aca="false">X16+V17</f>
        <v>20155.3</v>
      </c>
      <c r="AA17" s="9" t="n">
        <v>12.79448163691</v>
      </c>
    </row>
    <row r="18" s="9" customFormat="true" ht="15" hidden="false" customHeight="false" outlineLevel="0" collapsed="false">
      <c r="A18" s="10"/>
      <c r="B18" s="11"/>
      <c r="C18" s="12" t="n">
        <v>41896</v>
      </c>
      <c r="D18" s="9" t="n">
        <v>16.8</v>
      </c>
      <c r="E18" s="9" t="n">
        <v>13.8</v>
      </c>
      <c r="F18" s="9" t="n">
        <v>21.2</v>
      </c>
      <c r="G18" s="9" t="n">
        <f aca="false">G17+D18</f>
        <v>222.2</v>
      </c>
      <c r="I18" s="13" t="s">
        <v>43</v>
      </c>
      <c r="J18" s="9" t="n">
        <v>0</v>
      </c>
      <c r="K18" s="9" t="n">
        <f aca="false">K17+J18</f>
        <v>0</v>
      </c>
      <c r="L18" s="9" t="n">
        <v>2.9</v>
      </c>
      <c r="M18" s="9" t="n">
        <f aca="false">M17+L18</f>
        <v>41</v>
      </c>
      <c r="N18" s="14" t="n">
        <f aca="false">J18-L18</f>
        <v>-2.9</v>
      </c>
      <c r="O18" s="9" t="n">
        <v>0</v>
      </c>
      <c r="P18" s="9" t="n">
        <v>13</v>
      </c>
      <c r="Q18" s="9" t="n">
        <f aca="false">0.35+((P18-8)/81)*(1-0.35)</f>
        <v>0.390123456790123</v>
      </c>
      <c r="R18" s="15" t="n">
        <f aca="false">Q18*L18</f>
        <v>1.13135802469136</v>
      </c>
      <c r="S18" s="15" t="n">
        <f aca="false">J18-R18</f>
        <v>-1.13135802469136</v>
      </c>
      <c r="T18" s="15" t="n">
        <f aca="false">MIN(197.4,(T17+S18))</f>
        <v>5.18382716049382</v>
      </c>
      <c r="V18" s="9" t="n">
        <v>1404.3</v>
      </c>
      <c r="W18" s="9" t="n">
        <f aca="false">V18/D18</f>
        <v>83.5892857142857</v>
      </c>
      <c r="X18" s="9" t="n">
        <f aca="false">X17+V18</f>
        <v>21559.6</v>
      </c>
      <c r="AA18" s="9" t="n">
        <v>12.7359354967369</v>
      </c>
    </row>
    <row r="19" s="9" customFormat="true" ht="15" hidden="false" customHeight="false" outlineLevel="0" collapsed="false">
      <c r="A19" s="10"/>
      <c r="B19" s="11"/>
      <c r="C19" s="12" t="n">
        <v>41897</v>
      </c>
      <c r="D19" s="9" t="n">
        <v>17.1</v>
      </c>
      <c r="E19" s="9" t="n">
        <v>11.4</v>
      </c>
      <c r="F19" s="9" t="n">
        <v>23</v>
      </c>
      <c r="G19" s="9" t="n">
        <f aca="false">G18+D19</f>
        <v>239.3</v>
      </c>
      <c r="I19" s="9" t="n">
        <v>1161.7</v>
      </c>
      <c r="J19" s="9" t="n">
        <v>0</v>
      </c>
      <c r="K19" s="9" t="n">
        <f aca="false">K18+J19</f>
        <v>0</v>
      </c>
      <c r="L19" s="9" t="n">
        <v>2.9</v>
      </c>
      <c r="M19" s="9" t="n">
        <f aca="false">M18+L19</f>
        <v>43.9</v>
      </c>
      <c r="N19" s="14" t="n">
        <f aca="false">J19-L19</f>
        <v>-2.9</v>
      </c>
      <c r="O19" s="9" t="n">
        <v>0</v>
      </c>
      <c r="P19" s="9" t="n">
        <v>14</v>
      </c>
      <c r="Q19" s="9" t="n">
        <f aca="false">0.35+((P19-8)/81)*(1-0.35)</f>
        <v>0.398148148148148</v>
      </c>
      <c r="R19" s="15" t="n">
        <f aca="false">Q19*L19</f>
        <v>1.15462962962963</v>
      </c>
      <c r="S19" s="15" t="n">
        <f aca="false">J19-R19</f>
        <v>-1.15462962962963</v>
      </c>
      <c r="T19" s="15" t="n">
        <f aca="false">MIN(197.4,(T18+S19))</f>
        <v>4.02919753086419</v>
      </c>
      <c r="U19" s="15" t="n">
        <f aca="false">(U17*100)/197.4</f>
        <v>23.4530313130202</v>
      </c>
      <c r="V19" s="9" t="n">
        <v>1591.8</v>
      </c>
      <c r="W19" s="9" t="n">
        <f aca="false">V19/D19</f>
        <v>93.0877192982456</v>
      </c>
      <c r="X19" s="9" t="n">
        <f aca="false">X18+V19</f>
        <v>23151.4</v>
      </c>
      <c r="AA19" s="9" t="n">
        <v>12.6773205287652</v>
      </c>
    </row>
    <row r="20" s="9" customFormat="true" ht="15" hidden="false" customHeight="false" outlineLevel="0" collapsed="false">
      <c r="A20" s="10"/>
      <c r="B20" s="11"/>
      <c r="C20" s="12" t="n">
        <v>41898</v>
      </c>
      <c r="D20" s="9" t="n">
        <v>17.7</v>
      </c>
      <c r="E20" s="9" t="n">
        <v>10.6</v>
      </c>
      <c r="F20" s="9" t="n">
        <v>24.3</v>
      </c>
      <c r="G20" s="9" t="n">
        <f aca="false">G19+D20</f>
        <v>257</v>
      </c>
      <c r="J20" s="9" t="n">
        <v>0</v>
      </c>
      <c r="K20" s="9" t="n">
        <f aca="false">K19+J20</f>
        <v>0</v>
      </c>
      <c r="L20" s="9" t="n">
        <v>3.1</v>
      </c>
      <c r="M20" s="9" t="n">
        <f aca="false">M19+L20</f>
        <v>47</v>
      </c>
      <c r="N20" s="14" t="n">
        <f aca="false">J20-L20</f>
        <v>-3.1</v>
      </c>
      <c r="O20" s="9" t="n">
        <v>0</v>
      </c>
      <c r="P20" s="9" t="n">
        <v>15</v>
      </c>
      <c r="Q20" s="9" t="n">
        <f aca="false">0.35+((P20-8)/81)*(1-0.35)</f>
        <v>0.406172839506173</v>
      </c>
      <c r="R20" s="15" t="n">
        <f aca="false">Q20*L20</f>
        <v>1.25913580246914</v>
      </c>
      <c r="S20" s="15" t="n">
        <f aca="false">J20-R20</f>
        <v>-1.25913580246914</v>
      </c>
      <c r="T20" s="15" t="n">
        <f aca="false">MIN(197.4,(T19+S20))</f>
        <v>2.77006172839506</v>
      </c>
      <c r="V20" s="9" t="n">
        <v>1712.9</v>
      </c>
      <c r="W20" s="9" t="n">
        <f aca="false">V20/D20</f>
        <v>96.774011299435</v>
      </c>
      <c r="X20" s="9" t="n">
        <f aca="false">X19+V20</f>
        <v>24864.3</v>
      </c>
      <c r="AA20" s="9" t="n">
        <v>12.6186426096104</v>
      </c>
    </row>
    <row r="21" s="9" customFormat="true" ht="15" hidden="false" customHeight="false" outlineLevel="0" collapsed="false">
      <c r="A21" s="10"/>
      <c r="B21" s="11"/>
      <c r="C21" s="12" t="n">
        <v>41899</v>
      </c>
      <c r="D21" s="9" t="n">
        <v>19.9</v>
      </c>
      <c r="E21" s="9" t="n">
        <v>15.8</v>
      </c>
      <c r="F21" s="18" t="n">
        <v>25</v>
      </c>
      <c r="G21" s="9" t="n">
        <f aca="false">G20+D21</f>
        <v>276.9</v>
      </c>
      <c r="J21" s="9" t="n">
        <v>0</v>
      </c>
      <c r="K21" s="9" t="n">
        <f aca="false">K20+J21</f>
        <v>0</v>
      </c>
      <c r="L21" s="9" t="n">
        <v>2.1</v>
      </c>
      <c r="M21" s="9" t="n">
        <f aca="false">M20+L21</f>
        <v>49.1</v>
      </c>
      <c r="N21" s="14" t="n">
        <f aca="false">J21-L21</f>
        <v>-2.1</v>
      </c>
      <c r="O21" s="9" t="n">
        <v>0</v>
      </c>
      <c r="P21" s="9" t="n">
        <v>16</v>
      </c>
      <c r="Q21" s="9" t="n">
        <f aca="false">0.35+((P21-8)/81)*(1-0.35)</f>
        <v>0.414197530864198</v>
      </c>
      <c r="R21" s="15" t="n">
        <f aca="false">Q21*L21</f>
        <v>0.869814814814815</v>
      </c>
      <c r="S21" s="15" t="n">
        <f aca="false">J21-R21</f>
        <v>-0.869814814814815</v>
      </c>
      <c r="T21" s="15" t="n">
        <f aca="false">MIN(197.4,(T20+S21))</f>
        <v>1.90024691358024</v>
      </c>
      <c r="V21" s="19" t="n">
        <v>865.3</v>
      </c>
      <c r="W21" s="9" t="n">
        <f aca="false">V21/D21</f>
        <v>43.4824120603015</v>
      </c>
      <c r="X21" s="9" t="n">
        <f aca="false">X20+V21</f>
        <v>25729.6</v>
      </c>
      <c r="AA21" s="9" t="n">
        <v>12.5599074970745</v>
      </c>
    </row>
    <row r="22" s="9" customFormat="true" ht="15" hidden="false" customHeight="false" outlineLevel="0" collapsed="false">
      <c r="A22" s="10"/>
      <c r="B22" s="11"/>
      <c r="C22" s="12" t="n">
        <v>41900</v>
      </c>
      <c r="D22" s="9" t="n">
        <v>19.5</v>
      </c>
      <c r="E22" s="9" t="n">
        <v>15</v>
      </c>
      <c r="F22" s="18" t="n">
        <v>26.6</v>
      </c>
      <c r="G22" s="9" t="n">
        <f aca="false">G21+D22</f>
        <v>296.4</v>
      </c>
      <c r="J22" s="9" t="n">
        <v>6</v>
      </c>
      <c r="K22" s="9" t="n">
        <f aca="false">K21+J22</f>
        <v>6</v>
      </c>
      <c r="L22" s="9" t="n">
        <v>3.1</v>
      </c>
      <c r="M22" s="9" t="n">
        <f aca="false">M21+L22</f>
        <v>52.2</v>
      </c>
      <c r="N22" s="9" t="n">
        <f aca="false">J22-L22</f>
        <v>2.9</v>
      </c>
      <c r="O22" s="9" t="n">
        <f aca="false">O21+N22</f>
        <v>2.9</v>
      </c>
      <c r="P22" s="9" t="n">
        <v>17</v>
      </c>
      <c r="Q22" s="9" t="n">
        <f aca="false">0.35+((P22-8)/81)*(1-0.35)</f>
        <v>0.422222222222222</v>
      </c>
      <c r="R22" s="15" t="n">
        <f aca="false">Q22*L22</f>
        <v>1.30888888888889</v>
      </c>
      <c r="S22" s="15" t="n">
        <f aca="false">J22-R22</f>
        <v>4.69111111111111</v>
      </c>
      <c r="T22" s="15" t="n">
        <f aca="false">MIN(197.4,(T21+S22))</f>
        <v>6.59135802469135</v>
      </c>
      <c r="V22" s="9" t="n">
        <v>1355.2</v>
      </c>
      <c r="W22" s="9" t="n">
        <f aca="false">V22/D22</f>
        <v>69.4974358974359</v>
      </c>
      <c r="X22" s="9" t="n">
        <f aca="false">X21+V22</f>
        <v>27084.8</v>
      </c>
      <c r="AA22" s="9" t="n">
        <v>12.501120846445</v>
      </c>
    </row>
    <row r="23" s="9" customFormat="true" ht="15" hidden="false" customHeight="false" outlineLevel="0" collapsed="false">
      <c r="A23" s="10"/>
      <c r="B23" s="11"/>
      <c r="C23" s="12" t="n">
        <v>41901</v>
      </c>
      <c r="D23" s="9" t="n">
        <v>18.2</v>
      </c>
      <c r="E23" s="9" t="n">
        <v>13.9</v>
      </c>
      <c r="F23" s="9" t="n">
        <v>24.3</v>
      </c>
      <c r="G23" s="9" t="n">
        <f aca="false">G22+D23</f>
        <v>314.6</v>
      </c>
      <c r="J23" s="9" t="n">
        <v>0.1</v>
      </c>
      <c r="K23" s="9" t="n">
        <f aca="false">K22+J23</f>
        <v>6.1</v>
      </c>
      <c r="L23" s="9" t="n">
        <v>2.4</v>
      </c>
      <c r="M23" s="9" t="n">
        <f aca="false">M22+L23</f>
        <v>54.6</v>
      </c>
      <c r="N23" s="14" t="n">
        <f aca="false">J23-L23</f>
        <v>-2.3</v>
      </c>
      <c r="O23" s="9" t="n">
        <f aca="false">O22+N23</f>
        <v>0.6</v>
      </c>
      <c r="P23" s="9" t="n">
        <v>18</v>
      </c>
      <c r="Q23" s="9" t="n">
        <f aca="false">0.35+((P23-8)/81)*(1-0.35)</f>
        <v>0.430246913580247</v>
      </c>
      <c r="R23" s="15" t="n">
        <f aca="false">Q23*L23</f>
        <v>1.03259259259259</v>
      </c>
      <c r="S23" s="15" t="n">
        <f aca="false">J23-R23</f>
        <v>-0.932592592592593</v>
      </c>
      <c r="T23" s="15" t="n">
        <f aca="false">MIN(197.4,(T22+S23))</f>
        <v>5.65876543209876</v>
      </c>
      <c r="V23" s="9" t="n">
        <v>1135.2</v>
      </c>
      <c r="W23" s="9" t="n">
        <f aca="false">V23/D23</f>
        <v>62.3736263736264</v>
      </c>
      <c r="X23" s="9" t="n">
        <f aca="false">X22+V23</f>
        <v>28220</v>
      </c>
      <c r="AA23" s="9" t="n">
        <v>12.4422882268457</v>
      </c>
    </row>
    <row r="24" s="9" customFormat="true" ht="15" hidden="false" customHeight="false" outlineLevel="0" collapsed="false">
      <c r="A24" s="10"/>
      <c r="B24" s="11"/>
      <c r="C24" s="12" t="n">
        <v>41902</v>
      </c>
      <c r="D24" s="9" t="n">
        <v>18.4</v>
      </c>
      <c r="E24" s="9" t="n">
        <v>13.9</v>
      </c>
      <c r="F24" s="18" t="n">
        <v>25.6</v>
      </c>
      <c r="G24" s="9" t="n">
        <f aca="false">G23+D24</f>
        <v>333</v>
      </c>
      <c r="J24" s="9" t="n">
        <v>2.3</v>
      </c>
      <c r="K24" s="9" t="n">
        <f aca="false">K23+J24</f>
        <v>8.4</v>
      </c>
      <c r="L24" s="9" t="n">
        <v>2.5</v>
      </c>
      <c r="M24" s="9" t="n">
        <f aca="false">M23+L24</f>
        <v>57.1</v>
      </c>
      <c r="N24" s="14" t="n">
        <f aca="false">J24-L24</f>
        <v>-0.2</v>
      </c>
      <c r="O24" s="9" t="n">
        <f aca="false">O23+N24</f>
        <v>0.4</v>
      </c>
      <c r="P24" s="9" t="n">
        <v>19</v>
      </c>
      <c r="Q24" s="9" t="n">
        <f aca="false">0.35+((P24-8)/81)*(1-0.35)</f>
        <v>0.438271604938272</v>
      </c>
      <c r="R24" s="15" t="n">
        <f aca="false">Q24*L24</f>
        <v>1.09567901234568</v>
      </c>
      <c r="S24" s="15" t="n">
        <f aca="false">J24-R24</f>
        <v>1.20432098765432</v>
      </c>
      <c r="T24" s="15" t="n">
        <f aca="false">MIN(197.4,(T23+S24))</f>
        <v>6.86308641975308</v>
      </c>
      <c r="V24" s="9" t="n">
        <v>1114.8</v>
      </c>
      <c r="W24" s="9" t="n">
        <f aca="false">V24/D24</f>
        <v>60.5869565217391</v>
      </c>
      <c r="X24" s="9" t="n">
        <f aca="false">X23+V24</f>
        <v>29334.8</v>
      </c>
      <c r="AA24" s="9" t="n">
        <v>12.3834151376472</v>
      </c>
    </row>
    <row r="25" s="9" customFormat="true" ht="15" hidden="false" customHeight="false" outlineLevel="0" collapsed="false">
      <c r="A25" s="10"/>
      <c r="B25" s="11"/>
      <c r="C25" s="12" t="n">
        <v>41903</v>
      </c>
      <c r="D25" s="9" t="n">
        <v>16.3</v>
      </c>
      <c r="E25" s="9" t="n">
        <v>15.9</v>
      </c>
      <c r="F25" s="9" t="n">
        <v>19.8</v>
      </c>
      <c r="G25" s="9" t="n">
        <f aca="false">G24+D25</f>
        <v>349.3</v>
      </c>
      <c r="J25" s="9" t="n">
        <v>4.8</v>
      </c>
      <c r="K25" s="9" t="n">
        <f aca="false">K24+J25</f>
        <v>13.2</v>
      </c>
      <c r="L25" s="9" t="n">
        <v>1.7</v>
      </c>
      <c r="M25" s="9" t="n">
        <f aca="false">M24+L25</f>
        <v>58.8</v>
      </c>
      <c r="N25" s="9" t="n">
        <f aca="false">J25-L25</f>
        <v>3.1</v>
      </c>
      <c r="O25" s="9" t="n">
        <f aca="false">O24+N25</f>
        <v>3.5</v>
      </c>
      <c r="P25" s="9" t="n">
        <v>20</v>
      </c>
      <c r="Q25" s="9" t="n">
        <f aca="false">0.35+((P25-8)/81)*(1-0.35)</f>
        <v>0.446296296296296</v>
      </c>
      <c r="R25" s="15" t="n">
        <f aca="false">Q25*L25</f>
        <v>0.758703703703704</v>
      </c>
      <c r="S25" s="15" t="n">
        <f aca="false">J25-R25</f>
        <v>4.0412962962963</v>
      </c>
      <c r="T25" s="15" t="n">
        <f aca="false">MIN(197.4,(T24+S25))</f>
        <v>10.9043827160494</v>
      </c>
      <c r="V25" s="19" t="n">
        <v>722.9</v>
      </c>
      <c r="W25" s="9" t="n">
        <f aca="false">V25/D25</f>
        <v>44.3496932515337</v>
      </c>
      <c r="X25" s="9" t="n">
        <f aca="false">X24+V25</f>
        <v>30057.7</v>
      </c>
      <c r="AA25" s="9" t="n">
        <v>12.3245070249378</v>
      </c>
    </row>
    <row r="26" s="9" customFormat="true" ht="15" hidden="false" customHeight="false" outlineLevel="0" collapsed="false">
      <c r="A26" s="10"/>
      <c r="B26" s="11"/>
      <c r="C26" s="12" t="n">
        <v>41904</v>
      </c>
      <c r="D26" s="9" t="n">
        <v>12.5</v>
      </c>
      <c r="E26" s="9" t="n">
        <v>8.5</v>
      </c>
      <c r="F26" s="9" t="n">
        <v>17.2</v>
      </c>
      <c r="G26" s="9" t="n">
        <f aca="false">G25+D26</f>
        <v>361.8</v>
      </c>
      <c r="J26" s="9" t="n">
        <v>0</v>
      </c>
      <c r="K26" s="9" t="n">
        <f aca="false">K25+J26</f>
        <v>13.2</v>
      </c>
      <c r="L26" s="9" t="n">
        <v>2.1</v>
      </c>
      <c r="M26" s="9" t="n">
        <f aca="false">M25+L26</f>
        <v>60.9</v>
      </c>
      <c r="N26" s="14" t="n">
        <f aca="false">J26-L26</f>
        <v>-2.1</v>
      </c>
      <c r="O26" s="9" t="n">
        <f aca="false">O25+N26</f>
        <v>1.4</v>
      </c>
      <c r="P26" s="9" t="n">
        <v>21</v>
      </c>
      <c r="Q26" s="9" t="n">
        <f aca="false">0.35+((P26-8)/81)*(1-0.35)</f>
        <v>0.454320987654321</v>
      </c>
      <c r="R26" s="15" t="n">
        <f aca="false">Q26*L26</f>
        <v>0.954074074074074</v>
      </c>
      <c r="S26" s="15" t="n">
        <f aca="false">J26-R26</f>
        <v>-0.954074074074074</v>
      </c>
      <c r="T26" s="15" t="n">
        <f aca="false">MIN(197.4,(T25+S26))</f>
        <v>9.95030864197531</v>
      </c>
      <c r="V26" s="9" t="n">
        <v>1131.5</v>
      </c>
      <c r="W26" s="9" t="n">
        <f aca="false">V26/D26</f>
        <v>90.52</v>
      </c>
      <c r="X26" s="9" t="n">
        <f aca="false">X25+V26</f>
        <v>31189.2</v>
      </c>
      <c r="AA26" s="9" t="n">
        <v>12.2655692980621</v>
      </c>
    </row>
    <row r="27" s="9" customFormat="true" ht="15" hidden="false" customHeight="false" outlineLevel="0" collapsed="false">
      <c r="A27" s="10"/>
      <c r="B27" s="11"/>
      <c r="C27" s="12" t="n">
        <v>41905</v>
      </c>
      <c r="D27" s="9" t="n">
        <v>11.7</v>
      </c>
      <c r="E27" s="9" t="n">
        <v>7.8</v>
      </c>
      <c r="F27" s="9" t="n">
        <v>17.1</v>
      </c>
      <c r="G27" s="9" t="n">
        <f aca="false">G26+D27</f>
        <v>373.5</v>
      </c>
      <c r="J27" s="9" t="n">
        <v>0</v>
      </c>
      <c r="K27" s="9" t="n">
        <f aca="false">K26+J27</f>
        <v>13.2</v>
      </c>
      <c r="L27" s="9" t="n">
        <v>2.3</v>
      </c>
      <c r="M27" s="9" t="n">
        <f aca="false">M26+L27</f>
        <v>63.2</v>
      </c>
      <c r="N27" s="14" t="n">
        <f aca="false">J27-L27</f>
        <v>-2.3</v>
      </c>
      <c r="O27" s="9" t="n">
        <v>0</v>
      </c>
      <c r="P27" s="9" t="n">
        <v>22</v>
      </c>
      <c r="Q27" s="9" t="n">
        <f aca="false">0.35+((P27-8)/81)*(1-0.35)</f>
        <v>0.462345679012346</v>
      </c>
      <c r="R27" s="15" t="n">
        <f aca="false">Q27*L27</f>
        <v>1.0633950617284</v>
      </c>
      <c r="S27" s="15" t="n">
        <f aca="false">J27-R27</f>
        <v>-1.0633950617284</v>
      </c>
      <c r="T27" s="15" t="n">
        <f aca="false">MIN(197.4,(T26+S27))</f>
        <v>8.88691358024691</v>
      </c>
      <c r="V27" s="9" t="n">
        <v>1328.5</v>
      </c>
      <c r="W27" s="9" t="n">
        <f aca="false">V27/D27</f>
        <v>113.547008547009</v>
      </c>
      <c r="X27" s="9" t="n">
        <f aca="false">X26+V27</f>
        <v>32517.7</v>
      </c>
      <c r="AA27" s="9" t="n">
        <v>12.2066073462328</v>
      </c>
    </row>
    <row r="28" s="9" customFormat="true" ht="15" hidden="false" customHeight="false" outlineLevel="0" collapsed="false">
      <c r="A28" s="10"/>
      <c r="B28" s="11"/>
      <c r="C28" s="12" t="n">
        <v>41906</v>
      </c>
      <c r="D28" s="9" t="n">
        <v>12.3</v>
      </c>
      <c r="E28" s="9" t="n">
        <v>6.4</v>
      </c>
      <c r="F28" s="9" t="n">
        <v>17.7</v>
      </c>
      <c r="G28" s="9" t="n">
        <f aca="false">G27+D28</f>
        <v>385.8</v>
      </c>
      <c r="J28" s="9" t="n">
        <v>0</v>
      </c>
      <c r="K28" s="9" t="n">
        <f aca="false">K27+J28</f>
        <v>13.2</v>
      </c>
      <c r="L28" s="9" t="n">
        <v>2.3</v>
      </c>
      <c r="M28" s="9" t="n">
        <f aca="false">M27+L28</f>
        <v>65.5</v>
      </c>
      <c r="N28" s="14" t="n">
        <f aca="false">J28-L28</f>
        <v>-2.3</v>
      </c>
      <c r="O28" s="9" t="n">
        <v>0</v>
      </c>
      <c r="P28" s="9" t="n">
        <v>23</v>
      </c>
      <c r="Q28" s="9" t="n">
        <f aca="false">0.35+((P28-8)/81)*(1-0.35)</f>
        <v>0.47037037037037</v>
      </c>
      <c r="R28" s="15" t="n">
        <f aca="false">Q28*L28</f>
        <v>1.08185185185185</v>
      </c>
      <c r="S28" s="15" t="n">
        <f aca="false">J28-R28</f>
        <v>-1.08185185185185</v>
      </c>
      <c r="T28" s="15" t="n">
        <f aca="false">MIN(197.4,(T27+S28))</f>
        <v>7.80506172839506</v>
      </c>
      <c r="V28" s="9" t="n">
        <v>1378.4</v>
      </c>
      <c r="W28" s="9" t="n">
        <f aca="false">V28/D28</f>
        <v>112.065040650407</v>
      </c>
      <c r="X28" s="9" t="n">
        <f aca="false">X27+V28</f>
        <v>33896.1</v>
      </c>
      <c r="AA28" s="9" t="n">
        <v>12.1476265552203</v>
      </c>
    </row>
    <row r="29" s="9" customFormat="true" ht="15" hidden="false" customHeight="false" outlineLevel="0" collapsed="false">
      <c r="A29" s="10"/>
      <c r="B29" s="11"/>
      <c r="C29" s="12" t="n">
        <v>41907</v>
      </c>
      <c r="D29" s="9" t="n">
        <v>12.2</v>
      </c>
      <c r="E29" s="9" t="n">
        <v>8.2</v>
      </c>
      <c r="F29" s="9" t="n">
        <v>18</v>
      </c>
      <c r="G29" s="9" t="n">
        <f aca="false">G28+D29</f>
        <v>398</v>
      </c>
      <c r="J29" s="9" t="n">
        <v>0</v>
      </c>
      <c r="K29" s="9" t="n">
        <f aca="false">K28+J29</f>
        <v>13.2</v>
      </c>
      <c r="L29" s="9" t="n">
        <v>1.7</v>
      </c>
      <c r="M29" s="9" t="n">
        <f aca="false">M28+L29</f>
        <v>67.2</v>
      </c>
      <c r="N29" s="14" t="n">
        <f aca="false">J29-L29</f>
        <v>-1.7</v>
      </c>
      <c r="O29" s="9" t="n">
        <v>0</v>
      </c>
      <c r="P29" s="9" t="n">
        <v>24</v>
      </c>
      <c r="Q29" s="9" t="n">
        <f aca="false">0.35+((P29-8)/81)*(1-0.35)</f>
        <v>0.478395061728395</v>
      </c>
      <c r="R29" s="15" t="n">
        <f aca="false">Q29*L29</f>
        <v>0.813271604938272</v>
      </c>
      <c r="S29" s="15" t="n">
        <f aca="false">J29-R29</f>
        <v>-0.813271604938272</v>
      </c>
      <c r="T29" s="15" t="n">
        <f aca="false">MIN(197.4,(T28+S29))</f>
        <v>6.99179012345679</v>
      </c>
      <c r="V29" s="9" t="n">
        <v>945.8</v>
      </c>
      <c r="W29" s="9" t="n">
        <f aca="false">V29/D29</f>
        <v>77.5245901639344</v>
      </c>
      <c r="X29" s="9" t="n">
        <f aca="false">X28+V29</f>
        <v>34841.9</v>
      </c>
      <c r="AA29" s="9" t="n">
        <v>12.0886323241277</v>
      </c>
    </row>
    <row r="30" s="9" customFormat="true" ht="15" hidden="false" customHeight="false" outlineLevel="0" collapsed="false">
      <c r="A30" s="10"/>
      <c r="B30" s="11"/>
      <c r="C30" s="12" t="n">
        <v>41908</v>
      </c>
      <c r="D30" s="9" t="n">
        <v>12.8</v>
      </c>
      <c r="E30" s="9" t="n">
        <v>5.7</v>
      </c>
      <c r="F30" s="9" t="n">
        <v>20.8</v>
      </c>
      <c r="G30" s="9" t="n">
        <f aca="false">G29+D30</f>
        <v>410.8</v>
      </c>
      <c r="J30" s="9" t="n">
        <v>0</v>
      </c>
      <c r="K30" s="9" t="n">
        <f aca="false">K29+J30</f>
        <v>13.2</v>
      </c>
      <c r="L30" s="9" t="n">
        <v>2.5</v>
      </c>
      <c r="M30" s="9" t="n">
        <f aca="false">M29+L30</f>
        <v>69.7</v>
      </c>
      <c r="N30" s="14" t="n">
        <f aca="false">J30-L30</f>
        <v>-2.5</v>
      </c>
      <c r="O30" s="9" t="n">
        <v>0</v>
      </c>
      <c r="P30" s="9" t="n">
        <v>25</v>
      </c>
      <c r="Q30" s="9" t="n">
        <f aca="false">0.35+((P30-8)/81)*(1-0.35)</f>
        <v>0.48641975308642</v>
      </c>
      <c r="R30" s="15" t="n">
        <f aca="false">Q30*L30</f>
        <v>1.21604938271605</v>
      </c>
      <c r="S30" s="15" t="n">
        <f aca="false">J30-R30</f>
        <v>-1.21604938271605</v>
      </c>
      <c r="T30" s="15" t="n">
        <f aca="false">MIN(197.4,(T29+S30))</f>
        <v>5.77574074074074</v>
      </c>
      <c r="V30" s="9" t="n">
        <v>1388.8</v>
      </c>
      <c r="W30" s="9" t="n">
        <f aca="false">V30/D30</f>
        <v>108.5</v>
      </c>
      <c r="X30" s="9" t="n">
        <f aca="false">X29+V30</f>
        <v>36230.7</v>
      </c>
      <c r="AA30" s="9" t="n">
        <v>12.0296300822569</v>
      </c>
    </row>
    <row r="31" s="9" customFormat="true" ht="15" hidden="false" customHeight="false" outlineLevel="0" collapsed="false">
      <c r="A31" s="10"/>
      <c r="B31" s="11"/>
      <c r="C31" s="12" t="n">
        <v>41909</v>
      </c>
      <c r="D31" s="9" t="n">
        <v>15</v>
      </c>
      <c r="E31" s="9" t="n">
        <v>7.9</v>
      </c>
      <c r="F31" s="9" t="n">
        <v>22.3</v>
      </c>
      <c r="G31" s="9" t="n">
        <f aca="false">G30+D31</f>
        <v>425.8</v>
      </c>
      <c r="J31" s="9" t="n">
        <v>0</v>
      </c>
      <c r="K31" s="9" t="n">
        <f aca="false">K30+J31</f>
        <v>13.2</v>
      </c>
      <c r="L31" s="9" t="n">
        <v>2.8</v>
      </c>
      <c r="M31" s="9" t="n">
        <f aca="false">M30+L31</f>
        <v>72.5</v>
      </c>
      <c r="N31" s="14" t="n">
        <f aca="false">J31-L31</f>
        <v>-2.8</v>
      </c>
      <c r="O31" s="9" t="n">
        <v>0</v>
      </c>
      <c r="P31" s="9" t="n">
        <v>26</v>
      </c>
      <c r="Q31" s="9" t="n">
        <f aca="false">0.35+((P31-8)/81)*(1-0.35)</f>
        <v>0.494444444444444</v>
      </c>
      <c r="R31" s="15" t="n">
        <f aca="false">Q31*L31</f>
        <v>1.38444444444444</v>
      </c>
      <c r="S31" s="15" t="n">
        <f aca="false">J31-R31</f>
        <v>-1.38444444444444</v>
      </c>
      <c r="T31" s="15" t="n">
        <f aca="false">MIN(197.4,(T30+S31))</f>
        <v>4.39129629629629</v>
      </c>
      <c r="V31" s="9" t="n">
        <v>1537.1</v>
      </c>
      <c r="W31" s="9" t="n">
        <f aca="false">V31/D31</f>
        <v>102.473333333333</v>
      </c>
      <c r="X31" s="9" t="n">
        <f aca="false">X30+V31</f>
        <v>37767.8</v>
      </c>
      <c r="AA31" s="9" t="n">
        <v>11.9706253060723</v>
      </c>
    </row>
    <row r="32" s="9" customFormat="true" ht="15" hidden="false" customHeight="false" outlineLevel="0" collapsed="false">
      <c r="A32" s="10"/>
      <c r="B32" s="11"/>
      <c r="C32" s="12" t="n">
        <v>41910</v>
      </c>
      <c r="D32" s="9" t="n">
        <v>16</v>
      </c>
      <c r="E32" s="9" t="n">
        <v>9.1</v>
      </c>
      <c r="F32" s="9" t="n">
        <v>24</v>
      </c>
      <c r="G32" s="9" t="n">
        <f aca="false">G31+D32</f>
        <v>441.8</v>
      </c>
      <c r="J32" s="9" t="n">
        <v>1.5</v>
      </c>
      <c r="K32" s="9" t="n">
        <f aca="false">K31+J32</f>
        <v>14.7</v>
      </c>
      <c r="L32" s="9" t="n">
        <v>2.5</v>
      </c>
      <c r="M32" s="9" t="n">
        <f aca="false">M31+L32</f>
        <v>75</v>
      </c>
      <c r="N32" s="14" t="n">
        <f aca="false">J32-L32</f>
        <v>-1</v>
      </c>
      <c r="O32" s="9" t="n">
        <v>0</v>
      </c>
      <c r="P32" s="9" t="n">
        <v>27</v>
      </c>
      <c r="Q32" s="9" t="n">
        <f aca="false">0.35+((P32-8)/81)*(1-0.35)</f>
        <v>0.502469135802469</v>
      </c>
      <c r="R32" s="15" t="n">
        <f aca="false">Q32*L32</f>
        <v>1.25617283950617</v>
      </c>
      <c r="S32" s="15" t="n">
        <f aca="false">J32-R32</f>
        <v>0.243827160493827</v>
      </c>
      <c r="T32" s="15" t="n">
        <f aca="false">MIN(197.4,(T31+S32))</f>
        <v>4.63512345679012</v>
      </c>
      <c r="V32" s="9" t="n">
        <v>1136.6</v>
      </c>
      <c r="W32" s="9" t="n">
        <f aca="false">V32/D32</f>
        <v>71.0375</v>
      </c>
      <c r="X32" s="9" t="n">
        <f aca="false">X31+V32</f>
        <v>38904.4</v>
      </c>
      <c r="AA32" s="9" t="n">
        <v>11.9116235362678</v>
      </c>
    </row>
    <row r="33" s="9" customFormat="true" ht="15" hidden="false" customHeight="false" outlineLevel="0" collapsed="false">
      <c r="A33" s="10"/>
      <c r="B33" s="11"/>
      <c r="C33" s="12" t="n">
        <v>41911</v>
      </c>
      <c r="D33" s="9" t="n">
        <v>16.9</v>
      </c>
      <c r="E33" s="9" t="n">
        <v>13.1</v>
      </c>
      <c r="F33" s="9" t="n">
        <v>19.2</v>
      </c>
      <c r="G33" s="9" t="n">
        <f aca="false">G32+D33</f>
        <v>458.7</v>
      </c>
      <c r="J33" s="9" t="n">
        <v>0.5</v>
      </c>
      <c r="K33" s="9" t="n">
        <f aca="false">K32+J33</f>
        <v>15.2</v>
      </c>
      <c r="L33" s="9" t="n">
        <v>0.9</v>
      </c>
      <c r="M33" s="9" t="n">
        <f aca="false">M32+L33</f>
        <v>75.9</v>
      </c>
      <c r="N33" s="14" t="n">
        <f aca="false">J33-L33</f>
        <v>-0.4</v>
      </c>
      <c r="O33" s="9" t="n">
        <v>0</v>
      </c>
      <c r="P33" s="9" t="n">
        <v>28</v>
      </c>
      <c r="Q33" s="9" t="n">
        <f aca="false">0.35+((P33-8)/81)*(1-0.35)</f>
        <v>0.510493827160494</v>
      </c>
      <c r="R33" s="15" t="n">
        <f aca="false">Q33*L33</f>
        <v>0.459444444444444</v>
      </c>
      <c r="S33" s="15" t="n">
        <f aca="false">J33-R33</f>
        <v>0.0405555555555556</v>
      </c>
      <c r="T33" s="15" t="n">
        <f aca="false">MIN(197.4,(T32+S33))</f>
        <v>4.67567901234568</v>
      </c>
      <c r="V33" s="19" t="n">
        <v>485.6</v>
      </c>
      <c r="W33" s="9" t="n">
        <f aca="false">V33/D33</f>
        <v>28.7337278106509</v>
      </c>
      <c r="X33" s="9" t="n">
        <f aca="false">X32+V33</f>
        <v>39390</v>
      </c>
      <c r="AA33" s="9" t="n">
        <v>11.8526303949435</v>
      </c>
    </row>
    <row r="34" s="9" customFormat="true" ht="15" hidden="false" customHeight="false" outlineLevel="0" collapsed="false">
      <c r="A34" s="10"/>
      <c r="B34" s="11"/>
      <c r="C34" s="12" t="n">
        <v>41912</v>
      </c>
      <c r="D34" s="9" t="n">
        <v>16.5</v>
      </c>
      <c r="E34" s="9" t="n">
        <v>14.8</v>
      </c>
      <c r="F34" s="9" t="n">
        <v>20.3</v>
      </c>
      <c r="G34" s="9" t="n">
        <f aca="false">G33+D34</f>
        <v>475.2</v>
      </c>
      <c r="J34" s="9" t="n">
        <v>0</v>
      </c>
      <c r="K34" s="9" t="n">
        <f aca="false">K33+J34</f>
        <v>15.2</v>
      </c>
      <c r="L34" s="9" t="n">
        <v>2.5</v>
      </c>
      <c r="M34" s="9" t="n">
        <f aca="false">M33+L34</f>
        <v>78.4</v>
      </c>
      <c r="N34" s="14" t="n">
        <f aca="false">J34-L34</f>
        <v>-2.5</v>
      </c>
      <c r="O34" s="9" t="n">
        <v>0</v>
      </c>
      <c r="P34" s="9" t="n">
        <v>29</v>
      </c>
      <c r="Q34" s="9" t="n">
        <f aca="false">0.35+((P34-8)/81)*(1-0.35)</f>
        <v>0.518518518518519</v>
      </c>
      <c r="R34" s="15" t="n">
        <f aca="false">Q34*L34</f>
        <v>1.2962962962963</v>
      </c>
      <c r="S34" s="15" t="n">
        <f aca="false">J34-R34</f>
        <v>-1.2962962962963</v>
      </c>
      <c r="T34" s="15" t="n">
        <f aca="false">MIN(197.4,(T33+S34))</f>
        <v>3.37938271604938</v>
      </c>
      <c r="V34" s="9" t="n">
        <v>1342.1</v>
      </c>
      <c r="W34" s="9" t="n">
        <f aca="false">V34/D34</f>
        <v>81.3393939393939</v>
      </c>
      <c r="X34" s="9" t="n">
        <f aca="false">X33+V34</f>
        <v>40732.1</v>
      </c>
      <c r="AA34" s="9" t="n">
        <v>11.7936516028964</v>
      </c>
    </row>
    <row r="35" s="9" customFormat="true" ht="15" hidden="false" customHeight="false" outlineLevel="0" collapsed="false">
      <c r="A35" s="10"/>
      <c r="B35" s="11"/>
      <c r="C35" s="12" t="n">
        <v>41913</v>
      </c>
      <c r="D35" s="9" t="n">
        <v>15.4</v>
      </c>
      <c r="E35" s="9" t="n">
        <v>10</v>
      </c>
      <c r="F35" s="9" t="n">
        <v>22.5</v>
      </c>
      <c r="G35" s="9" t="n">
        <f aca="false">G34+D35</f>
        <v>490.6</v>
      </c>
      <c r="J35" s="9" t="n">
        <v>0</v>
      </c>
      <c r="K35" s="9" t="n">
        <f aca="false">K34+J35</f>
        <v>15.2</v>
      </c>
      <c r="L35" s="9" t="n">
        <v>2.1</v>
      </c>
      <c r="M35" s="9" t="n">
        <f aca="false">M34+L35</f>
        <v>80.5</v>
      </c>
      <c r="N35" s="14" t="n">
        <f aca="false">J35-L35</f>
        <v>-2.1</v>
      </c>
      <c r="O35" s="9" t="n">
        <v>0</v>
      </c>
      <c r="P35" s="9" t="n">
        <v>30</v>
      </c>
      <c r="Q35" s="9" t="n">
        <f aca="false">0.35+((P35-8)/81)*(1-0.35)</f>
        <v>0.526543209876543</v>
      </c>
      <c r="R35" s="15" t="n">
        <f aca="false">Q35*L35</f>
        <v>1.10574074074074</v>
      </c>
      <c r="S35" s="15" t="n">
        <f aca="false">J35-R35</f>
        <v>-1.10574074074074</v>
      </c>
      <c r="T35" s="15" t="n">
        <f aca="false">MIN(197.4,(T34+S35))</f>
        <v>2.27364197530864</v>
      </c>
      <c r="V35" s="9" t="n">
        <v>1089.9</v>
      </c>
      <c r="W35" s="9" t="n">
        <f aca="false">V35/D35</f>
        <v>70.7727272727273</v>
      </c>
      <c r="X35" s="9" t="n">
        <f aca="false">X34+V35</f>
        <v>41822</v>
      </c>
      <c r="AA35" s="9" t="n">
        <v>11.7346929970311</v>
      </c>
    </row>
    <row r="36" s="9" customFormat="true" ht="15" hidden="false" customHeight="false" outlineLevel="0" collapsed="false">
      <c r="A36" s="10"/>
      <c r="B36" s="11"/>
      <c r="C36" s="12" t="n">
        <v>41914</v>
      </c>
      <c r="D36" s="9" t="n">
        <v>15.7</v>
      </c>
      <c r="E36" s="9" t="n">
        <v>10.6</v>
      </c>
      <c r="F36" s="9" t="n">
        <v>22.5</v>
      </c>
      <c r="G36" s="9" t="n">
        <f aca="false">G35+D36</f>
        <v>506.3</v>
      </c>
      <c r="J36" s="9" t="n">
        <v>0</v>
      </c>
      <c r="K36" s="9" t="n">
        <f aca="false">K35+J36</f>
        <v>15.2</v>
      </c>
      <c r="L36" s="9" t="n">
        <v>2</v>
      </c>
      <c r="M36" s="9" t="n">
        <f aca="false">M35+L36</f>
        <v>82.5</v>
      </c>
      <c r="N36" s="14" t="n">
        <f aca="false">J36-L36</f>
        <v>-2</v>
      </c>
      <c r="O36" s="9" t="n">
        <v>0</v>
      </c>
      <c r="P36" s="9" t="n">
        <v>31</v>
      </c>
      <c r="Q36" s="9" t="n">
        <f aca="false">0.35+((P36-8)/81)*(1-0.35)</f>
        <v>0.534567901234568</v>
      </c>
      <c r="R36" s="15" t="n">
        <f aca="false">Q36*L36</f>
        <v>1.06913580246914</v>
      </c>
      <c r="S36" s="15" t="n">
        <f aca="false">J36-R36</f>
        <v>-1.06913580246914</v>
      </c>
      <c r="T36" s="15" t="n">
        <f aca="false">MIN(197.4,(T35+S36))</f>
        <v>1.2045061728395</v>
      </c>
      <c r="V36" s="9" t="n">
        <v>905.6</v>
      </c>
      <c r="W36" s="9" t="n">
        <f aca="false">V36/D36</f>
        <v>57.6815286624204</v>
      </c>
      <c r="X36" s="9" t="n">
        <f aca="false">X35+V36</f>
        <v>42727.6</v>
      </c>
      <c r="AA36" s="9" t="n">
        <v>11.6757605478923</v>
      </c>
    </row>
    <row r="37" s="9" customFormat="true" ht="15" hidden="false" customHeight="false" outlineLevel="0" collapsed="false">
      <c r="A37" s="10"/>
      <c r="B37" s="11"/>
      <c r="C37" s="12" t="n">
        <v>41915</v>
      </c>
      <c r="D37" s="9" t="n">
        <v>15.1</v>
      </c>
      <c r="E37" s="9" t="n">
        <v>9.8</v>
      </c>
      <c r="F37" s="9" t="n">
        <v>22.6</v>
      </c>
      <c r="G37" s="9" t="n">
        <f aca="false">G36+D37</f>
        <v>521.4</v>
      </c>
      <c r="J37" s="9" t="n">
        <v>0</v>
      </c>
      <c r="K37" s="9" t="n">
        <f aca="false">K36+J37</f>
        <v>15.2</v>
      </c>
      <c r="L37" s="9" t="n">
        <v>2.9</v>
      </c>
      <c r="M37" s="9" t="n">
        <f aca="false">M36+L37</f>
        <v>85.4</v>
      </c>
      <c r="N37" s="14" t="n">
        <f aca="false">J37-L37</f>
        <v>-2.9</v>
      </c>
      <c r="O37" s="9" t="n">
        <v>0</v>
      </c>
      <c r="P37" s="9" t="n">
        <v>32</v>
      </c>
      <c r="Q37" s="9" t="n">
        <f aca="false">0.35+((P37-8)/81)*(1-0.35)</f>
        <v>0.542592592592593</v>
      </c>
      <c r="R37" s="15" t="n">
        <f aca="false">Q37*L37</f>
        <v>1.57351851851852</v>
      </c>
      <c r="S37" s="15" t="n">
        <f aca="false">J37-R37</f>
        <v>-1.57351851851852</v>
      </c>
      <c r="T37" s="15" t="n">
        <v>0</v>
      </c>
      <c r="V37" s="9" t="n">
        <v>1467.1</v>
      </c>
      <c r="W37" s="9" t="n">
        <f aca="false">V37/D37</f>
        <v>97.158940397351</v>
      </c>
      <c r="X37" s="9" t="n">
        <f aca="false">X36+V37</f>
        <v>44194.7</v>
      </c>
      <c r="AA37" s="9" t="n">
        <v>11.6168603773239</v>
      </c>
    </row>
    <row r="38" s="9" customFormat="true" ht="15" hidden="false" customHeight="false" outlineLevel="0" collapsed="false">
      <c r="A38" s="10"/>
      <c r="B38" s="11"/>
      <c r="C38" s="12" t="n">
        <v>41916</v>
      </c>
      <c r="D38" s="9" t="n">
        <v>14.8</v>
      </c>
      <c r="E38" s="9" t="n">
        <v>7.8</v>
      </c>
      <c r="F38" s="9" t="n">
        <v>22.7</v>
      </c>
      <c r="G38" s="9" t="n">
        <f aca="false">G37+D38</f>
        <v>536.2</v>
      </c>
      <c r="J38" s="9" t="n">
        <v>5.9</v>
      </c>
      <c r="K38" s="9" t="n">
        <f aca="false">K37+J38</f>
        <v>21.1</v>
      </c>
      <c r="L38" s="9" t="n">
        <v>2.1</v>
      </c>
      <c r="M38" s="9" t="n">
        <f aca="false">M37+L38</f>
        <v>87.5</v>
      </c>
      <c r="N38" s="9" t="n">
        <f aca="false">J38-L38</f>
        <v>3.8</v>
      </c>
      <c r="O38" s="9" t="n">
        <f aca="false">O37+N38</f>
        <v>3.8</v>
      </c>
      <c r="P38" s="9" t="n">
        <v>33</v>
      </c>
      <c r="Q38" s="9" t="n">
        <f aca="false">0.35+((P38-8)/81)*(1-0.35)</f>
        <v>0.550617283950617</v>
      </c>
      <c r="R38" s="15" t="n">
        <f aca="false">Q38*L38</f>
        <v>1.1562962962963</v>
      </c>
      <c r="S38" s="15" t="n">
        <f aca="false">J38-R38</f>
        <v>4.7437037037037</v>
      </c>
      <c r="T38" s="15" t="n">
        <f aca="false">MIN(197.4,(T37+S38))</f>
        <v>4.7437037037037</v>
      </c>
      <c r="V38" s="9" t="n">
        <v>1056.3</v>
      </c>
      <c r="W38" s="9" t="n">
        <f aca="false">V38/D38</f>
        <v>71.3716216216216</v>
      </c>
      <c r="X38" s="9" t="n">
        <f aca="false">X37+V38</f>
        <v>45251</v>
      </c>
      <c r="AA38" s="9" t="n">
        <v>11.557998776255</v>
      </c>
    </row>
    <row r="39" s="9" customFormat="true" ht="15" hidden="false" customHeight="false" outlineLevel="0" collapsed="false">
      <c r="A39" s="10"/>
      <c r="B39" s="11"/>
      <c r="C39" s="12" t="n">
        <v>41917</v>
      </c>
      <c r="D39" s="9" t="n">
        <v>11.1</v>
      </c>
      <c r="E39" s="9" t="n">
        <v>10.2</v>
      </c>
      <c r="F39" s="9" t="n">
        <v>12.4</v>
      </c>
      <c r="G39" s="9" t="n">
        <f aca="false">G38+D39</f>
        <v>547.3</v>
      </c>
      <c r="J39" s="9" t="n">
        <v>0.7</v>
      </c>
      <c r="K39" s="9" t="n">
        <f aca="false">K38+J39</f>
        <v>21.8</v>
      </c>
      <c r="L39" s="9" t="n">
        <v>0.8</v>
      </c>
      <c r="M39" s="9" t="n">
        <f aca="false">M38+L39</f>
        <v>88.3</v>
      </c>
      <c r="N39" s="14" t="n">
        <f aca="false">J39-L39</f>
        <v>-0.1</v>
      </c>
      <c r="O39" s="9" t="n">
        <f aca="false">O38+N39</f>
        <v>3.7</v>
      </c>
      <c r="P39" s="9" t="n">
        <v>34</v>
      </c>
      <c r="Q39" s="9" t="n">
        <f aca="false">0.35+((P39-8)/81)*(1-0.35)</f>
        <v>0.558641975308642</v>
      </c>
      <c r="R39" s="15" t="n">
        <f aca="false">Q39*L39</f>
        <v>0.446913580246914</v>
      </c>
      <c r="S39" s="15" t="n">
        <f aca="false">J39-R39</f>
        <v>0.253086419753086</v>
      </c>
      <c r="T39" s="15" t="n">
        <f aca="false">MIN(197.4,(T38+S39))</f>
        <v>4.99679012345679</v>
      </c>
      <c r="V39" s="19" t="n">
        <v>327.3</v>
      </c>
      <c r="W39" s="9" t="n">
        <f aca="false">V39/D39</f>
        <v>29.4864864864865</v>
      </c>
      <c r="X39" s="9" t="n">
        <f aca="false">X38+V39</f>
        <v>45578.3</v>
      </c>
      <c r="AA39" s="9" t="n">
        <v>11.4991822226139</v>
      </c>
    </row>
    <row r="40" s="9" customFormat="true" ht="15" hidden="false" customHeight="false" outlineLevel="0" collapsed="false">
      <c r="A40" s="10"/>
      <c r="B40" s="11"/>
      <c r="C40" s="12" t="n">
        <v>41918</v>
      </c>
      <c r="D40" s="9" t="n">
        <v>12</v>
      </c>
      <c r="E40" s="9" t="n">
        <v>9.7</v>
      </c>
      <c r="F40" s="9" t="n">
        <v>15</v>
      </c>
      <c r="G40" s="9" t="n">
        <f aca="false">G39+D40</f>
        <v>559.3</v>
      </c>
      <c r="J40" s="9" t="n">
        <v>10.3</v>
      </c>
      <c r="K40" s="9" t="n">
        <f aca="false">K39+J40</f>
        <v>32.1</v>
      </c>
      <c r="L40" s="9" t="n">
        <v>1.5</v>
      </c>
      <c r="M40" s="9" t="n">
        <f aca="false">M39+L40</f>
        <v>89.8</v>
      </c>
      <c r="N40" s="9" t="n">
        <f aca="false">J40-L40</f>
        <v>8.8</v>
      </c>
      <c r="O40" s="9" t="n">
        <f aca="false">O39+N40</f>
        <v>12.5</v>
      </c>
      <c r="P40" s="9" t="n">
        <v>35</v>
      </c>
      <c r="Q40" s="9" t="n">
        <f aca="false">0.35+((P40-8)/81)*(1-0.35)</f>
        <v>0.566666666666667</v>
      </c>
      <c r="R40" s="15" t="n">
        <f aca="false">Q40*L40</f>
        <v>0.85</v>
      </c>
      <c r="S40" s="15" t="n">
        <f aca="false">J40-R40</f>
        <v>9.45</v>
      </c>
      <c r="T40" s="15" t="n">
        <f aca="false">MIN(197.4,(T39+S40))</f>
        <v>14.4467901234568</v>
      </c>
      <c r="V40" s="19" t="n">
        <v>802.8</v>
      </c>
      <c r="W40" s="9" t="n">
        <f aca="false">V40/D40</f>
        <v>66.9</v>
      </c>
      <c r="X40" s="9" t="n">
        <f aca="false">X39+V40</f>
        <v>46381.1</v>
      </c>
      <c r="AA40" s="9" t="n">
        <v>11.4404173993682</v>
      </c>
    </row>
    <row r="41" s="9" customFormat="true" ht="15" hidden="false" customHeight="false" outlineLevel="0" collapsed="false">
      <c r="A41" s="10"/>
      <c r="B41" s="11"/>
      <c r="C41" s="12" t="n">
        <v>41919</v>
      </c>
      <c r="D41" s="9" t="n">
        <v>13.3</v>
      </c>
      <c r="E41" s="9" t="n">
        <v>11.8</v>
      </c>
      <c r="F41" s="9" t="n">
        <v>14.2</v>
      </c>
      <c r="G41" s="9" t="n">
        <f aca="false">G40+D41</f>
        <v>572.6</v>
      </c>
      <c r="J41" s="9" t="n">
        <v>8.6</v>
      </c>
      <c r="K41" s="9" t="n">
        <f aca="false">K40+J41</f>
        <v>40.7</v>
      </c>
      <c r="L41" s="9" t="n">
        <v>1.2</v>
      </c>
      <c r="M41" s="9" t="n">
        <f aca="false">M40+L41</f>
        <v>91</v>
      </c>
      <c r="N41" s="9" t="n">
        <f aca="false">J41-L41</f>
        <v>7.4</v>
      </c>
      <c r="O41" s="9" t="n">
        <f aca="false">O40+N41</f>
        <v>19.9</v>
      </c>
      <c r="P41" s="9" t="n">
        <v>36</v>
      </c>
      <c r="Q41" s="9" t="n">
        <f aca="false">0.35+((P41-8)/81)*(1-0.35)</f>
        <v>0.574691358024691</v>
      </c>
      <c r="R41" s="15" t="n">
        <f aca="false">Q41*L41</f>
        <v>0.68962962962963</v>
      </c>
      <c r="S41" s="15" t="n">
        <f aca="false">J41-R41</f>
        <v>7.91037037037037</v>
      </c>
      <c r="T41" s="15" t="n">
        <f aca="false">MIN(197.4,(T40+S41))</f>
        <v>22.3571604938272</v>
      </c>
      <c r="V41" s="19" t="n">
        <v>868.1</v>
      </c>
      <c r="W41" s="9" t="n">
        <f aca="false">V41/D41</f>
        <v>65.2706766917293</v>
      </c>
      <c r="X41" s="9" t="n">
        <f aca="false">X40+V41</f>
        <v>47249.2</v>
      </c>
      <c r="AA41" s="9" t="n">
        <v>11.381711212688</v>
      </c>
    </row>
    <row r="42" s="9" customFormat="true" ht="15" hidden="false" customHeight="false" outlineLevel="0" collapsed="false">
      <c r="A42" s="10"/>
      <c r="B42" s="11"/>
      <c r="C42" s="12" t="n">
        <v>41920</v>
      </c>
      <c r="D42" s="9" t="n">
        <v>15.1</v>
      </c>
      <c r="E42" s="9" t="n">
        <v>11.7</v>
      </c>
      <c r="F42" s="9" t="n">
        <v>17.8</v>
      </c>
      <c r="G42" s="9" t="n">
        <f aca="false">G41+D42</f>
        <v>587.7</v>
      </c>
      <c r="J42" s="9" t="n">
        <v>28.5</v>
      </c>
      <c r="K42" s="9" t="n">
        <f aca="false">K41+J42</f>
        <v>69.2</v>
      </c>
      <c r="L42" s="9" t="n">
        <v>0.4</v>
      </c>
      <c r="M42" s="9" t="n">
        <f aca="false">M41+L42</f>
        <v>91.4</v>
      </c>
      <c r="N42" s="9" t="n">
        <f aca="false">J42-L42</f>
        <v>28.1</v>
      </c>
      <c r="O42" s="9" t="n">
        <f aca="false">O41+N42</f>
        <v>48</v>
      </c>
      <c r="P42" s="9" t="n">
        <v>37</v>
      </c>
      <c r="Q42" s="9" t="n">
        <f aca="false">0.35+((P42-8)/81)*(1-0.35)</f>
        <v>0.582716049382716</v>
      </c>
      <c r="R42" s="15" t="n">
        <f aca="false">Q42*L42</f>
        <v>0.233086419753086</v>
      </c>
      <c r="S42" s="15" t="n">
        <f aca="false">J42-R42</f>
        <v>28.2669135802469</v>
      </c>
      <c r="T42" s="15" t="n">
        <f aca="false">MIN(197.4,(T41+S42))</f>
        <v>50.6240740740741</v>
      </c>
      <c r="V42" s="19" t="n">
        <v>205.4</v>
      </c>
      <c r="W42" s="9" t="n">
        <f aca="false">V42/D42</f>
        <v>13.6026490066225</v>
      </c>
      <c r="X42" s="9" t="n">
        <f aca="false">X41+V42</f>
        <v>47454.6</v>
      </c>
      <c r="AA42" s="9" t="n">
        <v>11.3230708102286</v>
      </c>
    </row>
    <row r="43" s="9" customFormat="true" ht="15" hidden="false" customHeight="false" outlineLevel="0" collapsed="false">
      <c r="A43" s="10"/>
      <c r="B43" s="11"/>
      <c r="C43" s="12" t="n">
        <v>41921</v>
      </c>
      <c r="D43" s="9" t="n">
        <v>14.7</v>
      </c>
      <c r="E43" s="9" t="n">
        <v>13.9</v>
      </c>
      <c r="F43" s="9" t="n">
        <v>16.5</v>
      </c>
      <c r="G43" s="9" t="n">
        <f aca="false">G42+D43</f>
        <v>602.4</v>
      </c>
      <c r="J43" s="9" t="n">
        <v>1.7</v>
      </c>
      <c r="K43" s="9" t="n">
        <f aca="false">K42+J43</f>
        <v>70.9</v>
      </c>
      <c r="L43" s="9" t="n">
        <v>0.9</v>
      </c>
      <c r="M43" s="9" t="n">
        <f aca="false">M42+L43</f>
        <v>92.3</v>
      </c>
      <c r="N43" s="9" t="n">
        <f aca="false">J43-L43</f>
        <v>0.8</v>
      </c>
      <c r="O43" s="9" t="n">
        <f aca="false">O42+N43</f>
        <v>48.8</v>
      </c>
      <c r="P43" s="9" t="n">
        <v>38</v>
      </c>
      <c r="Q43" s="9" t="n">
        <f aca="false">0.35+((P43-8)/81)*(1-0.35)</f>
        <v>0.590740740740741</v>
      </c>
      <c r="R43" s="15" t="n">
        <f aca="false">Q43*L43</f>
        <v>0.531666666666667</v>
      </c>
      <c r="S43" s="15" t="n">
        <f aca="false">J43-R43</f>
        <v>1.16833333333333</v>
      </c>
      <c r="T43" s="15" t="n">
        <f aca="false">MIN(197.4,(T42+S43))</f>
        <v>51.7924074074074</v>
      </c>
      <c r="V43" s="19" t="n">
        <v>353.2</v>
      </c>
      <c r="W43" s="9" t="n">
        <f aca="false">V43/D43</f>
        <v>24.0272108843537</v>
      </c>
      <c r="X43" s="9" t="n">
        <f aca="false">X42+V43</f>
        <v>47807.8</v>
      </c>
      <c r="AA43" s="9" t="n">
        <v>11.2645035995236</v>
      </c>
    </row>
    <row r="44" s="9" customFormat="true" ht="15" hidden="false" customHeight="false" outlineLevel="0" collapsed="false">
      <c r="A44" s="10"/>
      <c r="B44" s="11"/>
      <c r="C44" s="12" t="n">
        <v>41922</v>
      </c>
      <c r="D44" s="9" t="n">
        <v>13.4</v>
      </c>
      <c r="E44" s="9" t="n">
        <v>10.6</v>
      </c>
      <c r="F44" s="9" t="n">
        <v>16</v>
      </c>
      <c r="G44" s="9" t="n">
        <f aca="false">G43+D44</f>
        <v>615.8</v>
      </c>
      <c r="J44" s="9" t="n">
        <v>0.1</v>
      </c>
      <c r="K44" s="9" t="n">
        <f aca="false">K43+J44</f>
        <v>71</v>
      </c>
      <c r="L44" s="9" t="n">
        <v>1.4</v>
      </c>
      <c r="M44" s="9" t="n">
        <f aca="false">M43+L44</f>
        <v>93.7</v>
      </c>
      <c r="N44" s="14" t="n">
        <f aca="false">J44-L44</f>
        <v>-1.3</v>
      </c>
      <c r="O44" s="9" t="n">
        <f aca="false">O43+N44</f>
        <v>47.5</v>
      </c>
      <c r="P44" s="9" t="n">
        <v>39</v>
      </c>
      <c r="Q44" s="9" t="n">
        <f aca="false">0.35+((P44-8)/81)*(1-0.35)</f>
        <v>0.598765432098765</v>
      </c>
      <c r="R44" s="15" t="n">
        <f aca="false">Q44*L44</f>
        <v>0.838271604938272</v>
      </c>
      <c r="S44" s="15" t="n">
        <f aca="false">J44-R44</f>
        <v>-0.738271604938272</v>
      </c>
      <c r="T44" s="15" t="n">
        <f aca="false">MIN(197.4,(T43+S44))</f>
        <v>51.0541358024691</v>
      </c>
      <c r="V44" s="9" t="n">
        <v>940</v>
      </c>
      <c r="W44" s="9" t="n">
        <f aca="false">V44/D44</f>
        <v>70.1492537313433</v>
      </c>
      <c r="X44" s="9" t="n">
        <f aca="false">X43+V44</f>
        <v>48747.8</v>
      </c>
      <c r="AA44" s="9" t="n">
        <v>11.2060172664809</v>
      </c>
    </row>
    <row r="45" s="9" customFormat="true" ht="15" hidden="false" customHeight="false" outlineLevel="0" collapsed="false">
      <c r="A45" s="10"/>
      <c r="B45" s="11"/>
      <c r="C45" s="12" t="n">
        <v>41923</v>
      </c>
      <c r="D45" s="9" t="n">
        <v>13.6</v>
      </c>
      <c r="E45" s="9" t="n">
        <v>12.3</v>
      </c>
      <c r="F45" s="9" t="n">
        <v>17.8</v>
      </c>
      <c r="G45" s="9" t="n">
        <f aca="false">G44+D45</f>
        <v>629.4</v>
      </c>
      <c r="J45" s="9" t="n">
        <v>0</v>
      </c>
      <c r="K45" s="9" t="n">
        <f aca="false">K44+J45</f>
        <v>71</v>
      </c>
      <c r="L45" s="9" t="n">
        <v>1.8</v>
      </c>
      <c r="M45" s="9" t="n">
        <f aca="false">M44+L45</f>
        <v>95.5</v>
      </c>
      <c r="N45" s="14" t="n">
        <f aca="false">J45-L45</f>
        <v>-1.8</v>
      </c>
      <c r="O45" s="9" t="n">
        <f aca="false">O44+N45</f>
        <v>45.7</v>
      </c>
      <c r="P45" s="9" t="n">
        <v>40</v>
      </c>
      <c r="Q45" s="9" t="n">
        <f aca="false">0.35+((P45-8)/81)*(1-0.35)</f>
        <v>0.60679012345679</v>
      </c>
      <c r="R45" s="15" t="n">
        <f aca="false">Q45*L45</f>
        <v>1.09222222222222</v>
      </c>
      <c r="S45" s="15" t="n">
        <f aca="false">J45-R45</f>
        <v>-1.09222222222222</v>
      </c>
      <c r="T45" s="15" t="n">
        <f aca="false">MIN(197.4,(T44+S45))</f>
        <v>49.9619135802469</v>
      </c>
      <c r="V45" s="9" t="n">
        <v>974.8</v>
      </c>
      <c r="W45" s="9" t="n">
        <f aca="false">V45/D45</f>
        <v>71.6764705882353</v>
      </c>
      <c r="X45" s="9" t="n">
        <f aca="false">X44+V45</f>
        <v>49722.6</v>
      </c>
      <c r="AA45" s="9" t="n">
        <v>11.1476197939682</v>
      </c>
    </row>
    <row r="46" s="9" customFormat="true" ht="15" hidden="false" customHeight="false" outlineLevel="0" collapsed="false">
      <c r="A46" s="10"/>
      <c r="B46" s="11"/>
      <c r="C46" s="12" t="n">
        <v>41924</v>
      </c>
      <c r="D46" s="9" t="n">
        <v>13.4</v>
      </c>
      <c r="E46" s="9" t="n">
        <v>8.7</v>
      </c>
      <c r="F46" s="9" t="n">
        <v>15.3</v>
      </c>
      <c r="G46" s="9" t="n">
        <f aca="false">G45+D46</f>
        <v>642.8</v>
      </c>
      <c r="J46" s="9" t="n">
        <v>7.2</v>
      </c>
      <c r="K46" s="9" t="n">
        <f aca="false">K45+J46</f>
        <v>78.2</v>
      </c>
      <c r="L46" s="9" t="n">
        <v>0.3</v>
      </c>
      <c r="M46" s="9" t="n">
        <f aca="false">M45+L46</f>
        <v>95.8</v>
      </c>
      <c r="N46" s="9" t="n">
        <f aca="false">J46-L46</f>
        <v>6.9</v>
      </c>
      <c r="O46" s="9" t="n">
        <f aca="false">O45+N46</f>
        <v>52.6</v>
      </c>
      <c r="P46" s="9" t="n">
        <v>41</v>
      </c>
      <c r="Q46" s="9" t="n">
        <f aca="false">0.35+((P46-8)/81)*(1-0.35)</f>
        <v>0.614814814814815</v>
      </c>
      <c r="R46" s="15" t="n">
        <f aca="false">Q46*L46</f>
        <v>0.184444444444444</v>
      </c>
      <c r="S46" s="15" t="n">
        <f aca="false">J46-R46</f>
        <v>7.01555555555556</v>
      </c>
      <c r="T46" s="15" t="n">
        <f aca="false">MIN(197.4,(T45+S46))</f>
        <v>56.9774691358025</v>
      </c>
      <c r="V46" s="19" t="n">
        <v>290.9</v>
      </c>
      <c r="W46" s="9" t="n">
        <f aca="false">V46/D46</f>
        <v>21.7089552238806</v>
      </c>
      <c r="X46" s="9" t="n">
        <f aca="false">X45+V46</f>
        <v>50013.5</v>
      </c>
      <c r="AA46" s="9" t="n">
        <v>11.0893194804739</v>
      </c>
    </row>
    <row r="47" s="9" customFormat="true" ht="15" hidden="false" customHeight="false" outlineLevel="0" collapsed="false">
      <c r="A47" s="10"/>
      <c r="B47" s="11"/>
      <c r="C47" s="12" t="n">
        <v>41925</v>
      </c>
      <c r="D47" s="9" t="n">
        <v>13.7</v>
      </c>
      <c r="E47" s="9" t="n">
        <v>12.1</v>
      </c>
      <c r="F47" s="9" t="n">
        <v>17.7</v>
      </c>
      <c r="G47" s="9" t="n">
        <f aca="false">G46+D47</f>
        <v>656.5</v>
      </c>
      <c r="J47" s="9" t="n">
        <v>0</v>
      </c>
      <c r="K47" s="9" t="n">
        <f aca="false">K46+J47</f>
        <v>78.2</v>
      </c>
      <c r="L47" s="9" t="n">
        <v>2</v>
      </c>
      <c r="M47" s="9" t="n">
        <f aca="false">M46+L47</f>
        <v>97.8</v>
      </c>
      <c r="N47" s="14" t="n">
        <f aca="false">J47-L47</f>
        <v>-2</v>
      </c>
      <c r="O47" s="9" t="n">
        <f aca="false">O46+N47</f>
        <v>50.6</v>
      </c>
      <c r="P47" s="9" t="n">
        <v>42</v>
      </c>
      <c r="Q47" s="9" t="n">
        <f aca="false">0.35+((P47-8)/81)*(1-0.35)</f>
        <v>0.62283950617284</v>
      </c>
      <c r="R47" s="15" t="n">
        <f aca="false">Q47*L47</f>
        <v>1.24567901234568</v>
      </c>
      <c r="S47" s="15" t="n">
        <f aca="false">J47-R47</f>
        <v>-1.24567901234568</v>
      </c>
      <c r="T47" s="15" t="n">
        <f aca="false">MIN(197.4,(T46+S47))</f>
        <v>55.7317901234568</v>
      </c>
      <c r="V47" s="9" t="n">
        <v>950</v>
      </c>
      <c r="W47" s="9" t="n">
        <f aca="false">V47/D47</f>
        <v>69.3430656934307</v>
      </c>
      <c r="X47" s="9" t="n">
        <f aca="false">X46+V47</f>
        <v>50963.5</v>
      </c>
      <c r="AA47" s="9" t="n">
        <v>11.0311249588254</v>
      </c>
    </row>
    <row r="48" s="9" customFormat="true" ht="15" hidden="false" customHeight="false" outlineLevel="0" collapsed="false">
      <c r="A48" s="10"/>
      <c r="B48" s="11"/>
      <c r="C48" s="12" t="n">
        <v>41926</v>
      </c>
      <c r="D48" s="9" t="n">
        <v>11</v>
      </c>
      <c r="E48" s="9" t="n">
        <v>6.6</v>
      </c>
      <c r="F48" s="9" t="n">
        <v>17</v>
      </c>
      <c r="G48" s="9" t="n">
        <f aca="false">G47+D48</f>
        <v>667.5</v>
      </c>
      <c r="J48" s="9" t="n">
        <v>0</v>
      </c>
      <c r="K48" s="9" t="n">
        <f aca="false">K47+J48</f>
        <v>78.2</v>
      </c>
      <c r="L48" s="9" t="n">
        <v>1.9</v>
      </c>
      <c r="M48" s="9" t="n">
        <f aca="false">M47+L48</f>
        <v>99.7</v>
      </c>
      <c r="N48" s="14" t="n">
        <f aca="false">J48-L48</f>
        <v>-1.9</v>
      </c>
      <c r="O48" s="9" t="n">
        <f aca="false">O47+N48</f>
        <v>48.7</v>
      </c>
      <c r="P48" s="9" t="n">
        <v>43</v>
      </c>
      <c r="Q48" s="9" t="n">
        <f aca="false">0.35+((P48-8)/81)*(1-0.35)</f>
        <v>0.630864197530864</v>
      </c>
      <c r="R48" s="15" t="n">
        <f aca="false">Q48*L48</f>
        <v>1.19864197530864</v>
      </c>
      <c r="S48" s="15" t="n">
        <f aca="false">J48-R48</f>
        <v>-1.19864197530864</v>
      </c>
      <c r="T48" s="15" t="n">
        <f aca="false">MIN(197.4,(T47+S48))</f>
        <v>54.5331481481482</v>
      </c>
      <c r="V48" s="9" t="n">
        <v>1080.4</v>
      </c>
      <c r="W48" s="9" t="n">
        <f aca="false">V48/D48</f>
        <v>98.2181818181818</v>
      </c>
      <c r="X48" s="9" t="n">
        <f aca="false">X47+V48</f>
        <v>52043.9</v>
      </c>
      <c r="AA48" s="9" t="n">
        <v>10.9730452149431</v>
      </c>
    </row>
    <row r="49" s="9" customFormat="true" ht="15" hidden="false" customHeight="false" outlineLevel="0" collapsed="false">
      <c r="A49" s="10"/>
      <c r="B49" s="11"/>
      <c r="C49" s="12" t="n">
        <v>41927</v>
      </c>
      <c r="D49" s="9" t="n">
        <v>13.1</v>
      </c>
      <c r="E49" s="9" t="n">
        <v>10</v>
      </c>
      <c r="F49" s="9" t="n">
        <v>15.5</v>
      </c>
      <c r="G49" s="9" t="n">
        <f aca="false">G48+D49</f>
        <v>680.6</v>
      </c>
      <c r="J49" s="9" t="n">
        <v>1.6</v>
      </c>
      <c r="K49" s="9" t="n">
        <f aca="false">K48+J49</f>
        <v>79.8</v>
      </c>
      <c r="L49" s="9" t="n">
        <v>0.3</v>
      </c>
      <c r="M49" s="9" t="n">
        <f aca="false">M48+L49</f>
        <v>100</v>
      </c>
      <c r="N49" s="9" t="n">
        <f aca="false">J49-L49</f>
        <v>1.3</v>
      </c>
      <c r="O49" s="9" t="n">
        <f aca="false">O48+N49</f>
        <v>50</v>
      </c>
      <c r="P49" s="9" t="n">
        <v>44</v>
      </c>
      <c r="Q49" s="9" t="n">
        <f aca="false">0.35+((P49-8)/81)*(1-0.35)</f>
        <v>0.638888888888889</v>
      </c>
      <c r="R49" s="15" t="n">
        <f aca="false">Q49*L49</f>
        <v>0.191666666666667</v>
      </c>
      <c r="S49" s="15" t="n">
        <f aca="false">J49-R49</f>
        <v>1.40833333333333</v>
      </c>
      <c r="T49" s="15" t="n">
        <f aca="false">MIN(197.4,(T48+S49))</f>
        <v>55.9414814814815</v>
      </c>
      <c r="V49" s="19" t="n">
        <v>316.8</v>
      </c>
      <c r="W49" s="9" t="n">
        <f aca="false">V49/D49</f>
        <v>24.1832061068702</v>
      </c>
      <c r="X49" s="9" t="n">
        <f aca="false">X48+V49</f>
        <v>52360.7</v>
      </c>
      <c r="AA49" s="9" t="n">
        <v>10.9150896066059</v>
      </c>
    </row>
    <row r="50" s="9" customFormat="true" ht="15" hidden="false" customHeight="false" outlineLevel="0" collapsed="false">
      <c r="A50" s="10"/>
      <c r="B50" s="11"/>
      <c r="C50" s="12" t="n">
        <v>41928</v>
      </c>
      <c r="D50" s="9" t="n">
        <v>15.7</v>
      </c>
      <c r="E50" s="9" t="n">
        <v>14.3</v>
      </c>
      <c r="F50" s="9" t="n">
        <v>18</v>
      </c>
      <c r="G50" s="9" t="n">
        <f aca="false">G49+D50</f>
        <v>696.3</v>
      </c>
      <c r="J50" s="9" t="n">
        <v>9.2</v>
      </c>
      <c r="K50" s="9" t="n">
        <f aca="false">K49+J50</f>
        <v>89</v>
      </c>
      <c r="L50" s="9" t="n">
        <v>1</v>
      </c>
      <c r="M50" s="9" t="n">
        <f aca="false">M49+L50</f>
        <v>101</v>
      </c>
      <c r="N50" s="9" t="n">
        <f aca="false">J50-L50</f>
        <v>8.2</v>
      </c>
      <c r="O50" s="9" t="n">
        <f aca="false">O49+N50</f>
        <v>58.2</v>
      </c>
      <c r="P50" s="9" t="n">
        <v>45</v>
      </c>
      <c r="Q50" s="9" t="n">
        <f aca="false">0.35+((P50-8)/81)*(1-0.35)</f>
        <v>0.646913580246914</v>
      </c>
      <c r="R50" s="15" t="n">
        <f aca="false">Q50*L50</f>
        <v>0.646913580246914</v>
      </c>
      <c r="S50" s="15" t="n">
        <f aca="false">J50-R50</f>
        <v>8.55308641975309</v>
      </c>
      <c r="T50" s="15" t="n">
        <f aca="false">MIN(197.4,(T49+S50))</f>
        <v>64.4945679012346</v>
      </c>
      <c r="V50" s="19" t="n">
        <v>362.5</v>
      </c>
      <c r="W50" s="9" t="n">
        <f aca="false">V50/D50</f>
        <v>23.0891719745223</v>
      </c>
      <c r="X50" s="9" t="n">
        <f aca="false">X49+V50</f>
        <v>52723.2</v>
      </c>
      <c r="AA50" s="9" t="n">
        <v>10.8572678821989</v>
      </c>
    </row>
    <row r="51" s="9" customFormat="true" ht="15" hidden="false" customHeight="false" outlineLevel="0" collapsed="false">
      <c r="A51" s="10"/>
      <c r="B51" s="11"/>
      <c r="C51" s="12" t="n">
        <v>41929</v>
      </c>
      <c r="D51" s="9" t="n">
        <v>14.8</v>
      </c>
      <c r="E51" s="9" t="n">
        <v>13.7</v>
      </c>
      <c r="F51" s="9" t="n">
        <v>17.4</v>
      </c>
      <c r="G51" s="9" t="n">
        <f aca="false">G50+D51</f>
        <v>711.1</v>
      </c>
      <c r="J51" s="9" t="n">
        <v>0.3</v>
      </c>
      <c r="K51" s="9" t="n">
        <f aca="false">K50+J51</f>
        <v>89.3</v>
      </c>
      <c r="L51" s="9" t="n">
        <v>1.2</v>
      </c>
      <c r="M51" s="9" t="n">
        <f aca="false">M50+L51</f>
        <v>102.2</v>
      </c>
      <c r="N51" s="14" t="n">
        <f aca="false">J51-L51</f>
        <v>-0.9</v>
      </c>
      <c r="O51" s="9" t="n">
        <f aca="false">O50+N51</f>
        <v>57.3</v>
      </c>
      <c r="P51" s="9" t="n">
        <v>46</v>
      </c>
      <c r="Q51" s="9" t="n">
        <f aca="false">0.35+((P51-8)/81)*(1-0.35)</f>
        <v>0.654938271604938</v>
      </c>
      <c r="R51" s="15" t="n">
        <f aca="false">Q51*L51</f>
        <v>0.785925925925926</v>
      </c>
      <c r="S51" s="15" t="n">
        <f aca="false">J51-R51</f>
        <v>-0.485925925925926</v>
      </c>
      <c r="T51" s="15" t="n">
        <f aca="false">MIN(197.4,(T50+S51))</f>
        <v>64.0086419753087</v>
      </c>
      <c r="V51" s="19" t="n">
        <v>567.5</v>
      </c>
      <c r="W51" s="9" t="n">
        <f aca="false">V51/D51</f>
        <v>38.3445945945946</v>
      </c>
      <c r="X51" s="9" t="n">
        <f aca="false">X50+V51</f>
        <v>53290.7</v>
      </c>
      <c r="AA51" s="9" t="n">
        <v>10.79959019941</v>
      </c>
    </row>
    <row r="52" s="9" customFormat="true" ht="15" hidden="false" customHeight="false" outlineLevel="0" collapsed="false">
      <c r="A52" s="10"/>
      <c r="B52" s="11"/>
      <c r="C52" s="12" t="n">
        <v>41930</v>
      </c>
      <c r="D52" s="9" t="n">
        <v>17.1</v>
      </c>
      <c r="E52" s="9" t="n">
        <v>12.9</v>
      </c>
      <c r="F52" s="9" t="n">
        <v>23.5</v>
      </c>
      <c r="G52" s="9" t="n">
        <f aca="false">G51+D52</f>
        <v>728.2</v>
      </c>
      <c r="J52" s="9" t="n">
        <v>0.1</v>
      </c>
      <c r="K52" s="9" t="n">
        <f aca="false">K51+J52</f>
        <v>89.4</v>
      </c>
      <c r="L52" s="9" t="n">
        <v>2.5</v>
      </c>
      <c r="M52" s="9" t="n">
        <f aca="false">M51+L52</f>
        <v>104.7</v>
      </c>
      <c r="N52" s="14" t="n">
        <f aca="false">J52-L52</f>
        <v>-2.4</v>
      </c>
      <c r="O52" s="9" t="n">
        <f aca="false">O51+N52</f>
        <v>54.9</v>
      </c>
      <c r="P52" s="9" t="n">
        <v>47</v>
      </c>
      <c r="Q52" s="9" t="n">
        <f aca="false">0.35+((P52-8)/81)*(1-0.35)</f>
        <v>0.662962962962963</v>
      </c>
      <c r="R52" s="15" t="n">
        <f aca="false">Q52*L52</f>
        <v>1.65740740740741</v>
      </c>
      <c r="S52" s="15" t="n">
        <f aca="false">J52-R52</f>
        <v>-1.55740740740741</v>
      </c>
      <c r="T52" s="15" t="n">
        <f aca="false">MIN(197.4,(T51+S52))</f>
        <v>62.4512345679012</v>
      </c>
      <c r="V52" s="9" t="n">
        <v>1125.1</v>
      </c>
      <c r="W52" s="9" t="n">
        <f aca="false">V52/D52</f>
        <v>65.7953216374269</v>
      </c>
      <c r="X52" s="9" t="n">
        <f aca="false">X51+V52</f>
        <v>54415.8</v>
      </c>
      <c r="AA52" s="9" t="n">
        <v>10.7420671438404</v>
      </c>
    </row>
    <row r="53" s="9" customFormat="true" ht="15" hidden="false" customHeight="false" outlineLevel="0" collapsed="false">
      <c r="A53" s="10"/>
      <c r="B53" s="11"/>
      <c r="C53" s="12" t="n">
        <v>41931</v>
      </c>
      <c r="D53" s="9" t="n">
        <v>17.1</v>
      </c>
      <c r="E53" s="9" t="n">
        <v>13.6</v>
      </c>
      <c r="F53" s="9" t="n">
        <v>21.4</v>
      </c>
      <c r="G53" s="9" t="n">
        <f aca="false">G52+D53</f>
        <v>745.3</v>
      </c>
      <c r="J53" s="9" t="n">
        <v>0</v>
      </c>
      <c r="K53" s="9" t="n">
        <f aca="false">K52+J53</f>
        <v>89.4</v>
      </c>
      <c r="L53" s="9" t="n">
        <v>1.7</v>
      </c>
      <c r="M53" s="9" t="n">
        <f aca="false">M52+L53</f>
        <v>106.4</v>
      </c>
      <c r="N53" s="14" t="n">
        <f aca="false">J53-L53</f>
        <v>-1.7</v>
      </c>
      <c r="O53" s="9" t="n">
        <f aca="false">O52+N53</f>
        <v>53.2</v>
      </c>
      <c r="P53" s="9" t="n">
        <v>48</v>
      </c>
      <c r="Q53" s="9" t="n">
        <f aca="false">0.35+((P53-8)/81)*(1-0.35)</f>
        <v>0.670987654320988</v>
      </c>
      <c r="R53" s="15" t="n">
        <f aca="false">Q53*L53</f>
        <v>1.14067901234568</v>
      </c>
      <c r="S53" s="15" t="n">
        <f aca="false">J53-R53</f>
        <v>-1.14067901234568</v>
      </c>
      <c r="T53" s="15" t="n">
        <f aca="false">MIN(197.4,(T52+S53))</f>
        <v>61.3105555555556</v>
      </c>
      <c r="V53" s="9" t="n">
        <v>988.5</v>
      </c>
      <c r="W53" s="9" t="n">
        <f aca="false">V53/D53</f>
        <v>57.8070175438596</v>
      </c>
      <c r="X53" s="9" t="n">
        <f aca="false">X52+V53</f>
        <v>55404.3</v>
      </c>
      <c r="AA53" s="9" t="n">
        <v>10.6847097474832</v>
      </c>
    </row>
    <row r="54" s="9" customFormat="true" ht="15" hidden="false" customHeight="false" outlineLevel="0" collapsed="false">
      <c r="A54" s="10"/>
      <c r="B54" s="11"/>
      <c r="C54" s="12" t="n">
        <v>41932</v>
      </c>
      <c r="D54" s="9" t="n">
        <v>13.7</v>
      </c>
      <c r="E54" s="9" t="n">
        <v>12.7</v>
      </c>
      <c r="F54" s="9" t="n">
        <v>15.7</v>
      </c>
      <c r="G54" s="9" t="n">
        <f aca="false">G53+D54</f>
        <v>759</v>
      </c>
      <c r="J54" s="9" t="n">
        <v>2.9</v>
      </c>
      <c r="K54" s="9" t="n">
        <f aca="false">K53+J54</f>
        <v>92.3</v>
      </c>
      <c r="L54" s="9" t="n">
        <v>0.6</v>
      </c>
      <c r="M54" s="9" t="n">
        <f aca="false">M53+L54</f>
        <v>107</v>
      </c>
      <c r="N54" s="9" t="n">
        <f aca="false">J54-L54</f>
        <v>2.3</v>
      </c>
      <c r="O54" s="9" t="n">
        <f aca="false">O53+N54</f>
        <v>55.5</v>
      </c>
      <c r="P54" s="9" t="n">
        <v>49</v>
      </c>
      <c r="Q54" s="9" t="n">
        <f aca="false">0.35+((P54-8)/81)*(1-0.35)</f>
        <v>0.679012345679012</v>
      </c>
      <c r="R54" s="15" t="n">
        <f aca="false">Q54*L54</f>
        <v>0.407407407407407</v>
      </c>
      <c r="S54" s="15" t="n">
        <f aca="false">J54-R54</f>
        <v>2.49259259259259</v>
      </c>
      <c r="T54" s="15" t="n">
        <f aca="false">MIN(197.4,(T53+S54))</f>
        <v>63.8031481481482</v>
      </c>
      <c r="V54" s="19" t="n">
        <v>259.3</v>
      </c>
      <c r="W54" s="9" t="n">
        <f aca="false">V54/D54</f>
        <v>18.9270072992701</v>
      </c>
      <c r="X54" s="9" t="n">
        <f aca="false">X53+V54</f>
        <v>55663.6</v>
      </c>
      <c r="AA54" s="9" t="n">
        <v>10.6275295070268</v>
      </c>
    </row>
    <row r="55" s="9" customFormat="true" ht="15" hidden="false" customHeight="false" outlineLevel="0" collapsed="false">
      <c r="A55" s="10"/>
      <c r="B55" s="11"/>
      <c r="C55" s="12" t="n">
        <v>41933</v>
      </c>
      <c r="D55" s="9" t="n">
        <v>12.1</v>
      </c>
      <c r="E55" s="9" t="n">
        <v>10.8</v>
      </c>
      <c r="F55" s="9" t="n">
        <v>15.8</v>
      </c>
      <c r="G55" s="9" t="n">
        <f aca="false">G54+D55</f>
        <v>771.1</v>
      </c>
      <c r="J55" s="9" t="n">
        <v>1.4</v>
      </c>
      <c r="K55" s="9" t="n">
        <f aca="false">K54+J55</f>
        <v>93.7</v>
      </c>
      <c r="L55" s="9" t="n">
        <v>1.3</v>
      </c>
      <c r="M55" s="9" t="n">
        <f aca="false">M54+L55</f>
        <v>108.3</v>
      </c>
      <c r="N55" s="9" t="n">
        <f aca="false">J55-L55</f>
        <v>0.0999999999999999</v>
      </c>
      <c r="O55" s="9" t="n">
        <f aca="false">O54+N55</f>
        <v>55.6</v>
      </c>
      <c r="P55" s="9" t="n">
        <v>50</v>
      </c>
      <c r="Q55" s="9" t="n">
        <f aca="false">0.35+((P55-8)/81)*(1-0.35)</f>
        <v>0.687037037037037</v>
      </c>
      <c r="R55" s="15" t="n">
        <f aca="false">Q55*L55</f>
        <v>0.893148148148148</v>
      </c>
      <c r="S55" s="15" t="n">
        <f aca="false">J55-R55</f>
        <v>0.506851851851852</v>
      </c>
      <c r="T55" s="15" t="n">
        <f aca="false">MIN(197.4,(T54+S55))</f>
        <v>64.31</v>
      </c>
      <c r="V55" s="19" t="n">
        <v>291.1</v>
      </c>
      <c r="W55" s="9" t="n">
        <f aca="false">V55/D55</f>
        <v>24.0578512396694</v>
      </c>
      <c r="X55" s="9" t="n">
        <f aca="false">X54+V55</f>
        <v>55954.7</v>
      </c>
      <c r="AA55" s="9" t="n">
        <v>10.5705384019286</v>
      </c>
    </row>
    <row r="56" s="9" customFormat="true" ht="15" hidden="false" customHeight="false" outlineLevel="0" collapsed="false">
      <c r="A56" s="10"/>
      <c r="B56" s="11"/>
      <c r="C56" s="12" t="n">
        <v>41934</v>
      </c>
      <c r="D56" s="9" t="n">
        <v>8.9</v>
      </c>
      <c r="E56" s="9" t="n">
        <v>5.6</v>
      </c>
      <c r="F56" s="9" t="n">
        <v>12.3</v>
      </c>
      <c r="G56" s="9" t="n">
        <f aca="false">G55+D56</f>
        <v>780</v>
      </c>
      <c r="J56" s="9" t="n">
        <v>0</v>
      </c>
      <c r="K56" s="9" t="n">
        <f aca="false">K55+J56</f>
        <v>93.7</v>
      </c>
      <c r="L56" s="9" t="n">
        <v>1.4</v>
      </c>
      <c r="M56" s="9" t="n">
        <f aca="false">M55+L56</f>
        <v>109.7</v>
      </c>
      <c r="N56" s="14" t="n">
        <f aca="false">J56-L56</f>
        <v>-1.4</v>
      </c>
      <c r="O56" s="9" t="n">
        <f aca="false">O55+N56</f>
        <v>54.2</v>
      </c>
      <c r="P56" s="9" t="n">
        <v>51</v>
      </c>
      <c r="Q56" s="9" t="n">
        <f aca="false">0.35+((P56-8)/81)*(1-0.35)</f>
        <v>0.695061728395062</v>
      </c>
      <c r="R56" s="15" t="n">
        <f aca="false">Q56*L56</f>
        <v>0.973086419753086</v>
      </c>
      <c r="S56" s="15" t="n">
        <f aca="false">J56-R56</f>
        <v>-0.973086419753086</v>
      </c>
      <c r="T56" s="15" t="n">
        <f aca="false">MIN(197.4,(T55+S56))</f>
        <v>63.3369135802469</v>
      </c>
      <c r="V56" s="9" t="n">
        <v>986.6</v>
      </c>
      <c r="W56" s="9" t="n">
        <f aca="false">V56/D56</f>
        <v>110.85393258427</v>
      </c>
      <c r="X56" s="9" t="n">
        <f aca="false">X55+V56</f>
        <v>56941.3</v>
      </c>
      <c r="AA56" s="9" t="n">
        <v>10.5137489122026</v>
      </c>
    </row>
    <row r="57" s="9" customFormat="true" ht="15" hidden="false" customHeight="false" outlineLevel="0" collapsed="false">
      <c r="A57" s="10"/>
      <c r="B57" s="11"/>
      <c r="C57" s="12" t="n">
        <v>41935</v>
      </c>
      <c r="D57" s="9" t="n">
        <v>11.1</v>
      </c>
      <c r="E57" s="9" t="n">
        <v>8.9</v>
      </c>
      <c r="F57" s="9" t="n">
        <v>13.4</v>
      </c>
      <c r="G57" s="9" t="n">
        <f aca="false">G56+D57</f>
        <v>791.1</v>
      </c>
      <c r="J57" s="9" t="n">
        <v>0</v>
      </c>
      <c r="K57" s="9" t="n">
        <f aca="false">K56+J57</f>
        <v>93.7</v>
      </c>
      <c r="L57" s="9" t="n">
        <v>1</v>
      </c>
      <c r="M57" s="9" t="n">
        <f aca="false">M56+L57</f>
        <v>110.7</v>
      </c>
      <c r="N57" s="14" t="n">
        <f aca="false">J57-L57</f>
        <v>-1</v>
      </c>
      <c r="O57" s="9" t="n">
        <f aca="false">O56+N57</f>
        <v>53.2</v>
      </c>
      <c r="P57" s="9" t="n">
        <v>52</v>
      </c>
      <c r="Q57" s="9" t="n">
        <f aca="false">0.35+((P57-8)/81)*(1-0.35)</f>
        <v>0.703086419753086</v>
      </c>
      <c r="R57" s="15" t="n">
        <f aca="false">Q57*L57</f>
        <v>0.703086419753086</v>
      </c>
      <c r="S57" s="15" t="n">
        <f aca="false">J57-R57</f>
        <v>-0.703086419753086</v>
      </c>
      <c r="T57" s="15" t="n">
        <f aca="false">MIN(197.4,(T56+S57))</f>
        <v>62.6338271604938</v>
      </c>
      <c r="V57" s="19" t="n">
        <v>390.3</v>
      </c>
      <c r="W57" s="9" t="n">
        <f aca="false">V57/D57</f>
        <v>35.1621621621622</v>
      </c>
      <c r="X57" s="9" t="n">
        <f aca="false">X56+V57</f>
        <v>57331.6</v>
      </c>
      <c r="AA57" s="9" t="n">
        <v>10.4571740358559</v>
      </c>
    </row>
    <row r="58" s="9" customFormat="true" ht="15" hidden="false" customHeight="false" outlineLevel="0" collapsed="false">
      <c r="A58" s="10"/>
      <c r="B58" s="11"/>
      <c r="C58" s="12" t="n">
        <v>41936</v>
      </c>
      <c r="D58" s="9" t="n">
        <v>11.5</v>
      </c>
      <c r="E58" s="9" t="n">
        <v>10.5</v>
      </c>
      <c r="F58" s="9" t="n">
        <v>14.5</v>
      </c>
      <c r="G58" s="9" t="n">
        <f aca="false">G57+D58</f>
        <v>802.6</v>
      </c>
      <c r="J58" s="9" t="n">
        <v>0.2</v>
      </c>
      <c r="K58" s="9" t="n">
        <f aca="false">K57+J58</f>
        <v>93.9</v>
      </c>
      <c r="L58" s="9" t="n">
        <v>0.9</v>
      </c>
      <c r="M58" s="9" t="n">
        <f aca="false">M57+L58</f>
        <v>111.6</v>
      </c>
      <c r="N58" s="14" t="n">
        <f aca="false">J58-L58</f>
        <v>-0.7</v>
      </c>
      <c r="O58" s="9" t="n">
        <f aca="false">O57+N58</f>
        <v>52.5</v>
      </c>
      <c r="P58" s="9" t="n">
        <v>53</v>
      </c>
      <c r="Q58" s="9" t="n">
        <f aca="false">0.35+((P58-8)/81)*(1-0.35)</f>
        <v>0.711111111111111</v>
      </c>
      <c r="R58" s="15" t="n">
        <f aca="false">Q58*L58</f>
        <v>0.64</v>
      </c>
      <c r="S58" s="15" t="n">
        <f aca="false">J58-R58</f>
        <v>-0.44</v>
      </c>
      <c r="T58" s="15" t="n">
        <f aca="false">MIN(197.4,(T57+S58))</f>
        <v>62.1938271604938</v>
      </c>
      <c r="V58" s="19" t="n">
        <v>315.6</v>
      </c>
      <c r="W58" s="9" t="n">
        <f aca="false">V58/D58</f>
        <v>27.4434782608696</v>
      </c>
      <c r="X58" s="9" t="n">
        <f aca="false">X57+V58</f>
        <v>57647.2</v>
      </c>
      <c r="AA58" s="9" t="n">
        <v>10.4008273059063</v>
      </c>
    </row>
    <row r="59" s="9" customFormat="true" ht="15" hidden="false" customHeight="false" outlineLevel="0" collapsed="false">
      <c r="A59" s="10"/>
      <c r="B59" s="11"/>
      <c r="C59" s="12" t="n">
        <v>41937</v>
      </c>
      <c r="D59" s="9" t="n">
        <v>12.2</v>
      </c>
      <c r="E59" s="9" t="n">
        <v>8.6</v>
      </c>
      <c r="F59" s="9" t="n">
        <v>15.6</v>
      </c>
      <c r="G59" s="9" t="n">
        <f aca="false">G58+D59</f>
        <v>814.8</v>
      </c>
      <c r="J59" s="9" t="n">
        <v>0.2</v>
      </c>
      <c r="K59" s="9" t="n">
        <f aca="false">K58+J59</f>
        <v>94.1</v>
      </c>
      <c r="L59" s="9" t="n">
        <v>0.5</v>
      </c>
      <c r="M59" s="9" t="n">
        <f aca="false">M58+L59</f>
        <v>112.1</v>
      </c>
      <c r="N59" s="14" t="n">
        <f aca="false">J59-L59</f>
        <v>-0.3</v>
      </c>
      <c r="O59" s="9" t="n">
        <f aca="false">O58+N59</f>
        <v>52.2</v>
      </c>
      <c r="P59" s="9" t="n">
        <v>54</v>
      </c>
      <c r="Q59" s="9" t="n">
        <f aca="false">0.35+((P59-8)/81)*(1-0.35)</f>
        <v>0.719135802469136</v>
      </c>
      <c r="R59" s="15" t="n">
        <f aca="false">Q59*L59</f>
        <v>0.359567901234568</v>
      </c>
      <c r="S59" s="15" t="n">
        <f aca="false">J59-R59</f>
        <v>-0.159567901234568</v>
      </c>
      <c r="T59" s="15" t="n">
        <f aca="false">MIN(197.4,(T58+S59))</f>
        <v>62.0342592592593</v>
      </c>
      <c r="V59" s="19" t="n">
        <v>269.5</v>
      </c>
      <c r="W59" s="9" t="n">
        <f aca="false">V59/D59</f>
        <v>22.0901639344262</v>
      </c>
      <c r="X59" s="9" t="n">
        <f aca="false">X58+V59</f>
        <v>57916.7</v>
      </c>
      <c r="AA59" s="9" t="n">
        <v>10.3447228069036</v>
      </c>
    </row>
    <row r="60" s="9" customFormat="true" ht="15" hidden="false" customHeight="false" outlineLevel="0" collapsed="false">
      <c r="A60" s="10"/>
      <c r="B60" s="11"/>
      <c r="C60" s="12" t="n">
        <v>41938</v>
      </c>
      <c r="D60" s="9" t="n">
        <v>12.6</v>
      </c>
      <c r="E60" s="9" t="n">
        <v>10.2</v>
      </c>
      <c r="F60" s="9" t="n">
        <v>17.1</v>
      </c>
      <c r="G60" s="9" t="n">
        <f aca="false">G59+D60</f>
        <v>827.4</v>
      </c>
      <c r="J60" s="9" t="n">
        <v>0</v>
      </c>
      <c r="K60" s="9" t="n">
        <f aca="false">K59+J60</f>
        <v>94.1</v>
      </c>
      <c r="L60" s="9" t="n">
        <v>0.9</v>
      </c>
      <c r="M60" s="9" t="n">
        <f aca="false">M59+L60</f>
        <v>113</v>
      </c>
      <c r="N60" s="14" t="n">
        <f aca="false">J60-L60</f>
        <v>-0.9</v>
      </c>
      <c r="O60" s="9" t="n">
        <f aca="false">O59+N60</f>
        <v>51.3</v>
      </c>
      <c r="P60" s="9" t="n">
        <v>55</v>
      </c>
      <c r="Q60" s="9" t="n">
        <f aca="false">0.35+((P60-8)/81)*(1-0.35)</f>
        <v>0.727160493827161</v>
      </c>
      <c r="R60" s="15" t="n">
        <f aca="false">Q60*L60</f>
        <v>0.654444444444445</v>
      </c>
      <c r="S60" s="15" t="n">
        <f aca="false">J60-R60</f>
        <v>-0.654444444444445</v>
      </c>
      <c r="T60" s="15" t="n">
        <f aca="false">MIN(197.4,(T59+S60))</f>
        <v>61.3798148148148</v>
      </c>
      <c r="V60" s="19" t="n">
        <v>430.4</v>
      </c>
      <c r="W60" s="9" t="n">
        <f aca="false">V60/D60</f>
        <v>34.1587301587302</v>
      </c>
      <c r="X60" s="9" t="n">
        <f aca="false">X59+V60</f>
        <v>58347.1</v>
      </c>
      <c r="AA60" s="9" t="n">
        <v>10.2888751908738</v>
      </c>
    </row>
    <row r="61" s="9" customFormat="true" ht="15" hidden="false" customHeight="false" outlineLevel="0" collapsed="false">
      <c r="A61" s="10"/>
      <c r="B61" s="11"/>
      <c r="C61" s="12" t="n">
        <v>41939</v>
      </c>
      <c r="D61" s="9" t="n">
        <v>10.7</v>
      </c>
      <c r="E61" s="9" t="n">
        <v>7.3</v>
      </c>
      <c r="F61" s="9" t="n">
        <v>15.1</v>
      </c>
      <c r="G61" s="9" t="n">
        <f aca="false">G60+D61</f>
        <v>838.1</v>
      </c>
      <c r="J61" s="9" t="n">
        <v>0</v>
      </c>
      <c r="K61" s="9" t="n">
        <f aca="false">K60+J61</f>
        <v>94.1</v>
      </c>
      <c r="L61" s="9" t="n">
        <v>1</v>
      </c>
      <c r="M61" s="9" t="n">
        <f aca="false">M60+L61</f>
        <v>114</v>
      </c>
      <c r="N61" s="14" t="n">
        <f aca="false">J61-L61</f>
        <v>-1</v>
      </c>
      <c r="O61" s="9" t="n">
        <f aca="false">O60+N61</f>
        <v>50.3</v>
      </c>
      <c r="P61" s="9" t="n">
        <v>56</v>
      </c>
      <c r="Q61" s="9" t="n">
        <f aca="false">0.35+((P61-8)/81)*(1-0.35)</f>
        <v>0.735185185185185</v>
      </c>
      <c r="R61" s="15" t="n">
        <f aca="false">Q61*L61</f>
        <v>0.735185185185185</v>
      </c>
      <c r="S61" s="15" t="n">
        <f aca="false">J61-R61</f>
        <v>-0.735185185185185</v>
      </c>
      <c r="T61" s="15" t="n">
        <f aca="false">MIN(197.4,(T60+S61))</f>
        <v>60.6446296296296</v>
      </c>
      <c r="V61" s="19" t="n">
        <v>639.9</v>
      </c>
      <c r="W61" s="9" t="n">
        <f aca="false">V61/D61</f>
        <v>59.803738317757</v>
      </c>
      <c r="X61" s="9" t="n">
        <f aca="false">X60+V61</f>
        <v>58987</v>
      </c>
      <c r="AA61" s="9" t="n">
        <v>10.2332996925957</v>
      </c>
    </row>
    <row r="62" s="9" customFormat="true" ht="15" hidden="false" customHeight="false" outlineLevel="0" collapsed="false">
      <c r="A62" s="10"/>
      <c r="B62" s="11"/>
      <c r="C62" s="12" t="n">
        <v>41940</v>
      </c>
      <c r="D62" s="9" t="n">
        <v>9.1</v>
      </c>
      <c r="E62" s="9" t="n">
        <v>7.4</v>
      </c>
      <c r="F62" s="9" t="n">
        <v>10.6</v>
      </c>
      <c r="G62" s="9" t="n">
        <f aca="false">G61+D62</f>
        <v>847.2</v>
      </c>
      <c r="J62" s="9" t="n">
        <v>0.1</v>
      </c>
      <c r="K62" s="9" t="n">
        <f aca="false">K61+J62</f>
        <v>94.2</v>
      </c>
      <c r="L62" s="9" t="n">
        <v>0.4</v>
      </c>
      <c r="M62" s="9" t="n">
        <f aca="false">M61+L62</f>
        <v>114.4</v>
      </c>
      <c r="N62" s="14" t="n">
        <f aca="false">J62-L62</f>
        <v>-0.3</v>
      </c>
      <c r="O62" s="9" t="n">
        <f aca="false">O61+N62</f>
        <v>50</v>
      </c>
      <c r="P62" s="9" t="n">
        <v>57</v>
      </c>
      <c r="Q62" s="9" t="n">
        <f aca="false">0.35+((P62-8)/81)*(1-0.35)</f>
        <v>0.74320987654321</v>
      </c>
      <c r="R62" s="15" t="n">
        <f aca="false">Q62*L62</f>
        <v>0.297283950617284</v>
      </c>
      <c r="S62" s="15" t="n">
        <f aca="false">J62-R62</f>
        <v>-0.197283950617284</v>
      </c>
      <c r="T62" s="15" t="n">
        <f aca="false">MIN(197.4,(T61+S62))</f>
        <v>60.4473456790124</v>
      </c>
      <c r="V62" s="19" t="n">
        <v>284.7</v>
      </c>
      <c r="W62" s="9" t="n">
        <f aca="false">V62/D62</f>
        <v>31.2857142857143</v>
      </c>
      <c r="X62" s="9" t="n">
        <f aca="false">X61+V62</f>
        <v>59271.7</v>
      </c>
      <c r="AA62" s="9" t="n">
        <v>10.1780121441157</v>
      </c>
    </row>
    <row r="63" s="9" customFormat="true" ht="15" hidden="false" customHeight="false" outlineLevel="0" collapsed="false">
      <c r="A63" s="10"/>
      <c r="B63" s="11"/>
      <c r="C63" s="12" t="n">
        <v>41941</v>
      </c>
      <c r="D63" s="9" t="n">
        <v>10.7</v>
      </c>
      <c r="E63" s="9" t="n">
        <v>7.3</v>
      </c>
      <c r="F63" s="9" t="n">
        <v>12.8</v>
      </c>
      <c r="G63" s="9" t="n">
        <f aca="false">G62+D63</f>
        <v>857.9</v>
      </c>
      <c r="J63" s="9" t="n">
        <v>0</v>
      </c>
      <c r="K63" s="9" t="n">
        <f aca="false">K62+J63</f>
        <v>94.2</v>
      </c>
      <c r="L63" s="9" t="n">
        <v>0.7</v>
      </c>
      <c r="M63" s="9" t="n">
        <f aca="false">M62+L63</f>
        <v>115.1</v>
      </c>
      <c r="N63" s="14" t="n">
        <f aca="false">J63-L63</f>
        <v>-0.7</v>
      </c>
      <c r="O63" s="9" t="n">
        <f aca="false">O62+N63</f>
        <v>49.3</v>
      </c>
      <c r="P63" s="9" t="n">
        <v>58</v>
      </c>
      <c r="Q63" s="9" t="n">
        <f aca="false">0.35+((P63-8)/81)*(1-0.35)</f>
        <v>0.751234567901235</v>
      </c>
      <c r="R63" s="15" t="n">
        <f aca="false">Q63*L63</f>
        <v>0.525864197530864</v>
      </c>
      <c r="S63" s="15" t="n">
        <f aca="false">J63-R63</f>
        <v>-0.525864197530864</v>
      </c>
      <c r="T63" s="15" t="n">
        <f aca="false">MIN(197.4,(T62+S63))</f>
        <v>59.9214814814815</v>
      </c>
      <c r="V63" s="19" t="n">
        <v>580.4</v>
      </c>
      <c r="W63" s="9" t="n">
        <f aca="false">V63/D63</f>
        <v>54.2429906542056</v>
      </c>
      <c r="X63" s="9" t="n">
        <f aca="false">X62+V63</f>
        <v>59852.1</v>
      </c>
      <c r="AA63" s="9" t="n">
        <v>10.1230289883966</v>
      </c>
    </row>
    <row r="64" s="9" customFormat="true" ht="15" hidden="false" customHeight="false" outlineLevel="0" collapsed="false">
      <c r="A64" s="10"/>
      <c r="B64" s="11"/>
      <c r="C64" s="12" t="n">
        <v>41942</v>
      </c>
      <c r="D64" s="9" t="n">
        <v>13.6</v>
      </c>
      <c r="E64" s="9" t="n">
        <v>8.9</v>
      </c>
      <c r="F64" s="9" t="n">
        <v>18.7</v>
      </c>
      <c r="G64" s="9" t="n">
        <f aca="false">G63+D64</f>
        <v>871.5</v>
      </c>
      <c r="J64" s="9" t="n">
        <v>0</v>
      </c>
      <c r="K64" s="9" t="n">
        <f aca="false">K63+J64</f>
        <v>94.2</v>
      </c>
      <c r="L64" s="9" t="n">
        <v>1.1</v>
      </c>
      <c r="M64" s="9" t="n">
        <f aca="false">M63+L64</f>
        <v>116.2</v>
      </c>
      <c r="N64" s="14" t="n">
        <f aca="false">J64-L64</f>
        <v>-1.1</v>
      </c>
      <c r="O64" s="9" t="n">
        <f aca="false">O63+N64</f>
        <v>48.2</v>
      </c>
      <c r="P64" s="9" t="n">
        <v>59</v>
      </c>
      <c r="Q64" s="9" t="n">
        <f aca="false">0.35+((P64-8)/81)*(1-0.35)</f>
        <v>0.759259259259259</v>
      </c>
      <c r="R64" s="15" t="n">
        <f aca="false">Q64*L64</f>
        <v>0.835185185185185</v>
      </c>
      <c r="S64" s="15" t="n">
        <f aca="false">J64-R64</f>
        <v>-0.835185185185185</v>
      </c>
      <c r="T64" s="15" t="n">
        <f aca="false">MIN(197.4,(T63+S64))</f>
        <v>59.0862962962963</v>
      </c>
      <c r="V64" s="19" t="n">
        <v>434.9</v>
      </c>
      <c r="W64" s="9" t="n">
        <f aca="false">V64/D64</f>
        <v>31.9779411764706</v>
      </c>
      <c r="X64" s="9" t="n">
        <f aca="false">X63+V64</f>
        <v>60287</v>
      </c>
      <c r="AA64" s="9" t="n">
        <v>10.0683672919924</v>
      </c>
    </row>
    <row r="65" s="9" customFormat="true" ht="15" hidden="false" customHeight="false" outlineLevel="0" collapsed="false">
      <c r="A65" s="10"/>
      <c r="B65" s="11"/>
      <c r="C65" s="12" t="n">
        <v>41943</v>
      </c>
      <c r="D65" s="9" t="n">
        <v>14.7</v>
      </c>
      <c r="E65" s="9" t="n">
        <v>11.8</v>
      </c>
      <c r="F65" s="9" t="n">
        <v>20</v>
      </c>
      <c r="G65" s="9" t="n">
        <f aca="false">G64+D65</f>
        <v>886.2</v>
      </c>
      <c r="J65" s="9" t="n">
        <v>0</v>
      </c>
      <c r="K65" s="9" t="n">
        <f aca="false">K64+J65</f>
        <v>94.2</v>
      </c>
      <c r="L65" s="9" t="n">
        <v>1.6</v>
      </c>
      <c r="M65" s="9" t="n">
        <f aca="false">M64+L65</f>
        <v>117.8</v>
      </c>
      <c r="N65" s="14" t="n">
        <f aca="false">J65-L65</f>
        <v>-1.6</v>
      </c>
      <c r="O65" s="9" t="n">
        <f aca="false">O64+N65</f>
        <v>46.6</v>
      </c>
      <c r="P65" s="9" t="n">
        <v>60</v>
      </c>
      <c r="Q65" s="9" t="n">
        <f aca="false">0.35+((P65-8)/81)*(1-0.35)</f>
        <v>0.767283950617284</v>
      </c>
      <c r="R65" s="15" t="n">
        <f aca="false">Q65*L65</f>
        <v>1.22765432098765</v>
      </c>
      <c r="S65" s="15" t="n">
        <f aca="false">J65-R65</f>
        <v>-1.22765432098765</v>
      </c>
      <c r="T65" s="15" t="n">
        <f aca="false">MIN(197.4,(T64+S65))</f>
        <v>57.8586419753087</v>
      </c>
      <c r="V65" s="19" t="n">
        <v>651.1</v>
      </c>
      <c r="W65" s="9" t="n">
        <f aca="false">V65/D65</f>
        <v>44.2925170068027</v>
      </c>
      <c r="X65" s="9" t="n">
        <f aca="false">X64+V65</f>
        <v>60938.1</v>
      </c>
      <c r="AA65" s="9" t="n">
        <v>10.014044756631</v>
      </c>
    </row>
    <row r="66" s="9" customFormat="true" ht="15" hidden="false" customHeight="false" outlineLevel="0" collapsed="false">
      <c r="A66" s="10"/>
      <c r="B66" s="11"/>
      <c r="C66" s="12" t="n">
        <v>41944</v>
      </c>
      <c r="D66" s="9" t="n">
        <v>14.1</v>
      </c>
      <c r="E66" s="9" t="n">
        <v>9.4</v>
      </c>
      <c r="F66" s="9" t="n">
        <v>19.6</v>
      </c>
      <c r="G66" s="9" t="n">
        <f aca="false">G65+D66</f>
        <v>900.3</v>
      </c>
      <c r="J66" s="9" t="n">
        <v>0</v>
      </c>
      <c r="K66" s="9" t="n">
        <f aca="false">K65+J66</f>
        <v>94.2</v>
      </c>
      <c r="L66" s="9" t="n">
        <v>1.7</v>
      </c>
      <c r="M66" s="9" t="n">
        <f aca="false">M65+L66</f>
        <v>119.5</v>
      </c>
      <c r="N66" s="14" t="n">
        <f aca="false">J66-L66</f>
        <v>-1.7</v>
      </c>
      <c r="O66" s="9" t="n">
        <f aca="false">O65+N66</f>
        <v>44.9</v>
      </c>
      <c r="P66" s="9" t="n">
        <v>61</v>
      </c>
      <c r="Q66" s="9" t="n">
        <f aca="false">0.35+((P66-8)/81)*(1-0.35)</f>
        <v>0.775308641975309</v>
      </c>
      <c r="R66" s="15" t="n">
        <f aca="false">Q66*L66</f>
        <v>1.31802469135802</v>
      </c>
      <c r="S66" s="15" t="n">
        <f aca="false">J66-R66</f>
        <v>-1.31802469135802</v>
      </c>
      <c r="T66" s="15" t="n">
        <f aca="false">MIN(197.4,(T65+S66))</f>
        <v>56.5406172839506</v>
      </c>
      <c r="V66" s="19" t="n">
        <v>898.2</v>
      </c>
      <c r="W66" s="9" t="n">
        <f aca="false">V66/D66</f>
        <v>63.7021276595745</v>
      </c>
      <c r="X66" s="9" t="n">
        <f aca="false">X65+V66</f>
        <v>61836.3</v>
      </c>
      <c r="AA66" s="9" t="n">
        <v>9.96007972958219</v>
      </c>
    </row>
    <row r="67" s="9" customFormat="true" ht="15" hidden="false" customHeight="false" outlineLevel="0" collapsed="false">
      <c r="A67" s="10"/>
      <c r="B67" s="11"/>
      <c r="C67" s="12" t="n">
        <v>41945</v>
      </c>
      <c r="D67" s="9" t="n">
        <v>14.6</v>
      </c>
      <c r="E67" s="9" t="n">
        <v>12.7</v>
      </c>
      <c r="F67" s="9" t="n">
        <v>17</v>
      </c>
      <c r="G67" s="9" t="n">
        <f aca="false">G66+D67</f>
        <v>914.9</v>
      </c>
      <c r="J67" s="9" t="n">
        <v>1.6</v>
      </c>
      <c r="K67" s="9" t="n">
        <f aca="false">K66+J67</f>
        <v>95.8</v>
      </c>
      <c r="L67" s="9" t="n">
        <v>0.9</v>
      </c>
      <c r="M67" s="9" t="n">
        <f aca="false">M66+L67</f>
        <v>120.4</v>
      </c>
      <c r="N67" s="9" t="n">
        <f aca="false">J67-L67</f>
        <v>0.7</v>
      </c>
      <c r="O67" s="9" t="n">
        <f aca="false">O66+N67</f>
        <v>45.6</v>
      </c>
      <c r="P67" s="9" t="n">
        <v>62</v>
      </c>
      <c r="Q67" s="9" t="n">
        <f aca="false">0.35+((P67-8)/81)*(1-0.35)</f>
        <v>0.783333333333333</v>
      </c>
      <c r="R67" s="15" t="n">
        <f aca="false">Q67*L67</f>
        <v>0.705</v>
      </c>
      <c r="S67" s="15" t="n">
        <f aca="false">J67-R67</f>
        <v>0.895</v>
      </c>
      <c r="T67" s="15" t="n">
        <f aca="false">MIN(197.4,(T66+S67))</f>
        <v>57.4356172839506</v>
      </c>
      <c r="V67" s="19" t="n">
        <v>318.9</v>
      </c>
      <c r="W67" s="9" t="n">
        <f aca="false">V67/D67</f>
        <v>21.8424657534247</v>
      </c>
      <c r="X67" s="9" t="n">
        <f aca="false">X66+V67</f>
        <v>62155.2</v>
      </c>
      <c r="AA67" s="9" t="n">
        <v>9.90649121268079</v>
      </c>
    </row>
    <row r="68" s="9" customFormat="true" ht="15" hidden="false" customHeight="false" outlineLevel="0" collapsed="false">
      <c r="A68" s="10"/>
      <c r="B68" s="11"/>
      <c r="C68" s="12" t="n">
        <v>41946</v>
      </c>
      <c r="D68" s="9" t="n">
        <v>13</v>
      </c>
      <c r="E68" s="9" t="n">
        <v>12.8</v>
      </c>
      <c r="F68" s="9" t="n">
        <v>15.2</v>
      </c>
      <c r="G68" s="9" t="n">
        <f aca="false">G67+D68</f>
        <v>927.9</v>
      </c>
      <c r="J68" s="9" t="n">
        <v>8.8</v>
      </c>
      <c r="K68" s="9" t="n">
        <f aca="false">K67+J68</f>
        <v>104.6</v>
      </c>
      <c r="L68" s="9" t="n">
        <v>1.7</v>
      </c>
      <c r="M68" s="9" t="n">
        <f aca="false">M67+L68</f>
        <v>122.1</v>
      </c>
      <c r="N68" s="9" t="n">
        <f aca="false">J68-L68</f>
        <v>7.1</v>
      </c>
      <c r="O68" s="9" t="n">
        <f aca="false">O67+N68</f>
        <v>52.7</v>
      </c>
      <c r="P68" s="9" t="n">
        <v>63</v>
      </c>
      <c r="Q68" s="9" t="n">
        <f aca="false">0.35+((P68-8)/81)*(1-0.35)</f>
        <v>0.791358024691358</v>
      </c>
      <c r="R68" s="15" t="n">
        <f aca="false">Q68*L68</f>
        <v>1.34530864197531</v>
      </c>
      <c r="S68" s="15" t="n">
        <f aca="false">J68-R68</f>
        <v>7.45469135802469</v>
      </c>
      <c r="T68" s="15" t="n">
        <f aca="false">MIN(197.4,(T67+S68))</f>
        <v>64.8903086419753</v>
      </c>
      <c r="V68" s="19" t="n">
        <v>709.4</v>
      </c>
      <c r="W68" s="9" t="n">
        <f aca="false">V68/D68</f>
        <v>54.5692307692308</v>
      </c>
      <c r="X68" s="9" t="n">
        <f aca="false">X67+V68</f>
        <v>62864.6</v>
      </c>
      <c r="AA68" s="9" t="n">
        <v>9.8532988698669</v>
      </c>
    </row>
    <row r="69" s="9" customFormat="true" ht="15" hidden="false" customHeight="false" outlineLevel="0" collapsed="false">
      <c r="A69" s="10"/>
      <c r="B69" s="11"/>
      <c r="C69" s="12" t="n">
        <v>41947</v>
      </c>
      <c r="D69" s="9" t="n">
        <v>8.7</v>
      </c>
      <c r="E69" s="9" t="n">
        <v>8.5</v>
      </c>
      <c r="F69" s="9" t="n">
        <v>10.1</v>
      </c>
      <c r="G69" s="9" t="n">
        <f aca="false">G68+D69</f>
        <v>936.6</v>
      </c>
      <c r="J69" s="9" t="n">
        <v>0</v>
      </c>
      <c r="K69" s="9" t="n">
        <f aca="false">K68+J69</f>
        <v>104.6</v>
      </c>
      <c r="L69" s="9" t="n">
        <v>0.5</v>
      </c>
      <c r="M69" s="9" t="n">
        <f aca="false">M68+L69</f>
        <v>122.6</v>
      </c>
      <c r="N69" s="14" t="n">
        <f aca="false">J69-L69</f>
        <v>-0.5</v>
      </c>
      <c r="O69" s="9" t="n">
        <f aca="false">O68+N69</f>
        <v>52.2</v>
      </c>
      <c r="P69" s="9" t="n">
        <v>64</v>
      </c>
      <c r="Q69" s="9" t="n">
        <f aca="false">0.35+((P69-8)/81)*(1-0.35)</f>
        <v>0.799382716049383</v>
      </c>
      <c r="R69" s="15" t="n">
        <f aca="false">Q69*L69</f>
        <v>0.399691358024691</v>
      </c>
      <c r="S69" s="15" t="n">
        <f aca="false">J69-R69</f>
        <v>-0.399691358024691</v>
      </c>
      <c r="T69" s="15" t="n">
        <f aca="false">MIN(197.4,(T68+S69))</f>
        <v>64.4906172839506</v>
      </c>
      <c r="V69" s="19" t="n">
        <v>401.7</v>
      </c>
      <c r="W69" s="9" t="n">
        <f aca="false">V69/D69</f>
        <v>46.1724137931035</v>
      </c>
      <c r="X69" s="9" t="n">
        <f aca="false">X68+V69</f>
        <v>63266.3</v>
      </c>
      <c r="AA69" s="9" t="n">
        <v>9.8005230331015</v>
      </c>
    </row>
    <row r="70" s="9" customFormat="true" ht="15" hidden="false" customHeight="false" outlineLevel="0" collapsed="false">
      <c r="A70" s="10"/>
      <c r="B70" s="11"/>
      <c r="C70" s="12" t="n">
        <v>41948</v>
      </c>
      <c r="D70" s="9" t="n">
        <v>6.6</v>
      </c>
      <c r="E70" s="20" t="n">
        <v>3.1</v>
      </c>
      <c r="F70" s="9" t="n">
        <v>10.6</v>
      </c>
      <c r="G70" s="9" t="n">
        <f aca="false">G69+D70</f>
        <v>943.2</v>
      </c>
      <c r="J70" s="9" t="n">
        <v>0.1</v>
      </c>
      <c r="K70" s="9" t="n">
        <f aca="false">K69+J70</f>
        <v>104.7</v>
      </c>
      <c r="L70" s="9" t="n">
        <v>0.8</v>
      </c>
      <c r="M70" s="9" t="n">
        <f aca="false">M69+L70</f>
        <v>123.4</v>
      </c>
      <c r="N70" s="14" t="n">
        <f aca="false">J70-L70</f>
        <v>-0.7</v>
      </c>
      <c r="O70" s="9" t="n">
        <f aca="false">O69+N70</f>
        <v>51.5</v>
      </c>
      <c r="P70" s="9" t="n">
        <v>65</v>
      </c>
      <c r="Q70" s="9" t="n">
        <f aca="false">0.35+((P70-8)/81)*(1-0.35)</f>
        <v>0.807407407407407</v>
      </c>
      <c r="R70" s="15" t="n">
        <f aca="false">Q70*L70</f>
        <v>0.645925925925926</v>
      </c>
      <c r="S70" s="15" t="n">
        <f aca="false">J70-R70</f>
        <v>-0.545925925925926</v>
      </c>
      <c r="T70" s="15" t="n">
        <f aca="false">MIN(197.4,(T69+S70))</f>
        <v>63.9446913580247</v>
      </c>
      <c r="V70" s="19" t="n">
        <v>648.8</v>
      </c>
      <c r="W70" s="9" t="n">
        <f aca="false">V70/D70</f>
        <v>98.3030303030303</v>
      </c>
      <c r="X70" s="9" t="n">
        <f aca="false">X69+V70</f>
        <v>63915.1</v>
      </c>
      <c r="AA70" s="9" t="n">
        <v>9.74818470650748</v>
      </c>
    </row>
    <row r="71" s="9" customFormat="true" ht="15" hidden="false" customHeight="false" outlineLevel="0" collapsed="false">
      <c r="A71" s="10"/>
      <c r="B71" s="11"/>
      <c r="C71" s="12" t="n">
        <v>41949</v>
      </c>
      <c r="D71" s="9" t="n">
        <v>7</v>
      </c>
      <c r="E71" s="20" t="n">
        <v>3.5</v>
      </c>
      <c r="F71" s="9" t="n">
        <v>11.8</v>
      </c>
      <c r="G71" s="9" t="n">
        <f aca="false">G70+D71</f>
        <v>950.2</v>
      </c>
      <c r="J71" s="9" t="n">
        <v>0.1</v>
      </c>
      <c r="K71" s="9" t="n">
        <f aca="false">K70+J71</f>
        <v>104.8</v>
      </c>
      <c r="L71" s="9" t="n">
        <v>1.2</v>
      </c>
      <c r="M71" s="9" t="n">
        <f aca="false">M70+L71</f>
        <v>124.6</v>
      </c>
      <c r="N71" s="14" t="n">
        <f aca="false">J71-L71</f>
        <v>-1.1</v>
      </c>
      <c r="O71" s="9" t="n">
        <f aca="false">O70+N71</f>
        <v>50.4</v>
      </c>
      <c r="P71" s="9" t="n">
        <v>66</v>
      </c>
      <c r="Q71" s="9" t="n">
        <f aca="false">0.35+((P71-8)/81)*(1-0.35)</f>
        <v>0.815432098765432</v>
      </c>
      <c r="R71" s="15" t="n">
        <f aca="false">Q71*L71</f>
        <v>0.978518518518518</v>
      </c>
      <c r="S71" s="15" t="n">
        <f aca="false">J71-R71</f>
        <v>-0.878518518518518</v>
      </c>
      <c r="T71" s="15" t="n">
        <f aca="false">MIN(197.4,(T70+S71))</f>
        <v>63.0661728395062</v>
      </c>
      <c r="V71" s="19" t="n">
        <v>869.7</v>
      </c>
      <c r="W71" s="9" t="n">
        <f aca="false">V71/D71</f>
        <v>124.242857142857</v>
      </c>
      <c r="X71" s="9" t="n">
        <f aca="false">X70+V71</f>
        <v>64784.8</v>
      </c>
      <c r="AA71" s="9" t="n">
        <v>9.69630556858229</v>
      </c>
    </row>
    <row r="72" s="9" customFormat="true" ht="15" hidden="false" customHeight="false" outlineLevel="0" collapsed="false">
      <c r="A72" s="10"/>
      <c r="B72" s="11"/>
      <c r="C72" s="12" t="n">
        <v>41950</v>
      </c>
      <c r="D72" s="9" t="n">
        <v>9.9</v>
      </c>
      <c r="E72" s="9" t="n">
        <v>6.6</v>
      </c>
      <c r="F72" s="9" t="n">
        <v>12.3</v>
      </c>
      <c r="G72" s="9" t="n">
        <f aca="false">G71+D72</f>
        <v>960.1</v>
      </c>
      <c r="J72" s="9" t="n">
        <v>4.9</v>
      </c>
      <c r="K72" s="9" t="n">
        <f aca="false">K71+J72</f>
        <v>109.7</v>
      </c>
      <c r="L72" s="9" t="n">
        <v>1</v>
      </c>
      <c r="M72" s="9" t="n">
        <f aca="false">M71+L72</f>
        <v>125.6</v>
      </c>
      <c r="N72" s="9" t="n">
        <f aca="false">J72-L72</f>
        <v>3.9</v>
      </c>
      <c r="O72" s="9" t="n">
        <f aca="false">O71+N72</f>
        <v>54.3</v>
      </c>
      <c r="P72" s="9" t="n">
        <v>67</v>
      </c>
      <c r="Q72" s="9" t="n">
        <f aca="false">0.35+((P72-8)/81)*(1-0.35)</f>
        <v>0.823456790123457</v>
      </c>
      <c r="R72" s="15" t="n">
        <f aca="false">Q72*L72</f>
        <v>0.823456790123457</v>
      </c>
      <c r="S72" s="15" t="n">
        <f aca="false">J72-R72</f>
        <v>4.07654320987654</v>
      </c>
      <c r="T72" s="15" t="n">
        <f aca="false">MIN(197.4,(T71+S72))</f>
        <v>67.1427160493827</v>
      </c>
      <c r="V72" s="19" t="n">
        <v>650.7</v>
      </c>
      <c r="W72" s="9" t="n">
        <f aca="false">V72/D72</f>
        <v>65.7272727272727</v>
      </c>
      <c r="X72" s="9" t="n">
        <f aca="false">X71+V72</f>
        <v>65435.5</v>
      </c>
      <c r="AA72" s="9" t="n">
        <v>9.64490797232294</v>
      </c>
    </row>
    <row r="73" s="9" customFormat="true" ht="15" hidden="false" customHeight="false" outlineLevel="0" collapsed="false">
      <c r="A73" s="10"/>
      <c r="B73" s="11"/>
      <c r="C73" s="12" t="n">
        <v>41951</v>
      </c>
      <c r="D73" s="9" t="n">
        <v>10.4</v>
      </c>
      <c r="E73" s="9" t="n">
        <v>6.5</v>
      </c>
      <c r="F73" s="9" t="n">
        <v>14.1</v>
      </c>
      <c r="G73" s="9" t="n">
        <f aca="false">G72+D73</f>
        <v>970.5</v>
      </c>
      <c r="J73" s="9" t="n">
        <v>0.3</v>
      </c>
      <c r="K73" s="9" t="n">
        <f aca="false">K72+J73</f>
        <v>110</v>
      </c>
      <c r="L73" s="9" t="n">
        <v>0.8</v>
      </c>
      <c r="M73" s="9" t="n">
        <f aca="false">M72+L73</f>
        <v>126.4</v>
      </c>
      <c r="N73" s="14" t="n">
        <f aca="false">J73-L73</f>
        <v>-0.5</v>
      </c>
      <c r="O73" s="9" t="n">
        <f aca="false">O72+N73</f>
        <v>53.8</v>
      </c>
      <c r="P73" s="9" t="n">
        <v>68</v>
      </c>
      <c r="Q73" s="9" t="n">
        <f aca="false">0.35+((P73-8)/81)*(1-0.35)</f>
        <v>0.831481481481482</v>
      </c>
      <c r="R73" s="15" t="n">
        <f aca="false">Q73*L73</f>
        <v>0.665185185185185</v>
      </c>
      <c r="S73" s="15" t="n">
        <f aca="false">J73-R73</f>
        <v>-0.365185185185185</v>
      </c>
      <c r="T73" s="15" t="n">
        <f aca="false">MIN(197.4,(T72+S73))</f>
        <v>66.7775308641975</v>
      </c>
      <c r="V73" s="19" t="n">
        <v>566.5</v>
      </c>
      <c r="W73" s="9" t="n">
        <f aca="false">V73/D73</f>
        <v>54.4711538461539</v>
      </c>
      <c r="X73" s="9" t="n">
        <f aca="false">X72+V73</f>
        <v>66002</v>
      </c>
      <c r="AA73" s="9" t="n">
        <v>9.59401494310056</v>
      </c>
    </row>
    <row r="74" s="9" customFormat="true" ht="15" hidden="false" customHeight="false" outlineLevel="0" collapsed="false">
      <c r="A74" s="10"/>
      <c r="B74" s="11"/>
      <c r="C74" s="12" t="n">
        <v>41952</v>
      </c>
      <c r="D74" s="9" t="n">
        <v>9.8</v>
      </c>
      <c r="E74" s="9" t="n">
        <v>8.1</v>
      </c>
      <c r="F74" s="9" t="n">
        <v>12.1</v>
      </c>
      <c r="G74" s="9" t="n">
        <f aca="false">G73+D74</f>
        <v>980.3</v>
      </c>
      <c r="J74" s="9" t="n">
        <v>0</v>
      </c>
      <c r="K74" s="9" t="n">
        <f aca="false">K73+J74</f>
        <v>110</v>
      </c>
      <c r="L74" s="9" t="n">
        <v>0.7</v>
      </c>
      <c r="M74" s="9" t="n">
        <f aca="false">M73+L74</f>
        <v>127.1</v>
      </c>
      <c r="N74" s="14" t="n">
        <f aca="false">J74-L74</f>
        <v>-0.7</v>
      </c>
      <c r="O74" s="9" t="n">
        <f aca="false">O73+N74</f>
        <v>53.1</v>
      </c>
      <c r="P74" s="9" t="n">
        <v>69</v>
      </c>
      <c r="Q74" s="9" t="n">
        <f aca="false">0.35+((P74-8)/81)*(1-0.35)</f>
        <v>0.839506172839506</v>
      </c>
      <c r="R74" s="15" t="n">
        <f aca="false">Q74*L74</f>
        <v>0.587654320987654</v>
      </c>
      <c r="S74" s="15" t="n">
        <f aca="false">J74-R74</f>
        <v>-0.587654320987654</v>
      </c>
      <c r="T74" s="15" t="n">
        <f aca="false">MIN(197.4,(T73+S74))</f>
        <v>66.1898765432099</v>
      </c>
      <c r="V74" s="19" t="n">
        <v>481.5</v>
      </c>
      <c r="W74" s="9" t="n">
        <f aca="false">V74/D74</f>
        <v>49.1326530612245</v>
      </c>
      <c r="X74" s="9" t="n">
        <f aca="false">X73+V74</f>
        <v>66483.5</v>
      </c>
      <c r="AA74" s="9" t="n">
        <v>9.54365017411869</v>
      </c>
    </row>
    <row r="75" s="9" customFormat="true" ht="15" hidden="false" customHeight="false" outlineLevel="0" collapsed="false">
      <c r="A75" s="10"/>
      <c r="B75" s="11"/>
      <c r="C75" s="12" t="n">
        <v>41953</v>
      </c>
      <c r="D75" s="9" t="n">
        <v>7.9</v>
      </c>
      <c r="E75" s="9" t="n">
        <v>5.9</v>
      </c>
      <c r="F75" s="9" t="n">
        <v>10.7</v>
      </c>
      <c r="G75" s="9" t="n">
        <f aca="false">G74+D75</f>
        <v>988.2</v>
      </c>
      <c r="J75" s="9" t="n">
        <v>0</v>
      </c>
      <c r="K75" s="9" t="n">
        <f aca="false">K74+J75</f>
        <v>110</v>
      </c>
      <c r="L75" s="9" t="n">
        <v>0.7</v>
      </c>
      <c r="M75" s="9" t="n">
        <f aca="false">M74+L75</f>
        <v>127.8</v>
      </c>
      <c r="N75" s="14" t="n">
        <f aca="false">J75-L75</f>
        <v>-0.7</v>
      </c>
      <c r="O75" s="9" t="n">
        <f aca="false">O74+N75</f>
        <v>52.4</v>
      </c>
      <c r="P75" s="9" t="n">
        <v>70</v>
      </c>
      <c r="Q75" s="9" t="n">
        <f aca="false">0.35+((P75-8)/81)*(1-0.35)</f>
        <v>0.847530864197531</v>
      </c>
      <c r="R75" s="15" t="n">
        <f aca="false">Q75*L75</f>
        <v>0.593271604938272</v>
      </c>
      <c r="S75" s="15" t="n">
        <f aca="false">J75-R75</f>
        <v>-0.593271604938272</v>
      </c>
      <c r="T75" s="15" t="n">
        <f aca="false">MIN(197.4,(T74+S75))</f>
        <v>65.5966049382716</v>
      </c>
      <c r="V75" s="19" t="n">
        <v>357.2</v>
      </c>
      <c r="W75" s="9" t="n">
        <f aca="false">V75/D75</f>
        <v>45.2151898734177</v>
      </c>
      <c r="X75" s="9" t="n">
        <f aca="false">X74+V75</f>
        <v>66840.7</v>
      </c>
      <c r="AA75" s="9" t="n">
        <v>9.49383801928761</v>
      </c>
    </row>
    <row r="76" s="9" customFormat="true" ht="15" hidden="false" customHeight="false" outlineLevel="0" collapsed="false">
      <c r="A76" s="10"/>
      <c r="B76" s="11"/>
      <c r="C76" s="12" t="n">
        <v>41954</v>
      </c>
      <c r="D76" s="9" t="n">
        <v>10.1</v>
      </c>
      <c r="E76" s="9" t="n">
        <v>5.3</v>
      </c>
      <c r="F76" s="9" t="n">
        <v>15.3</v>
      </c>
      <c r="G76" s="9" t="n">
        <f aca="false">G75+D76</f>
        <v>998.3</v>
      </c>
      <c r="J76" s="9" t="n">
        <v>2.4</v>
      </c>
      <c r="K76" s="9" t="n">
        <f aca="false">K75+J76</f>
        <v>112.4</v>
      </c>
      <c r="L76" s="9" t="n">
        <v>1.2</v>
      </c>
      <c r="M76" s="9" t="n">
        <f aca="false">M75+L76</f>
        <v>129</v>
      </c>
      <c r="N76" s="9" t="n">
        <f aca="false">J76-L76</f>
        <v>1.2</v>
      </c>
      <c r="O76" s="9" t="n">
        <f aca="false">O75+N76</f>
        <v>53.6</v>
      </c>
      <c r="P76" s="9" t="n">
        <v>71</v>
      </c>
      <c r="Q76" s="9" t="n">
        <f aca="false">0.35+((P76-8)/81)*(1-0.35)</f>
        <v>0.855555555555556</v>
      </c>
      <c r="R76" s="15" t="n">
        <f aca="false">Q76*L76</f>
        <v>1.02666666666667</v>
      </c>
      <c r="S76" s="15" t="n">
        <f aca="false">J76-R76</f>
        <v>1.37333333333333</v>
      </c>
      <c r="T76" s="15" t="n">
        <f aca="false">MIN(197.4,(T75+S76))</f>
        <v>66.969938271605</v>
      </c>
      <c r="V76" s="19" t="n">
        <v>660.4</v>
      </c>
      <c r="W76" s="9" t="n">
        <f aca="false">V76/D76</f>
        <v>65.3861386138614</v>
      </c>
      <c r="X76" s="9" t="n">
        <f aca="false">X75+V76</f>
        <v>67501.1</v>
      </c>
      <c r="AA76" s="9" t="n">
        <v>9.44460348334609</v>
      </c>
    </row>
    <row r="77" s="9" customFormat="true" ht="15" hidden="false" customHeight="false" outlineLevel="0" collapsed="false">
      <c r="A77" s="10"/>
      <c r="B77" s="11"/>
      <c r="C77" s="12" t="n">
        <v>41955</v>
      </c>
      <c r="D77" s="9" t="n">
        <v>9.9</v>
      </c>
      <c r="E77" s="9" t="n">
        <v>8.1</v>
      </c>
      <c r="F77" s="9" t="n">
        <v>13.2</v>
      </c>
      <c r="G77" s="9" t="n">
        <f aca="false">G76+D77</f>
        <v>1008.2</v>
      </c>
      <c r="J77" s="9" t="n">
        <v>0</v>
      </c>
      <c r="K77" s="9" t="n">
        <f aca="false">K76+J77</f>
        <v>112.4</v>
      </c>
      <c r="L77" s="9" t="n">
        <v>1</v>
      </c>
      <c r="M77" s="9" t="n">
        <f aca="false">M76+L77</f>
        <v>130</v>
      </c>
      <c r="N77" s="14" t="n">
        <f aca="false">J77-L77</f>
        <v>-1</v>
      </c>
      <c r="O77" s="9" t="n">
        <f aca="false">O76+N77</f>
        <v>52.6</v>
      </c>
      <c r="P77" s="9" t="n">
        <v>72</v>
      </c>
      <c r="Q77" s="9" t="n">
        <f aca="false">0.35+((P77-8)/81)*(1-0.35)</f>
        <v>0.86358024691358</v>
      </c>
      <c r="R77" s="15" t="n">
        <f aca="false">Q77*L77</f>
        <v>0.86358024691358</v>
      </c>
      <c r="S77" s="15" t="n">
        <f aca="false">J77-R77</f>
        <v>-0.86358024691358</v>
      </c>
      <c r="T77" s="15" t="n">
        <f aca="false">MIN(197.4,(T76+S77))</f>
        <v>66.1063580246914</v>
      </c>
      <c r="V77" s="19" t="n">
        <v>611.1</v>
      </c>
      <c r="W77" s="9" t="n">
        <f aca="false">V77/D77</f>
        <v>61.7272727272727</v>
      </c>
      <c r="X77" s="9" t="n">
        <f aca="false">X76+V77</f>
        <v>68112.2</v>
      </c>
      <c r="AA77" s="9" t="n">
        <v>9.39597220906324</v>
      </c>
    </row>
    <row r="78" s="9" customFormat="true" ht="15" hidden="false" customHeight="false" outlineLevel="0" collapsed="false">
      <c r="A78" s="10"/>
      <c r="B78" s="11"/>
      <c r="C78" s="12" t="n">
        <v>41956</v>
      </c>
      <c r="D78" s="9" t="n">
        <v>9.6</v>
      </c>
      <c r="E78" s="9" t="n">
        <v>6</v>
      </c>
      <c r="F78" s="9" t="n">
        <v>13.5</v>
      </c>
      <c r="G78" s="9" t="n">
        <f aca="false">G77+D78</f>
        <v>1017.8</v>
      </c>
      <c r="J78" s="9" t="n">
        <v>0</v>
      </c>
      <c r="K78" s="9" t="n">
        <f aca="false">K77+J78</f>
        <v>112.4</v>
      </c>
      <c r="L78" s="9" t="n">
        <v>0.8</v>
      </c>
      <c r="M78" s="9" t="n">
        <f aca="false">M77+L78</f>
        <v>130.8</v>
      </c>
      <c r="N78" s="14" t="n">
        <f aca="false">J78-L78</f>
        <v>-0.8</v>
      </c>
      <c r="O78" s="9" t="n">
        <f aca="false">O77+N78</f>
        <v>51.8</v>
      </c>
      <c r="P78" s="9" t="n">
        <v>73</v>
      </c>
      <c r="Q78" s="9" t="n">
        <f aca="false">0.35+((P78-8)/81)*(1-0.35)</f>
        <v>0.871604938271605</v>
      </c>
      <c r="R78" s="15" t="n">
        <f aca="false">Q78*L78</f>
        <v>0.697283950617284</v>
      </c>
      <c r="S78" s="15" t="n">
        <f aca="false">J78-R78</f>
        <v>-0.697283950617284</v>
      </c>
      <c r="T78" s="15" t="n">
        <f aca="false">MIN(197.4,(T77+S78))</f>
        <v>65.4090740740741</v>
      </c>
      <c r="V78" s="19" t="n">
        <v>487.2</v>
      </c>
      <c r="W78" s="9" t="n">
        <f aca="false">V78/D78</f>
        <v>50.75</v>
      </c>
      <c r="X78" s="9" t="n">
        <f aca="false">X77+V78</f>
        <v>68599.4</v>
      </c>
      <c r="AA78" s="9" t="n">
        <v>9.347970461355</v>
      </c>
    </row>
    <row r="79" s="9" customFormat="true" ht="15" hidden="false" customHeight="false" outlineLevel="0" collapsed="false">
      <c r="A79" s="10"/>
      <c r="B79" s="11"/>
      <c r="C79" s="12" t="n">
        <v>41957</v>
      </c>
      <c r="D79" s="9" t="n">
        <v>9.3</v>
      </c>
      <c r="E79" s="9" t="n">
        <v>7.8</v>
      </c>
      <c r="F79" s="9" t="n">
        <v>10.1</v>
      </c>
      <c r="G79" s="9" t="n">
        <f aca="false">G78+D79</f>
        <v>1027.1</v>
      </c>
      <c r="J79" s="9" t="n">
        <v>23</v>
      </c>
      <c r="K79" s="9" t="n">
        <f aca="false">K78+J79</f>
        <v>135.4</v>
      </c>
      <c r="L79" s="9" t="n">
        <v>0.3</v>
      </c>
      <c r="M79" s="9" t="n">
        <f aca="false">M78+L79</f>
        <v>131.1</v>
      </c>
      <c r="N79" s="9" t="n">
        <f aca="false">J79-L79</f>
        <v>22.7</v>
      </c>
      <c r="O79" s="9" t="n">
        <f aca="false">O78+N79</f>
        <v>74.5</v>
      </c>
      <c r="P79" s="9" t="n">
        <v>74</v>
      </c>
      <c r="Q79" s="9" t="n">
        <f aca="false">0.35+((P79-8)/81)*(1-0.35)</f>
        <v>0.87962962962963</v>
      </c>
      <c r="R79" s="15" t="n">
        <f aca="false">Q79*L79</f>
        <v>0.263888888888889</v>
      </c>
      <c r="S79" s="15" t="n">
        <f aca="false">J79-R79</f>
        <v>22.7361111111111</v>
      </c>
      <c r="T79" s="15" t="n">
        <f aca="false">MIN(197.4,(T78+S79))</f>
        <v>88.1451851851852</v>
      </c>
      <c r="V79" s="19" t="n">
        <v>120.5</v>
      </c>
      <c r="W79" s="9" t="n">
        <f aca="false">V79/D79</f>
        <v>12.9569892473118</v>
      </c>
      <c r="X79" s="9" t="n">
        <f aca="false">X78+V79</f>
        <v>68719.9</v>
      </c>
      <c r="AA79" s="9" t="n">
        <v>9.30062510815411</v>
      </c>
    </row>
    <row r="80" s="9" customFormat="true" ht="15" hidden="false" customHeight="false" outlineLevel="0" collapsed="false">
      <c r="A80" s="10"/>
      <c r="B80" s="11"/>
      <c r="C80" s="12" t="n">
        <v>41958</v>
      </c>
      <c r="D80" s="9" t="n">
        <v>9.7</v>
      </c>
      <c r="E80" s="9" t="n">
        <v>9.2</v>
      </c>
      <c r="F80" s="9" t="n">
        <v>11.1</v>
      </c>
      <c r="G80" s="9" t="n">
        <f aca="false">G79+D80</f>
        <v>1036.8</v>
      </c>
      <c r="J80" s="9" t="n">
        <v>0.5</v>
      </c>
      <c r="K80" s="9" t="n">
        <f aca="false">K79+J80</f>
        <v>135.9</v>
      </c>
      <c r="L80" s="9" t="n">
        <v>0.3</v>
      </c>
      <c r="M80" s="9" t="n">
        <f aca="false">M79+L80</f>
        <v>131.4</v>
      </c>
      <c r="N80" s="9" t="n">
        <f aca="false">J80-L80</f>
        <v>0.2</v>
      </c>
      <c r="O80" s="9" t="n">
        <f aca="false">O79+N80</f>
        <v>74.7</v>
      </c>
      <c r="P80" s="9" t="n">
        <v>75</v>
      </c>
      <c r="Q80" s="9" t="n">
        <f aca="false">0.35+((P80-8)/81)*(1-0.35)</f>
        <v>0.887654320987654</v>
      </c>
      <c r="R80" s="15" t="n">
        <f aca="false">Q80*L80</f>
        <v>0.266296296296296</v>
      </c>
      <c r="S80" s="15" t="n">
        <f aca="false">J80-R80</f>
        <v>0.233703703703704</v>
      </c>
      <c r="T80" s="15" t="n">
        <f aca="false">MIN(197.4,(T79+S80))</f>
        <v>88.3788888888889</v>
      </c>
      <c r="V80" s="19" t="n">
        <v>164.7</v>
      </c>
      <c r="W80" s="9" t="n">
        <f aca="false">V80/D80</f>
        <v>16.979381443299</v>
      </c>
      <c r="X80" s="9" t="n">
        <f aca="false">X79+V80</f>
        <v>68884.6</v>
      </c>
      <c r="AA80" s="9" t="n">
        <v>9.25396359787851</v>
      </c>
    </row>
    <row r="81" s="9" customFormat="true" ht="15" hidden="false" customHeight="false" outlineLevel="0" collapsed="false">
      <c r="A81" s="10"/>
      <c r="B81" s="11"/>
      <c r="C81" s="12" t="n">
        <v>41959</v>
      </c>
      <c r="D81" s="9" t="n">
        <v>9</v>
      </c>
      <c r="E81" s="9" t="n">
        <v>8.5</v>
      </c>
      <c r="F81" s="9" t="n">
        <v>9.8</v>
      </c>
      <c r="G81" s="9" t="n">
        <f aca="false">G80+D81</f>
        <v>1045.8</v>
      </c>
      <c r="J81" s="9" t="n">
        <v>8</v>
      </c>
      <c r="K81" s="9" t="n">
        <f aca="false">K80+J81</f>
        <v>143.9</v>
      </c>
      <c r="L81" s="9" t="n">
        <v>0.4</v>
      </c>
      <c r="M81" s="9" t="n">
        <f aca="false">M80+L81</f>
        <v>131.8</v>
      </c>
      <c r="N81" s="9" t="n">
        <f aca="false">J81-L81</f>
        <v>7.6</v>
      </c>
      <c r="O81" s="9" t="n">
        <f aca="false">O80+N81</f>
        <v>82.3</v>
      </c>
      <c r="P81" s="9" t="n">
        <v>76</v>
      </c>
      <c r="Q81" s="9" t="n">
        <f aca="false">0.35+((P81-8)/81)*(1-0.35)</f>
        <v>0.895679012345679</v>
      </c>
      <c r="R81" s="15" t="n">
        <f aca="false">Q81*L81</f>
        <v>0.358271604938272</v>
      </c>
      <c r="S81" s="15" t="n">
        <f aca="false">J81-R81</f>
        <v>7.64172839506173</v>
      </c>
      <c r="T81" s="15" t="n">
        <f aca="false">MIN(197.4,(T80+S81))</f>
        <v>96.0206172839506</v>
      </c>
      <c r="V81" s="19" t="n">
        <v>170.9</v>
      </c>
      <c r="W81" s="9" t="n">
        <f aca="false">V81/D81</f>
        <v>18.9888888888889</v>
      </c>
      <c r="X81" s="9" t="n">
        <f aca="false">X80+V81</f>
        <v>69055.5</v>
      </c>
      <c r="AA81" s="9" t="n">
        <v>9.2080139333511</v>
      </c>
    </row>
    <row r="82" s="9" customFormat="true" ht="15" hidden="false" customHeight="false" outlineLevel="0" collapsed="false">
      <c r="A82" s="10"/>
      <c r="B82" s="11"/>
      <c r="C82" s="12" t="n">
        <v>41960</v>
      </c>
      <c r="D82" s="9" t="n">
        <v>8.4</v>
      </c>
      <c r="E82" s="9" t="n">
        <v>8</v>
      </c>
      <c r="F82" s="9" t="n">
        <v>9.7</v>
      </c>
      <c r="G82" s="9" t="n">
        <f aca="false">G81+D82</f>
        <v>1054.2</v>
      </c>
      <c r="J82" s="9" t="n">
        <v>2.5</v>
      </c>
      <c r="K82" s="9" t="n">
        <f aca="false">K81+J82</f>
        <v>146.4</v>
      </c>
      <c r="L82" s="9" t="n">
        <v>0.4</v>
      </c>
      <c r="M82" s="9" t="n">
        <f aca="false">M81+L82</f>
        <v>132.2</v>
      </c>
      <c r="N82" s="9" t="n">
        <f aca="false">J82-L82</f>
        <v>2.1</v>
      </c>
      <c r="O82" s="9" t="n">
        <f aca="false">O81+N82</f>
        <v>84.4</v>
      </c>
      <c r="P82" s="9" t="n">
        <v>77</v>
      </c>
      <c r="Q82" s="9" t="n">
        <f aca="false">0.35+((P82-8)/81)*(1-0.35)</f>
        <v>0.903703703703704</v>
      </c>
      <c r="R82" s="15" t="n">
        <f aca="false">Q82*L82</f>
        <v>0.361481481481482</v>
      </c>
      <c r="S82" s="15" t="n">
        <f aca="false">J82-R82</f>
        <v>2.13851851851852</v>
      </c>
      <c r="T82" s="15" t="n">
        <f aca="false">MIN(197.4,(T81+S82))</f>
        <v>98.1591358024692</v>
      </c>
      <c r="V82" s="19" t="n">
        <v>255</v>
      </c>
      <c r="W82" s="9" t="n">
        <f aca="false">V82/D82</f>
        <v>30.3571428571429</v>
      </c>
      <c r="X82" s="9" t="n">
        <f aca="false">X81+V82</f>
        <v>69310.5</v>
      </c>
      <c r="AA82" s="9" t="n">
        <v>9.16280464203436</v>
      </c>
    </row>
    <row r="83" s="9" customFormat="true" ht="15" hidden="false" customHeight="false" outlineLevel="0" collapsed="false">
      <c r="A83" s="10"/>
      <c r="B83" s="11"/>
      <c r="C83" s="12" t="n">
        <v>41961</v>
      </c>
      <c r="D83" s="9" t="n">
        <v>7.8</v>
      </c>
      <c r="E83" s="9" t="n">
        <v>7.5</v>
      </c>
      <c r="F83" s="9" t="n">
        <v>9.5</v>
      </c>
      <c r="G83" s="9" t="n">
        <f aca="false">G82+D83</f>
        <v>1062</v>
      </c>
      <c r="J83" s="9" t="n">
        <v>0.7</v>
      </c>
      <c r="K83" s="9" t="n">
        <f aca="false">K82+J83</f>
        <v>147.1</v>
      </c>
      <c r="L83" s="9" t="n">
        <v>0.3</v>
      </c>
      <c r="M83" s="9" t="n">
        <f aca="false">M82+L83</f>
        <v>132.5</v>
      </c>
      <c r="N83" s="9" t="n">
        <f aca="false">J83-L83</f>
        <v>0.4</v>
      </c>
      <c r="O83" s="9" t="n">
        <f aca="false">O82+N83</f>
        <v>84.8</v>
      </c>
      <c r="P83" s="9" t="n">
        <v>78</v>
      </c>
      <c r="Q83" s="9" t="n">
        <f aca="false">0.35+((P83-8)/81)*(1-0.35)</f>
        <v>0.911728395061728</v>
      </c>
      <c r="R83" s="15" t="n">
        <f aca="false">Q83*L83</f>
        <v>0.273518518518519</v>
      </c>
      <c r="S83" s="15" t="n">
        <f aca="false">J83-R83</f>
        <v>0.426481481481481</v>
      </c>
      <c r="T83" s="15" t="n">
        <f aca="false">MIN(197.4,(T82+S83))</f>
        <v>98.5856172839507</v>
      </c>
      <c r="V83" s="19" t="n">
        <v>149.1</v>
      </c>
      <c r="W83" s="9" t="n">
        <f aca="false">V83/D83</f>
        <v>19.1153846153846</v>
      </c>
      <c r="X83" s="9" t="n">
        <f aca="false">X82+V83</f>
        <v>69459.6</v>
      </c>
      <c r="AA83" s="9" t="n">
        <v>9.11836474245608</v>
      </c>
    </row>
    <row r="84" s="9" customFormat="true" ht="15" hidden="false" customHeight="false" outlineLevel="0" collapsed="false">
      <c r="A84" s="10"/>
      <c r="B84" s="11"/>
      <c r="C84" s="12" t="n">
        <v>41962</v>
      </c>
      <c r="D84" s="9" t="n">
        <v>5.7</v>
      </c>
      <c r="E84" s="20" t="n">
        <v>3.6</v>
      </c>
      <c r="F84" s="9" t="n">
        <v>7.2</v>
      </c>
      <c r="G84" s="9" t="n">
        <f aca="false">G83+D84</f>
        <v>1067.7</v>
      </c>
      <c r="J84" s="9" t="n">
        <v>0.2</v>
      </c>
      <c r="K84" s="9" t="n">
        <f aca="false">K83+J84</f>
        <v>147.3</v>
      </c>
      <c r="L84" s="9" t="n">
        <v>0.3</v>
      </c>
      <c r="M84" s="9" t="n">
        <f aca="false">M83+L84</f>
        <v>132.8</v>
      </c>
      <c r="N84" s="14" t="n">
        <f aca="false">J84-L84</f>
        <v>-0.1</v>
      </c>
      <c r="O84" s="9" t="n">
        <f aca="false">O83+N84</f>
        <v>84.7</v>
      </c>
      <c r="P84" s="9" t="n">
        <v>79</v>
      </c>
      <c r="Q84" s="9" t="n">
        <f aca="false">0.35+((P84-8)/81)*(1-0.35)</f>
        <v>0.919753086419753</v>
      </c>
      <c r="R84" s="15" t="n">
        <f aca="false">Q84*L84</f>
        <v>0.275925925925926</v>
      </c>
      <c r="S84" s="15" t="n">
        <f aca="false">J84-R84</f>
        <v>-0.0759259259259259</v>
      </c>
      <c r="T84" s="15" t="n">
        <f aca="false">MIN(197.4,(T83+S84))</f>
        <v>98.5096913580247</v>
      </c>
      <c r="V84" s="19" t="n">
        <v>228.7</v>
      </c>
      <c r="W84" s="9" t="n">
        <f aca="false">V84/D84</f>
        <v>40.1228070175439</v>
      </c>
      <c r="X84" s="9" t="n">
        <f aca="false">X83+V84</f>
        <v>69688.3</v>
      </c>
      <c r="AA84" s="9" t="n">
        <v>9.07472370671787</v>
      </c>
    </row>
    <row r="85" s="9" customFormat="true" ht="15" hidden="false" customHeight="false" outlineLevel="0" collapsed="false">
      <c r="A85" s="10"/>
      <c r="B85" s="11"/>
      <c r="C85" s="12" t="n">
        <v>41963</v>
      </c>
      <c r="D85" s="9" t="n">
        <v>7.2</v>
      </c>
      <c r="E85" s="9" t="n">
        <v>5.3</v>
      </c>
      <c r="F85" s="9" t="n">
        <v>8.5</v>
      </c>
      <c r="G85" s="9" t="n">
        <f aca="false">G84+D85</f>
        <v>1074.9</v>
      </c>
      <c r="J85" s="9" t="n">
        <v>0</v>
      </c>
      <c r="K85" s="9" t="n">
        <f aca="false">K84+J85</f>
        <v>147.3</v>
      </c>
      <c r="L85" s="9" t="n">
        <v>0.4</v>
      </c>
      <c r="M85" s="9" t="n">
        <f aca="false">M84+L85</f>
        <v>133.2</v>
      </c>
      <c r="N85" s="14" t="n">
        <f aca="false">J85-L85</f>
        <v>-0.4</v>
      </c>
      <c r="O85" s="9" t="n">
        <f aca="false">O84+N85</f>
        <v>84.3</v>
      </c>
      <c r="P85" s="9" t="n">
        <v>80</v>
      </c>
      <c r="Q85" s="9" t="n">
        <f aca="false">0.35+((P85-8)/81)*(1-0.35)</f>
        <v>0.927777777777778</v>
      </c>
      <c r="R85" s="15" t="n">
        <f aca="false">Q85*L85</f>
        <v>0.371111111111111</v>
      </c>
      <c r="S85" s="15" t="n">
        <f aca="false">J85-R85</f>
        <v>-0.371111111111111</v>
      </c>
      <c r="T85" s="15" t="n">
        <f aca="false">MIN(197.4,(T84+S85))</f>
        <v>98.1385802469136</v>
      </c>
      <c r="V85" s="19" t="n">
        <v>434.7</v>
      </c>
      <c r="W85" s="9" t="n">
        <f aca="false">V85/D85</f>
        <v>60.375</v>
      </c>
      <c r="X85" s="9" t="n">
        <f aca="false">X84+V85</f>
        <v>70123</v>
      </c>
      <c r="AA85" s="9" t="n">
        <v>9.03191141899632</v>
      </c>
    </row>
    <row r="86" s="9" customFormat="true" ht="15" hidden="false" customHeight="false" outlineLevel="0" collapsed="false">
      <c r="A86" s="10"/>
      <c r="B86" s="11"/>
      <c r="C86" s="12" t="n">
        <v>41964</v>
      </c>
      <c r="D86" s="9" t="n">
        <v>8.7</v>
      </c>
      <c r="E86" s="9" t="n">
        <v>6.9</v>
      </c>
      <c r="F86" s="9" t="n">
        <v>11.7</v>
      </c>
      <c r="G86" s="9" t="n">
        <f aca="false">G85+D86</f>
        <v>1083.6</v>
      </c>
      <c r="J86" s="9" t="n">
        <v>0.1</v>
      </c>
      <c r="K86" s="9" t="n">
        <f aca="false">K85+J86</f>
        <v>147.4</v>
      </c>
      <c r="L86" s="9" t="n">
        <v>0.7</v>
      </c>
      <c r="M86" s="9" t="n">
        <f aca="false">M85+L86</f>
        <v>133.9</v>
      </c>
      <c r="N86" s="14" t="n">
        <f aca="false">J86-L86</f>
        <v>-0.6</v>
      </c>
      <c r="O86" s="9" t="n">
        <f aca="false">O85+N86</f>
        <v>83.7</v>
      </c>
      <c r="P86" s="9" t="n">
        <v>81</v>
      </c>
      <c r="Q86" s="9" t="n">
        <f aca="false">0.35+((P86-8)/81)*(1-0.35)</f>
        <v>0.935802469135803</v>
      </c>
      <c r="R86" s="15" t="n">
        <f aca="false">Q86*L86</f>
        <v>0.655061728395062</v>
      </c>
      <c r="S86" s="15" t="n">
        <f aca="false">J86-R86</f>
        <v>-0.555061728395062</v>
      </c>
      <c r="T86" s="15" t="n">
        <f aca="false">MIN(197.4,(T85+S86))</f>
        <v>97.5835185185186</v>
      </c>
      <c r="V86" s="19" t="n">
        <v>386.6</v>
      </c>
      <c r="W86" s="9" t="n">
        <f aca="false">V86/D86</f>
        <v>44.4367816091954</v>
      </c>
      <c r="X86" s="9" t="n">
        <f aca="false">X85+V86</f>
        <v>70509.6</v>
      </c>
      <c r="AA86" s="9" t="n">
        <v>8.98995812996746</v>
      </c>
    </row>
    <row r="87" s="9" customFormat="true" ht="15" hidden="false" customHeight="false" outlineLevel="0" collapsed="false">
      <c r="A87" s="10"/>
      <c r="B87" s="11"/>
      <c r="C87" s="12" t="n">
        <v>41965</v>
      </c>
      <c r="D87" s="9" t="n">
        <v>9.6</v>
      </c>
      <c r="E87" s="9" t="n">
        <v>6.4</v>
      </c>
      <c r="F87" s="9" t="n">
        <v>13.5</v>
      </c>
      <c r="G87" s="9" t="n">
        <f aca="false">G86+D87</f>
        <v>1093.2</v>
      </c>
      <c r="J87" s="9" t="n">
        <v>0</v>
      </c>
      <c r="K87" s="9" t="n">
        <f aca="false">K86+J87</f>
        <v>147.4</v>
      </c>
      <c r="L87" s="9" t="n">
        <v>0.7</v>
      </c>
      <c r="M87" s="9" t="n">
        <f aca="false">M86+L87</f>
        <v>134.6</v>
      </c>
      <c r="N87" s="14" t="n">
        <f aca="false">J87-L87</f>
        <v>-0.7</v>
      </c>
      <c r="O87" s="9" t="n">
        <f aca="false">O86+N87</f>
        <v>83</v>
      </c>
      <c r="P87" s="9" t="n">
        <v>82</v>
      </c>
      <c r="Q87" s="9" t="n">
        <f aca="false">0.35+((P87-8)/81)*(1-0.35)</f>
        <v>0.943827160493827</v>
      </c>
      <c r="R87" s="15" t="n">
        <f aca="false">Q87*L87</f>
        <v>0.660679012345679</v>
      </c>
      <c r="S87" s="15" t="n">
        <f aca="false">J87-R87</f>
        <v>-0.660679012345679</v>
      </c>
      <c r="T87" s="15" t="n">
        <f aca="false">MIN(197.4,(T86+S87))</f>
        <v>96.9228395061729</v>
      </c>
      <c r="V87" s="19" t="n">
        <v>426</v>
      </c>
      <c r="W87" s="9" t="n">
        <f aca="false">V87/D87</f>
        <v>44.375</v>
      </c>
      <c r="X87" s="9" t="n">
        <f aca="false">X86+V87</f>
        <v>70935.6</v>
      </c>
      <c r="AA87" s="9" t="n">
        <v>8.94889440710888</v>
      </c>
    </row>
    <row r="88" s="9" customFormat="true" ht="15" hidden="false" customHeight="false" outlineLevel="0" collapsed="false">
      <c r="A88" s="10"/>
      <c r="B88" s="11"/>
      <c r="C88" s="12" t="n">
        <v>41966</v>
      </c>
      <c r="D88" s="9" t="n">
        <v>11.2</v>
      </c>
      <c r="E88" s="9" t="n">
        <v>8.1</v>
      </c>
      <c r="F88" s="9" t="n">
        <v>14.8</v>
      </c>
      <c r="G88" s="9" t="n">
        <f aca="false">G87+D88</f>
        <v>1104.4</v>
      </c>
      <c r="J88" s="9" t="n">
        <v>0</v>
      </c>
      <c r="K88" s="9" t="n">
        <f aca="false">K87+J88</f>
        <v>147.4</v>
      </c>
      <c r="L88" s="9" t="n">
        <v>0.9</v>
      </c>
      <c r="M88" s="9" t="n">
        <f aca="false">M87+L88</f>
        <v>135.5</v>
      </c>
      <c r="N88" s="14" t="n">
        <f aca="false">J88-L88</f>
        <v>-0.9</v>
      </c>
      <c r="O88" s="9" t="n">
        <f aca="false">O87+N88</f>
        <v>82.1</v>
      </c>
      <c r="P88" s="9" t="n">
        <v>83</v>
      </c>
      <c r="Q88" s="9" t="n">
        <f aca="false">0.35+((P88-8)/81)*(1-0.35)</f>
        <v>0.951851851851852</v>
      </c>
      <c r="R88" s="15" t="n">
        <f aca="false">Q88*L88</f>
        <v>0.856666666666667</v>
      </c>
      <c r="S88" s="15" t="n">
        <f aca="false">J88-R88</f>
        <v>-0.856666666666667</v>
      </c>
      <c r="T88" s="15" t="n">
        <f aca="false">MIN(197.4,(T87+S88))</f>
        <v>96.0661728395062</v>
      </c>
      <c r="V88" s="19" t="n">
        <v>420.8</v>
      </c>
      <c r="W88" s="9" t="n">
        <f aca="false">V88/D88</f>
        <v>37.5714285714286</v>
      </c>
      <c r="X88" s="9" t="n">
        <f aca="false">X87+V88</f>
        <v>71356.4</v>
      </c>
      <c r="AA88" s="9" t="n">
        <v>8.90875108086055</v>
      </c>
    </row>
    <row r="89" s="9" customFormat="true" ht="15" hidden="false" customHeight="false" outlineLevel="0" collapsed="false">
      <c r="A89" s="10"/>
      <c r="B89" s="11"/>
      <c r="C89" s="12" t="n">
        <v>41967</v>
      </c>
      <c r="D89" s="9" t="n">
        <v>10.3</v>
      </c>
      <c r="E89" s="9" t="n">
        <v>10.1</v>
      </c>
      <c r="F89" s="9" t="n">
        <v>10.4</v>
      </c>
      <c r="G89" s="9" t="n">
        <f aca="false">G88+D89</f>
        <v>1114.7</v>
      </c>
      <c r="J89" s="9" t="n">
        <v>0</v>
      </c>
      <c r="K89" s="9" t="n">
        <f aca="false">K88+J89</f>
        <v>147.4</v>
      </c>
      <c r="L89" s="9" t="n">
        <v>0.4</v>
      </c>
      <c r="M89" s="9" t="n">
        <f aca="false">M88+L89</f>
        <v>135.9</v>
      </c>
      <c r="N89" s="14" t="n">
        <f aca="false">J89-L89</f>
        <v>-0.4</v>
      </c>
      <c r="O89" s="9" t="n">
        <f aca="false">O88+N89</f>
        <v>81.7</v>
      </c>
      <c r="P89" s="9" t="n">
        <v>84</v>
      </c>
      <c r="Q89" s="9" t="n">
        <f aca="false">0.35+((P89-8)/81)*(1-0.35)</f>
        <v>0.959876543209877</v>
      </c>
      <c r="R89" s="15" t="n">
        <f aca="false">Q89*L89</f>
        <v>0.383950617283951</v>
      </c>
      <c r="S89" s="15" t="n">
        <f aca="false">J89-R89</f>
        <v>-0.383950617283951</v>
      </c>
      <c r="T89" s="15" t="n">
        <f aca="false">MIN(197.4,(T88+S89))</f>
        <v>95.6822222222223</v>
      </c>
      <c r="V89" s="19" t="n">
        <v>126.1</v>
      </c>
      <c r="W89" s="9" t="n">
        <f aca="false">V89/D89</f>
        <v>12.2427184466019</v>
      </c>
      <c r="X89" s="9" t="n">
        <f aca="false">X88+V89</f>
        <v>71482.5</v>
      </c>
      <c r="AA89" s="9" t="n">
        <v>8.86955918665478</v>
      </c>
    </row>
    <row r="90" s="9" customFormat="true" ht="15" hidden="false" customHeight="false" outlineLevel="0" collapsed="false">
      <c r="A90" s="10"/>
      <c r="B90" s="11"/>
      <c r="C90" s="12" t="n">
        <v>41968</v>
      </c>
      <c r="D90" s="9" t="n">
        <v>9.8</v>
      </c>
      <c r="E90" s="9" t="n">
        <v>8.9</v>
      </c>
      <c r="F90" s="9" t="n">
        <v>10.6</v>
      </c>
      <c r="G90" s="9" t="n">
        <f aca="false">G89+D90</f>
        <v>1124.5</v>
      </c>
      <c r="J90" s="9" t="n">
        <v>8</v>
      </c>
      <c r="K90" s="9" t="n">
        <f aca="false">K89+J90</f>
        <v>155.4</v>
      </c>
      <c r="L90" s="9" t="n">
        <v>0.4</v>
      </c>
      <c r="M90" s="9" t="n">
        <f aca="false">M89+L90</f>
        <v>136.3</v>
      </c>
      <c r="N90" s="9" t="n">
        <f aca="false">J90-L90</f>
        <v>7.6</v>
      </c>
      <c r="O90" s="9" t="n">
        <f aca="false">O89+N90</f>
        <v>89.3</v>
      </c>
      <c r="P90" s="9" t="n">
        <v>85</v>
      </c>
      <c r="Q90" s="9" t="n">
        <f aca="false">0.35+((P90-8)/81)*(1-0.35)</f>
        <v>0.967901234567901</v>
      </c>
      <c r="R90" s="15" t="n">
        <f aca="false">Q90*L90</f>
        <v>0.387160493827161</v>
      </c>
      <c r="S90" s="15" t="n">
        <f aca="false">J90-R90</f>
        <v>7.61283950617284</v>
      </c>
      <c r="T90" s="15" t="n">
        <f aca="false">MIN(197.4,(T89+S90))</f>
        <v>103.295061728395</v>
      </c>
      <c r="V90" s="19" t="n">
        <v>84.6</v>
      </c>
      <c r="W90" s="9" t="n">
        <f aca="false">V90/D90</f>
        <v>8.63265306122449</v>
      </c>
      <c r="X90" s="9" t="n">
        <f aca="false">X89+V90</f>
        <v>71567.1</v>
      </c>
      <c r="AA90" s="9" t="n">
        <v>8.83134990285783</v>
      </c>
    </row>
    <row r="91" s="9" customFormat="true" ht="15" hidden="false" customHeight="false" outlineLevel="0" collapsed="false">
      <c r="A91" s="10"/>
      <c r="B91" s="11"/>
      <c r="C91" s="12" t="n">
        <v>41969</v>
      </c>
      <c r="D91" s="9" t="n">
        <v>10.8</v>
      </c>
      <c r="E91" s="9" t="n">
        <v>9.5</v>
      </c>
      <c r="F91" s="9" t="n">
        <v>12.7</v>
      </c>
      <c r="G91" s="9" t="n">
        <f aca="false">G90+D91</f>
        <v>1135.3</v>
      </c>
      <c r="J91" s="9" t="n">
        <v>0.1</v>
      </c>
      <c r="K91" s="9" t="n">
        <f aca="false">K90+J91</f>
        <v>155.5</v>
      </c>
      <c r="L91" s="9" t="n">
        <v>0.3</v>
      </c>
      <c r="M91" s="9" t="n">
        <f aca="false">M90+L91</f>
        <v>136.6</v>
      </c>
      <c r="N91" s="14" t="n">
        <f aca="false">J91-L91</f>
        <v>-0.2</v>
      </c>
      <c r="O91" s="9" t="n">
        <f aca="false">O90+N91</f>
        <v>89.1</v>
      </c>
      <c r="P91" s="9" t="n">
        <v>86</v>
      </c>
      <c r="Q91" s="9" t="n">
        <f aca="false">0.35+((P91-8)/81)*(1-0.35)</f>
        <v>0.975925925925926</v>
      </c>
      <c r="R91" s="15" t="n">
        <f aca="false">Q91*L91</f>
        <v>0.292777777777778</v>
      </c>
      <c r="S91" s="15" t="n">
        <f aca="false">J91-R91</f>
        <v>-0.192777777777778</v>
      </c>
      <c r="T91" s="15" t="n">
        <f aca="false">MIN(197.4,(T90+S91))</f>
        <v>103.102283950617</v>
      </c>
      <c r="V91" s="19" t="n">
        <v>111.5</v>
      </c>
      <c r="W91" s="9" t="n">
        <f aca="false">V91/D91</f>
        <v>10.3240740740741</v>
      </c>
      <c r="X91" s="9" t="n">
        <f aca="false">X90+V91</f>
        <v>71678.6</v>
      </c>
      <c r="AA91" s="9" t="n">
        <v>8.7941544847008</v>
      </c>
    </row>
    <row r="92" s="9" customFormat="true" ht="15" hidden="false" customHeight="false" outlineLevel="0" collapsed="false">
      <c r="A92" s="10"/>
      <c r="B92" s="11"/>
      <c r="C92" s="12" t="n">
        <v>41970</v>
      </c>
      <c r="D92" s="9" t="n">
        <v>10</v>
      </c>
      <c r="E92" s="9" t="n">
        <v>8.4</v>
      </c>
      <c r="F92" s="9" t="n">
        <v>11.4</v>
      </c>
      <c r="G92" s="9" t="n">
        <f aca="false">G91+D92</f>
        <v>1145.3</v>
      </c>
      <c r="J92" s="9" t="n">
        <v>0.5</v>
      </c>
      <c r="K92" s="9" t="n">
        <f aca="false">K91+J92</f>
        <v>156</v>
      </c>
      <c r="L92" s="9" t="n">
        <v>0.3</v>
      </c>
      <c r="M92" s="9" t="n">
        <f aca="false">M91+L92</f>
        <v>136.9</v>
      </c>
      <c r="N92" s="9" t="n">
        <f aca="false">J92-L92</f>
        <v>0.2</v>
      </c>
      <c r="O92" s="9" t="n">
        <f aca="false">O91+N92</f>
        <v>89.3</v>
      </c>
      <c r="P92" s="9" t="n">
        <v>87</v>
      </c>
      <c r="Q92" s="9" t="n">
        <f aca="false">0.35+((P92-8)/81)*(1-0.35)</f>
        <v>0.983950617283951</v>
      </c>
      <c r="R92" s="15" t="n">
        <f aca="false">Q92*L92</f>
        <v>0.295185185185185</v>
      </c>
      <c r="S92" s="15" t="n">
        <f aca="false">J92-R92</f>
        <v>0.204814814814815</v>
      </c>
      <c r="T92" s="15" t="n">
        <f aca="false">MIN(197.4,(T91+S92))</f>
        <v>103.307098765432</v>
      </c>
      <c r="V92" s="19" t="n">
        <v>119.6</v>
      </c>
      <c r="W92" s="9" t="n">
        <f aca="false">V92/D92</f>
        <v>11.96</v>
      </c>
      <c r="X92" s="9" t="n">
        <f aca="false">X91+V92</f>
        <v>71798.2</v>
      </c>
      <c r="AA92" s="9" t="n">
        <v>8.75800419431439</v>
      </c>
    </row>
    <row r="93" s="9" customFormat="true" ht="15" hidden="false" customHeight="false" outlineLevel="0" collapsed="false">
      <c r="A93" s="10"/>
      <c r="B93" s="11"/>
      <c r="C93" s="12" t="n">
        <v>41971</v>
      </c>
      <c r="D93" s="9" t="n">
        <v>10.6</v>
      </c>
      <c r="E93" s="9" t="n">
        <v>8.6</v>
      </c>
      <c r="F93" s="9" t="n">
        <v>13.5</v>
      </c>
      <c r="G93" s="9" t="n">
        <f aca="false">G92+D93</f>
        <v>1155.9</v>
      </c>
      <c r="J93" s="9" t="n">
        <v>0</v>
      </c>
      <c r="K93" s="9" t="n">
        <f aca="false">K92+J93</f>
        <v>156</v>
      </c>
      <c r="L93" s="9" t="n">
        <v>1.1</v>
      </c>
      <c r="M93" s="9" t="n">
        <f aca="false">M92+L93</f>
        <v>138</v>
      </c>
      <c r="N93" s="14" t="n">
        <f aca="false">J93-L93</f>
        <v>-1.1</v>
      </c>
      <c r="O93" s="9" t="n">
        <f aca="false">O92+N93</f>
        <v>88.2</v>
      </c>
      <c r="P93" s="9" t="n">
        <v>88</v>
      </c>
      <c r="Q93" s="9" t="n">
        <f aca="false">0.35+((P93-8)/81)*(1-0.35)</f>
        <v>0.991975308641975</v>
      </c>
      <c r="R93" s="15" t="n">
        <f aca="false">Q93*L93</f>
        <v>1.09117283950617</v>
      </c>
      <c r="S93" s="15" t="n">
        <f aca="false">J93-R93</f>
        <v>-1.09117283950617</v>
      </c>
      <c r="T93" s="15" t="n">
        <f aca="false">MIN(197.4,(T92+S93))</f>
        <v>102.215925925926</v>
      </c>
      <c r="V93" s="19" t="n">
        <v>315.5</v>
      </c>
      <c r="W93" s="9" t="n">
        <f aca="false">V93/D93</f>
        <v>29.7641509433962</v>
      </c>
      <c r="X93" s="9" t="n">
        <f aca="false">X92+V93</f>
        <v>72113.7</v>
      </c>
      <c r="AA93" s="9" t="n">
        <v>8.72293022702199</v>
      </c>
    </row>
    <row r="94" s="23" customFormat="true" ht="15" hidden="false" customHeight="false" outlineLevel="0" collapsed="false">
      <c r="A94" s="10"/>
      <c r="B94" s="21"/>
      <c r="C94" s="22" t="n">
        <v>41972</v>
      </c>
      <c r="D94" s="23" t="n">
        <v>5.8</v>
      </c>
      <c r="E94" s="23" t="n">
        <v>5</v>
      </c>
      <c r="F94" s="23" t="n">
        <v>6.8</v>
      </c>
      <c r="G94" s="23" t="n">
        <f aca="false">G93+D94</f>
        <v>1161.7</v>
      </c>
      <c r="J94" s="23" t="n">
        <v>0</v>
      </c>
      <c r="K94" s="23" t="n">
        <f aca="false">K93+J94</f>
        <v>156</v>
      </c>
      <c r="L94" s="23" t="n">
        <v>1</v>
      </c>
      <c r="M94" s="23" t="n">
        <f aca="false">M93+L94</f>
        <v>139</v>
      </c>
      <c r="N94" s="23" t="n">
        <f aca="false">J94-L94</f>
        <v>-1</v>
      </c>
      <c r="O94" s="24" t="n">
        <f aca="false">O93+N94</f>
        <v>87.2</v>
      </c>
      <c r="P94" s="24" t="n">
        <v>89</v>
      </c>
      <c r="Q94" s="25" t="n">
        <f aca="false">0.35+((P94-8)/81)*(1-0.35)</f>
        <v>1</v>
      </c>
      <c r="R94" s="26" t="n">
        <f aca="false">Q94*L94</f>
        <v>1</v>
      </c>
      <c r="S94" s="26" t="n">
        <f aca="false">J94-R94</f>
        <v>-1</v>
      </c>
      <c r="T94" s="27" t="n">
        <f aca="false">MIN(197.4,(T93+S94))</f>
        <v>101.215925925926</v>
      </c>
      <c r="V94" s="28" t="n">
        <v>281.1</v>
      </c>
      <c r="W94" s="23" t="n">
        <f aca="false">V94/D94</f>
        <v>48.4655172413793</v>
      </c>
      <c r="X94" s="23" t="n">
        <f aca="false">X93+V94</f>
        <v>72394.8</v>
      </c>
      <c r="AA94" s="24" t="n">
        <v>8.68896363408666</v>
      </c>
    </row>
    <row r="95" s="9" customFormat="true" ht="15" hidden="false" customHeight="true" outlineLevel="0" collapsed="false">
      <c r="A95" s="29" t="s">
        <v>44</v>
      </c>
      <c r="B95" s="30"/>
      <c r="C95" s="12" t="n">
        <v>41973</v>
      </c>
      <c r="D95" s="20" t="n">
        <v>3.7</v>
      </c>
      <c r="E95" s="20" t="n">
        <v>3.2</v>
      </c>
      <c r="F95" s="9" t="n">
        <v>5.6</v>
      </c>
      <c r="G95" s="9" t="n">
        <f aca="false">G94+D95</f>
        <v>1165.4</v>
      </c>
      <c r="H95" s="9" t="n">
        <f aca="false">D95</f>
        <v>3.7</v>
      </c>
      <c r="I95" s="31" t="s">
        <v>28</v>
      </c>
      <c r="J95" s="9" t="n">
        <v>0.2</v>
      </c>
      <c r="K95" s="9" t="n">
        <f aca="false">K94+J95</f>
        <v>156.2</v>
      </c>
      <c r="L95" s="9" t="n">
        <v>0.8</v>
      </c>
      <c r="M95" s="9" t="n">
        <f aca="false">M94+L95</f>
        <v>139.8</v>
      </c>
      <c r="N95" s="14" t="n">
        <f aca="false">J95-L95</f>
        <v>-0.6</v>
      </c>
      <c r="O95" s="9" t="n">
        <f aca="false">O94+N95</f>
        <v>86.6</v>
      </c>
      <c r="P95" s="9" t="n">
        <v>90</v>
      </c>
      <c r="Q95" s="9" t="n">
        <v>1</v>
      </c>
      <c r="R95" s="15" t="n">
        <f aca="false">Q95*L95</f>
        <v>0.8</v>
      </c>
      <c r="S95" s="15" t="n">
        <f aca="false">J95-R95</f>
        <v>-0.6</v>
      </c>
      <c r="T95" s="15" t="n">
        <f aca="false">MIN(197.4,(T94+S95))</f>
        <v>100.615925925926</v>
      </c>
      <c r="U95" s="31" t="s">
        <v>29</v>
      </c>
      <c r="V95" s="19" t="n">
        <v>198</v>
      </c>
      <c r="W95" s="9" t="n">
        <f aca="false">V95/D95</f>
        <v>53.5135135135135</v>
      </c>
      <c r="X95" s="9" t="n">
        <f aca="false">X94+V95</f>
        <v>72592.8</v>
      </c>
      <c r="Y95" s="9" t="n">
        <f aca="false">V95</f>
        <v>198</v>
      </c>
      <c r="Z95" s="31" t="s">
        <v>30</v>
      </c>
      <c r="AA95" s="9" t="n">
        <v>8.6561352421507</v>
      </c>
    </row>
    <row r="96" s="9" customFormat="true" ht="15" hidden="false" customHeight="false" outlineLevel="0" collapsed="false">
      <c r="A96" s="29"/>
      <c r="B96" s="30"/>
      <c r="C96" s="12" t="n">
        <v>41974</v>
      </c>
      <c r="D96" s="20" t="n">
        <v>3.9</v>
      </c>
      <c r="E96" s="20" t="n">
        <v>3</v>
      </c>
      <c r="F96" s="9" t="n">
        <v>5.2</v>
      </c>
      <c r="G96" s="9" t="n">
        <f aca="false">G95+D96</f>
        <v>1169.3</v>
      </c>
      <c r="H96" s="9" t="n">
        <f aca="false">H95+D96</f>
        <v>7.6</v>
      </c>
      <c r="I96" s="9" t="n">
        <f aca="false">MIN(E95:E194)</f>
        <v>-5.8</v>
      </c>
      <c r="J96" s="9" t="n">
        <v>0.1</v>
      </c>
      <c r="K96" s="9" t="n">
        <f aca="false">K95+J96</f>
        <v>156.3</v>
      </c>
      <c r="L96" s="9" t="n">
        <v>0.5</v>
      </c>
      <c r="M96" s="9" t="n">
        <f aca="false">M95+L96</f>
        <v>140.3</v>
      </c>
      <c r="N96" s="14" t="n">
        <f aca="false">J96-L96</f>
        <v>-0.4</v>
      </c>
      <c r="O96" s="9" t="n">
        <f aca="false">O95+N96</f>
        <v>86.2</v>
      </c>
      <c r="P96" s="9" t="n">
        <v>91</v>
      </c>
      <c r="Q96" s="9" t="n">
        <v>1</v>
      </c>
      <c r="R96" s="15" t="n">
        <f aca="false">Q96*L96</f>
        <v>0.5</v>
      </c>
      <c r="S96" s="15" t="n">
        <f aca="false">J96-R96</f>
        <v>-0.4</v>
      </c>
      <c r="T96" s="15" t="n">
        <f aca="false">MIN(197.4,(T95+S96))</f>
        <v>100.215925925926</v>
      </c>
      <c r="U96" s="9" t="n">
        <v>57</v>
      </c>
      <c r="V96" s="19" t="n">
        <v>113.6</v>
      </c>
      <c r="W96" s="9" t="n">
        <f aca="false">V96/D96</f>
        <v>29.1282051282051</v>
      </c>
      <c r="X96" s="9" t="n">
        <f aca="false">X95+V96</f>
        <v>72706.4</v>
      </c>
      <c r="Y96" s="9" t="n">
        <f aca="false">Y95+V96</f>
        <v>311.6</v>
      </c>
      <c r="Z96" s="9" t="n">
        <v>40902.6</v>
      </c>
      <c r="AA96" s="9" t="n">
        <v>8.62447556965025</v>
      </c>
    </row>
    <row r="97" s="9" customFormat="true" ht="15" hidden="false" customHeight="false" outlineLevel="0" collapsed="false">
      <c r="A97" s="29"/>
      <c r="B97" s="30"/>
      <c r="C97" s="12" t="n">
        <v>41975</v>
      </c>
      <c r="D97" s="20" t="n">
        <v>2.6</v>
      </c>
      <c r="E97" s="20" t="n">
        <v>2.2</v>
      </c>
      <c r="F97" s="20" t="n">
        <v>2.9</v>
      </c>
      <c r="G97" s="9" t="n">
        <f aca="false">G96+D97</f>
        <v>1171.9</v>
      </c>
      <c r="H97" s="9" t="n">
        <f aca="false">H96+D97</f>
        <v>10.2</v>
      </c>
      <c r="I97" s="31" t="s">
        <v>31</v>
      </c>
      <c r="J97" s="9" t="n">
        <v>0.6</v>
      </c>
      <c r="K97" s="9" t="n">
        <f aca="false">K96+J97</f>
        <v>156.9</v>
      </c>
      <c r="L97" s="9" t="n">
        <v>0.2</v>
      </c>
      <c r="M97" s="9" t="n">
        <f aca="false">M96+L97</f>
        <v>140.5</v>
      </c>
      <c r="N97" s="9" t="n">
        <f aca="false">J97-L97</f>
        <v>0.4</v>
      </c>
      <c r="O97" s="9" t="n">
        <f aca="false">O96+N97</f>
        <v>86.6</v>
      </c>
      <c r="P97" s="9" t="n">
        <v>92</v>
      </c>
      <c r="Q97" s="9" t="n">
        <v>1</v>
      </c>
      <c r="R97" s="15" t="n">
        <f aca="false">Q97*L97</f>
        <v>0.2</v>
      </c>
      <c r="S97" s="15" t="n">
        <f aca="false">J97-R97</f>
        <v>0.4</v>
      </c>
      <c r="T97" s="15" t="n">
        <f aca="false">MIN(197.4,(T96+S97))</f>
        <v>100.615925925926</v>
      </c>
      <c r="U97" s="31" t="s">
        <v>32</v>
      </c>
      <c r="V97" s="19" t="n">
        <v>88.8</v>
      </c>
      <c r="W97" s="9" t="n">
        <f aca="false">V97/D97</f>
        <v>34.1538461538462</v>
      </c>
      <c r="X97" s="9" t="n">
        <f aca="false">X96+V97</f>
        <v>72795.2</v>
      </c>
      <c r="Y97" s="9" t="n">
        <f aca="false">Y96+V97</f>
        <v>400.4</v>
      </c>
      <c r="Z97" s="31" t="s">
        <v>33</v>
      </c>
      <c r="AA97" s="9" t="n">
        <v>8.594014740532</v>
      </c>
    </row>
    <row r="98" s="9" customFormat="true" ht="15" hidden="false" customHeight="false" outlineLevel="0" collapsed="false">
      <c r="A98" s="29"/>
      <c r="B98" s="30"/>
      <c r="C98" s="12" t="n">
        <v>41976</v>
      </c>
      <c r="D98" s="20" t="n">
        <v>2.5</v>
      </c>
      <c r="E98" s="20" t="n">
        <v>1.7</v>
      </c>
      <c r="F98" s="20" t="n">
        <v>3.1</v>
      </c>
      <c r="G98" s="9" t="n">
        <f aca="false">G97+D98</f>
        <v>1174.4</v>
      </c>
      <c r="H98" s="9" t="n">
        <f aca="false">H97+D98</f>
        <v>12.7</v>
      </c>
      <c r="I98" s="20" t="n">
        <f aca="false">MAX(F95:F194)</f>
        <v>16</v>
      </c>
      <c r="J98" s="9" t="n">
        <v>0</v>
      </c>
      <c r="K98" s="9" t="n">
        <f aca="false">K97+J98</f>
        <v>156.9</v>
      </c>
      <c r="L98" s="9" t="n">
        <v>0.4</v>
      </c>
      <c r="M98" s="9" t="n">
        <f aca="false">M97+L98</f>
        <v>140.9</v>
      </c>
      <c r="N98" s="14" t="n">
        <f aca="false">J98-L98</f>
        <v>-0.4</v>
      </c>
      <c r="O98" s="9" t="n">
        <f aca="false">O97+N98</f>
        <v>86.2</v>
      </c>
      <c r="P98" s="9" t="n">
        <v>93</v>
      </c>
      <c r="Q98" s="9" t="n">
        <v>1</v>
      </c>
      <c r="R98" s="15" t="n">
        <f aca="false">Q98*L98</f>
        <v>0.4</v>
      </c>
      <c r="S98" s="15" t="n">
        <f aca="false">J98-R98</f>
        <v>-0.4</v>
      </c>
      <c r="T98" s="15" t="n">
        <f aca="false">MIN(197.4,(T97+S98))</f>
        <v>100.215925925926</v>
      </c>
      <c r="U98" s="9" t="n">
        <v>0</v>
      </c>
      <c r="V98" s="19" t="n">
        <v>280.7</v>
      </c>
      <c r="W98" s="9" t="n">
        <f aca="false">V98/D98</f>
        <v>112.28</v>
      </c>
      <c r="X98" s="9" t="n">
        <f aca="false">X97+V98</f>
        <v>73075.9</v>
      </c>
      <c r="Y98" s="9" t="n">
        <f aca="false">Y97+V98</f>
        <v>681.1</v>
      </c>
      <c r="Z98" s="17" t="n">
        <f aca="false">(Z96/100)/I108</f>
        <v>0.949236481782316</v>
      </c>
      <c r="AA98" s="9" t="n">
        <v>8.56478239564333</v>
      </c>
    </row>
    <row r="99" s="9" customFormat="true" ht="15" hidden="false" customHeight="false" outlineLevel="0" collapsed="false">
      <c r="A99" s="29"/>
      <c r="B99" s="30"/>
      <c r="C99" s="12" t="n">
        <v>41977</v>
      </c>
      <c r="D99" s="20" t="n">
        <v>3.7</v>
      </c>
      <c r="E99" s="20" t="n">
        <v>2.3</v>
      </c>
      <c r="F99" s="20" t="n">
        <v>4.6</v>
      </c>
      <c r="G99" s="9" t="n">
        <f aca="false">G98+D99</f>
        <v>1178.1</v>
      </c>
      <c r="H99" s="9" t="n">
        <f aca="false">H98+D99</f>
        <v>16.4</v>
      </c>
      <c r="I99" s="31" t="s">
        <v>34</v>
      </c>
      <c r="J99" s="9" t="n">
        <v>0</v>
      </c>
      <c r="K99" s="9" t="n">
        <f aca="false">K98+J99</f>
        <v>156.9</v>
      </c>
      <c r="L99" s="9" t="n">
        <v>0.2</v>
      </c>
      <c r="M99" s="9" t="n">
        <f aca="false">M98+L99</f>
        <v>141.1</v>
      </c>
      <c r="N99" s="14" t="n">
        <f aca="false">J99-L99</f>
        <v>-0.2</v>
      </c>
      <c r="O99" s="9" t="n">
        <f aca="false">O98+N99</f>
        <v>86</v>
      </c>
      <c r="P99" s="9" t="n">
        <v>94</v>
      </c>
      <c r="Q99" s="9" t="n">
        <v>1</v>
      </c>
      <c r="R99" s="15" t="n">
        <f aca="false">Q99*L99</f>
        <v>0.2</v>
      </c>
      <c r="S99" s="15" t="n">
        <f aca="false">J99-R99</f>
        <v>-0.2</v>
      </c>
      <c r="T99" s="15" t="n">
        <f aca="false">MIN(197.4,(T98+S99))</f>
        <v>100.015925925926</v>
      </c>
      <c r="U99" s="31" t="s">
        <v>35</v>
      </c>
      <c r="V99" s="19" t="n">
        <v>130.9</v>
      </c>
      <c r="W99" s="9" t="n">
        <f aca="false">V99/D99</f>
        <v>35.3783783783784</v>
      </c>
      <c r="X99" s="9" t="n">
        <f aca="false">X98+V99</f>
        <v>73206.8</v>
      </c>
      <c r="Y99" s="9" t="n">
        <f aca="false">Y98+V99</f>
        <v>812</v>
      </c>
      <c r="Z99" s="31" t="s">
        <v>36</v>
      </c>
      <c r="AA99" s="9" t="n">
        <v>8.53680760221078</v>
      </c>
    </row>
    <row r="100" s="9" customFormat="true" ht="15" hidden="false" customHeight="false" outlineLevel="0" collapsed="false">
      <c r="A100" s="29"/>
      <c r="B100" s="30"/>
      <c r="C100" s="12" t="n">
        <v>41978</v>
      </c>
      <c r="D100" s="20" t="n">
        <v>3.9</v>
      </c>
      <c r="E100" s="20" t="n">
        <v>3.4</v>
      </c>
      <c r="F100" s="20" t="n">
        <v>4.5</v>
      </c>
      <c r="G100" s="9" t="n">
        <f aca="false">G99+D100</f>
        <v>1182</v>
      </c>
      <c r="H100" s="9" t="n">
        <f aca="false">H99+D100</f>
        <v>20.3</v>
      </c>
      <c r="I100" s="15" t="n">
        <f aca="false">AVERAGE(D95:D194)</f>
        <v>4.27</v>
      </c>
      <c r="J100" s="9" t="n">
        <v>0</v>
      </c>
      <c r="K100" s="9" t="n">
        <f aca="false">K99+J100</f>
        <v>156.9</v>
      </c>
      <c r="L100" s="9" t="n">
        <v>0.5</v>
      </c>
      <c r="M100" s="9" t="n">
        <f aca="false">M99+L100</f>
        <v>141.6</v>
      </c>
      <c r="N100" s="14" t="n">
        <f aca="false">J100-L100</f>
        <v>-0.5</v>
      </c>
      <c r="O100" s="9" t="n">
        <f aca="false">O99+N100</f>
        <v>85.5</v>
      </c>
      <c r="P100" s="9" t="n">
        <v>95</v>
      </c>
      <c r="Q100" s="9" t="n">
        <v>1</v>
      </c>
      <c r="R100" s="15" t="n">
        <f aca="false">Q100*L100</f>
        <v>0.5</v>
      </c>
      <c r="S100" s="15" t="n">
        <f aca="false">J100-R100</f>
        <v>-0.5</v>
      </c>
      <c r="T100" s="15" t="n">
        <f aca="false">MIN(197.4,(T99+S100))</f>
        <v>99.515925925926</v>
      </c>
      <c r="U100" s="9" t="n">
        <v>0</v>
      </c>
      <c r="V100" s="19" t="n">
        <v>491.1</v>
      </c>
      <c r="W100" s="9" t="n">
        <f aca="false">V100/D100</f>
        <v>125.923076923077</v>
      </c>
      <c r="X100" s="9" t="n">
        <f aca="false">X99+V100</f>
        <v>73697.9</v>
      </c>
      <c r="Y100" s="9" t="n">
        <f aca="false">Y99+V100</f>
        <v>1303.1</v>
      </c>
      <c r="Z100" s="9" t="n">
        <v>88</v>
      </c>
      <c r="AA100" s="9" t="n">
        <v>8.51011876186408</v>
      </c>
    </row>
    <row r="101" s="9" customFormat="true" ht="15" hidden="false" customHeight="false" outlineLevel="0" collapsed="false">
      <c r="A101" s="29"/>
      <c r="B101" s="30"/>
      <c r="C101" s="12" t="n">
        <v>41979</v>
      </c>
      <c r="D101" s="20" t="n">
        <v>4</v>
      </c>
      <c r="E101" s="20" t="n">
        <v>3.4</v>
      </c>
      <c r="F101" s="9" t="n">
        <v>5.7</v>
      </c>
      <c r="G101" s="9" t="n">
        <f aca="false">G100+D101</f>
        <v>1186</v>
      </c>
      <c r="H101" s="9" t="n">
        <f aca="false">H100+D101</f>
        <v>24.3</v>
      </c>
      <c r="I101" s="31" t="s">
        <v>37</v>
      </c>
      <c r="J101" s="9" t="n">
        <v>0</v>
      </c>
      <c r="K101" s="9" t="n">
        <f aca="false">K100+J101</f>
        <v>156.9</v>
      </c>
      <c r="L101" s="9" t="n">
        <v>0.6</v>
      </c>
      <c r="M101" s="9" t="n">
        <f aca="false">M100+L101</f>
        <v>142.2</v>
      </c>
      <c r="N101" s="14" t="n">
        <f aca="false">J101-L101</f>
        <v>-0.6</v>
      </c>
      <c r="O101" s="9" t="n">
        <f aca="false">O100+N101</f>
        <v>84.9</v>
      </c>
      <c r="P101" s="9" t="n">
        <v>96</v>
      </c>
      <c r="Q101" s="9" t="n">
        <v>1</v>
      </c>
      <c r="R101" s="15" t="n">
        <f aca="false">Q101*L101</f>
        <v>0.6</v>
      </c>
      <c r="S101" s="15" t="n">
        <f aca="false">J101-R101</f>
        <v>-0.6</v>
      </c>
      <c r="T101" s="15" t="n">
        <f aca="false">MIN(197.4,(T100+S101))</f>
        <v>98.915925925926</v>
      </c>
      <c r="U101" s="31" t="s">
        <v>38</v>
      </c>
      <c r="V101" s="19" t="n">
        <v>483.2</v>
      </c>
      <c r="W101" s="9" t="n">
        <f aca="false">V101/D101</f>
        <v>120.8</v>
      </c>
      <c r="X101" s="9" t="n">
        <f aca="false">X100+V101</f>
        <v>74181.1</v>
      </c>
      <c r="Y101" s="9" t="n">
        <f aca="false">Y100+V101</f>
        <v>1786.3</v>
      </c>
      <c r="AA101" s="9" t="n">
        <v>8.48474351770272</v>
      </c>
    </row>
    <row r="102" s="9" customFormat="true" ht="15" hidden="false" customHeight="false" outlineLevel="0" collapsed="false">
      <c r="A102" s="29"/>
      <c r="B102" s="30"/>
      <c r="C102" s="12" t="n">
        <v>41980</v>
      </c>
      <c r="D102" s="20" t="n">
        <v>2.6</v>
      </c>
      <c r="E102" s="32" t="n">
        <v>-0.6</v>
      </c>
      <c r="F102" s="20" t="n">
        <v>4.7</v>
      </c>
      <c r="G102" s="9" t="n">
        <f aca="false">G101+D102</f>
        <v>1188.6</v>
      </c>
      <c r="H102" s="9" t="n">
        <f aca="false">H101+D102</f>
        <v>26.9</v>
      </c>
      <c r="I102" s="9" t="n">
        <v>33</v>
      </c>
      <c r="J102" s="9" t="n">
        <v>2</v>
      </c>
      <c r="K102" s="9" t="n">
        <f aca="false">K101+J102</f>
        <v>158.9</v>
      </c>
      <c r="L102" s="9" t="n">
        <v>0.1</v>
      </c>
      <c r="M102" s="9" t="n">
        <f aca="false">M101+L102</f>
        <v>142.3</v>
      </c>
      <c r="N102" s="9" t="n">
        <f aca="false">J102-L102</f>
        <v>1.9</v>
      </c>
      <c r="O102" s="9" t="n">
        <f aca="false">O101+N102</f>
        <v>86.8</v>
      </c>
      <c r="P102" s="9" t="n">
        <v>97</v>
      </c>
      <c r="Q102" s="9" t="n">
        <v>1</v>
      </c>
      <c r="R102" s="15" t="n">
        <f aca="false">Q102*L102</f>
        <v>0.1</v>
      </c>
      <c r="S102" s="15" t="n">
        <f aca="false">J102-R102</f>
        <v>1.9</v>
      </c>
      <c r="T102" s="15" t="n">
        <f aca="false">MIN(197.4,(T101+S102))</f>
        <v>100.815925925926</v>
      </c>
      <c r="U102" s="15" t="n">
        <f aca="false">MIN(T95:T194)</f>
        <v>98.915925925926</v>
      </c>
      <c r="V102" s="19" t="n">
        <v>110.7</v>
      </c>
      <c r="W102" s="9" t="n">
        <f aca="false">V102/D102</f>
        <v>42.5769230769231</v>
      </c>
      <c r="X102" s="9" t="n">
        <f aca="false">X101+V102</f>
        <v>74291.8</v>
      </c>
      <c r="Y102" s="9" t="n">
        <f aca="false">Y101+V102</f>
        <v>1897</v>
      </c>
      <c r="AA102" s="9" t="n">
        <v>8.4607086609392</v>
      </c>
    </row>
    <row r="103" s="9" customFormat="true" ht="15" hidden="false" customHeight="false" outlineLevel="0" collapsed="false">
      <c r="A103" s="29"/>
      <c r="B103" s="30"/>
      <c r="C103" s="12" t="n">
        <v>41981</v>
      </c>
      <c r="D103" s="20" t="n">
        <v>3.1</v>
      </c>
      <c r="E103" s="20" t="n">
        <v>1.2</v>
      </c>
      <c r="F103" s="9" t="n">
        <v>5.6</v>
      </c>
      <c r="G103" s="9" t="n">
        <f aca="false">G102+D103</f>
        <v>1191.7</v>
      </c>
      <c r="H103" s="9" t="n">
        <f aca="false">H102+D103</f>
        <v>30</v>
      </c>
      <c r="I103" s="31" t="s">
        <v>39</v>
      </c>
      <c r="J103" s="9" t="n">
        <v>2.3</v>
      </c>
      <c r="K103" s="9" t="n">
        <f aca="false">K102+J103</f>
        <v>161.2</v>
      </c>
      <c r="L103" s="9" t="n">
        <v>0.2</v>
      </c>
      <c r="M103" s="9" t="n">
        <f aca="false">M102+L103</f>
        <v>142.5</v>
      </c>
      <c r="N103" s="9" t="n">
        <f aca="false">J103-L103</f>
        <v>2.1</v>
      </c>
      <c r="O103" s="9" t="n">
        <f aca="false">O102+N103</f>
        <v>88.9</v>
      </c>
      <c r="P103" s="9" t="n">
        <v>98</v>
      </c>
      <c r="Q103" s="9" t="n">
        <v>1</v>
      </c>
      <c r="R103" s="15" t="n">
        <f aca="false">Q103*L103</f>
        <v>0.2</v>
      </c>
      <c r="S103" s="15" t="n">
        <f aca="false">J103-R103</f>
        <v>2.1</v>
      </c>
      <c r="T103" s="15" t="n">
        <f aca="false">MIN(197.4,(T102+S103))</f>
        <v>102.915925925926</v>
      </c>
      <c r="U103" s="31" t="s">
        <v>40</v>
      </c>
      <c r="V103" s="19" t="n">
        <v>82.9</v>
      </c>
      <c r="W103" s="9" t="n">
        <f aca="false">V103/D103</f>
        <v>26.741935483871</v>
      </c>
      <c r="X103" s="9" t="n">
        <f aca="false">X102+V103</f>
        <v>74374.7</v>
      </c>
      <c r="Y103" s="9" t="n">
        <f aca="false">Y102+V103</f>
        <v>1979.9</v>
      </c>
      <c r="AA103" s="9" t="n">
        <v>8.43804003768621</v>
      </c>
    </row>
    <row r="104" s="9" customFormat="true" ht="15" hidden="false" customHeight="false" outlineLevel="0" collapsed="false">
      <c r="A104" s="29"/>
      <c r="B104" s="30"/>
      <c r="C104" s="12" t="n">
        <v>41982</v>
      </c>
      <c r="D104" s="20" t="n">
        <v>1.5</v>
      </c>
      <c r="E104" s="32" t="n">
        <v>-1.9</v>
      </c>
      <c r="F104" s="20" t="n">
        <v>5</v>
      </c>
      <c r="G104" s="9" t="n">
        <f aca="false">G103+D104</f>
        <v>1193.2</v>
      </c>
      <c r="H104" s="9" t="n">
        <f aca="false">H103+D104</f>
        <v>31.5</v>
      </c>
      <c r="I104" s="9" t="n">
        <v>0</v>
      </c>
      <c r="J104" s="9" t="n">
        <v>1.9</v>
      </c>
      <c r="K104" s="9" t="n">
        <f aca="false">K103+J104</f>
        <v>163.1</v>
      </c>
      <c r="L104" s="9" t="n">
        <v>0.4</v>
      </c>
      <c r="M104" s="9" t="n">
        <f aca="false">M103+L104</f>
        <v>142.9</v>
      </c>
      <c r="N104" s="9" t="n">
        <f aca="false">J104-L104</f>
        <v>1.5</v>
      </c>
      <c r="O104" s="9" t="n">
        <f aca="false">O103+N104</f>
        <v>90.4</v>
      </c>
      <c r="P104" s="9" t="n">
        <v>99</v>
      </c>
      <c r="Q104" s="9" t="n">
        <v>1</v>
      </c>
      <c r="R104" s="15" t="n">
        <f aca="false">Q104*L104</f>
        <v>0.4</v>
      </c>
      <c r="S104" s="15" t="n">
        <f aca="false">J104-R104</f>
        <v>1.5</v>
      </c>
      <c r="T104" s="15" t="n">
        <f aca="false">MIN(197.4,(T103+S104))</f>
        <v>104.415925925926</v>
      </c>
      <c r="U104" s="15" t="n">
        <f aca="false">MAX(T95:T194)</f>
        <v>197.4</v>
      </c>
      <c r="V104" s="19" t="n">
        <v>358.5</v>
      </c>
      <c r="W104" s="9" t="n">
        <f aca="false">V104/D104</f>
        <v>239</v>
      </c>
      <c r="X104" s="9" t="n">
        <f aca="false">X103+V104</f>
        <v>74733.2</v>
      </c>
      <c r="Y104" s="9" t="n">
        <f aca="false">Y103+V104</f>
        <v>2338.4</v>
      </c>
      <c r="AA104" s="9" t="n">
        <v>8.41676245648357</v>
      </c>
    </row>
    <row r="105" s="9" customFormat="true" ht="15" hidden="false" customHeight="false" outlineLevel="0" collapsed="false">
      <c r="A105" s="29"/>
      <c r="B105" s="11"/>
      <c r="C105" s="12" t="n">
        <v>41983</v>
      </c>
      <c r="D105" s="9" t="n">
        <v>6.1</v>
      </c>
      <c r="E105" s="20" t="n">
        <v>1.2</v>
      </c>
      <c r="F105" s="9" t="n">
        <v>8.5</v>
      </c>
      <c r="G105" s="9" t="n">
        <f aca="false">G104+D105</f>
        <v>1199.3</v>
      </c>
      <c r="H105" s="9" t="n">
        <f aca="false">H104+D105</f>
        <v>37.6</v>
      </c>
      <c r="I105" s="31" t="s">
        <v>41</v>
      </c>
      <c r="J105" s="9" t="n">
        <v>1.1</v>
      </c>
      <c r="K105" s="9" t="n">
        <f aca="false">K104+J105</f>
        <v>164.2</v>
      </c>
      <c r="L105" s="9" t="n">
        <v>0.1</v>
      </c>
      <c r="M105" s="9" t="n">
        <f aca="false">M104+L105</f>
        <v>143</v>
      </c>
      <c r="N105" s="9" t="n">
        <f aca="false">J105-L105</f>
        <v>1</v>
      </c>
      <c r="O105" s="9" t="n">
        <f aca="false">O104+N105</f>
        <v>91.4</v>
      </c>
      <c r="P105" s="9" t="n">
        <v>100</v>
      </c>
      <c r="Q105" s="9" t="n">
        <v>1</v>
      </c>
      <c r="R105" s="15" t="n">
        <f aca="false">Q105*L105</f>
        <v>0.1</v>
      </c>
      <c r="S105" s="15" t="n">
        <f aca="false">J105-R105</f>
        <v>1</v>
      </c>
      <c r="T105" s="15" t="n">
        <f aca="false">MIN(197.4,(T104+S105))</f>
        <v>105.415925925926</v>
      </c>
      <c r="U105" s="31" t="s">
        <v>42</v>
      </c>
      <c r="V105" s="19" t="n">
        <v>166.9</v>
      </c>
      <c r="W105" s="9" t="n">
        <f aca="false">V105/D105</f>
        <v>27.3606557377049</v>
      </c>
      <c r="X105" s="9" t="n">
        <f aca="false">X104+V105</f>
        <v>74900.1</v>
      </c>
      <c r="Y105" s="9" t="n">
        <f aca="false">Y104+V105</f>
        <v>2505.3</v>
      </c>
      <c r="AA105" s="9" t="n">
        <v>8.39689959718429</v>
      </c>
    </row>
    <row r="106" s="9" customFormat="true" ht="15" hidden="false" customHeight="false" outlineLevel="0" collapsed="false">
      <c r="A106" s="29"/>
      <c r="B106" s="11"/>
      <c r="C106" s="12" t="n">
        <v>41984</v>
      </c>
      <c r="D106" s="9" t="n">
        <v>7.5</v>
      </c>
      <c r="E106" s="9" t="n">
        <v>5.4</v>
      </c>
      <c r="F106" s="9" t="n">
        <v>8.5</v>
      </c>
      <c r="G106" s="9" t="n">
        <f aca="false">G105+D106</f>
        <v>1206.8</v>
      </c>
      <c r="H106" s="9" t="n">
        <f aca="false">H105+D106</f>
        <v>45.1</v>
      </c>
      <c r="I106" s="9" t="n">
        <v>49</v>
      </c>
      <c r="J106" s="9" t="n">
        <v>0.9</v>
      </c>
      <c r="K106" s="9" t="n">
        <f aca="false">K105+J106</f>
        <v>165.1</v>
      </c>
      <c r="L106" s="9" t="n">
        <v>0.6</v>
      </c>
      <c r="M106" s="9" t="n">
        <f aca="false">M105+L106</f>
        <v>143.6</v>
      </c>
      <c r="N106" s="9" t="n">
        <f aca="false">J106-L106</f>
        <v>0.3</v>
      </c>
      <c r="O106" s="9" t="n">
        <f aca="false">O105+N106</f>
        <v>91.7</v>
      </c>
      <c r="P106" s="9" t="n">
        <v>101</v>
      </c>
      <c r="Q106" s="9" t="n">
        <v>1</v>
      </c>
      <c r="R106" s="15" t="n">
        <f aca="false">Q106*L106</f>
        <v>0.6</v>
      </c>
      <c r="S106" s="15" t="n">
        <f aca="false">J106-R106</f>
        <v>0.3</v>
      </c>
      <c r="T106" s="15" t="n">
        <f aca="false">MIN(197.4,(T105+S106))</f>
        <v>105.715925925926</v>
      </c>
      <c r="U106" s="17" t="n">
        <f aca="false">AVERAGE(T95:T194)</f>
        <v>157.773014814815</v>
      </c>
      <c r="V106" s="19" t="n">
        <v>297.9</v>
      </c>
      <c r="W106" s="9" t="n">
        <f aca="false">V106/D106</f>
        <v>39.72</v>
      </c>
      <c r="X106" s="9" t="n">
        <f aca="false">X105+V106</f>
        <v>75198</v>
      </c>
      <c r="Y106" s="9" t="n">
        <f aca="false">Y105+V106</f>
        <v>2803.2</v>
      </c>
      <c r="AA106" s="9" t="n">
        <v>8.37847392183615</v>
      </c>
    </row>
    <row r="107" s="9" customFormat="true" ht="15" hidden="false" customHeight="false" outlineLevel="0" collapsed="false">
      <c r="A107" s="29"/>
      <c r="B107" s="11"/>
      <c r="C107" s="12" t="n">
        <v>41985</v>
      </c>
      <c r="D107" s="9" t="n">
        <v>9.3</v>
      </c>
      <c r="E107" s="9" t="n">
        <v>8.4</v>
      </c>
      <c r="F107" s="9" t="n">
        <v>10.3</v>
      </c>
      <c r="G107" s="9" t="n">
        <f aca="false">G106+D107</f>
        <v>1216.1</v>
      </c>
      <c r="H107" s="9" t="n">
        <f aca="false">H106+D107</f>
        <v>54.4</v>
      </c>
      <c r="I107" s="31" t="s">
        <v>43</v>
      </c>
      <c r="J107" s="9" t="n">
        <v>10.8</v>
      </c>
      <c r="K107" s="9" t="n">
        <f aca="false">K106+J107</f>
        <v>175.9</v>
      </c>
      <c r="L107" s="9" t="n">
        <v>0.8</v>
      </c>
      <c r="M107" s="9" t="n">
        <f aca="false">M106+L107</f>
        <v>144.4</v>
      </c>
      <c r="N107" s="9" t="n">
        <f aca="false">J107-L107</f>
        <v>10</v>
      </c>
      <c r="O107" s="9" t="n">
        <f aca="false">O106+N107</f>
        <v>101.7</v>
      </c>
      <c r="P107" s="9" t="n">
        <v>102</v>
      </c>
      <c r="Q107" s="9" t="n">
        <v>1</v>
      </c>
      <c r="R107" s="15" t="n">
        <f aca="false">Q107*L107</f>
        <v>0.8</v>
      </c>
      <c r="S107" s="15" t="n">
        <f aca="false">J107-R107</f>
        <v>10</v>
      </c>
      <c r="T107" s="15" t="n">
        <f aca="false">MIN(197.4,(T106+S107))</f>
        <v>115.715925925926</v>
      </c>
      <c r="U107" s="31" t="s">
        <v>45</v>
      </c>
      <c r="V107" s="19" t="n">
        <v>119.5</v>
      </c>
      <c r="W107" s="9" t="n">
        <f aca="false">V107/D107</f>
        <v>12.8494623655914</v>
      </c>
      <c r="X107" s="9" t="n">
        <f aca="false">X106+V107</f>
        <v>75317.5</v>
      </c>
      <c r="Y107" s="9" t="n">
        <f aca="false">Y106+V107</f>
        <v>2922.7</v>
      </c>
      <c r="AA107" s="9" t="n">
        <v>8.36150658820588</v>
      </c>
    </row>
    <row r="108" s="9" customFormat="true" ht="15" hidden="false" customHeight="false" outlineLevel="0" collapsed="false">
      <c r="A108" s="29"/>
      <c r="B108" s="11"/>
      <c r="C108" s="12" t="n">
        <v>41986</v>
      </c>
      <c r="D108" s="9" t="n">
        <v>5.9</v>
      </c>
      <c r="E108" s="20" t="n">
        <v>3.5</v>
      </c>
      <c r="F108" s="9" t="n">
        <v>7.7</v>
      </c>
      <c r="G108" s="9" t="n">
        <f aca="false">G107+D108</f>
        <v>1222</v>
      </c>
      <c r="H108" s="9" t="n">
        <f aca="false">H107+D108</f>
        <v>60.3</v>
      </c>
      <c r="I108" s="9" t="n">
        <v>430.9</v>
      </c>
      <c r="J108" s="9" t="n">
        <v>8.4</v>
      </c>
      <c r="K108" s="9" t="n">
        <f aca="false">K107+J108</f>
        <v>184.3</v>
      </c>
      <c r="L108" s="9" t="n">
        <v>0.2</v>
      </c>
      <c r="M108" s="9" t="n">
        <f aca="false">M107+L108</f>
        <v>144.6</v>
      </c>
      <c r="N108" s="9" t="n">
        <f aca="false">J108-L108</f>
        <v>8.2</v>
      </c>
      <c r="O108" s="9" t="n">
        <f aca="false">O107+N108</f>
        <v>109.9</v>
      </c>
      <c r="P108" s="9" t="n">
        <v>103</v>
      </c>
      <c r="Q108" s="9" t="n">
        <v>1</v>
      </c>
      <c r="R108" s="15" t="n">
        <f aca="false">Q108*L108</f>
        <v>0.2</v>
      </c>
      <c r="S108" s="15" t="n">
        <f aca="false">J108-R108</f>
        <v>8.2</v>
      </c>
      <c r="T108" s="15" t="n">
        <f aca="false">MIN(197.4,(T107+S108))</f>
        <v>123.915925925926</v>
      </c>
      <c r="U108" s="9" t="n">
        <v>31</v>
      </c>
      <c r="V108" s="19" t="n">
        <v>67.7</v>
      </c>
      <c r="W108" s="9" t="n">
        <f aca="false">V108/D108</f>
        <v>11.4745762711864</v>
      </c>
      <c r="X108" s="9" t="n">
        <f aca="false">X107+V108</f>
        <v>75385.2</v>
      </c>
      <c r="Y108" s="9" t="n">
        <f aca="false">Y107+V108</f>
        <v>2990.4</v>
      </c>
      <c r="AA108" s="9" t="n">
        <v>8.34601736659641</v>
      </c>
    </row>
    <row r="109" s="9" customFormat="true" ht="15" hidden="false" customHeight="false" outlineLevel="0" collapsed="false">
      <c r="A109" s="29"/>
      <c r="B109" s="30"/>
      <c r="C109" s="12" t="n">
        <v>41987</v>
      </c>
      <c r="D109" s="20" t="n">
        <v>0.4</v>
      </c>
      <c r="E109" s="32" t="n">
        <v>-0.9</v>
      </c>
      <c r="F109" s="20" t="n">
        <v>1</v>
      </c>
      <c r="G109" s="9" t="n">
        <f aca="false">G108+D109</f>
        <v>1222.4</v>
      </c>
      <c r="H109" s="9" t="n">
        <f aca="false">H108+D109</f>
        <v>60.7</v>
      </c>
      <c r="J109" s="9" t="n">
        <v>0</v>
      </c>
      <c r="K109" s="9" t="n">
        <f aca="false">K108+J109</f>
        <v>184.3</v>
      </c>
      <c r="L109" s="9" t="n">
        <v>0.3</v>
      </c>
      <c r="M109" s="9" t="n">
        <f aca="false">M108+L109</f>
        <v>144.9</v>
      </c>
      <c r="N109" s="14" t="n">
        <f aca="false">J109-L109</f>
        <v>-0.3</v>
      </c>
      <c r="O109" s="9" t="n">
        <f aca="false">O108+N109</f>
        <v>109.6</v>
      </c>
      <c r="P109" s="9" t="n">
        <v>104</v>
      </c>
      <c r="Q109" s="9" t="n">
        <v>1</v>
      </c>
      <c r="R109" s="15" t="n">
        <f aca="false">Q109*L109</f>
        <v>0.3</v>
      </c>
      <c r="S109" s="15" t="n">
        <f aca="false">J109-R109</f>
        <v>-0.3</v>
      </c>
      <c r="T109" s="15" t="n">
        <f aca="false">MIN(197.4,(T108+S109))</f>
        <v>123.615925925926</v>
      </c>
      <c r="V109" s="19" t="n">
        <v>293.9</v>
      </c>
      <c r="W109" s="9" t="n">
        <f aca="false">V109/D109</f>
        <v>734.75</v>
      </c>
      <c r="X109" s="9" t="n">
        <f aca="false">X108+V109</f>
        <v>75679.1</v>
      </c>
      <c r="Y109" s="9" t="n">
        <f aca="false">Y108+V109</f>
        <v>3284.3</v>
      </c>
      <c r="AA109" s="9" t="n">
        <v>8.33202456060303</v>
      </c>
    </row>
    <row r="110" s="9" customFormat="true" ht="15" hidden="false" customHeight="false" outlineLevel="0" collapsed="false">
      <c r="A110" s="29"/>
      <c r="B110" s="30"/>
      <c r="C110" s="12" t="n">
        <v>41988</v>
      </c>
      <c r="D110" s="20" t="n">
        <v>3</v>
      </c>
      <c r="E110" s="32" t="n">
        <v>-0.3</v>
      </c>
      <c r="F110" s="9" t="n">
        <v>5.6</v>
      </c>
      <c r="G110" s="9" t="n">
        <f aca="false">G109+D110</f>
        <v>1225.4</v>
      </c>
      <c r="H110" s="9" t="n">
        <f aca="false">H109+D110</f>
        <v>63.7</v>
      </c>
      <c r="J110" s="9" t="n">
        <v>0.9</v>
      </c>
      <c r="K110" s="9" t="n">
        <f aca="false">K109+J110</f>
        <v>185.2</v>
      </c>
      <c r="L110" s="9" t="n">
        <v>0.1</v>
      </c>
      <c r="M110" s="9" t="n">
        <f aca="false">M109+L110</f>
        <v>145</v>
      </c>
      <c r="N110" s="9" t="n">
        <f aca="false">J110-L110</f>
        <v>0.8</v>
      </c>
      <c r="O110" s="9" t="n">
        <f aca="false">O109+N110</f>
        <v>110.4</v>
      </c>
      <c r="P110" s="9" t="n">
        <v>105</v>
      </c>
      <c r="Q110" s="9" t="n">
        <v>1</v>
      </c>
      <c r="R110" s="15" t="n">
        <f aca="false">Q110*L110</f>
        <v>0.1</v>
      </c>
      <c r="S110" s="15" t="n">
        <f aca="false">J110-R110</f>
        <v>0.8</v>
      </c>
      <c r="T110" s="15" t="n">
        <f aca="false">MIN(197.4,(T109+S110))</f>
        <v>124.415925925926</v>
      </c>
      <c r="U110" s="15" t="n">
        <f aca="false">(U106*100)/197.4</f>
        <v>79.9255394198657</v>
      </c>
      <c r="V110" s="19" t="n">
        <v>86.2</v>
      </c>
      <c r="W110" s="9" t="n">
        <f aca="false">V110/D110</f>
        <v>28.7333333333333</v>
      </c>
      <c r="X110" s="9" t="n">
        <f aca="false">X109+V110</f>
        <v>75765.3</v>
      </c>
      <c r="Y110" s="9" t="n">
        <f aca="false">Y109+V110</f>
        <v>3370.5</v>
      </c>
      <c r="AA110" s="9" t="n">
        <v>8.31954493244205</v>
      </c>
    </row>
    <row r="111" s="9" customFormat="true" ht="15" hidden="false" customHeight="false" outlineLevel="0" collapsed="false">
      <c r="A111" s="29"/>
      <c r="B111" s="11"/>
      <c r="C111" s="12" t="n">
        <v>41989</v>
      </c>
      <c r="D111" s="9" t="n">
        <v>6.1</v>
      </c>
      <c r="E111" s="9" t="n">
        <v>5.1</v>
      </c>
      <c r="F111" s="9" t="n">
        <v>8.2</v>
      </c>
      <c r="G111" s="9" t="n">
        <f aca="false">G110+D111</f>
        <v>1231.5</v>
      </c>
      <c r="H111" s="9" t="n">
        <f aca="false">H110+D111</f>
        <v>69.8</v>
      </c>
      <c r="J111" s="9" t="n">
        <v>4.9</v>
      </c>
      <c r="K111" s="9" t="n">
        <f aca="false">K110+J111</f>
        <v>190.1</v>
      </c>
      <c r="L111" s="9" t="n">
        <v>0.4</v>
      </c>
      <c r="M111" s="9" t="n">
        <f aca="false">M110+L111</f>
        <v>145.4</v>
      </c>
      <c r="N111" s="9" t="n">
        <f aca="false">J111-L111</f>
        <v>4.5</v>
      </c>
      <c r="O111" s="9" t="n">
        <f aca="false">O110+N111</f>
        <v>114.9</v>
      </c>
      <c r="P111" s="9" t="n">
        <v>106</v>
      </c>
      <c r="Q111" s="9" t="n">
        <v>1</v>
      </c>
      <c r="R111" s="15" t="n">
        <f aca="false">Q111*L111</f>
        <v>0.4</v>
      </c>
      <c r="S111" s="15" t="n">
        <f aca="false">J111-R111</f>
        <v>4.5</v>
      </c>
      <c r="T111" s="15" t="n">
        <f aca="false">MIN(197.4,(T110+S111))</f>
        <v>128.915925925926</v>
      </c>
      <c r="V111" s="19" t="n">
        <v>219.9</v>
      </c>
      <c r="W111" s="9" t="n">
        <f aca="false">V111/D111</f>
        <v>36.0491803278689</v>
      </c>
      <c r="X111" s="9" t="n">
        <f aca="false">X110+V111</f>
        <v>75985.2</v>
      </c>
      <c r="Y111" s="9" t="n">
        <f aca="false">Y110+V111</f>
        <v>3590.4</v>
      </c>
      <c r="AA111" s="9" t="n">
        <v>8.30859363346455</v>
      </c>
    </row>
    <row r="112" s="9" customFormat="true" ht="15" hidden="false" customHeight="false" outlineLevel="0" collapsed="false">
      <c r="A112" s="29"/>
      <c r="B112" s="11"/>
      <c r="C112" s="12" t="n">
        <v>41990</v>
      </c>
      <c r="D112" s="9" t="n">
        <v>8.7</v>
      </c>
      <c r="E112" s="20" t="n">
        <v>4.9</v>
      </c>
      <c r="F112" s="9" t="n">
        <v>12</v>
      </c>
      <c r="G112" s="9" t="n">
        <f aca="false">G111+D112</f>
        <v>1240.2</v>
      </c>
      <c r="H112" s="9" t="n">
        <f aca="false">H111+D112</f>
        <v>78.5</v>
      </c>
      <c r="J112" s="9" t="n">
        <v>7.4</v>
      </c>
      <c r="K112" s="9" t="n">
        <f aca="false">K111+J112</f>
        <v>197.5</v>
      </c>
      <c r="L112" s="9" t="n">
        <v>0.2</v>
      </c>
      <c r="M112" s="9" t="n">
        <f aca="false">M111+L112</f>
        <v>145.6</v>
      </c>
      <c r="N112" s="9" t="n">
        <f aca="false">J112-L112</f>
        <v>7.2</v>
      </c>
      <c r="O112" s="9" t="n">
        <f aca="false">O111+N112</f>
        <v>122.1</v>
      </c>
      <c r="P112" s="9" t="n">
        <v>107</v>
      </c>
      <c r="Q112" s="9" t="n">
        <v>1</v>
      </c>
      <c r="R112" s="15" t="n">
        <f aca="false">Q112*L112</f>
        <v>0.2</v>
      </c>
      <c r="S112" s="15" t="n">
        <f aca="false">J112-R112</f>
        <v>7.2</v>
      </c>
      <c r="T112" s="15" t="n">
        <f aca="false">MIN(197.4,(T111+S112))</f>
        <v>136.115925925926</v>
      </c>
      <c r="V112" s="19" t="n">
        <v>63.6</v>
      </c>
      <c r="W112" s="9" t="n">
        <f aca="false">V112/D112</f>
        <v>7.31034482758621</v>
      </c>
      <c r="X112" s="9" t="n">
        <f aca="false">X111+V112</f>
        <v>76048.8</v>
      </c>
      <c r="Y112" s="9" t="n">
        <f aca="false">Y111+V112</f>
        <v>3654</v>
      </c>
      <c r="AA112" s="9" t="n">
        <v>8.29918414043902</v>
      </c>
    </row>
    <row r="113" s="9" customFormat="true" ht="15" hidden="false" customHeight="false" outlineLevel="0" collapsed="false">
      <c r="A113" s="29"/>
      <c r="B113" s="11"/>
      <c r="C113" s="12" t="n">
        <v>41991</v>
      </c>
      <c r="D113" s="9" t="n">
        <v>11.9</v>
      </c>
      <c r="E113" s="9" t="n">
        <v>11.1</v>
      </c>
      <c r="F113" s="9" t="n">
        <v>13.3</v>
      </c>
      <c r="G113" s="9" t="n">
        <f aca="false">G112+D113</f>
        <v>1252.1</v>
      </c>
      <c r="H113" s="9" t="n">
        <f aca="false">H112+D113</f>
        <v>90.4</v>
      </c>
      <c r="J113" s="9" t="n">
        <v>0</v>
      </c>
      <c r="K113" s="9" t="n">
        <f aca="false">K112+J113</f>
        <v>197.5</v>
      </c>
      <c r="L113" s="9" t="n">
        <v>0.6</v>
      </c>
      <c r="M113" s="9" t="n">
        <f aca="false">M112+L113</f>
        <v>146.2</v>
      </c>
      <c r="N113" s="14" t="n">
        <f aca="false">J113-L113</f>
        <v>-0.6</v>
      </c>
      <c r="O113" s="9" t="n">
        <f aca="false">O112+N113</f>
        <v>121.5</v>
      </c>
      <c r="P113" s="9" t="n">
        <v>108</v>
      </c>
      <c r="Q113" s="9" t="n">
        <v>1</v>
      </c>
      <c r="R113" s="15" t="n">
        <f aca="false">Q113*L113</f>
        <v>0.6</v>
      </c>
      <c r="S113" s="15" t="n">
        <f aca="false">J113-R113</f>
        <v>-0.6</v>
      </c>
      <c r="T113" s="15" t="n">
        <f aca="false">MIN(197.4,(T112+S113))</f>
        <v>135.515925925926</v>
      </c>
      <c r="V113" s="19" t="n">
        <v>119.9</v>
      </c>
      <c r="W113" s="9" t="n">
        <f aca="false">V113/D113</f>
        <v>10.0756302521008</v>
      </c>
      <c r="X113" s="9" t="n">
        <f aca="false">X112+V113</f>
        <v>76168.7</v>
      </c>
      <c r="Y113" s="9" t="n">
        <f aca="false">Y112+V113</f>
        <v>3773.9</v>
      </c>
      <c r="AA113" s="9" t="n">
        <v>8.29132819814912</v>
      </c>
    </row>
    <row r="114" s="9" customFormat="true" ht="15" hidden="false" customHeight="false" outlineLevel="0" collapsed="false">
      <c r="A114" s="29"/>
      <c r="B114" s="11"/>
      <c r="C114" s="12" t="n">
        <v>41992</v>
      </c>
      <c r="D114" s="9" t="n">
        <v>10.1</v>
      </c>
      <c r="E114" s="9" t="n">
        <v>10.2</v>
      </c>
      <c r="F114" s="9" t="n">
        <v>11.2</v>
      </c>
      <c r="G114" s="9" t="n">
        <f aca="false">G113+D114</f>
        <v>1262.2</v>
      </c>
      <c r="H114" s="9" t="n">
        <f aca="false">H113+D114</f>
        <v>100.5</v>
      </c>
      <c r="J114" s="9" t="n">
        <v>4.1</v>
      </c>
      <c r="K114" s="9" t="n">
        <f aca="false">K113+J114</f>
        <v>201.6</v>
      </c>
      <c r="L114" s="9" t="n">
        <v>0.8</v>
      </c>
      <c r="M114" s="9" t="n">
        <f aca="false">M113+L114</f>
        <v>147</v>
      </c>
      <c r="N114" s="9" t="n">
        <f aca="false">J114-L114</f>
        <v>3.3</v>
      </c>
      <c r="O114" s="9" t="n">
        <f aca="false">O113+N114</f>
        <v>124.8</v>
      </c>
      <c r="P114" s="9" t="n">
        <v>109</v>
      </c>
      <c r="Q114" s="9" t="n">
        <v>1</v>
      </c>
      <c r="R114" s="15" t="n">
        <f aca="false">Q114*L114</f>
        <v>0.8</v>
      </c>
      <c r="S114" s="15" t="n">
        <f aca="false">J114-R114</f>
        <v>3.3</v>
      </c>
      <c r="T114" s="15" t="n">
        <f aca="false">MIN(197.4,(T113+S114))</f>
        <v>138.815925925926</v>
      </c>
      <c r="V114" s="19" t="n">
        <v>86.2</v>
      </c>
      <c r="W114" s="9" t="n">
        <f aca="false">V114/D114</f>
        <v>8.53465346534654</v>
      </c>
      <c r="X114" s="9" t="n">
        <f aca="false">X113+V114</f>
        <v>76254.9</v>
      </c>
      <c r="Y114" s="9" t="n">
        <f aca="false">Y113+V114</f>
        <v>3860.1</v>
      </c>
      <c r="AA114" s="9" t="n">
        <v>8.28503576880813</v>
      </c>
    </row>
    <row r="115" s="9" customFormat="true" ht="15" hidden="false" customHeight="false" outlineLevel="0" collapsed="false">
      <c r="A115" s="29"/>
      <c r="B115" s="11"/>
      <c r="C115" s="12" t="n">
        <v>41993</v>
      </c>
      <c r="D115" s="9" t="n">
        <v>7</v>
      </c>
      <c r="E115" s="9" t="n">
        <v>6.4</v>
      </c>
      <c r="F115" s="9" t="n">
        <v>8.8</v>
      </c>
      <c r="G115" s="9" t="n">
        <f aca="false">G114+D115</f>
        <v>1269.2</v>
      </c>
      <c r="H115" s="9" t="n">
        <f aca="false">H114+D115</f>
        <v>107.5</v>
      </c>
      <c r="J115" s="9" t="n">
        <v>0</v>
      </c>
      <c r="K115" s="9" t="n">
        <f aca="false">K114+J115</f>
        <v>201.6</v>
      </c>
      <c r="L115" s="9" t="n">
        <v>1</v>
      </c>
      <c r="M115" s="9" t="n">
        <f aca="false">M114+L115</f>
        <v>148</v>
      </c>
      <c r="N115" s="14" t="n">
        <f aca="false">J115-L115</f>
        <v>-1</v>
      </c>
      <c r="O115" s="9" t="n">
        <f aca="false">O114+N115</f>
        <v>123.8</v>
      </c>
      <c r="P115" s="9" t="n">
        <v>110</v>
      </c>
      <c r="Q115" s="9" t="n">
        <v>1</v>
      </c>
      <c r="R115" s="15" t="n">
        <f aca="false">Q115*L115</f>
        <v>1</v>
      </c>
      <c r="S115" s="15" t="n">
        <f aca="false">J115-R115</f>
        <v>-1</v>
      </c>
      <c r="T115" s="15" t="n">
        <f aca="false">MIN(197.4,(T114+S115))</f>
        <v>137.815925925926</v>
      </c>
      <c r="V115" s="19" t="n">
        <v>217</v>
      </c>
      <c r="W115" s="9" t="n">
        <f aca="false">V115/D115</f>
        <v>31</v>
      </c>
      <c r="X115" s="9" t="n">
        <f aca="false">X114+V115</f>
        <v>76471.9</v>
      </c>
      <c r="Y115" s="9" t="n">
        <f aca="false">Y114+V115</f>
        <v>4077.1</v>
      </c>
      <c r="AA115" s="9" t="n">
        <v>8.28031498873857</v>
      </c>
    </row>
    <row r="116" s="9" customFormat="true" ht="15" hidden="false" customHeight="false" outlineLevel="0" collapsed="false">
      <c r="A116" s="29"/>
      <c r="B116" s="11"/>
      <c r="C116" s="12" t="n">
        <v>41994</v>
      </c>
      <c r="D116" s="9" t="n">
        <v>7</v>
      </c>
      <c r="E116" s="20" t="n">
        <v>4.8</v>
      </c>
      <c r="F116" s="9" t="n">
        <v>8.3</v>
      </c>
      <c r="G116" s="9" t="n">
        <f aca="false">G115+D116</f>
        <v>1276.2</v>
      </c>
      <c r="H116" s="9" t="n">
        <f aca="false">H115+D116</f>
        <v>114.5</v>
      </c>
      <c r="J116" s="9" t="n">
        <v>0</v>
      </c>
      <c r="K116" s="9" t="n">
        <f aca="false">K115+J116</f>
        <v>201.6</v>
      </c>
      <c r="L116" s="9" t="n">
        <v>0.6</v>
      </c>
      <c r="M116" s="9" t="n">
        <f aca="false">M115+L116</f>
        <v>148.6</v>
      </c>
      <c r="N116" s="14" t="n">
        <f aca="false">J116-L116</f>
        <v>-0.6</v>
      </c>
      <c r="O116" s="9" t="n">
        <f aca="false">O115+N116</f>
        <v>123.2</v>
      </c>
      <c r="P116" s="9" t="n">
        <v>111</v>
      </c>
      <c r="Q116" s="9" t="n">
        <v>1</v>
      </c>
      <c r="R116" s="15" t="n">
        <f aca="false">Q116*L116</f>
        <v>0.6</v>
      </c>
      <c r="S116" s="15" t="n">
        <f aca="false">J116-R116</f>
        <v>-0.6</v>
      </c>
      <c r="T116" s="15" t="n">
        <f aca="false">MIN(197.4,(T115+S116))</f>
        <v>137.215925925926</v>
      </c>
      <c r="V116" s="19" t="n">
        <v>141.8</v>
      </c>
      <c r="W116" s="9" t="n">
        <f aca="false">V116/D116</f>
        <v>20.2571428571429</v>
      </c>
      <c r="X116" s="9" t="n">
        <f aca="false">X115+V116</f>
        <v>76613.7</v>
      </c>
      <c r="Y116" s="9" t="n">
        <f aca="false">Y115+V116</f>
        <v>4218.9</v>
      </c>
      <c r="AA116" s="9" t="n">
        <v>8.27717213270673</v>
      </c>
    </row>
    <row r="117" s="9" customFormat="true" ht="15" hidden="false" customHeight="false" outlineLevel="0" collapsed="false">
      <c r="A117" s="29"/>
      <c r="B117" s="11"/>
      <c r="C117" s="12" t="n">
        <v>41995</v>
      </c>
      <c r="D117" s="9" t="n">
        <v>8.6</v>
      </c>
      <c r="E117" s="9" t="n">
        <v>7.3</v>
      </c>
      <c r="F117" s="9" t="n">
        <v>9.7</v>
      </c>
      <c r="G117" s="9" t="n">
        <f aca="false">G116+D117</f>
        <v>1284.8</v>
      </c>
      <c r="H117" s="9" t="n">
        <f aca="false">H116+D117</f>
        <v>123.1</v>
      </c>
      <c r="J117" s="9" t="n">
        <v>0.1</v>
      </c>
      <c r="K117" s="9" t="n">
        <f aca="false">K116+J117</f>
        <v>201.7</v>
      </c>
      <c r="L117" s="9" t="n">
        <v>0.7</v>
      </c>
      <c r="M117" s="9" t="n">
        <f aca="false">M116+L117</f>
        <v>149.3</v>
      </c>
      <c r="N117" s="14" t="n">
        <f aca="false">J117-L117</f>
        <v>-0.6</v>
      </c>
      <c r="O117" s="9" t="n">
        <f aca="false">O116+N117</f>
        <v>122.6</v>
      </c>
      <c r="P117" s="9" t="n">
        <v>112</v>
      </c>
      <c r="Q117" s="9" t="n">
        <v>1</v>
      </c>
      <c r="R117" s="15" t="n">
        <f aca="false">Q117*L117</f>
        <v>0.7</v>
      </c>
      <c r="S117" s="15" t="n">
        <f aca="false">J117-R117</f>
        <v>-0.6</v>
      </c>
      <c r="T117" s="15" t="n">
        <f aca="false">MIN(197.4,(T116+S117))</f>
        <v>136.615925925926</v>
      </c>
      <c r="V117" s="19" t="n">
        <v>135.3</v>
      </c>
      <c r="W117" s="9" t="n">
        <f aca="false">V117/D117</f>
        <v>15.7325581395349</v>
      </c>
      <c r="X117" s="9" t="n">
        <f aca="false">X116+V117</f>
        <v>76749</v>
      </c>
      <c r="Y117" s="9" t="n">
        <f aca="false">Y116+V117</f>
        <v>4354.2</v>
      </c>
      <c r="AA117" s="9" t="n">
        <v>8.27561158623616</v>
      </c>
    </row>
    <row r="118" s="9" customFormat="true" ht="15" hidden="false" customHeight="false" outlineLevel="0" collapsed="false">
      <c r="A118" s="29"/>
      <c r="B118" s="11"/>
      <c r="C118" s="12" t="n">
        <v>41996</v>
      </c>
      <c r="D118" s="9" t="n">
        <v>6.8</v>
      </c>
      <c r="E118" s="9" t="n">
        <v>5.8</v>
      </c>
      <c r="F118" s="9" t="n">
        <v>7.5</v>
      </c>
      <c r="G118" s="9" t="n">
        <f aca="false">G117+D118</f>
        <v>1291.6</v>
      </c>
      <c r="H118" s="9" t="n">
        <f aca="false">H117+D118</f>
        <v>129.9</v>
      </c>
      <c r="J118" s="9" t="n">
        <v>0.1</v>
      </c>
      <c r="K118" s="9" t="n">
        <f aca="false">K117+J118</f>
        <v>201.8</v>
      </c>
      <c r="L118" s="9" t="n">
        <v>0.2</v>
      </c>
      <c r="M118" s="9" t="n">
        <f aca="false">M117+L118</f>
        <v>149.5</v>
      </c>
      <c r="N118" s="14" t="n">
        <f aca="false">J118-L118</f>
        <v>-0.1</v>
      </c>
      <c r="O118" s="9" t="n">
        <f aca="false">O117+N118</f>
        <v>122.5</v>
      </c>
      <c r="P118" s="9" t="n">
        <v>113</v>
      </c>
      <c r="Q118" s="9" t="n">
        <v>1</v>
      </c>
      <c r="R118" s="15" t="n">
        <f aca="false">Q118*L118</f>
        <v>0.2</v>
      </c>
      <c r="S118" s="15" t="n">
        <f aca="false">J118-R118</f>
        <v>-0.1</v>
      </c>
      <c r="T118" s="15" t="n">
        <f aca="false">MIN(197.4,(T117+S118))</f>
        <v>136.515925925926</v>
      </c>
      <c r="V118" s="19" t="n">
        <v>94.7</v>
      </c>
      <c r="W118" s="9" t="n">
        <f aca="false">V118/D118</f>
        <v>13.9264705882353</v>
      </c>
      <c r="X118" s="9" t="n">
        <f aca="false">X117+V118</f>
        <v>76843.7</v>
      </c>
      <c r="Y118" s="9" t="n">
        <f aca="false">Y117+V118</f>
        <v>4448.9</v>
      </c>
      <c r="AA118" s="9" t="n">
        <v>8.27563582615394</v>
      </c>
    </row>
    <row r="119" s="9" customFormat="true" ht="15" hidden="false" customHeight="false" outlineLevel="0" collapsed="false">
      <c r="A119" s="29"/>
      <c r="B119" s="11"/>
      <c r="C119" s="12" t="n">
        <v>41997</v>
      </c>
      <c r="D119" s="9" t="n">
        <v>8.1</v>
      </c>
      <c r="E119" s="9" t="n">
        <v>5.7</v>
      </c>
      <c r="F119" s="9" t="n">
        <v>9.5</v>
      </c>
      <c r="G119" s="9" t="n">
        <f aca="false">G118+D119</f>
        <v>1299.7</v>
      </c>
      <c r="H119" s="9" t="n">
        <f aca="false">H118+D119</f>
        <v>138</v>
      </c>
      <c r="J119" s="9" t="n">
        <v>0.9</v>
      </c>
      <c r="K119" s="9" t="n">
        <f aca="false">K118+J119</f>
        <v>202.7</v>
      </c>
      <c r="L119" s="9" t="n">
        <v>0.3</v>
      </c>
      <c r="M119" s="9" t="n">
        <f aca="false">M118+L119</f>
        <v>149.8</v>
      </c>
      <c r="N119" s="9" t="n">
        <f aca="false">J119-L119</f>
        <v>0.6</v>
      </c>
      <c r="O119" s="9" t="n">
        <f aca="false">O118+N119</f>
        <v>123.1</v>
      </c>
      <c r="P119" s="9" t="n">
        <v>114</v>
      </c>
      <c r="Q119" s="9" t="n">
        <v>1</v>
      </c>
      <c r="R119" s="15" t="n">
        <f aca="false">Q119*L119</f>
        <v>0.3</v>
      </c>
      <c r="S119" s="15" t="n">
        <f aca="false">J119-R119</f>
        <v>0.6</v>
      </c>
      <c r="T119" s="15" t="n">
        <f aca="false">MIN(197.4,(T118+S119))</f>
        <v>137.115925925926</v>
      </c>
      <c r="V119" s="19" t="n">
        <v>125.5</v>
      </c>
      <c r="W119" s="9" t="n">
        <f aca="false">V119/D119</f>
        <v>15.4938271604938</v>
      </c>
      <c r="X119" s="9" t="n">
        <f aca="false">X118+V119</f>
        <v>76969.2</v>
      </c>
      <c r="Y119" s="9" t="n">
        <f aca="false">Y118+V119</f>
        <v>4574.4</v>
      </c>
      <c r="AA119" s="9" t="n">
        <v>8.27724540954928</v>
      </c>
    </row>
    <row r="120" s="9" customFormat="true" ht="15" hidden="false" customHeight="false" outlineLevel="0" collapsed="false">
      <c r="A120" s="29"/>
      <c r="B120" s="30"/>
      <c r="C120" s="12" t="n">
        <v>41998</v>
      </c>
      <c r="D120" s="20" t="n">
        <v>5</v>
      </c>
      <c r="E120" s="20" t="n">
        <v>4.5</v>
      </c>
      <c r="F120" s="9" t="n">
        <v>6.9</v>
      </c>
      <c r="G120" s="9" t="n">
        <f aca="false">G119+D120</f>
        <v>1304.7</v>
      </c>
      <c r="H120" s="9" t="n">
        <f aca="false">H119+D120</f>
        <v>143</v>
      </c>
      <c r="J120" s="9" t="n">
        <v>0.1</v>
      </c>
      <c r="K120" s="9" t="n">
        <f aca="false">K119+J120</f>
        <v>202.8</v>
      </c>
      <c r="L120" s="9" t="n">
        <v>0.5</v>
      </c>
      <c r="M120" s="9" t="n">
        <f aca="false">M119+L120</f>
        <v>150.3</v>
      </c>
      <c r="N120" s="14" t="n">
        <f aca="false">J120-L120</f>
        <v>-0.4</v>
      </c>
      <c r="O120" s="9" t="n">
        <f aca="false">O119+N120</f>
        <v>122.7</v>
      </c>
      <c r="P120" s="9" t="n">
        <v>115</v>
      </c>
      <c r="Q120" s="9" t="n">
        <v>1</v>
      </c>
      <c r="R120" s="15" t="n">
        <f aca="false">Q120*L120</f>
        <v>0.5</v>
      </c>
      <c r="S120" s="15" t="n">
        <f aca="false">J120-R120</f>
        <v>-0.4</v>
      </c>
      <c r="T120" s="15" t="n">
        <f aca="false">MIN(197.4,(T119+S120))</f>
        <v>136.715925925926</v>
      </c>
      <c r="V120" s="19" t="n">
        <v>394.6</v>
      </c>
      <c r="W120" s="9" t="n">
        <f aca="false">V120/D120</f>
        <v>78.92</v>
      </c>
      <c r="X120" s="9" t="n">
        <f aca="false">X119+V120</f>
        <v>77363.8</v>
      </c>
      <c r="Y120" s="9" t="n">
        <f aca="false">Y119+V120</f>
        <v>4969</v>
      </c>
      <c r="AA120" s="9" t="n">
        <v>8.28043897124667</v>
      </c>
    </row>
    <row r="121" s="9" customFormat="true" ht="15" hidden="false" customHeight="false" outlineLevel="0" collapsed="false">
      <c r="A121" s="29"/>
      <c r="B121" s="30"/>
      <c r="C121" s="12" t="n">
        <v>41999</v>
      </c>
      <c r="D121" s="20" t="n">
        <v>2.2</v>
      </c>
      <c r="E121" s="32" t="n">
        <v>-1.1</v>
      </c>
      <c r="F121" s="9" t="n">
        <v>7.4</v>
      </c>
      <c r="G121" s="9" t="n">
        <f aca="false">G120+D121</f>
        <v>1306.9</v>
      </c>
      <c r="H121" s="9" t="n">
        <f aca="false">H120+D121</f>
        <v>145.2</v>
      </c>
      <c r="J121" s="9" t="n">
        <v>12.3</v>
      </c>
      <c r="K121" s="9" t="n">
        <f aca="false">K120+J121</f>
        <v>215.1</v>
      </c>
      <c r="L121" s="9" t="n">
        <v>0.5</v>
      </c>
      <c r="M121" s="9" t="n">
        <f aca="false">M120+L121</f>
        <v>150.8</v>
      </c>
      <c r="N121" s="9" t="n">
        <f aca="false">J121-L121</f>
        <v>11.8</v>
      </c>
      <c r="O121" s="9" t="n">
        <f aca="false">O120+N121</f>
        <v>134.5</v>
      </c>
      <c r="P121" s="9" t="n">
        <v>116</v>
      </c>
      <c r="Q121" s="9" t="n">
        <v>1</v>
      </c>
      <c r="R121" s="15" t="n">
        <f aca="false">Q121*L121</f>
        <v>0.5</v>
      </c>
      <c r="S121" s="15" t="n">
        <f aca="false">J121-R121</f>
        <v>11.8</v>
      </c>
      <c r="T121" s="15" t="n">
        <f aca="false">MIN(197.4,(T120+S121))</f>
        <v>148.515925925926</v>
      </c>
      <c r="V121" s="19" t="n">
        <v>196.4</v>
      </c>
      <c r="W121" s="9" t="n">
        <f aca="false">V121/D121</f>
        <v>89.2727272727273</v>
      </c>
      <c r="X121" s="9" t="n">
        <f aca="false">X120+V121</f>
        <v>77560.2</v>
      </c>
      <c r="Y121" s="9" t="n">
        <f aca="false">Y120+V121</f>
        <v>5165.4</v>
      </c>
      <c r="AA121" s="9" t="n">
        <v>8.285213229817</v>
      </c>
    </row>
    <row r="122" s="9" customFormat="true" ht="15" hidden="false" customHeight="false" outlineLevel="0" collapsed="false">
      <c r="A122" s="29"/>
      <c r="B122" s="30"/>
      <c r="C122" s="12" t="n">
        <v>42000</v>
      </c>
      <c r="D122" s="20" t="n">
        <v>5</v>
      </c>
      <c r="E122" s="20" t="n">
        <v>3.5</v>
      </c>
      <c r="F122" s="9" t="n">
        <v>7.1</v>
      </c>
      <c r="G122" s="9" t="n">
        <f aca="false">G121+D122</f>
        <v>1311.9</v>
      </c>
      <c r="H122" s="9" t="n">
        <f aca="false">H121+D122</f>
        <v>150.2</v>
      </c>
      <c r="J122" s="9" t="n">
        <v>0.2</v>
      </c>
      <c r="K122" s="9" t="n">
        <f aca="false">K121+J122</f>
        <v>215.3</v>
      </c>
      <c r="L122" s="9" t="n">
        <v>1</v>
      </c>
      <c r="M122" s="9" t="n">
        <f aca="false">M121+L122</f>
        <v>151.8</v>
      </c>
      <c r="N122" s="14" t="n">
        <f aca="false">J122-L122</f>
        <v>-0.8</v>
      </c>
      <c r="O122" s="9" t="n">
        <f aca="false">O121+N122</f>
        <v>133.7</v>
      </c>
      <c r="P122" s="9" t="n">
        <v>117</v>
      </c>
      <c r="Q122" s="9" t="n">
        <v>1</v>
      </c>
      <c r="R122" s="15" t="n">
        <f aca="false">Q122*L122</f>
        <v>1</v>
      </c>
      <c r="S122" s="15" t="n">
        <f aca="false">J122-R122</f>
        <v>-0.8</v>
      </c>
      <c r="T122" s="15" t="n">
        <f aca="false">MIN(197.4,(T121+S122))</f>
        <v>147.715925925926</v>
      </c>
      <c r="V122" s="19" t="n">
        <v>150</v>
      </c>
      <c r="W122" s="9" t="n">
        <f aca="false">V122/D122</f>
        <v>30</v>
      </c>
      <c r="X122" s="9" t="n">
        <f aca="false">X121+V122</f>
        <v>77710.2</v>
      </c>
      <c r="Y122" s="9" t="n">
        <f aca="false">Y121+V122</f>
        <v>5315.4</v>
      </c>
      <c r="AA122" s="9" t="n">
        <v>8.29156300207086</v>
      </c>
    </row>
    <row r="123" s="9" customFormat="true" ht="15" hidden="false" customHeight="false" outlineLevel="0" collapsed="false">
      <c r="A123" s="29"/>
      <c r="B123" s="30"/>
      <c r="C123" s="12" t="n">
        <v>42001</v>
      </c>
      <c r="D123" s="32" t="n">
        <v>-1.1</v>
      </c>
      <c r="E123" s="32" t="n">
        <v>-1.9</v>
      </c>
      <c r="F123" s="32" t="n">
        <v>-0.2</v>
      </c>
      <c r="G123" s="9" t="n">
        <v>1311.9</v>
      </c>
      <c r="H123" s="9" t="n">
        <v>150.2</v>
      </c>
      <c r="J123" s="9" t="n">
        <v>0</v>
      </c>
      <c r="K123" s="9" t="n">
        <f aca="false">K122+J123</f>
        <v>215.3</v>
      </c>
      <c r="L123" s="9" t="n">
        <v>0.7</v>
      </c>
      <c r="M123" s="9" t="n">
        <f aca="false">M122+L123</f>
        <v>152.5</v>
      </c>
      <c r="N123" s="14" t="n">
        <f aca="false">J123-L123</f>
        <v>-0.7</v>
      </c>
      <c r="O123" s="9" t="n">
        <f aca="false">O122+N123</f>
        <v>133</v>
      </c>
      <c r="P123" s="9" t="n">
        <v>118</v>
      </c>
      <c r="Q123" s="9" t="n">
        <v>1</v>
      </c>
      <c r="R123" s="15" t="n">
        <f aca="false">Q123*L123</f>
        <v>0.7</v>
      </c>
      <c r="S123" s="15" t="n">
        <f aca="false">J123-R123</f>
        <v>-0.7</v>
      </c>
      <c r="T123" s="15" t="n">
        <f aca="false">MIN(197.4,(T122+S123))</f>
        <v>147.015925925926</v>
      </c>
      <c r="V123" s="19" t="n">
        <v>203.6</v>
      </c>
      <c r="W123" s="9" t="n">
        <f aca="false">V123/D123</f>
        <v>-185.090909090909</v>
      </c>
      <c r="X123" s="9" t="n">
        <f aca="false">X122+V123</f>
        <v>77913.8</v>
      </c>
      <c r="Y123" s="9" t="n">
        <f aca="false">Y122+V123</f>
        <v>5519</v>
      </c>
      <c r="AA123" s="9" t="n">
        <v>8.29948122589994</v>
      </c>
    </row>
    <row r="124" s="9" customFormat="true" ht="15" hidden="false" customHeight="false" outlineLevel="0" collapsed="false">
      <c r="A124" s="29"/>
      <c r="B124" s="30"/>
      <c r="C124" s="12" t="n">
        <v>42002</v>
      </c>
      <c r="D124" s="32" t="n">
        <v>-0.3</v>
      </c>
      <c r="E124" s="32" t="n">
        <v>-5.8</v>
      </c>
      <c r="F124" s="20" t="n">
        <v>3.3</v>
      </c>
      <c r="G124" s="9" t="n">
        <v>1311.9</v>
      </c>
      <c r="H124" s="9" t="n">
        <v>150.2</v>
      </c>
      <c r="J124" s="9" t="n">
        <v>0</v>
      </c>
      <c r="K124" s="9" t="n">
        <f aca="false">K123+J124</f>
        <v>215.3</v>
      </c>
      <c r="L124" s="9" t="n">
        <v>0.2</v>
      </c>
      <c r="M124" s="9" t="n">
        <f aca="false">M123+L124</f>
        <v>152.7</v>
      </c>
      <c r="N124" s="14" t="n">
        <f aca="false">J124-L124</f>
        <v>-0.2</v>
      </c>
      <c r="O124" s="9" t="n">
        <f aca="false">O123+N124</f>
        <v>132.8</v>
      </c>
      <c r="P124" s="9" t="n">
        <v>119</v>
      </c>
      <c r="Q124" s="9" t="n">
        <v>1</v>
      </c>
      <c r="R124" s="15" t="n">
        <f aca="false">Q124*L124</f>
        <v>0.2</v>
      </c>
      <c r="S124" s="15" t="n">
        <f aca="false">J124-R124</f>
        <v>-0.2</v>
      </c>
      <c r="T124" s="15" t="n">
        <f aca="false">MIN(197.4,(T123+S124))</f>
        <v>146.815925925926</v>
      </c>
      <c r="V124" s="19" t="n">
        <v>477.1</v>
      </c>
      <c r="W124" s="9" t="n">
        <f aca="false">V124/D124</f>
        <v>-1590.33333333333</v>
      </c>
      <c r="X124" s="9" t="n">
        <f aca="false">X123+V124</f>
        <v>78390.9</v>
      </c>
      <c r="Y124" s="9" t="n">
        <f aca="false">Y123+V124</f>
        <v>5996.1</v>
      </c>
      <c r="AA124" s="9" t="n">
        <v>8.30895899125619</v>
      </c>
    </row>
    <row r="125" s="9" customFormat="true" ht="15" hidden="false" customHeight="false" outlineLevel="0" collapsed="false">
      <c r="A125" s="29"/>
      <c r="B125" s="30"/>
      <c r="C125" s="12" t="n">
        <v>42003</v>
      </c>
      <c r="D125" s="20" t="n">
        <v>2.4</v>
      </c>
      <c r="E125" s="20" t="n">
        <v>1.1</v>
      </c>
      <c r="F125" s="20" t="n">
        <v>4.7</v>
      </c>
      <c r="G125" s="9" t="n">
        <f aca="false">G124+D125</f>
        <v>1314.3</v>
      </c>
      <c r="H125" s="9" t="n">
        <f aca="false">H124+D125</f>
        <v>152.6</v>
      </c>
      <c r="J125" s="9" t="n">
        <v>0</v>
      </c>
      <c r="K125" s="9" t="n">
        <f aca="false">K124+J125</f>
        <v>215.3</v>
      </c>
      <c r="L125" s="9" t="n">
        <v>0.5</v>
      </c>
      <c r="M125" s="9" t="n">
        <f aca="false">M124+L125</f>
        <v>153.2</v>
      </c>
      <c r="N125" s="14" t="n">
        <f aca="false">J125-L125</f>
        <v>-0.5</v>
      </c>
      <c r="O125" s="9" t="n">
        <f aca="false">O124+N125</f>
        <v>132.3</v>
      </c>
      <c r="P125" s="9" t="n">
        <v>120</v>
      </c>
      <c r="Q125" s="9" t="n">
        <v>1</v>
      </c>
      <c r="R125" s="15" t="n">
        <f aca="false">Q125*L125</f>
        <v>0.5</v>
      </c>
      <c r="S125" s="15" t="n">
        <f aca="false">J125-R125</f>
        <v>-0.5</v>
      </c>
      <c r="T125" s="15" t="n">
        <f aca="false">MIN(197.4,(T124+S125))</f>
        <v>146.315925925926</v>
      </c>
      <c r="V125" s="19" t="n">
        <v>425.3</v>
      </c>
      <c r="W125" s="9" t="n">
        <f aca="false">V125/D125</f>
        <v>177.208333333333</v>
      </c>
      <c r="X125" s="9" t="n">
        <f aca="false">X124+V125</f>
        <v>78816.2</v>
      </c>
      <c r="Y125" s="9" t="n">
        <f aca="false">Y124+V125</f>
        <v>6421.4</v>
      </c>
      <c r="AA125" s="9" t="n">
        <v>8.31998557898569</v>
      </c>
    </row>
    <row r="126" s="9" customFormat="true" ht="15" hidden="false" customHeight="false" outlineLevel="0" collapsed="false">
      <c r="A126" s="29"/>
      <c r="B126" s="30"/>
      <c r="C126" s="12" t="n">
        <v>42004</v>
      </c>
      <c r="D126" s="20" t="n">
        <v>1.6</v>
      </c>
      <c r="E126" s="20" t="n">
        <v>0</v>
      </c>
      <c r="F126" s="9" t="n">
        <v>5.6</v>
      </c>
      <c r="G126" s="9" t="n">
        <f aca="false">G125+D126</f>
        <v>1315.9</v>
      </c>
      <c r="H126" s="9" t="n">
        <f aca="false">H125+D126</f>
        <v>154.2</v>
      </c>
      <c r="J126" s="9" t="n">
        <v>0</v>
      </c>
      <c r="K126" s="9" t="n">
        <f aca="false">K125+J126</f>
        <v>215.3</v>
      </c>
      <c r="L126" s="9" t="n">
        <v>0.7</v>
      </c>
      <c r="M126" s="9" t="n">
        <f aca="false">M125+L126</f>
        <v>153.9</v>
      </c>
      <c r="N126" s="14" t="n">
        <f aca="false">J126-L126</f>
        <v>-0.7</v>
      </c>
      <c r="O126" s="9" t="n">
        <f aca="false">O125+N126</f>
        <v>131.6</v>
      </c>
      <c r="P126" s="9" t="n">
        <v>121</v>
      </c>
      <c r="Q126" s="9" t="n">
        <v>1</v>
      </c>
      <c r="R126" s="15" t="n">
        <f aca="false">Q126*L126</f>
        <v>0.7</v>
      </c>
      <c r="S126" s="15" t="n">
        <f aca="false">J126-R126</f>
        <v>-0.7</v>
      </c>
      <c r="T126" s="15" t="n">
        <f aca="false">MIN(197.4,(T125+S126))</f>
        <v>145.615925925926</v>
      </c>
      <c r="V126" s="19" t="n">
        <v>542.1</v>
      </c>
      <c r="W126" s="9" t="n">
        <f aca="false">V126/D126</f>
        <v>338.8125</v>
      </c>
      <c r="X126" s="9" t="n">
        <f aca="false">X125+V126</f>
        <v>79358.3</v>
      </c>
      <c r="Y126" s="9" t="n">
        <f aca="false">Y125+V126</f>
        <v>6963.5</v>
      </c>
      <c r="AA126" s="9" t="n">
        <v>8.33254850716574</v>
      </c>
    </row>
    <row r="127" s="9" customFormat="true" ht="15" hidden="false" customHeight="false" outlineLevel="0" collapsed="false">
      <c r="A127" s="29"/>
      <c r="B127" s="30"/>
      <c r="C127" s="12" t="n">
        <v>42005</v>
      </c>
      <c r="D127" s="20" t="n">
        <v>0.3</v>
      </c>
      <c r="E127" s="32" t="n">
        <v>-3.7</v>
      </c>
      <c r="F127" s="20" t="n">
        <v>4.4</v>
      </c>
      <c r="G127" s="9" t="n">
        <f aca="false">G126+D127</f>
        <v>1316.2</v>
      </c>
      <c r="H127" s="9" t="n">
        <f aca="false">H126+D127</f>
        <v>154.5</v>
      </c>
      <c r="J127" s="9" t="n">
        <v>0.1</v>
      </c>
      <c r="K127" s="9" t="n">
        <f aca="false">K126+J127</f>
        <v>215.4</v>
      </c>
      <c r="L127" s="9" t="n">
        <v>0.5</v>
      </c>
      <c r="M127" s="9" t="n">
        <f aca="false">M126+L127</f>
        <v>154.4</v>
      </c>
      <c r="N127" s="14" t="n">
        <f aca="false">J127-L127</f>
        <v>-0.4</v>
      </c>
      <c r="O127" s="9" t="n">
        <f aca="false">O126+N127</f>
        <v>131.2</v>
      </c>
      <c r="P127" s="9" t="n">
        <v>122</v>
      </c>
      <c r="Q127" s="9" t="n">
        <v>1</v>
      </c>
      <c r="R127" s="15" t="n">
        <f aca="false">Q127*L127</f>
        <v>0.5</v>
      </c>
      <c r="S127" s="15" t="n">
        <f aca="false">J127-R127</f>
        <v>-0.4</v>
      </c>
      <c r="T127" s="15" t="n">
        <f aca="false">MIN(197.4,(T126+S127))</f>
        <v>145.215925925926</v>
      </c>
      <c r="V127" s="19" t="n">
        <v>443.7</v>
      </c>
      <c r="W127" s="9" t="n">
        <f aca="false">V127/D127</f>
        <v>1479</v>
      </c>
      <c r="X127" s="9" t="n">
        <f aca="false">X126+V127</f>
        <v>79802</v>
      </c>
      <c r="Y127" s="9" t="n">
        <f aca="false">Y126+V127</f>
        <v>7407.2</v>
      </c>
      <c r="AA127" s="9" t="n">
        <v>8.35117610244369</v>
      </c>
    </row>
    <row r="128" s="9" customFormat="true" ht="15" hidden="false" customHeight="false" outlineLevel="0" collapsed="false">
      <c r="A128" s="29"/>
      <c r="B128" s="30"/>
      <c r="C128" s="12" t="n">
        <v>42006</v>
      </c>
      <c r="D128" s="20" t="n">
        <v>4.1</v>
      </c>
      <c r="E128" s="20" t="n">
        <v>0.9</v>
      </c>
      <c r="F128" s="9" t="n">
        <v>6.1</v>
      </c>
      <c r="G128" s="9" t="n">
        <f aca="false">G127+D128</f>
        <v>1320.3</v>
      </c>
      <c r="H128" s="9" t="n">
        <f aca="false">H127+D128</f>
        <v>158.6</v>
      </c>
      <c r="J128" s="9" t="n">
        <v>2.1</v>
      </c>
      <c r="K128" s="9" t="n">
        <f aca="false">K127+J128</f>
        <v>217.5</v>
      </c>
      <c r="L128" s="9" t="n">
        <v>0.2</v>
      </c>
      <c r="M128" s="9" t="n">
        <f aca="false">M127+L128</f>
        <v>154.6</v>
      </c>
      <c r="N128" s="9" t="n">
        <f aca="false">J128-L128</f>
        <v>1.9</v>
      </c>
      <c r="O128" s="9" t="n">
        <f aca="false">O127+N128</f>
        <v>133.1</v>
      </c>
      <c r="P128" s="9" t="n">
        <v>123</v>
      </c>
      <c r="Q128" s="9" t="n">
        <v>1</v>
      </c>
      <c r="R128" s="15" t="n">
        <f aca="false">Q128*L128</f>
        <v>0.2</v>
      </c>
      <c r="S128" s="15" t="n">
        <f aca="false">J128-R128</f>
        <v>1.9</v>
      </c>
      <c r="T128" s="15" t="n">
        <f aca="false">MIN(197.4,(T127+S128))</f>
        <v>147.115925925926</v>
      </c>
      <c r="V128" s="19" t="n">
        <v>190.7</v>
      </c>
      <c r="W128" s="9" t="n">
        <f aca="false">V128/D128</f>
        <v>46.5121951219512</v>
      </c>
      <c r="X128" s="9" t="n">
        <f aca="false">X127+V128</f>
        <v>79992.7</v>
      </c>
      <c r="Y128" s="9" t="n">
        <f aca="false">Y127+V128</f>
        <v>7597.9</v>
      </c>
      <c r="AA128" s="9" t="n">
        <v>8.36721824964375</v>
      </c>
    </row>
    <row r="129" s="9" customFormat="true" ht="15" hidden="false" customHeight="false" outlineLevel="0" collapsed="false">
      <c r="A129" s="29"/>
      <c r="B129" s="11"/>
      <c r="C129" s="12" t="n">
        <v>42007</v>
      </c>
      <c r="D129" s="9" t="n">
        <v>7.7</v>
      </c>
      <c r="E129" s="20" t="n">
        <v>1.7</v>
      </c>
      <c r="F129" s="9" t="n">
        <v>12.2</v>
      </c>
      <c r="G129" s="9" t="n">
        <f aca="false">G128+D129</f>
        <v>1328</v>
      </c>
      <c r="H129" s="9" t="n">
        <f aca="false">H128+D129</f>
        <v>166.3</v>
      </c>
      <c r="J129" s="9" t="n">
        <v>5.6</v>
      </c>
      <c r="K129" s="9" t="n">
        <f aca="false">K128+J129</f>
        <v>223.1</v>
      </c>
      <c r="L129" s="9" t="n">
        <v>0.1</v>
      </c>
      <c r="M129" s="9" t="n">
        <f aca="false">M128+L129</f>
        <v>154.7</v>
      </c>
      <c r="N129" s="9" t="n">
        <f aca="false">J129-L129</f>
        <v>5.5</v>
      </c>
      <c r="O129" s="9" t="n">
        <f aca="false">O128+N129</f>
        <v>138.6</v>
      </c>
      <c r="P129" s="9" t="n">
        <v>124</v>
      </c>
      <c r="Q129" s="9" t="n">
        <v>1</v>
      </c>
      <c r="R129" s="15" t="n">
        <f aca="false">Q129*L129</f>
        <v>0.1</v>
      </c>
      <c r="S129" s="15" t="n">
        <f aca="false">J129-R129</f>
        <v>5.5</v>
      </c>
      <c r="T129" s="15" t="n">
        <f aca="false">MIN(197.4,(T128+S129))</f>
        <v>152.615925925926</v>
      </c>
      <c r="V129" s="19" t="n">
        <v>106.7</v>
      </c>
      <c r="W129" s="9" t="n">
        <f aca="false">V129/D129</f>
        <v>13.8571428571429</v>
      </c>
      <c r="X129" s="9" t="n">
        <f aca="false">X128+V129</f>
        <v>80099.4</v>
      </c>
      <c r="Y129" s="9" t="n">
        <f aca="false">Y128+V129</f>
        <v>7704.6</v>
      </c>
      <c r="AA129" s="9" t="n">
        <v>8.38474372905813</v>
      </c>
    </row>
    <row r="130" s="9" customFormat="true" ht="15" hidden="false" customHeight="false" outlineLevel="0" collapsed="false">
      <c r="A130" s="29"/>
      <c r="B130" s="30"/>
      <c r="C130" s="12" t="n">
        <v>42008</v>
      </c>
      <c r="D130" s="20" t="n">
        <v>3.3</v>
      </c>
      <c r="E130" s="20" t="n">
        <v>0.7</v>
      </c>
      <c r="F130" s="9" t="n">
        <v>5.9</v>
      </c>
      <c r="G130" s="9" t="n">
        <f aca="false">G129+D130</f>
        <v>1331.3</v>
      </c>
      <c r="H130" s="9" t="n">
        <f aca="false">H129+D130</f>
        <v>169.6</v>
      </c>
      <c r="J130" s="9" t="n">
        <v>0</v>
      </c>
      <c r="K130" s="9" t="n">
        <f aca="false">K129+J130</f>
        <v>223.1</v>
      </c>
      <c r="L130" s="9" t="n">
        <v>0.2</v>
      </c>
      <c r="M130" s="9" t="n">
        <f aca="false">M129+L130</f>
        <v>154.9</v>
      </c>
      <c r="N130" s="14" t="n">
        <f aca="false">J130-L130</f>
        <v>-0.2</v>
      </c>
      <c r="O130" s="9" t="n">
        <f aca="false">O129+N130</f>
        <v>138.4</v>
      </c>
      <c r="P130" s="9" t="n">
        <v>125</v>
      </c>
      <c r="Q130" s="9" t="n">
        <v>1</v>
      </c>
      <c r="R130" s="15" t="n">
        <f aca="false">Q130*L130</f>
        <v>0.2</v>
      </c>
      <c r="S130" s="15" t="n">
        <f aca="false">J130-R130</f>
        <v>-0.2</v>
      </c>
      <c r="T130" s="15" t="n">
        <f aca="false">MIN(197.4,(T129+S130))</f>
        <v>152.415925925926</v>
      </c>
      <c r="V130" s="19" t="n">
        <v>175.3</v>
      </c>
      <c r="W130" s="9" t="n">
        <f aca="false">V130/D130</f>
        <v>53.1212121212121</v>
      </c>
      <c r="X130" s="9" t="n">
        <f aca="false">X129+V130</f>
        <v>80274.7</v>
      </c>
      <c r="Y130" s="9" t="n">
        <f aca="false">Y129+V130</f>
        <v>7879.9</v>
      </c>
      <c r="AA130" s="9" t="n">
        <v>8.403733164633</v>
      </c>
    </row>
    <row r="131" s="9" customFormat="true" ht="15" hidden="false" customHeight="false" outlineLevel="0" collapsed="false">
      <c r="A131" s="29"/>
      <c r="B131" s="30"/>
      <c r="C131" s="12" t="n">
        <v>42009</v>
      </c>
      <c r="D131" s="32" t="n">
        <v>-0.6</v>
      </c>
      <c r="E131" s="32" t="n">
        <v>-2</v>
      </c>
      <c r="F131" s="20" t="n">
        <v>1.5</v>
      </c>
      <c r="G131" s="9" t="n">
        <v>1331.3</v>
      </c>
      <c r="H131" s="9" t="n">
        <v>169.6</v>
      </c>
      <c r="J131" s="9" t="n">
        <v>0.1</v>
      </c>
      <c r="K131" s="9" t="n">
        <f aca="false">K130+J131</f>
        <v>223.2</v>
      </c>
      <c r="L131" s="9" t="n">
        <v>0.2</v>
      </c>
      <c r="M131" s="9" t="n">
        <f aca="false">M130+L131</f>
        <v>155.1</v>
      </c>
      <c r="N131" s="14" t="n">
        <f aca="false">J131-L131</f>
        <v>-0.1</v>
      </c>
      <c r="O131" s="9" t="n">
        <f aca="false">O130+N131</f>
        <v>138.3</v>
      </c>
      <c r="P131" s="9" t="n">
        <v>126</v>
      </c>
      <c r="Q131" s="9" t="n">
        <v>1</v>
      </c>
      <c r="R131" s="15" t="n">
        <f aca="false">Q131*L131</f>
        <v>0.2</v>
      </c>
      <c r="S131" s="15" t="n">
        <f aca="false">J131-R131</f>
        <v>-0.1</v>
      </c>
      <c r="T131" s="15" t="n">
        <f aca="false">MIN(197.4,(T130+S131))</f>
        <v>152.315925925926</v>
      </c>
      <c r="V131" s="19" t="n">
        <v>143.8</v>
      </c>
      <c r="W131" s="9" t="n">
        <f aca="false">V131/D131</f>
        <v>-239.666666666667</v>
      </c>
      <c r="X131" s="9" t="n">
        <f aca="false">X130+V131</f>
        <v>80418.5</v>
      </c>
      <c r="Y131" s="9" t="n">
        <f aca="false">Y130+V131</f>
        <v>8023.7</v>
      </c>
      <c r="AA131" s="9" t="n">
        <v>8.42416576941892</v>
      </c>
    </row>
    <row r="132" s="9" customFormat="true" ht="15" hidden="false" customHeight="false" outlineLevel="0" collapsed="false">
      <c r="A132" s="29"/>
      <c r="B132" s="30"/>
      <c r="C132" s="12" t="n">
        <v>42010</v>
      </c>
      <c r="D132" s="20" t="n">
        <v>0.6</v>
      </c>
      <c r="E132" s="32" t="n">
        <v>-1.9</v>
      </c>
      <c r="F132" s="20" t="n">
        <v>4.2</v>
      </c>
      <c r="G132" s="9" t="n">
        <f aca="false">G131+D132</f>
        <v>1331.9</v>
      </c>
      <c r="H132" s="9" t="n">
        <f aca="false">H131+D132</f>
        <v>170.2</v>
      </c>
      <c r="J132" s="9" t="n">
        <v>0</v>
      </c>
      <c r="K132" s="9" t="n">
        <f aca="false">K131+J132</f>
        <v>223.2</v>
      </c>
      <c r="L132" s="9" t="n">
        <v>0.3</v>
      </c>
      <c r="M132" s="9" t="n">
        <f aca="false">M131+L132</f>
        <v>155.4</v>
      </c>
      <c r="N132" s="14" t="n">
        <f aca="false">J132-L132</f>
        <v>-0.3</v>
      </c>
      <c r="O132" s="9" t="n">
        <f aca="false">O131+N132</f>
        <v>138</v>
      </c>
      <c r="P132" s="9" t="n">
        <v>127</v>
      </c>
      <c r="Q132" s="9" t="n">
        <v>1</v>
      </c>
      <c r="R132" s="15" t="n">
        <f aca="false">Q132*L132</f>
        <v>0.3</v>
      </c>
      <c r="S132" s="15" t="n">
        <f aca="false">J132-R132</f>
        <v>-0.3</v>
      </c>
      <c r="T132" s="15" t="n">
        <f aca="false">MIN(197.4,(T131+S132))</f>
        <v>152.015925925926</v>
      </c>
      <c r="V132" s="19" t="n">
        <v>251</v>
      </c>
      <c r="W132" s="9" t="n">
        <f aca="false">V132/D132</f>
        <v>418.333333333333</v>
      </c>
      <c r="X132" s="9" t="n">
        <f aca="false">X131+V132</f>
        <v>80669.5</v>
      </c>
      <c r="Y132" s="9" t="n">
        <f aca="false">Y131+V132</f>
        <v>8274.7</v>
      </c>
      <c r="AA132" s="9" t="n">
        <v>8.44601942767804</v>
      </c>
    </row>
    <row r="133" s="9" customFormat="true" ht="15" hidden="false" customHeight="false" outlineLevel="0" collapsed="false">
      <c r="A133" s="29"/>
      <c r="B133" s="30"/>
      <c r="C133" s="12" t="n">
        <v>42011</v>
      </c>
      <c r="D133" s="20" t="n">
        <v>4.1</v>
      </c>
      <c r="E133" s="20" t="n">
        <v>2.6</v>
      </c>
      <c r="F133" s="9" t="n">
        <v>8.3</v>
      </c>
      <c r="G133" s="9" t="n">
        <f aca="false">G132+D133</f>
        <v>1336</v>
      </c>
      <c r="H133" s="9" t="n">
        <f aca="false">H132+D133</f>
        <v>174.3</v>
      </c>
      <c r="J133" s="9" t="n">
        <v>0</v>
      </c>
      <c r="K133" s="9" t="n">
        <f aca="false">K132+J133</f>
        <v>223.2</v>
      </c>
      <c r="L133" s="9" t="n">
        <v>0.5</v>
      </c>
      <c r="M133" s="9" t="n">
        <f aca="false">M132+L133</f>
        <v>155.9</v>
      </c>
      <c r="N133" s="14" t="n">
        <f aca="false">J133-L133</f>
        <v>-0.5</v>
      </c>
      <c r="O133" s="9" t="n">
        <f aca="false">O132+N133</f>
        <v>137.5</v>
      </c>
      <c r="P133" s="9" t="n">
        <v>128</v>
      </c>
      <c r="Q133" s="9" t="n">
        <v>1</v>
      </c>
      <c r="R133" s="15" t="n">
        <f aca="false">Q133*L133</f>
        <v>0.5</v>
      </c>
      <c r="S133" s="15" t="n">
        <f aca="false">J133-R133</f>
        <v>-0.5</v>
      </c>
      <c r="T133" s="15" t="n">
        <f aca="false">MIN(197.4,(T132+S133))</f>
        <v>151.515925925926</v>
      </c>
      <c r="V133" s="19" t="n">
        <v>190.4</v>
      </c>
      <c r="W133" s="9" t="n">
        <f aca="false">V133/D133</f>
        <v>46.4390243902439</v>
      </c>
      <c r="X133" s="9" t="n">
        <f aca="false">X132+V133</f>
        <v>80859.9</v>
      </c>
      <c r="Y133" s="9" t="n">
        <f aca="false">Y132+V133</f>
        <v>8465.1</v>
      </c>
      <c r="AA133" s="9" t="n">
        <v>8.46927078047342</v>
      </c>
    </row>
    <row r="134" s="9" customFormat="true" ht="15" hidden="false" customHeight="false" outlineLevel="0" collapsed="false">
      <c r="A134" s="29"/>
      <c r="B134" s="11"/>
      <c r="C134" s="12" t="n">
        <v>42012</v>
      </c>
      <c r="D134" s="9" t="n">
        <v>8</v>
      </c>
      <c r="E134" s="20" t="n">
        <v>5</v>
      </c>
      <c r="F134" s="9" t="n">
        <v>9.8</v>
      </c>
      <c r="G134" s="9" t="n">
        <f aca="false">G133+D134</f>
        <v>1344</v>
      </c>
      <c r="H134" s="9" t="n">
        <f aca="false">H133+D134</f>
        <v>182.3</v>
      </c>
      <c r="J134" s="9" t="n">
        <v>3.3</v>
      </c>
      <c r="K134" s="9" t="n">
        <f aca="false">K133+J134</f>
        <v>226.5</v>
      </c>
      <c r="L134" s="9" t="n">
        <v>0.1</v>
      </c>
      <c r="M134" s="9" t="n">
        <f aca="false">M133+L134</f>
        <v>156</v>
      </c>
      <c r="N134" s="9" t="n">
        <f aca="false">J134-L134</f>
        <v>3.2</v>
      </c>
      <c r="O134" s="9" t="n">
        <f aca="false">O133+N134</f>
        <v>140.7</v>
      </c>
      <c r="P134" s="9" t="n">
        <v>129</v>
      </c>
      <c r="Q134" s="9" t="n">
        <v>1</v>
      </c>
      <c r="R134" s="15" t="n">
        <f aca="false">Q134*L134</f>
        <v>0.1</v>
      </c>
      <c r="S134" s="15" t="n">
        <f aca="false">J134-R134</f>
        <v>3.2</v>
      </c>
      <c r="T134" s="15" t="n">
        <f aca="false">MIN(197.4,(T133+S134))</f>
        <v>154.715925925926</v>
      </c>
      <c r="V134" s="19" t="n">
        <v>94.1</v>
      </c>
      <c r="W134" s="9" t="n">
        <f aca="false">V134/D134</f>
        <v>11.7625</v>
      </c>
      <c r="X134" s="9" t="n">
        <f aca="false">X133+V134</f>
        <v>80954</v>
      </c>
      <c r="Y134" s="9" t="n">
        <f aca="false">Y133+V134</f>
        <v>8559.2</v>
      </c>
      <c r="AA134" s="9" t="n">
        <v>8.49389531409087</v>
      </c>
    </row>
    <row r="135" s="9" customFormat="true" ht="15" hidden="false" customHeight="false" outlineLevel="0" collapsed="false">
      <c r="A135" s="29"/>
      <c r="B135" s="11"/>
      <c r="C135" s="12" t="n">
        <v>42013</v>
      </c>
      <c r="D135" s="9" t="n">
        <v>10.6</v>
      </c>
      <c r="E135" s="9" t="n">
        <v>6</v>
      </c>
      <c r="F135" s="9" t="n">
        <v>13.3</v>
      </c>
      <c r="G135" s="9" t="n">
        <f aca="false">G134+D135</f>
        <v>1354.6</v>
      </c>
      <c r="H135" s="9" t="n">
        <f aca="false">H134+D135</f>
        <v>192.9</v>
      </c>
      <c r="J135" s="9" t="n">
        <v>0.9</v>
      </c>
      <c r="K135" s="9" t="n">
        <f aca="false">K134+J135</f>
        <v>227.4</v>
      </c>
      <c r="L135" s="9" t="n">
        <v>0.2</v>
      </c>
      <c r="M135" s="9" t="n">
        <f aca="false">M134+L135</f>
        <v>156.2</v>
      </c>
      <c r="N135" s="9" t="n">
        <f aca="false">J135-L135</f>
        <v>0.7</v>
      </c>
      <c r="O135" s="9" t="n">
        <f aca="false">O134+N135</f>
        <v>141.4</v>
      </c>
      <c r="P135" s="9" t="n">
        <v>130</v>
      </c>
      <c r="Q135" s="9" t="n">
        <v>1</v>
      </c>
      <c r="R135" s="15" t="n">
        <f aca="false">Q135*L135</f>
        <v>0.2</v>
      </c>
      <c r="S135" s="15" t="n">
        <f aca="false">J135-R135</f>
        <v>0.7</v>
      </c>
      <c r="T135" s="15" t="n">
        <f aca="false">MIN(197.4,(T134+S135))</f>
        <v>155.415925925926</v>
      </c>
      <c r="V135" s="19" t="n">
        <v>110.5</v>
      </c>
      <c r="W135" s="9" t="n">
        <f aca="false">V135/D135</f>
        <v>10.4245283018868</v>
      </c>
      <c r="X135" s="9" t="n">
        <f aca="false">X134+V135</f>
        <v>81064.5</v>
      </c>
      <c r="Y135" s="9" t="n">
        <f aca="false">Y134+V135</f>
        <v>8669.7</v>
      </c>
      <c r="AA135" s="9" t="n">
        <v>8.51986745064451</v>
      </c>
    </row>
    <row r="136" s="9" customFormat="true" ht="15" hidden="false" customHeight="false" outlineLevel="0" collapsed="false">
      <c r="A136" s="29"/>
      <c r="B136" s="11"/>
      <c r="C136" s="12" t="n">
        <v>42014</v>
      </c>
      <c r="D136" s="9" t="n">
        <v>11.6</v>
      </c>
      <c r="E136" s="9" t="n">
        <v>11.2</v>
      </c>
      <c r="F136" s="9" t="n">
        <v>12.6</v>
      </c>
      <c r="G136" s="9" t="n">
        <f aca="false">G135+D136</f>
        <v>1366.2</v>
      </c>
      <c r="H136" s="9" t="n">
        <f aca="false">H135+D136</f>
        <v>204.5</v>
      </c>
      <c r="J136" s="9" t="n">
        <v>4.4</v>
      </c>
      <c r="K136" s="9" t="n">
        <f aca="false">K135+J136</f>
        <v>231.8</v>
      </c>
      <c r="L136" s="9" t="n">
        <v>0.9</v>
      </c>
      <c r="M136" s="9" t="n">
        <f aca="false">M135+L136</f>
        <v>157.1</v>
      </c>
      <c r="N136" s="9" t="n">
        <f aca="false">J136-L136</f>
        <v>3.5</v>
      </c>
      <c r="O136" s="9" t="n">
        <f aca="false">O135+N136</f>
        <v>144.9</v>
      </c>
      <c r="P136" s="9" t="n">
        <v>131</v>
      </c>
      <c r="Q136" s="9" t="n">
        <v>1</v>
      </c>
      <c r="R136" s="15" t="n">
        <f aca="false">Q136*L136</f>
        <v>0.9</v>
      </c>
      <c r="S136" s="15" t="n">
        <f aca="false">J136-R136</f>
        <v>3.5</v>
      </c>
      <c r="T136" s="15" t="n">
        <f aca="false">MIN(197.4,(T135+S136))</f>
        <v>158.915925925926</v>
      </c>
      <c r="V136" s="19" t="n">
        <v>150.1</v>
      </c>
      <c r="W136" s="9" t="n">
        <f aca="false">V136/D136</f>
        <v>12.9396551724138</v>
      </c>
      <c r="X136" s="9" t="n">
        <f aca="false">X135+V136</f>
        <v>81214.6</v>
      </c>
      <c r="Y136" s="9" t="n">
        <f aca="false">Y135+V136</f>
        <v>8819.8</v>
      </c>
      <c r="AA136" s="9" t="n">
        <v>8.54716064022603</v>
      </c>
    </row>
    <row r="137" s="9" customFormat="true" ht="15" hidden="false" customHeight="false" outlineLevel="0" collapsed="false">
      <c r="A137" s="29"/>
      <c r="B137" s="11"/>
      <c r="C137" s="12" t="n">
        <v>42015</v>
      </c>
      <c r="D137" s="9" t="n">
        <v>5.7</v>
      </c>
      <c r="E137" s="20" t="n">
        <v>4</v>
      </c>
      <c r="F137" s="9" t="n">
        <v>7.6</v>
      </c>
      <c r="G137" s="9" t="n">
        <f aca="false">G136+D137</f>
        <v>1371.9</v>
      </c>
      <c r="H137" s="9" t="n">
        <f aca="false">H136+D137</f>
        <v>210.2</v>
      </c>
      <c r="J137" s="9" t="n">
        <v>0</v>
      </c>
      <c r="K137" s="9" t="n">
        <f aca="false">K136+J137</f>
        <v>231.8</v>
      </c>
      <c r="L137" s="9" t="n">
        <v>0.8</v>
      </c>
      <c r="M137" s="9" t="n">
        <f aca="false">M136+L137</f>
        <v>157.9</v>
      </c>
      <c r="N137" s="14" t="n">
        <f aca="false">J137-L137</f>
        <v>-0.8</v>
      </c>
      <c r="O137" s="9" t="n">
        <f aca="false">O136+N137</f>
        <v>144.1</v>
      </c>
      <c r="P137" s="9" t="n">
        <v>132</v>
      </c>
      <c r="Q137" s="9" t="n">
        <v>1</v>
      </c>
      <c r="R137" s="15" t="n">
        <f aca="false">Q137*L137</f>
        <v>0.8</v>
      </c>
      <c r="S137" s="15" t="n">
        <f aca="false">J137-R137</f>
        <v>-0.8</v>
      </c>
      <c r="T137" s="15" t="n">
        <f aca="false">MIN(197.4,(T136+S137))</f>
        <v>158.115925925926</v>
      </c>
      <c r="V137" s="19" t="n">
        <v>630.4</v>
      </c>
      <c r="W137" s="9" t="n">
        <f aca="false">V137/D137</f>
        <v>110.59649122807</v>
      </c>
      <c r="X137" s="9" t="n">
        <f aca="false">X136+V137</f>
        <v>81845</v>
      </c>
      <c r="Y137" s="9" t="n">
        <f aca="false">Y136+V137</f>
        <v>9450.2</v>
      </c>
      <c r="AA137" s="9" t="n">
        <v>8.57574745397272</v>
      </c>
    </row>
    <row r="138" s="9" customFormat="true" ht="15" hidden="false" customHeight="false" outlineLevel="0" collapsed="false">
      <c r="A138" s="29"/>
      <c r="B138" s="11"/>
      <c r="C138" s="12" t="n">
        <v>42016</v>
      </c>
      <c r="D138" s="9" t="n">
        <v>6.8</v>
      </c>
      <c r="E138" s="20" t="n">
        <v>4.3</v>
      </c>
      <c r="F138" s="9" t="n">
        <v>7.8</v>
      </c>
      <c r="G138" s="9" t="n">
        <f aca="false">G137+D138</f>
        <v>1378.7</v>
      </c>
      <c r="H138" s="9" t="n">
        <f aca="false">H137+D138</f>
        <v>217</v>
      </c>
      <c r="J138" s="9" t="n">
        <v>0</v>
      </c>
      <c r="K138" s="9" t="n">
        <f aca="false">K137+J138</f>
        <v>231.8</v>
      </c>
      <c r="L138" s="9" t="n">
        <v>0.7</v>
      </c>
      <c r="M138" s="9" t="n">
        <f aca="false">M137+L138</f>
        <v>158.6</v>
      </c>
      <c r="N138" s="14" t="n">
        <f aca="false">J138-L138</f>
        <v>-0.7</v>
      </c>
      <c r="O138" s="9" t="n">
        <f aca="false">O137+N138</f>
        <v>143.4</v>
      </c>
      <c r="P138" s="9" t="n">
        <v>133</v>
      </c>
      <c r="Q138" s="9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MIN(197.4,(T137+S138))</f>
        <v>157.415925925926</v>
      </c>
      <c r="V138" s="19" t="n">
        <v>103</v>
      </c>
      <c r="W138" s="9" t="n">
        <f aca="false">V138/D138</f>
        <v>15.1470588235294</v>
      </c>
      <c r="X138" s="9" t="n">
        <f aca="false">X137+V138</f>
        <v>81948</v>
      </c>
      <c r="Y138" s="9" t="n">
        <f aca="false">Y137+V138</f>
        <v>9553.2</v>
      </c>
      <c r="AA138" s="9" t="n">
        <v>8.60559967745109</v>
      </c>
    </row>
    <row r="139" s="9" customFormat="true" ht="15" hidden="false" customHeight="false" outlineLevel="0" collapsed="false">
      <c r="A139" s="29"/>
      <c r="B139" s="11"/>
      <c r="C139" s="12" t="n">
        <v>42017</v>
      </c>
      <c r="D139" s="9" t="n">
        <v>8</v>
      </c>
      <c r="E139" s="9" t="n">
        <v>5.9</v>
      </c>
      <c r="F139" s="9" t="n">
        <v>9.7</v>
      </c>
      <c r="G139" s="9" t="n">
        <f aca="false">G138+D139</f>
        <v>1386.7</v>
      </c>
      <c r="H139" s="9" t="n">
        <f aca="false">H138+D139</f>
        <v>225</v>
      </c>
      <c r="J139" s="9" t="n">
        <v>5</v>
      </c>
      <c r="K139" s="9" t="n">
        <f aca="false">K138+J139</f>
        <v>236.8</v>
      </c>
      <c r="L139" s="9" t="n">
        <v>0.9</v>
      </c>
      <c r="M139" s="9" t="n">
        <f aca="false">M138+L139</f>
        <v>159.5</v>
      </c>
      <c r="N139" s="9" t="n">
        <f aca="false">J139-L139</f>
        <v>4.1</v>
      </c>
      <c r="O139" s="9" t="n">
        <f aca="false">O138+N139</f>
        <v>147.5</v>
      </c>
      <c r="P139" s="9" t="n">
        <v>134</v>
      </c>
      <c r="Q139" s="9" t="n">
        <v>1</v>
      </c>
      <c r="R139" s="15" t="n">
        <f aca="false">Q139*L139</f>
        <v>0.9</v>
      </c>
      <c r="S139" s="15" t="n">
        <f aca="false">J139-R139</f>
        <v>4.1</v>
      </c>
      <c r="T139" s="15" t="n">
        <f aca="false">MIN(197.4,(T138+S139))</f>
        <v>161.515925925926</v>
      </c>
      <c r="V139" s="19" t="n">
        <v>177.9</v>
      </c>
      <c r="W139" s="9" t="n">
        <f aca="false">V139/D139</f>
        <v>22.2375</v>
      </c>
      <c r="X139" s="9" t="n">
        <f aca="false">X138+V139</f>
        <v>82125.9</v>
      </c>
      <c r="Y139" s="9" t="n">
        <f aca="false">Y138+V139</f>
        <v>9731.1</v>
      </c>
      <c r="AA139" s="9" t="n">
        <v>8.63668840377988</v>
      </c>
    </row>
    <row r="140" s="9" customFormat="true" ht="15" hidden="false" customHeight="false" outlineLevel="0" collapsed="false">
      <c r="A140" s="29"/>
      <c r="B140" s="11"/>
      <c r="C140" s="12" t="n">
        <v>42018</v>
      </c>
      <c r="D140" s="9" t="n">
        <v>6.9</v>
      </c>
      <c r="E140" s="9" t="n">
        <v>5.8</v>
      </c>
      <c r="F140" s="9" t="n">
        <v>9.1</v>
      </c>
      <c r="G140" s="9" t="n">
        <f aca="false">G139+D140</f>
        <v>1393.6</v>
      </c>
      <c r="H140" s="9" t="n">
        <f aca="false">H139+D140</f>
        <v>231.9</v>
      </c>
      <c r="J140" s="9" t="n">
        <v>1.8</v>
      </c>
      <c r="K140" s="9" t="n">
        <f aca="false">K139+J140</f>
        <v>238.6</v>
      </c>
      <c r="L140" s="9" t="n">
        <v>1.1</v>
      </c>
      <c r="M140" s="9" t="n">
        <f aca="false">M139+L140</f>
        <v>160.6</v>
      </c>
      <c r="N140" s="9" t="n">
        <f aca="false">J140-L140</f>
        <v>0.7</v>
      </c>
      <c r="O140" s="9" t="n">
        <f aca="false">O139+N140</f>
        <v>148.2</v>
      </c>
      <c r="P140" s="9" t="n">
        <v>135</v>
      </c>
      <c r="Q140" s="9" t="n">
        <v>1</v>
      </c>
      <c r="R140" s="15" t="n">
        <f aca="false">Q140*L140</f>
        <v>1.1</v>
      </c>
      <c r="S140" s="15" t="n">
        <f aca="false">J140-R140</f>
        <v>0.7</v>
      </c>
      <c r="T140" s="15" t="n">
        <f aca="false">MIN(197.4,(T139+S140))</f>
        <v>162.215925925926</v>
      </c>
      <c r="V140" s="19" t="n">
        <v>182</v>
      </c>
      <c r="W140" s="9" t="n">
        <f aca="false">V140/D140</f>
        <v>26.3768115942029</v>
      </c>
      <c r="X140" s="9" t="n">
        <f aca="false">X139+V140</f>
        <v>82307.9</v>
      </c>
      <c r="Y140" s="9" t="n">
        <f aca="false">Y139+V140</f>
        <v>9913.1</v>
      </c>
      <c r="AA140" s="9" t="n">
        <v>8.66898412594824</v>
      </c>
    </row>
    <row r="141" s="9" customFormat="true" ht="15" hidden="false" customHeight="false" outlineLevel="0" collapsed="false">
      <c r="A141" s="29"/>
      <c r="B141" s="11"/>
      <c r="C141" s="12" t="n">
        <v>42019</v>
      </c>
      <c r="D141" s="9" t="n">
        <v>8.7</v>
      </c>
      <c r="E141" s="9" t="n">
        <v>6.3</v>
      </c>
      <c r="F141" s="9" t="n">
        <v>10.8</v>
      </c>
      <c r="G141" s="9" t="n">
        <f aca="false">G140+D141</f>
        <v>1402.3</v>
      </c>
      <c r="H141" s="9" t="n">
        <f aca="false">H140+D141</f>
        <v>240.6</v>
      </c>
      <c r="J141" s="9" t="n">
        <v>3.2</v>
      </c>
      <c r="K141" s="9" t="n">
        <f aca="false">K140+J141</f>
        <v>241.8</v>
      </c>
      <c r="L141" s="9" t="n">
        <v>1.1</v>
      </c>
      <c r="M141" s="9" t="n">
        <f aca="false">M140+L141</f>
        <v>161.7</v>
      </c>
      <c r="N141" s="9" t="n">
        <f aca="false">J141-L141</f>
        <v>2.1</v>
      </c>
      <c r="O141" s="9" t="n">
        <f aca="false">O140+N141</f>
        <v>150.3</v>
      </c>
      <c r="P141" s="9" t="n">
        <v>136</v>
      </c>
      <c r="Q141" s="9" t="n">
        <v>1</v>
      </c>
      <c r="R141" s="15" t="n">
        <f aca="false">Q141*L141</f>
        <v>1.1</v>
      </c>
      <c r="S141" s="15" t="n">
        <f aca="false">J141-R141</f>
        <v>2.1</v>
      </c>
      <c r="T141" s="15" t="n">
        <f aca="false">MIN(197.4,(T140+S141))</f>
        <v>164.315925925926</v>
      </c>
      <c r="V141" s="19" t="n">
        <v>152.7</v>
      </c>
      <c r="W141" s="9" t="n">
        <f aca="false">V141/D141</f>
        <v>17.551724137931</v>
      </c>
      <c r="X141" s="9" t="n">
        <f aca="false">X140+V141</f>
        <v>82460.6</v>
      </c>
      <c r="Y141" s="9" t="n">
        <f aca="false">Y140+V141</f>
        <v>10065.8</v>
      </c>
      <c r="AA141" s="9" t="n">
        <v>8.7024568278207</v>
      </c>
    </row>
    <row r="142" s="9" customFormat="true" ht="15" hidden="false" customHeight="false" outlineLevel="0" collapsed="false">
      <c r="A142" s="29"/>
      <c r="B142" s="11"/>
      <c r="C142" s="12" t="n">
        <v>42020</v>
      </c>
      <c r="D142" s="9" t="n">
        <v>5.4</v>
      </c>
      <c r="E142" s="20" t="n">
        <v>4.7</v>
      </c>
      <c r="F142" s="9" t="n">
        <v>7.1</v>
      </c>
      <c r="G142" s="9" t="n">
        <f aca="false">G141+D142</f>
        <v>1407.7</v>
      </c>
      <c r="H142" s="9" t="n">
        <f aca="false">H141+D142</f>
        <v>246</v>
      </c>
      <c r="J142" s="9" t="n">
        <v>0.8</v>
      </c>
      <c r="K142" s="9" t="n">
        <f aca="false">K141+J142</f>
        <v>242.6</v>
      </c>
      <c r="L142" s="9" t="n">
        <v>0.5</v>
      </c>
      <c r="M142" s="9" t="n">
        <f aca="false">M141+L142</f>
        <v>162.2</v>
      </c>
      <c r="N142" s="9" t="n">
        <f aca="false">J142-L142</f>
        <v>0.3</v>
      </c>
      <c r="O142" s="9" t="n">
        <f aca="false">O141+N142</f>
        <v>150.6</v>
      </c>
      <c r="P142" s="9" t="n">
        <v>137</v>
      </c>
      <c r="Q142" s="9" t="n">
        <v>1</v>
      </c>
      <c r="R142" s="15" t="n">
        <f aca="false">Q142*L142</f>
        <v>0.5</v>
      </c>
      <c r="S142" s="15" t="n">
        <f aca="false">J142-R142</f>
        <v>0.3</v>
      </c>
      <c r="T142" s="15" t="n">
        <f aca="false">MIN(197.4,(T141+S142))</f>
        <v>164.615925925926</v>
      </c>
      <c r="V142" s="19" t="n">
        <v>329</v>
      </c>
      <c r="W142" s="9" t="n">
        <f aca="false">V142/D142</f>
        <v>60.9259259259259</v>
      </c>
      <c r="X142" s="9" t="n">
        <f aca="false">X141+V142</f>
        <v>82789.6</v>
      </c>
      <c r="Y142" s="9" t="n">
        <f aca="false">Y141+V142</f>
        <v>10394.8</v>
      </c>
      <c r="AA142" s="9" t="n">
        <v>8.73707607335963</v>
      </c>
    </row>
    <row r="143" s="9" customFormat="true" ht="15" hidden="false" customHeight="false" outlineLevel="0" collapsed="false">
      <c r="A143" s="29"/>
      <c r="B143" s="30"/>
      <c r="C143" s="12" t="n">
        <v>42021</v>
      </c>
      <c r="D143" s="20" t="n">
        <v>1.4</v>
      </c>
      <c r="E143" s="20" t="n">
        <v>0</v>
      </c>
      <c r="F143" s="20" t="n">
        <v>2.2</v>
      </c>
      <c r="G143" s="9" t="n">
        <f aca="false">G142+D143</f>
        <v>1409.1</v>
      </c>
      <c r="H143" s="9" t="n">
        <f aca="false">H142+D143</f>
        <v>247.4</v>
      </c>
      <c r="J143" s="9" t="n">
        <v>0</v>
      </c>
      <c r="K143" s="9" t="n">
        <f aca="false">K142+J143</f>
        <v>242.6</v>
      </c>
      <c r="L143" s="9" t="n">
        <v>0.3</v>
      </c>
      <c r="M143" s="9" t="n">
        <f aca="false">M142+L143</f>
        <v>162.5</v>
      </c>
      <c r="N143" s="14" t="n">
        <f aca="false">J143-L143</f>
        <v>-0.3</v>
      </c>
      <c r="O143" s="9" t="n">
        <f aca="false">O142+N143</f>
        <v>150.3</v>
      </c>
      <c r="P143" s="9" t="n">
        <v>138</v>
      </c>
      <c r="Q143" s="9" t="n">
        <v>1</v>
      </c>
      <c r="R143" s="15" t="n">
        <f aca="false">Q143*L143</f>
        <v>0.3</v>
      </c>
      <c r="S143" s="15" t="n">
        <f aca="false">J143-R143</f>
        <v>-0.3</v>
      </c>
      <c r="T143" s="15" t="n">
        <f aca="false">MIN(197.4,(T142+S143))</f>
        <v>164.315925925926</v>
      </c>
      <c r="V143" s="19" t="n">
        <v>330.9</v>
      </c>
      <c r="W143" s="9" t="n">
        <f aca="false">V143/D143</f>
        <v>236.357142857143</v>
      </c>
      <c r="X143" s="9" t="n">
        <f aca="false">X142+V143</f>
        <v>83120.5</v>
      </c>
      <c r="Y143" s="9" t="n">
        <f aca="false">Y142+V143</f>
        <v>10725.7</v>
      </c>
      <c r="AA143" s="9" t="n">
        <v>8.77281109363745</v>
      </c>
    </row>
    <row r="144" s="9" customFormat="true" ht="15" hidden="false" customHeight="false" outlineLevel="0" collapsed="false">
      <c r="A144" s="29"/>
      <c r="B144" s="30"/>
      <c r="C144" s="12" t="n">
        <v>42022</v>
      </c>
      <c r="D144" s="20" t="n">
        <v>1.9</v>
      </c>
      <c r="E144" s="20" t="n">
        <v>0.3</v>
      </c>
      <c r="F144" s="20" t="n">
        <v>4.9</v>
      </c>
      <c r="G144" s="9" t="n">
        <f aca="false">G143+D144</f>
        <v>1411</v>
      </c>
      <c r="H144" s="9" t="n">
        <f aca="false">H143+D144</f>
        <v>249.3</v>
      </c>
      <c r="J144" s="9" t="n">
        <v>0</v>
      </c>
      <c r="K144" s="9" t="n">
        <f aca="false">K143+J144</f>
        <v>242.6</v>
      </c>
      <c r="L144" s="9" t="n">
        <v>0.6</v>
      </c>
      <c r="M144" s="9" t="n">
        <f aca="false">M143+L144</f>
        <v>163.1</v>
      </c>
      <c r="N144" s="14" t="n">
        <f aca="false">J144-L144</f>
        <v>-0.6</v>
      </c>
      <c r="O144" s="9" t="n">
        <f aca="false">O143+N144</f>
        <v>149.7</v>
      </c>
      <c r="P144" s="9" t="n">
        <v>139</v>
      </c>
      <c r="Q144" s="9" t="n">
        <v>1</v>
      </c>
      <c r="R144" s="15" t="n">
        <f aca="false">Q144*L144</f>
        <v>0.6</v>
      </c>
      <c r="S144" s="15" t="n">
        <f aca="false">J144-R144</f>
        <v>-0.6</v>
      </c>
      <c r="T144" s="15" t="n">
        <f aca="false">MIN(197.4,(T143+S144))</f>
        <v>163.715925925926</v>
      </c>
      <c r="V144" s="19" t="n">
        <v>482</v>
      </c>
      <c r="W144" s="9" t="n">
        <f aca="false">V144/D144</f>
        <v>253.684210526316</v>
      </c>
      <c r="X144" s="9" t="n">
        <f aca="false">X143+V144</f>
        <v>83602.5</v>
      </c>
      <c r="Y144" s="9" t="n">
        <f aca="false">Y143+V144</f>
        <v>11207.7</v>
      </c>
      <c r="AA144" s="9" t="n">
        <v>8.80963087125398</v>
      </c>
    </row>
    <row r="145" s="9" customFormat="true" ht="15" hidden="false" customHeight="false" outlineLevel="0" collapsed="false">
      <c r="A145" s="29"/>
      <c r="B145" s="30"/>
      <c r="C145" s="12" t="n">
        <v>42023</v>
      </c>
      <c r="D145" s="20" t="n">
        <v>0.1</v>
      </c>
      <c r="E145" s="32" t="n">
        <v>-2.1</v>
      </c>
      <c r="F145" s="20" t="n">
        <v>1.6</v>
      </c>
      <c r="G145" s="9" t="n">
        <f aca="false">G144+D145</f>
        <v>1411.1</v>
      </c>
      <c r="H145" s="9" t="n">
        <f aca="false">H144+D145</f>
        <v>249.4</v>
      </c>
      <c r="J145" s="9" t="n">
        <v>1</v>
      </c>
      <c r="K145" s="9" t="n">
        <f aca="false">K144+J145</f>
        <v>243.6</v>
      </c>
      <c r="L145" s="9" t="n">
        <v>0.2</v>
      </c>
      <c r="M145" s="9" t="n">
        <f aca="false">M144+L145</f>
        <v>163.3</v>
      </c>
      <c r="N145" s="9" t="n">
        <f aca="false">J145-L145</f>
        <v>0.8</v>
      </c>
      <c r="O145" s="9" t="n">
        <f aca="false">O144+N145</f>
        <v>150.5</v>
      </c>
      <c r="P145" s="9" t="n">
        <v>140</v>
      </c>
      <c r="Q145" s="9" t="n">
        <v>1</v>
      </c>
      <c r="R145" s="15" t="n">
        <f aca="false">Q145*L145</f>
        <v>0.2</v>
      </c>
      <c r="S145" s="15" t="n">
        <f aca="false">J145-R145</f>
        <v>0.8</v>
      </c>
      <c r="T145" s="15" t="n">
        <f aca="false">MIN(197.4,(T144+S145))</f>
        <v>164.515925925926</v>
      </c>
      <c r="V145" s="19" t="n">
        <v>144.9</v>
      </c>
      <c r="W145" s="9" t="n">
        <f aca="false">V145/D145</f>
        <v>1449</v>
      </c>
      <c r="X145" s="9" t="n">
        <f aca="false">X144+V145</f>
        <v>83747.4</v>
      </c>
      <c r="Y145" s="9" t="n">
        <f aca="false">Y144+V145</f>
        <v>11352.6</v>
      </c>
      <c r="AA145" s="9" t="n">
        <v>8.8475042218184</v>
      </c>
    </row>
    <row r="146" s="9" customFormat="true" ht="15" hidden="false" customHeight="false" outlineLevel="0" collapsed="false">
      <c r="A146" s="29"/>
      <c r="B146" s="30"/>
      <c r="C146" s="12" t="n">
        <v>42024</v>
      </c>
      <c r="D146" s="32" t="n">
        <v>-1.5</v>
      </c>
      <c r="E146" s="32" t="n">
        <v>-2</v>
      </c>
      <c r="F146" s="32" t="n">
        <v>-0.3</v>
      </c>
      <c r="G146" s="9" t="n">
        <v>1411.1</v>
      </c>
      <c r="H146" s="9" t="n">
        <v>249.4</v>
      </c>
      <c r="J146" s="9" t="n">
        <v>0</v>
      </c>
      <c r="K146" s="9" t="n">
        <f aca="false">K145+J146</f>
        <v>243.6</v>
      </c>
      <c r="L146" s="9" t="n">
        <v>0.3</v>
      </c>
      <c r="M146" s="9" t="n">
        <f aca="false">M145+L146</f>
        <v>163.6</v>
      </c>
      <c r="N146" s="14" t="n">
        <f aca="false">J146-L146</f>
        <v>-0.3</v>
      </c>
      <c r="O146" s="9" t="n">
        <f aca="false">O145+N146</f>
        <v>150.2</v>
      </c>
      <c r="P146" s="9" t="n">
        <v>141</v>
      </c>
      <c r="Q146" s="9" t="n">
        <v>1</v>
      </c>
      <c r="R146" s="15" t="n">
        <f aca="false">Q146*L146</f>
        <v>0.3</v>
      </c>
      <c r="S146" s="15" t="n">
        <f aca="false">J146-R146</f>
        <v>-0.3</v>
      </c>
      <c r="T146" s="15" t="n">
        <f aca="false">MIN(197.4,(T145+S146))</f>
        <v>164.215925925926</v>
      </c>
      <c r="V146" s="19" t="n">
        <v>291.3</v>
      </c>
      <c r="W146" s="9" t="n">
        <f aca="false">V146/D146</f>
        <v>-194.2</v>
      </c>
      <c r="X146" s="9" t="n">
        <f aca="false">X145+V146</f>
        <v>84038.7</v>
      </c>
      <c r="Y146" s="9" t="n">
        <f aca="false">Y145+V146</f>
        <v>11643.9</v>
      </c>
      <c r="AA146" s="9" t="n">
        <v>8.88639987219997</v>
      </c>
    </row>
    <row r="147" s="9" customFormat="true" ht="15" hidden="false" customHeight="false" outlineLevel="0" collapsed="false">
      <c r="A147" s="29"/>
      <c r="B147" s="30"/>
      <c r="C147" s="12" t="n">
        <v>42025</v>
      </c>
      <c r="D147" s="20" t="n">
        <v>0.6</v>
      </c>
      <c r="E147" s="32" t="n">
        <v>-1.9</v>
      </c>
      <c r="F147" s="20" t="n">
        <v>3</v>
      </c>
      <c r="G147" s="9" t="n">
        <f aca="false">G146+D147</f>
        <v>1411.7</v>
      </c>
      <c r="H147" s="9" t="n">
        <f aca="false">H146+D147</f>
        <v>250</v>
      </c>
      <c r="J147" s="9" t="n">
        <v>0</v>
      </c>
      <c r="K147" s="9" t="n">
        <f aca="false">K146+J147</f>
        <v>243.6</v>
      </c>
      <c r="L147" s="9" t="n">
        <v>0.6</v>
      </c>
      <c r="M147" s="9" t="n">
        <f aca="false">M146+L147</f>
        <v>164.2</v>
      </c>
      <c r="N147" s="14" t="n">
        <f aca="false">J147-L147</f>
        <v>-0.6</v>
      </c>
      <c r="O147" s="9" t="n">
        <f aca="false">O146+N147</f>
        <v>149.6</v>
      </c>
      <c r="P147" s="9" t="n">
        <v>142</v>
      </c>
      <c r="Q147" s="9" t="n">
        <v>1</v>
      </c>
      <c r="R147" s="15" t="n">
        <f aca="false">Q147*L147</f>
        <v>0.6</v>
      </c>
      <c r="S147" s="15" t="n">
        <f aca="false">J147-R147</f>
        <v>-0.6</v>
      </c>
      <c r="T147" s="15" t="n">
        <f aca="false">MIN(197.4,(T146+S147))</f>
        <v>163.615925925926</v>
      </c>
      <c r="V147" s="19" t="n">
        <v>567.8</v>
      </c>
      <c r="W147" s="9" t="n">
        <f aca="false">V147/D147</f>
        <v>946.333333333333</v>
      </c>
      <c r="X147" s="9" t="n">
        <f aca="false">X146+V147</f>
        <v>84606.5</v>
      </c>
      <c r="Y147" s="9" t="n">
        <f aca="false">Y146+V147</f>
        <v>12211.7</v>
      </c>
      <c r="AA147" s="9" t="n">
        <v>8.92628653529531</v>
      </c>
    </row>
    <row r="148" s="9" customFormat="true" ht="15" hidden="false" customHeight="false" outlineLevel="0" collapsed="false">
      <c r="A148" s="29"/>
      <c r="B148" s="30"/>
      <c r="C148" s="12" t="n">
        <v>42026</v>
      </c>
      <c r="D148" s="20" t="n">
        <v>0</v>
      </c>
      <c r="E148" s="32" t="n">
        <v>-1.3</v>
      </c>
      <c r="F148" s="20" t="n">
        <v>1.3</v>
      </c>
      <c r="G148" s="9" t="n">
        <f aca="false">G147+D148</f>
        <v>1411.7</v>
      </c>
      <c r="H148" s="9" t="n">
        <f aca="false">H147+D148</f>
        <v>250</v>
      </c>
      <c r="J148" s="9" t="n">
        <v>0</v>
      </c>
      <c r="K148" s="9" t="n">
        <f aca="false">K147+J148</f>
        <v>243.6</v>
      </c>
      <c r="L148" s="9" t="n">
        <v>0.4</v>
      </c>
      <c r="M148" s="9" t="n">
        <f aca="false">M147+L148</f>
        <v>164.6</v>
      </c>
      <c r="N148" s="14" t="n">
        <f aca="false">J148-L148</f>
        <v>-0.4</v>
      </c>
      <c r="O148" s="9" t="n">
        <f aca="false">O147+N148</f>
        <v>149.2</v>
      </c>
      <c r="P148" s="9" t="n">
        <v>143</v>
      </c>
      <c r="Q148" s="9" t="n">
        <v>1</v>
      </c>
      <c r="R148" s="15" t="n">
        <f aca="false">Q148*L148</f>
        <v>0.4</v>
      </c>
      <c r="S148" s="15" t="n">
        <f aca="false">J148-R148</f>
        <v>-0.4</v>
      </c>
      <c r="T148" s="15" t="n">
        <f aca="false">MIN(197.4,(T147+S148))</f>
        <v>163.215925925926</v>
      </c>
      <c r="V148" s="19" t="n">
        <v>240.5</v>
      </c>
      <c r="W148" s="9" t="e">
        <f aca="false">V148/D148</f>
        <v>#DIV/0!</v>
      </c>
      <c r="X148" s="9" t="n">
        <f aca="false">X147+V148</f>
        <v>84847</v>
      </c>
      <c r="Y148" s="9" t="n">
        <f aca="false">Y147+V148</f>
        <v>12452.2</v>
      </c>
      <c r="AA148" s="9" t="n">
        <v>8.96713298110362</v>
      </c>
    </row>
    <row r="149" s="9" customFormat="true" ht="15" hidden="false" customHeight="false" outlineLevel="0" collapsed="false">
      <c r="A149" s="29"/>
      <c r="B149" s="11"/>
      <c r="C149" s="12" t="n">
        <v>42027</v>
      </c>
      <c r="D149" s="32" t="n">
        <v>-0.1</v>
      </c>
      <c r="E149" s="32" t="n">
        <v>-0.7</v>
      </c>
      <c r="F149" s="20" t="n">
        <v>1.5</v>
      </c>
      <c r="G149" s="9" t="n">
        <v>1411.7</v>
      </c>
      <c r="H149" s="9" t="n">
        <v>250</v>
      </c>
      <c r="J149" s="9" t="n">
        <v>0.3</v>
      </c>
      <c r="K149" s="9" t="n">
        <f aca="false">K148+J149</f>
        <v>243.9</v>
      </c>
      <c r="L149" s="9" t="n">
        <v>0.7</v>
      </c>
      <c r="M149" s="9" t="n">
        <f aca="false">M148+L149</f>
        <v>165.3</v>
      </c>
      <c r="N149" s="14" t="n">
        <f aca="false">J149-L149</f>
        <v>-0.4</v>
      </c>
      <c r="O149" s="9" t="n">
        <f aca="false">O148+N149</f>
        <v>148.8</v>
      </c>
      <c r="P149" s="9" t="n">
        <v>144</v>
      </c>
      <c r="Q149" s="9" t="n">
        <v>1</v>
      </c>
      <c r="R149" s="15" t="n">
        <f aca="false">Q149*L149</f>
        <v>0.7</v>
      </c>
      <c r="S149" s="15" t="n">
        <f aca="false">J149-R149</f>
        <v>-0.4</v>
      </c>
      <c r="T149" s="15" t="n">
        <f aca="false">MIN(197.4,(T148+S149))</f>
        <v>162.815925925926</v>
      </c>
      <c r="V149" s="19" t="n">
        <v>644.7</v>
      </c>
      <c r="W149" s="9" t="n">
        <f aca="false">V149/D149</f>
        <v>-6447</v>
      </c>
      <c r="X149" s="9" t="n">
        <f aca="false">X148+V149</f>
        <v>85491.7</v>
      </c>
      <c r="Y149" s="9" t="n">
        <f aca="false">Y148+V149</f>
        <v>13096.9</v>
      </c>
      <c r="AA149" s="9" t="n">
        <v>9.00890810394285</v>
      </c>
    </row>
    <row r="150" s="9" customFormat="true" ht="15" hidden="false" customHeight="false" outlineLevel="0" collapsed="false">
      <c r="A150" s="29"/>
      <c r="B150" s="11"/>
      <c r="C150" s="12" t="n">
        <v>42028</v>
      </c>
      <c r="D150" s="20" t="n">
        <v>1.4</v>
      </c>
      <c r="E150" s="32" t="n">
        <v>-1.5</v>
      </c>
      <c r="F150" s="9" t="n">
        <v>5.1</v>
      </c>
      <c r="G150" s="9" t="n">
        <f aca="false">G149+D150</f>
        <v>1413.1</v>
      </c>
      <c r="H150" s="9" t="n">
        <f aca="false">H149+D150</f>
        <v>251.4</v>
      </c>
      <c r="J150" s="9" t="n">
        <v>1.5</v>
      </c>
      <c r="K150" s="9" t="n">
        <f aca="false">K149+J150</f>
        <v>245.4</v>
      </c>
      <c r="L150" s="9" t="n">
        <v>0.7</v>
      </c>
      <c r="M150" s="9" t="n">
        <f aca="false">M149+L150</f>
        <v>166</v>
      </c>
      <c r="N150" s="9" t="n">
        <f aca="false">J150-L150</f>
        <v>0.8</v>
      </c>
      <c r="O150" s="9" t="n">
        <f aca="false">O149+N150</f>
        <v>149.6</v>
      </c>
      <c r="P150" s="9" t="n">
        <v>145</v>
      </c>
      <c r="Q150" s="9" t="n">
        <v>1</v>
      </c>
      <c r="R150" s="15" t="n">
        <f aca="false">Q150*L150</f>
        <v>0.7</v>
      </c>
      <c r="S150" s="15" t="n">
        <f aca="false">J150-R150</f>
        <v>0.8</v>
      </c>
      <c r="T150" s="15" t="n">
        <f aca="false">MIN(197.4,(T149+S150))</f>
        <v>163.615925925926</v>
      </c>
      <c r="V150" s="19" t="n">
        <v>571.4</v>
      </c>
      <c r="W150" s="9" t="n">
        <f aca="false">V150/D150</f>
        <v>408.142857142857</v>
      </c>
      <c r="X150" s="9" t="n">
        <f aca="false">X149+V150</f>
        <v>86063.1</v>
      </c>
      <c r="Y150" s="9" t="n">
        <f aca="false">Y149+V150</f>
        <v>13668.3</v>
      </c>
      <c r="AA150" s="9" t="n">
        <v>9.05158098567992</v>
      </c>
    </row>
    <row r="151" s="9" customFormat="true" ht="15" hidden="false" customHeight="false" outlineLevel="0" collapsed="false">
      <c r="A151" s="29"/>
      <c r="B151" s="11"/>
      <c r="C151" s="12" t="n">
        <v>42029</v>
      </c>
      <c r="D151" s="20" t="n">
        <v>2.1</v>
      </c>
      <c r="E151" s="32" t="n">
        <v>-1.5</v>
      </c>
      <c r="F151" s="20" t="n">
        <v>4.3</v>
      </c>
      <c r="G151" s="9" t="n">
        <f aca="false">G150+D151</f>
        <v>1415.2</v>
      </c>
      <c r="H151" s="9" t="n">
        <f aca="false">H150+D151</f>
        <v>253.5</v>
      </c>
      <c r="J151" s="9" t="n">
        <v>0.5</v>
      </c>
      <c r="K151" s="9" t="n">
        <f aca="false">K150+J151</f>
        <v>245.9</v>
      </c>
      <c r="L151" s="9" t="n">
        <v>0.3</v>
      </c>
      <c r="M151" s="9" t="n">
        <f aca="false">M150+L151</f>
        <v>166.3</v>
      </c>
      <c r="N151" s="9" t="n">
        <f aca="false">J151-L151</f>
        <v>0.2</v>
      </c>
      <c r="O151" s="9" t="n">
        <f aca="false">O150+N151</f>
        <v>149.8</v>
      </c>
      <c r="P151" s="9" t="n">
        <v>146</v>
      </c>
      <c r="Q151" s="9" t="n">
        <v>1</v>
      </c>
      <c r="R151" s="15" t="n">
        <f aca="false">Q151*L151</f>
        <v>0.3</v>
      </c>
      <c r="S151" s="15" t="n">
        <f aca="false">J151-R151</f>
        <v>0.2</v>
      </c>
      <c r="T151" s="15" t="n">
        <f aca="false">MIN(197.4,(T150+S151))</f>
        <v>163.815925925926</v>
      </c>
      <c r="V151" s="19" t="n">
        <v>221.1</v>
      </c>
      <c r="W151" s="9" t="n">
        <f aca="false">V151/D151</f>
        <v>105.285714285714</v>
      </c>
      <c r="X151" s="9" t="n">
        <f aca="false">X150+V151</f>
        <v>86284.2</v>
      </c>
      <c r="Y151" s="9" t="n">
        <f aca="false">Y150+V151</f>
        <v>13889.4</v>
      </c>
      <c r="AA151" s="9" t="n">
        <v>9.09512095488606</v>
      </c>
    </row>
    <row r="152" s="9" customFormat="true" ht="15" hidden="false" customHeight="false" outlineLevel="0" collapsed="false">
      <c r="A152" s="29"/>
      <c r="B152" s="11"/>
      <c r="C152" s="12" t="n">
        <v>42030</v>
      </c>
      <c r="D152" s="9" t="n">
        <v>5.3</v>
      </c>
      <c r="E152" s="20" t="n">
        <v>3.3</v>
      </c>
      <c r="F152" s="9" t="n">
        <v>7.6</v>
      </c>
      <c r="G152" s="9" t="n">
        <f aca="false">G151+D152</f>
        <v>1420.5</v>
      </c>
      <c r="H152" s="9" t="n">
        <f aca="false">H151+D152</f>
        <v>258.8</v>
      </c>
      <c r="J152" s="9" t="n">
        <v>2.4</v>
      </c>
      <c r="K152" s="9" t="n">
        <f aca="false">K151+J152</f>
        <v>248.3</v>
      </c>
      <c r="L152" s="9" t="n">
        <v>0.3</v>
      </c>
      <c r="M152" s="9" t="n">
        <f aca="false">M151+L152</f>
        <v>166.6</v>
      </c>
      <c r="N152" s="9" t="n">
        <f aca="false">J152-L152</f>
        <v>2.1</v>
      </c>
      <c r="O152" s="9" t="n">
        <f aca="false">O151+N152</f>
        <v>151.9</v>
      </c>
      <c r="P152" s="9" t="n">
        <v>147</v>
      </c>
      <c r="Q152" s="9" t="n">
        <v>1</v>
      </c>
      <c r="R152" s="15" t="n">
        <f aca="false">Q152*L152</f>
        <v>0.3</v>
      </c>
      <c r="S152" s="15" t="n">
        <f aca="false">J152-R152</f>
        <v>2.1</v>
      </c>
      <c r="T152" s="15" t="n">
        <f aca="false">MIN(197.4,(T151+S152))</f>
        <v>165.915925925926</v>
      </c>
      <c r="V152" s="19" t="n">
        <v>137.3</v>
      </c>
      <c r="W152" s="9" t="n">
        <f aca="false">V152/D152</f>
        <v>25.9056603773585</v>
      </c>
      <c r="X152" s="9" t="n">
        <f aca="false">X151+V152</f>
        <v>86421.5</v>
      </c>
      <c r="Y152" s="9" t="n">
        <f aca="false">Y151+V152</f>
        <v>14026.7</v>
      </c>
      <c r="AA152" s="9" t="n">
        <v>9.13949764186404</v>
      </c>
    </row>
    <row r="153" s="9" customFormat="true" ht="15" hidden="false" customHeight="false" outlineLevel="0" collapsed="false">
      <c r="A153" s="29"/>
      <c r="B153" s="11" t="n">
        <v>8</v>
      </c>
      <c r="C153" s="12" t="n">
        <v>42031</v>
      </c>
      <c r="D153" s="20" t="n">
        <v>4</v>
      </c>
      <c r="E153" s="20" t="n">
        <v>0.7</v>
      </c>
      <c r="F153" s="9" t="n">
        <v>5.6</v>
      </c>
      <c r="G153" s="9" t="n">
        <f aca="false">G152+D153</f>
        <v>1424.5</v>
      </c>
      <c r="H153" s="9" t="n">
        <f aca="false">H152+D153</f>
        <v>262.8</v>
      </c>
      <c r="J153" s="9" t="n">
        <v>0</v>
      </c>
      <c r="K153" s="9" t="n">
        <f aca="false">K152+J153</f>
        <v>248.3</v>
      </c>
      <c r="L153" s="9" t="n">
        <v>0.4</v>
      </c>
      <c r="M153" s="9" t="n">
        <f aca="false">M152+L153</f>
        <v>167</v>
      </c>
      <c r="N153" s="14" t="n">
        <f aca="false">J153-L153</f>
        <v>-0.4</v>
      </c>
      <c r="O153" s="9" t="n">
        <f aca="false">O152+N153</f>
        <v>151.5</v>
      </c>
      <c r="P153" s="9" t="n">
        <v>148</v>
      </c>
      <c r="Q153" s="9" t="n">
        <v>1</v>
      </c>
      <c r="R153" s="15" t="n">
        <f aca="false">Q153*L153</f>
        <v>0.4</v>
      </c>
      <c r="S153" s="15" t="n">
        <f aca="false">J153-R153</f>
        <v>-0.4</v>
      </c>
      <c r="T153" s="15" t="n">
        <f aca="false">MIN(197.4,(T152+S153))</f>
        <v>165.515925925926</v>
      </c>
      <c r="V153" s="19" t="n">
        <v>441.1</v>
      </c>
      <c r="W153" s="9" t="n">
        <f aca="false">V153/D153</f>
        <v>110.275</v>
      </c>
      <c r="X153" s="9" t="n">
        <f aca="false">X152+V153</f>
        <v>86862.6</v>
      </c>
      <c r="Y153" s="9" t="n">
        <f aca="false">Y152+V153</f>
        <v>14467.8</v>
      </c>
      <c r="AA153" s="9" t="n">
        <v>9.18468102952656</v>
      </c>
    </row>
    <row r="154" s="9" customFormat="true" ht="15" hidden="false" customHeight="false" outlineLevel="0" collapsed="false">
      <c r="A154" s="29"/>
      <c r="B154" s="11"/>
      <c r="C154" s="12" t="n">
        <v>42032</v>
      </c>
      <c r="D154" s="9" t="n">
        <v>5.7</v>
      </c>
      <c r="E154" s="20" t="n">
        <v>4.4</v>
      </c>
      <c r="F154" s="9" t="n">
        <v>7.3</v>
      </c>
      <c r="G154" s="9" t="n">
        <f aca="false">G153+D154</f>
        <v>1430.2</v>
      </c>
      <c r="H154" s="9" t="n">
        <f aca="false">H153+D154</f>
        <v>268.5</v>
      </c>
      <c r="J154" s="9" t="n">
        <v>3.2</v>
      </c>
      <c r="K154" s="9" t="n">
        <f aca="false">K153+J154</f>
        <v>251.5</v>
      </c>
      <c r="L154" s="9" t="n">
        <v>0.4</v>
      </c>
      <c r="M154" s="9" t="n">
        <f aca="false">M153+L154</f>
        <v>167.4</v>
      </c>
      <c r="N154" s="9" t="n">
        <f aca="false">J154-L154</f>
        <v>2.8</v>
      </c>
      <c r="O154" s="9" t="n">
        <f aca="false">O153+N154</f>
        <v>154.3</v>
      </c>
      <c r="P154" s="9" t="n">
        <v>149</v>
      </c>
      <c r="Q154" s="9" t="n">
        <v>1</v>
      </c>
      <c r="R154" s="15" t="n">
        <f aca="false">Q154*L154</f>
        <v>0.4</v>
      </c>
      <c r="S154" s="15" t="n">
        <f aca="false">J154-R154</f>
        <v>2.8</v>
      </c>
      <c r="T154" s="15" t="n">
        <f aca="false">MIN(197.4,(T153+S154))</f>
        <v>168.315925925926</v>
      </c>
      <c r="V154" s="19" t="n">
        <v>146.4</v>
      </c>
      <c r="W154" s="9" t="n">
        <f aca="false">V154/D154</f>
        <v>25.6842105263158</v>
      </c>
      <c r="X154" s="9" t="n">
        <f aca="false">X153+V154</f>
        <v>87009</v>
      </c>
      <c r="Y154" s="9" t="n">
        <f aca="false">Y153+V154</f>
        <v>14614.2</v>
      </c>
      <c r="AA154" s="9" t="n">
        <v>9.23064150013615</v>
      </c>
    </row>
    <row r="155" s="9" customFormat="true" ht="15" hidden="false" customHeight="false" outlineLevel="0" collapsed="false">
      <c r="A155" s="29"/>
      <c r="B155" s="11"/>
      <c r="C155" s="12" t="n">
        <v>42033</v>
      </c>
      <c r="D155" s="20" t="n">
        <v>4.5</v>
      </c>
      <c r="E155" s="20" t="n">
        <v>4</v>
      </c>
      <c r="F155" s="9" t="n">
        <v>5.7</v>
      </c>
      <c r="G155" s="9" t="n">
        <f aca="false">G154+D155</f>
        <v>1434.7</v>
      </c>
      <c r="H155" s="9" t="n">
        <f aca="false">H154+D155</f>
        <v>273</v>
      </c>
      <c r="J155" s="9" t="n">
        <v>4.4</v>
      </c>
      <c r="K155" s="9" t="n">
        <f aca="false">K154+J155</f>
        <v>255.9</v>
      </c>
      <c r="L155" s="9" t="n">
        <v>0.5</v>
      </c>
      <c r="M155" s="9" t="n">
        <f aca="false">M154+L155</f>
        <v>167.9</v>
      </c>
      <c r="N155" s="9" t="n">
        <f aca="false">J155-L155</f>
        <v>3.9</v>
      </c>
      <c r="O155" s="9" t="n">
        <f aca="false">O154+N155</f>
        <v>158.2</v>
      </c>
      <c r="P155" s="9" t="n">
        <v>150</v>
      </c>
      <c r="Q155" s="9" t="n">
        <v>1</v>
      </c>
      <c r="R155" s="15" t="n">
        <f aca="false">Q155*L155</f>
        <v>0.5</v>
      </c>
      <c r="S155" s="15" t="n">
        <f aca="false">J155-R155</f>
        <v>3.9</v>
      </c>
      <c r="T155" s="15" t="n">
        <f aca="false">MIN(197.4,(T154+S155))</f>
        <v>172.215925925926</v>
      </c>
      <c r="V155" s="19" t="n">
        <v>153.6</v>
      </c>
      <c r="W155" s="9" t="n">
        <f aca="false">V155/D155</f>
        <v>34.1333333333333</v>
      </c>
      <c r="X155" s="9" t="n">
        <f aca="false">X154+V155</f>
        <v>87162.6</v>
      </c>
      <c r="Y155" s="9" t="n">
        <f aca="false">Y154+V155</f>
        <v>14767.8</v>
      </c>
      <c r="AA155" s="9" t="n">
        <v>9.27734987794345</v>
      </c>
    </row>
    <row r="156" s="9" customFormat="true" ht="15" hidden="false" customHeight="false" outlineLevel="0" collapsed="false">
      <c r="A156" s="29"/>
      <c r="B156" s="11"/>
      <c r="C156" s="12" t="n">
        <v>42034</v>
      </c>
      <c r="D156" s="20" t="n">
        <v>1.6</v>
      </c>
      <c r="E156" s="20" t="n">
        <v>1.1</v>
      </c>
      <c r="F156" s="20" t="n">
        <v>2.7</v>
      </c>
      <c r="G156" s="9" t="n">
        <f aca="false">G155+D156</f>
        <v>1436.3</v>
      </c>
      <c r="H156" s="9" t="n">
        <f aca="false">H155+D156</f>
        <v>274.6</v>
      </c>
      <c r="J156" s="9" t="n">
        <v>2.8</v>
      </c>
      <c r="K156" s="9" t="n">
        <f aca="false">K155+J156</f>
        <v>258.7</v>
      </c>
      <c r="L156" s="9" t="n">
        <v>0.3</v>
      </c>
      <c r="M156" s="9" t="n">
        <f aca="false">M155+L156</f>
        <v>168.2</v>
      </c>
      <c r="N156" s="9" t="n">
        <f aca="false">J156-L156</f>
        <v>2.5</v>
      </c>
      <c r="O156" s="9" t="n">
        <f aca="false">O155+N156</f>
        <v>160.7</v>
      </c>
      <c r="P156" s="9" t="n">
        <v>151</v>
      </c>
      <c r="Q156" s="9" t="n">
        <v>1</v>
      </c>
      <c r="R156" s="15" t="n">
        <f aca="false">Q156*L156</f>
        <v>0.3</v>
      </c>
      <c r="S156" s="15" t="n">
        <f aca="false">J156-R156</f>
        <v>2.5</v>
      </c>
      <c r="T156" s="15" t="n">
        <f aca="false">MIN(197.4,(T155+S156))</f>
        <v>174.715925925926</v>
      </c>
      <c r="V156" s="19" t="n">
        <v>131.3</v>
      </c>
      <c r="W156" s="9" t="n">
        <f aca="false">V156/D156</f>
        <v>82.0625</v>
      </c>
      <c r="X156" s="9" t="n">
        <f aca="false">X155+V156</f>
        <v>87293.9</v>
      </c>
      <c r="Y156" s="9" t="n">
        <f aca="false">Y155+V156</f>
        <v>14899.1</v>
      </c>
      <c r="AA156" s="9" t="n">
        <v>9.32477746778594</v>
      </c>
    </row>
    <row r="157" s="9" customFormat="true" ht="15" hidden="false" customHeight="false" outlineLevel="0" collapsed="false">
      <c r="A157" s="29"/>
      <c r="B157" s="11"/>
      <c r="C157" s="12" t="n">
        <v>42035</v>
      </c>
      <c r="D157" s="20" t="n">
        <v>2.7</v>
      </c>
      <c r="E157" s="20" t="n">
        <v>1</v>
      </c>
      <c r="F157" s="9" t="n">
        <v>5.2</v>
      </c>
      <c r="G157" s="9" t="n">
        <f aca="false">G156+D157</f>
        <v>1439</v>
      </c>
      <c r="H157" s="9" t="n">
        <f aca="false">H156+D157</f>
        <v>277.3</v>
      </c>
      <c r="J157" s="9" t="n">
        <v>2.9</v>
      </c>
      <c r="K157" s="9" t="n">
        <f aca="false">K156+J157</f>
        <v>261.6</v>
      </c>
      <c r="L157" s="9" t="n">
        <v>0.6</v>
      </c>
      <c r="M157" s="9" t="n">
        <f aca="false">M156+L157</f>
        <v>168.8</v>
      </c>
      <c r="N157" s="9" t="n">
        <f aca="false">J157-L157</f>
        <v>2.3</v>
      </c>
      <c r="O157" s="9" t="n">
        <f aca="false">O156+N157</f>
        <v>163</v>
      </c>
      <c r="P157" s="9" t="n">
        <v>152</v>
      </c>
      <c r="Q157" s="9" t="n">
        <v>1</v>
      </c>
      <c r="R157" s="15" t="n">
        <f aca="false">Q157*L157</f>
        <v>0.6</v>
      </c>
      <c r="S157" s="15" t="n">
        <f aca="false">J157-R157</f>
        <v>2.3</v>
      </c>
      <c r="T157" s="15" t="n">
        <f aca="false">MIN(197.4,(T156+S157))</f>
        <v>177.015925925926</v>
      </c>
      <c r="V157" s="19" t="n">
        <v>379.7</v>
      </c>
      <c r="W157" s="9" t="n">
        <f aca="false">V157/D157</f>
        <v>140.62962962963</v>
      </c>
      <c r="X157" s="9" t="n">
        <f aca="false">X156+V157</f>
        <v>87673.6</v>
      </c>
      <c r="Y157" s="9" t="n">
        <f aca="false">Y156+V157</f>
        <v>15278.8</v>
      </c>
      <c r="AA157" s="9" t="n">
        <v>9.37289608973081</v>
      </c>
    </row>
    <row r="158" s="9" customFormat="true" ht="15" hidden="false" customHeight="false" outlineLevel="0" collapsed="false">
      <c r="A158" s="29"/>
      <c r="B158" s="11"/>
      <c r="C158" s="12" t="n">
        <v>42036</v>
      </c>
      <c r="D158" s="20" t="n">
        <v>3</v>
      </c>
      <c r="E158" s="20" t="n">
        <v>2</v>
      </c>
      <c r="F158" s="20" t="n">
        <v>3.8</v>
      </c>
      <c r="G158" s="9" t="n">
        <f aca="false">G157+D158</f>
        <v>1442</v>
      </c>
      <c r="H158" s="9" t="n">
        <f aca="false">H157+D158</f>
        <v>280.3</v>
      </c>
      <c r="J158" s="9" t="n">
        <v>2.2</v>
      </c>
      <c r="K158" s="9" t="n">
        <f aca="false">K157+J158</f>
        <v>263.8</v>
      </c>
      <c r="L158" s="9" t="n">
        <v>0.4</v>
      </c>
      <c r="M158" s="9" t="n">
        <f aca="false">M157+L158</f>
        <v>169.2</v>
      </c>
      <c r="N158" s="9" t="n">
        <f aca="false">J158-L158</f>
        <v>1.8</v>
      </c>
      <c r="O158" s="9" t="n">
        <f aca="false">O157+N158</f>
        <v>164.8</v>
      </c>
      <c r="P158" s="9" t="n">
        <v>153</v>
      </c>
      <c r="Q158" s="9" t="n">
        <v>1</v>
      </c>
      <c r="R158" s="15" t="n">
        <f aca="false">Q158*L158</f>
        <v>0.4</v>
      </c>
      <c r="S158" s="15" t="n">
        <f aca="false">J158-R158</f>
        <v>1.8</v>
      </c>
      <c r="T158" s="15" t="n">
        <f aca="false">MIN(197.4,(T157+S158))</f>
        <v>178.815925925926</v>
      </c>
      <c r="V158" s="19" t="n">
        <v>225</v>
      </c>
      <c r="W158" s="9" t="n">
        <f aca="false">V158/D158</f>
        <v>75</v>
      </c>
      <c r="X158" s="9" t="n">
        <f aca="false">X157+V158</f>
        <v>87898.6</v>
      </c>
      <c r="Y158" s="9" t="n">
        <f aca="false">Y157+V158</f>
        <v>15503.8</v>
      </c>
      <c r="AA158" s="9" t="n">
        <v>9.42167810986428</v>
      </c>
    </row>
    <row r="159" s="9" customFormat="true" ht="15" hidden="false" customHeight="false" outlineLevel="0" collapsed="false">
      <c r="A159" s="29"/>
      <c r="B159" s="11"/>
      <c r="C159" s="12" t="n">
        <v>42037</v>
      </c>
      <c r="D159" s="20" t="n">
        <v>1.3</v>
      </c>
      <c r="E159" s="20" t="n">
        <v>0.2</v>
      </c>
      <c r="F159" s="20" t="n">
        <v>3</v>
      </c>
      <c r="G159" s="9" t="n">
        <f aca="false">G158+D159</f>
        <v>1443.3</v>
      </c>
      <c r="H159" s="9" t="n">
        <f aca="false">H158+D159</f>
        <v>281.6</v>
      </c>
      <c r="J159" s="33" t="n">
        <v>1.5</v>
      </c>
      <c r="K159" s="9" t="n">
        <f aca="false">K158+J159</f>
        <v>265.3</v>
      </c>
      <c r="L159" s="9" t="n">
        <v>0.3</v>
      </c>
      <c r="M159" s="9" t="n">
        <f aca="false">M158+L159</f>
        <v>169.5</v>
      </c>
      <c r="N159" s="9" t="n">
        <f aca="false">J159-L159</f>
        <v>1.2</v>
      </c>
      <c r="O159" s="9" t="n">
        <f aca="false">O158+N159</f>
        <v>166</v>
      </c>
      <c r="P159" s="9" t="n">
        <v>154</v>
      </c>
      <c r="Q159" s="9" t="n">
        <v>1</v>
      </c>
      <c r="R159" s="15" t="n">
        <f aca="false">Q159*L159</f>
        <v>0.3</v>
      </c>
      <c r="S159" s="15" t="n">
        <f aca="false">J159-R159</f>
        <v>1.2</v>
      </c>
      <c r="T159" s="15" t="n">
        <f aca="false">MIN(197.4,(T158+S159))</f>
        <v>180.015925925926</v>
      </c>
      <c r="V159" s="19" t="n">
        <v>253.7</v>
      </c>
      <c r="W159" s="9" t="n">
        <f aca="false">V159/D159</f>
        <v>195.153846153846</v>
      </c>
      <c r="X159" s="9" t="n">
        <f aca="false">X158+V159</f>
        <v>88152.3</v>
      </c>
      <c r="Y159" s="9" t="n">
        <f aca="false">Y158+V159</f>
        <v>15757.5</v>
      </c>
      <c r="AA159" s="9" t="n">
        <v>9.47109646734643</v>
      </c>
      <c r="AB159" s="34" t="s">
        <v>46</v>
      </c>
    </row>
    <row r="160" s="9" customFormat="true" ht="15" hidden="false" customHeight="false" outlineLevel="0" collapsed="false">
      <c r="A160" s="29"/>
      <c r="B160" s="11" t="n">
        <v>9</v>
      </c>
      <c r="C160" s="12" t="n">
        <v>42038</v>
      </c>
      <c r="D160" s="20" t="n">
        <v>0.1</v>
      </c>
      <c r="E160" s="32" t="n">
        <v>-2.4</v>
      </c>
      <c r="F160" s="20" t="n">
        <v>3</v>
      </c>
      <c r="G160" s="9" t="n">
        <f aca="false">G159+D160</f>
        <v>1443.4</v>
      </c>
      <c r="H160" s="9" t="n">
        <f aca="false">H159+D160</f>
        <v>281.7</v>
      </c>
      <c r="J160" s="33" t="n">
        <v>0</v>
      </c>
      <c r="K160" s="9" t="n">
        <f aca="false">K159+J160</f>
        <v>265.3</v>
      </c>
      <c r="L160" s="9" t="n">
        <v>0.5</v>
      </c>
      <c r="M160" s="9" t="n">
        <f aca="false">M159+L160</f>
        <v>170</v>
      </c>
      <c r="N160" s="14" t="n">
        <f aca="false">J160-L160</f>
        <v>-0.5</v>
      </c>
      <c r="O160" s="9" t="n">
        <f aca="false">O159+N160</f>
        <v>165.5</v>
      </c>
      <c r="P160" s="9" t="n">
        <v>155</v>
      </c>
      <c r="Q160" s="9" t="n">
        <v>1</v>
      </c>
      <c r="R160" s="15" t="n">
        <f aca="false">Q160*L160</f>
        <v>0.5</v>
      </c>
      <c r="S160" s="15" t="n">
        <f aca="false">J160-R160</f>
        <v>-0.5</v>
      </c>
      <c r="T160" s="15" t="n">
        <f aca="false">MIN(197.4,(T159+S160))</f>
        <v>179.515925925926</v>
      </c>
      <c r="V160" s="19" t="n">
        <v>605.3</v>
      </c>
      <c r="W160" s="9" t="n">
        <f aca="false">V160/D160</f>
        <v>6053</v>
      </c>
      <c r="X160" s="9" t="n">
        <f aca="false">X159+V160</f>
        <v>88757.6</v>
      </c>
      <c r="Y160" s="9" t="n">
        <f aca="false">Y159+V160</f>
        <v>16362.8</v>
      </c>
      <c r="AA160" s="9" t="n">
        <v>9.52112469786376</v>
      </c>
      <c r="AB160" s="17" t="n">
        <f aca="false">AVERAGE(T166:T179)</f>
        <v>178.85164021164</v>
      </c>
    </row>
    <row r="161" s="9" customFormat="true" ht="15" hidden="false" customHeight="false" outlineLevel="0" collapsed="false">
      <c r="A161" s="29"/>
      <c r="B161" s="11"/>
      <c r="C161" s="12" t="n">
        <v>42039</v>
      </c>
      <c r="D161" s="20" t="n">
        <v>0.7</v>
      </c>
      <c r="E161" s="32" t="n">
        <v>-1</v>
      </c>
      <c r="F161" s="20" t="n">
        <v>2.4</v>
      </c>
      <c r="G161" s="9" t="n">
        <f aca="false">G160+D161</f>
        <v>1444.1</v>
      </c>
      <c r="H161" s="9" t="n">
        <f aca="false">H160+D161</f>
        <v>282.4</v>
      </c>
      <c r="J161" s="33" t="n">
        <v>0</v>
      </c>
      <c r="K161" s="9" t="n">
        <f aca="false">K160+J161</f>
        <v>265.3</v>
      </c>
      <c r="L161" s="9" t="n">
        <v>0.9</v>
      </c>
      <c r="M161" s="9" t="n">
        <f aca="false">M160+L161</f>
        <v>170.9</v>
      </c>
      <c r="N161" s="14" t="n">
        <f aca="false">J161-L161</f>
        <v>-0.9</v>
      </c>
      <c r="O161" s="9" t="n">
        <f aca="false">O160+N161</f>
        <v>164.6</v>
      </c>
      <c r="P161" s="9" t="n">
        <v>156</v>
      </c>
      <c r="Q161" s="9" t="n">
        <v>1</v>
      </c>
      <c r="R161" s="15" t="n">
        <f aca="false">Q161*L161</f>
        <v>0.9</v>
      </c>
      <c r="S161" s="15" t="n">
        <f aca="false">J161-R161</f>
        <v>-0.9</v>
      </c>
      <c r="T161" s="15" t="n">
        <f aca="false">MIN(197.4,(T160+S161))</f>
        <v>178.615925925926</v>
      </c>
      <c r="V161" s="9" t="n">
        <v>929.9</v>
      </c>
      <c r="W161" s="9" t="n">
        <f aca="false">V161/D161</f>
        <v>1328.42857142857</v>
      </c>
      <c r="X161" s="9" t="n">
        <f aca="false">X160+V161</f>
        <v>89687.5</v>
      </c>
      <c r="Y161" s="9" t="n">
        <f aca="false">Y160+V161</f>
        <v>17292.7</v>
      </c>
      <c r="AA161" s="9" t="n">
        <v>9.57173695362315</v>
      </c>
      <c r="AB161" s="34" t="s">
        <v>47</v>
      </c>
    </row>
    <row r="162" s="9" customFormat="true" ht="15" hidden="false" customHeight="false" outlineLevel="0" collapsed="false">
      <c r="A162" s="29"/>
      <c r="B162" s="11"/>
      <c r="C162" s="12" t="n">
        <v>42040</v>
      </c>
      <c r="D162" s="20" t="n">
        <v>0.6</v>
      </c>
      <c r="E162" s="32" t="n">
        <v>-0.8</v>
      </c>
      <c r="F162" s="20" t="n">
        <v>2.9</v>
      </c>
      <c r="G162" s="9" t="n">
        <f aca="false">G161+D162</f>
        <v>1444.7</v>
      </c>
      <c r="H162" s="9" t="n">
        <f aca="false">H161+D162</f>
        <v>283</v>
      </c>
      <c r="J162" s="33" t="n">
        <v>0</v>
      </c>
      <c r="K162" s="9" t="n">
        <f aca="false">K161+J162</f>
        <v>265.3</v>
      </c>
      <c r="L162" s="9" t="n">
        <v>0.9</v>
      </c>
      <c r="M162" s="9" t="n">
        <f aca="false">M161+L162</f>
        <v>171.8</v>
      </c>
      <c r="N162" s="14" t="n">
        <f aca="false">J162-L162</f>
        <v>-0.9</v>
      </c>
      <c r="O162" s="9" t="n">
        <f aca="false">O161+N162</f>
        <v>163.7</v>
      </c>
      <c r="P162" s="9" t="n">
        <v>157</v>
      </c>
      <c r="Q162" s="9" t="n">
        <v>1</v>
      </c>
      <c r="R162" s="15" t="n">
        <f aca="false">Q162*L162</f>
        <v>0.9</v>
      </c>
      <c r="S162" s="15" t="n">
        <f aca="false">J162-R162</f>
        <v>-0.9</v>
      </c>
      <c r="T162" s="15" t="n">
        <f aca="false">MIN(197.4,(T161+S162))</f>
        <v>177.715925925926</v>
      </c>
      <c r="V162" s="19" t="n">
        <v>591.1</v>
      </c>
      <c r="W162" s="9" t="n">
        <f aca="false">V162/D162</f>
        <v>985.166666666667</v>
      </c>
      <c r="X162" s="9" t="n">
        <f aca="false">X161+V162</f>
        <v>90278.6</v>
      </c>
      <c r="Y162" s="9" t="n">
        <f aca="false">Y161+V162</f>
        <v>17883.8</v>
      </c>
      <c r="AA162" s="9" t="n">
        <v>9.62290802003971</v>
      </c>
      <c r="AB162" s="9" t="n">
        <v>4</v>
      </c>
    </row>
    <row r="163" s="9" customFormat="true" ht="15" hidden="false" customHeight="false" outlineLevel="0" collapsed="false">
      <c r="A163" s="29"/>
      <c r="B163" s="11"/>
      <c r="C163" s="12" t="n">
        <v>42041</v>
      </c>
      <c r="D163" s="32" t="n">
        <v>-0.3</v>
      </c>
      <c r="E163" s="32" t="n">
        <v>-2</v>
      </c>
      <c r="F163" s="20" t="n">
        <v>1.5</v>
      </c>
      <c r="G163" s="9" t="n">
        <v>1444.7</v>
      </c>
      <c r="H163" s="9" t="n">
        <v>283</v>
      </c>
      <c r="J163" s="33" t="n">
        <v>0</v>
      </c>
      <c r="K163" s="9" t="n">
        <f aca="false">K162+J163</f>
        <v>265.3</v>
      </c>
      <c r="L163" s="9" t="n">
        <v>1.2</v>
      </c>
      <c r="M163" s="9" t="n">
        <f aca="false">M162+L163</f>
        <v>173</v>
      </c>
      <c r="N163" s="14" t="n">
        <f aca="false">J163-L163</f>
        <v>-1.2</v>
      </c>
      <c r="O163" s="9" t="n">
        <f aca="false">O162+N163</f>
        <v>162.5</v>
      </c>
      <c r="P163" s="9" t="n">
        <v>158</v>
      </c>
      <c r="Q163" s="9" t="n">
        <v>1</v>
      </c>
      <c r="R163" s="15" t="n">
        <f aca="false">Q163*L163</f>
        <v>1.2</v>
      </c>
      <c r="S163" s="15" t="n">
        <f aca="false">J163-R163</f>
        <v>-1.2</v>
      </c>
      <c r="T163" s="15" t="n">
        <f aca="false">MIN(197.4,(T162+S163))</f>
        <v>176.515925925926</v>
      </c>
      <c r="V163" s="9" t="n">
        <v>974.4</v>
      </c>
      <c r="W163" s="9" t="n">
        <f aca="false">V163/D163</f>
        <v>-3248</v>
      </c>
      <c r="X163" s="9" t="n">
        <f aca="false">X162+V163</f>
        <v>91253</v>
      </c>
      <c r="Y163" s="9" t="n">
        <f aca="false">Y162+V163</f>
        <v>18858.2</v>
      </c>
      <c r="AA163" s="9" t="n">
        <v>9.67461332927754</v>
      </c>
      <c r="AB163" s="34" t="s">
        <v>48</v>
      </c>
    </row>
    <row r="164" s="9" customFormat="true" ht="15" hidden="false" customHeight="false" outlineLevel="0" collapsed="false">
      <c r="A164" s="29"/>
      <c r="B164" s="11"/>
      <c r="C164" s="12" t="n">
        <v>42042</v>
      </c>
      <c r="D164" s="20" t="n">
        <v>1</v>
      </c>
      <c r="E164" s="32" t="n">
        <v>-2.3</v>
      </c>
      <c r="F164" s="20" t="n">
        <v>3.5</v>
      </c>
      <c r="G164" s="9" t="n">
        <f aca="false">G163+D164</f>
        <v>1445.7</v>
      </c>
      <c r="H164" s="9" t="n">
        <f aca="false">H163+D164</f>
        <v>284</v>
      </c>
      <c r="J164" s="33" t="n">
        <v>0.2</v>
      </c>
      <c r="K164" s="9" t="n">
        <f aca="false">K163+J164</f>
        <v>265.5</v>
      </c>
      <c r="L164" s="9" t="n">
        <v>1.3</v>
      </c>
      <c r="M164" s="9" t="n">
        <f aca="false">M163+L164</f>
        <v>174.3</v>
      </c>
      <c r="N164" s="14" t="n">
        <f aca="false">J164-L164</f>
        <v>-1.1</v>
      </c>
      <c r="O164" s="9" t="n">
        <f aca="false">O163+N164</f>
        <v>161.4</v>
      </c>
      <c r="P164" s="9" t="n">
        <v>159</v>
      </c>
      <c r="Q164" s="9" t="n">
        <v>1</v>
      </c>
      <c r="R164" s="15" t="n">
        <f aca="false">Q164*L164</f>
        <v>1.3</v>
      </c>
      <c r="S164" s="15" t="n">
        <f aca="false">J164-R164</f>
        <v>-1.1</v>
      </c>
      <c r="T164" s="15" t="n">
        <f aca="false">MIN(197.4,(T163+S164))</f>
        <v>175.415925925926</v>
      </c>
      <c r="V164" s="9" t="n">
        <v>983.2</v>
      </c>
      <c r="W164" s="9" t="n">
        <f aca="false">V164/D164</f>
        <v>983.2</v>
      </c>
      <c r="X164" s="9" t="n">
        <f aca="false">X163+V164</f>
        <v>92236.2</v>
      </c>
      <c r="Y164" s="9" t="n">
        <f aca="false">Y163+V164</f>
        <v>19841.4</v>
      </c>
      <c r="AA164" s="9" t="n">
        <v>9.72682897080729</v>
      </c>
      <c r="AB164" s="9" t="n">
        <v>3</v>
      </c>
    </row>
    <row r="165" s="9" customFormat="true" ht="15" hidden="false" customHeight="false" outlineLevel="0" collapsed="false">
      <c r="A165" s="29"/>
      <c r="B165" s="11"/>
      <c r="C165" s="12" t="n">
        <v>42043</v>
      </c>
      <c r="D165" s="20" t="n">
        <v>3.3</v>
      </c>
      <c r="E165" s="20" t="n">
        <v>1.7</v>
      </c>
      <c r="F165" s="9" t="n">
        <v>6.2</v>
      </c>
      <c r="G165" s="9" t="n">
        <f aca="false">G164+D165</f>
        <v>1449</v>
      </c>
      <c r="H165" s="9" t="n">
        <f aca="false">H164+D165</f>
        <v>287.3</v>
      </c>
      <c r="J165" s="33" t="n">
        <v>0</v>
      </c>
      <c r="K165" s="9" t="n">
        <f aca="false">K164+J165</f>
        <v>265.5</v>
      </c>
      <c r="L165" s="9" t="n">
        <v>0.9</v>
      </c>
      <c r="M165" s="9" t="n">
        <f aca="false">M164+L165</f>
        <v>175.2</v>
      </c>
      <c r="N165" s="14" t="n">
        <f aca="false">J165-L165</f>
        <v>-0.9</v>
      </c>
      <c r="O165" s="9" t="n">
        <f aca="false">O164+N165</f>
        <v>160.5</v>
      </c>
      <c r="P165" s="9" t="n">
        <v>160</v>
      </c>
      <c r="Q165" s="9" t="n">
        <v>1</v>
      </c>
      <c r="R165" s="15" t="n">
        <f aca="false">Q165*L165</f>
        <v>0.9</v>
      </c>
      <c r="S165" s="15" t="n">
        <f aca="false">J165-R165</f>
        <v>-0.9</v>
      </c>
      <c r="T165" s="15" t="n">
        <f aca="false">MIN(197.4,(T164+S165))</f>
        <v>174.515925925926</v>
      </c>
      <c r="V165" s="19" t="n">
        <v>474.9</v>
      </c>
      <c r="W165" s="9" t="n">
        <f aca="false">V165/D165</f>
        <v>143.909090909091</v>
      </c>
      <c r="X165" s="9" t="n">
        <f aca="false">X164+V165</f>
        <v>92711.1</v>
      </c>
      <c r="Y165" s="9" t="n">
        <f aca="false">Y164+V165</f>
        <v>20316.3</v>
      </c>
      <c r="AA165" s="9" t="n">
        <v>9.77953169914732</v>
      </c>
      <c r="AB165" s="34" t="s">
        <v>49</v>
      </c>
    </row>
    <row r="166" s="9" customFormat="true" ht="15" hidden="false" customHeight="false" outlineLevel="0" collapsed="false">
      <c r="A166" s="29"/>
      <c r="B166" s="11"/>
      <c r="C166" s="12" t="n">
        <v>42044</v>
      </c>
      <c r="D166" s="20" t="n">
        <v>2.1</v>
      </c>
      <c r="E166" s="32" t="n">
        <v>-0.2</v>
      </c>
      <c r="F166" s="20" t="n">
        <v>4.8</v>
      </c>
      <c r="G166" s="9" t="n">
        <f aca="false">G165+D166</f>
        <v>1451.1</v>
      </c>
      <c r="H166" s="9" t="n">
        <f aca="false">H165+D166</f>
        <v>289.4</v>
      </c>
      <c r="J166" s="33" t="n">
        <v>0</v>
      </c>
      <c r="K166" s="9" t="n">
        <f aca="false">K165+J166</f>
        <v>265.5</v>
      </c>
      <c r="L166" s="9" t="n">
        <v>0.5</v>
      </c>
      <c r="M166" s="9" t="n">
        <f aca="false">M165+L166</f>
        <v>175.7</v>
      </c>
      <c r="N166" s="14" t="n">
        <f aca="false">J166-L166</f>
        <v>-0.5</v>
      </c>
      <c r="O166" s="9" t="n">
        <f aca="false">O165+N166</f>
        <v>160</v>
      </c>
      <c r="P166" s="9" t="n">
        <v>161</v>
      </c>
      <c r="Q166" s="9" t="n">
        <v>1</v>
      </c>
      <c r="R166" s="15" t="n">
        <f aca="false">Q166*L166</f>
        <v>0.5</v>
      </c>
      <c r="S166" s="15" t="n">
        <f aca="false">J166-R166</f>
        <v>-0.5</v>
      </c>
      <c r="T166" s="35" t="n">
        <f aca="false">MIN(197.4,(T165+S166))</f>
        <v>174.015925925926</v>
      </c>
      <c r="V166" s="19" t="n">
        <v>318.4</v>
      </c>
      <c r="W166" s="9" t="n">
        <f aca="false">V166/D166</f>
        <v>151.619047619048</v>
      </c>
      <c r="X166" s="9" t="n">
        <f aca="false">X165+V166</f>
        <v>93029.5</v>
      </c>
      <c r="Y166" s="9" t="n">
        <f aca="false">Y165+V166</f>
        <v>20634.7</v>
      </c>
      <c r="AA166" s="9" t="n">
        <v>9.83269893895636</v>
      </c>
      <c r="AB166" s="9" t="n">
        <v>0</v>
      </c>
    </row>
    <row r="167" s="9" customFormat="true" ht="15" hidden="false" customHeight="false" outlineLevel="0" collapsed="false">
      <c r="A167" s="29"/>
      <c r="B167" s="11" t="n">
        <v>10</v>
      </c>
      <c r="C167" s="12" t="n">
        <v>42045</v>
      </c>
      <c r="D167" s="20" t="n">
        <v>3.8</v>
      </c>
      <c r="E167" s="20" t="n">
        <v>1.7</v>
      </c>
      <c r="F167" s="9" t="n">
        <v>5.8</v>
      </c>
      <c r="G167" s="9" t="n">
        <f aca="false">G166+D167</f>
        <v>1454.9</v>
      </c>
      <c r="H167" s="9" t="n">
        <f aca="false">H166+D167</f>
        <v>293.2</v>
      </c>
      <c r="J167" s="33" t="n">
        <v>0</v>
      </c>
      <c r="K167" s="9" t="n">
        <f aca="false">K166+J167</f>
        <v>265.5</v>
      </c>
      <c r="L167" s="9" t="n">
        <v>0.7</v>
      </c>
      <c r="M167" s="9" t="n">
        <f aca="false">M166+L167</f>
        <v>176.4</v>
      </c>
      <c r="N167" s="14" t="n">
        <f aca="false">J167-L167</f>
        <v>-0.7</v>
      </c>
      <c r="O167" s="9" t="n">
        <f aca="false">O166+N167</f>
        <v>159.3</v>
      </c>
      <c r="P167" s="9" t="n">
        <v>162</v>
      </c>
      <c r="Q167" s="9" t="n">
        <v>1</v>
      </c>
      <c r="R167" s="15" t="n">
        <f aca="false">Q167*L167</f>
        <v>0.7</v>
      </c>
      <c r="S167" s="15" t="n">
        <f aca="false">J167-R167</f>
        <v>-0.7</v>
      </c>
      <c r="T167" s="35" t="n">
        <f aca="false">MIN(197.4,(T166+S167))</f>
        <v>173.315925925926</v>
      </c>
      <c r="V167" s="19" t="n">
        <v>341.9</v>
      </c>
      <c r="W167" s="9" t="n">
        <f aca="false">V167/D167</f>
        <v>89.9736842105263</v>
      </c>
      <c r="X167" s="9" t="n">
        <f aca="false">X166+V167</f>
        <v>93371.4</v>
      </c>
      <c r="Y167" s="9" t="n">
        <f aca="false">Y166+V167</f>
        <v>20976.6</v>
      </c>
      <c r="AA167" s="9" t="n">
        <v>9.88630878764554</v>
      </c>
      <c r="AB167" s="34" t="s">
        <v>50</v>
      </c>
    </row>
    <row r="168" s="9" customFormat="true" ht="15" hidden="false" customHeight="false" outlineLevel="0" collapsed="false">
      <c r="A168" s="29"/>
      <c r="B168" s="11"/>
      <c r="C168" s="12" t="n">
        <v>42046</v>
      </c>
      <c r="D168" s="20" t="n">
        <v>2.8</v>
      </c>
      <c r="E168" s="20" t="n">
        <v>0.2</v>
      </c>
      <c r="F168" s="9" t="n">
        <v>6.5</v>
      </c>
      <c r="G168" s="9" t="n">
        <f aca="false">G167+D168</f>
        <v>1457.7</v>
      </c>
      <c r="H168" s="9" t="n">
        <f aca="false">H167+D168</f>
        <v>296</v>
      </c>
      <c r="J168" s="33" t="n">
        <v>0</v>
      </c>
      <c r="K168" s="9" t="n">
        <f aca="false">K167+J168</f>
        <v>265.5</v>
      </c>
      <c r="L168" s="9" t="n">
        <v>1.2</v>
      </c>
      <c r="M168" s="9" t="n">
        <f aca="false">M167+L168</f>
        <v>177.6</v>
      </c>
      <c r="N168" s="14" t="n">
        <f aca="false">J168-L168</f>
        <v>-1.2</v>
      </c>
      <c r="O168" s="9" t="n">
        <f aca="false">O167+N168</f>
        <v>158.1</v>
      </c>
      <c r="P168" s="9" t="n">
        <v>163</v>
      </c>
      <c r="Q168" s="9" t="n">
        <v>1</v>
      </c>
      <c r="R168" s="15" t="n">
        <f aca="false">Q168*L168</f>
        <v>1.2</v>
      </c>
      <c r="S168" s="15" t="n">
        <f aca="false">J168-R168</f>
        <v>-1.2</v>
      </c>
      <c r="T168" s="35" t="n">
        <f aca="false">MIN(197.4,(T167+S168))</f>
        <v>172.115925925926</v>
      </c>
      <c r="V168" s="9" t="n">
        <v>1027.2</v>
      </c>
      <c r="W168" s="9" t="n">
        <f aca="false">V168/D168</f>
        <v>366.857142857143</v>
      </c>
      <c r="X168" s="9" t="n">
        <f aca="false">X167+V168</f>
        <v>94398.6</v>
      </c>
      <c r="Y168" s="9" t="n">
        <f aca="false">Y167+V168</f>
        <v>22003.8</v>
      </c>
      <c r="AA168" s="9" t="n">
        <v>9.94034001567612</v>
      </c>
      <c r="AB168" s="9" t="n">
        <f aca="false">SUM(J170:J179)</f>
        <v>28.2</v>
      </c>
    </row>
    <row r="169" s="38" customFormat="true" ht="15" hidden="false" customHeight="false" outlineLevel="0" collapsed="false">
      <c r="A169" s="29"/>
      <c r="B169" s="36" t="s">
        <v>59</v>
      </c>
      <c r="C169" s="37" t="n">
        <v>42047</v>
      </c>
      <c r="D169" s="38" t="n">
        <v>1.2</v>
      </c>
      <c r="E169" s="38" t="n">
        <v>-2.5</v>
      </c>
      <c r="F169" s="38" t="n">
        <v>5.3</v>
      </c>
      <c r="G169" s="38" t="n">
        <f aca="false">G168+D169</f>
        <v>1458.9</v>
      </c>
      <c r="H169" s="38" t="n">
        <f aca="false">H168+D169</f>
        <v>297.2</v>
      </c>
      <c r="J169" s="38" t="n">
        <v>0</v>
      </c>
      <c r="K169" s="38" t="n">
        <f aca="false">K168+J169</f>
        <v>265.5</v>
      </c>
      <c r="L169" s="38" t="n">
        <v>0.9</v>
      </c>
      <c r="M169" s="38" t="n">
        <f aca="false">M168+L169</f>
        <v>178.5</v>
      </c>
      <c r="N169" s="38" t="n">
        <f aca="false">J169-L169</f>
        <v>-0.9</v>
      </c>
      <c r="O169" s="38" t="n">
        <f aca="false">O168+N169</f>
        <v>157.2</v>
      </c>
      <c r="P169" s="38" t="n">
        <v>164</v>
      </c>
      <c r="Q169" s="38" t="n">
        <v>1</v>
      </c>
      <c r="R169" s="39" t="n">
        <f aca="false">Q169*L169</f>
        <v>0.9</v>
      </c>
      <c r="S169" s="39" t="n">
        <f aca="false">J169-R169</f>
        <v>-0.9</v>
      </c>
      <c r="T169" s="39" t="n">
        <f aca="false">MIN(197.4,(T168+S169))</f>
        <v>171.215925925926</v>
      </c>
      <c r="V169" s="38" t="n">
        <v>815.5</v>
      </c>
      <c r="W169" s="38" t="n">
        <f aca="false">V169/D169</f>
        <v>679.583333333333</v>
      </c>
      <c r="X169" s="38" t="n">
        <f aca="false">X168+V169</f>
        <v>95214.1</v>
      </c>
      <c r="Y169" s="38" t="n">
        <f aca="false">Y168+V169</f>
        <v>22819.3</v>
      </c>
      <c r="AA169" s="38" t="n">
        <v>9.99477206470656</v>
      </c>
    </row>
    <row r="170" s="9" customFormat="true" ht="15" hidden="false" customHeight="false" outlineLevel="0" collapsed="false">
      <c r="A170" s="29"/>
      <c r="B170" s="11"/>
      <c r="C170" s="12" t="n">
        <v>42048</v>
      </c>
      <c r="D170" s="9" t="n">
        <v>6.4</v>
      </c>
      <c r="E170" s="32" t="n">
        <v>-0.3</v>
      </c>
      <c r="F170" s="9" t="n">
        <v>11.7</v>
      </c>
      <c r="G170" s="9" t="n">
        <f aca="false">G169+D170</f>
        <v>1465.3</v>
      </c>
      <c r="H170" s="9" t="n">
        <f aca="false">H169+D170</f>
        <v>303.6</v>
      </c>
      <c r="J170" s="33" t="n">
        <v>3</v>
      </c>
      <c r="K170" s="9" t="n">
        <f aca="false">K169+J170</f>
        <v>268.5</v>
      </c>
      <c r="L170" s="9" t="n">
        <v>1.2</v>
      </c>
      <c r="M170" s="9" t="n">
        <f aca="false">M169+L170</f>
        <v>179.7</v>
      </c>
      <c r="N170" s="9" t="n">
        <f aca="false">J170-L170</f>
        <v>1.8</v>
      </c>
      <c r="O170" s="9" t="n">
        <f aca="false">O169+N170</f>
        <v>159</v>
      </c>
      <c r="P170" s="9" t="n">
        <v>165</v>
      </c>
      <c r="Q170" s="9" t="n">
        <v>1</v>
      </c>
      <c r="R170" s="15" t="n">
        <f aca="false">Q170*L170</f>
        <v>1.2</v>
      </c>
      <c r="S170" s="15" t="n">
        <f aca="false">J170-R170</f>
        <v>1.8</v>
      </c>
      <c r="T170" s="35" t="n">
        <f aca="false">MIN(197.4,(T169+S170))</f>
        <v>173.015925925926</v>
      </c>
      <c r="V170" s="19" t="n">
        <v>846.5</v>
      </c>
      <c r="W170" s="9" t="n">
        <f aca="false">V170/D170</f>
        <v>132.265625</v>
      </c>
      <c r="X170" s="9" t="n">
        <f aca="false">X169+V170</f>
        <v>96060.6</v>
      </c>
      <c r="Y170" s="9" t="n">
        <f aca="false">Y169+V170</f>
        <v>23665.8</v>
      </c>
      <c r="AA170" s="9" t="n">
        <v>10.0495850437491</v>
      </c>
    </row>
    <row r="171" s="9" customFormat="true" ht="15" hidden="false" customHeight="false" outlineLevel="0" collapsed="false">
      <c r="A171" s="29"/>
      <c r="B171" s="11"/>
      <c r="C171" s="12" t="n">
        <v>42049</v>
      </c>
      <c r="D171" s="9" t="n">
        <v>6.2</v>
      </c>
      <c r="E171" s="9" t="n">
        <v>5.7</v>
      </c>
      <c r="F171" s="9" t="n">
        <v>6.8</v>
      </c>
      <c r="G171" s="9" t="n">
        <f aca="false">G170+D171</f>
        <v>1471.5</v>
      </c>
      <c r="H171" s="9" t="n">
        <f aca="false">H170+D171</f>
        <v>309.8</v>
      </c>
      <c r="J171" s="33" t="n">
        <v>7.2</v>
      </c>
      <c r="K171" s="9" t="n">
        <f aca="false">K170+J171</f>
        <v>275.7</v>
      </c>
      <c r="L171" s="9" t="n">
        <v>0.4</v>
      </c>
      <c r="M171" s="9" t="n">
        <f aca="false">M170+L171</f>
        <v>180.1</v>
      </c>
      <c r="N171" s="9" t="n">
        <f aca="false">J171-L171</f>
        <v>6.8</v>
      </c>
      <c r="O171" s="9" t="n">
        <f aca="false">O170+N171</f>
        <v>165.8</v>
      </c>
      <c r="P171" s="9" t="n">
        <v>166</v>
      </c>
      <c r="Q171" s="9" t="n">
        <v>1</v>
      </c>
      <c r="R171" s="15" t="n">
        <f aca="false">Q171*L171</f>
        <v>0.4</v>
      </c>
      <c r="S171" s="15" t="n">
        <f aca="false">J171-R171</f>
        <v>6.8</v>
      </c>
      <c r="T171" s="35" t="n">
        <f aca="false">MIN(197.4,(T170+S171))</f>
        <v>179.815925925926</v>
      </c>
      <c r="V171" s="19" t="n">
        <v>184.7</v>
      </c>
      <c r="W171" s="9" t="n">
        <f aca="false">V171/D171</f>
        <v>29.7903225806452</v>
      </c>
      <c r="X171" s="9" t="n">
        <f aca="false">X170+V171</f>
        <v>96245.3</v>
      </c>
      <c r="Y171" s="9" t="n">
        <f aca="false">Y170+V171</f>
        <v>23850.5</v>
      </c>
      <c r="AA171" s="9" t="n">
        <v>10.1047597234912</v>
      </c>
    </row>
    <row r="172" s="9" customFormat="true" ht="15" hidden="false" customHeight="false" outlineLevel="0" collapsed="false">
      <c r="A172" s="29"/>
      <c r="B172" s="11"/>
      <c r="C172" s="12" t="n">
        <v>42050</v>
      </c>
      <c r="D172" s="9" t="n">
        <v>5.5</v>
      </c>
      <c r="E172" s="20" t="n">
        <v>4.9</v>
      </c>
      <c r="F172" s="9" t="n">
        <v>6.9</v>
      </c>
      <c r="G172" s="9" t="n">
        <f aca="false">G171+D172</f>
        <v>1477</v>
      </c>
      <c r="H172" s="9" t="n">
        <f aca="false">H171+D172</f>
        <v>315.3</v>
      </c>
      <c r="J172" s="33" t="n">
        <v>0.2</v>
      </c>
      <c r="K172" s="9" t="n">
        <f aca="false">K171+J172</f>
        <v>275.9</v>
      </c>
      <c r="L172" s="9" t="n">
        <v>0.4</v>
      </c>
      <c r="M172" s="9" t="n">
        <f aca="false">M171+L172</f>
        <v>180.5</v>
      </c>
      <c r="N172" s="14" t="n">
        <f aca="false">J172-L172</f>
        <v>-0.2</v>
      </c>
      <c r="O172" s="9" t="n">
        <f aca="false">O171+N172</f>
        <v>165.6</v>
      </c>
      <c r="P172" s="9" t="n">
        <v>167</v>
      </c>
      <c r="Q172" s="9" t="n">
        <v>1</v>
      </c>
      <c r="R172" s="15" t="n">
        <f aca="false">Q172*L172</f>
        <v>0.4</v>
      </c>
      <c r="S172" s="15" t="n">
        <f aca="false">J172-R172</f>
        <v>-0.2</v>
      </c>
      <c r="T172" s="35" t="n">
        <f aca="false">MIN(197.4,(T171+S172))</f>
        <v>179.615925925926</v>
      </c>
      <c r="V172" s="19" t="n">
        <v>269.1</v>
      </c>
      <c r="W172" s="9" t="n">
        <f aca="false">V172/D172</f>
        <v>48.9272727272727</v>
      </c>
      <c r="X172" s="9" t="n">
        <f aca="false">X171+V172</f>
        <v>96514.4</v>
      </c>
      <c r="Y172" s="9" t="n">
        <f aca="false">Y171+V172</f>
        <v>24119.6</v>
      </c>
      <c r="AA172" s="9" t="n">
        <v>10.1602775289334</v>
      </c>
    </row>
    <row r="173" s="9" customFormat="true" ht="15" hidden="false" customHeight="false" outlineLevel="0" collapsed="false">
      <c r="A173" s="29"/>
      <c r="B173" s="11"/>
      <c r="C173" s="12" t="n">
        <v>42051</v>
      </c>
      <c r="D173" s="20" t="n">
        <v>2.4</v>
      </c>
      <c r="E173" s="32" t="n">
        <v>-0.1</v>
      </c>
      <c r="F173" s="20" t="n">
        <v>4.2</v>
      </c>
      <c r="G173" s="9" t="n">
        <f aca="false">G172+D173</f>
        <v>1479.4</v>
      </c>
      <c r="H173" s="9" t="n">
        <f aca="false">H172+D173</f>
        <v>317.7</v>
      </c>
      <c r="J173" s="33" t="n">
        <v>0</v>
      </c>
      <c r="K173" s="9" t="n">
        <f aca="false">K172+J173</f>
        <v>275.9</v>
      </c>
      <c r="L173" s="9" t="n">
        <v>0.5</v>
      </c>
      <c r="M173" s="9" t="n">
        <f aca="false">M172+L173</f>
        <v>181</v>
      </c>
      <c r="N173" s="14" t="n">
        <f aca="false">J173-L173</f>
        <v>-0.5</v>
      </c>
      <c r="O173" s="9" t="n">
        <f aca="false">O172+N173</f>
        <v>165.1</v>
      </c>
      <c r="P173" s="9" t="n">
        <v>168</v>
      </c>
      <c r="Q173" s="9" t="n">
        <v>1</v>
      </c>
      <c r="R173" s="15" t="n">
        <f aca="false">Q173*L173</f>
        <v>0.5</v>
      </c>
      <c r="S173" s="15" t="n">
        <f aca="false">J173-R173</f>
        <v>-0.5</v>
      </c>
      <c r="T173" s="35" t="n">
        <f aca="false">MIN(197.4,(T172+S173))</f>
        <v>179.115925925926</v>
      </c>
      <c r="V173" s="19" t="n">
        <v>473.8</v>
      </c>
      <c r="W173" s="9" t="n">
        <f aca="false">V173/D173</f>
        <v>197.416666666667</v>
      </c>
      <c r="X173" s="9" t="n">
        <f aca="false">X172+V173</f>
        <v>96988.2</v>
      </c>
      <c r="Y173" s="9" t="n">
        <f aca="false">Y172+V173</f>
        <v>24593.4</v>
      </c>
      <c r="AA173" s="9" t="n">
        <v>10.2161205304866</v>
      </c>
    </row>
    <row r="174" s="9" customFormat="true" ht="15" hidden="false" customHeight="false" outlineLevel="0" collapsed="false">
      <c r="A174" s="29"/>
      <c r="B174" s="11"/>
      <c r="C174" s="12" t="n">
        <v>42052</v>
      </c>
      <c r="D174" s="20" t="n">
        <v>4.2</v>
      </c>
      <c r="E174" s="20" t="n">
        <v>1.5</v>
      </c>
      <c r="F174" s="9" t="n">
        <v>6</v>
      </c>
      <c r="G174" s="9" t="n">
        <f aca="false">G173+D174</f>
        <v>1483.6</v>
      </c>
      <c r="H174" s="9" t="n">
        <f aca="false">H173+D174</f>
        <v>321.9</v>
      </c>
      <c r="J174" s="33" t="n">
        <v>0.2</v>
      </c>
      <c r="K174" s="9" t="n">
        <f aca="false">K173+J174</f>
        <v>276.1</v>
      </c>
      <c r="L174" s="9" t="n">
        <v>0.4</v>
      </c>
      <c r="M174" s="9" t="n">
        <f aca="false">M173+L174</f>
        <v>181.4</v>
      </c>
      <c r="N174" s="14" t="n">
        <f aca="false">J174-L174</f>
        <v>-0.2</v>
      </c>
      <c r="O174" s="9" t="n">
        <f aca="false">O173+N174</f>
        <v>164.9</v>
      </c>
      <c r="P174" s="9" t="n">
        <v>169</v>
      </c>
      <c r="Q174" s="9" t="n">
        <v>1</v>
      </c>
      <c r="R174" s="15" t="n">
        <f aca="false">Q174*L174</f>
        <v>0.4</v>
      </c>
      <c r="S174" s="15" t="n">
        <f aca="false">J174-R174</f>
        <v>-0.2</v>
      </c>
      <c r="T174" s="35" t="n">
        <f aca="false">MIN(197.4,(T173+S174))</f>
        <v>178.915925925926</v>
      </c>
      <c r="V174" s="19" t="n">
        <v>406.4</v>
      </c>
      <c r="W174" s="9" t="n">
        <f aca="false">V174/D174</f>
        <v>96.7619047619048</v>
      </c>
      <c r="X174" s="9" t="n">
        <f aca="false">X173+V174</f>
        <v>97394.6</v>
      </c>
      <c r="Y174" s="9" t="n">
        <f aca="false">Y173+V174</f>
        <v>24999.8</v>
      </c>
      <c r="AA174" s="9" t="n">
        <v>10.2722714336698</v>
      </c>
    </row>
    <row r="175" s="9" customFormat="true" ht="15" hidden="false" customHeight="false" outlineLevel="0" collapsed="false">
      <c r="A175" s="29"/>
      <c r="B175" s="11"/>
      <c r="C175" s="12" t="n">
        <v>42053</v>
      </c>
      <c r="D175" s="20" t="n">
        <v>3</v>
      </c>
      <c r="E175" s="20" t="n">
        <v>1</v>
      </c>
      <c r="F175" s="20" t="n">
        <v>4.9</v>
      </c>
      <c r="G175" s="9" t="n">
        <f aca="false">G174+D175</f>
        <v>1486.6</v>
      </c>
      <c r="H175" s="9" t="n">
        <f aca="false">H174+D175</f>
        <v>324.9</v>
      </c>
      <c r="J175" s="33" t="n">
        <v>0</v>
      </c>
      <c r="K175" s="9" t="n">
        <f aca="false">K174+J175</f>
        <v>276.1</v>
      </c>
      <c r="L175" s="9" t="n">
        <v>0.5</v>
      </c>
      <c r="M175" s="9" t="n">
        <f aca="false">M174+L175</f>
        <v>181.9</v>
      </c>
      <c r="N175" s="14" t="n">
        <f aca="false">J175-L175</f>
        <v>-0.5</v>
      </c>
      <c r="O175" s="9" t="n">
        <f aca="false">O174+N175</f>
        <v>164.4</v>
      </c>
      <c r="P175" s="9" t="n">
        <v>170</v>
      </c>
      <c r="Q175" s="9" t="n">
        <v>1</v>
      </c>
      <c r="R175" s="15" t="n">
        <f aca="false">Q175*L175</f>
        <v>0.5</v>
      </c>
      <c r="S175" s="15" t="n">
        <f aca="false">J175-R175</f>
        <v>-0.5</v>
      </c>
      <c r="T175" s="35" t="n">
        <f aca="false">MIN(197.4,(T174+S175))</f>
        <v>178.415925925926</v>
      </c>
      <c r="V175" s="19" t="n">
        <v>367.9</v>
      </c>
      <c r="W175" s="9" t="n">
        <f aca="false">V175/D175</f>
        <v>122.633333333333</v>
      </c>
      <c r="X175" s="9" t="n">
        <f aca="false">X174+V175</f>
        <v>97762.5</v>
      </c>
      <c r="Y175" s="9" t="n">
        <f aca="false">Y174+V175</f>
        <v>25367.7</v>
      </c>
      <c r="AA175" s="9" t="n">
        <v>10.3287135675388</v>
      </c>
    </row>
    <row r="176" s="9" customFormat="true" ht="15" hidden="false" customHeight="false" outlineLevel="0" collapsed="false">
      <c r="A176" s="29"/>
      <c r="B176" s="11"/>
      <c r="C176" s="12" t="n">
        <v>42054</v>
      </c>
      <c r="D176" s="20" t="n">
        <v>3.3</v>
      </c>
      <c r="E176" s="32" t="n">
        <v>-1.3</v>
      </c>
      <c r="F176" s="9" t="n">
        <v>6.5</v>
      </c>
      <c r="G176" s="9" t="n">
        <f aca="false">G175+D176</f>
        <v>1489.9</v>
      </c>
      <c r="H176" s="9" t="n">
        <f aca="false">H175+D176</f>
        <v>328.2</v>
      </c>
      <c r="J176" s="33" t="n">
        <v>0</v>
      </c>
      <c r="K176" s="9" t="n">
        <f aca="false">K175+J176</f>
        <v>276.1</v>
      </c>
      <c r="L176" s="9" t="n">
        <v>1</v>
      </c>
      <c r="M176" s="9" t="n">
        <f aca="false">M175+L176</f>
        <v>182.9</v>
      </c>
      <c r="N176" s="14" t="n">
        <f aca="false">J176-L176</f>
        <v>-1</v>
      </c>
      <c r="O176" s="9" t="n">
        <f aca="false">O175+N176</f>
        <v>163.4</v>
      </c>
      <c r="P176" s="9" t="n">
        <v>171</v>
      </c>
      <c r="Q176" s="9" t="n">
        <v>1</v>
      </c>
      <c r="R176" s="15" t="n">
        <f aca="false">Q176*L176</f>
        <v>1</v>
      </c>
      <c r="S176" s="15" t="n">
        <f aca="false">J176-R176</f>
        <v>-1</v>
      </c>
      <c r="T176" s="35" t="n">
        <f aca="false">MIN(197.4,(T175+S176))</f>
        <v>177.415925925926</v>
      </c>
      <c r="V176" s="9" t="n">
        <v>1108.6</v>
      </c>
      <c r="W176" s="9" t="n">
        <f aca="false">V176/D176</f>
        <v>335.939393939394</v>
      </c>
      <c r="X176" s="9" t="n">
        <f aca="false">X175+V176</f>
        <v>98871.1</v>
      </c>
      <c r="Y176" s="9" t="n">
        <f aca="false">Y175+V176</f>
        <v>26476.3</v>
      </c>
      <c r="AA176" s="9" t="n">
        <v>10.3854308719719</v>
      </c>
    </row>
    <row r="177" s="9" customFormat="true" ht="15" hidden="false" customHeight="false" outlineLevel="0" collapsed="false">
      <c r="A177" s="29"/>
      <c r="B177" s="11"/>
      <c r="C177" s="12" t="n">
        <v>42055</v>
      </c>
      <c r="D177" s="9" t="n">
        <v>6.2</v>
      </c>
      <c r="E177" s="20" t="n">
        <v>4.7</v>
      </c>
      <c r="F177" s="9" t="n">
        <v>8</v>
      </c>
      <c r="G177" s="9" t="n">
        <f aca="false">G176+D177</f>
        <v>1496.1</v>
      </c>
      <c r="H177" s="9" t="n">
        <f aca="false">H176+D177</f>
        <v>334.4</v>
      </c>
      <c r="J177" s="33" t="n">
        <v>9.8</v>
      </c>
      <c r="K177" s="9" t="n">
        <f aca="false">K176+J177</f>
        <v>285.9</v>
      </c>
      <c r="L177" s="9" t="n">
        <v>0.8</v>
      </c>
      <c r="M177" s="9" t="n">
        <f aca="false">M176+L177</f>
        <v>183.7</v>
      </c>
      <c r="N177" s="9" t="n">
        <f aca="false">J177-L177</f>
        <v>9</v>
      </c>
      <c r="O177" s="9" t="n">
        <f aca="false">O176+N177</f>
        <v>172.4</v>
      </c>
      <c r="P177" s="9" t="n">
        <v>172</v>
      </c>
      <c r="Q177" s="9" t="n">
        <v>1</v>
      </c>
      <c r="R177" s="15" t="n">
        <f aca="false">Q177*L177</f>
        <v>0.8</v>
      </c>
      <c r="S177" s="15" t="n">
        <f aca="false">J177-R177</f>
        <v>9</v>
      </c>
      <c r="T177" s="35" t="n">
        <f aca="false">MIN(197.4,(T176+S177))</f>
        <v>186.415925925926</v>
      </c>
      <c r="V177" s="19" t="n">
        <v>209.5</v>
      </c>
      <c r="W177" s="9" t="n">
        <f aca="false">V177/D177</f>
        <v>33.7903225806452</v>
      </c>
      <c r="X177" s="9" t="n">
        <f aca="false">X176+V177</f>
        <v>99080.6</v>
      </c>
      <c r="Y177" s="9" t="n">
        <f aca="false">Y176+V177</f>
        <v>26685.8</v>
      </c>
      <c r="AA177" s="9" t="n">
        <v>10.4424078839322</v>
      </c>
    </row>
    <row r="178" s="9" customFormat="true" ht="15" hidden="false" customHeight="false" outlineLevel="0" collapsed="false">
      <c r="A178" s="29"/>
      <c r="B178" s="11"/>
      <c r="C178" s="12" t="n">
        <v>42056</v>
      </c>
      <c r="D178" s="20" t="n">
        <v>2.7</v>
      </c>
      <c r="E178" s="20" t="n">
        <v>1.9</v>
      </c>
      <c r="F178" s="20" t="n">
        <v>3.2</v>
      </c>
      <c r="G178" s="9" t="n">
        <f aca="false">G177+D178</f>
        <v>1498.8</v>
      </c>
      <c r="H178" s="9" t="n">
        <f aca="false">H177+D178</f>
        <v>337.1</v>
      </c>
      <c r="J178" s="33" t="n">
        <v>1.5</v>
      </c>
      <c r="K178" s="9" t="n">
        <f aca="false">K177+J178</f>
        <v>287.4</v>
      </c>
      <c r="L178" s="9" t="n">
        <v>0.3</v>
      </c>
      <c r="M178" s="9" t="n">
        <f aca="false">M177+L178</f>
        <v>184</v>
      </c>
      <c r="N178" s="9" t="n">
        <f aca="false">J178-L178</f>
        <v>1.2</v>
      </c>
      <c r="O178" s="9" t="n">
        <f aca="false">O177+N178</f>
        <v>173.6</v>
      </c>
      <c r="P178" s="9" t="n">
        <v>173</v>
      </c>
      <c r="Q178" s="9" t="n">
        <v>1</v>
      </c>
      <c r="R178" s="15" t="n">
        <f aca="false">Q178*L178</f>
        <v>0.3</v>
      </c>
      <c r="S178" s="15" t="n">
        <f aca="false">J178-R178</f>
        <v>1.2</v>
      </c>
      <c r="T178" s="35" t="n">
        <f aca="false">MIN(197.4,(T177+S178))</f>
        <v>187.615925925926</v>
      </c>
      <c r="V178" s="19" t="n">
        <v>288.6</v>
      </c>
      <c r="W178" s="9" t="n">
        <f aca="false">V178/D178</f>
        <v>106.888888888889</v>
      </c>
      <c r="X178" s="9" t="n">
        <f aca="false">X177+V178</f>
        <v>99369.2</v>
      </c>
      <c r="Y178" s="9" t="n">
        <f aca="false">Y177+V178</f>
        <v>26974.4</v>
      </c>
      <c r="AA178" s="9" t="n">
        <v>10.4996297228165</v>
      </c>
    </row>
    <row r="179" s="9" customFormat="true" ht="15" hidden="false" customHeight="false" outlineLevel="0" collapsed="false">
      <c r="A179" s="29"/>
      <c r="B179" s="11"/>
      <c r="C179" s="12" t="n">
        <v>42057</v>
      </c>
      <c r="D179" s="20" t="n">
        <v>3.1</v>
      </c>
      <c r="E179" s="32" t="n">
        <v>-1.7</v>
      </c>
      <c r="F179" s="9" t="n">
        <v>7.6</v>
      </c>
      <c r="G179" s="9" t="n">
        <f aca="false">G178+D179</f>
        <v>1501.9</v>
      </c>
      <c r="H179" s="9" t="n">
        <f aca="false">H178+D179</f>
        <v>340.2</v>
      </c>
      <c r="J179" s="33" t="n">
        <v>6.3</v>
      </c>
      <c r="K179" s="9" t="n">
        <f aca="false">K178+J179</f>
        <v>293.7</v>
      </c>
      <c r="L179" s="9" t="n">
        <v>1</v>
      </c>
      <c r="M179" s="9" t="n">
        <f aca="false">M178+L179</f>
        <v>185</v>
      </c>
      <c r="N179" s="9" t="n">
        <f aca="false">J179-L179</f>
        <v>5.3</v>
      </c>
      <c r="O179" s="9" t="n">
        <f aca="false">O178+N179</f>
        <v>178.9</v>
      </c>
      <c r="P179" s="9" t="n">
        <v>174</v>
      </c>
      <c r="Q179" s="9" t="n">
        <v>1</v>
      </c>
      <c r="R179" s="15" t="n">
        <f aca="false">Q179*L179</f>
        <v>1</v>
      </c>
      <c r="S179" s="15" t="n">
        <f aca="false">J179-R179</f>
        <v>5.3</v>
      </c>
      <c r="T179" s="35" t="n">
        <f aca="false">MIN(197.4,(T178+S179))</f>
        <v>192.915925925926</v>
      </c>
      <c r="V179" s="9" t="n">
        <v>967.6</v>
      </c>
      <c r="W179" s="9" t="n">
        <f aca="false">V179/D179</f>
        <v>312.129032258065</v>
      </c>
      <c r="X179" s="9" t="n">
        <f aca="false">X178+V179</f>
        <v>100336.8</v>
      </c>
      <c r="Y179" s="9" t="n">
        <f aca="false">Y178+V179</f>
        <v>27942</v>
      </c>
      <c r="AA179" s="9" t="n">
        <v>10.5570820749976</v>
      </c>
    </row>
    <row r="180" s="9" customFormat="true" ht="15" hidden="false" customHeight="false" outlineLevel="0" collapsed="false">
      <c r="A180" s="29"/>
      <c r="B180" s="11"/>
      <c r="C180" s="12" t="n">
        <v>42058</v>
      </c>
      <c r="D180" s="9" t="n">
        <v>6.2</v>
      </c>
      <c r="E180" s="20" t="n">
        <v>3.6</v>
      </c>
      <c r="F180" s="9" t="n">
        <v>10</v>
      </c>
      <c r="G180" s="9" t="n">
        <f aca="false">G179+D180</f>
        <v>1508.1</v>
      </c>
      <c r="H180" s="9" t="n">
        <f aca="false">H179+D180</f>
        <v>346.4</v>
      </c>
      <c r="J180" s="9" t="n">
        <v>3.9</v>
      </c>
      <c r="K180" s="9" t="n">
        <f aca="false">K179+J180</f>
        <v>297.6</v>
      </c>
      <c r="L180" s="9" t="n">
        <v>1.2</v>
      </c>
      <c r="M180" s="9" t="n">
        <f aca="false">M179+L180</f>
        <v>186.2</v>
      </c>
      <c r="N180" s="9" t="n">
        <f aca="false">J180-L180</f>
        <v>2.7</v>
      </c>
      <c r="O180" s="9" t="n">
        <f aca="false">O179+N180</f>
        <v>181.6</v>
      </c>
      <c r="P180" s="9" t="n">
        <v>175</v>
      </c>
      <c r="Q180" s="9" t="n">
        <v>1</v>
      </c>
      <c r="R180" s="15" t="n">
        <f aca="false">Q180*L180</f>
        <v>1.2</v>
      </c>
      <c r="S180" s="15" t="n">
        <f aca="false">J180-R180</f>
        <v>2.7</v>
      </c>
      <c r="T180" s="15" t="n">
        <f aca="false">MIN(197.4,(T179+S180))</f>
        <v>195.615925925926</v>
      </c>
      <c r="V180" s="19" t="n">
        <v>592.7</v>
      </c>
      <c r="W180" s="9" t="n">
        <f aca="false">V180/D180</f>
        <v>95.5967741935484</v>
      </c>
      <c r="X180" s="9" t="n">
        <f aca="false">X179+V180</f>
        <v>100929.5</v>
      </c>
      <c r="Y180" s="9" t="n">
        <f aca="false">Y179+V180</f>
        <v>28534.7</v>
      </c>
      <c r="AA180" s="9" t="n">
        <v>10.6147511776557</v>
      </c>
    </row>
    <row r="181" s="9" customFormat="true" ht="15" hidden="false" customHeight="false" outlineLevel="0" collapsed="false">
      <c r="A181" s="29"/>
      <c r="B181" s="11"/>
      <c r="C181" s="12" t="n">
        <v>42059</v>
      </c>
      <c r="D181" s="20" t="n">
        <v>3.9</v>
      </c>
      <c r="E181" s="20" t="n">
        <v>1.9</v>
      </c>
      <c r="F181" s="9" t="n">
        <v>6.9</v>
      </c>
      <c r="G181" s="9" t="n">
        <f aca="false">G180+D181</f>
        <v>1512</v>
      </c>
      <c r="H181" s="9" t="n">
        <f aca="false">H180+D181</f>
        <v>350.3</v>
      </c>
      <c r="J181" s="9" t="n">
        <v>0.3</v>
      </c>
      <c r="K181" s="9" t="n">
        <f aca="false">K180+J181</f>
        <v>297.9</v>
      </c>
      <c r="L181" s="9" t="n">
        <v>0.7</v>
      </c>
      <c r="M181" s="9" t="n">
        <f aca="false">M180+L181</f>
        <v>186.9</v>
      </c>
      <c r="N181" s="14" t="n">
        <f aca="false">J181-L181</f>
        <v>-0.4</v>
      </c>
      <c r="O181" s="9" t="n">
        <f aca="false">O180+N181</f>
        <v>181.2</v>
      </c>
      <c r="P181" s="9" t="n">
        <v>176</v>
      </c>
      <c r="Q181" s="9" t="n">
        <v>1</v>
      </c>
      <c r="R181" s="15" t="n">
        <f aca="false">Q181*L181</f>
        <v>0.7</v>
      </c>
      <c r="S181" s="15" t="n">
        <f aca="false">J181-R181</f>
        <v>-0.4</v>
      </c>
      <c r="T181" s="15" t="n">
        <f aca="false">MIN(197.4,(T180+S181))</f>
        <v>195.215925925926</v>
      </c>
      <c r="V181" s="19" t="n">
        <v>578.3</v>
      </c>
      <c r="W181" s="9" t="n">
        <f aca="false">V181/D181</f>
        <v>148.282051282051</v>
      </c>
      <c r="X181" s="9" t="n">
        <f aca="false">X180+V181</f>
        <v>101507.8</v>
      </c>
      <c r="Y181" s="9" t="n">
        <f aca="false">Y180+V181</f>
        <v>29113</v>
      </c>
      <c r="AA181" s="9" t="n">
        <v>10.6726238019919</v>
      </c>
    </row>
    <row r="182" s="9" customFormat="true" ht="15" hidden="false" customHeight="false" outlineLevel="0" collapsed="false">
      <c r="A182" s="29"/>
      <c r="B182" s="11"/>
      <c r="C182" s="12" t="n">
        <v>42060</v>
      </c>
      <c r="D182" s="20" t="n">
        <v>4.8</v>
      </c>
      <c r="E182" s="20" t="n">
        <v>1.5</v>
      </c>
      <c r="F182" s="9" t="n">
        <v>6.6</v>
      </c>
      <c r="G182" s="9" t="n">
        <f aca="false">G181+D182</f>
        <v>1516.8</v>
      </c>
      <c r="H182" s="9" t="n">
        <f aca="false">H181+D182</f>
        <v>355.1</v>
      </c>
      <c r="J182" s="9" t="n">
        <v>1.4</v>
      </c>
      <c r="K182" s="9" t="n">
        <f aca="false">K181+J182</f>
        <v>299.3</v>
      </c>
      <c r="L182" s="9" t="n">
        <v>0.2</v>
      </c>
      <c r="M182" s="9" t="n">
        <f aca="false">M181+L182</f>
        <v>187.1</v>
      </c>
      <c r="N182" s="9" t="n">
        <f aca="false">J182-L182</f>
        <v>1.2</v>
      </c>
      <c r="O182" s="9" t="n">
        <f aca="false">O181+N182</f>
        <v>182.4</v>
      </c>
      <c r="P182" s="9" t="n">
        <v>177</v>
      </c>
      <c r="Q182" s="9" t="n">
        <v>1</v>
      </c>
      <c r="R182" s="15" t="n">
        <f aca="false">Q182*L182</f>
        <v>0.2</v>
      </c>
      <c r="S182" s="15" t="n">
        <f aca="false">J182-R182</f>
        <v>1.2</v>
      </c>
      <c r="T182" s="15" t="n">
        <f aca="false">MIN(197.4,(T181+S182))</f>
        <v>196.415925925926</v>
      </c>
      <c r="V182" s="19" t="n">
        <v>188.2</v>
      </c>
      <c r="W182" s="9" t="n">
        <f aca="false">V182/D182</f>
        <v>39.2083333333333</v>
      </c>
      <c r="X182" s="9" t="n">
        <f aca="false">X181+V182</f>
        <v>101696</v>
      </c>
      <c r="Y182" s="9" t="n">
        <f aca="false">Y181+V182</f>
        <v>29301.2</v>
      </c>
      <c r="AA182" s="9" t="n">
        <v>10.7306872359066</v>
      </c>
    </row>
    <row r="183" s="9" customFormat="true" ht="15" hidden="false" customHeight="false" outlineLevel="0" collapsed="false">
      <c r="A183" s="29"/>
      <c r="B183" s="11"/>
      <c r="C183" s="12" t="n">
        <v>42061</v>
      </c>
      <c r="D183" s="9" t="n">
        <v>8.1</v>
      </c>
      <c r="E183" s="20" t="n">
        <v>5.9</v>
      </c>
      <c r="F183" s="9" t="n">
        <v>10.1</v>
      </c>
      <c r="G183" s="9" t="n">
        <f aca="false">G182+D183</f>
        <v>1524.9</v>
      </c>
      <c r="H183" s="9" t="n">
        <f aca="false">H182+D183</f>
        <v>363.2</v>
      </c>
      <c r="J183" s="9" t="n">
        <v>6.3</v>
      </c>
      <c r="K183" s="9" t="n">
        <f aca="false">K182+J183</f>
        <v>305.6</v>
      </c>
      <c r="L183" s="9" t="n">
        <v>0.5</v>
      </c>
      <c r="M183" s="9" t="n">
        <f aca="false">M182+L183</f>
        <v>187.6</v>
      </c>
      <c r="N183" s="9" t="n">
        <f aca="false">J183-L183</f>
        <v>5.8</v>
      </c>
      <c r="O183" s="9" t="n">
        <f aca="false">O182+N183</f>
        <v>188.2</v>
      </c>
      <c r="P183" s="9" t="n">
        <v>178</v>
      </c>
      <c r="Q183" s="9" t="n">
        <v>1</v>
      </c>
      <c r="R183" s="15" t="n">
        <f aca="false">Q183*L183</f>
        <v>0.5</v>
      </c>
      <c r="S183" s="15" t="n">
        <f aca="false">J183-R183</f>
        <v>5.8</v>
      </c>
      <c r="T183" s="15" t="n">
        <f aca="false">MIN(197.4,(T182+S183))</f>
        <v>197.4</v>
      </c>
      <c r="V183" s="19" t="n">
        <v>333.1</v>
      </c>
      <c r="W183" s="9" t="n">
        <f aca="false">V183/D183</f>
        <v>41.1234567901235</v>
      </c>
      <c r="X183" s="9" t="n">
        <f aca="false">X182+V183</f>
        <v>102029.1</v>
      </c>
      <c r="Y183" s="9" t="n">
        <f aca="false">Y182+V183</f>
        <v>29634.3</v>
      </c>
      <c r="AA183" s="9" t="n">
        <v>10.7889292662213</v>
      </c>
    </row>
    <row r="184" s="9" customFormat="true" ht="15" hidden="false" customHeight="false" outlineLevel="0" collapsed="false">
      <c r="A184" s="29"/>
      <c r="B184" s="11"/>
      <c r="C184" s="12" t="n">
        <v>42062</v>
      </c>
      <c r="D184" s="20" t="n">
        <v>4.9</v>
      </c>
      <c r="E184" s="20" t="n">
        <v>4.1</v>
      </c>
      <c r="F184" s="9" t="n">
        <v>7.9</v>
      </c>
      <c r="G184" s="9" t="n">
        <f aca="false">G183+D184</f>
        <v>1529.8</v>
      </c>
      <c r="H184" s="9" t="n">
        <f aca="false">H183+D184</f>
        <v>368.1</v>
      </c>
      <c r="J184" s="9" t="n">
        <v>0</v>
      </c>
      <c r="K184" s="9" t="n">
        <f aca="false">K183+J184</f>
        <v>305.6</v>
      </c>
      <c r="L184" s="9" t="n">
        <v>1.6</v>
      </c>
      <c r="M184" s="9" t="n">
        <f aca="false">M183+L184</f>
        <v>189.2</v>
      </c>
      <c r="N184" s="14" t="n">
        <f aca="false">J184-L184</f>
        <v>-1.6</v>
      </c>
      <c r="O184" s="9" t="n">
        <f aca="false">O183+N184</f>
        <v>186.6</v>
      </c>
      <c r="P184" s="9" t="n">
        <v>179</v>
      </c>
      <c r="Q184" s="9" t="n">
        <v>1</v>
      </c>
      <c r="R184" s="15" t="n">
        <f aca="false">Q184*L184</f>
        <v>1.6</v>
      </c>
      <c r="S184" s="15" t="n">
        <f aca="false">J184-R184</f>
        <v>-1.6</v>
      </c>
      <c r="T184" s="15" t="n">
        <f aca="false">MIN(197.4,(T183+S184))</f>
        <v>195.8</v>
      </c>
      <c r="V184" s="19" t="n">
        <v>876.4</v>
      </c>
      <c r="W184" s="9" t="n">
        <f aca="false">V184/D184</f>
        <v>178.857142857143</v>
      </c>
      <c r="X184" s="9" t="n">
        <f aca="false">X183+V184</f>
        <v>102905.5</v>
      </c>
      <c r="Y184" s="9" t="n">
        <f aca="false">Y183+V184</f>
        <v>30510.7</v>
      </c>
      <c r="AA184" s="9" t="n">
        <v>10.8473381605151</v>
      </c>
    </row>
    <row r="185" s="9" customFormat="true" ht="15" hidden="false" customHeight="false" outlineLevel="0" collapsed="false">
      <c r="A185" s="29"/>
      <c r="B185" s="11"/>
      <c r="C185" s="12" t="n">
        <v>42063</v>
      </c>
      <c r="D185" s="20" t="n">
        <v>4.7</v>
      </c>
      <c r="E185" s="32" t="n">
        <v>-1.2</v>
      </c>
      <c r="F185" s="9" t="n">
        <v>10</v>
      </c>
      <c r="G185" s="9" t="n">
        <f aca="false">G184+D185</f>
        <v>1534.5</v>
      </c>
      <c r="H185" s="9" t="n">
        <f aca="false">H184+D185</f>
        <v>372.8</v>
      </c>
      <c r="J185" s="9" t="n">
        <v>5</v>
      </c>
      <c r="K185" s="9" t="n">
        <f aca="false">K184+J185</f>
        <v>310.6</v>
      </c>
      <c r="L185" s="9" t="n">
        <v>1.1</v>
      </c>
      <c r="M185" s="9" t="n">
        <f aca="false">M184+L185</f>
        <v>190.3</v>
      </c>
      <c r="N185" s="9" t="n">
        <f aca="false">J185-L185</f>
        <v>3.9</v>
      </c>
      <c r="O185" s="9" t="n">
        <f aca="false">O184+N185</f>
        <v>190.5</v>
      </c>
      <c r="P185" s="9" t="n">
        <v>180</v>
      </c>
      <c r="Q185" s="9" t="n">
        <v>1</v>
      </c>
      <c r="R185" s="15" t="n">
        <f aca="false">Q185*L185</f>
        <v>1.1</v>
      </c>
      <c r="S185" s="15" t="n">
        <f aca="false">J185-R185</f>
        <v>3.9</v>
      </c>
      <c r="T185" s="15" t="n">
        <f aca="false">MIN(197.4,(T184+S185))</f>
        <v>197.4</v>
      </c>
      <c r="V185" s="19" t="n">
        <v>583.5</v>
      </c>
      <c r="W185" s="9" t="n">
        <f aca="false">V185/D185</f>
        <v>124.148936170213</v>
      </c>
      <c r="X185" s="9" t="n">
        <f aca="false">X184+V185</f>
        <v>103489</v>
      </c>
      <c r="Y185" s="9" t="n">
        <f aca="false">Y184+V185</f>
        <v>31094.2</v>
      </c>
      <c r="AA185" s="9" t="n">
        <v>10.9059026486411</v>
      </c>
    </row>
    <row r="186" s="9" customFormat="true" ht="15" hidden="false" customHeight="false" outlineLevel="0" collapsed="false">
      <c r="A186" s="29"/>
      <c r="B186" s="11"/>
      <c r="C186" s="12" t="n">
        <v>42064</v>
      </c>
      <c r="D186" s="9" t="n">
        <v>9.9</v>
      </c>
      <c r="E186" s="9" t="n">
        <v>7</v>
      </c>
      <c r="F186" s="9" t="n">
        <v>11</v>
      </c>
      <c r="G186" s="9" t="n">
        <f aca="false">G185+D186</f>
        <v>1544.4</v>
      </c>
      <c r="H186" s="9" t="n">
        <f aca="false">H185+D186</f>
        <v>382.7</v>
      </c>
      <c r="J186" s="9" t="n">
        <v>1.8</v>
      </c>
      <c r="K186" s="9" t="n">
        <f aca="false">K185+J186</f>
        <v>312.4</v>
      </c>
      <c r="L186" s="9" t="n">
        <v>0.8</v>
      </c>
      <c r="M186" s="9" t="n">
        <f aca="false">M185+L186</f>
        <v>191.1</v>
      </c>
      <c r="N186" s="9" t="n">
        <f aca="false">J186-L186</f>
        <v>1</v>
      </c>
      <c r="O186" s="9" t="n">
        <f aca="false">O185+N186</f>
        <v>191.5</v>
      </c>
      <c r="P186" s="9" t="n">
        <v>181</v>
      </c>
      <c r="Q186" s="9" t="n">
        <v>1</v>
      </c>
      <c r="R186" s="15" t="n">
        <f aca="false">Q186*L186</f>
        <v>0.8</v>
      </c>
      <c r="S186" s="15" t="n">
        <f aca="false">J186-R186</f>
        <v>1</v>
      </c>
      <c r="T186" s="15" t="n">
        <f aca="false">MIN(197.4,(T185+S186))</f>
        <v>197.4</v>
      </c>
      <c r="V186" s="19" t="n">
        <v>460</v>
      </c>
      <c r="W186" s="9" t="n">
        <f aca="false">V186/D186</f>
        <v>46.4646464646465</v>
      </c>
      <c r="X186" s="9" t="n">
        <f aca="false">X185+V186</f>
        <v>103949</v>
      </c>
      <c r="Y186" s="9" t="n">
        <f aca="false">Y185+V186</f>
        <v>31554.2</v>
      </c>
      <c r="AA186" s="9" t="n">
        <v>10.9646119039825</v>
      </c>
    </row>
    <row r="187" s="9" customFormat="true" ht="15" hidden="false" customHeight="false" outlineLevel="0" collapsed="false">
      <c r="A187" s="29"/>
      <c r="B187" s="11"/>
      <c r="C187" s="12" t="n">
        <v>42065</v>
      </c>
      <c r="D187" s="9" t="n">
        <v>7.3</v>
      </c>
      <c r="E187" s="9" t="n">
        <v>6</v>
      </c>
      <c r="F187" s="9" t="n">
        <v>9.7</v>
      </c>
      <c r="G187" s="9" t="n">
        <f aca="false">G186+D187</f>
        <v>1551.7</v>
      </c>
      <c r="H187" s="9" t="n">
        <f aca="false">H186+D187</f>
        <v>390</v>
      </c>
      <c r="J187" s="9" t="n">
        <v>0.8</v>
      </c>
      <c r="K187" s="9" t="n">
        <f aca="false">K186+J187</f>
        <v>313.2</v>
      </c>
      <c r="L187" s="9" t="n">
        <v>1.6</v>
      </c>
      <c r="M187" s="9" t="n">
        <f aca="false">M186+L187</f>
        <v>192.7</v>
      </c>
      <c r="N187" s="14" t="n">
        <f aca="false">J187-L187</f>
        <v>-0.8</v>
      </c>
      <c r="O187" s="9" t="n">
        <f aca="false">O186+N187</f>
        <v>190.7</v>
      </c>
      <c r="P187" s="9" t="n">
        <v>182</v>
      </c>
      <c r="Q187" s="9" t="n">
        <v>1</v>
      </c>
      <c r="R187" s="15" t="n">
        <f aca="false">Q187*L187</f>
        <v>1.6</v>
      </c>
      <c r="S187" s="15" t="n">
        <f aca="false">J187-R187</f>
        <v>-0.8</v>
      </c>
      <c r="T187" s="15" t="n">
        <f aca="false">MIN(197.4,(T186+S187))</f>
        <v>196.6</v>
      </c>
      <c r="V187" s="19" t="n">
        <v>893</v>
      </c>
      <c r="W187" s="9" t="n">
        <f aca="false">V187/D187</f>
        <v>122.328767123288</v>
      </c>
      <c r="X187" s="9" t="n">
        <f aca="false">X186+V187</f>
        <v>104842</v>
      </c>
      <c r="Y187" s="9" t="n">
        <f aca="false">Y186+V187</f>
        <v>32447.2</v>
      </c>
      <c r="AA187" s="9" t="n">
        <v>11.0234555245018</v>
      </c>
    </row>
    <row r="188" s="9" customFormat="true" ht="15" hidden="false" customHeight="false" outlineLevel="0" collapsed="false">
      <c r="A188" s="29"/>
      <c r="B188" s="11"/>
      <c r="C188" s="12" t="n">
        <v>42066</v>
      </c>
      <c r="D188" s="9" t="n">
        <v>5.4</v>
      </c>
      <c r="E188" s="20" t="n">
        <v>2.8</v>
      </c>
      <c r="F188" s="9" t="n">
        <v>10.1</v>
      </c>
      <c r="G188" s="9" t="n">
        <f aca="false">G187+D188</f>
        <v>1557.1</v>
      </c>
      <c r="H188" s="9" t="n">
        <f aca="false">H187+D188</f>
        <v>395.4</v>
      </c>
      <c r="J188" s="9" t="n">
        <v>1.3</v>
      </c>
      <c r="K188" s="9" t="n">
        <f aca="false">K187+J188</f>
        <v>314.5</v>
      </c>
      <c r="L188" s="9" t="n">
        <v>1.4</v>
      </c>
      <c r="M188" s="9" t="n">
        <f aca="false">M187+L188</f>
        <v>194.1</v>
      </c>
      <c r="N188" s="14" t="n">
        <f aca="false">J188-L188</f>
        <v>-0.0999999999999999</v>
      </c>
      <c r="O188" s="9" t="n">
        <f aca="false">O187+N188</f>
        <v>190.6</v>
      </c>
      <c r="P188" s="9" t="n">
        <v>183</v>
      </c>
      <c r="Q188" s="9" t="n">
        <v>1</v>
      </c>
      <c r="R188" s="15" t="n">
        <f aca="false">Q188*L188</f>
        <v>1.4</v>
      </c>
      <c r="S188" s="15" t="n">
        <f aca="false">J188-R188</f>
        <v>-0.0999999999999999</v>
      </c>
      <c r="T188" s="15" t="n">
        <f aca="false">MIN(197.4,(T187+S188))</f>
        <v>196.5</v>
      </c>
      <c r="V188" s="19" t="n">
        <v>897.2</v>
      </c>
      <c r="W188" s="9" t="n">
        <f aca="false">V188/D188</f>
        <v>166.148148148148</v>
      </c>
      <c r="X188" s="9" t="n">
        <f aca="false">X187+V188</f>
        <v>105739.2</v>
      </c>
      <c r="Y188" s="9" t="n">
        <f aca="false">Y187+V188</f>
        <v>33344.4</v>
      </c>
      <c r="AA188" s="9" t="n">
        <v>11.0824235136319</v>
      </c>
    </row>
    <row r="189" s="9" customFormat="true" ht="15" hidden="false" customHeight="false" outlineLevel="0" collapsed="false">
      <c r="A189" s="29"/>
      <c r="B189" s="11"/>
      <c r="C189" s="12" t="n">
        <v>42067</v>
      </c>
      <c r="D189" s="20" t="n">
        <v>4</v>
      </c>
      <c r="E189" s="20" t="n">
        <v>0.2</v>
      </c>
      <c r="F189" s="9" t="n">
        <v>7.5</v>
      </c>
      <c r="G189" s="9" t="n">
        <f aca="false">G188+D189</f>
        <v>1561.1</v>
      </c>
      <c r="H189" s="9" t="n">
        <f aca="false">H188+D189</f>
        <v>399.4</v>
      </c>
      <c r="J189" s="9" t="n">
        <v>0.1</v>
      </c>
      <c r="K189" s="9" t="n">
        <f aca="false">K188+J189</f>
        <v>314.6</v>
      </c>
      <c r="L189" s="9" t="n">
        <v>1.2</v>
      </c>
      <c r="M189" s="9" t="n">
        <f aca="false">M188+L189</f>
        <v>195.3</v>
      </c>
      <c r="N189" s="14" t="n">
        <f aca="false">J189-L189</f>
        <v>-1.1</v>
      </c>
      <c r="O189" s="9" t="n">
        <f aca="false">O188+N189</f>
        <v>189.5</v>
      </c>
      <c r="P189" s="9" t="n">
        <v>184</v>
      </c>
      <c r="Q189" s="9" t="n">
        <v>1</v>
      </c>
      <c r="R189" s="15" t="n">
        <f aca="false">Q189*L189</f>
        <v>1.2</v>
      </c>
      <c r="S189" s="15" t="n">
        <f aca="false">J189-R189</f>
        <v>-1.1</v>
      </c>
      <c r="T189" s="15" t="n">
        <f aca="false">MIN(197.4,(T188+S189))</f>
        <v>195.4</v>
      </c>
      <c r="V189" s="9" t="n">
        <v>1016.1</v>
      </c>
      <c r="W189" s="9" t="n">
        <f aca="false">V189/D189</f>
        <v>254.025</v>
      </c>
      <c r="X189" s="9" t="n">
        <f aca="false">X188+V189</f>
        <v>106755.3</v>
      </c>
      <c r="Y189" s="9" t="n">
        <f aca="false">Y188+V189</f>
        <v>34360.5</v>
      </c>
      <c r="AA189" s="9" t="n">
        <v>11.1415062610532</v>
      </c>
    </row>
    <row r="190" s="9" customFormat="true" ht="15" hidden="false" customHeight="false" outlineLevel="0" collapsed="false">
      <c r="A190" s="29"/>
      <c r="B190" s="11"/>
      <c r="C190" s="12" t="n">
        <v>42068</v>
      </c>
      <c r="D190" s="20" t="n">
        <v>4.6</v>
      </c>
      <c r="E190" s="32" t="n">
        <v>-0.4</v>
      </c>
      <c r="F190" s="9" t="n">
        <v>10</v>
      </c>
      <c r="G190" s="9" t="n">
        <f aca="false">G189+D190</f>
        <v>1565.7</v>
      </c>
      <c r="H190" s="9" t="n">
        <f aca="false">H189+D190</f>
        <v>404</v>
      </c>
      <c r="J190" s="9" t="n">
        <v>0</v>
      </c>
      <c r="K190" s="9" t="n">
        <f aca="false">K189+J190</f>
        <v>314.6</v>
      </c>
      <c r="L190" s="9" t="n">
        <v>1.3</v>
      </c>
      <c r="M190" s="9" t="n">
        <f aca="false">M189+L190</f>
        <v>196.6</v>
      </c>
      <c r="N190" s="14" t="n">
        <f aca="false">J190-L190</f>
        <v>-1.3</v>
      </c>
      <c r="O190" s="9" t="n">
        <f aca="false">O189+N190</f>
        <v>188.2</v>
      </c>
      <c r="P190" s="9" t="n">
        <v>185</v>
      </c>
      <c r="Q190" s="9" t="n">
        <v>1</v>
      </c>
      <c r="R190" s="15" t="n">
        <f aca="false">Q190*L190</f>
        <v>1.3</v>
      </c>
      <c r="S190" s="15" t="n">
        <f aca="false">J190-R190</f>
        <v>-1.3</v>
      </c>
      <c r="T190" s="15" t="n">
        <f aca="false">MIN(197.4,(T189+S190))</f>
        <v>194.1</v>
      </c>
      <c r="V190" s="9" t="n">
        <v>953.4</v>
      </c>
      <c r="W190" s="9" t="n">
        <f aca="false">V190/D190</f>
        <v>207.260869565217</v>
      </c>
      <c r="X190" s="9" t="n">
        <f aca="false">X189+V190</f>
        <v>107708.7</v>
      </c>
      <c r="Y190" s="9" t="n">
        <f aca="false">Y189+V190</f>
        <v>35313.9</v>
      </c>
      <c r="AA190" s="9" t="n">
        <v>11.2006945233936</v>
      </c>
    </row>
    <row r="191" s="9" customFormat="true" ht="15" hidden="false" customHeight="false" outlineLevel="0" collapsed="false">
      <c r="A191" s="29"/>
      <c r="B191" s="11"/>
      <c r="C191" s="12" t="n">
        <v>42069</v>
      </c>
      <c r="D191" s="20" t="n">
        <v>4.4</v>
      </c>
      <c r="E191" s="32" t="n">
        <v>-1.2</v>
      </c>
      <c r="F191" s="9" t="n">
        <v>10.6</v>
      </c>
      <c r="G191" s="9" t="n">
        <f aca="false">G190+D191</f>
        <v>1570.1</v>
      </c>
      <c r="H191" s="9" t="n">
        <f aca="false">H190+D191</f>
        <v>408.4</v>
      </c>
      <c r="J191" s="9" t="n">
        <v>0</v>
      </c>
      <c r="K191" s="9" t="n">
        <f aca="false">K190+J191</f>
        <v>314.6</v>
      </c>
      <c r="L191" s="9" t="n">
        <v>1.9</v>
      </c>
      <c r="M191" s="9" t="n">
        <f aca="false">M190+L191</f>
        <v>198.5</v>
      </c>
      <c r="N191" s="14" t="n">
        <f aca="false">J191-L191</f>
        <v>-1.9</v>
      </c>
      <c r="O191" s="9" t="n">
        <f aca="false">O190+N191</f>
        <v>186.3</v>
      </c>
      <c r="P191" s="9" t="n">
        <v>186</v>
      </c>
      <c r="Q191" s="9" t="n">
        <v>1</v>
      </c>
      <c r="R191" s="15" t="n">
        <f aca="false">Q191*L191</f>
        <v>1.9</v>
      </c>
      <c r="S191" s="15" t="n">
        <f aca="false">J191-R191</f>
        <v>-1.9</v>
      </c>
      <c r="T191" s="15" t="n">
        <f aca="false">MIN(197.4,(T190+S191))</f>
        <v>192.2</v>
      </c>
      <c r="V191" s="9" t="n">
        <v>1485.6</v>
      </c>
      <c r="W191" s="9" t="n">
        <f aca="false">V191/D191</f>
        <v>337.636363636364</v>
      </c>
      <c r="X191" s="9" t="n">
        <f aca="false">X190+V191</f>
        <v>109194.3</v>
      </c>
      <c r="Y191" s="9" t="n">
        <f aca="false">Y190+V191</f>
        <v>36799.5</v>
      </c>
      <c r="AA191" s="9" t="n">
        <v>11.2599794048885</v>
      </c>
    </row>
    <row r="192" s="9" customFormat="true" ht="15" hidden="false" customHeight="false" outlineLevel="0" collapsed="false">
      <c r="A192" s="29"/>
      <c r="B192" s="11"/>
      <c r="C192" s="12" t="n">
        <v>42070</v>
      </c>
      <c r="D192" s="9" t="n">
        <v>5.5</v>
      </c>
      <c r="E192" s="32" t="n">
        <v>-0.9</v>
      </c>
      <c r="F192" s="9" t="n">
        <v>12.1</v>
      </c>
      <c r="G192" s="9" t="n">
        <f aca="false">G191+D192</f>
        <v>1575.6</v>
      </c>
      <c r="H192" s="9" t="n">
        <f aca="false">H191+D192</f>
        <v>413.9</v>
      </c>
      <c r="J192" s="9" t="n">
        <v>0</v>
      </c>
      <c r="K192" s="9" t="n">
        <f aca="false">K191+J192</f>
        <v>314.6</v>
      </c>
      <c r="L192" s="9" t="n">
        <v>2.1</v>
      </c>
      <c r="M192" s="9" t="n">
        <f aca="false">M191+L192</f>
        <v>200.6</v>
      </c>
      <c r="N192" s="14" t="n">
        <f aca="false">J192-L192</f>
        <v>-2.1</v>
      </c>
      <c r="O192" s="9" t="n">
        <f aca="false">O191+N192</f>
        <v>184.2</v>
      </c>
      <c r="P192" s="9" t="n">
        <v>187</v>
      </c>
      <c r="Q192" s="9" t="n">
        <v>1</v>
      </c>
      <c r="R192" s="15" t="n">
        <f aca="false">Q192*L192</f>
        <v>2.1</v>
      </c>
      <c r="S192" s="15" t="n">
        <f aca="false">J192-R192</f>
        <v>-2.1</v>
      </c>
      <c r="T192" s="15" t="n">
        <f aca="false">MIN(197.4,(T191+S192))</f>
        <v>190.1</v>
      </c>
      <c r="V192" s="9" t="n">
        <v>1483.7</v>
      </c>
      <c r="W192" s="9" t="n">
        <f aca="false">V192/D192</f>
        <v>269.763636363636</v>
      </c>
      <c r="X192" s="9" t="n">
        <f aca="false">X191+V192</f>
        <v>110678</v>
      </c>
      <c r="Y192" s="9" t="n">
        <f aca="false">Y191+V192</f>
        <v>38283.2</v>
      </c>
      <c r="AA192" s="9" t="n">
        <v>11.3193523380277</v>
      </c>
    </row>
    <row r="193" s="9" customFormat="true" ht="15" hidden="false" customHeight="false" outlineLevel="0" collapsed="false">
      <c r="A193" s="29"/>
      <c r="B193" s="11"/>
      <c r="C193" s="12" t="n">
        <v>42071</v>
      </c>
      <c r="D193" s="9" t="n">
        <v>8.2</v>
      </c>
      <c r="E193" s="32" t="n">
        <v>-0.4</v>
      </c>
      <c r="F193" s="9" t="n">
        <v>16</v>
      </c>
      <c r="G193" s="9" t="n">
        <f aca="false">G192+D193</f>
        <v>1583.8</v>
      </c>
      <c r="H193" s="9" t="n">
        <f aca="false">H192+D193</f>
        <v>422.1</v>
      </c>
      <c r="J193" s="9" t="n">
        <v>0</v>
      </c>
      <c r="K193" s="9" t="n">
        <f aca="false">K192+J193</f>
        <v>314.6</v>
      </c>
      <c r="L193" s="9" t="n">
        <v>2.4</v>
      </c>
      <c r="M193" s="9" t="n">
        <f aca="false">M192+L193</f>
        <v>203</v>
      </c>
      <c r="N193" s="14" t="n">
        <f aca="false">J193-L193</f>
        <v>-2.4</v>
      </c>
      <c r="O193" s="9" t="n">
        <f aca="false">O192+N193</f>
        <v>181.8</v>
      </c>
      <c r="P193" s="9" t="n">
        <v>188</v>
      </c>
      <c r="Q193" s="9" t="n">
        <v>1</v>
      </c>
      <c r="R193" s="15" t="n">
        <f aca="false">Q193*L193</f>
        <v>2.4</v>
      </c>
      <c r="S193" s="15" t="n">
        <f aca="false">J193-R193</f>
        <v>-2.4</v>
      </c>
      <c r="T193" s="15" t="n">
        <f aca="false">MIN(197.4,(T192+S193))</f>
        <v>187.7</v>
      </c>
      <c r="V193" s="9" t="n">
        <v>1433.8</v>
      </c>
      <c r="W193" s="9" t="n">
        <f aca="false">V193/D193</f>
        <v>174.853658536585</v>
      </c>
      <c r="X193" s="9" t="n">
        <f aca="false">X192+V193</f>
        <v>112111.8</v>
      </c>
      <c r="Y193" s="9" t="n">
        <f aca="false">Y192+V193</f>
        <v>39717</v>
      </c>
      <c r="AA193" s="9" t="n">
        <v>11.3788050642179</v>
      </c>
    </row>
    <row r="194" s="23" customFormat="true" ht="15" hidden="false" customHeight="false" outlineLevel="0" collapsed="false">
      <c r="A194" s="29"/>
      <c r="B194" s="21"/>
      <c r="C194" s="22" t="n">
        <v>42072</v>
      </c>
      <c r="D194" s="23" t="n">
        <v>8.8</v>
      </c>
      <c r="E194" s="23" t="n">
        <v>6.4</v>
      </c>
      <c r="F194" s="23" t="n">
        <v>12</v>
      </c>
      <c r="G194" s="23" t="n">
        <f aca="false">G193+D194</f>
        <v>1592.6</v>
      </c>
      <c r="H194" s="24" t="n">
        <f aca="false">H193+D194</f>
        <v>430.9</v>
      </c>
      <c r="J194" s="23" t="n">
        <v>0</v>
      </c>
      <c r="K194" s="23" t="n">
        <f aca="false">K193+J194</f>
        <v>314.6</v>
      </c>
      <c r="L194" s="23" t="n">
        <v>1.7</v>
      </c>
      <c r="M194" s="23" t="n">
        <f aca="false">M193+L194</f>
        <v>204.7</v>
      </c>
      <c r="N194" s="23" t="n">
        <f aca="false">J194-L194</f>
        <v>-1.7</v>
      </c>
      <c r="O194" s="24" t="n">
        <f aca="false">O193+N194</f>
        <v>180.1</v>
      </c>
      <c r="P194" s="24" t="n">
        <v>189</v>
      </c>
      <c r="Q194" s="60" t="n">
        <v>1</v>
      </c>
      <c r="R194" s="26" t="n">
        <f aca="false">Q194*L194</f>
        <v>1.7</v>
      </c>
      <c r="S194" s="26" t="n">
        <f aca="false">J194-R194</f>
        <v>-1.7</v>
      </c>
      <c r="T194" s="59" t="n">
        <f aca="false">MIN(197.4,(T193+S194))</f>
        <v>186</v>
      </c>
      <c r="V194" s="23" t="n">
        <v>1185.6</v>
      </c>
      <c r="W194" s="23" t="n">
        <f aca="false">V194/D194</f>
        <v>134.727272727273</v>
      </c>
      <c r="X194" s="23" t="n">
        <f aca="false">X193+V194</f>
        <v>113297.4</v>
      </c>
      <c r="Y194" s="60" t="n">
        <f aca="false">Y193+V194</f>
        <v>40902.6</v>
      </c>
      <c r="AA194" s="60" t="n">
        <v>11.4383296144815</v>
      </c>
    </row>
    <row r="195" s="9" customFormat="true" ht="15" hidden="false" customHeight="true" outlineLevel="0" collapsed="false">
      <c r="A195" s="46" t="s">
        <v>53</v>
      </c>
      <c r="B195" s="11"/>
      <c r="C195" s="12" t="n">
        <v>42073</v>
      </c>
      <c r="D195" s="9" t="n">
        <v>8.9</v>
      </c>
      <c r="E195" s="9" t="n">
        <v>5.3</v>
      </c>
      <c r="F195" s="9" t="n">
        <v>12.5</v>
      </c>
      <c r="G195" s="9" t="n">
        <f aca="false">G194+D195</f>
        <v>1601.5</v>
      </c>
      <c r="H195" s="9" t="n">
        <v>8.9</v>
      </c>
      <c r="I195" s="47" t="s">
        <v>28</v>
      </c>
      <c r="J195" s="9" t="n">
        <v>0.1</v>
      </c>
      <c r="K195" s="9" t="n">
        <f aca="false">K194+J195</f>
        <v>314.7</v>
      </c>
      <c r="L195" s="9" t="n">
        <v>0.5</v>
      </c>
      <c r="M195" s="9" t="n">
        <f aca="false">M194+L195</f>
        <v>205.2</v>
      </c>
      <c r="N195" s="14" t="n">
        <f aca="false">J195-L195</f>
        <v>-0.4</v>
      </c>
      <c r="O195" s="9" t="n">
        <f aca="false">O194+N195</f>
        <v>179.7</v>
      </c>
      <c r="P195" s="9" t="n">
        <v>190</v>
      </c>
      <c r="Q195" s="17" t="n">
        <f aca="false">1+((P195-189)/35)*(1.15-1)</f>
        <v>1.00428571428571</v>
      </c>
      <c r="R195" s="15" t="n">
        <f aca="false">Q195*L195</f>
        <v>0.502142857142857</v>
      </c>
      <c r="S195" s="15" t="n">
        <f aca="false">J195-R195</f>
        <v>-0.402142857142857</v>
      </c>
      <c r="T195" s="15" t="n">
        <f aca="false">MIN(197.4,(T194+S195))</f>
        <v>185.597857142857</v>
      </c>
      <c r="U195" s="47" t="s">
        <v>29</v>
      </c>
      <c r="V195" s="19" t="n">
        <v>344.7</v>
      </c>
      <c r="W195" s="9" t="n">
        <f aca="false">V195/D195</f>
        <v>38.7303370786517</v>
      </c>
      <c r="X195" s="9" t="n">
        <f aca="false">X194+V195</f>
        <v>113642.1</v>
      </c>
      <c r="Y195" s="9" t="n">
        <v>344.7</v>
      </c>
      <c r="Z195" s="47" t="s">
        <v>30</v>
      </c>
      <c r="AA195" s="9" t="n">
        <v>11.4979182902117</v>
      </c>
    </row>
    <row r="196" s="9" customFormat="true" ht="15" hidden="false" customHeight="false" outlineLevel="0" collapsed="false">
      <c r="A196" s="46"/>
      <c r="B196" s="11"/>
      <c r="C196" s="12" t="n">
        <v>42074</v>
      </c>
      <c r="D196" s="9" t="n">
        <v>7.8</v>
      </c>
      <c r="E196" s="20" t="n">
        <v>4.7</v>
      </c>
      <c r="F196" s="9" t="n">
        <v>12.4</v>
      </c>
      <c r="G196" s="9" t="n">
        <f aca="false">G195+D196</f>
        <v>1609.3</v>
      </c>
      <c r="H196" s="9" t="n">
        <f aca="false">H195+D196</f>
        <v>16.7</v>
      </c>
      <c r="I196" s="9" t="n">
        <f aca="false">MIN(E195:E229)</f>
        <v>-1.4</v>
      </c>
      <c r="J196" s="9" t="n">
        <v>0</v>
      </c>
      <c r="K196" s="9" t="n">
        <f aca="false">K195+J196</f>
        <v>314.7</v>
      </c>
      <c r="L196" s="9" t="n">
        <v>2.1</v>
      </c>
      <c r="M196" s="9" t="n">
        <f aca="false">M195+L196</f>
        <v>207.3</v>
      </c>
      <c r="N196" s="14" t="n">
        <f aca="false">J196-L196</f>
        <v>-2.1</v>
      </c>
      <c r="O196" s="9" t="n">
        <f aca="false">O195+N196</f>
        <v>177.6</v>
      </c>
      <c r="P196" s="9" t="n">
        <v>191</v>
      </c>
      <c r="Q196" s="17" t="n">
        <f aca="false">1+((P196-189)/35)*(1.15-1)</f>
        <v>1.00857142857143</v>
      </c>
      <c r="R196" s="15" t="n">
        <f aca="false">Q196*L196</f>
        <v>2.118</v>
      </c>
      <c r="S196" s="15" t="n">
        <f aca="false">J196-R196</f>
        <v>-2.118</v>
      </c>
      <c r="T196" s="15" t="n">
        <f aca="false">MIN(197.4,(T195+S196))</f>
        <v>183.479857142857</v>
      </c>
      <c r="U196" s="9" t="n">
        <v>29</v>
      </c>
      <c r="V196" s="9" t="n">
        <v>1490.7</v>
      </c>
      <c r="W196" s="9" t="n">
        <f aca="false">V196/D196</f>
        <v>191.115384615385</v>
      </c>
      <c r="X196" s="9" t="n">
        <f aca="false">X195+V196</f>
        <v>115132.8</v>
      </c>
      <c r="Y196" s="9" t="n">
        <f aca="false">Y195+V196</f>
        <v>1835.4</v>
      </c>
      <c r="Z196" s="9" t="n">
        <v>41995.9</v>
      </c>
      <c r="AA196" s="9" t="n">
        <v>11.5575636439992</v>
      </c>
    </row>
    <row r="197" s="9" customFormat="true" ht="15" hidden="false" customHeight="false" outlineLevel="0" collapsed="false">
      <c r="A197" s="46"/>
      <c r="B197" s="11"/>
      <c r="C197" s="12" t="n">
        <v>42075</v>
      </c>
      <c r="D197" s="9" t="n">
        <v>6.5</v>
      </c>
      <c r="E197" s="20" t="n">
        <v>0.1</v>
      </c>
      <c r="F197" s="9" t="n">
        <v>12</v>
      </c>
      <c r="G197" s="9" t="n">
        <f aca="false">G196+D197</f>
        <v>1615.8</v>
      </c>
      <c r="H197" s="9" t="n">
        <f aca="false">H196+D197</f>
        <v>23.2</v>
      </c>
      <c r="I197" s="47" t="s">
        <v>31</v>
      </c>
      <c r="J197" s="9" t="n">
        <v>0</v>
      </c>
      <c r="K197" s="9" t="n">
        <f aca="false">K196+J197</f>
        <v>314.7</v>
      </c>
      <c r="L197" s="9" t="n">
        <v>2.2</v>
      </c>
      <c r="M197" s="9" t="n">
        <f aca="false">M196+L197</f>
        <v>209.5</v>
      </c>
      <c r="N197" s="14" t="n">
        <f aca="false">J197-L197</f>
        <v>-2.2</v>
      </c>
      <c r="O197" s="9" t="n">
        <f aca="false">O196+N197</f>
        <v>175.4</v>
      </c>
      <c r="P197" s="9" t="n">
        <v>192</v>
      </c>
      <c r="Q197" s="17" t="n">
        <f aca="false">1+((P197-189)/35)*(1.15-1)</f>
        <v>1.01285714285714</v>
      </c>
      <c r="R197" s="15" t="n">
        <f aca="false">Q197*L197</f>
        <v>2.22828571428571</v>
      </c>
      <c r="S197" s="15" t="n">
        <f aca="false">J197-R197</f>
        <v>-2.22828571428571</v>
      </c>
      <c r="T197" s="15" t="n">
        <f aca="false">MIN(197.4,(T196+S197))</f>
        <v>181.251571428571</v>
      </c>
      <c r="U197" s="47" t="s">
        <v>32</v>
      </c>
      <c r="V197" s="9" t="n">
        <v>1638.3</v>
      </c>
      <c r="W197" s="9" t="n">
        <f aca="false">V197/D197</f>
        <v>252.046153846154</v>
      </c>
      <c r="X197" s="9" t="n">
        <f aca="false">X196+V197</f>
        <v>116771.1</v>
      </c>
      <c r="Y197" s="9" t="n">
        <f aca="false">Y196+V197</f>
        <v>3473.7</v>
      </c>
      <c r="Z197" s="47" t="s">
        <v>33</v>
      </c>
      <c r="AA197" s="9" t="n">
        <v>11.6172584605448</v>
      </c>
    </row>
    <row r="198" s="9" customFormat="true" ht="15" hidden="false" customHeight="false" outlineLevel="0" collapsed="false">
      <c r="A198" s="46"/>
      <c r="B198" s="11"/>
      <c r="C198" s="12" t="n">
        <v>42076</v>
      </c>
      <c r="D198" s="9" t="n">
        <v>5.6</v>
      </c>
      <c r="E198" s="20" t="n">
        <v>0.8</v>
      </c>
      <c r="F198" s="9" t="n">
        <v>10.9</v>
      </c>
      <c r="G198" s="9" t="n">
        <f aca="false">G197+D198</f>
        <v>1621.4</v>
      </c>
      <c r="H198" s="9" t="n">
        <f aca="false">H197+D198</f>
        <v>28.8</v>
      </c>
      <c r="I198" s="9" t="n">
        <f aca="false">MAX(F195:F229)</f>
        <v>20.7</v>
      </c>
      <c r="J198" s="9" t="n">
        <v>0</v>
      </c>
      <c r="K198" s="9" t="n">
        <f aca="false">K197+J198</f>
        <v>314.7</v>
      </c>
      <c r="L198" s="9" t="n">
        <v>1.3</v>
      </c>
      <c r="M198" s="9" t="n">
        <f aca="false">M197+L198</f>
        <v>210.8</v>
      </c>
      <c r="N198" s="14" t="n">
        <f aca="false">J198-L198</f>
        <v>-1.3</v>
      </c>
      <c r="O198" s="9" t="n">
        <f aca="false">O197+N198</f>
        <v>174.1</v>
      </c>
      <c r="P198" s="9" t="n">
        <v>193</v>
      </c>
      <c r="Q198" s="17" t="n">
        <f aca="false">1+((P198-189)/35)*(1.15-1)</f>
        <v>1.01714285714286</v>
      </c>
      <c r="R198" s="15" t="n">
        <f aca="false">Q198*L198</f>
        <v>1.32228571428571</v>
      </c>
      <c r="S198" s="15" t="n">
        <f aca="false">J198-R198</f>
        <v>-1.32228571428571</v>
      </c>
      <c r="T198" s="15" t="n">
        <f aca="false">MIN(197.4,(T197+S198))</f>
        <v>179.929285714286</v>
      </c>
      <c r="U198" s="9" t="n">
        <v>0</v>
      </c>
      <c r="V198" s="9" t="n">
        <v>1004.2</v>
      </c>
      <c r="W198" s="9" t="n">
        <f aca="false">V198/D198</f>
        <v>179.321428571429</v>
      </c>
      <c r="X198" s="9" t="n">
        <f aca="false">X197+V198</f>
        <v>117775.3</v>
      </c>
      <c r="Y198" s="9" t="n">
        <f aca="false">Y197+V198</f>
        <v>4477.9</v>
      </c>
      <c r="Z198" s="17" t="n">
        <f aca="false">(Z196/100)/I208</f>
        <v>1.4714751226349</v>
      </c>
      <c r="AA198" s="9" t="n">
        <v>11.6769957376663</v>
      </c>
    </row>
    <row r="199" s="9" customFormat="true" ht="15" hidden="false" customHeight="false" outlineLevel="0" collapsed="false">
      <c r="A199" s="46"/>
      <c r="B199" s="11"/>
      <c r="C199" s="12" t="n">
        <v>42077</v>
      </c>
      <c r="D199" s="9" t="n">
        <v>6.1</v>
      </c>
      <c r="E199" s="20" t="n">
        <v>2.9</v>
      </c>
      <c r="F199" s="9" t="n">
        <v>8.5</v>
      </c>
      <c r="G199" s="9" t="n">
        <f aca="false">G198+D199</f>
        <v>1627.5</v>
      </c>
      <c r="H199" s="9" t="n">
        <f aca="false">H198+D199</f>
        <v>34.9</v>
      </c>
      <c r="I199" s="47" t="s">
        <v>34</v>
      </c>
      <c r="J199" s="9" t="n">
        <v>0</v>
      </c>
      <c r="K199" s="9" t="n">
        <f aca="false">K198+J199</f>
        <v>314.7</v>
      </c>
      <c r="L199" s="9" t="n">
        <v>1.6</v>
      </c>
      <c r="M199" s="9" t="n">
        <f aca="false">M198+L199</f>
        <v>212.4</v>
      </c>
      <c r="N199" s="14" t="n">
        <f aca="false">J199-L199</f>
        <v>-1.6</v>
      </c>
      <c r="O199" s="9" t="n">
        <f aca="false">O198+N199</f>
        <v>172.5</v>
      </c>
      <c r="P199" s="9" t="n">
        <v>194</v>
      </c>
      <c r="Q199" s="17" t="n">
        <f aca="false">1+((P199-189)/35)*(1.15-1)</f>
        <v>1.02142857142857</v>
      </c>
      <c r="R199" s="15" t="n">
        <f aca="false">Q199*L199</f>
        <v>1.63428571428571</v>
      </c>
      <c r="S199" s="15" t="n">
        <f aca="false">J199-R199</f>
        <v>-1.63428571428571</v>
      </c>
      <c r="T199" s="15" t="n">
        <f aca="false">MIN(197.4,(T198+S199))</f>
        <v>178.295</v>
      </c>
      <c r="U199" s="47" t="s">
        <v>35</v>
      </c>
      <c r="V199" s="9" t="n">
        <v>1322.1</v>
      </c>
      <c r="W199" s="9" t="n">
        <f aca="false">V199/D199</f>
        <v>216.737704918033</v>
      </c>
      <c r="X199" s="9" t="n">
        <f aca="false">X198+V199</f>
        <v>119097.4</v>
      </c>
      <c r="Y199" s="9" t="n">
        <f aca="false">Y198+V199</f>
        <v>5800</v>
      </c>
      <c r="Z199" s="47" t="s">
        <v>36</v>
      </c>
      <c r="AA199" s="9" t="n">
        <v>11.7367686674097</v>
      </c>
    </row>
    <row r="200" s="9" customFormat="true" ht="15" hidden="false" customHeight="false" outlineLevel="0" collapsed="false">
      <c r="A200" s="46"/>
      <c r="B200" s="11"/>
      <c r="C200" s="12" t="n">
        <v>42078</v>
      </c>
      <c r="D200" s="9" t="n">
        <v>5.6</v>
      </c>
      <c r="E200" s="20" t="n">
        <v>4.5</v>
      </c>
      <c r="F200" s="9" t="n">
        <v>7.5</v>
      </c>
      <c r="G200" s="9" t="n">
        <f aca="false">G199+D200</f>
        <v>1633.1</v>
      </c>
      <c r="H200" s="9" t="n">
        <f aca="false">H199+D200</f>
        <v>40.5</v>
      </c>
      <c r="I200" s="15" t="n">
        <f aca="false">AVERAGE(D195:D229)</f>
        <v>8.15428571428571</v>
      </c>
      <c r="J200" s="9" t="n">
        <v>0</v>
      </c>
      <c r="K200" s="9" t="n">
        <f aca="false">K199+J200</f>
        <v>314.7</v>
      </c>
      <c r="L200" s="9" t="n">
        <v>0.8</v>
      </c>
      <c r="M200" s="9" t="n">
        <f aca="false">M199+L200</f>
        <v>213.2</v>
      </c>
      <c r="N200" s="14" t="n">
        <f aca="false">J200-L200</f>
        <v>-0.8</v>
      </c>
      <c r="O200" s="9" t="n">
        <f aca="false">O199+N200</f>
        <v>171.7</v>
      </c>
      <c r="P200" s="9" t="n">
        <v>195</v>
      </c>
      <c r="Q200" s="17" t="n">
        <f aca="false">1+((P200-189)/35)*(1.15-1)</f>
        <v>1.02571428571429</v>
      </c>
      <c r="R200" s="15" t="n">
        <f aca="false">Q200*L200</f>
        <v>0.820571428571429</v>
      </c>
      <c r="S200" s="15" t="n">
        <f aca="false">J200-R200</f>
        <v>-0.820571428571429</v>
      </c>
      <c r="T200" s="15" t="n">
        <f aca="false">MIN(197.4,(T199+S200))</f>
        <v>177.474428571429</v>
      </c>
      <c r="U200" s="9" t="n">
        <v>0</v>
      </c>
      <c r="V200" s="19" t="n">
        <v>609.5</v>
      </c>
      <c r="W200" s="9" t="n">
        <f aca="false">V200/D200</f>
        <v>108.839285714286</v>
      </c>
      <c r="X200" s="9" t="n">
        <f aca="false">X199+V200</f>
        <v>119706.9</v>
      </c>
      <c r="Y200" s="9" t="n">
        <f aca="false">Y199+V200</f>
        <v>6409.5</v>
      </c>
      <c r="Z200" s="9" t="n">
        <v>11</v>
      </c>
      <c r="AA200" s="9" t="n">
        <v>11.7965706172693</v>
      </c>
    </row>
    <row r="201" s="9" customFormat="true" ht="15" hidden="false" customHeight="false" outlineLevel="0" collapsed="false">
      <c r="A201" s="46"/>
      <c r="B201" s="11"/>
      <c r="C201" s="12" t="n">
        <v>42079</v>
      </c>
      <c r="D201" s="9" t="n">
        <v>6.4</v>
      </c>
      <c r="E201" s="20" t="n">
        <v>0.7</v>
      </c>
      <c r="F201" s="9" t="n">
        <v>10.8</v>
      </c>
      <c r="G201" s="9" t="n">
        <f aca="false">G200+D201</f>
        <v>1639.5</v>
      </c>
      <c r="H201" s="9" t="n">
        <f aca="false">H200+D201</f>
        <v>46.9</v>
      </c>
      <c r="I201" s="47" t="s">
        <v>37</v>
      </c>
      <c r="J201" s="9" t="n">
        <v>0</v>
      </c>
      <c r="K201" s="9" t="n">
        <f aca="false">K200+J201</f>
        <v>314.7</v>
      </c>
      <c r="L201" s="9" t="n">
        <v>1.5</v>
      </c>
      <c r="M201" s="9" t="n">
        <f aca="false">M200+L201</f>
        <v>214.7</v>
      </c>
      <c r="N201" s="14" t="n">
        <f aca="false">J201-L201</f>
        <v>-1.5</v>
      </c>
      <c r="O201" s="9" t="n">
        <f aca="false">O200+N201</f>
        <v>170.2</v>
      </c>
      <c r="P201" s="9" t="n">
        <v>196</v>
      </c>
      <c r="Q201" s="17" t="n">
        <f aca="false">1+((P201-189)/35)*(1.15-1)</f>
        <v>1.03</v>
      </c>
      <c r="R201" s="15" t="n">
        <f aca="false">Q201*L201</f>
        <v>1.545</v>
      </c>
      <c r="S201" s="15" t="n">
        <f aca="false">J201-R201</f>
        <v>-1.545</v>
      </c>
      <c r="T201" s="15" t="n">
        <f aca="false">MIN(197.4,(T200+S201))</f>
        <v>175.929428571429</v>
      </c>
      <c r="U201" s="47" t="s">
        <v>38</v>
      </c>
      <c r="V201" s="9" t="n">
        <v>1258.9</v>
      </c>
      <c r="W201" s="9" t="n">
        <f aca="false">V201/D201</f>
        <v>196.703125</v>
      </c>
      <c r="X201" s="9" t="n">
        <f aca="false">X200+V201</f>
        <v>120965.8</v>
      </c>
      <c r="Y201" s="9" t="n">
        <f aca="false">Y200+V201</f>
        <v>7668.4</v>
      </c>
      <c r="AA201" s="9" t="n">
        <v>11.8563951115219</v>
      </c>
    </row>
    <row r="202" s="9" customFormat="true" ht="15" hidden="false" customHeight="false" outlineLevel="0" collapsed="false">
      <c r="A202" s="46"/>
      <c r="B202" s="11"/>
      <c r="C202" s="12" t="n">
        <v>42080</v>
      </c>
      <c r="D202" s="9" t="n">
        <v>8.6</v>
      </c>
      <c r="E202" s="20" t="n">
        <v>0.3</v>
      </c>
      <c r="F202" s="9" t="n">
        <v>15.7</v>
      </c>
      <c r="G202" s="9" t="n">
        <f aca="false">G201+D202</f>
        <v>1648.1</v>
      </c>
      <c r="H202" s="9" t="n">
        <f aca="false">H201+D202</f>
        <v>55.5</v>
      </c>
      <c r="I202" s="9" t="n">
        <v>2</v>
      </c>
      <c r="J202" s="9" t="n">
        <v>0</v>
      </c>
      <c r="K202" s="9" t="n">
        <f aca="false">K201+J202</f>
        <v>314.7</v>
      </c>
      <c r="L202" s="9" t="n">
        <v>2</v>
      </c>
      <c r="M202" s="9" t="n">
        <f aca="false">M201+L202</f>
        <v>216.7</v>
      </c>
      <c r="N202" s="14" t="n">
        <f aca="false">J202-L202</f>
        <v>-2</v>
      </c>
      <c r="O202" s="9" t="n">
        <f aca="false">O201+N202</f>
        <v>168.2</v>
      </c>
      <c r="P202" s="9" t="n">
        <v>197</v>
      </c>
      <c r="Q202" s="17" t="n">
        <f aca="false">1+((P202-189)/35)*(1.15-1)</f>
        <v>1.03428571428571</v>
      </c>
      <c r="R202" s="15" t="n">
        <f aca="false">Q202*L202</f>
        <v>2.06857142857143</v>
      </c>
      <c r="S202" s="15" t="n">
        <f aca="false">J202-R202</f>
        <v>-2.06857142857143</v>
      </c>
      <c r="T202" s="15" t="n">
        <f aca="false">MIN(197.4,(T201+S202))</f>
        <v>173.860857142857</v>
      </c>
      <c r="U202" s="15" t="n">
        <f aca="false">MIN(T195:T229)</f>
        <v>161.366</v>
      </c>
      <c r="V202" s="9" t="n">
        <v>1391.3</v>
      </c>
      <c r="W202" s="9" t="n">
        <f aca="false">V202/D202</f>
        <v>161.779069767442</v>
      </c>
      <c r="X202" s="9" t="n">
        <f aca="false">X201+V202</f>
        <v>122357.1</v>
      </c>
      <c r="Y202" s="9" t="n">
        <f aca="false">Y201+V202</f>
        <v>9059.7</v>
      </c>
      <c r="AA202" s="9" t="n">
        <v>11.9162358126761</v>
      </c>
    </row>
    <row r="203" s="9" customFormat="true" ht="15" hidden="false" customHeight="false" outlineLevel="0" collapsed="false">
      <c r="A203" s="46"/>
      <c r="B203" s="11"/>
      <c r="C203" s="12" t="n">
        <v>42081</v>
      </c>
      <c r="D203" s="9" t="n">
        <v>9.3</v>
      </c>
      <c r="E203" s="20" t="n">
        <v>3.4</v>
      </c>
      <c r="F203" s="9" t="n">
        <v>14.9</v>
      </c>
      <c r="G203" s="9" t="n">
        <f aca="false">G202+D203</f>
        <v>1657.4</v>
      </c>
      <c r="H203" s="9" t="n">
        <f aca="false">H202+D203</f>
        <v>64.8</v>
      </c>
      <c r="I203" s="47" t="s">
        <v>39</v>
      </c>
      <c r="J203" s="9" t="n">
        <v>0</v>
      </c>
      <c r="K203" s="9" t="n">
        <f aca="false">K202+J203</f>
        <v>314.7</v>
      </c>
      <c r="L203" s="9" t="n">
        <v>1.7</v>
      </c>
      <c r="M203" s="9" t="n">
        <f aca="false">M202+L203</f>
        <v>218.4</v>
      </c>
      <c r="N203" s="14" t="n">
        <f aca="false">J203-L203</f>
        <v>-1.7</v>
      </c>
      <c r="O203" s="9" t="n">
        <f aca="false">O202+N203</f>
        <v>166.5</v>
      </c>
      <c r="P203" s="9" t="n">
        <v>198</v>
      </c>
      <c r="Q203" s="17" t="n">
        <f aca="false">1+((P203-189)/35)*(1.15-1)</f>
        <v>1.03857142857143</v>
      </c>
      <c r="R203" s="15" t="n">
        <f aca="false">Q203*L203</f>
        <v>1.76557142857143</v>
      </c>
      <c r="S203" s="15" t="n">
        <f aca="false">J203-R203</f>
        <v>-1.76557142857143</v>
      </c>
      <c r="T203" s="15" t="n">
        <f aca="false">MIN(197.4,(T202+S203))</f>
        <v>172.095285714286</v>
      </c>
      <c r="U203" s="47" t="s">
        <v>40</v>
      </c>
      <c r="V203" s="9" t="n">
        <v>957.2</v>
      </c>
      <c r="W203" s="9" t="n">
        <f aca="false">V203/D203</f>
        <v>102.924731182796</v>
      </c>
      <c r="X203" s="9" t="n">
        <f aca="false">X202+V203</f>
        <v>123314.3</v>
      </c>
      <c r="Y203" s="9" t="n">
        <f aca="false">Y202+V203</f>
        <v>10016.9</v>
      </c>
      <c r="AA203" s="9" t="n">
        <v>11.976086503038</v>
      </c>
    </row>
    <row r="204" s="9" customFormat="true" ht="15" hidden="false" customHeight="false" outlineLevel="0" collapsed="false">
      <c r="A204" s="46"/>
      <c r="B204" s="11"/>
      <c r="C204" s="12" t="n">
        <v>42082</v>
      </c>
      <c r="D204" s="9" t="n">
        <v>6.5</v>
      </c>
      <c r="E204" s="20" t="n">
        <v>5</v>
      </c>
      <c r="F204" s="9" t="n">
        <v>7.8</v>
      </c>
      <c r="G204" s="9" t="n">
        <f aca="false">G203+D204</f>
        <v>1663.9</v>
      </c>
      <c r="H204" s="9" t="n">
        <f aca="false">H203+D204</f>
        <v>71.3</v>
      </c>
      <c r="I204" s="9" t="n">
        <v>0</v>
      </c>
      <c r="J204" s="9" t="n">
        <v>0</v>
      </c>
      <c r="K204" s="9" t="n">
        <f aca="false">K203+J204</f>
        <v>314.7</v>
      </c>
      <c r="L204" s="9" t="n">
        <v>1.3</v>
      </c>
      <c r="M204" s="9" t="n">
        <f aca="false">M203+L204</f>
        <v>219.7</v>
      </c>
      <c r="N204" s="14" t="n">
        <f aca="false">J204-L204</f>
        <v>-1.3</v>
      </c>
      <c r="O204" s="9" t="n">
        <f aca="false">O203+N204</f>
        <v>165.2</v>
      </c>
      <c r="P204" s="9" t="n">
        <v>199</v>
      </c>
      <c r="Q204" s="17" t="n">
        <f aca="false">1+((P204-189)/35)*(1.15-1)</f>
        <v>1.04285714285714</v>
      </c>
      <c r="R204" s="15" t="n">
        <f aca="false">Q204*L204</f>
        <v>1.35571428571429</v>
      </c>
      <c r="S204" s="15" t="n">
        <f aca="false">J204-R204</f>
        <v>-1.35571428571429</v>
      </c>
      <c r="T204" s="15" t="n">
        <f aca="false">MIN(197.4,(T203+S204))</f>
        <v>170.739571428571</v>
      </c>
      <c r="U204" s="15" t="n">
        <f aca="false">MAX(T195:T229)</f>
        <v>186.661285714286</v>
      </c>
      <c r="V204" s="19" t="n">
        <v>758.4</v>
      </c>
      <c r="W204" s="9" t="n">
        <f aca="false">V204/D204</f>
        <v>116.676923076923</v>
      </c>
      <c r="X204" s="9" t="n">
        <f aca="false">X203+V204</f>
        <v>124072.7</v>
      </c>
      <c r="Y204" s="9" t="n">
        <f aca="false">Y203+V204</f>
        <v>10775.3</v>
      </c>
      <c r="AA204" s="9" t="n">
        <v>12.0359410663935</v>
      </c>
    </row>
    <row r="205" s="9" customFormat="true" ht="15" hidden="false" customHeight="false" outlineLevel="0" collapsed="false">
      <c r="A205" s="46"/>
      <c r="B205" s="11"/>
      <c r="C205" s="12" t="n">
        <v>42083</v>
      </c>
      <c r="D205" s="9" t="n">
        <v>7.5</v>
      </c>
      <c r="E205" s="9" t="n">
        <v>5.9</v>
      </c>
      <c r="F205" s="9" t="n">
        <v>9.7</v>
      </c>
      <c r="G205" s="9" t="n">
        <f aca="false">G204+D205</f>
        <v>1671.4</v>
      </c>
      <c r="H205" s="9" t="n">
        <f aca="false">H204+D205</f>
        <v>78.8</v>
      </c>
      <c r="I205" s="47" t="s">
        <v>41</v>
      </c>
      <c r="J205" s="9" t="n">
        <v>0</v>
      </c>
      <c r="K205" s="9" t="n">
        <f aca="false">K204+J205</f>
        <v>314.7</v>
      </c>
      <c r="L205" s="9" t="n">
        <v>1.8</v>
      </c>
      <c r="M205" s="9" t="n">
        <f aca="false">M204+L205</f>
        <v>221.5</v>
      </c>
      <c r="N205" s="14" t="n">
        <f aca="false">J205-L205</f>
        <v>-1.8</v>
      </c>
      <c r="O205" s="9" t="n">
        <f aca="false">O204+N205</f>
        <v>163.4</v>
      </c>
      <c r="P205" s="9" t="n">
        <v>200</v>
      </c>
      <c r="Q205" s="17" t="n">
        <f aca="false">1+((P205-189)/35)*(1.15-1)</f>
        <v>1.04714285714286</v>
      </c>
      <c r="R205" s="15" t="n">
        <f aca="false">Q205*L205</f>
        <v>1.88485714285714</v>
      </c>
      <c r="S205" s="15" t="n">
        <f aca="false">J205-R205</f>
        <v>-1.88485714285714</v>
      </c>
      <c r="T205" s="15" t="n">
        <f aca="false">MIN(197.4,(T204+S205))</f>
        <v>168.854714285714</v>
      </c>
      <c r="U205" s="47" t="s">
        <v>42</v>
      </c>
      <c r="V205" s="9" t="n">
        <v>1284.9</v>
      </c>
      <c r="W205" s="9" t="n">
        <f aca="false">V205/D205</f>
        <v>171.32</v>
      </c>
      <c r="X205" s="9" t="n">
        <f aca="false">X204+V205</f>
        <v>125357.6</v>
      </c>
      <c r="Y205" s="9" t="n">
        <f aca="false">Y204+V205</f>
        <v>12060.2</v>
      </c>
      <c r="AA205" s="9" t="n">
        <v>12.0957934698047</v>
      </c>
    </row>
    <row r="206" s="9" customFormat="true" ht="15" hidden="false" customHeight="false" outlineLevel="0" collapsed="false">
      <c r="A206" s="46"/>
      <c r="B206" s="11"/>
      <c r="C206" s="12" t="n">
        <v>42084</v>
      </c>
      <c r="D206" s="9" t="n">
        <v>5.6</v>
      </c>
      <c r="E206" s="20" t="n">
        <v>3.4</v>
      </c>
      <c r="F206" s="9" t="n">
        <v>7.2</v>
      </c>
      <c r="G206" s="9" t="n">
        <f aca="false">G205+D206</f>
        <v>1677</v>
      </c>
      <c r="H206" s="9" t="n">
        <f aca="false">H205+D206</f>
        <v>84.4</v>
      </c>
      <c r="I206" s="9" t="n">
        <v>21</v>
      </c>
      <c r="J206" s="9" t="n">
        <v>0</v>
      </c>
      <c r="K206" s="9" t="n">
        <f aca="false">K205+J206</f>
        <v>314.7</v>
      </c>
      <c r="L206" s="9" t="n">
        <v>0.9</v>
      </c>
      <c r="M206" s="9" t="n">
        <f aca="false">M205+L206</f>
        <v>222.4</v>
      </c>
      <c r="N206" s="14" t="n">
        <f aca="false">J206-L206</f>
        <v>-0.9</v>
      </c>
      <c r="O206" s="9" t="n">
        <f aca="false">O205+N206</f>
        <v>162.5</v>
      </c>
      <c r="P206" s="9" t="n">
        <v>201</v>
      </c>
      <c r="Q206" s="17" t="n">
        <f aca="false">1+((P206-189)/35)*(1.15-1)</f>
        <v>1.05142857142857</v>
      </c>
      <c r="R206" s="15" t="n">
        <f aca="false">Q206*L206</f>
        <v>0.946285714285714</v>
      </c>
      <c r="S206" s="15" t="n">
        <f aca="false">J206-R206</f>
        <v>-0.946285714285714</v>
      </c>
      <c r="T206" s="15" t="n">
        <f aca="false">MIN(197.4,(T205+S206))</f>
        <v>167.908428571429</v>
      </c>
      <c r="U206" s="17" t="n">
        <f aca="false">AVERAGE(T195:T229)</f>
        <v>174.616669387755</v>
      </c>
      <c r="V206" s="19" t="n">
        <v>772.6</v>
      </c>
      <c r="W206" s="9" t="n">
        <f aca="false">V206/D206</f>
        <v>137.964285714286</v>
      </c>
      <c r="X206" s="9" t="n">
        <f aca="false">X205+V206</f>
        <v>126130.2</v>
      </c>
      <c r="Y206" s="9" t="n">
        <f aca="false">Y205+V206</f>
        <v>12832.8</v>
      </c>
      <c r="AA206" s="9" t="n">
        <v>12.1556377455172</v>
      </c>
    </row>
    <row r="207" s="9" customFormat="true" ht="15" hidden="false" customHeight="false" outlineLevel="0" collapsed="false">
      <c r="A207" s="46"/>
      <c r="B207" s="11"/>
      <c r="C207" s="12" t="n">
        <v>42085</v>
      </c>
      <c r="D207" s="9" t="n">
        <v>6.4</v>
      </c>
      <c r="E207" s="20" t="n">
        <v>5</v>
      </c>
      <c r="F207" s="9" t="n">
        <v>9.6</v>
      </c>
      <c r="G207" s="9" t="n">
        <f aca="false">G206+D207</f>
        <v>1683.4</v>
      </c>
      <c r="H207" s="9" t="n">
        <f aca="false">H206+D207</f>
        <v>90.8</v>
      </c>
      <c r="I207" s="47" t="s">
        <v>43</v>
      </c>
      <c r="J207" s="9" t="n">
        <v>0</v>
      </c>
      <c r="K207" s="9" t="n">
        <f aca="false">K206+J207</f>
        <v>314.7</v>
      </c>
      <c r="L207" s="9" t="n">
        <v>2.4</v>
      </c>
      <c r="M207" s="9" t="n">
        <f aca="false">M206+L207</f>
        <v>224.8</v>
      </c>
      <c r="N207" s="14" t="n">
        <f aca="false">J207-L207</f>
        <v>-2.4</v>
      </c>
      <c r="O207" s="9" t="n">
        <f aca="false">O206+N207</f>
        <v>160.1</v>
      </c>
      <c r="P207" s="9" t="n">
        <v>202</v>
      </c>
      <c r="Q207" s="17" t="n">
        <f aca="false">1+((P207-189)/35)*(1.15-1)</f>
        <v>1.05571428571429</v>
      </c>
      <c r="R207" s="15" t="n">
        <f aca="false">Q207*L207</f>
        <v>2.53371428571429</v>
      </c>
      <c r="S207" s="15" t="n">
        <f aca="false">J207-R207</f>
        <v>-2.53371428571429</v>
      </c>
      <c r="T207" s="15" t="n">
        <f aca="false">MIN(197.4,(T206+S207))</f>
        <v>165.374714285714</v>
      </c>
      <c r="V207" s="9" t="n">
        <v>1723.9</v>
      </c>
      <c r="W207" s="9" t="n">
        <f aca="false">V207/D207</f>
        <v>269.359375</v>
      </c>
      <c r="X207" s="9" t="n">
        <f aca="false">X206+V207</f>
        <v>127854.1</v>
      </c>
      <c r="Y207" s="9" t="n">
        <f aca="false">Y206+V207</f>
        <v>14556.7</v>
      </c>
      <c r="AA207" s="9" t="n">
        <v>12.2154679729778</v>
      </c>
    </row>
    <row r="208" s="9" customFormat="true" ht="15" hidden="false" customHeight="false" outlineLevel="0" collapsed="false">
      <c r="A208" s="46"/>
      <c r="B208" s="11"/>
      <c r="C208" s="12" t="n">
        <v>42086</v>
      </c>
      <c r="D208" s="9" t="n">
        <v>6.2</v>
      </c>
      <c r="E208" s="32" t="n">
        <v>-1.4</v>
      </c>
      <c r="F208" s="9" t="n">
        <v>12.5</v>
      </c>
      <c r="G208" s="9" t="n">
        <f aca="false">G207+D208</f>
        <v>1689.6</v>
      </c>
      <c r="H208" s="9" t="n">
        <f aca="false">H207+D208</f>
        <v>97</v>
      </c>
      <c r="I208" s="9" t="n">
        <v>285.4</v>
      </c>
      <c r="J208" s="9" t="n">
        <v>0</v>
      </c>
      <c r="K208" s="9" t="n">
        <f aca="false">K207+J208</f>
        <v>314.7</v>
      </c>
      <c r="L208" s="9" t="n">
        <v>2</v>
      </c>
      <c r="M208" s="9" t="n">
        <f aca="false">M207+L208</f>
        <v>226.8</v>
      </c>
      <c r="N208" s="14" t="n">
        <f aca="false">J208-L208</f>
        <v>-2</v>
      </c>
      <c r="O208" s="9" t="n">
        <f aca="false">O207+N208</f>
        <v>158.1</v>
      </c>
      <c r="P208" s="9" t="n">
        <v>203</v>
      </c>
      <c r="Q208" s="17" t="n">
        <f aca="false">1+((P208-189)/35)*(1.15-1)</f>
        <v>1.06</v>
      </c>
      <c r="R208" s="15" t="n">
        <f aca="false">Q208*L208</f>
        <v>2.12</v>
      </c>
      <c r="S208" s="15" t="n">
        <f aca="false">J208-R208</f>
        <v>-2.12</v>
      </c>
      <c r="T208" s="15" t="n">
        <f aca="false">MIN(197.4,(T207+S208))</f>
        <v>163.254714285714</v>
      </c>
      <c r="U208" s="15" t="n">
        <f aca="false">(U206*100)/197.4</f>
        <v>88.4582924963298</v>
      </c>
      <c r="V208" s="9" t="n">
        <v>1724.1</v>
      </c>
      <c r="W208" s="9" t="n">
        <f aca="false">V208/D208</f>
        <v>278.08064516129</v>
      </c>
      <c r="X208" s="9" t="n">
        <f aca="false">X207+V208</f>
        <v>129578.2</v>
      </c>
      <c r="Y208" s="9" t="n">
        <f aca="false">Y207+V208</f>
        <v>16280.8</v>
      </c>
      <c r="AA208" s="9" t="n">
        <v>12.275278260955</v>
      </c>
    </row>
    <row r="209" s="9" customFormat="true" ht="15" hidden="false" customHeight="false" outlineLevel="0" collapsed="false">
      <c r="A209" s="46"/>
      <c r="B209" s="11"/>
      <c r="C209" s="12" t="n">
        <v>42087</v>
      </c>
      <c r="D209" s="9" t="n">
        <v>6</v>
      </c>
      <c r="E209" s="20" t="n">
        <v>4.9</v>
      </c>
      <c r="F209" s="9" t="n">
        <v>8.6</v>
      </c>
      <c r="G209" s="9" t="n">
        <f aca="false">G208+D209</f>
        <v>1695.6</v>
      </c>
      <c r="H209" s="9" t="n">
        <f aca="false">H208+D209</f>
        <v>103</v>
      </c>
      <c r="J209" s="9" t="n">
        <v>8.5</v>
      </c>
      <c r="K209" s="9" t="n">
        <f aca="false">K208+J209</f>
        <v>323.2</v>
      </c>
      <c r="L209" s="9" t="n">
        <v>1.6</v>
      </c>
      <c r="M209" s="9" t="n">
        <f aca="false">M208+L209</f>
        <v>228.4</v>
      </c>
      <c r="N209" s="9" t="n">
        <f aca="false">J209-L209</f>
        <v>6.9</v>
      </c>
      <c r="O209" s="9" t="n">
        <f aca="false">O208+N209</f>
        <v>165</v>
      </c>
      <c r="P209" s="9" t="n">
        <v>204</v>
      </c>
      <c r="Q209" s="17" t="n">
        <f aca="false">1+((P209-189)/35)*(1.15-1)</f>
        <v>1.06428571428571</v>
      </c>
      <c r="R209" s="15" t="n">
        <f aca="false">Q209*L209</f>
        <v>1.70285714285714</v>
      </c>
      <c r="S209" s="15" t="n">
        <f aca="false">J209-R209</f>
        <v>6.79714285714286</v>
      </c>
      <c r="T209" s="15" t="n">
        <f aca="false">MIN(197.4,(T208+S209))</f>
        <v>170.051857142857</v>
      </c>
      <c r="V209" s="9" t="n">
        <v>1176.3</v>
      </c>
      <c r="W209" s="9" t="n">
        <f aca="false">V209/D209</f>
        <v>196.05</v>
      </c>
      <c r="X209" s="9" t="n">
        <f aca="false">X208+V209</f>
        <v>130754.5</v>
      </c>
      <c r="Y209" s="9" t="n">
        <f aca="false">Y208+V209</f>
        <v>17457.1</v>
      </c>
      <c r="AA209" s="9" t="n">
        <v>12.3350627297613</v>
      </c>
    </row>
    <row r="210" s="9" customFormat="true" ht="15" hidden="false" customHeight="false" outlineLevel="0" collapsed="false">
      <c r="A210" s="46"/>
      <c r="B210" s="11"/>
      <c r="C210" s="12" t="n">
        <v>42088</v>
      </c>
      <c r="D210" s="20" t="n">
        <v>4.9</v>
      </c>
      <c r="E210" s="20" t="n">
        <v>3.9</v>
      </c>
      <c r="F210" s="9" t="n">
        <v>7.7</v>
      </c>
      <c r="G210" s="9" t="n">
        <f aca="false">G209+D210</f>
        <v>1700.5</v>
      </c>
      <c r="H210" s="9" t="n">
        <f aca="false">H209+D210</f>
        <v>107.9</v>
      </c>
      <c r="J210" s="9" t="n">
        <v>0.1</v>
      </c>
      <c r="K210" s="9" t="n">
        <f aca="false">K209+J210</f>
        <v>323.3</v>
      </c>
      <c r="L210" s="9" t="n">
        <v>1.3</v>
      </c>
      <c r="M210" s="9" t="n">
        <f aca="false">M209+L210</f>
        <v>229.7</v>
      </c>
      <c r="N210" s="14" t="n">
        <f aca="false">J210-L210</f>
        <v>-1.2</v>
      </c>
      <c r="O210" s="9" t="n">
        <f aca="false">O209+N210</f>
        <v>163.8</v>
      </c>
      <c r="P210" s="9" t="n">
        <v>205</v>
      </c>
      <c r="Q210" s="17" t="n">
        <f aca="false">1+((P210-189)/35)*(1.15-1)</f>
        <v>1.06857142857143</v>
      </c>
      <c r="R210" s="15" t="n">
        <f aca="false">Q210*L210</f>
        <v>1.38914285714286</v>
      </c>
      <c r="S210" s="15" t="n">
        <f aca="false">J210-R210</f>
        <v>-1.28914285714286</v>
      </c>
      <c r="T210" s="15" t="n">
        <f aca="false">MIN(197.4,(T209+S210))</f>
        <v>168.762714285714</v>
      </c>
      <c r="V210" s="9" t="n">
        <v>966.3</v>
      </c>
      <c r="W210" s="9" t="n">
        <f aca="false">V210/D210</f>
        <v>197.204081632653</v>
      </c>
      <c r="X210" s="9" t="n">
        <f aca="false">X209+V210</f>
        <v>131720.8</v>
      </c>
      <c r="Y210" s="9" t="n">
        <f aca="false">Y209+V210</f>
        <v>18423.4</v>
      </c>
      <c r="AA210" s="9" t="n">
        <v>12.3948154935711</v>
      </c>
    </row>
    <row r="211" s="9" customFormat="true" ht="15" hidden="false" customHeight="false" outlineLevel="0" collapsed="false">
      <c r="A211" s="46"/>
      <c r="B211" s="11"/>
      <c r="C211" s="12" t="n">
        <v>42089</v>
      </c>
      <c r="D211" s="20" t="n">
        <v>4.3</v>
      </c>
      <c r="E211" s="32" t="n">
        <v>-1.2</v>
      </c>
      <c r="F211" s="9" t="n">
        <v>7.4</v>
      </c>
      <c r="G211" s="9" t="n">
        <f aca="false">G210+D211</f>
        <v>1704.8</v>
      </c>
      <c r="H211" s="9" t="n">
        <f aca="false">H210+D211</f>
        <v>112.2</v>
      </c>
      <c r="J211" s="9" t="n">
        <v>1.5</v>
      </c>
      <c r="K211" s="9" t="n">
        <f aca="false">K210+J211</f>
        <v>324.8</v>
      </c>
      <c r="L211" s="9" t="n">
        <v>0.7</v>
      </c>
      <c r="M211" s="9" t="n">
        <f aca="false">M210+L211</f>
        <v>230.4</v>
      </c>
      <c r="N211" s="9" t="n">
        <f aca="false">J211-L211</f>
        <v>0.8</v>
      </c>
      <c r="O211" s="9" t="n">
        <f aca="false">O210+N211</f>
        <v>164.6</v>
      </c>
      <c r="P211" s="9" t="n">
        <v>206</v>
      </c>
      <c r="Q211" s="17" t="n">
        <f aca="false">1+((P211-189)/35)*(1.15-1)</f>
        <v>1.07285714285714</v>
      </c>
      <c r="R211" s="15" t="n">
        <f aca="false">Q211*L211</f>
        <v>0.751</v>
      </c>
      <c r="S211" s="15" t="n">
        <f aca="false">J211-R211</f>
        <v>0.749</v>
      </c>
      <c r="T211" s="15" t="n">
        <f aca="false">MIN(197.4,(T210+S211))</f>
        <v>169.511714285714</v>
      </c>
      <c r="V211" s="19" t="n">
        <v>804.8</v>
      </c>
      <c r="W211" s="9" t="n">
        <f aca="false">V211/D211</f>
        <v>187.162790697674</v>
      </c>
      <c r="X211" s="9" t="n">
        <f aca="false">X210+V211</f>
        <v>132525.6</v>
      </c>
      <c r="Y211" s="9" t="n">
        <f aca="false">Y210+V211</f>
        <v>19228.2</v>
      </c>
      <c r="AA211" s="9" t="n">
        <v>12.4545306428303</v>
      </c>
    </row>
    <row r="212" s="9" customFormat="true" ht="15" hidden="false" customHeight="false" outlineLevel="0" collapsed="false">
      <c r="A212" s="46"/>
      <c r="B212" s="11"/>
      <c r="C212" s="12" t="n">
        <v>42090</v>
      </c>
      <c r="D212" s="9" t="n">
        <v>7</v>
      </c>
      <c r="E212" s="20" t="n">
        <v>2.3</v>
      </c>
      <c r="F212" s="9" t="n">
        <v>11.2</v>
      </c>
      <c r="G212" s="9" t="n">
        <f aca="false">G211+D212</f>
        <v>1711.8</v>
      </c>
      <c r="H212" s="9" t="n">
        <f aca="false">H211+D212</f>
        <v>119.2</v>
      </c>
      <c r="J212" s="9" t="n">
        <v>0.7</v>
      </c>
      <c r="K212" s="9" t="n">
        <f aca="false">K211+J212</f>
        <v>325.5</v>
      </c>
      <c r="L212" s="9" t="n">
        <v>1.1</v>
      </c>
      <c r="M212" s="9" t="n">
        <f aca="false">M211+L212</f>
        <v>231.5</v>
      </c>
      <c r="N212" s="14" t="n">
        <f aca="false">J212-L212</f>
        <v>-0.4</v>
      </c>
      <c r="O212" s="9" t="n">
        <f aca="false">O211+N212</f>
        <v>164.2</v>
      </c>
      <c r="P212" s="9" t="n">
        <v>207</v>
      </c>
      <c r="Q212" s="17" t="n">
        <f aca="false">1+((P212-189)/35)*(1.15-1)</f>
        <v>1.07714285714286</v>
      </c>
      <c r="R212" s="15" t="n">
        <f aca="false">Q212*L212</f>
        <v>1.18485714285714</v>
      </c>
      <c r="S212" s="15" t="n">
        <f aca="false">J212-R212</f>
        <v>-0.484857142857143</v>
      </c>
      <c r="T212" s="15" t="n">
        <f aca="false">MIN(197.4,(T211+S212))</f>
        <v>169.026857142857</v>
      </c>
      <c r="V212" s="19" t="n">
        <v>727.4</v>
      </c>
      <c r="W212" s="9" t="n">
        <f aca="false">V212/D212</f>
        <v>103.914285714286</v>
      </c>
      <c r="X212" s="9" t="n">
        <f aca="false">X211+V212</f>
        <v>133253</v>
      </c>
      <c r="Y212" s="9" t="n">
        <f aca="false">Y211+V212</f>
        <v>19955.6</v>
      </c>
      <c r="AA212" s="9" t="n">
        <v>12.5142022267535</v>
      </c>
    </row>
    <row r="213" s="9" customFormat="true" ht="15" hidden="false" customHeight="false" outlineLevel="0" collapsed="false">
      <c r="A213" s="46"/>
      <c r="B213" s="11"/>
      <c r="C213" s="12" t="n">
        <v>42091</v>
      </c>
      <c r="D213" s="9" t="n">
        <v>9.9</v>
      </c>
      <c r="E213" s="20" t="n">
        <v>4.3</v>
      </c>
      <c r="F213" s="9" t="n">
        <v>12.2</v>
      </c>
      <c r="G213" s="9" t="n">
        <f aca="false">G212+D213</f>
        <v>1721.7</v>
      </c>
      <c r="H213" s="9" t="n">
        <f aca="false">H212+D213</f>
        <v>129.1</v>
      </c>
      <c r="J213" s="9" t="n">
        <v>2.7</v>
      </c>
      <c r="K213" s="9" t="n">
        <f aca="false">K212+J213</f>
        <v>328.2</v>
      </c>
      <c r="L213" s="9" t="n">
        <v>0.4</v>
      </c>
      <c r="M213" s="9" t="n">
        <f aca="false">M212+L213</f>
        <v>231.9</v>
      </c>
      <c r="N213" s="9" t="n">
        <f aca="false">J213-L213</f>
        <v>2.3</v>
      </c>
      <c r="O213" s="9" t="n">
        <f aca="false">O212+N213</f>
        <v>166.5</v>
      </c>
      <c r="P213" s="9" t="n">
        <v>208</v>
      </c>
      <c r="Q213" s="17" t="n">
        <f aca="false">1+((P213-189)/35)*(1.15-1)</f>
        <v>1.08142857142857</v>
      </c>
      <c r="R213" s="15" t="n">
        <f aca="false">Q213*L213</f>
        <v>0.432571428571429</v>
      </c>
      <c r="S213" s="15" t="n">
        <f aca="false">J213-R213</f>
        <v>2.26742857142857</v>
      </c>
      <c r="T213" s="15" t="n">
        <f aca="false">MIN(197.4,(T212+S213))</f>
        <v>171.294285714286</v>
      </c>
      <c r="V213" s="19" t="n">
        <v>473</v>
      </c>
      <c r="W213" s="9" t="n">
        <f aca="false">V213/D213</f>
        <v>47.7777777777778</v>
      </c>
      <c r="X213" s="9" t="n">
        <f aca="false">X212+V213</f>
        <v>133726</v>
      </c>
      <c r="Y213" s="9" t="n">
        <f aca="false">Y212+V213</f>
        <v>20428.6</v>
      </c>
      <c r="AA213" s="9" t="n">
        <v>12.5738242359039</v>
      </c>
    </row>
    <row r="214" s="9" customFormat="true" ht="15" hidden="false" customHeight="false" outlineLevel="0" collapsed="false">
      <c r="A214" s="46"/>
      <c r="B214" s="11"/>
      <c r="C214" s="12" t="n">
        <v>42092</v>
      </c>
      <c r="D214" s="9" t="n">
        <v>11.2</v>
      </c>
      <c r="E214" s="9" t="n">
        <v>9.8</v>
      </c>
      <c r="F214" s="9" t="n">
        <v>12.6</v>
      </c>
      <c r="G214" s="9" t="n">
        <f aca="false">G213+D214</f>
        <v>1732.9</v>
      </c>
      <c r="H214" s="9" t="n">
        <f aca="false">H213+D214</f>
        <v>140.3</v>
      </c>
      <c r="J214" s="9" t="n">
        <v>12.4</v>
      </c>
      <c r="K214" s="9" t="n">
        <f aca="false">K213+J214</f>
        <v>340.6</v>
      </c>
      <c r="L214" s="9" t="n">
        <v>0.7</v>
      </c>
      <c r="M214" s="9" t="n">
        <f aca="false">M213+L214</f>
        <v>232.6</v>
      </c>
      <c r="N214" s="9" t="n">
        <f aca="false">J214-L214</f>
        <v>11.7</v>
      </c>
      <c r="O214" s="9" t="n">
        <f aca="false">O213+N214</f>
        <v>178.2</v>
      </c>
      <c r="P214" s="9" t="n">
        <v>209</v>
      </c>
      <c r="Q214" s="17" t="n">
        <f aca="false">1+((P214-189)/35)*(1.15-1)</f>
        <v>1.08571428571429</v>
      </c>
      <c r="R214" s="15" t="n">
        <f aca="false">Q214*L214</f>
        <v>0.76</v>
      </c>
      <c r="S214" s="15" t="n">
        <f aca="false">J214-R214</f>
        <v>11.64</v>
      </c>
      <c r="T214" s="15" t="n">
        <f aca="false">MIN(197.4,(T213+S214))</f>
        <v>182.934285714286</v>
      </c>
      <c r="V214" s="19" t="n">
        <v>238.6</v>
      </c>
      <c r="W214" s="9" t="n">
        <f aca="false">V214/D214</f>
        <v>21.3035714285714</v>
      </c>
      <c r="X214" s="9" t="n">
        <f aca="false">X213+V214</f>
        <v>133964.6</v>
      </c>
      <c r="Y214" s="9" t="n">
        <f aca="false">Y213+V214</f>
        <v>20667.2</v>
      </c>
      <c r="AA214" s="9" t="n">
        <v>12.6333905848532</v>
      </c>
    </row>
    <row r="215" s="9" customFormat="true" ht="15" hidden="false" customHeight="false" outlineLevel="0" collapsed="false">
      <c r="A215" s="46"/>
      <c r="B215" s="11"/>
      <c r="C215" s="12" t="n">
        <v>42093</v>
      </c>
      <c r="D215" s="9" t="n">
        <v>10.7</v>
      </c>
      <c r="E215" s="9" t="n">
        <v>9</v>
      </c>
      <c r="F215" s="9" t="n">
        <v>12.3</v>
      </c>
      <c r="G215" s="9" t="n">
        <f aca="false">G214+D215</f>
        <v>1743.6</v>
      </c>
      <c r="H215" s="9" t="n">
        <f aca="false">H214+D215</f>
        <v>151</v>
      </c>
      <c r="J215" s="9" t="n">
        <v>0.1</v>
      </c>
      <c r="K215" s="9" t="n">
        <f aca="false">K214+J215</f>
        <v>340.7</v>
      </c>
      <c r="L215" s="9" t="n">
        <v>2.4</v>
      </c>
      <c r="M215" s="9" t="n">
        <f aca="false">M214+L215</f>
        <v>235</v>
      </c>
      <c r="N215" s="14" t="n">
        <f aca="false">J215-L215</f>
        <v>-2.3</v>
      </c>
      <c r="O215" s="9" t="n">
        <f aca="false">O214+N215</f>
        <v>175.9</v>
      </c>
      <c r="P215" s="9" t="n">
        <v>210</v>
      </c>
      <c r="Q215" s="17" t="n">
        <f aca="false">1+((P215-189)/35)*(1.15-1)</f>
        <v>1.09</v>
      </c>
      <c r="R215" s="15" t="n">
        <f aca="false">Q215*L215</f>
        <v>2.616</v>
      </c>
      <c r="S215" s="15" t="n">
        <f aca="false">J215-R215</f>
        <v>-2.516</v>
      </c>
      <c r="T215" s="15" t="n">
        <f aca="false">MIN(197.4,(T214+S215))</f>
        <v>180.418285714286</v>
      </c>
      <c r="V215" s="9" t="n">
        <v>1496.2</v>
      </c>
      <c r="W215" s="9" t="n">
        <f aca="false">V215/D215</f>
        <v>139.831775700935</v>
      </c>
      <c r="X215" s="9" t="n">
        <f aca="false">X214+V215</f>
        <v>135460.8</v>
      </c>
      <c r="Y215" s="9" t="n">
        <f aca="false">Y214+V215</f>
        <v>22163.4</v>
      </c>
      <c r="AA215" s="9" t="n">
        <v>12.6928950949179</v>
      </c>
    </row>
    <row r="216" s="9" customFormat="true" ht="15" hidden="false" customHeight="false" outlineLevel="0" collapsed="false">
      <c r="A216" s="46"/>
      <c r="B216" s="11"/>
      <c r="C216" s="12" t="n">
        <v>42094</v>
      </c>
      <c r="D216" s="9" t="n">
        <v>10.9</v>
      </c>
      <c r="E216" s="9" t="n">
        <v>10</v>
      </c>
      <c r="F216" s="9" t="n">
        <v>13.1</v>
      </c>
      <c r="G216" s="9" t="n">
        <f aca="false">G215+D216</f>
        <v>1754.5</v>
      </c>
      <c r="H216" s="9" t="n">
        <f aca="false">H215+D216</f>
        <v>161.9</v>
      </c>
      <c r="J216" s="9" t="n">
        <v>0.4</v>
      </c>
      <c r="K216" s="9" t="n">
        <f aca="false">K215+J216</f>
        <v>341.1</v>
      </c>
      <c r="L216" s="9" t="n">
        <v>2.9</v>
      </c>
      <c r="M216" s="9" t="n">
        <f aca="false">M215+L216</f>
        <v>237.9</v>
      </c>
      <c r="N216" s="14" t="n">
        <f aca="false">J216-L216</f>
        <v>-2.5</v>
      </c>
      <c r="O216" s="9" t="n">
        <f aca="false">O215+N216</f>
        <v>173.4</v>
      </c>
      <c r="P216" s="9" t="n">
        <v>211</v>
      </c>
      <c r="Q216" s="17" t="n">
        <f aca="false">1+((P216-189)/35)*(1.15-1)</f>
        <v>1.09428571428571</v>
      </c>
      <c r="R216" s="15" t="n">
        <f aca="false">Q216*L216</f>
        <v>3.17342857142857</v>
      </c>
      <c r="S216" s="15" t="n">
        <f aca="false">J216-R216</f>
        <v>-2.77342857142857</v>
      </c>
      <c r="T216" s="15" t="n">
        <f aca="false">MIN(197.4,(T215+S216))</f>
        <v>177.644857142857</v>
      </c>
      <c r="V216" s="9" t="n">
        <v>1511.9</v>
      </c>
      <c r="W216" s="9" t="n">
        <f aca="false">V216/D216</f>
        <v>138.706422018349</v>
      </c>
      <c r="X216" s="9" t="n">
        <f aca="false">X215+V216</f>
        <v>136972.7</v>
      </c>
      <c r="Y216" s="9" t="n">
        <f aca="false">Y215+V216</f>
        <v>23675.3</v>
      </c>
      <c r="AA216" s="9" t="n">
        <v>12.7523314769699</v>
      </c>
    </row>
    <row r="217" s="9" customFormat="true" ht="15" hidden="false" customHeight="false" outlineLevel="0" collapsed="false">
      <c r="A217" s="46"/>
      <c r="B217" s="11"/>
      <c r="C217" s="12" t="n">
        <v>42095</v>
      </c>
      <c r="D217" s="9" t="n">
        <v>8</v>
      </c>
      <c r="E217" s="20" t="n">
        <v>4.8</v>
      </c>
      <c r="F217" s="9" t="n">
        <v>10.9</v>
      </c>
      <c r="G217" s="9" t="n">
        <f aca="false">G216+D217</f>
        <v>1762.5</v>
      </c>
      <c r="H217" s="9" t="n">
        <f aca="false">H216+D217</f>
        <v>169.9</v>
      </c>
      <c r="J217" s="9" t="n">
        <v>0</v>
      </c>
      <c r="K217" s="9" t="n">
        <f aca="false">K216+J217</f>
        <v>341.1</v>
      </c>
      <c r="L217" s="9" t="n">
        <v>2.3</v>
      </c>
      <c r="M217" s="9" t="n">
        <f aca="false">M216+L217</f>
        <v>240.2</v>
      </c>
      <c r="N217" s="14" t="n">
        <f aca="false">J217-L217</f>
        <v>-2.3</v>
      </c>
      <c r="O217" s="9" t="n">
        <f aca="false">O216+N217</f>
        <v>171.1</v>
      </c>
      <c r="P217" s="9" t="n">
        <v>212</v>
      </c>
      <c r="Q217" s="17" t="n">
        <f aca="false">1+((P217-189)/35)*(1.15-1)</f>
        <v>1.09857142857143</v>
      </c>
      <c r="R217" s="15" t="n">
        <f aca="false">Q217*L217</f>
        <v>2.52671428571429</v>
      </c>
      <c r="S217" s="15" t="n">
        <f aca="false">J217-R217</f>
        <v>-2.52671428571429</v>
      </c>
      <c r="T217" s="15" t="n">
        <f aca="false">MIN(197.4,(T216+S217))</f>
        <v>175.118142857143</v>
      </c>
      <c r="V217" s="9" t="n">
        <v>1399.6</v>
      </c>
      <c r="W217" s="9" t="n">
        <f aca="false">V217/D217</f>
        <v>174.95</v>
      </c>
      <c r="X217" s="9" t="n">
        <f aca="false">X216+V217</f>
        <v>138372.3</v>
      </c>
      <c r="Y217" s="9" t="n">
        <f aca="false">Y216+V217</f>
        <v>25074.9</v>
      </c>
      <c r="AA217" s="9" t="n">
        <v>12.8116933143195</v>
      </c>
    </row>
    <row r="218" s="9" customFormat="true" ht="15" hidden="false" customHeight="false" outlineLevel="0" collapsed="false">
      <c r="A218" s="46"/>
      <c r="B218" s="11"/>
      <c r="C218" s="12" t="n">
        <v>42096</v>
      </c>
      <c r="D218" s="9" t="n">
        <v>8.4</v>
      </c>
      <c r="E218" s="9" t="n">
        <v>7.1</v>
      </c>
      <c r="F218" s="9" t="n">
        <v>11</v>
      </c>
      <c r="G218" s="9" t="n">
        <f aca="false">G217+D218</f>
        <v>1770.9</v>
      </c>
      <c r="H218" s="9" t="n">
        <f aca="false">H217+D218</f>
        <v>178.3</v>
      </c>
      <c r="J218" s="9" t="n">
        <v>4</v>
      </c>
      <c r="K218" s="9" t="n">
        <f aca="false">K217+J218</f>
        <v>345.1</v>
      </c>
      <c r="L218" s="9" t="n">
        <v>0.9</v>
      </c>
      <c r="M218" s="9" t="n">
        <f aca="false">M217+L218</f>
        <v>241.1</v>
      </c>
      <c r="N218" s="9" t="n">
        <f aca="false">J218-L218</f>
        <v>3.1</v>
      </c>
      <c r="O218" s="9" t="n">
        <f aca="false">O217+N218</f>
        <v>174.2</v>
      </c>
      <c r="P218" s="9" t="n">
        <v>213</v>
      </c>
      <c r="Q218" s="17" t="n">
        <f aca="false">1+((P218-189)/35)*(1.15-1)</f>
        <v>1.10285714285714</v>
      </c>
      <c r="R218" s="15" t="n">
        <f aca="false">Q218*L218</f>
        <v>0.992571428571429</v>
      </c>
      <c r="S218" s="15" t="n">
        <f aca="false">J218-R218</f>
        <v>3.00742857142857</v>
      </c>
      <c r="T218" s="15" t="n">
        <f aca="false">MIN(197.4,(T217+S218))</f>
        <v>178.125571428571</v>
      </c>
      <c r="V218" s="19" t="n">
        <v>461.3</v>
      </c>
      <c r="W218" s="9" t="n">
        <f aca="false">V218/D218</f>
        <v>54.9166666666667</v>
      </c>
      <c r="X218" s="9" t="n">
        <f aca="false">X217+V218</f>
        <v>138833.6</v>
      </c>
      <c r="Y218" s="9" t="n">
        <f aca="false">Y217+V218</f>
        <v>25536.2</v>
      </c>
      <c r="AA218" s="9" t="n">
        <v>12.8709740456715</v>
      </c>
    </row>
    <row r="219" s="9" customFormat="true" ht="15" hidden="false" customHeight="false" outlineLevel="0" collapsed="false">
      <c r="A219" s="46"/>
      <c r="B219" s="11"/>
      <c r="C219" s="12" t="n">
        <v>42097</v>
      </c>
      <c r="D219" s="9" t="n">
        <v>8.5</v>
      </c>
      <c r="E219" s="9" t="n">
        <v>7.1</v>
      </c>
      <c r="F219" s="9" t="n">
        <v>10.4</v>
      </c>
      <c r="G219" s="9" t="n">
        <f aca="false">G218+D219</f>
        <v>1779.4</v>
      </c>
      <c r="H219" s="9" t="n">
        <f aca="false">H218+D219</f>
        <v>186.8</v>
      </c>
      <c r="J219" s="9" t="n">
        <v>9.2</v>
      </c>
      <c r="K219" s="9" t="n">
        <f aca="false">K218+J219</f>
        <v>354.3</v>
      </c>
      <c r="L219" s="9" t="n">
        <v>0.6</v>
      </c>
      <c r="M219" s="9" t="n">
        <f aca="false">M218+L219</f>
        <v>241.7</v>
      </c>
      <c r="N219" s="9" t="n">
        <f aca="false">J219-L219</f>
        <v>8.6</v>
      </c>
      <c r="O219" s="9" t="n">
        <f aca="false">O218+N219</f>
        <v>182.8</v>
      </c>
      <c r="P219" s="9" t="n">
        <v>214</v>
      </c>
      <c r="Q219" s="17" t="n">
        <f aca="false">1+((P219-189)/35)*(1.15-1)</f>
        <v>1.10714285714286</v>
      </c>
      <c r="R219" s="15" t="n">
        <f aca="false">Q219*L219</f>
        <v>0.664285714285714</v>
      </c>
      <c r="S219" s="15" t="n">
        <f aca="false">J219-R219</f>
        <v>8.53571428571429</v>
      </c>
      <c r="T219" s="15" t="n">
        <f aca="false">MIN(197.4,(T218+S219))</f>
        <v>186.661285714286</v>
      </c>
      <c r="V219" s="19" t="n">
        <v>317.1</v>
      </c>
      <c r="W219" s="9" t="n">
        <f aca="false">V219/D219</f>
        <v>37.3058823529412</v>
      </c>
      <c r="X219" s="9" t="n">
        <f aca="false">X218+V219</f>
        <v>139150.7</v>
      </c>
      <c r="Y219" s="9" t="n">
        <f aca="false">Y218+V219</f>
        <v>25853.3</v>
      </c>
      <c r="AA219" s="9" t="n">
        <v>12.9301669481539</v>
      </c>
    </row>
    <row r="220" s="9" customFormat="true" ht="15" hidden="false" customHeight="false" outlineLevel="0" collapsed="false">
      <c r="A220" s="46"/>
      <c r="B220" s="11"/>
      <c r="C220" s="12" t="n">
        <v>42098</v>
      </c>
      <c r="D220" s="9" t="n">
        <v>7.2</v>
      </c>
      <c r="E220" s="9" t="n">
        <v>6.4</v>
      </c>
      <c r="F220" s="9" t="n">
        <v>9.8</v>
      </c>
      <c r="G220" s="9" t="n">
        <f aca="false">G219+D220</f>
        <v>1786.6</v>
      </c>
      <c r="H220" s="9" t="n">
        <f aca="false">H219+D220</f>
        <v>194</v>
      </c>
      <c r="J220" s="9" t="n">
        <v>0.9</v>
      </c>
      <c r="K220" s="9" t="n">
        <f aca="false">K219+J220</f>
        <v>355.2</v>
      </c>
      <c r="L220" s="9" t="n">
        <v>1</v>
      </c>
      <c r="M220" s="9" t="n">
        <f aca="false">M219+L220</f>
        <v>242.7</v>
      </c>
      <c r="N220" s="14" t="n">
        <f aca="false">J220-L220</f>
        <v>-0.1</v>
      </c>
      <c r="O220" s="9" t="n">
        <f aca="false">O219+N220</f>
        <v>182.7</v>
      </c>
      <c r="P220" s="9" t="n">
        <v>215</v>
      </c>
      <c r="Q220" s="17" t="n">
        <f aca="false">1+((P220-189)/35)*(1.15-1)</f>
        <v>1.11142857142857</v>
      </c>
      <c r="R220" s="15" t="n">
        <f aca="false">Q220*L220</f>
        <v>1.11142857142857</v>
      </c>
      <c r="S220" s="15" t="n">
        <f aca="false">J220-R220</f>
        <v>-0.211428571428571</v>
      </c>
      <c r="T220" s="15" t="n">
        <f aca="false">MIN(197.4,(T219+S220))</f>
        <v>186.449857142857</v>
      </c>
      <c r="V220" s="19" t="n">
        <v>753.7</v>
      </c>
      <c r="W220" s="9" t="n">
        <f aca="false">V220/D220</f>
        <v>104.680555555556</v>
      </c>
      <c r="X220" s="9" t="n">
        <f aca="false">X219+V220</f>
        <v>139904.4</v>
      </c>
      <c r="Y220" s="9" t="n">
        <f aca="false">Y219+V220</f>
        <v>26607</v>
      </c>
      <c r="AA220" s="9" t="n">
        <v>12.9892651204229</v>
      </c>
    </row>
    <row r="221" s="9" customFormat="true" ht="15" hidden="false" customHeight="false" outlineLevel="0" collapsed="false">
      <c r="A221" s="46"/>
      <c r="B221" s="11"/>
      <c r="C221" s="12" t="n">
        <v>42099</v>
      </c>
      <c r="D221" s="9" t="n">
        <v>5.8</v>
      </c>
      <c r="E221" s="20" t="n">
        <v>1.6</v>
      </c>
      <c r="F221" s="9" t="n">
        <v>10.2</v>
      </c>
      <c r="G221" s="9" t="n">
        <f aca="false">G220+D221</f>
        <v>1792.4</v>
      </c>
      <c r="H221" s="9" t="n">
        <f aca="false">H220+D221</f>
        <v>199.8</v>
      </c>
      <c r="J221" s="9" t="n">
        <v>0</v>
      </c>
      <c r="K221" s="9" t="n">
        <f aca="false">K220+J221</f>
        <v>355.2</v>
      </c>
      <c r="L221" s="9" t="n">
        <v>2.1</v>
      </c>
      <c r="M221" s="9" t="n">
        <f aca="false">M220+L221</f>
        <v>244.8</v>
      </c>
      <c r="N221" s="14" t="n">
        <f aca="false">J221-L221</f>
        <v>-2.1</v>
      </c>
      <c r="O221" s="9" t="n">
        <f aca="false">O220+N221</f>
        <v>180.6</v>
      </c>
      <c r="P221" s="9" t="n">
        <v>216</v>
      </c>
      <c r="Q221" s="17" t="n">
        <f aca="false">1+((P221-189)/35)*(1.15-1)</f>
        <v>1.11571428571429</v>
      </c>
      <c r="R221" s="15" t="n">
        <f aca="false">Q221*L221</f>
        <v>2.343</v>
      </c>
      <c r="S221" s="15" t="n">
        <f aca="false">J221-R221</f>
        <v>-2.343</v>
      </c>
      <c r="T221" s="15" t="n">
        <f aca="false">MIN(197.4,(T220+S221))</f>
        <v>184.106857142857</v>
      </c>
      <c r="V221" s="9" t="n">
        <v>1611.7</v>
      </c>
      <c r="W221" s="9" t="n">
        <f aca="false">V221/D221</f>
        <v>277.879310344828</v>
      </c>
      <c r="X221" s="9" t="n">
        <f aca="false">X220+V221</f>
        <v>141516.1</v>
      </c>
      <c r="Y221" s="9" t="n">
        <f aca="false">Y220+V221</f>
        <v>28218.7</v>
      </c>
      <c r="AA221" s="9" t="n">
        <v>13.0482614658459</v>
      </c>
    </row>
    <row r="222" s="50" customFormat="true" ht="15" hidden="false" customHeight="false" outlineLevel="0" collapsed="false">
      <c r="A222" s="46"/>
      <c r="B222" s="48"/>
      <c r="C222" s="49" t="n">
        <v>42100</v>
      </c>
      <c r="D222" s="50" t="n">
        <v>7.1</v>
      </c>
      <c r="E222" s="51" t="n">
        <v>0</v>
      </c>
      <c r="F222" s="50" t="n">
        <v>13</v>
      </c>
      <c r="G222" s="50" t="n">
        <f aca="false">G221+D222</f>
        <v>1799.5</v>
      </c>
      <c r="H222" s="50" t="n">
        <f aca="false">H221+D222</f>
        <v>206.9</v>
      </c>
      <c r="J222" s="50" t="n">
        <v>0</v>
      </c>
      <c r="K222" s="50" t="n">
        <f aca="false">K221+J222</f>
        <v>355.2</v>
      </c>
      <c r="L222" s="50" t="n">
        <v>2.4</v>
      </c>
      <c r="M222" s="50" t="n">
        <f aca="false">M221+L222</f>
        <v>247.2</v>
      </c>
      <c r="N222" s="52" t="n">
        <f aca="false">J222-L222</f>
        <v>-2.4</v>
      </c>
      <c r="O222" s="50" t="n">
        <f aca="false">O221+N222</f>
        <v>178.2</v>
      </c>
      <c r="P222" s="50" t="n">
        <v>217</v>
      </c>
      <c r="Q222" s="17" t="n">
        <f aca="false">1+((P222-189)/35)*(1.15-1)</f>
        <v>1.12</v>
      </c>
      <c r="R222" s="53" t="n">
        <f aca="false">Q222*L222</f>
        <v>2.688</v>
      </c>
      <c r="S222" s="53" t="n">
        <f aca="false">J222-R222</f>
        <v>-2.688</v>
      </c>
      <c r="T222" s="15" t="n">
        <f aca="false">MIN(197.4,(T221+S222))</f>
        <v>181.418857142857</v>
      </c>
      <c r="V222" s="50" t="n">
        <v>1877.2</v>
      </c>
      <c r="W222" s="50" t="n">
        <f aca="false">V222/D222</f>
        <v>264.394366197183</v>
      </c>
      <c r="X222" s="50" t="n">
        <f aca="false">X221+V222</f>
        <v>143393.3</v>
      </c>
      <c r="Y222" s="9" t="n">
        <f aca="false">Y221+V222</f>
        <v>30095.9</v>
      </c>
      <c r="AA222" s="9" t="n">
        <v>13.1071486757708</v>
      </c>
    </row>
    <row r="223" s="9" customFormat="true" ht="15" hidden="false" customHeight="false" outlineLevel="0" collapsed="false">
      <c r="A223" s="46"/>
      <c r="B223" s="54"/>
      <c r="C223" s="55" t="n">
        <v>42101</v>
      </c>
      <c r="D223" s="9" t="n">
        <v>7.9</v>
      </c>
      <c r="E223" s="9" t="n">
        <v>1.7</v>
      </c>
      <c r="F223" s="9" t="n">
        <v>13.1</v>
      </c>
      <c r="G223" s="9" t="n">
        <f aca="false">G222+D223</f>
        <v>1807.4</v>
      </c>
      <c r="H223" s="9" t="n">
        <f aca="false">H222+D223</f>
        <v>214.8</v>
      </c>
      <c r="J223" s="9" t="n">
        <v>0</v>
      </c>
      <c r="K223" s="9" t="n">
        <f aca="false">K222+J223</f>
        <v>355.2</v>
      </c>
      <c r="L223" s="9" t="n">
        <v>2.8</v>
      </c>
      <c r="M223" s="9" t="n">
        <f aca="false">M222+L223</f>
        <v>250</v>
      </c>
      <c r="N223" s="9" t="n">
        <f aca="false">J223-L223</f>
        <v>-2.8</v>
      </c>
      <c r="O223" s="9" t="n">
        <f aca="false">O222+N223</f>
        <v>175.4</v>
      </c>
      <c r="P223" s="9" t="n">
        <v>218</v>
      </c>
      <c r="Q223" s="17" t="n">
        <f aca="false">1+((P223-189)/35)*(1.15-1)</f>
        <v>1.12428571428571</v>
      </c>
      <c r="R223" s="15" t="n">
        <f aca="false">Q223*L223</f>
        <v>3.148</v>
      </c>
      <c r="S223" s="15" t="n">
        <f aca="false">J223-R223</f>
        <v>-3.148</v>
      </c>
      <c r="T223" s="15" t="n">
        <f aca="false">MIN(197.4,(T222+S223))</f>
        <v>178.270857142857</v>
      </c>
      <c r="V223" s="9" t="n">
        <v>2058.9</v>
      </c>
      <c r="W223" s="9" t="n">
        <f aca="false">V223/D223</f>
        <v>260.620253164557</v>
      </c>
      <c r="X223" s="9" t="n">
        <f aca="false">X222+V223</f>
        <v>145452.2</v>
      </c>
      <c r="Y223" s="9" t="n">
        <f aca="false">Y222+V223</f>
        <v>32154.8</v>
      </c>
      <c r="AA223" s="9" t="n">
        <v>13.1659192128855</v>
      </c>
    </row>
    <row r="224" s="9" customFormat="true" ht="15" hidden="false" customHeight="false" outlineLevel="0" collapsed="false">
      <c r="A224" s="46"/>
      <c r="B224" s="54"/>
      <c r="C224" s="12" t="n">
        <v>42102</v>
      </c>
      <c r="D224" s="9" t="n">
        <v>9.1</v>
      </c>
      <c r="E224" s="20" t="n">
        <v>1.3</v>
      </c>
      <c r="F224" s="9" t="n">
        <v>15.9</v>
      </c>
      <c r="G224" s="9" t="n">
        <f aca="false">G223+D224</f>
        <v>1816.5</v>
      </c>
      <c r="H224" s="9" t="n">
        <f aca="false">H223+D224</f>
        <v>223.9</v>
      </c>
      <c r="J224" s="9" t="n">
        <v>0</v>
      </c>
      <c r="K224" s="9" t="n">
        <f aca="false">K223+J224</f>
        <v>355.2</v>
      </c>
      <c r="L224" s="9" t="n">
        <v>2.9</v>
      </c>
      <c r="M224" s="9" t="n">
        <f aca="false">M223+L224</f>
        <v>252.9</v>
      </c>
      <c r="N224" s="14" t="n">
        <f aca="false">J224-L224</f>
        <v>-2.9</v>
      </c>
      <c r="O224" s="9" t="n">
        <f aca="false">O223+N224</f>
        <v>172.5</v>
      </c>
      <c r="P224" s="9" t="n">
        <v>219</v>
      </c>
      <c r="Q224" s="17" t="n">
        <f aca="false">1+((P224-189)/35)*(1.15-1)</f>
        <v>1.12857142857143</v>
      </c>
      <c r="R224" s="15" t="n">
        <f aca="false">Q224*L224</f>
        <v>3.27285714285714</v>
      </c>
      <c r="S224" s="15" t="n">
        <f aca="false">J224-R224</f>
        <v>-3.27285714285714</v>
      </c>
      <c r="T224" s="15" t="n">
        <f aca="false">MIN(197.4,(T223+S224))</f>
        <v>174.998</v>
      </c>
      <c r="V224" s="9" t="n">
        <v>1932.3</v>
      </c>
      <c r="W224" s="9" t="n">
        <f aca="false">V224/D224</f>
        <v>212.340659340659</v>
      </c>
      <c r="X224" s="9" t="n">
        <f aca="false">X223+V224</f>
        <v>147384.5</v>
      </c>
      <c r="Y224" s="9" t="n">
        <f aca="false">Y223+V224</f>
        <v>34087.1</v>
      </c>
      <c r="AA224" s="9" t="n">
        <v>13.2245652946806</v>
      </c>
    </row>
    <row r="225" s="9" customFormat="true" ht="15" hidden="false" customHeight="false" outlineLevel="0" collapsed="false">
      <c r="A225" s="46"/>
      <c r="B225" s="54"/>
      <c r="C225" s="12" t="n">
        <v>42103</v>
      </c>
      <c r="D225" s="9" t="n">
        <v>11.7</v>
      </c>
      <c r="E225" s="20" t="n">
        <v>2.5</v>
      </c>
      <c r="F225" s="9" t="n">
        <v>19.2</v>
      </c>
      <c r="G225" s="9" t="n">
        <f aca="false">G224+D225</f>
        <v>1828.2</v>
      </c>
      <c r="H225" s="9" t="n">
        <f aca="false">H224+D225</f>
        <v>235.6</v>
      </c>
      <c r="J225" s="9" t="n">
        <v>0</v>
      </c>
      <c r="K225" s="9" t="n">
        <f aca="false">K224+J225</f>
        <v>355.2</v>
      </c>
      <c r="L225" s="9" t="n">
        <v>3.1</v>
      </c>
      <c r="M225" s="9" t="n">
        <f aca="false">M224+L225</f>
        <v>256</v>
      </c>
      <c r="N225" s="14" t="n">
        <f aca="false">J225-L225</f>
        <v>-3.1</v>
      </c>
      <c r="O225" s="9" t="n">
        <f aca="false">O224+N225</f>
        <v>169.4</v>
      </c>
      <c r="P225" s="9" t="n">
        <v>220</v>
      </c>
      <c r="Q225" s="17" t="n">
        <f aca="false">1+((P225-189)/35)*(1.15-1)</f>
        <v>1.13285714285714</v>
      </c>
      <c r="R225" s="15" t="n">
        <f aca="false">Q225*L225</f>
        <v>3.51185714285714</v>
      </c>
      <c r="S225" s="15" t="n">
        <f aca="false">J225-R225</f>
        <v>-3.51185714285714</v>
      </c>
      <c r="T225" s="15" t="n">
        <f aca="false">MIN(197.4,(T224+S225))</f>
        <v>171.486142857143</v>
      </c>
      <c r="V225" s="9" t="n">
        <v>1891.6</v>
      </c>
      <c r="W225" s="9" t="n">
        <f aca="false">V225/D225</f>
        <v>161.675213675214</v>
      </c>
      <c r="X225" s="9" t="n">
        <f aca="false">X224+V225</f>
        <v>149276.1</v>
      </c>
      <c r="Y225" s="9" t="n">
        <f aca="false">Y224+V225</f>
        <v>35978.7</v>
      </c>
      <c r="AA225" s="9" t="n">
        <v>13.2830788770229</v>
      </c>
    </row>
    <row r="226" s="9" customFormat="true" ht="15" hidden="false" customHeight="false" outlineLevel="0" collapsed="false">
      <c r="A226" s="46"/>
      <c r="B226" s="54"/>
      <c r="C226" s="12" t="n">
        <v>42104</v>
      </c>
      <c r="D226" s="9" t="n">
        <v>13.4</v>
      </c>
      <c r="E226" s="9" t="n">
        <v>5.6</v>
      </c>
      <c r="F226" s="9" t="n">
        <v>20.7</v>
      </c>
      <c r="G226" s="9" t="n">
        <f aca="false">G225+D226</f>
        <v>1841.6</v>
      </c>
      <c r="H226" s="9" t="n">
        <f aca="false">H225+D226</f>
        <v>249</v>
      </c>
      <c r="J226" s="9" t="n">
        <v>0</v>
      </c>
      <c r="K226" s="9" t="n">
        <f aca="false">K225+J226</f>
        <v>355.2</v>
      </c>
      <c r="L226" s="9" t="n">
        <v>3.6</v>
      </c>
      <c r="M226" s="9" t="n">
        <f aca="false">M225+L226</f>
        <v>259.6</v>
      </c>
      <c r="N226" s="14" t="n">
        <f aca="false">J226-L226</f>
        <v>-3.6</v>
      </c>
      <c r="O226" s="9" t="n">
        <f aca="false">O225+N226</f>
        <v>165.8</v>
      </c>
      <c r="P226" s="9" t="n">
        <v>221</v>
      </c>
      <c r="Q226" s="17" t="n">
        <f aca="false">1+((P226-189)/35)*(1.15-1)</f>
        <v>1.13714285714286</v>
      </c>
      <c r="R226" s="15" t="n">
        <f aca="false">Q226*L226</f>
        <v>4.09371428571429</v>
      </c>
      <c r="S226" s="15" t="n">
        <f aca="false">J226-R226</f>
        <v>-4.09371428571429</v>
      </c>
      <c r="T226" s="15" t="n">
        <f aca="false">MIN(197.4,(T225+S226))</f>
        <v>167.392428571429</v>
      </c>
      <c r="V226" s="9" t="n">
        <v>1849.5</v>
      </c>
      <c r="W226" s="9" t="n">
        <f aca="false">V226/D226</f>
        <v>138.022388059701</v>
      </c>
      <c r="X226" s="9" t="n">
        <f aca="false">X225+V226</f>
        <v>151125.6</v>
      </c>
      <c r="Y226" s="9" t="n">
        <f aca="false">Y225+V226</f>
        <v>37828.2</v>
      </c>
      <c r="AA226" s="9" t="n">
        <v>13.3414516378566</v>
      </c>
    </row>
    <row r="227" s="9" customFormat="true" ht="15" hidden="false" customHeight="false" outlineLevel="0" collapsed="false">
      <c r="A227" s="46"/>
      <c r="B227" s="54"/>
      <c r="C227" s="12" t="n">
        <v>42105</v>
      </c>
      <c r="D227" s="9" t="n">
        <v>11.8</v>
      </c>
      <c r="E227" s="9" t="n">
        <v>11.6</v>
      </c>
      <c r="F227" s="9" t="n">
        <v>14.4</v>
      </c>
      <c r="G227" s="9" t="n">
        <f aca="false">G226+D227</f>
        <v>1853.4</v>
      </c>
      <c r="H227" s="9" t="n">
        <f aca="false">H226+D227</f>
        <v>260.8</v>
      </c>
      <c r="J227" s="9" t="n">
        <v>2</v>
      </c>
      <c r="K227" s="9" t="n">
        <f aca="false">K226+J227</f>
        <v>357.2</v>
      </c>
      <c r="L227" s="9" t="n">
        <v>1.8</v>
      </c>
      <c r="M227" s="9" t="n">
        <f aca="false">M226+L227</f>
        <v>261.4</v>
      </c>
      <c r="N227" s="9" t="n">
        <f aca="false">J227-L227</f>
        <v>0.2</v>
      </c>
      <c r="O227" s="9" t="n">
        <f aca="false">O226+N227</f>
        <v>166</v>
      </c>
      <c r="P227" s="9" t="n">
        <v>222</v>
      </c>
      <c r="Q227" s="17" t="n">
        <f aca="false">1+((P227-189)/35)*(1.15-1)</f>
        <v>1.14142857142857</v>
      </c>
      <c r="R227" s="15" t="n">
        <f aca="false">Q227*L227</f>
        <v>2.05457142857143</v>
      </c>
      <c r="S227" s="15" t="n">
        <f aca="false">J227-R227</f>
        <v>-0.0545714285714287</v>
      </c>
      <c r="T227" s="15" t="n">
        <f aca="false">MIN(197.4,(T226+S227))</f>
        <v>167.337857142857</v>
      </c>
      <c r="V227" s="9" t="n">
        <v>794.9</v>
      </c>
      <c r="W227" s="9" t="n">
        <f aca="false">V227/D227</f>
        <v>67.364406779661</v>
      </c>
      <c r="X227" s="9" t="n">
        <f aca="false">X226+V227</f>
        <v>151920.5</v>
      </c>
      <c r="Y227" s="9" t="n">
        <f aca="false">Y226+V227</f>
        <v>38623.1</v>
      </c>
      <c r="AA227" s="9" t="n">
        <v>13.3996749610478</v>
      </c>
    </row>
    <row r="228" s="9" customFormat="true" ht="15" hidden="false" customHeight="false" outlineLevel="0" collapsed="false">
      <c r="A228" s="46"/>
      <c r="B228" s="54"/>
      <c r="C228" s="12" t="n">
        <v>42106</v>
      </c>
      <c r="D228" s="9" t="n">
        <v>11.6</v>
      </c>
      <c r="E228" s="20" t="n">
        <v>3.7</v>
      </c>
      <c r="F228" s="9" t="n">
        <v>17.5</v>
      </c>
      <c r="G228" s="9" t="n">
        <f aca="false">G227+D228</f>
        <v>1865</v>
      </c>
      <c r="H228" s="9" t="n">
        <f aca="false">H227+D228</f>
        <v>272.4</v>
      </c>
      <c r="J228" s="9" t="n">
        <v>0</v>
      </c>
      <c r="K228" s="9" t="n">
        <f aca="false">K227+J228</f>
        <v>357.2</v>
      </c>
      <c r="L228" s="9" t="n">
        <v>1.9</v>
      </c>
      <c r="M228" s="9" t="n">
        <f aca="false">M227+L228</f>
        <v>263.3</v>
      </c>
      <c r="N228" s="14" t="n">
        <f aca="false">J228-L228</f>
        <v>-1.9</v>
      </c>
      <c r="O228" s="9" t="n">
        <f aca="false">O227+N228</f>
        <v>164.1</v>
      </c>
      <c r="P228" s="9" t="n">
        <v>223</v>
      </c>
      <c r="Q228" s="17" t="n">
        <f aca="false">1+((P228-189)/35)*(1.15-1)</f>
        <v>1.14571428571429</v>
      </c>
      <c r="R228" s="15" t="n">
        <f aca="false">Q228*L228</f>
        <v>2.17685714285714</v>
      </c>
      <c r="S228" s="15" t="n">
        <f aca="false">J228-R228</f>
        <v>-2.17685714285714</v>
      </c>
      <c r="T228" s="15" t="n">
        <f aca="false">MIN(197.4,(T227+S228))</f>
        <v>165.161</v>
      </c>
      <c r="V228" s="9" t="n">
        <v>1293.2</v>
      </c>
      <c r="W228" s="9" t="n">
        <f aca="false">V228/D228</f>
        <v>111.48275862069</v>
      </c>
      <c r="X228" s="9" t="n">
        <f aca="false">X227+V228</f>
        <v>153213.7</v>
      </c>
      <c r="Y228" s="9" t="n">
        <f aca="false">Y227+V228</f>
        <v>39916.3</v>
      </c>
      <c r="AA228" s="9" t="n">
        <v>13.4577399203893</v>
      </c>
    </row>
    <row r="229" s="24" customFormat="true" ht="15" hidden="false" customHeight="false" outlineLevel="0" collapsed="false">
      <c r="A229" s="46"/>
      <c r="B229" s="21"/>
      <c r="C229" s="56" t="n">
        <v>42107</v>
      </c>
      <c r="D229" s="24" t="n">
        <v>13</v>
      </c>
      <c r="E229" s="24" t="n">
        <v>5.3</v>
      </c>
      <c r="F229" s="24" t="n">
        <v>19.1</v>
      </c>
      <c r="G229" s="24" t="n">
        <f aca="false">G228+D229</f>
        <v>1878</v>
      </c>
      <c r="H229" s="24" t="n">
        <f aca="false">H228+D229</f>
        <v>285.4</v>
      </c>
      <c r="J229" s="24" t="n">
        <v>0</v>
      </c>
      <c r="K229" s="24" t="n">
        <f aca="false">K228+J229</f>
        <v>357.2</v>
      </c>
      <c r="L229" s="24" t="n">
        <v>3.3</v>
      </c>
      <c r="M229" s="24" t="n">
        <f aca="false">M228+L229</f>
        <v>266.6</v>
      </c>
      <c r="N229" s="57" t="n">
        <f aca="false">J229-L229</f>
        <v>-3.3</v>
      </c>
      <c r="O229" s="24" t="n">
        <f aca="false">O228+N229</f>
        <v>160.8</v>
      </c>
      <c r="P229" s="24" t="n">
        <v>224</v>
      </c>
      <c r="Q229" s="58" t="n">
        <f aca="false">1+((P229-189)/35)*(1.15-1)</f>
        <v>1.15</v>
      </c>
      <c r="R229" s="26" t="n">
        <f aca="false">Q229*L229</f>
        <v>3.795</v>
      </c>
      <c r="S229" s="26" t="n">
        <f aca="false">J229-R229</f>
        <v>-3.795</v>
      </c>
      <c r="T229" s="59" t="n">
        <f aca="false">MIN(197.4,(T228+S229))</f>
        <v>161.366</v>
      </c>
      <c r="V229" s="24" t="n">
        <v>2079.6</v>
      </c>
      <c r="W229" s="24" t="n">
        <f aca="false">V229/D229</f>
        <v>159.969230769231</v>
      </c>
      <c r="X229" s="24" t="n">
        <f aca="false">X228+V229</f>
        <v>155293.3</v>
      </c>
      <c r="Y229" s="60" t="n">
        <f aca="false">Y228+V229</f>
        <v>41995.9</v>
      </c>
      <c r="AA229" s="60" t="n">
        <v>13.5156372637911</v>
      </c>
    </row>
    <row r="230" s="9" customFormat="true" ht="15" hidden="false" customHeight="false" outlineLevel="0" collapsed="false">
      <c r="A230" s="61" t="s">
        <v>54</v>
      </c>
      <c r="C230" s="12" t="n">
        <v>42108</v>
      </c>
      <c r="D230" s="9" t="n">
        <v>15.6</v>
      </c>
      <c r="E230" s="9" t="n">
        <v>7.8</v>
      </c>
      <c r="F230" s="9" t="n">
        <v>22.8</v>
      </c>
      <c r="G230" s="9" t="n">
        <f aca="false">G229+D230</f>
        <v>1893.6</v>
      </c>
      <c r="H230" s="9" t="n">
        <v>15.6</v>
      </c>
      <c r="I230" s="62" t="s">
        <v>28</v>
      </c>
      <c r="J230" s="9" t="n">
        <v>0</v>
      </c>
      <c r="K230" s="9" t="n">
        <f aca="false">K229+J230</f>
        <v>357.2</v>
      </c>
      <c r="L230" s="9" t="n">
        <v>3.8</v>
      </c>
      <c r="M230" s="9" t="n">
        <f aca="false">M229+L230</f>
        <v>270.4</v>
      </c>
      <c r="N230" s="14" t="n">
        <f aca="false">J230-L230</f>
        <v>-3.8</v>
      </c>
      <c r="O230" s="9" t="n">
        <f aca="false">O229+N230</f>
        <v>157</v>
      </c>
      <c r="P230" s="9" t="n">
        <v>225</v>
      </c>
      <c r="Q230" s="9" t="n">
        <v>1.15</v>
      </c>
      <c r="R230" s="15" t="n">
        <f aca="false">Q230*L230</f>
        <v>4.37</v>
      </c>
      <c r="S230" s="15" t="n">
        <f aca="false">J230-R230</f>
        <v>-4.37</v>
      </c>
      <c r="T230" s="15" t="n">
        <f aca="false">MIN(197.4,(T229+S230))</f>
        <v>156.996</v>
      </c>
      <c r="U230" s="62" t="s">
        <v>29</v>
      </c>
      <c r="V230" s="9" t="n">
        <v>2001.5</v>
      </c>
      <c r="W230" s="9" t="n">
        <f aca="false">V230/D230</f>
        <v>128.301282051282</v>
      </c>
      <c r="X230" s="9" t="n">
        <f aca="false">X229+V230</f>
        <v>157294.8</v>
      </c>
      <c r="Y230" s="9" t="n">
        <v>2001.5</v>
      </c>
      <c r="Z230" s="62" t="s">
        <v>30</v>
      </c>
      <c r="AA230" s="9" t="n">
        <v>13.5733573976781</v>
      </c>
    </row>
    <row r="231" s="9" customFormat="true" ht="15" hidden="false" customHeight="false" outlineLevel="0" collapsed="false">
      <c r="A231" s="61"/>
      <c r="C231" s="12" t="n">
        <v>42109</v>
      </c>
      <c r="D231" s="9" t="n">
        <v>16.9</v>
      </c>
      <c r="E231" s="9" t="n">
        <v>9</v>
      </c>
      <c r="F231" s="9" t="n">
        <v>24.1</v>
      </c>
      <c r="G231" s="9" t="n">
        <f aca="false">G230+D231</f>
        <v>1910.5</v>
      </c>
      <c r="H231" s="9" t="n">
        <f aca="false">H230+D231</f>
        <v>32.5</v>
      </c>
      <c r="I231" s="9" t="n">
        <f aca="false">MIN(E230:E250)</f>
        <v>4.5</v>
      </c>
      <c r="J231" s="9" t="n">
        <v>0</v>
      </c>
      <c r="K231" s="9" t="n">
        <f aca="false">K230+J231</f>
        <v>357.2</v>
      </c>
      <c r="L231" s="9" t="n">
        <v>3.5</v>
      </c>
      <c r="M231" s="9" t="n">
        <f aca="false">M230+L231</f>
        <v>273.9</v>
      </c>
      <c r="N231" s="14" t="n">
        <f aca="false">J231-L231</f>
        <v>-3.5</v>
      </c>
      <c r="O231" s="9" t="n">
        <f aca="false">O230+N231</f>
        <v>153.5</v>
      </c>
      <c r="P231" s="9" t="n">
        <v>226</v>
      </c>
      <c r="Q231" s="9" t="n">
        <v>1.15</v>
      </c>
      <c r="R231" s="15" t="n">
        <f aca="false">Q231*L231</f>
        <v>4.025</v>
      </c>
      <c r="S231" s="15" t="n">
        <f aca="false">J231-R231</f>
        <v>-4.025</v>
      </c>
      <c r="T231" s="15" t="n">
        <f aca="false">MIN(197.4,(T230+S231))</f>
        <v>152.971</v>
      </c>
      <c r="U231" s="9" t="n">
        <v>13</v>
      </c>
      <c r="V231" s="9" t="n">
        <v>1952.8</v>
      </c>
      <c r="W231" s="9" t="n">
        <f aca="false">V231/D231</f>
        <v>115.550295857988</v>
      </c>
      <c r="X231" s="9" t="n">
        <f aca="false">X230+V231</f>
        <v>159247.6</v>
      </c>
      <c r="Y231" s="9" t="n">
        <f aca="false">Y230+V231</f>
        <v>3954.3</v>
      </c>
      <c r="Z231" s="9" t="n">
        <v>34493.9</v>
      </c>
      <c r="AA231" s="9" t="n">
        <v>13.6308903716257</v>
      </c>
    </row>
    <row r="232" s="9" customFormat="true" ht="15" hidden="false" customHeight="false" outlineLevel="0" collapsed="false">
      <c r="A232" s="61"/>
      <c r="C232" s="12" t="n">
        <v>42110</v>
      </c>
      <c r="D232" s="9" t="n">
        <v>16.1</v>
      </c>
      <c r="E232" s="9" t="n">
        <v>10.1</v>
      </c>
      <c r="F232" s="9" t="n">
        <v>21.7</v>
      </c>
      <c r="G232" s="9" t="n">
        <f aca="false">G231+D232</f>
        <v>1926.6</v>
      </c>
      <c r="H232" s="9" t="n">
        <f aca="false">H231+D232</f>
        <v>48.6</v>
      </c>
      <c r="I232" s="62" t="s">
        <v>31</v>
      </c>
      <c r="J232" s="9" t="n">
        <v>0.3</v>
      </c>
      <c r="K232" s="9" t="n">
        <f aca="false">K231+J232</f>
        <v>357.5</v>
      </c>
      <c r="L232" s="9" t="n">
        <v>3</v>
      </c>
      <c r="M232" s="9" t="n">
        <f aca="false">M231+L232</f>
        <v>276.9</v>
      </c>
      <c r="N232" s="14" t="n">
        <f aca="false">J232-L232</f>
        <v>-2.7</v>
      </c>
      <c r="O232" s="9" t="n">
        <f aca="false">O231+N232</f>
        <v>150.8</v>
      </c>
      <c r="P232" s="9" t="n">
        <v>227</v>
      </c>
      <c r="Q232" s="9" t="n">
        <v>1.15</v>
      </c>
      <c r="R232" s="15" t="n">
        <f aca="false">Q232*L232</f>
        <v>3.45</v>
      </c>
      <c r="S232" s="15" t="n">
        <f aca="false">J232-R232</f>
        <v>-3.15</v>
      </c>
      <c r="T232" s="15" t="n">
        <f aca="false">MIN(197.4,(T231+S232))</f>
        <v>149.821</v>
      </c>
      <c r="U232" s="62" t="s">
        <v>32</v>
      </c>
      <c r="V232" s="9" t="n">
        <v>1618.8</v>
      </c>
      <c r="W232" s="9" t="n">
        <f aca="false">V232/D232</f>
        <v>100.546583850932</v>
      </c>
      <c r="X232" s="9" t="n">
        <f aca="false">X231+V232</f>
        <v>160866.4</v>
      </c>
      <c r="Y232" s="9" t="n">
        <f aca="false">Y231+V232</f>
        <v>5573.1</v>
      </c>
      <c r="Z232" s="62" t="s">
        <v>33</v>
      </c>
      <c r="AA232" s="9" t="n">
        <v>13.6882258632629</v>
      </c>
    </row>
    <row r="233" s="9" customFormat="true" ht="15" hidden="false" customHeight="false" outlineLevel="0" collapsed="false">
      <c r="A233" s="61"/>
      <c r="C233" s="12" t="n">
        <v>42111</v>
      </c>
      <c r="D233" s="9" t="n">
        <v>13.9</v>
      </c>
      <c r="E233" s="9" t="n">
        <v>12.4</v>
      </c>
      <c r="F233" s="9" t="n">
        <v>17.3</v>
      </c>
      <c r="G233" s="9" t="n">
        <f aca="false">G232+D233</f>
        <v>1940.5</v>
      </c>
      <c r="H233" s="9" t="n">
        <f aca="false">H232+D233</f>
        <v>62.5</v>
      </c>
      <c r="I233" s="9" t="n">
        <f aca="false">MAX(F230:F250)</f>
        <v>24.1</v>
      </c>
      <c r="J233" s="9" t="n">
        <v>2.5</v>
      </c>
      <c r="K233" s="9" t="n">
        <f aca="false">K232+J233</f>
        <v>360</v>
      </c>
      <c r="L233" s="9" t="n">
        <v>1.8</v>
      </c>
      <c r="M233" s="9" t="n">
        <f aca="false">M232+L233</f>
        <v>278.7</v>
      </c>
      <c r="N233" s="9" t="n">
        <f aca="false">J233-L233</f>
        <v>0.7</v>
      </c>
      <c r="O233" s="9" t="n">
        <f aca="false">O232+N233</f>
        <v>151.5</v>
      </c>
      <c r="P233" s="9" t="n">
        <v>228</v>
      </c>
      <c r="Q233" s="9" t="n">
        <v>1.15</v>
      </c>
      <c r="R233" s="15" t="n">
        <f aca="false">Q233*L233</f>
        <v>2.07</v>
      </c>
      <c r="S233" s="15" t="n">
        <f aca="false">J233-R233</f>
        <v>0.43</v>
      </c>
      <c r="T233" s="15" t="n">
        <f aca="false">MIN(197.4,(T232+S233))</f>
        <v>150.251</v>
      </c>
      <c r="U233" s="9" t="n">
        <v>0</v>
      </c>
      <c r="V233" s="9" t="n">
        <v>1031.3</v>
      </c>
      <c r="W233" s="9" t="n">
        <f aca="false">V233/D233</f>
        <v>74.1942446043165</v>
      </c>
      <c r="X233" s="9" t="n">
        <f aca="false">X232+V233</f>
        <v>161897.7</v>
      </c>
      <c r="Y233" s="9" t="n">
        <f aca="false">Y232+V233</f>
        <v>6604.4</v>
      </c>
      <c r="Z233" s="17" t="n">
        <f aca="false">(Z231/100)/I243</f>
        <v>1.28182460052025</v>
      </c>
      <c r="AA233" s="9" t="n">
        <v>13.745353163479</v>
      </c>
    </row>
    <row r="234" s="9" customFormat="true" ht="15" hidden="false" customHeight="false" outlineLevel="0" collapsed="false">
      <c r="A234" s="61"/>
      <c r="C234" s="12" t="n">
        <v>42112</v>
      </c>
      <c r="D234" s="9" t="n">
        <v>11.1</v>
      </c>
      <c r="E234" s="9" t="n">
        <v>7.7</v>
      </c>
      <c r="F234" s="9" t="n">
        <v>14.6</v>
      </c>
      <c r="G234" s="9" t="n">
        <f aca="false">G233+D234</f>
        <v>1951.6</v>
      </c>
      <c r="H234" s="9" t="n">
        <f aca="false">H233+D234</f>
        <v>73.6</v>
      </c>
      <c r="I234" s="62" t="s">
        <v>34</v>
      </c>
      <c r="J234" s="9" t="n">
        <v>0</v>
      </c>
      <c r="K234" s="9" t="n">
        <f aca="false">K233+J234</f>
        <v>360</v>
      </c>
      <c r="L234" s="9" t="n">
        <v>3.9</v>
      </c>
      <c r="M234" s="9" t="n">
        <f aca="false">M233+L234</f>
        <v>282.6</v>
      </c>
      <c r="N234" s="14" t="n">
        <f aca="false">J234-L234</f>
        <v>-3.9</v>
      </c>
      <c r="O234" s="9" t="n">
        <f aca="false">O233+N234</f>
        <v>147.6</v>
      </c>
      <c r="P234" s="9" t="n">
        <v>229</v>
      </c>
      <c r="Q234" s="9" t="n">
        <v>1.15</v>
      </c>
      <c r="R234" s="15" t="n">
        <f aca="false">Q234*L234</f>
        <v>4.485</v>
      </c>
      <c r="S234" s="15" t="n">
        <f aca="false">J234-R234</f>
        <v>-4.485</v>
      </c>
      <c r="T234" s="15" t="n">
        <f aca="false">MIN(197.4,(T233+S234))</f>
        <v>145.766</v>
      </c>
      <c r="U234" s="62" t="s">
        <v>35</v>
      </c>
      <c r="V234" s="9" t="n">
        <v>2182.6</v>
      </c>
      <c r="W234" s="9" t="n">
        <f aca="false">V234/D234</f>
        <v>196.630630630631</v>
      </c>
      <c r="X234" s="9" t="n">
        <f aca="false">X233+V234</f>
        <v>164080.3</v>
      </c>
      <c r="Y234" s="9" t="n">
        <f aca="false">Y233+V234</f>
        <v>8787</v>
      </c>
      <c r="Z234" s="62" t="s">
        <v>36</v>
      </c>
      <c r="AA234" s="9" t="n">
        <v>13.802261161972</v>
      </c>
    </row>
    <row r="235" s="9" customFormat="true" ht="15" hidden="false" customHeight="false" outlineLevel="0" collapsed="false">
      <c r="A235" s="61"/>
      <c r="C235" s="12" t="n">
        <v>42113</v>
      </c>
      <c r="D235" s="9" t="n">
        <v>11</v>
      </c>
      <c r="E235" s="9" t="n">
        <v>5.1</v>
      </c>
      <c r="F235" s="9" t="n">
        <v>17.2</v>
      </c>
      <c r="G235" s="9" t="n">
        <f aca="false">G234+D235</f>
        <v>1962.6</v>
      </c>
      <c r="H235" s="9" t="n">
        <f aca="false">H234+D235</f>
        <v>84.6</v>
      </c>
      <c r="I235" s="15" t="n">
        <f aca="false">AVERAGE(D230:D250)</f>
        <v>12.8142857142857</v>
      </c>
      <c r="J235" s="9" t="n">
        <v>0</v>
      </c>
      <c r="K235" s="9" t="n">
        <f aca="false">K234+J235</f>
        <v>360</v>
      </c>
      <c r="L235" s="9" t="n">
        <v>4.3</v>
      </c>
      <c r="M235" s="9" t="n">
        <f aca="false">M234+L235</f>
        <v>286.9</v>
      </c>
      <c r="N235" s="14" t="n">
        <f aca="false">J235-L235</f>
        <v>-4.3</v>
      </c>
      <c r="O235" s="9" t="n">
        <f aca="false">O234+N235</f>
        <v>143.3</v>
      </c>
      <c r="P235" s="9" t="n">
        <v>230</v>
      </c>
      <c r="Q235" s="9" t="n">
        <v>1.15</v>
      </c>
      <c r="R235" s="15" t="n">
        <f aca="false">Q235*L235</f>
        <v>4.945</v>
      </c>
      <c r="S235" s="15" t="n">
        <f aca="false">J235-R235</f>
        <v>-4.945</v>
      </c>
      <c r="T235" s="15" t="n">
        <f aca="false">MIN(197.4,(T234+S235))</f>
        <v>140.821</v>
      </c>
      <c r="U235" s="9" t="n">
        <v>0</v>
      </c>
      <c r="V235" s="9" t="n">
        <v>2551.9</v>
      </c>
      <c r="W235" s="9" t="n">
        <f aca="false">V235/D235</f>
        <v>231.990909090909</v>
      </c>
      <c r="X235" s="9" t="n">
        <f aca="false">X234+V235</f>
        <v>166632.2</v>
      </c>
      <c r="Y235" s="9" t="n">
        <f aca="false">Y234+V235</f>
        <v>11338.9</v>
      </c>
      <c r="Z235" s="9" t="n">
        <v>4</v>
      </c>
      <c r="AA235" s="9" t="n">
        <v>13.8589383331813</v>
      </c>
    </row>
    <row r="236" s="9" customFormat="true" ht="15" hidden="false" customHeight="false" outlineLevel="0" collapsed="false">
      <c r="A236" s="61"/>
      <c r="C236" s="12" t="n">
        <v>42114</v>
      </c>
      <c r="D236" s="9" t="n">
        <v>12.8</v>
      </c>
      <c r="E236" s="9" t="n">
        <v>5.1</v>
      </c>
      <c r="F236" s="9" t="n">
        <v>19.8</v>
      </c>
      <c r="G236" s="9" t="n">
        <f aca="false">G235+D236</f>
        <v>1975.4</v>
      </c>
      <c r="H236" s="9" t="n">
        <f aca="false">H235+D236</f>
        <v>97.4</v>
      </c>
      <c r="I236" s="62" t="s">
        <v>37</v>
      </c>
      <c r="J236" s="9" t="n">
        <v>0</v>
      </c>
      <c r="K236" s="9" t="n">
        <f aca="false">K235+J236</f>
        <v>360</v>
      </c>
      <c r="L236" s="9" t="n">
        <v>4.2</v>
      </c>
      <c r="M236" s="9" t="n">
        <f aca="false">M235+L236</f>
        <v>291.1</v>
      </c>
      <c r="N236" s="14" t="n">
        <f aca="false">J236-L236</f>
        <v>-4.2</v>
      </c>
      <c r="O236" s="9" t="n">
        <f aca="false">O235+N236</f>
        <v>139.1</v>
      </c>
      <c r="P236" s="9" t="n">
        <v>231</v>
      </c>
      <c r="Q236" s="9" t="n">
        <v>1.15</v>
      </c>
      <c r="R236" s="15" t="n">
        <f aca="false">Q236*L236</f>
        <v>4.83</v>
      </c>
      <c r="S236" s="15" t="n">
        <f aca="false">J236-R236</f>
        <v>-4.83</v>
      </c>
      <c r="T236" s="15" t="n">
        <f aca="false">MIN(197.4,(T235+S236))</f>
        <v>135.991</v>
      </c>
      <c r="U236" s="62" t="s">
        <v>38</v>
      </c>
      <c r="V236" s="9" t="n">
        <v>2434.3</v>
      </c>
      <c r="W236" s="9" t="n">
        <f aca="false">V236/D236</f>
        <v>190.1796875</v>
      </c>
      <c r="X236" s="9" t="n">
        <f aca="false">X235+V236</f>
        <v>169066.5</v>
      </c>
      <c r="Y236" s="9" t="n">
        <f aca="false">Y235+V236</f>
        <v>13773.2</v>
      </c>
      <c r="AA236" s="9" t="n">
        <v>13.9153727226509</v>
      </c>
    </row>
    <row r="237" s="9" customFormat="true" ht="15" hidden="false" customHeight="false" outlineLevel="0" collapsed="false">
      <c r="A237" s="61"/>
      <c r="C237" s="12" t="n">
        <v>42115</v>
      </c>
      <c r="D237" s="9" t="n">
        <v>14.3</v>
      </c>
      <c r="E237" s="9" t="n">
        <v>6.5</v>
      </c>
      <c r="F237" s="9" t="n">
        <v>21.4</v>
      </c>
      <c r="G237" s="9" t="n">
        <f aca="false">G236+D237</f>
        <v>1989.7</v>
      </c>
      <c r="H237" s="9" t="n">
        <f aca="false">H236+D237</f>
        <v>111.7</v>
      </c>
      <c r="I237" s="9" t="n">
        <v>0</v>
      </c>
      <c r="J237" s="9" t="n">
        <v>0</v>
      </c>
      <c r="K237" s="9" t="n">
        <f aca="false">K236+J237</f>
        <v>360</v>
      </c>
      <c r="L237" s="9" t="n">
        <v>4.3</v>
      </c>
      <c r="M237" s="9" t="n">
        <f aca="false">M236+L237</f>
        <v>295.4</v>
      </c>
      <c r="N237" s="14" t="n">
        <f aca="false">J237-L237</f>
        <v>-4.3</v>
      </c>
      <c r="O237" s="9" t="n">
        <f aca="false">O236+N237</f>
        <v>134.8</v>
      </c>
      <c r="P237" s="9" t="n">
        <v>232</v>
      </c>
      <c r="Q237" s="9" t="n">
        <v>1.15</v>
      </c>
      <c r="R237" s="15" t="n">
        <f aca="false">Q237*L237</f>
        <v>4.945</v>
      </c>
      <c r="S237" s="15" t="n">
        <f aca="false">J237-R237</f>
        <v>-4.945</v>
      </c>
      <c r="T237" s="15" t="n">
        <f aca="false">MIN(197.4,(T236+S237))</f>
        <v>131.046</v>
      </c>
      <c r="U237" s="15" t="n">
        <f aca="false">MIN(T230:T250)</f>
        <v>119.441</v>
      </c>
      <c r="V237" s="9" t="n">
        <v>2447.7</v>
      </c>
      <c r="W237" s="9" t="n">
        <f aca="false">V237/D237</f>
        <v>171.167832167832</v>
      </c>
      <c r="X237" s="9" t="n">
        <f aca="false">X236+V237</f>
        <v>171514.2</v>
      </c>
      <c r="Y237" s="9" t="n">
        <f aca="false">Y236+V237</f>
        <v>16220.9</v>
      </c>
      <c r="AA237" s="9" t="n">
        <v>13.9715519338742</v>
      </c>
    </row>
    <row r="238" s="9" customFormat="true" ht="15" hidden="false" customHeight="false" outlineLevel="0" collapsed="false">
      <c r="A238" s="61"/>
      <c r="C238" s="12" t="n">
        <v>42116</v>
      </c>
      <c r="D238" s="9" t="n">
        <v>14.4</v>
      </c>
      <c r="E238" s="9" t="n">
        <v>8.8</v>
      </c>
      <c r="F238" s="9" t="n">
        <v>21.6</v>
      </c>
      <c r="G238" s="9" t="n">
        <f aca="false">G237+D238</f>
        <v>2004.1</v>
      </c>
      <c r="H238" s="9" t="n">
        <f aca="false">H237+D238</f>
        <v>126.1</v>
      </c>
      <c r="I238" s="62" t="s">
        <v>39</v>
      </c>
      <c r="J238" s="9" t="n">
        <v>0</v>
      </c>
      <c r="K238" s="9" t="n">
        <f aca="false">K237+J238</f>
        <v>360</v>
      </c>
      <c r="L238" s="9" t="n">
        <v>5</v>
      </c>
      <c r="M238" s="9" t="n">
        <f aca="false">M237+L238</f>
        <v>300.4</v>
      </c>
      <c r="N238" s="14" t="n">
        <f aca="false">J238-L238</f>
        <v>-5</v>
      </c>
      <c r="O238" s="9" t="n">
        <f aca="false">O237+N238</f>
        <v>129.8</v>
      </c>
      <c r="P238" s="9" t="n">
        <v>233</v>
      </c>
      <c r="Q238" s="9" t="n">
        <v>1.15</v>
      </c>
      <c r="R238" s="15" t="n">
        <f aca="false">Q238*L238</f>
        <v>5.75</v>
      </c>
      <c r="S238" s="15" t="n">
        <f aca="false">J238-R238</f>
        <v>-5.75</v>
      </c>
      <c r="T238" s="15" t="n">
        <f aca="false">MIN(197.4,(T237+S238))</f>
        <v>125.296</v>
      </c>
      <c r="U238" s="62" t="s">
        <v>40</v>
      </c>
      <c r="V238" s="9" t="n">
        <v>2643.2</v>
      </c>
      <c r="W238" s="9" t="n">
        <f aca="false">V238/D238</f>
        <v>183.555555555556</v>
      </c>
      <c r="X238" s="9" t="n">
        <f aca="false">X237+V238</f>
        <v>174157.4</v>
      </c>
      <c r="Y238" s="9" t="n">
        <f aca="false">Y237+V238</f>
        <v>18864.1</v>
      </c>
      <c r="AA238" s="9" t="n">
        <v>14.0274631156743</v>
      </c>
    </row>
    <row r="239" s="50" customFormat="true" ht="15" hidden="false" customHeight="false" outlineLevel="0" collapsed="false">
      <c r="A239" s="61"/>
      <c r="C239" s="63" t="n">
        <v>42117</v>
      </c>
      <c r="D239" s="50" t="n">
        <v>13.3</v>
      </c>
      <c r="E239" s="50" t="n">
        <v>6.5</v>
      </c>
      <c r="F239" s="50" t="n">
        <v>19.5</v>
      </c>
      <c r="G239" s="50" t="n">
        <f aca="false">G238+D239</f>
        <v>2017.4</v>
      </c>
      <c r="H239" s="50" t="n">
        <f aca="false">H238+D239</f>
        <v>139.4</v>
      </c>
      <c r="I239" s="50" t="n">
        <v>0</v>
      </c>
      <c r="J239" s="50" t="n">
        <v>0</v>
      </c>
      <c r="K239" s="50" t="n">
        <f aca="false">K238+J239</f>
        <v>360</v>
      </c>
      <c r="L239" s="50" t="n">
        <v>4.3</v>
      </c>
      <c r="M239" s="50" t="n">
        <f aca="false">M238+L239</f>
        <v>304.7</v>
      </c>
      <c r="N239" s="50" t="n">
        <f aca="false">J239-L239</f>
        <v>-4.3</v>
      </c>
      <c r="O239" s="50" t="n">
        <f aca="false">O238+N239</f>
        <v>125.5</v>
      </c>
      <c r="P239" s="50" t="n">
        <v>234</v>
      </c>
      <c r="Q239" s="9" t="n">
        <v>1.15</v>
      </c>
      <c r="R239" s="53" t="n">
        <f aca="false">Q239*L239</f>
        <v>4.945</v>
      </c>
      <c r="S239" s="53" t="n">
        <f aca="false">J239-R239</f>
        <v>-4.945</v>
      </c>
      <c r="T239" s="15" t="n">
        <f aca="false">MIN(197.4,(T238+S239))</f>
        <v>120.351</v>
      </c>
      <c r="U239" s="15" t="n">
        <f aca="false">MAX(T230:T250)</f>
        <v>158.486</v>
      </c>
      <c r="V239" s="50" t="n">
        <v>2657.7</v>
      </c>
      <c r="W239" s="50" t="n">
        <f aca="false">V239/D239</f>
        <v>199.827067669173</v>
      </c>
      <c r="X239" s="50" t="n">
        <f aca="false">X238+V239</f>
        <v>176815.1</v>
      </c>
      <c r="Y239" s="9" t="n">
        <f aca="false">Y238+V239</f>
        <v>21521.8</v>
      </c>
      <c r="AA239" s="9" t="n">
        <v>14.0830929501791</v>
      </c>
    </row>
    <row r="240" s="9" customFormat="true" ht="15" hidden="false" customHeight="true" outlineLevel="0" collapsed="false">
      <c r="A240" s="64"/>
      <c r="C240" s="12" t="n">
        <v>42118</v>
      </c>
      <c r="D240" s="9" t="n">
        <v>12.2</v>
      </c>
      <c r="E240" s="9" t="n">
        <v>7.4</v>
      </c>
      <c r="F240" s="9" t="n">
        <v>15.8</v>
      </c>
      <c r="G240" s="9" t="n">
        <f aca="false">G239+D240</f>
        <v>2029.6</v>
      </c>
      <c r="H240" s="9" t="n">
        <f aca="false">H239+D240</f>
        <v>151.6</v>
      </c>
      <c r="I240" s="62" t="s">
        <v>41</v>
      </c>
      <c r="J240" s="9" t="n">
        <v>0.7</v>
      </c>
      <c r="K240" s="9" t="n">
        <f aca="false">K239+J240</f>
        <v>360.7</v>
      </c>
      <c r="L240" s="9" t="n">
        <v>1.4</v>
      </c>
      <c r="M240" s="9" t="n">
        <f aca="false">M239+L240</f>
        <v>306.1</v>
      </c>
      <c r="N240" s="14" t="n">
        <f aca="false">J240-L240</f>
        <v>-0.7</v>
      </c>
      <c r="O240" s="9" t="n">
        <f aca="false">O239+N240</f>
        <v>124.8</v>
      </c>
      <c r="P240" s="9" t="n">
        <v>235</v>
      </c>
      <c r="Q240" s="9" t="n">
        <v>1.15</v>
      </c>
      <c r="R240" s="15" t="n">
        <f aca="false">Q240*L240</f>
        <v>1.61</v>
      </c>
      <c r="S240" s="15" t="n">
        <f aca="false">J240-R240</f>
        <v>-0.91</v>
      </c>
      <c r="T240" s="15" t="n">
        <f aca="false">MIN(197.4,(T239+S240))</f>
        <v>119.441</v>
      </c>
      <c r="U240" s="62" t="s">
        <v>42</v>
      </c>
      <c r="V240" s="9" t="n">
        <v>926.7</v>
      </c>
      <c r="W240" s="9" t="n">
        <f aca="false">V240/D240</f>
        <v>75.9590163934426</v>
      </c>
      <c r="X240" s="9" t="n">
        <f aca="false">X239+V240</f>
        <v>177741.8</v>
      </c>
      <c r="Y240" s="9" t="n">
        <f aca="false">Y239+V240</f>
        <v>22448.5</v>
      </c>
      <c r="AA240" s="9" t="n">
        <v>14.1384276414545</v>
      </c>
    </row>
    <row r="241" s="9" customFormat="true" ht="15" hidden="false" customHeight="false" outlineLevel="0" collapsed="false">
      <c r="A241" s="64"/>
      <c r="C241" s="12" t="n">
        <v>42119</v>
      </c>
      <c r="D241" s="9" t="n">
        <v>14.2</v>
      </c>
      <c r="E241" s="9" t="n">
        <v>12</v>
      </c>
      <c r="F241" s="9" t="n">
        <v>16.5</v>
      </c>
      <c r="G241" s="9" t="n">
        <f aca="false">G240+D241</f>
        <v>2043.8</v>
      </c>
      <c r="H241" s="9" t="n">
        <f aca="false">H240+D241</f>
        <v>165.8</v>
      </c>
      <c r="I241" s="9" t="n">
        <v>2</v>
      </c>
      <c r="J241" s="9" t="n">
        <v>8.2</v>
      </c>
      <c r="K241" s="9" t="n">
        <f aca="false">K240+J241</f>
        <v>368.9</v>
      </c>
      <c r="L241" s="9" t="n">
        <v>2.2</v>
      </c>
      <c r="M241" s="9" t="n">
        <f aca="false">M240+L241</f>
        <v>308.3</v>
      </c>
      <c r="N241" s="9" t="n">
        <f aca="false">J241-L241</f>
        <v>6</v>
      </c>
      <c r="O241" s="9" t="n">
        <f aca="false">O240+N241</f>
        <v>130.8</v>
      </c>
      <c r="P241" s="9" t="n">
        <v>236</v>
      </c>
      <c r="Q241" s="9" t="n">
        <v>1.15</v>
      </c>
      <c r="R241" s="15" t="n">
        <f aca="false">Q241*L241</f>
        <v>2.53</v>
      </c>
      <c r="S241" s="15" t="n">
        <f aca="false">J241-R241</f>
        <v>5.67</v>
      </c>
      <c r="T241" s="15" t="n">
        <f aca="false">MIN(197.4,(T240+S241))</f>
        <v>125.111</v>
      </c>
      <c r="U241" s="17" t="n">
        <f aca="false">AVERAGE(T230:T250)</f>
        <v>138.373380952381</v>
      </c>
      <c r="V241" s="9" t="n">
        <v>1474</v>
      </c>
      <c r="W241" s="9" t="n">
        <f aca="false">V241/D241</f>
        <v>103.802816901408</v>
      </c>
      <c r="X241" s="9" t="n">
        <f aca="false">X240+V241</f>
        <v>179215.8</v>
      </c>
      <c r="Y241" s="9" t="n">
        <f aca="false">Y240+V241</f>
        <v>23922.5</v>
      </c>
      <c r="AA241" s="9" t="n">
        <v>14.1934529048636</v>
      </c>
    </row>
    <row r="242" s="9" customFormat="true" ht="15" hidden="false" customHeight="false" outlineLevel="0" collapsed="false">
      <c r="A242" s="64"/>
      <c r="C242" s="12" t="n">
        <v>42120</v>
      </c>
      <c r="D242" s="9" t="n">
        <v>13.1</v>
      </c>
      <c r="E242" s="9" t="n">
        <v>10.2</v>
      </c>
      <c r="F242" s="9" t="n">
        <v>16.7</v>
      </c>
      <c r="G242" s="9" t="n">
        <f aca="false">G241+D242</f>
        <v>2056.9</v>
      </c>
      <c r="H242" s="9" t="n">
        <f aca="false">H241+D242</f>
        <v>178.9</v>
      </c>
      <c r="I242" s="62" t="s">
        <v>43</v>
      </c>
      <c r="J242" s="9" t="n">
        <v>8.2</v>
      </c>
      <c r="K242" s="9" t="n">
        <f aca="false">K241+J242</f>
        <v>377.1</v>
      </c>
      <c r="L242" s="9" t="n">
        <v>2.2</v>
      </c>
      <c r="M242" s="9" t="n">
        <f aca="false">M241+L242</f>
        <v>310.5</v>
      </c>
      <c r="N242" s="9" t="n">
        <f aca="false">J242-L242</f>
        <v>6</v>
      </c>
      <c r="O242" s="9" t="n">
        <f aca="false">O241+N242</f>
        <v>136.8</v>
      </c>
      <c r="P242" s="9" t="n">
        <v>237</v>
      </c>
      <c r="Q242" s="9" t="n">
        <v>1.15</v>
      </c>
      <c r="R242" s="15" t="n">
        <f aca="false">Q242*L242</f>
        <v>2.53</v>
      </c>
      <c r="S242" s="15" t="n">
        <f aca="false">J242-R242</f>
        <v>5.67</v>
      </c>
      <c r="T242" s="15" t="n">
        <f aca="false">MIN(197.4,(T241+S242))</f>
        <v>130.781</v>
      </c>
      <c r="V242" s="9" t="n">
        <v>1358.9</v>
      </c>
      <c r="W242" s="9" t="n">
        <f aca="false">V242/D242</f>
        <v>103.732824427481</v>
      </c>
      <c r="X242" s="9" t="n">
        <f aca="false">X241+V242</f>
        <v>180574.7</v>
      </c>
      <c r="Y242" s="9" t="n">
        <f aca="false">Y241+V242</f>
        <v>25281.4</v>
      </c>
      <c r="AA242" s="9" t="n">
        <v>14.248153957224</v>
      </c>
    </row>
    <row r="243" s="9" customFormat="true" ht="15" hidden="false" customHeight="false" outlineLevel="0" collapsed="false">
      <c r="A243" s="64"/>
      <c r="C243" s="12" t="n">
        <v>42121</v>
      </c>
      <c r="D243" s="9" t="n">
        <v>10.2</v>
      </c>
      <c r="E243" s="9" t="n">
        <v>9.1</v>
      </c>
      <c r="F243" s="9" t="n">
        <v>11.7</v>
      </c>
      <c r="G243" s="9" t="n">
        <f aca="false">G242+D243</f>
        <v>2067.1</v>
      </c>
      <c r="H243" s="9" t="n">
        <f aca="false">H242+D243</f>
        <v>189.1</v>
      </c>
      <c r="I243" s="9" t="n">
        <v>269.1</v>
      </c>
      <c r="J243" s="9" t="n">
        <v>0</v>
      </c>
      <c r="K243" s="9" t="n">
        <f aca="false">K242+J243</f>
        <v>377.1</v>
      </c>
      <c r="L243" s="9" t="n">
        <v>2.1</v>
      </c>
      <c r="M243" s="9" t="n">
        <f aca="false">M242+L243</f>
        <v>312.6</v>
      </c>
      <c r="N243" s="14" t="n">
        <f aca="false">J243-L243</f>
        <v>-2.1</v>
      </c>
      <c r="O243" s="9" t="n">
        <f aca="false">O242+N243</f>
        <v>134.7</v>
      </c>
      <c r="P243" s="9" t="n">
        <v>238</v>
      </c>
      <c r="Q243" s="9" t="n">
        <v>1.15</v>
      </c>
      <c r="R243" s="15" t="n">
        <f aca="false">Q243*L243</f>
        <v>2.415</v>
      </c>
      <c r="S243" s="15" t="n">
        <f aca="false">J243-R243</f>
        <v>-2.415</v>
      </c>
      <c r="T243" s="15" t="n">
        <f aca="false">MIN(197.4,(T242+S243))</f>
        <v>128.366</v>
      </c>
      <c r="U243" s="9" t="n">
        <f aca="false">(U241*100)/197.4</f>
        <v>70.0979640082984</v>
      </c>
      <c r="V243" s="9" t="n">
        <v>1506.7</v>
      </c>
      <c r="W243" s="9" t="n">
        <f aca="false">V243/D243</f>
        <v>147.71568627451</v>
      </c>
      <c r="X243" s="9" t="n">
        <f aca="false">X242+V243</f>
        <v>182081.4</v>
      </c>
      <c r="Y243" s="9" t="n">
        <f aca="false">Y242+V243</f>
        <v>26788.1</v>
      </c>
      <c r="AA243" s="9" t="n">
        <v>14.3025155078395</v>
      </c>
    </row>
    <row r="244" s="9" customFormat="true" ht="15" hidden="false" customHeight="false" outlineLevel="0" collapsed="false">
      <c r="A244" s="64"/>
      <c r="C244" s="12" t="n">
        <v>42122</v>
      </c>
      <c r="D244" s="9" t="n">
        <v>8.9</v>
      </c>
      <c r="E244" s="20" t="n">
        <v>4.5</v>
      </c>
      <c r="F244" s="9" t="n">
        <v>13</v>
      </c>
      <c r="G244" s="9" t="n">
        <f aca="false">G243+D244</f>
        <v>2076</v>
      </c>
      <c r="H244" s="9" t="n">
        <f aca="false">H243+D244</f>
        <v>198</v>
      </c>
      <c r="J244" s="9" t="n">
        <v>0</v>
      </c>
      <c r="K244" s="9" t="n">
        <f aca="false">K243+J244</f>
        <v>377.1</v>
      </c>
      <c r="L244" s="9" t="n">
        <v>2.9</v>
      </c>
      <c r="M244" s="9" t="n">
        <f aca="false">M243+L244</f>
        <v>315.5</v>
      </c>
      <c r="N244" s="14" t="n">
        <f aca="false">J244-L244</f>
        <v>-2.9</v>
      </c>
      <c r="O244" s="9" t="n">
        <f aca="false">O243+N244</f>
        <v>131.8</v>
      </c>
      <c r="P244" s="9" t="n">
        <v>239</v>
      </c>
      <c r="Q244" s="9" t="n">
        <v>1.15</v>
      </c>
      <c r="R244" s="15" t="n">
        <f aca="false">Q244*L244</f>
        <v>3.335</v>
      </c>
      <c r="S244" s="15" t="n">
        <f aca="false">J244-R244</f>
        <v>-3.335</v>
      </c>
      <c r="T244" s="15" t="n">
        <f aca="false">MIN(197.4,(T243+S244))</f>
        <v>125.031</v>
      </c>
      <c r="V244" s="9" t="n">
        <v>2190.3</v>
      </c>
      <c r="W244" s="9" t="n">
        <f aca="false">V244/D244</f>
        <v>246.101123595506</v>
      </c>
      <c r="X244" s="9" t="n">
        <f aca="false">X243+V244</f>
        <v>184271.7</v>
      </c>
      <c r="Y244" s="9" t="n">
        <f aca="false">Y243+V244</f>
        <v>28978.4</v>
      </c>
      <c r="AA244" s="9" t="n">
        <v>14.3565217504874</v>
      </c>
    </row>
    <row r="245" s="9" customFormat="true" ht="15" hidden="false" customHeight="false" outlineLevel="0" collapsed="false">
      <c r="A245" s="64"/>
      <c r="C245" s="12" t="n">
        <v>42123</v>
      </c>
      <c r="D245" s="9" t="n">
        <v>10</v>
      </c>
      <c r="E245" s="20" t="n">
        <v>4.8</v>
      </c>
      <c r="F245" s="9" t="n">
        <v>14.9</v>
      </c>
      <c r="G245" s="9" t="n">
        <f aca="false">G244+D245</f>
        <v>2086</v>
      </c>
      <c r="H245" s="9" t="n">
        <f aca="false">H244+D245</f>
        <v>208</v>
      </c>
      <c r="J245" s="9" t="n">
        <v>0.3</v>
      </c>
      <c r="K245" s="9" t="n">
        <f aca="false">K244+J245</f>
        <v>377.4</v>
      </c>
      <c r="L245" s="9" t="n">
        <v>2.8</v>
      </c>
      <c r="M245" s="9" t="n">
        <f aca="false">M244+L245</f>
        <v>318.3</v>
      </c>
      <c r="N245" s="14" t="n">
        <f aca="false">J245-L245</f>
        <v>-2.5</v>
      </c>
      <c r="O245" s="9" t="n">
        <f aca="false">O244+N245</f>
        <v>129.3</v>
      </c>
      <c r="P245" s="9" t="n">
        <v>240</v>
      </c>
      <c r="Q245" s="9" t="n">
        <v>1.15</v>
      </c>
      <c r="R245" s="15" t="n">
        <f aca="false">Q245*L245</f>
        <v>3.22</v>
      </c>
      <c r="S245" s="15" t="n">
        <f aca="false">J245-R245</f>
        <v>-2.92</v>
      </c>
      <c r="T245" s="15" t="n">
        <f aca="false">MIN(197.4,(T244+S245))</f>
        <v>122.111</v>
      </c>
      <c r="V245" s="9" t="n">
        <v>1908.4</v>
      </c>
      <c r="W245" s="9" t="n">
        <f aca="false">V245/D245</f>
        <v>190.84</v>
      </c>
      <c r="X245" s="9" t="n">
        <f aca="false">X244+V245</f>
        <v>186180.1</v>
      </c>
      <c r="Y245" s="9" t="n">
        <f aca="false">Y244+V245</f>
        <v>30886.8</v>
      </c>
      <c r="AA245" s="9" t="n">
        <v>14.4101563564467</v>
      </c>
    </row>
    <row r="246" s="9" customFormat="true" ht="15" hidden="false" customHeight="false" outlineLevel="0" collapsed="false">
      <c r="A246" s="64"/>
      <c r="C246" s="12" t="n">
        <v>42124</v>
      </c>
      <c r="D246" s="9" t="n">
        <v>9.6</v>
      </c>
      <c r="E246" s="9" t="n">
        <v>8</v>
      </c>
      <c r="F246" s="9" t="n">
        <v>10.7</v>
      </c>
      <c r="G246" s="9" t="n">
        <f aca="false">G245+D246</f>
        <v>2095.6</v>
      </c>
      <c r="H246" s="9" t="n">
        <f aca="false">H245+D246</f>
        <v>217.6</v>
      </c>
      <c r="J246" s="9" t="n">
        <v>18</v>
      </c>
      <c r="K246" s="9" t="n">
        <f aca="false">K245+J246</f>
        <v>395.4</v>
      </c>
      <c r="L246" s="9" t="n">
        <v>0.8</v>
      </c>
      <c r="M246" s="9" t="n">
        <f aca="false">M245+L246</f>
        <v>319.1</v>
      </c>
      <c r="N246" s="9" t="n">
        <f aca="false">J246-L246</f>
        <v>17.2</v>
      </c>
      <c r="O246" s="9" t="n">
        <f aca="false">O245+N246</f>
        <v>146.5</v>
      </c>
      <c r="P246" s="9" t="n">
        <v>241</v>
      </c>
      <c r="Q246" s="9" t="n">
        <v>1.15</v>
      </c>
      <c r="R246" s="15" t="n">
        <f aca="false">Q246*L246</f>
        <v>0.92</v>
      </c>
      <c r="S246" s="15" t="n">
        <f aca="false">J246-R246</f>
        <v>17.08</v>
      </c>
      <c r="T246" s="15" t="n">
        <f aca="false">MIN(197.4,(T245+S246))</f>
        <v>139.191</v>
      </c>
      <c r="V246" s="19" t="n">
        <v>460</v>
      </c>
      <c r="W246" s="9" t="n">
        <f aca="false">V246/D246</f>
        <v>47.9166666666667</v>
      </c>
      <c r="X246" s="9" t="n">
        <f aca="false">X245+V246</f>
        <v>186640.1</v>
      </c>
      <c r="Y246" s="9" t="n">
        <f aca="false">Y245+V246</f>
        <v>31346.8</v>
      </c>
      <c r="AA246" s="9" t="n">
        <v>14.4634024686567</v>
      </c>
    </row>
    <row r="247" s="9" customFormat="true" ht="15" hidden="false" customHeight="false" outlineLevel="0" collapsed="false">
      <c r="A247" s="64"/>
      <c r="C247" s="12" t="n">
        <v>42125</v>
      </c>
      <c r="D247" s="9" t="n">
        <v>9.5</v>
      </c>
      <c r="E247" s="9" t="n">
        <v>8.1</v>
      </c>
      <c r="F247" s="9" t="n">
        <v>10.7</v>
      </c>
      <c r="G247" s="9" t="n">
        <f aca="false">G246+D247</f>
        <v>2105.1</v>
      </c>
      <c r="H247" s="9" t="n">
        <f aca="false">H246+D247</f>
        <v>227.1</v>
      </c>
      <c r="J247" s="9" t="n">
        <v>3.6</v>
      </c>
      <c r="K247" s="9" t="n">
        <f aca="false">K246+J247</f>
        <v>399</v>
      </c>
      <c r="L247" s="9" t="n">
        <v>0.6</v>
      </c>
      <c r="M247" s="9" t="n">
        <f aca="false">M246+L247</f>
        <v>319.7</v>
      </c>
      <c r="N247" s="9" t="n">
        <f aca="false">J247-L247</f>
        <v>3</v>
      </c>
      <c r="O247" s="9" t="n">
        <f aca="false">O246+N247</f>
        <v>149.5</v>
      </c>
      <c r="P247" s="9" t="n">
        <v>242</v>
      </c>
      <c r="Q247" s="9" t="n">
        <v>1.15</v>
      </c>
      <c r="R247" s="15" t="n">
        <f aca="false">Q247*L247</f>
        <v>0.69</v>
      </c>
      <c r="S247" s="15" t="n">
        <f aca="false">J247-R247</f>
        <v>2.91</v>
      </c>
      <c r="T247" s="15" t="n">
        <f aca="false">MIN(197.4,(T246+S247))</f>
        <v>142.101</v>
      </c>
      <c r="V247" s="19" t="n">
        <v>393.7</v>
      </c>
      <c r="W247" s="9" t="n">
        <f aca="false">V247/D247</f>
        <v>41.4421052631579</v>
      </c>
      <c r="X247" s="9" t="n">
        <f aca="false">X246+V247</f>
        <v>187033.8</v>
      </c>
      <c r="Y247" s="9" t="n">
        <f aca="false">Y246+V247</f>
        <v>31740.5</v>
      </c>
      <c r="AA247" s="9" t="n">
        <v>14.5162426970988</v>
      </c>
    </row>
    <row r="248" s="9" customFormat="true" ht="15" hidden="false" customHeight="false" outlineLevel="0" collapsed="false">
      <c r="A248" s="64"/>
      <c r="C248" s="12" t="n">
        <v>42126</v>
      </c>
      <c r="D248" s="9" t="n">
        <v>11.5</v>
      </c>
      <c r="E248" s="9" t="n">
        <v>8.8</v>
      </c>
      <c r="F248" s="9" t="n">
        <v>13.8</v>
      </c>
      <c r="G248" s="9" t="n">
        <f aca="false">G247+D248</f>
        <v>2116.6</v>
      </c>
      <c r="H248" s="9" t="n">
        <f aca="false">H247+D248</f>
        <v>238.6</v>
      </c>
      <c r="J248" s="9" t="n">
        <v>9.2</v>
      </c>
      <c r="K248" s="9" t="n">
        <f aca="false">K247+J248</f>
        <v>408.2</v>
      </c>
      <c r="L248" s="9" t="n">
        <v>0.7</v>
      </c>
      <c r="M248" s="9" t="n">
        <f aca="false">M247+L248</f>
        <v>320.4</v>
      </c>
      <c r="N248" s="9" t="n">
        <f aca="false">J248-L248</f>
        <v>8.5</v>
      </c>
      <c r="O248" s="9" t="n">
        <f aca="false">O247+N248</f>
        <v>158</v>
      </c>
      <c r="P248" s="9" t="n">
        <v>243</v>
      </c>
      <c r="Q248" s="9" t="n">
        <v>1.15</v>
      </c>
      <c r="R248" s="15" t="n">
        <f aca="false">Q248*L248</f>
        <v>0.805</v>
      </c>
      <c r="S248" s="15" t="n">
        <f aca="false">J248-R248</f>
        <v>8.395</v>
      </c>
      <c r="T248" s="15" t="n">
        <f aca="false">MIN(197.4,(T247+S248))</f>
        <v>150.496</v>
      </c>
      <c r="V248" s="19" t="n">
        <v>477.7</v>
      </c>
      <c r="W248" s="9" t="n">
        <f aca="false">V248/D248</f>
        <v>41.5391304347826</v>
      </c>
      <c r="X248" s="9" t="n">
        <f aca="false">X247+V248</f>
        <v>187511.5</v>
      </c>
      <c r="Y248" s="9" t="n">
        <f aca="false">Y247+V248</f>
        <v>32218.2</v>
      </c>
      <c r="AA248" s="9" t="n">
        <v>14.5686591154993</v>
      </c>
    </row>
    <row r="249" s="9" customFormat="true" ht="15" hidden="false" customHeight="false" outlineLevel="0" collapsed="false">
      <c r="A249" s="64"/>
      <c r="C249" s="12" t="n">
        <v>42127</v>
      </c>
      <c r="D249" s="9" t="n">
        <v>15.5</v>
      </c>
      <c r="E249" s="9" t="n">
        <v>12.4</v>
      </c>
      <c r="F249" s="9" t="n">
        <v>18.1</v>
      </c>
      <c r="G249" s="9" t="n">
        <f aca="false">G248+D249</f>
        <v>2132.1</v>
      </c>
      <c r="H249" s="9" t="n">
        <f aca="false">H248+D249</f>
        <v>254.1</v>
      </c>
      <c r="J249" s="9" t="n">
        <v>6.3</v>
      </c>
      <c r="K249" s="9" t="n">
        <f aca="false">K248+J249</f>
        <v>414.5</v>
      </c>
      <c r="L249" s="9" t="n">
        <v>1.2</v>
      </c>
      <c r="M249" s="9" t="n">
        <f aca="false">M248+L249</f>
        <v>321.6</v>
      </c>
      <c r="N249" s="9" t="n">
        <f aca="false">J249-L249</f>
        <v>5.1</v>
      </c>
      <c r="O249" s="9" t="n">
        <f aca="false">O248+N249</f>
        <v>163.1</v>
      </c>
      <c r="P249" s="9" t="n">
        <v>244</v>
      </c>
      <c r="Q249" s="9" t="n">
        <v>1.15</v>
      </c>
      <c r="R249" s="15" t="n">
        <f aca="false">Q249*L249</f>
        <v>1.38</v>
      </c>
      <c r="S249" s="15" t="n">
        <f aca="false">J249-R249</f>
        <v>4.92</v>
      </c>
      <c r="T249" s="15" t="n">
        <f aca="false">MIN(197.4,(T248+S249))</f>
        <v>155.416</v>
      </c>
      <c r="V249" s="19" t="n">
        <v>830</v>
      </c>
      <c r="W249" s="9" t="n">
        <f aca="false">V249/D249</f>
        <v>53.5483870967742</v>
      </c>
      <c r="X249" s="9" t="n">
        <f aca="false">X248+V249</f>
        <v>188341.5</v>
      </c>
      <c r="Y249" s="9" t="n">
        <f aca="false">Y248+V249</f>
        <v>33048.2</v>
      </c>
      <c r="AA249" s="9" t="n">
        <v>14.6206332594533</v>
      </c>
    </row>
    <row r="250" s="24" customFormat="true" ht="15" hidden="false" customHeight="false" outlineLevel="0" collapsed="false">
      <c r="A250" s="65" t="s">
        <v>55</v>
      </c>
      <c r="C250" s="56" t="n">
        <v>42128</v>
      </c>
      <c r="D250" s="24" t="n">
        <v>15</v>
      </c>
      <c r="E250" s="24" t="n">
        <v>11.2</v>
      </c>
      <c r="F250" s="24" t="n">
        <v>17.3</v>
      </c>
      <c r="G250" s="24" t="n">
        <f aca="false">G249+D250</f>
        <v>2147.1</v>
      </c>
      <c r="H250" s="24" t="n">
        <f aca="false">H249+D250</f>
        <v>269.1</v>
      </c>
      <c r="J250" s="24" t="n">
        <v>5.6</v>
      </c>
      <c r="K250" s="24" t="n">
        <f aca="false">K249+J250</f>
        <v>420.1</v>
      </c>
      <c r="L250" s="24" t="n">
        <v>2.2</v>
      </c>
      <c r="M250" s="24" t="n">
        <f aca="false">M249+L250</f>
        <v>323.8</v>
      </c>
      <c r="N250" s="24" t="n">
        <f aca="false">J250-L250</f>
        <v>3.4</v>
      </c>
      <c r="O250" s="24" t="n">
        <f aca="false">O249+N250</f>
        <v>166.5</v>
      </c>
      <c r="P250" s="24" t="n">
        <v>245</v>
      </c>
      <c r="Q250" s="24" t="n">
        <v>1.15</v>
      </c>
      <c r="R250" s="26" t="n">
        <f aca="false">Q250*L250</f>
        <v>2.53</v>
      </c>
      <c r="S250" s="26" t="n">
        <f aca="false">J250-R250</f>
        <v>3.07</v>
      </c>
      <c r="T250" s="59" t="n">
        <f aca="false">MIN(197.4,(T249+S250))</f>
        <v>158.486</v>
      </c>
      <c r="V250" s="24" t="n">
        <v>1445.7</v>
      </c>
      <c r="W250" s="24" t="n">
        <f aca="false">V250/D250</f>
        <v>96.38</v>
      </c>
      <c r="X250" s="24" t="n">
        <f aca="false">X249+V250</f>
        <v>189787.2</v>
      </c>
      <c r="Y250" s="60" t="n">
        <f aca="false">Y249+V250</f>
        <v>34493.9</v>
      </c>
      <c r="AA250" s="60" t="n">
        <v>14.6721461260732</v>
      </c>
    </row>
    <row r="251" s="9" customFormat="true" ht="15" hidden="false" customHeight="false" outlineLevel="0" collapsed="false">
      <c r="A251" s="66" t="n">
        <v>300</v>
      </c>
      <c r="B251" s="11"/>
      <c r="C251" s="12" t="n">
        <v>42129</v>
      </c>
      <c r="D251" s="9" t="n">
        <v>15.5</v>
      </c>
      <c r="E251" s="9" t="n">
        <v>15.9</v>
      </c>
      <c r="F251" s="9" t="n">
        <v>17</v>
      </c>
      <c r="G251" s="9" t="n">
        <f aca="false">G250+D251</f>
        <v>2162.6</v>
      </c>
      <c r="H251" s="9" t="n">
        <v>15.5</v>
      </c>
      <c r="I251" s="67" t="s">
        <v>28</v>
      </c>
      <c r="J251" s="9" t="n">
        <v>1.8</v>
      </c>
      <c r="K251" s="9" t="n">
        <f aca="false">K250+J251</f>
        <v>421.9</v>
      </c>
      <c r="L251" s="9" t="n">
        <v>4.1</v>
      </c>
      <c r="M251" s="9" t="n">
        <f aca="false">M250+L251</f>
        <v>327.9</v>
      </c>
      <c r="N251" s="14" t="n">
        <f aca="false">J251-L251</f>
        <v>-2.3</v>
      </c>
      <c r="O251" s="9" t="n">
        <f aca="false">O250+N251</f>
        <v>164.2</v>
      </c>
      <c r="P251" s="9" t="n">
        <v>246</v>
      </c>
      <c r="Q251" s="9" t="n">
        <v>1.15</v>
      </c>
      <c r="R251" s="15" t="n">
        <f aca="false">Q251*L251</f>
        <v>4.715</v>
      </c>
      <c r="S251" s="15" t="n">
        <f aca="false">J251-R251</f>
        <v>-2.915</v>
      </c>
      <c r="T251" s="15" t="n">
        <f aca="false">MIN(197.4,(T250+S251))</f>
        <v>155.571</v>
      </c>
      <c r="U251" s="67" t="s">
        <v>29</v>
      </c>
      <c r="V251" s="9" t="n">
        <v>2148</v>
      </c>
      <c r="W251" s="9" t="n">
        <f aca="false">V251/D251</f>
        <v>138.58064516129</v>
      </c>
      <c r="X251" s="9" t="n">
        <f aca="false">X250+V251</f>
        <v>191935.2</v>
      </c>
      <c r="Y251" s="9" t="n">
        <v>2148</v>
      </c>
      <c r="Z251" s="67" t="s">
        <v>30</v>
      </c>
      <c r="AA251" s="9" t="n">
        <v>14.723178175268</v>
      </c>
    </row>
    <row r="252" s="9" customFormat="true" ht="15" hidden="false" customHeight="false" outlineLevel="0" collapsed="false">
      <c r="A252" s="66"/>
      <c r="B252" s="11"/>
      <c r="C252" s="12" t="n">
        <v>42130</v>
      </c>
      <c r="D252" s="9" t="n">
        <v>12.2</v>
      </c>
      <c r="E252" s="9" t="n">
        <v>9.6</v>
      </c>
      <c r="F252" s="9" t="n">
        <v>15.2</v>
      </c>
      <c r="G252" s="9" t="n">
        <f aca="false">G251+D252</f>
        <v>2174.8</v>
      </c>
      <c r="H252" s="9" t="n">
        <f aca="false">H251+D252</f>
        <v>27.7</v>
      </c>
      <c r="I252" s="9" t="n">
        <f aca="false">MIN(E251:E272)</f>
        <v>5.2</v>
      </c>
      <c r="J252" s="9" t="n">
        <v>1.4</v>
      </c>
      <c r="K252" s="9" t="n">
        <f aca="false">K251+J252</f>
        <v>423.3</v>
      </c>
      <c r="L252" s="9" t="n">
        <v>3.6</v>
      </c>
      <c r="M252" s="9" t="n">
        <f aca="false">M251+L252</f>
        <v>331.5</v>
      </c>
      <c r="N252" s="14" t="n">
        <f aca="false">J252-L252</f>
        <v>-2.2</v>
      </c>
      <c r="O252" s="9" t="n">
        <f aca="false">O251+N252</f>
        <v>162</v>
      </c>
      <c r="P252" s="9" t="n">
        <v>247</v>
      </c>
      <c r="Q252" s="9" t="n">
        <v>1.15</v>
      </c>
      <c r="R252" s="15" t="n">
        <f aca="false">Q252*L252</f>
        <v>4.14</v>
      </c>
      <c r="S252" s="15" t="n">
        <f aca="false">J252-R252</f>
        <v>-2.74</v>
      </c>
      <c r="T252" s="15" t="n">
        <f aca="false">MIN(197.4,(T251+S252))</f>
        <v>152.831</v>
      </c>
      <c r="U252" s="9" t="n">
        <v>21</v>
      </c>
      <c r="V252" s="9" t="n">
        <v>2281.1</v>
      </c>
      <c r="W252" s="9" t="n">
        <f aca="false">V252/D252</f>
        <v>186.975409836066</v>
      </c>
      <c r="X252" s="9" t="n">
        <f aca="false">X251+V252</f>
        <v>194216.3</v>
      </c>
      <c r="Y252" s="9" t="n">
        <f aca="false">Y251+V252</f>
        <v>4429.1</v>
      </c>
      <c r="Z252" s="9" t="n">
        <v>44451.6</v>
      </c>
      <c r="AA252" s="9" t="n">
        <v>14.7737093327615</v>
      </c>
    </row>
    <row r="253" s="9" customFormat="true" ht="15" hidden="false" customHeight="false" outlineLevel="0" collapsed="false">
      <c r="A253" s="66"/>
      <c r="B253" s="11"/>
      <c r="C253" s="12" t="n">
        <v>42131</v>
      </c>
      <c r="D253" s="9" t="n">
        <v>12.2</v>
      </c>
      <c r="E253" s="9" t="n">
        <v>7.4</v>
      </c>
      <c r="F253" s="9" t="n">
        <v>16.4</v>
      </c>
      <c r="G253" s="9" t="n">
        <f aca="false">G252+D253</f>
        <v>2187</v>
      </c>
      <c r="H253" s="9" t="n">
        <f aca="false">H252+D253</f>
        <v>39.9</v>
      </c>
      <c r="I253" s="67" t="s">
        <v>31</v>
      </c>
      <c r="J253" s="9" t="n">
        <v>0</v>
      </c>
      <c r="K253" s="9" t="n">
        <f aca="false">K252+J253</f>
        <v>423.3</v>
      </c>
      <c r="L253" s="9" t="n">
        <v>3.3</v>
      </c>
      <c r="M253" s="9" t="n">
        <f aca="false">M252+L253</f>
        <v>334.8</v>
      </c>
      <c r="N253" s="14" t="n">
        <f aca="false">J253-L253</f>
        <v>-3.3</v>
      </c>
      <c r="O253" s="9" t="n">
        <f aca="false">O252+N253</f>
        <v>158.7</v>
      </c>
      <c r="P253" s="9" t="n">
        <v>248</v>
      </c>
      <c r="Q253" s="9" t="n">
        <v>1.15</v>
      </c>
      <c r="R253" s="15" t="n">
        <f aca="false">Q253*L253</f>
        <v>3.795</v>
      </c>
      <c r="S253" s="15" t="n">
        <f aca="false">J253-R253</f>
        <v>-3.795</v>
      </c>
      <c r="T253" s="15" t="n">
        <f aca="false">MIN(197.4,(T252+S253))</f>
        <v>149.036</v>
      </c>
      <c r="U253" s="67" t="s">
        <v>32</v>
      </c>
      <c r="V253" s="9" t="n">
        <v>2187.3</v>
      </c>
      <c r="W253" s="9" t="n">
        <f aca="false">V253/D253</f>
        <v>179.286885245902</v>
      </c>
      <c r="X253" s="9" t="n">
        <f aca="false">X252+V253</f>
        <v>196403.6</v>
      </c>
      <c r="Y253" s="9" t="n">
        <f aca="false">Y252+V253</f>
        <v>6616.4</v>
      </c>
      <c r="Z253" s="67" t="s">
        <v>33</v>
      </c>
      <c r="AA253" s="9" t="n">
        <v>14.8237189949589</v>
      </c>
    </row>
    <row r="254" s="9" customFormat="true" ht="15" hidden="false" customHeight="false" outlineLevel="0" collapsed="false">
      <c r="A254" s="66"/>
      <c r="B254" s="11"/>
      <c r="C254" s="12" t="n">
        <v>42132</v>
      </c>
      <c r="D254" s="9" t="n">
        <v>14</v>
      </c>
      <c r="E254" s="9" t="n">
        <v>9.9</v>
      </c>
      <c r="F254" s="9" t="n">
        <v>18.2</v>
      </c>
      <c r="G254" s="9" t="n">
        <f aca="false">G253+D254</f>
        <v>2201</v>
      </c>
      <c r="H254" s="9" t="n">
        <f aca="false">H253+D254</f>
        <v>53.9</v>
      </c>
      <c r="I254" s="9" t="n">
        <f aca="false">MAX(F251:F272)</f>
        <v>25.4</v>
      </c>
      <c r="J254" s="9" t="n">
        <v>0.2</v>
      </c>
      <c r="K254" s="9" t="n">
        <f aca="false">K253+J254</f>
        <v>423.5</v>
      </c>
      <c r="L254" s="9" t="n">
        <v>2.1</v>
      </c>
      <c r="M254" s="9" t="n">
        <f aca="false">M253+L254</f>
        <v>336.9</v>
      </c>
      <c r="N254" s="14" t="n">
        <f aca="false">J254-L254</f>
        <v>-1.9</v>
      </c>
      <c r="O254" s="9" t="n">
        <f aca="false">O253+N254</f>
        <v>156.8</v>
      </c>
      <c r="P254" s="9" t="n">
        <v>249</v>
      </c>
      <c r="Q254" s="9" t="n">
        <v>1.15</v>
      </c>
      <c r="R254" s="15" t="n">
        <f aca="false">Q254*L254</f>
        <v>2.415</v>
      </c>
      <c r="S254" s="15" t="n">
        <f aca="false">J254-R254</f>
        <v>-2.215</v>
      </c>
      <c r="T254" s="15" t="n">
        <f aca="false">MIN(197.4,(T253+S254))</f>
        <v>146.821</v>
      </c>
      <c r="U254" s="9" t="n">
        <v>0</v>
      </c>
      <c r="V254" s="9" t="n">
        <v>1391.3</v>
      </c>
      <c r="W254" s="9" t="n">
        <f aca="false">V254/D254</f>
        <v>99.3785714285714</v>
      </c>
      <c r="X254" s="9" t="n">
        <f aca="false">X253+V254</f>
        <v>197794.9</v>
      </c>
      <c r="Y254" s="9" t="n">
        <f aca="false">Y253+V254</f>
        <v>8007.7</v>
      </c>
      <c r="Z254" s="17" t="n">
        <f aca="false">(Z252/100)/I264</f>
        <v>1.46366809351334</v>
      </c>
      <c r="AA254" s="9" t="n">
        <v>14.8731860357722</v>
      </c>
    </row>
    <row r="255" s="9" customFormat="true" ht="15" hidden="false" customHeight="false" outlineLevel="0" collapsed="false">
      <c r="A255" s="66"/>
      <c r="B255" s="11"/>
      <c r="C255" s="12" t="n">
        <v>42133</v>
      </c>
      <c r="D255" s="9" t="n">
        <v>15.7</v>
      </c>
      <c r="E255" s="9" t="n">
        <v>13.5</v>
      </c>
      <c r="F255" s="9" t="n">
        <v>18.9</v>
      </c>
      <c r="G255" s="9" t="n">
        <f aca="false">G254+D255</f>
        <v>2216.7</v>
      </c>
      <c r="H255" s="9" t="n">
        <f aca="false">H254+D255</f>
        <v>69.6</v>
      </c>
      <c r="I255" s="67" t="s">
        <v>34</v>
      </c>
      <c r="J255" s="9" t="n">
        <v>0</v>
      </c>
      <c r="K255" s="9" t="n">
        <f aca="false">K254+J255</f>
        <v>423.5</v>
      </c>
      <c r="L255" s="9" t="n">
        <v>4</v>
      </c>
      <c r="M255" s="9" t="n">
        <f aca="false">M254+L255</f>
        <v>340.9</v>
      </c>
      <c r="N255" s="14" t="n">
        <f aca="false">J255-L255</f>
        <v>-4</v>
      </c>
      <c r="O255" s="9" t="n">
        <f aca="false">O254+N255</f>
        <v>152.8</v>
      </c>
      <c r="P255" s="9" t="n">
        <v>250</v>
      </c>
      <c r="Q255" s="9" t="n">
        <v>1.15</v>
      </c>
      <c r="R255" s="15" t="n">
        <f aca="false">Q255*L255</f>
        <v>4.6</v>
      </c>
      <c r="S255" s="15" t="n">
        <f aca="false">J255-R255</f>
        <v>-4.6</v>
      </c>
      <c r="T255" s="15" t="n">
        <f aca="false">MIN(197.4,(T254+S255))</f>
        <v>142.221</v>
      </c>
      <c r="U255" s="67" t="s">
        <v>35</v>
      </c>
      <c r="V255" s="9" t="n">
        <v>2127.1</v>
      </c>
      <c r="W255" s="9" t="n">
        <f aca="false">V255/D255</f>
        <v>135.484076433121</v>
      </c>
      <c r="X255" s="9" t="n">
        <f aca="false">X254+V255</f>
        <v>199922</v>
      </c>
      <c r="Y255" s="9" t="n">
        <f aca="false">Y254+V255</f>
        <v>10134.8</v>
      </c>
      <c r="Z255" s="67" t="s">
        <v>36</v>
      </c>
      <c r="AA255" s="9" t="n">
        <v>14.922088815515</v>
      </c>
    </row>
    <row r="256" s="9" customFormat="true" ht="15" hidden="false" customHeight="false" outlineLevel="0" collapsed="false">
      <c r="A256" s="66"/>
      <c r="B256" s="11"/>
      <c r="C256" s="12" t="n">
        <v>42134</v>
      </c>
      <c r="D256" s="9" t="n">
        <v>15.8</v>
      </c>
      <c r="E256" s="9" t="n">
        <v>10.6</v>
      </c>
      <c r="F256" s="9" t="n">
        <v>21</v>
      </c>
      <c r="G256" s="9" t="n">
        <f aca="false">G255+D256</f>
        <v>2232.5</v>
      </c>
      <c r="H256" s="9" t="n">
        <f aca="false">H255+D256</f>
        <v>85.4</v>
      </c>
      <c r="I256" s="15" t="n">
        <f aca="false">AVERAGE(D251:D272)</f>
        <v>13.8045454545455</v>
      </c>
      <c r="J256" s="9" t="n">
        <v>0</v>
      </c>
      <c r="K256" s="9" t="n">
        <f aca="false">K255+J256</f>
        <v>423.5</v>
      </c>
      <c r="L256" s="9" t="n">
        <v>4.2</v>
      </c>
      <c r="M256" s="9" t="n">
        <f aca="false">M255+L256</f>
        <v>345.1</v>
      </c>
      <c r="N256" s="14" t="n">
        <f aca="false">J256-L256</f>
        <v>-4.2</v>
      </c>
      <c r="O256" s="9" t="n">
        <f aca="false">O255+N256</f>
        <v>148.6</v>
      </c>
      <c r="P256" s="9" t="n">
        <v>251</v>
      </c>
      <c r="Q256" s="9" t="n">
        <v>1.15</v>
      </c>
      <c r="R256" s="15" t="n">
        <f aca="false">Q256*L256</f>
        <v>4.83</v>
      </c>
      <c r="S256" s="15" t="n">
        <f aca="false">J256-R256</f>
        <v>-4.83</v>
      </c>
      <c r="T256" s="15" t="n">
        <f aca="false">MIN(197.4,(T255+S256))</f>
        <v>137.391</v>
      </c>
      <c r="U256" s="9" t="n">
        <v>0</v>
      </c>
      <c r="V256" s="9" t="n">
        <v>2504.8</v>
      </c>
      <c r="W256" s="9" t="n">
        <f aca="false">V256/D256</f>
        <v>158.53164556962</v>
      </c>
      <c r="X256" s="9" t="n">
        <f aca="false">X255+V256</f>
        <v>202426.8</v>
      </c>
      <c r="Y256" s="9" t="n">
        <f aca="false">Y255+V256</f>
        <v>12639.6</v>
      </c>
      <c r="Z256" s="9" t="n">
        <v>0</v>
      </c>
      <c r="AA256" s="9" t="n">
        <v>14.970405191975</v>
      </c>
    </row>
    <row r="257" s="9" customFormat="true" ht="15" hidden="false" customHeight="false" outlineLevel="0" collapsed="false">
      <c r="A257" s="66"/>
      <c r="B257" s="11"/>
      <c r="C257" s="12" t="n">
        <v>42135</v>
      </c>
      <c r="D257" s="9" t="n">
        <v>19.2</v>
      </c>
      <c r="E257" s="9" t="n">
        <v>12.1</v>
      </c>
      <c r="F257" s="18" t="n">
        <v>25.4</v>
      </c>
      <c r="G257" s="9" t="n">
        <f aca="false">G256+D257</f>
        <v>2251.7</v>
      </c>
      <c r="H257" s="9" t="n">
        <f aca="false">H256+D257</f>
        <v>104.6</v>
      </c>
      <c r="I257" s="67" t="s">
        <v>37</v>
      </c>
      <c r="J257" s="9" t="n">
        <v>0</v>
      </c>
      <c r="K257" s="9" t="n">
        <f aca="false">K256+J257</f>
        <v>423.5</v>
      </c>
      <c r="L257" s="9" t="n">
        <v>3.6</v>
      </c>
      <c r="M257" s="9" t="n">
        <f aca="false">M256+L257</f>
        <v>348.7</v>
      </c>
      <c r="N257" s="14" t="n">
        <f aca="false">J257-L257</f>
        <v>-3.6</v>
      </c>
      <c r="O257" s="9" t="n">
        <f aca="false">O256+N257</f>
        <v>145</v>
      </c>
      <c r="P257" s="9" t="n">
        <v>252</v>
      </c>
      <c r="Q257" s="9" t="n">
        <v>1.15</v>
      </c>
      <c r="R257" s="15" t="n">
        <f aca="false">Q257*L257</f>
        <v>4.14</v>
      </c>
      <c r="S257" s="15" t="n">
        <f aca="false">J257-R257</f>
        <v>-4.14</v>
      </c>
      <c r="T257" s="15" t="n">
        <f aca="false">MIN(197.4,(T256+S257))</f>
        <v>133.251</v>
      </c>
      <c r="U257" s="67" t="s">
        <v>38</v>
      </c>
      <c r="V257" s="9" t="n">
        <v>2073.4</v>
      </c>
      <c r="W257" s="9" t="n">
        <f aca="false">V257/D257</f>
        <v>107.989583333333</v>
      </c>
      <c r="X257" s="9" t="n">
        <f aca="false">X256+V257</f>
        <v>204500.2</v>
      </c>
      <c r="Y257" s="9" t="n">
        <f aca="false">Y256+V257</f>
        <v>14713</v>
      </c>
      <c r="AA257" s="9" t="n">
        <v>15.0181125337721</v>
      </c>
    </row>
    <row r="258" s="9" customFormat="true" ht="15" hidden="false" customHeight="false" outlineLevel="0" collapsed="false">
      <c r="A258" s="66"/>
      <c r="B258" s="11"/>
      <c r="C258" s="12" t="n">
        <v>42136</v>
      </c>
      <c r="D258" s="9" t="n">
        <v>16.5</v>
      </c>
      <c r="E258" s="9" t="n">
        <v>14.7</v>
      </c>
      <c r="F258" s="9" t="n">
        <v>20.9</v>
      </c>
      <c r="G258" s="9" t="n">
        <f aca="false">G257+D258</f>
        <v>2268.2</v>
      </c>
      <c r="H258" s="9" t="n">
        <f aca="false">H257+D258</f>
        <v>121.1</v>
      </c>
      <c r="I258" s="9" t="n">
        <v>0</v>
      </c>
      <c r="J258" s="9" t="n">
        <v>0</v>
      </c>
      <c r="K258" s="9" t="n">
        <f aca="false">K257+J258</f>
        <v>423.5</v>
      </c>
      <c r="L258" s="9" t="n">
        <v>3.3</v>
      </c>
      <c r="M258" s="9" t="n">
        <f aca="false">M257+L258</f>
        <v>352</v>
      </c>
      <c r="N258" s="14" t="n">
        <f aca="false">J258-L258</f>
        <v>-3.3</v>
      </c>
      <c r="O258" s="9" t="n">
        <f aca="false">O257+N258</f>
        <v>141.7</v>
      </c>
      <c r="P258" s="9" t="n">
        <v>253</v>
      </c>
      <c r="Q258" s="9" t="n">
        <v>1.15</v>
      </c>
      <c r="R258" s="15" t="n">
        <f aca="false">Q258*L258</f>
        <v>3.795</v>
      </c>
      <c r="S258" s="15" t="n">
        <f aca="false">J258-R258</f>
        <v>-3.795</v>
      </c>
      <c r="T258" s="15" t="n">
        <f aca="false">MIN(197.4,(T257+S258))</f>
        <v>129.456</v>
      </c>
      <c r="U258" s="15" t="n">
        <f aca="false">MIN(T251:T272)</f>
        <v>86.3860000000001</v>
      </c>
      <c r="V258" s="9" t="n">
        <v>1617.8</v>
      </c>
      <c r="W258" s="9" t="n">
        <f aca="false">V258/D258</f>
        <v>98.0484848484849</v>
      </c>
      <c r="X258" s="9" t="n">
        <f aca="false">X257+V258</f>
        <v>206118</v>
      </c>
      <c r="Y258" s="9" t="n">
        <f aca="false">Y257+V258</f>
        <v>16330.8</v>
      </c>
      <c r="AA258" s="9" t="n">
        <v>15.065187736107</v>
      </c>
    </row>
    <row r="259" s="9" customFormat="true" ht="15" hidden="false" customHeight="false" outlineLevel="0" collapsed="false">
      <c r="A259" s="66"/>
      <c r="B259" s="11"/>
      <c r="C259" s="12" t="n">
        <v>42137</v>
      </c>
      <c r="D259" s="9" t="n">
        <v>15.9</v>
      </c>
      <c r="E259" s="9" t="n">
        <v>10</v>
      </c>
      <c r="F259" s="9" t="n">
        <v>20.5</v>
      </c>
      <c r="G259" s="9" t="n">
        <f aca="false">G258+D259</f>
        <v>2284.1</v>
      </c>
      <c r="H259" s="9" t="n">
        <f aca="false">H258+D259</f>
        <v>137</v>
      </c>
      <c r="I259" s="67" t="s">
        <v>39</v>
      </c>
      <c r="J259" s="9" t="n">
        <v>0</v>
      </c>
      <c r="K259" s="9" t="n">
        <f aca="false">K258+J259</f>
        <v>423.5</v>
      </c>
      <c r="L259" s="9" t="n">
        <v>3.2</v>
      </c>
      <c r="M259" s="9" t="n">
        <f aca="false">M258+L259</f>
        <v>355.2</v>
      </c>
      <c r="N259" s="14" t="n">
        <f aca="false">J259-L259</f>
        <v>-3.2</v>
      </c>
      <c r="O259" s="9" t="n">
        <f aca="false">O258+N259</f>
        <v>138.5</v>
      </c>
      <c r="P259" s="9" t="n">
        <v>254</v>
      </c>
      <c r="Q259" s="9" t="n">
        <v>1.15</v>
      </c>
      <c r="R259" s="15" t="n">
        <f aca="false">Q259*L259</f>
        <v>3.68</v>
      </c>
      <c r="S259" s="15" t="n">
        <f aca="false">J259-R259</f>
        <v>-3.68</v>
      </c>
      <c r="T259" s="15" t="n">
        <f aca="false">MIN(197.4,(T258+S259))</f>
        <v>125.776</v>
      </c>
      <c r="U259" s="67" t="s">
        <v>40</v>
      </c>
      <c r="V259" s="9" t="n">
        <v>1800.2</v>
      </c>
      <c r="W259" s="9" t="n">
        <f aca="false">V259/D259</f>
        <v>113.220125786164</v>
      </c>
      <c r="X259" s="9" t="n">
        <f aca="false">X258+V259</f>
        <v>207918.2</v>
      </c>
      <c r="Y259" s="9" t="n">
        <f aca="false">Y258+V259</f>
        <v>18131</v>
      </c>
      <c r="AA259" s="9" t="n">
        <v>15.1116072389986</v>
      </c>
    </row>
    <row r="260" s="9" customFormat="true" ht="15" hidden="false" customHeight="false" outlineLevel="0" collapsed="false">
      <c r="A260" s="66"/>
      <c r="B260" s="11"/>
      <c r="C260" s="12" t="n">
        <v>42138</v>
      </c>
      <c r="D260" s="9" t="n">
        <v>13.5</v>
      </c>
      <c r="E260" s="9" t="n">
        <v>12.3</v>
      </c>
      <c r="F260" s="9" t="n">
        <v>16</v>
      </c>
      <c r="G260" s="9" t="n">
        <f aca="false">G259+D260</f>
        <v>2297.6</v>
      </c>
      <c r="H260" s="9" t="n">
        <f aca="false">H259+D260</f>
        <v>150.5</v>
      </c>
      <c r="I260" s="9" t="n">
        <v>1</v>
      </c>
      <c r="J260" s="9" t="n">
        <v>5.7</v>
      </c>
      <c r="K260" s="9" t="n">
        <f aca="false">K259+J260</f>
        <v>429.2</v>
      </c>
      <c r="L260" s="9" t="n">
        <v>1.6</v>
      </c>
      <c r="M260" s="9" t="n">
        <f aca="false">M259+L260</f>
        <v>356.8</v>
      </c>
      <c r="N260" s="9" t="n">
        <f aca="false">J260-L260</f>
        <v>4.1</v>
      </c>
      <c r="O260" s="9" t="n">
        <f aca="false">O259+N260</f>
        <v>142.6</v>
      </c>
      <c r="P260" s="9" t="n">
        <v>255</v>
      </c>
      <c r="Q260" s="9" t="n">
        <v>1.15</v>
      </c>
      <c r="R260" s="15" t="n">
        <f aca="false">Q260*L260</f>
        <v>1.84</v>
      </c>
      <c r="S260" s="15" t="n">
        <f aca="false">J260-R260</f>
        <v>3.86</v>
      </c>
      <c r="T260" s="15" t="n">
        <f aca="false">MIN(197.4,(T259+S260))</f>
        <v>129.636</v>
      </c>
      <c r="U260" s="15" t="n">
        <f aca="false">MAX(T251:T272)</f>
        <v>155.571</v>
      </c>
      <c r="V260" s="9" t="n">
        <v>993.8</v>
      </c>
      <c r="W260" s="9" t="n">
        <f aca="false">V260/D260</f>
        <v>73.6148148148148</v>
      </c>
      <c r="X260" s="9" t="n">
        <f aca="false">X259+V260</f>
        <v>208912</v>
      </c>
      <c r="Y260" s="9" t="n">
        <f aca="false">Y259+V260</f>
        <v>19124.8</v>
      </c>
      <c r="AA260" s="9" t="n">
        <v>15.1573470481062</v>
      </c>
    </row>
    <row r="261" s="9" customFormat="true" ht="15" hidden="false" customHeight="false" outlineLevel="0" collapsed="false">
      <c r="A261" s="66"/>
      <c r="B261" s="11"/>
      <c r="C261" s="12" t="n">
        <v>42139</v>
      </c>
      <c r="D261" s="9" t="n">
        <v>11</v>
      </c>
      <c r="E261" s="9" t="n">
        <v>8.9</v>
      </c>
      <c r="F261" s="9" t="n">
        <v>14</v>
      </c>
      <c r="G261" s="9" t="n">
        <f aca="false">G260+D261</f>
        <v>2308.6</v>
      </c>
      <c r="H261" s="9" t="n">
        <f aca="false">H260+D261</f>
        <v>161.5</v>
      </c>
      <c r="I261" s="67" t="s">
        <v>41</v>
      </c>
      <c r="J261" s="9" t="n">
        <v>0</v>
      </c>
      <c r="K261" s="9" t="n">
        <f aca="false">K260+J261</f>
        <v>429.2</v>
      </c>
      <c r="L261" s="9" t="n">
        <v>1.6</v>
      </c>
      <c r="M261" s="9" t="n">
        <f aca="false">M260+L261</f>
        <v>358.4</v>
      </c>
      <c r="N261" s="14" t="n">
        <f aca="false">J261-L261</f>
        <v>-1.6</v>
      </c>
      <c r="O261" s="9" t="n">
        <f aca="false">O260+N261</f>
        <v>141</v>
      </c>
      <c r="P261" s="9" t="n">
        <v>256</v>
      </c>
      <c r="Q261" s="9" t="n">
        <v>1.15</v>
      </c>
      <c r="R261" s="15" t="n">
        <f aca="false">Q261*L261</f>
        <v>1.84</v>
      </c>
      <c r="S261" s="15" t="n">
        <f aca="false">J261-R261</f>
        <v>-1.84</v>
      </c>
      <c r="T261" s="15" t="n">
        <f aca="false">MIN(197.4,(T260+S261))</f>
        <v>127.796</v>
      </c>
      <c r="U261" s="67" t="s">
        <v>42</v>
      </c>
      <c r="V261" s="9" t="n">
        <v>1108.1</v>
      </c>
      <c r="W261" s="9" t="n">
        <f aca="false">V261/D261</f>
        <v>100.736363636364</v>
      </c>
      <c r="X261" s="9" t="n">
        <f aca="false">X260+V261</f>
        <v>210020.1</v>
      </c>
      <c r="Y261" s="9" t="n">
        <f aca="false">Y260+V261</f>
        <v>20232.9</v>
      </c>
      <c r="AA261" s="9" t="n">
        <v>15.2023827582232</v>
      </c>
    </row>
    <row r="262" s="50" customFormat="true" ht="15" hidden="false" customHeight="false" outlineLevel="0" collapsed="false">
      <c r="A262" s="66"/>
      <c r="B262" s="48"/>
      <c r="C262" s="49" t="n">
        <v>42140</v>
      </c>
      <c r="D262" s="50" t="n">
        <v>11.6</v>
      </c>
      <c r="E262" s="50" t="n">
        <v>8</v>
      </c>
      <c r="F262" s="50" t="n">
        <v>16.1</v>
      </c>
      <c r="G262" s="50" t="n">
        <f aca="false">G261+D262</f>
        <v>2320.2</v>
      </c>
      <c r="H262" s="50" t="n">
        <f aca="false">H261+D262</f>
        <v>173.1</v>
      </c>
      <c r="I262" s="50" t="n">
        <v>0</v>
      </c>
      <c r="J262" s="50" t="n">
        <v>0</v>
      </c>
      <c r="K262" s="50" t="n">
        <f aca="false">K261+J262</f>
        <v>429.2</v>
      </c>
      <c r="L262" s="50" t="n">
        <v>1.8</v>
      </c>
      <c r="M262" s="50" t="n">
        <f aca="false">M261+L262</f>
        <v>360.2</v>
      </c>
      <c r="N262" s="52" t="n">
        <f aca="false">J262-L262</f>
        <v>-1.8</v>
      </c>
      <c r="O262" s="50" t="n">
        <f aca="false">O261+N262</f>
        <v>139.2</v>
      </c>
      <c r="P262" s="50" t="n">
        <v>257</v>
      </c>
      <c r="Q262" s="9" t="n">
        <v>1.15</v>
      </c>
      <c r="R262" s="53" t="n">
        <f aca="false">Q262*L262</f>
        <v>2.07</v>
      </c>
      <c r="S262" s="53" t="n">
        <f aca="false">J262-R262</f>
        <v>-2.07</v>
      </c>
      <c r="T262" s="15" t="n">
        <f aca="false">MIN(197.4,(T261+S262))</f>
        <v>125.726</v>
      </c>
      <c r="U262" s="68" t="n">
        <f aca="false">AVERAGE(T251:T272)</f>
        <v>122.606681818182</v>
      </c>
      <c r="V262" s="50" t="n">
        <v>1126.8</v>
      </c>
      <c r="W262" s="50" t="n">
        <f aca="false">V262/D262</f>
        <v>97.1379310344828</v>
      </c>
      <c r="X262" s="50" t="n">
        <f aca="false">X261+V262</f>
        <v>211146.9</v>
      </c>
      <c r="Y262" s="9" t="n">
        <f aca="false">Y261+V262</f>
        <v>21359.7</v>
      </c>
      <c r="AA262" s="9" t="n">
        <v>15.2466895795214</v>
      </c>
    </row>
    <row r="263" s="9" customFormat="true" ht="15" hidden="false" customHeight="true" outlineLevel="0" collapsed="false">
      <c r="A263" s="66"/>
      <c r="B263" s="11"/>
      <c r="C263" s="12" t="n">
        <v>42141</v>
      </c>
      <c r="D263" s="9" t="n">
        <v>13</v>
      </c>
      <c r="E263" s="9" t="n">
        <v>7.9</v>
      </c>
      <c r="F263" s="9" t="n">
        <v>17.9</v>
      </c>
      <c r="G263" s="9" t="n">
        <f aca="false">G262+D263</f>
        <v>2333.2</v>
      </c>
      <c r="H263" s="9" t="n">
        <f aca="false">H262+D263</f>
        <v>186.1</v>
      </c>
      <c r="I263" s="67" t="s">
        <v>43</v>
      </c>
      <c r="J263" s="9" t="n">
        <v>0</v>
      </c>
      <c r="K263" s="9" t="n">
        <f aca="false">K262+J263</f>
        <v>429.2</v>
      </c>
      <c r="L263" s="9" t="n">
        <v>3.6</v>
      </c>
      <c r="M263" s="9" t="n">
        <f aca="false">M262+L263</f>
        <v>363.8</v>
      </c>
      <c r="N263" s="14" t="n">
        <f aca="false">J263-L263</f>
        <v>-3.6</v>
      </c>
      <c r="O263" s="9" t="n">
        <f aca="false">O262+N263</f>
        <v>135.6</v>
      </c>
      <c r="P263" s="9" t="n">
        <v>258</v>
      </c>
      <c r="Q263" s="9" t="n">
        <v>1.15</v>
      </c>
      <c r="R263" s="15" t="n">
        <f aca="false">Q263*L263</f>
        <v>4.14</v>
      </c>
      <c r="S263" s="15" t="n">
        <f aca="false">J263-R263</f>
        <v>-4.14</v>
      </c>
      <c r="T263" s="15" t="n">
        <f aca="false">MIN(197.4,(T262+S263))</f>
        <v>121.586</v>
      </c>
      <c r="V263" s="9" t="n">
        <v>2294.8</v>
      </c>
      <c r="W263" s="9" t="n">
        <f aca="false">V263/D263</f>
        <v>176.523076923077</v>
      </c>
      <c r="X263" s="9" t="n">
        <f aca="false">X262+V263</f>
        <v>213441.7</v>
      </c>
      <c r="Y263" s="9" t="n">
        <f aca="false">Y262+V263</f>
        <v>23654.5</v>
      </c>
      <c r="AA263" s="9" t="n">
        <v>15.2902423666155</v>
      </c>
    </row>
    <row r="264" s="9" customFormat="true" ht="15" hidden="false" customHeight="false" outlineLevel="0" collapsed="false">
      <c r="A264" s="66"/>
      <c r="B264" s="11"/>
      <c r="C264" s="12" t="n">
        <v>42142</v>
      </c>
      <c r="D264" s="9" t="n">
        <v>13.3</v>
      </c>
      <c r="E264" s="9" t="n">
        <v>8.6</v>
      </c>
      <c r="F264" s="9" t="n">
        <v>19.5</v>
      </c>
      <c r="G264" s="9" t="n">
        <f aca="false">G263+D264</f>
        <v>2346.5</v>
      </c>
      <c r="H264" s="9" t="n">
        <f aca="false">H263+D264</f>
        <v>199.4</v>
      </c>
      <c r="I264" s="9" t="n">
        <v>303.7</v>
      </c>
      <c r="J264" s="9" t="n">
        <v>0.4</v>
      </c>
      <c r="K264" s="9" t="n">
        <f aca="false">K263+J264</f>
        <v>429.6</v>
      </c>
      <c r="L264" s="9" t="n">
        <v>4.1</v>
      </c>
      <c r="M264" s="9" t="n">
        <f aca="false">M263+L264</f>
        <v>367.9</v>
      </c>
      <c r="N264" s="14" t="n">
        <f aca="false">J264-L264</f>
        <v>-3.7</v>
      </c>
      <c r="O264" s="9" t="n">
        <f aca="false">O263+N264</f>
        <v>131.9</v>
      </c>
      <c r="P264" s="9" t="n">
        <v>259</v>
      </c>
      <c r="Q264" s="9" t="n">
        <v>1.15</v>
      </c>
      <c r="R264" s="15" t="n">
        <f aca="false">Q264*L264</f>
        <v>4.715</v>
      </c>
      <c r="S264" s="15" t="n">
        <f aca="false">J264-R264</f>
        <v>-4.315</v>
      </c>
      <c r="T264" s="15" t="n">
        <f aca="false">MIN(197.4,(T263+S264))</f>
        <v>117.271</v>
      </c>
      <c r="U264" s="9" t="n">
        <f aca="false">(U262*100)/197.4</f>
        <v>62.1107810629087</v>
      </c>
      <c r="V264" s="9" t="n">
        <v>2238.4</v>
      </c>
      <c r="W264" s="9" t="n">
        <f aca="false">V264/D264</f>
        <v>168.300751879699</v>
      </c>
      <c r="X264" s="9" t="n">
        <f aca="false">X263+V264</f>
        <v>215680.1</v>
      </c>
      <c r="Y264" s="9" t="n">
        <f aca="false">Y263+V264</f>
        <v>25892.9</v>
      </c>
      <c r="AA264" s="9" t="n">
        <v>15.3330156505037</v>
      </c>
    </row>
    <row r="265" s="9" customFormat="true" ht="15" hidden="false" customHeight="false" outlineLevel="0" collapsed="false">
      <c r="A265" s="66"/>
      <c r="B265" s="11"/>
      <c r="C265" s="12" t="n">
        <v>42143</v>
      </c>
      <c r="D265" s="9" t="n">
        <v>10.1</v>
      </c>
      <c r="E265" s="9" t="n">
        <v>8</v>
      </c>
      <c r="F265" s="9" t="n">
        <v>14.8</v>
      </c>
      <c r="G265" s="9" t="n">
        <f aca="false">G264+D265</f>
        <v>2356.6</v>
      </c>
      <c r="H265" s="9" t="n">
        <f aca="false">H264+D265</f>
        <v>209.5</v>
      </c>
      <c r="J265" s="9" t="n">
        <v>0.7</v>
      </c>
      <c r="K265" s="9" t="n">
        <f aca="false">K264+J265</f>
        <v>430.3</v>
      </c>
      <c r="L265" s="9" t="n">
        <v>4.1</v>
      </c>
      <c r="M265" s="9" t="n">
        <f aca="false">M264+L265</f>
        <v>372</v>
      </c>
      <c r="N265" s="14" t="n">
        <f aca="false">J265-L265</f>
        <v>-3.4</v>
      </c>
      <c r="O265" s="9" t="n">
        <f aca="false">O264+N265</f>
        <v>128.5</v>
      </c>
      <c r="P265" s="9" t="n">
        <v>260</v>
      </c>
      <c r="Q265" s="9" t="n">
        <v>1.15</v>
      </c>
      <c r="R265" s="15" t="n">
        <f aca="false">Q265*L265</f>
        <v>4.715</v>
      </c>
      <c r="S265" s="15" t="n">
        <f aca="false">J265-R265</f>
        <v>-4.015</v>
      </c>
      <c r="T265" s="15" t="n">
        <f aca="false">MIN(197.4,(T264+S265))</f>
        <v>113.256</v>
      </c>
      <c r="V265" s="9" t="n">
        <v>2634.1</v>
      </c>
      <c r="W265" s="9" t="n">
        <f aca="false">V265/D265</f>
        <v>260.80198019802</v>
      </c>
      <c r="X265" s="9" t="n">
        <f aca="false">X264+V265</f>
        <v>218314.2</v>
      </c>
      <c r="Y265" s="9" t="n">
        <f aca="false">Y264+V265</f>
        <v>28527</v>
      </c>
      <c r="AA265" s="9" t="n">
        <v>15.3749836734314</v>
      </c>
    </row>
    <row r="266" s="9" customFormat="true" ht="15" hidden="false" customHeight="false" outlineLevel="0" collapsed="false">
      <c r="A266" s="66"/>
      <c r="B266" s="11"/>
      <c r="C266" s="12" t="n">
        <v>42144</v>
      </c>
      <c r="D266" s="9" t="n">
        <v>9.2</v>
      </c>
      <c r="E266" s="9" t="n">
        <v>5.9</v>
      </c>
      <c r="F266" s="9" t="n">
        <v>12.7</v>
      </c>
      <c r="G266" s="9" t="n">
        <f aca="false">G265+D266</f>
        <v>2365.8</v>
      </c>
      <c r="H266" s="9" t="n">
        <f aca="false">H265+D266</f>
        <v>218.7</v>
      </c>
      <c r="J266" s="9" t="n">
        <v>0.3</v>
      </c>
      <c r="K266" s="9" t="n">
        <f aca="false">K265+J266</f>
        <v>430.6</v>
      </c>
      <c r="L266" s="9" t="n">
        <v>2.7</v>
      </c>
      <c r="M266" s="9" t="n">
        <f aca="false">M265+L266</f>
        <v>374.7</v>
      </c>
      <c r="N266" s="14" t="n">
        <f aca="false">J266-L266</f>
        <v>-2.4</v>
      </c>
      <c r="O266" s="9" t="n">
        <f aca="false">O265+N266</f>
        <v>126.1</v>
      </c>
      <c r="P266" s="9" t="n">
        <v>261</v>
      </c>
      <c r="Q266" s="9" t="n">
        <v>1.15</v>
      </c>
      <c r="R266" s="15" t="n">
        <f aca="false">Q266*L266</f>
        <v>3.105</v>
      </c>
      <c r="S266" s="15" t="n">
        <f aca="false">J266-R266</f>
        <v>-2.805</v>
      </c>
      <c r="T266" s="15" t="n">
        <f aca="false">MIN(197.4,(T265+S266))</f>
        <v>110.451</v>
      </c>
      <c r="V266" s="9" t="n">
        <v>2015.8</v>
      </c>
      <c r="W266" s="9" t="n">
        <f aca="false">V266/D266</f>
        <v>219.108695652174</v>
      </c>
      <c r="X266" s="9" t="n">
        <f aca="false">X265+V266</f>
        <v>220330</v>
      </c>
      <c r="Y266" s="9" t="n">
        <f aca="false">Y265+V266</f>
        <v>30542.8</v>
      </c>
      <c r="AA266" s="9" t="n">
        <v>15.4161204267035</v>
      </c>
    </row>
    <row r="267" s="9" customFormat="true" ht="15" hidden="false" customHeight="false" outlineLevel="0" collapsed="false">
      <c r="A267" s="66"/>
      <c r="B267" s="11"/>
      <c r="C267" s="12" t="n">
        <v>42145</v>
      </c>
      <c r="D267" s="9" t="n">
        <v>11.8</v>
      </c>
      <c r="E267" s="9" t="n">
        <v>5.2</v>
      </c>
      <c r="F267" s="9" t="n">
        <v>16.6</v>
      </c>
      <c r="G267" s="9" t="n">
        <f aca="false">G266+D267</f>
        <v>2377.6</v>
      </c>
      <c r="H267" s="9" t="n">
        <f aca="false">H266+D267</f>
        <v>230.5</v>
      </c>
      <c r="J267" s="9" t="n">
        <v>0</v>
      </c>
      <c r="K267" s="9" t="n">
        <f aca="false">K266+J267</f>
        <v>430.6</v>
      </c>
      <c r="L267" s="9" t="n">
        <v>3.7</v>
      </c>
      <c r="M267" s="9" t="n">
        <f aca="false">M266+L267</f>
        <v>378.4</v>
      </c>
      <c r="N267" s="14" t="n">
        <f aca="false">J267-L267</f>
        <v>-3.7</v>
      </c>
      <c r="O267" s="9" t="n">
        <f aca="false">O266+N267</f>
        <v>122.4</v>
      </c>
      <c r="P267" s="9" t="n">
        <v>262</v>
      </c>
      <c r="Q267" s="9" t="n">
        <v>1.15</v>
      </c>
      <c r="R267" s="15" t="n">
        <f aca="false">Q267*L267</f>
        <v>4.255</v>
      </c>
      <c r="S267" s="15" t="n">
        <f aca="false">J267-R267</f>
        <v>-4.255</v>
      </c>
      <c r="T267" s="15" t="n">
        <f aca="false">MIN(197.4,(T266+S267))</f>
        <v>106.196</v>
      </c>
      <c r="V267" s="9" t="n">
        <v>2581.5</v>
      </c>
      <c r="W267" s="9" t="n">
        <f aca="false">V267/D267</f>
        <v>218.771186440678</v>
      </c>
      <c r="X267" s="9" t="n">
        <f aca="false">X266+V267</f>
        <v>222911.5</v>
      </c>
      <c r="Y267" s="9" t="n">
        <f aca="false">Y266+V267</f>
        <v>33124.3</v>
      </c>
      <c r="AA267" s="9" t="n">
        <v>15.456399691461</v>
      </c>
    </row>
    <row r="268" s="9" customFormat="true" ht="15" hidden="false" customHeight="false" outlineLevel="0" collapsed="false">
      <c r="A268" s="66"/>
      <c r="B268" s="11"/>
      <c r="C268" s="12" t="n">
        <v>42146</v>
      </c>
      <c r="D268" s="9" t="n">
        <v>13.5</v>
      </c>
      <c r="E268" s="9" t="n">
        <v>8.5</v>
      </c>
      <c r="F268" s="9" t="n">
        <v>18.2</v>
      </c>
      <c r="G268" s="9" t="n">
        <f aca="false">G267+D268</f>
        <v>2391.1</v>
      </c>
      <c r="H268" s="9" t="n">
        <f aca="false">H267+D268</f>
        <v>244</v>
      </c>
      <c r="J268" s="9" t="n">
        <v>0</v>
      </c>
      <c r="K268" s="9" t="n">
        <f aca="false">K267+J268</f>
        <v>430.6</v>
      </c>
      <c r="L268" s="9" t="n">
        <v>3.4</v>
      </c>
      <c r="M268" s="9" t="n">
        <f aca="false">M267+L268</f>
        <v>381.8</v>
      </c>
      <c r="N268" s="14" t="n">
        <f aca="false">J268-L268</f>
        <v>-3.4</v>
      </c>
      <c r="O268" s="9" t="n">
        <f aca="false">O267+N268</f>
        <v>119</v>
      </c>
      <c r="P268" s="9" t="n">
        <v>263</v>
      </c>
      <c r="Q268" s="9" t="n">
        <v>1.15</v>
      </c>
      <c r="R268" s="15" t="n">
        <f aca="false">Q268*L268</f>
        <v>3.91</v>
      </c>
      <c r="S268" s="15" t="n">
        <f aca="false">J268-R268</f>
        <v>-3.91</v>
      </c>
      <c r="T268" s="15" t="n">
        <f aca="false">MIN(197.4,(T267+S268))</f>
        <v>102.286</v>
      </c>
      <c r="V268" s="9" t="n">
        <v>2067.7</v>
      </c>
      <c r="W268" s="9" t="n">
        <f aca="false">V268/D268</f>
        <v>153.162962962963</v>
      </c>
      <c r="X268" s="9" t="n">
        <f aca="false">X267+V268</f>
        <v>224979.2</v>
      </c>
      <c r="Y268" s="9" t="n">
        <f aca="false">Y267+V268</f>
        <v>35192</v>
      </c>
      <c r="AA268" s="9" t="n">
        <v>15.4957950824135</v>
      </c>
    </row>
    <row r="269" s="9" customFormat="true" ht="15" hidden="false" customHeight="false" outlineLevel="0" collapsed="false">
      <c r="A269" s="66"/>
      <c r="B269" s="11"/>
      <c r="C269" s="12" t="n">
        <v>42147</v>
      </c>
      <c r="D269" s="9" t="n">
        <v>15.2</v>
      </c>
      <c r="E269" s="9" t="n">
        <v>10</v>
      </c>
      <c r="F269" s="9" t="n">
        <v>20.2</v>
      </c>
      <c r="G269" s="9" t="n">
        <f aca="false">G268+D269</f>
        <v>2406.3</v>
      </c>
      <c r="H269" s="9" t="n">
        <f aca="false">H268+D269</f>
        <v>259.2</v>
      </c>
      <c r="J269" s="9" t="n">
        <v>0</v>
      </c>
      <c r="K269" s="9" t="n">
        <f aca="false">K268+J269</f>
        <v>430.6</v>
      </c>
      <c r="L269" s="9" t="n">
        <v>3.6</v>
      </c>
      <c r="M269" s="9" t="n">
        <f aca="false">M268+L269</f>
        <v>385.4</v>
      </c>
      <c r="N269" s="14" t="n">
        <f aca="false">J269-L269</f>
        <v>-3.6</v>
      </c>
      <c r="O269" s="9" t="n">
        <f aca="false">O268+N269</f>
        <v>115.4</v>
      </c>
      <c r="P269" s="9" t="n">
        <v>264</v>
      </c>
      <c r="Q269" s="9" t="n">
        <v>1.15</v>
      </c>
      <c r="R269" s="15" t="n">
        <f aca="false">Q269*L269</f>
        <v>4.14</v>
      </c>
      <c r="S269" s="15" t="n">
        <f aca="false">J269-R269</f>
        <v>-4.14</v>
      </c>
      <c r="T269" s="15" t="n">
        <f aca="false">MIN(197.4,(T268+S269))</f>
        <v>98.1460000000001</v>
      </c>
      <c r="V269" s="9" t="n">
        <v>2055.9</v>
      </c>
      <c r="W269" s="9" t="n">
        <f aca="false">V269/D269</f>
        <v>135.256578947368</v>
      </c>
      <c r="X269" s="9" t="n">
        <f aca="false">X268+V269</f>
        <v>227035.1</v>
      </c>
      <c r="Y269" s="9" t="n">
        <f aca="false">Y268+V269</f>
        <v>37247.9</v>
      </c>
      <c r="AA269" s="9" t="n">
        <v>15.5342800945023</v>
      </c>
    </row>
    <row r="270" s="9" customFormat="true" ht="15" hidden="false" customHeight="false" outlineLevel="0" collapsed="false">
      <c r="A270" s="66"/>
      <c r="B270" s="11"/>
      <c r="C270" s="12" t="n">
        <v>42148</v>
      </c>
      <c r="D270" s="9" t="n">
        <v>15.7</v>
      </c>
      <c r="E270" s="9" t="n">
        <v>12</v>
      </c>
      <c r="F270" s="9" t="n">
        <v>19.7</v>
      </c>
      <c r="G270" s="9" t="n">
        <f aca="false">G269+D270</f>
        <v>2422</v>
      </c>
      <c r="H270" s="9" t="n">
        <f aca="false">H269+D270</f>
        <v>274.9</v>
      </c>
      <c r="J270" s="9" t="n">
        <v>2.3</v>
      </c>
      <c r="K270" s="9" t="n">
        <f aca="false">K269+J270</f>
        <v>432.9</v>
      </c>
      <c r="L270" s="9" t="n">
        <v>4.5</v>
      </c>
      <c r="M270" s="9" t="n">
        <f aca="false">M269+L270</f>
        <v>389.9</v>
      </c>
      <c r="N270" s="14" t="n">
        <f aca="false">J270-L270</f>
        <v>-2.2</v>
      </c>
      <c r="O270" s="9" t="n">
        <f aca="false">O269+N270</f>
        <v>113.2</v>
      </c>
      <c r="P270" s="9" t="n">
        <v>265</v>
      </c>
      <c r="Q270" s="9" t="n">
        <v>1.15</v>
      </c>
      <c r="R270" s="15" t="n">
        <f aca="false">Q270*L270</f>
        <v>5.175</v>
      </c>
      <c r="S270" s="15" t="n">
        <f aca="false">J270-R270</f>
        <v>-2.875</v>
      </c>
      <c r="T270" s="15" t="n">
        <f aca="false">MIN(197.4,(T269+S270))</f>
        <v>95.2710000000001</v>
      </c>
      <c r="V270" s="9" t="n">
        <v>2604.6</v>
      </c>
      <c r="W270" s="9" t="n">
        <f aca="false">V270/D270</f>
        <v>165.898089171975</v>
      </c>
      <c r="X270" s="9" t="n">
        <f aca="false">X269+V270</f>
        <v>229639.7</v>
      </c>
      <c r="Y270" s="9" t="n">
        <f aca="false">Y269+V270</f>
        <v>39852.5</v>
      </c>
      <c r="AA270" s="9" t="n">
        <v>15.5718281524457</v>
      </c>
    </row>
    <row r="271" s="9" customFormat="true" ht="15" hidden="false" customHeight="false" outlineLevel="0" collapsed="false">
      <c r="A271" s="66"/>
      <c r="B271" s="11"/>
      <c r="C271" s="12" t="n">
        <v>42149</v>
      </c>
      <c r="D271" s="9" t="n">
        <v>14.7</v>
      </c>
      <c r="E271" s="9" t="n">
        <v>13</v>
      </c>
      <c r="F271" s="9" t="n">
        <v>18.5</v>
      </c>
      <c r="G271" s="9" t="n">
        <f aca="false">G270+D271</f>
        <v>2436.7</v>
      </c>
      <c r="H271" s="9" t="n">
        <f aca="false">H270+D271</f>
        <v>289.6</v>
      </c>
      <c r="J271" s="9" t="n">
        <v>0.2</v>
      </c>
      <c r="K271" s="9" t="n">
        <f aca="false">K270+J271</f>
        <v>433.1</v>
      </c>
      <c r="L271" s="9" t="n">
        <v>3.9</v>
      </c>
      <c r="M271" s="9" t="n">
        <f aca="false">M270+L271</f>
        <v>393.8</v>
      </c>
      <c r="N271" s="14" t="n">
        <f aca="false">J271-L271</f>
        <v>-3.7</v>
      </c>
      <c r="O271" s="9" t="n">
        <f aca="false">O270+N271</f>
        <v>109.5</v>
      </c>
      <c r="P271" s="9" t="n">
        <v>266</v>
      </c>
      <c r="Q271" s="9" t="n">
        <v>1.15</v>
      </c>
      <c r="R271" s="15" t="n">
        <f aca="false">Q271*L271</f>
        <v>4.485</v>
      </c>
      <c r="S271" s="15" t="n">
        <f aca="false">J271-R271</f>
        <v>-4.285</v>
      </c>
      <c r="T271" s="15" t="n">
        <f aca="false">MIN(197.4,(T270+S271))</f>
        <v>90.9860000000001</v>
      </c>
      <c r="V271" s="9" t="n">
        <v>2142.7</v>
      </c>
      <c r="W271" s="9" t="n">
        <f aca="false">V271/D271</f>
        <v>145.761904761905</v>
      </c>
      <c r="X271" s="9" t="n">
        <f aca="false">X270+V271</f>
        <v>231782.4</v>
      </c>
      <c r="Y271" s="9" t="n">
        <f aca="false">Y270+V271</f>
        <v>41995.2</v>
      </c>
      <c r="AA271" s="9" t="n">
        <v>15.6084126630948</v>
      </c>
    </row>
    <row r="272" s="24" customFormat="true" ht="15" hidden="false" customHeight="false" outlineLevel="0" collapsed="false">
      <c r="A272" s="66"/>
      <c r="B272" s="21" t="n">
        <v>300</v>
      </c>
      <c r="C272" s="56" t="n">
        <v>42150</v>
      </c>
      <c r="D272" s="24" t="n">
        <v>14.1</v>
      </c>
      <c r="E272" s="24" t="n">
        <v>10.6</v>
      </c>
      <c r="F272" s="24" t="n">
        <v>17.4</v>
      </c>
      <c r="G272" s="24" t="n">
        <f aca="false">G271+D272</f>
        <v>2450.8</v>
      </c>
      <c r="H272" s="24" t="n">
        <f aca="false">H271+D272</f>
        <v>303.7</v>
      </c>
      <c r="J272" s="24" t="n">
        <v>0</v>
      </c>
      <c r="K272" s="24" t="n">
        <f aca="false">K271+J272</f>
        <v>433.1</v>
      </c>
      <c r="L272" s="24" t="n">
        <v>4</v>
      </c>
      <c r="M272" s="24" t="n">
        <f aca="false">M271+L272</f>
        <v>397.8</v>
      </c>
      <c r="N272" s="57" t="n">
        <f aca="false">J272-L272</f>
        <v>-4</v>
      </c>
      <c r="O272" s="24" t="n">
        <f aca="false">O271+N272</f>
        <v>105.5</v>
      </c>
      <c r="P272" s="24" t="n">
        <v>267</v>
      </c>
      <c r="Q272" s="24" t="n">
        <v>1.15</v>
      </c>
      <c r="R272" s="26" t="n">
        <f aca="false">Q272*L272</f>
        <v>4.6</v>
      </c>
      <c r="S272" s="26" t="n">
        <f aca="false">J272-R272</f>
        <v>-4.6</v>
      </c>
      <c r="T272" s="59" t="n">
        <f aca="false">MIN(197.4,(T271+S272))</f>
        <v>86.3860000000001</v>
      </c>
      <c r="V272" s="24" t="n">
        <v>2456.4</v>
      </c>
      <c r="W272" s="24" t="n">
        <f aca="false">V272/D272</f>
        <v>174.212765957447</v>
      </c>
      <c r="X272" s="24" t="n">
        <f aca="false">X271+V272</f>
        <v>234238.8</v>
      </c>
      <c r="Y272" s="60" t="n">
        <f aca="false">Y271+V272</f>
        <v>44451.6</v>
      </c>
      <c r="AA272" s="60" t="n">
        <v>15.6440070705034</v>
      </c>
    </row>
    <row r="273" s="9" customFormat="true" ht="15" hidden="false" customHeight="false" outlineLevel="0" collapsed="false">
      <c r="A273" s="69" t="n">
        <v>600</v>
      </c>
      <c r="B273" s="11"/>
      <c r="C273" s="12" t="n">
        <v>42151</v>
      </c>
      <c r="D273" s="9" t="n">
        <v>15.1</v>
      </c>
      <c r="E273" s="9" t="n">
        <v>10.6</v>
      </c>
      <c r="F273" s="9" t="n">
        <v>19.9</v>
      </c>
      <c r="G273" s="9" t="n">
        <f aca="false">G272+D273</f>
        <v>2465.9</v>
      </c>
      <c r="H273" s="9" t="n">
        <v>15.1</v>
      </c>
      <c r="I273" s="70" t="s">
        <v>28</v>
      </c>
      <c r="J273" s="9" t="n">
        <v>0</v>
      </c>
      <c r="K273" s="9" t="n">
        <f aca="false">K272+J273</f>
        <v>433.1</v>
      </c>
      <c r="L273" s="9" t="n">
        <v>3.9</v>
      </c>
      <c r="M273" s="9" t="n">
        <f aca="false">M272+L273</f>
        <v>401.7</v>
      </c>
      <c r="N273" s="14" t="n">
        <f aca="false">J273-L273</f>
        <v>-3.9</v>
      </c>
      <c r="O273" s="9" t="n">
        <f aca="false">O272+N273</f>
        <v>101.6</v>
      </c>
      <c r="P273" s="9" t="n">
        <v>268</v>
      </c>
      <c r="Q273" s="17" t="n">
        <f aca="false">1.15+((P273-267)/54)*(0.35-1.15)</f>
        <v>1.13518518518519</v>
      </c>
      <c r="R273" s="15" t="n">
        <f aca="false">Q273*L273</f>
        <v>4.42722222222222</v>
      </c>
      <c r="S273" s="15" t="n">
        <f aca="false">J273-R273</f>
        <v>-4.42722222222222</v>
      </c>
      <c r="T273" s="15" t="n">
        <f aca="false">MIN(197.4,(T272+S273))</f>
        <v>81.9587777777778</v>
      </c>
      <c r="U273" s="70" t="s">
        <v>29</v>
      </c>
      <c r="V273" s="9" t="n">
        <v>2269.1</v>
      </c>
      <c r="W273" s="9" t="n">
        <f aca="false">V273/D273</f>
        <v>150.271523178808</v>
      </c>
      <c r="X273" s="9" t="n">
        <f aca="false">X272+V273</f>
        <v>236507.9</v>
      </c>
      <c r="Y273" s="9" t="n">
        <v>2269.1</v>
      </c>
      <c r="Z273" s="70" t="s">
        <v>30</v>
      </c>
      <c r="AA273" s="9" t="n">
        <v>15.6785849135895</v>
      </c>
    </row>
    <row r="274" s="9" customFormat="true" ht="15" hidden="false" customHeight="false" outlineLevel="0" collapsed="false">
      <c r="A274" s="69"/>
      <c r="B274" s="11"/>
      <c r="C274" s="12" t="n">
        <v>42152</v>
      </c>
      <c r="D274" s="9" t="n">
        <v>14.4</v>
      </c>
      <c r="E274" s="9" t="n">
        <v>11</v>
      </c>
      <c r="F274" s="9" t="n">
        <v>19.6</v>
      </c>
      <c r="G274" s="9" t="n">
        <f aca="false">G273+D274</f>
        <v>2480.3</v>
      </c>
      <c r="H274" s="9" t="n">
        <f aca="false">H273+D274</f>
        <v>29.5</v>
      </c>
      <c r="I274" s="9" t="n">
        <f aca="false">MIN(E273:E290)</f>
        <v>9.9</v>
      </c>
      <c r="J274" s="9" t="n">
        <v>0</v>
      </c>
      <c r="K274" s="9" t="n">
        <f aca="false">K273+J274</f>
        <v>433.1</v>
      </c>
      <c r="L274" s="9" t="n">
        <v>3.9</v>
      </c>
      <c r="M274" s="9" t="n">
        <f aca="false">M273+L274</f>
        <v>405.6</v>
      </c>
      <c r="N274" s="14" t="n">
        <f aca="false">J274-L274</f>
        <v>-3.9</v>
      </c>
      <c r="O274" s="9" t="n">
        <f aca="false">O273+N274</f>
        <v>97.6999999999999</v>
      </c>
      <c r="P274" s="9" t="n">
        <v>269</v>
      </c>
      <c r="Q274" s="17" t="n">
        <f aca="false">1.15+((P274-267)/54)*(0.35-1.15)</f>
        <v>1.12037037037037</v>
      </c>
      <c r="R274" s="15" t="n">
        <f aca="false">Q274*L274</f>
        <v>4.36944444444444</v>
      </c>
      <c r="S274" s="15" t="n">
        <f aca="false">J274-R274</f>
        <v>-4.36944444444444</v>
      </c>
      <c r="T274" s="15" t="n">
        <f aca="false">MIN(197.4,(T273+S274))</f>
        <v>77.5893333333334</v>
      </c>
      <c r="U274" s="9" t="n">
        <v>17</v>
      </c>
      <c r="V274" s="9" t="n">
        <v>2161.9</v>
      </c>
      <c r="W274" s="9" t="n">
        <f aca="false">V274/D274</f>
        <v>150.131944444444</v>
      </c>
      <c r="X274" s="9" t="n">
        <f aca="false">X273+V274</f>
        <v>238669.8</v>
      </c>
      <c r="Y274" s="9" t="n">
        <f aca="false">Y273+V274</f>
        <v>4431</v>
      </c>
      <c r="Z274" s="9" t="n">
        <v>40268.7</v>
      </c>
      <c r="AA274" s="9" t="n">
        <v>15.7121198862393</v>
      </c>
    </row>
    <row r="275" s="9" customFormat="true" ht="15" hidden="false" customHeight="false" outlineLevel="0" collapsed="false">
      <c r="A275" s="69"/>
      <c r="B275" s="11"/>
      <c r="C275" s="12" t="n">
        <v>42153</v>
      </c>
      <c r="D275" s="9" t="n">
        <v>14.3</v>
      </c>
      <c r="E275" s="9" t="n">
        <v>9.9</v>
      </c>
      <c r="F275" s="9" t="n">
        <v>17.2</v>
      </c>
      <c r="G275" s="9" t="n">
        <f aca="false">G274+D275</f>
        <v>2494.6</v>
      </c>
      <c r="H275" s="9" t="n">
        <f aca="false">H274+D275</f>
        <v>43.8</v>
      </c>
      <c r="I275" s="70" t="s">
        <v>31</v>
      </c>
      <c r="J275" s="9" t="n">
        <v>1</v>
      </c>
      <c r="K275" s="9" t="n">
        <f aca="false">K274+J275</f>
        <v>434.1</v>
      </c>
      <c r="L275" s="9" t="n">
        <v>3</v>
      </c>
      <c r="M275" s="9" t="n">
        <f aca="false">M274+L275</f>
        <v>408.6</v>
      </c>
      <c r="N275" s="14" t="n">
        <f aca="false">J275-L275</f>
        <v>-2</v>
      </c>
      <c r="O275" s="9" t="n">
        <f aca="false">O274+N275</f>
        <v>95.6999999999999</v>
      </c>
      <c r="P275" s="9" t="n">
        <v>270</v>
      </c>
      <c r="Q275" s="17" t="n">
        <f aca="false">1.15+((P275-267)/54)*(0.35-1.15)</f>
        <v>1.10555555555556</v>
      </c>
      <c r="R275" s="15" t="n">
        <f aca="false">Q275*L275</f>
        <v>3.31666666666667</v>
      </c>
      <c r="S275" s="15" t="n">
        <f aca="false">J275-R275</f>
        <v>-2.31666666666667</v>
      </c>
      <c r="T275" s="15" t="n">
        <f aca="false">MIN(197.4,(T274+S275))</f>
        <v>75.2726666666667</v>
      </c>
      <c r="U275" s="70" t="s">
        <v>32</v>
      </c>
      <c r="V275" s="9" t="n">
        <v>1586</v>
      </c>
      <c r="W275" s="9" t="n">
        <f aca="false">V275/D275</f>
        <v>110.909090909091</v>
      </c>
      <c r="X275" s="9" t="n">
        <f aca="false">X274+V275</f>
        <v>240255.8</v>
      </c>
      <c r="Y275" s="9" t="n">
        <f aca="false">Y274+V275</f>
        <v>6017</v>
      </c>
      <c r="Z275" s="70" t="s">
        <v>33</v>
      </c>
      <c r="AA275" s="9" t="n">
        <v>15.7445858996748</v>
      </c>
    </row>
    <row r="276" s="9" customFormat="true" ht="15" hidden="false" customHeight="false" outlineLevel="0" collapsed="false">
      <c r="A276" s="69"/>
      <c r="B276" s="11"/>
      <c r="C276" s="12" t="n">
        <v>42154</v>
      </c>
      <c r="D276" s="9" t="n">
        <v>14</v>
      </c>
      <c r="E276" s="9" t="n">
        <v>10.6</v>
      </c>
      <c r="F276" s="9" t="n">
        <v>17.3</v>
      </c>
      <c r="G276" s="9" t="n">
        <f aca="false">G275+D276</f>
        <v>2508.6</v>
      </c>
      <c r="H276" s="9" t="n">
        <f aca="false">H275+D276</f>
        <v>57.8</v>
      </c>
      <c r="I276" s="9" t="n">
        <f aca="false">MAX(F273:F290)</f>
        <v>32.5</v>
      </c>
      <c r="J276" s="9" t="n">
        <v>0</v>
      </c>
      <c r="K276" s="9" t="n">
        <f aca="false">K275+J276</f>
        <v>434.1</v>
      </c>
      <c r="L276" s="9" t="n">
        <v>3.9</v>
      </c>
      <c r="M276" s="9" t="n">
        <f aca="false">M275+L276</f>
        <v>412.5</v>
      </c>
      <c r="N276" s="14" t="n">
        <f aca="false">J276-L276</f>
        <v>-3.9</v>
      </c>
      <c r="O276" s="9" t="n">
        <f aca="false">O275+N276</f>
        <v>91.7999999999999</v>
      </c>
      <c r="P276" s="9" t="n">
        <v>271</v>
      </c>
      <c r="Q276" s="17" t="n">
        <f aca="false">1.15+((P276-267)/54)*(0.35-1.15)</f>
        <v>1.09074074074074</v>
      </c>
      <c r="R276" s="15" t="n">
        <f aca="false">Q276*L276</f>
        <v>4.25388888888889</v>
      </c>
      <c r="S276" s="15" t="n">
        <f aca="false">J276-R276</f>
        <v>-4.25388888888889</v>
      </c>
      <c r="T276" s="15" t="n">
        <f aca="false">MIN(197.4,(T275+S276))</f>
        <v>71.0187777777778</v>
      </c>
      <c r="U276" s="9" t="n">
        <v>0</v>
      </c>
      <c r="V276" s="9" t="n">
        <v>2321.9</v>
      </c>
      <c r="W276" s="9" t="n">
        <f aca="false">V276/D276</f>
        <v>165.85</v>
      </c>
      <c r="X276" s="9" t="n">
        <f aca="false">X275+V276</f>
        <v>242577.7</v>
      </c>
      <c r="Y276" s="9" t="n">
        <f aca="false">Y275+V276</f>
        <v>8338.9</v>
      </c>
      <c r="Z276" s="17" t="n">
        <f aca="false">(Z274/100)/I286</f>
        <v>1.30700097370983</v>
      </c>
      <c r="AA276" s="9" t="n">
        <v>15.7759571468813</v>
      </c>
    </row>
    <row r="277" s="9" customFormat="true" ht="15" hidden="false" customHeight="false" outlineLevel="0" collapsed="false">
      <c r="A277" s="69"/>
      <c r="B277" s="11"/>
      <c r="C277" s="12" t="n">
        <v>42155</v>
      </c>
      <c r="D277" s="9" t="n">
        <v>14.2</v>
      </c>
      <c r="E277" s="9" t="n">
        <v>10</v>
      </c>
      <c r="F277" s="9" t="n">
        <v>17</v>
      </c>
      <c r="G277" s="9" t="n">
        <f aca="false">G276+D277</f>
        <v>2522.8</v>
      </c>
      <c r="H277" s="9" t="n">
        <f aca="false">H276+D277</f>
        <v>72</v>
      </c>
      <c r="I277" s="70" t="s">
        <v>34</v>
      </c>
      <c r="J277" s="9" t="n">
        <v>3.6</v>
      </c>
      <c r="K277" s="9" t="n">
        <f aca="false">K276+J277</f>
        <v>437.7</v>
      </c>
      <c r="L277" s="9" t="n">
        <v>1.4</v>
      </c>
      <c r="M277" s="9" t="n">
        <f aca="false">M276+L277</f>
        <v>413.9</v>
      </c>
      <c r="N277" s="9" t="n">
        <f aca="false">J277-L277</f>
        <v>2.2</v>
      </c>
      <c r="O277" s="9" t="n">
        <f aca="false">O276+N277</f>
        <v>93.9999999999999</v>
      </c>
      <c r="P277" s="9" t="n">
        <v>272</v>
      </c>
      <c r="Q277" s="17" t="n">
        <f aca="false">1.15+((P277-267)/54)*(0.35-1.15)</f>
        <v>1.07592592592593</v>
      </c>
      <c r="R277" s="15" t="n">
        <f aca="false">Q277*L277</f>
        <v>1.5062962962963</v>
      </c>
      <c r="S277" s="15" t="n">
        <f aca="false">J277-R277</f>
        <v>2.0937037037037</v>
      </c>
      <c r="T277" s="15" t="n">
        <f aca="false">MIN(197.4,(T276+S277))</f>
        <v>73.1124814814816</v>
      </c>
      <c r="U277" s="70" t="s">
        <v>35</v>
      </c>
      <c r="V277" s="19" t="n">
        <v>731.5</v>
      </c>
      <c r="W277" s="9" t="n">
        <f aca="false">V277/D277</f>
        <v>51.5140845070423</v>
      </c>
      <c r="X277" s="9" t="n">
        <f aca="false">X276+V277</f>
        <v>243309.2</v>
      </c>
      <c r="Y277" s="9" t="n">
        <f aca="false">Y276+V277</f>
        <v>9070.4</v>
      </c>
      <c r="Z277" s="70" t="s">
        <v>36</v>
      </c>
      <c r="AA277" s="9" t="n">
        <v>15.8062081688572</v>
      </c>
    </row>
    <row r="278" s="9" customFormat="true" ht="15" hidden="false" customHeight="false" outlineLevel="0" collapsed="false">
      <c r="A278" s="69"/>
      <c r="B278" s="11"/>
      <c r="C278" s="12" t="n">
        <v>42156</v>
      </c>
      <c r="D278" s="9" t="n">
        <v>13.2</v>
      </c>
      <c r="E278" s="9" t="n">
        <v>10.2</v>
      </c>
      <c r="F278" s="9" t="n">
        <v>15.5</v>
      </c>
      <c r="G278" s="9" t="n">
        <f aca="false">G277+D278</f>
        <v>2536</v>
      </c>
      <c r="H278" s="9" t="n">
        <f aca="false">H277+D278</f>
        <v>85.2</v>
      </c>
      <c r="I278" s="15" t="n">
        <f aca="false">AVERAGE(D273:D290)</f>
        <v>17.1166666666667</v>
      </c>
      <c r="J278" s="9" t="n">
        <v>0</v>
      </c>
      <c r="K278" s="9" t="n">
        <f aca="false">K277+J278</f>
        <v>437.7</v>
      </c>
      <c r="L278" s="9" t="n">
        <v>2.8</v>
      </c>
      <c r="M278" s="9" t="n">
        <f aca="false">M277+L278</f>
        <v>416.7</v>
      </c>
      <c r="N278" s="9" t="n">
        <f aca="false">J278-L278</f>
        <v>-2.8</v>
      </c>
      <c r="O278" s="9" t="n">
        <f aca="false">O277+N278</f>
        <v>91.1999999999999</v>
      </c>
      <c r="P278" s="9" t="n">
        <v>273</v>
      </c>
      <c r="Q278" s="17" t="n">
        <f aca="false">1.15+((P278-267)/54)*(0.35-1.15)</f>
        <v>1.06111111111111</v>
      </c>
      <c r="R278" s="15" t="n">
        <f aca="false">Q278*L278</f>
        <v>2.97111111111111</v>
      </c>
      <c r="S278" s="15" t="n">
        <f aca="false">J278-R278</f>
        <v>-2.97111111111111</v>
      </c>
      <c r="T278" s="15" t="n">
        <f aca="false">MIN(197.4,(T277+S278))</f>
        <v>70.1413703703704</v>
      </c>
      <c r="U278" s="9" t="n">
        <v>12</v>
      </c>
      <c r="V278" s="9" t="n">
        <v>1707.5</v>
      </c>
      <c r="W278" s="9" t="n">
        <f aca="false">V278/D278</f>
        <v>129.356060606061</v>
      </c>
      <c r="X278" s="9" t="n">
        <f aca="false">X277+V278</f>
        <v>245016.7</v>
      </c>
      <c r="Y278" s="9" t="n">
        <f aca="false">Y277+V278</f>
        <v>10777.9</v>
      </c>
      <c r="Z278" s="9" t="n">
        <v>1</v>
      </c>
      <c r="AA278" s="9" t="n">
        <v>15.8353139224259</v>
      </c>
    </row>
    <row r="279" s="9" customFormat="true" ht="15" hidden="false" customHeight="false" outlineLevel="0" collapsed="false">
      <c r="A279" s="69"/>
      <c r="B279" s="11"/>
      <c r="C279" s="12" t="n">
        <v>42157</v>
      </c>
      <c r="D279" s="9" t="n">
        <v>17.9</v>
      </c>
      <c r="E279" s="9" t="n">
        <v>12.4</v>
      </c>
      <c r="F279" s="9" t="n">
        <v>22.3</v>
      </c>
      <c r="G279" s="9" t="n">
        <f aca="false">G278+D279</f>
        <v>2553.9</v>
      </c>
      <c r="H279" s="9" t="n">
        <f aca="false">H278+D279</f>
        <v>103.1</v>
      </c>
      <c r="I279" s="70" t="s">
        <v>37</v>
      </c>
      <c r="J279" s="9" t="n">
        <v>0</v>
      </c>
      <c r="K279" s="9" t="n">
        <f aca="false">K278+J279</f>
        <v>437.7</v>
      </c>
      <c r="L279" s="9" t="n">
        <v>4.5</v>
      </c>
      <c r="M279" s="9" t="n">
        <f aca="false">M278+L279</f>
        <v>421.2</v>
      </c>
      <c r="N279" s="14" t="n">
        <f aca="false">J279-L279</f>
        <v>-4.5</v>
      </c>
      <c r="O279" s="9" t="n">
        <f aca="false">O278+N279</f>
        <v>86.6999999999999</v>
      </c>
      <c r="P279" s="9" t="n">
        <v>274</v>
      </c>
      <c r="Q279" s="17" t="n">
        <f aca="false">1.15+((P279-267)/54)*(0.35-1.15)</f>
        <v>1.0462962962963</v>
      </c>
      <c r="R279" s="15" t="n">
        <f aca="false">Q279*L279</f>
        <v>4.70833333333333</v>
      </c>
      <c r="S279" s="15" t="n">
        <f aca="false">J279-R279</f>
        <v>-4.70833333333333</v>
      </c>
      <c r="T279" s="15" t="n">
        <f aca="false">MIN(197.4,(T278+S279))</f>
        <v>65.4330370370371</v>
      </c>
      <c r="U279" s="70" t="s">
        <v>38</v>
      </c>
      <c r="V279" s="9" t="n">
        <v>1877</v>
      </c>
      <c r="W279" s="9" t="n">
        <f aca="false">V279/D279</f>
        <v>104.860335195531</v>
      </c>
      <c r="X279" s="9" t="n">
        <f aca="false">X278+V279</f>
        <v>246893.7</v>
      </c>
      <c r="Y279" s="9" t="n">
        <f aca="false">Y278+V279</f>
        <v>12654.9</v>
      </c>
      <c r="AA279" s="9" t="n">
        <v>15.8632498493166</v>
      </c>
    </row>
    <row r="280" s="9" customFormat="true" ht="15" hidden="false" customHeight="false" outlineLevel="0" collapsed="false">
      <c r="A280" s="69"/>
      <c r="B280" s="11"/>
      <c r="C280" s="12" t="n">
        <v>42158</v>
      </c>
      <c r="D280" s="9" t="n">
        <v>16.8</v>
      </c>
      <c r="E280" s="9" t="n">
        <v>15.5</v>
      </c>
      <c r="F280" s="9" t="n">
        <v>20.3</v>
      </c>
      <c r="G280" s="9" t="n">
        <f aca="false">G279+D280</f>
        <v>2570.7</v>
      </c>
      <c r="H280" s="9" t="n">
        <f aca="false">H279+D280</f>
        <v>119.9</v>
      </c>
      <c r="I280" s="9" t="n">
        <v>0</v>
      </c>
      <c r="J280" s="9" t="n">
        <v>0.2</v>
      </c>
      <c r="K280" s="9" t="n">
        <f aca="false">K279+J280</f>
        <v>437.9</v>
      </c>
      <c r="L280" s="9" t="n">
        <v>3.7</v>
      </c>
      <c r="M280" s="9" t="n">
        <f aca="false">M279+L280</f>
        <v>424.9</v>
      </c>
      <c r="N280" s="14" t="n">
        <f aca="false">J280-L280</f>
        <v>-3.5</v>
      </c>
      <c r="O280" s="9" t="n">
        <f aca="false">O279+N280</f>
        <v>83.1999999999999</v>
      </c>
      <c r="P280" s="9" t="n">
        <v>275</v>
      </c>
      <c r="Q280" s="17" t="n">
        <f aca="false">1.15+((P280-267)/54)*(0.35-1.15)</f>
        <v>1.03148148148148</v>
      </c>
      <c r="R280" s="15" t="n">
        <f aca="false">Q280*L280</f>
        <v>3.81648148148148</v>
      </c>
      <c r="S280" s="15" t="n">
        <f aca="false">J280-R280</f>
        <v>-3.61648148148148</v>
      </c>
      <c r="T280" s="15" t="n">
        <f aca="false">MIN(197.4,(T279+S280))</f>
        <v>61.8165555555556</v>
      </c>
      <c r="U280" s="15" t="n">
        <f aca="false">MIN(T273:T290)</f>
        <v>13.3185925925927</v>
      </c>
      <c r="V280" s="9" t="n">
        <v>1821.5</v>
      </c>
      <c r="W280" s="9" t="n">
        <f aca="false">V280/D280</f>
        <v>108.422619047619</v>
      </c>
      <c r="X280" s="9" t="n">
        <f aca="false">X279+V280</f>
        <v>248715.2</v>
      </c>
      <c r="Y280" s="9" t="n">
        <f aca="false">Y279+V280</f>
        <v>14476.4</v>
      </c>
      <c r="AA280" s="9" t="n">
        <v>15.8899919461976</v>
      </c>
    </row>
    <row r="281" s="9" customFormat="true" ht="15" hidden="false" customHeight="false" outlineLevel="0" collapsed="false">
      <c r="A281" s="69"/>
      <c r="B281" s="11"/>
      <c r="C281" s="12" t="n">
        <v>42159</v>
      </c>
      <c r="D281" s="9" t="n">
        <v>19</v>
      </c>
      <c r="E281" s="9" t="n">
        <v>10.4</v>
      </c>
      <c r="F281" s="18" t="n">
        <v>25.7</v>
      </c>
      <c r="G281" s="9" t="n">
        <f aca="false">G280+D281</f>
        <v>2589.7</v>
      </c>
      <c r="H281" s="9" t="n">
        <f aca="false">H280+D281</f>
        <v>138.9</v>
      </c>
      <c r="I281" s="70" t="s">
        <v>39</v>
      </c>
      <c r="J281" s="9" t="n">
        <v>0</v>
      </c>
      <c r="K281" s="9" t="n">
        <f aca="false">K280+J281</f>
        <v>437.9</v>
      </c>
      <c r="L281" s="9" t="n">
        <v>5.8</v>
      </c>
      <c r="M281" s="9" t="n">
        <f aca="false">M280+L281</f>
        <v>430.7</v>
      </c>
      <c r="N281" s="14" t="n">
        <f aca="false">J281-L281</f>
        <v>-5.8</v>
      </c>
      <c r="O281" s="9" t="n">
        <f aca="false">O280+N281</f>
        <v>77.3999999999999</v>
      </c>
      <c r="P281" s="9" t="n">
        <v>276</v>
      </c>
      <c r="Q281" s="17" t="n">
        <f aca="false">1.15+((P281-267)/54)*(0.35-1.15)</f>
        <v>1.01666666666667</v>
      </c>
      <c r="R281" s="15" t="n">
        <f aca="false">Q281*L281</f>
        <v>5.89666666666667</v>
      </c>
      <c r="S281" s="15" t="n">
        <f aca="false">J281-R281</f>
        <v>-5.89666666666667</v>
      </c>
      <c r="T281" s="15" t="n">
        <f aca="false">MIN(197.4,(T280+S281))</f>
        <v>55.919888888889</v>
      </c>
      <c r="U281" s="70" t="s">
        <v>40</v>
      </c>
      <c r="V281" s="9" t="n">
        <v>3145.9</v>
      </c>
      <c r="W281" s="9" t="n">
        <f aca="false">V281/D281</f>
        <v>165.573684210526</v>
      </c>
      <c r="X281" s="9" t="n">
        <f aca="false">X280+V281</f>
        <v>251861.1</v>
      </c>
      <c r="Y281" s="9" t="n">
        <f aca="false">Y280+V281</f>
        <v>17622.3</v>
      </c>
      <c r="AA281" s="9" t="n">
        <v>15.9155168353171</v>
      </c>
    </row>
    <row r="282" s="9" customFormat="true" ht="15" hidden="false" customHeight="false" outlineLevel="0" collapsed="false">
      <c r="A282" s="69"/>
      <c r="B282" s="11"/>
      <c r="C282" s="12" t="n">
        <v>42160</v>
      </c>
      <c r="D282" s="9" t="n">
        <v>23.8</v>
      </c>
      <c r="E282" s="9" t="n">
        <v>16.5</v>
      </c>
      <c r="F282" s="18" t="n">
        <v>32.5</v>
      </c>
      <c r="G282" s="9" t="n">
        <f aca="false">G281+D282</f>
        <v>2613.5</v>
      </c>
      <c r="H282" s="9" t="n">
        <f aca="false">H281+D282</f>
        <v>162.7</v>
      </c>
      <c r="I282" s="9" t="n">
        <v>4</v>
      </c>
      <c r="J282" s="9" t="n">
        <v>0</v>
      </c>
      <c r="K282" s="9" t="n">
        <f aca="false">K281+J282</f>
        <v>437.9</v>
      </c>
      <c r="L282" s="9" t="n">
        <v>5.5</v>
      </c>
      <c r="M282" s="9" t="n">
        <f aca="false">M281+L282</f>
        <v>436.2</v>
      </c>
      <c r="N282" s="14" t="n">
        <f aca="false">J282-L282</f>
        <v>-5.5</v>
      </c>
      <c r="O282" s="9" t="n">
        <f aca="false">O281+N282</f>
        <v>71.8999999999999</v>
      </c>
      <c r="P282" s="9" t="n">
        <v>277</v>
      </c>
      <c r="Q282" s="17" t="n">
        <f aca="false">1.15+((P282-267)/54)*(0.35-1.15)</f>
        <v>1.00185185185185</v>
      </c>
      <c r="R282" s="15" t="n">
        <f aca="false">Q282*L282</f>
        <v>5.51018518518518</v>
      </c>
      <c r="S282" s="15" t="n">
        <f aca="false">J282-R282</f>
        <v>-5.51018518518518</v>
      </c>
      <c r="T282" s="15" t="n">
        <f aca="false">MIN(197.4,(T281+S282))</f>
        <v>50.4097037037038</v>
      </c>
      <c r="U282" s="15" t="n">
        <f aca="false">MAX(T273:T290)</f>
        <v>81.9587777777778</v>
      </c>
      <c r="V282" s="9" t="n">
        <v>2299.1</v>
      </c>
      <c r="W282" s="9" t="n">
        <f aca="false">V282/D282</f>
        <v>96.6008403361345</v>
      </c>
      <c r="X282" s="9" t="n">
        <f aca="false">X281+V282</f>
        <v>254160.2</v>
      </c>
      <c r="Y282" s="9" t="n">
        <f aca="false">Y281+V282</f>
        <v>19921.4</v>
      </c>
      <c r="AA282" s="9" t="n">
        <v>15.9398018353857</v>
      </c>
    </row>
    <row r="283" s="50" customFormat="true" ht="15" hidden="false" customHeight="false" outlineLevel="0" collapsed="false">
      <c r="A283" s="69"/>
      <c r="B283" s="48"/>
      <c r="C283" s="49" t="n">
        <v>42161</v>
      </c>
      <c r="D283" s="50" t="n">
        <v>17</v>
      </c>
      <c r="E283" s="50" t="n">
        <v>14.1</v>
      </c>
      <c r="F283" s="50" t="n">
        <v>20.7</v>
      </c>
      <c r="G283" s="50" t="n">
        <f aca="false">G282+D283</f>
        <v>2630.5</v>
      </c>
      <c r="H283" s="50" t="n">
        <f aca="false">H282+D283</f>
        <v>179.7</v>
      </c>
      <c r="I283" s="70" t="s">
        <v>41</v>
      </c>
      <c r="J283" s="50" t="n">
        <v>0</v>
      </c>
      <c r="K283" s="50" t="n">
        <f aca="false">K282+J283</f>
        <v>437.9</v>
      </c>
      <c r="L283" s="50" t="n">
        <v>5.7</v>
      </c>
      <c r="M283" s="50" t="n">
        <f aca="false">M282+L283</f>
        <v>441.9</v>
      </c>
      <c r="N283" s="52" t="n">
        <f aca="false">J283-L283</f>
        <v>-5.7</v>
      </c>
      <c r="O283" s="50" t="n">
        <f aca="false">O282+N283</f>
        <v>66.1999999999999</v>
      </c>
      <c r="P283" s="50" t="n">
        <v>278</v>
      </c>
      <c r="Q283" s="17" t="n">
        <f aca="false">1.15+((P283-267)/54)*(0.35-1.15)</f>
        <v>0.987037037037037</v>
      </c>
      <c r="R283" s="53" t="n">
        <f aca="false">Q283*L283</f>
        <v>5.62611111111111</v>
      </c>
      <c r="S283" s="53" t="n">
        <f aca="false">J283-R283</f>
        <v>-5.62611111111111</v>
      </c>
      <c r="T283" s="15" t="n">
        <f aca="false">MIN(197.4,(T282+S283))</f>
        <v>44.7835925925927</v>
      </c>
      <c r="U283" s="70" t="s">
        <v>42</v>
      </c>
      <c r="V283" s="50" t="n">
        <v>2797.9</v>
      </c>
      <c r="W283" s="50" t="n">
        <f aca="false">V283/D283</f>
        <v>164.582352941176</v>
      </c>
      <c r="X283" s="50" t="n">
        <f aca="false">X282+V283</f>
        <v>256958.1</v>
      </c>
      <c r="Y283" s="9" t="n">
        <f aca="false">Y282+V283</f>
        <v>22719.3</v>
      </c>
      <c r="AA283" s="9" t="n">
        <v>15.9628250323111</v>
      </c>
    </row>
    <row r="284" s="9" customFormat="true" ht="15" hidden="false" customHeight="true" outlineLevel="0" collapsed="false">
      <c r="A284" s="69"/>
      <c r="B284" s="11"/>
      <c r="C284" s="12" t="n">
        <v>42162</v>
      </c>
      <c r="D284" s="9" t="n">
        <v>16.2</v>
      </c>
      <c r="E284" s="9" t="n">
        <v>11.1</v>
      </c>
      <c r="F284" s="9" t="n">
        <v>20.9</v>
      </c>
      <c r="G284" s="9" t="n">
        <f aca="false">G283+D284</f>
        <v>2646.7</v>
      </c>
      <c r="H284" s="9" t="n">
        <f aca="false">H283+D284</f>
        <v>195.9</v>
      </c>
      <c r="I284" s="9" t="n">
        <v>0</v>
      </c>
      <c r="J284" s="9" t="n">
        <v>0</v>
      </c>
      <c r="K284" s="9" t="n">
        <f aca="false">K283+J284</f>
        <v>437.9</v>
      </c>
      <c r="L284" s="9" t="n">
        <v>5.1</v>
      </c>
      <c r="M284" s="9" t="n">
        <f aca="false">M283+L284</f>
        <v>447</v>
      </c>
      <c r="N284" s="14" t="n">
        <f aca="false">J284-L284</f>
        <v>-5.1</v>
      </c>
      <c r="O284" s="9" t="n">
        <f aca="false">O283+N284</f>
        <v>61.0999999999999</v>
      </c>
      <c r="P284" s="9" t="n">
        <v>279</v>
      </c>
      <c r="Q284" s="17" t="n">
        <f aca="false">1.15+((P284-267)/54)*(0.35-1.15)</f>
        <v>0.972222222222222</v>
      </c>
      <c r="R284" s="15" t="n">
        <f aca="false">Q284*L284</f>
        <v>4.95833333333333</v>
      </c>
      <c r="S284" s="15" t="n">
        <f aca="false">J284-R284</f>
        <v>-4.95833333333333</v>
      </c>
      <c r="T284" s="15" t="n">
        <f aca="false">MIN(197.4,(T283+S284))</f>
        <v>39.8252592592593</v>
      </c>
      <c r="U284" s="71" t="n">
        <f aca="false">AVERAGE(T273:T290)</f>
        <v>50.4136646090536</v>
      </c>
      <c r="V284" s="9" t="n">
        <v>2625.8</v>
      </c>
      <c r="W284" s="9" t="n">
        <f aca="false">V284/D284</f>
        <v>162.086419753086</v>
      </c>
      <c r="X284" s="9" t="n">
        <f aca="false">X283+V284</f>
        <v>259583.9</v>
      </c>
      <c r="Y284" s="9" t="n">
        <f aca="false">Y283+V284</f>
        <v>25345.1</v>
      </c>
      <c r="AA284" s="9" t="n">
        <v>15.9845653493789</v>
      </c>
    </row>
    <row r="285" s="9" customFormat="true" ht="15" hidden="false" customHeight="false" outlineLevel="0" collapsed="false">
      <c r="A285" s="69"/>
      <c r="B285" s="11"/>
      <c r="C285" s="12" t="n">
        <v>42163</v>
      </c>
      <c r="D285" s="9" t="n">
        <v>15.5</v>
      </c>
      <c r="E285" s="9" t="n">
        <v>11.8</v>
      </c>
      <c r="F285" s="9" t="n">
        <v>19.7</v>
      </c>
      <c r="G285" s="9" t="n">
        <f aca="false">G284+D285</f>
        <v>2662.2</v>
      </c>
      <c r="H285" s="9" t="n">
        <f aca="false">H284+D285</f>
        <v>211.4</v>
      </c>
      <c r="I285" s="70" t="s">
        <v>43</v>
      </c>
      <c r="J285" s="9" t="n">
        <v>0</v>
      </c>
      <c r="K285" s="9" t="n">
        <f aca="false">K284+J285</f>
        <v>437.9</v>
      </c>
      <c r="L285" s="9" t="n">
        <v>6.2</v>
      </c>
      <c r="M285" s="9" t="n">
        <f aca="false">M284+L285</f>
        <v>453.2</v>
      </c>
      <c r="N285" s="14" t="n">
        <f aca="false">J285-L285</f>
        <v>-6.2</v>
      </c>
      <c r="O285" s="9" t="n">
        <f aca="false">O284+N285</f>
        <v>54.8999999999999</v>
      </c>
      <c r="P285" s="9" t="n">
        <v>280</v>
      </c>
      <c r="Q285" s="17" t="n">
        <f aca="false">1.15+((P285-267)/54)*(0.35-1.15)</f>
        <v>0.957407407407407</v>
      </c>
      <c r="R285" s="15" t="n">
        <f aca="false">Q285*L285</f>
        <v>5.93592592592593</v>
      </c>
      <c r="S285" s="15" t="n">
        <f aca="false">J285-R285</f>
        <v>-5.93592592592593</v>
      </c>
      <c r="T285" s="15" t="n">
        <f aca="false">MIN(197.4,(T284+S285))</f>
        <v>33.8893333333334</v>
      </c>
      <c r="V285" s="9" t="n">
        <v>3311.4</v>
      </c>
      <c r="W285" s="9" t="n">
        <f aca="false">V285/D285</f>
        <v>213.638709677419</v>
      </c>
      <c r="X285" s="9" t="n">
        <f aca="false">X284+V285</f>
        <v>262895.3</v>
      </c>
      <c r="Y285" s="9" t="n">
        <f aca="false">Y284+V285</f>
        <v>28656.5</v>
      </c>
      <c r="AA285" s="9" t="n">
        <v>16.0050026164563</v>
      </c>
    </row>
    <row r="286" s="9" customFormat="true" ht="15" hidden="false" customHeight="false" outlineLevel="0" collapsed="false">
      <c r="A286" s="69"/>
      <c r="B286" s="11"/>
      <c r="C286" s="12" t="n">
        <v>42164</v>
      </c>
      <c r="D286" s="9" t="n">
        <v>15.4</v>
      </c>
      <c r="E286" s="9" t="n">
        <v>11.2</v>
      </c>
      <c r="F286" s="9" t="n">
        <v>19.8</v>
      </c>
      <c r="G286" s="9" t="n">
        <f aca="false">G285+D286</f>
        <v>2677.6</v>
      </c>
      <c r="H286" s="9" t="n">
        <f aca="false">H285+D286</f>
        <v>226.8</v>
      </c>
      <c r="I286" s="9" t="n">
        <v>308.1</v>
      </c>
      <c r="J286" s="9" t="n">
        <v>0</v>
      </c>
      <c r="K286" s="9" t="n">
        <f aca="false">K285+J286</f>
        <v>437.9</v>
      </c>
      <c r="L286" s="9" t="n">
        <v>5.2</v>
      </c>
      <c r="M286" s="9" t="n">
        <f aca="false">M285+L286</f>
        <v>458.4</v>
      </c>
      <c r="N286" s="14" t="n">
        <f aca="false">J286-L286</f>
        <v>-5.2</v>
      </c>
      <c r="O286" s="9" t="n">
        <f aca="false">O285+N286</f>
        <v>49.6999999999999</v>
      </c>
      <c r="P286" s="9" t="n">
        <v>281</v>
      </c>
      <c r="Q286" s="17" t="n">
        <f aca="false">1.15+((P286-267)/54)*(0.35-1.15)</f>
        <v>0.942592592592593</v>
      </c>
      <c r="R286" s="15" t="n">
        <f aca="false">Q286*L286</f>
        <v>4.90148148148148</v>
      </c>
      <c r="S286" s="15" t="n">
        <f aca="false">J286-R286</f>
        <v>-4.90148148148148</v>
      </c>
      <c r="T286" s="15" t="n">
        <f aca="false">MIN(197.4,(T285+S286))</f>
        <v>28.9878518518519</v>
      </c>
      <c r="U286" s="9" t="n">
        <f aca="false">(U284*100)/197.4</f>
        <v>25.5388371879704</v>
      </c>
      <c r="V286" s="9" t="n">
        <v>2618.4</v>
      </c>
      <c r="W286" s="9" t="n">
        <f aca="false">V286/D286</f>
        <v>170.025974025974</v>
      </c>
      <c r="X286" s="9" t="n">
        <f aca="false">X285+V286</f>
        <v>265513.7</v>
      </c>
      <c r="Y286" s="9" t="n">
        <f aca="false">Y285+V286</f>
        <v>31274.9</v>
      </c>
      <c r="AA286" s="9" t="n">
        <v>16.0241176377864</v>
      </c>
    </row>
    <row r="287" s="9" customFormat="true" ht="15" hidden="false" customHeight="false" outlineLevel="0" collapsed="false">
      <c r="A287" s="69"/>
      <c r="B287" s="11"/>
      <c r="C287" s="12" t="n">
        <v>42165</v>
      </c>
      <c r="D287" s="9" t="n">
        <v>17.6</v>
      </c>
      <c r="E287" s="9" t="n">
        <v>13</v>
      </c>
      <c r="F287" s="9" t="n">
        <v>21.5</v>
      </c>
      <c r="G287" s="9" t="n">
        <f aca="false">G286+D287</f>
        <v>2695.2</v>
      </c>
      <c r="H287" s="9" t="n">
        <f aca="false">H286+D287</f>
        <v>244.4</v>
      </c>
      <c r="J287" s="9" t="n">
        <v>0</v>
      </c>
      <c r="K287" s="9" t="n">
        <f aca="false">K286+J287</f>
        <v>437.9</v>
      </c>
      <c r="L287" s="9" t="n">
        <v>4.8</v>
      </c>
      <c r="M287" s="9" t="n">
        <f aca="false">M286+L287</f>
        <v>463.2</v>
      </c>
      <c r="N287" s="14" t="n">
        <f aca="false">J287-L287</f>
        <v>-4.8</v>
      </c>
      <c r="O287" s="9" t="n">
        <f aca="false">O286+N287</f>
        <v>44.8999999999999</v>
      </c>
      <c r="P287" s="9" t="n">
        <v>282</v>
      </c>
      <c r="Q287" s="17" t="n">
        <f aca="false">1.15+((P287-267)/54)*(0.35-1.15)</f>
        <v>0.927777777777778</v>
      </c>
      <c r="R287" s="15" t="n">
        <f aca="false">Q287*L287</f>
        <v>4.45333333333333</v>
      </c>
      <c r="S287" s="15" t="n">
        <f aca="false">J287-R287</f>
        <v>-4.45333333333333</v>
      </c>
      <c r="T287" s="15" t="n">
        <f aca="false">MIN(197.4,(T286+S287))</f>
        <v>24.5345185185186</v>
      </c>
      <c r="V287" s="9" t="n">
        <v>2179.5</v>
      </c>
      <c r="W287" s="9" t="n">
        <f aca="false">V287/D287</f>
        <v>123.835227272727</v>
      </c>
      <c r="X287" s="9" t="n">
        <f aca="false">X286+V287</f>
        <v>267693.2</v>
      </c>
      <c r="Y287" s="9" t="n">
        <f aca="false">Y286+V287</f>
        <v>33454.4</v>
      </c>
      <c r="AA287" s="9" t="n">
        <v>16.0418922579304</v>
      </c>
    </row>
    <row r="288" s="9" customFormat="true" ht="15" hidden="false" customHeight="false" outlineLevel="0" collapsed="false">
      <c r="A288" s="69"/>
      <c r="B288" s="11"/>
      <c r="C288" s="12" t="n">
        <v>42166</v>
      </c>
      <c r="D288" s="9" t="n">
        <v>22.2</v>
      </c>
      <c r="E288" s="9" t="n">
        <v>15.8</v>
      </c>
      <c r="F288" s="18" t="n">
        <v>27.8</v>
      </c>
      <c r="G288" s="9" t="n">
        <f aca="false">G287+D288</f>
        <v>2717.4</v>
      </c>
      <c r="H288" s="9" t="n">
        <f aca="false">H287+D288</f>
        <v>266.6</v>
      </c>
      <c r="J288" s="9" t="n">
        <v>1.9</v>
      </c>
      <c r="K288" s="9" t="n">
        <f aca="false">K287+J288</f>
        <v>439.8</v>
      </c>
      <c r="L288" s="9" t="n">
        <v>4.8</v>
      </c>
      <c r="M288" s="9" t="n">
        <f aca="false">M287+L288</f>
        <v>468</v>
      </c>
      <c r="N288" s="14" t="n">
        <f aca="false">J288-L288</f>
        <v>-2.9</v>
      </c>
      <c r="O288" s="9" t="n">
        <f aca="false">O287+N288</f>
        <v>41.9999999999999</v>
      </c>
      <c r="P288" s="9" t="n">
        <v>283</v>
      </c>
      <c r="Q288" s="17" t="n">
        <f aca="false">1.15+((P288-267)/54)*(0.35-1.15)</f>
        <v>0.912962962962963</v>
      </c>
      <c r="R288" s="15" t="n">
        <f aca="false">Q288*L288</f>
        <v>4.38222222222222</v>
      </c>
      <c r="S288" s="15" t="n">
        <f aca="false">J288-R288</f>
        <v>-2.48222222222222</v>
      </c>
      <c r="T288" s="15" t="n">
        <f aca="false">MIN(197.4,(T287+S288))</f>
        <v>22.0522962962964</v>
      </c>
      <c r="V288" s="9" t="n">
        <v>2270.4</v>
      </c>
      <c r="W288" s="9" t="n">
        <f aca="false">V288/D288</f>
        <v>102.27027027027</v>
      </c>
      <c r="X288" s="9" t="n">
        <f aca="false">X287+V288</f>
        <v>269963.6</v>
      </c>
      <c r="Y288" s="9" t="n">
        <f aca="false">Y287+V288</f>
        <v>35724.8</v>
      </c>
      <c r="AA288" s="9" t="n">
        <v>16.0583094254145</v>
      </c>
    </row>
    <row r="289" s="9" customFormat="true" ht="15" hidden="false" customHeight="false" outlineLevel="0" collapsed="false">
      <c r="A289" s="69"/>
      <c r="B289" s="11"/>
      <c r="C289" s="12" t="n">
        <v>42167</v>
      </c>
      <c r="D289" s="9" t="n">
        <v>21.5</v>
      </c>
      <c r="E289" s="9" t="n">
        <v>19.2</v>
      </c>
      <c r="F289" s="18" t="n">
        <v>26.2</v>
      </c>
      <c r="G289" s="9" t="n">
        <f aca="false">G288+D289</f>
        <v>2738.9</v>
      </c>
      <c r="H289" s="9" t="n">
        <f aca="false">H288+D289</f>
        <v>288.1</v>
      </c>
      <c r="J289" s="9" t="n">
        <v>0</v>
      </c>
      <c r="K289" s="9" t="n">
        <f aca="false">K288+J289</f>
        <v>439.8</v>
      </c>
      <c r="L289" s="9" t="n">
        <v>5.2</v>
      </c>
      <c r="M289" s="9" t="n">
        <f aca="false">M288+L289</f>
        <v>473.2</v>
      </c>
      <c r="N289" s="14" t="n">
        <f aca="false">J289-L289</f>
        <v>-5.2</v>
      </c>
      <c r="O289" s="9" t="n">
        <f aca="false">O288+N289</f>
        <v>36.7999999999999</v>
      </c>
      <c r="P289" s="9" t="n">
        <v>284</v>
      </c>
      <c r="Q289" s="17" t="n">
        <f aca="false">1.15+((P289-267)/54)*(0.35-1.15)</f>
        <v>0.898148148148148</v>
      </c>
      <c r="R289" s="15" t="n">
        <f aca="false">Q289*L289</f>
        <v>4.67037037037037</v>
      </c>
      <c r="S289" s="15" t="n">
        <f aca="false">J289-R289</f>
        <v>-4.67037037037037</v>
      </c>
      <c r="T289" s="15" t="n">
        <f aca="false">MIN(197.4,(T288+S289))</f>
        <v>17.381925925926</v>
      </c>
      <c r="V289" s="9" t="n">
        <v>2208.3</v>
      </c>
      <c r="W289" s="9" t="n">
        <f aca="false">V289/D289</f>
        <v>102.711627906977</v>
      </c>
      <c r="X289" s="9" t="n">
        <f aca="false">X288+V289</f>
        <v>272171.9</v>
      </c>
      <c r="Y289" s="9" t="n">
        <f aca="false">Y288+V289</f>
        <v>37933.1</v>
      </c>
      <c r="AA289" s="9" t="n">
        <v>16.0733532536391</v>
      </c>
    </row>
    <row r="290" s="24" customFormat="true" ht="15" hidden="false" customHeight="false" outlineLevel="0" collapsed="false">
      <c r="A290" s="69"/>
      <c r="B290" s="21" t="n">
        <v>600</v>
      </c>
      <c r="C290" s="56" t="n">
        <v>42168</v>
      </c>
      <c r="D290" s="24" t="n">
        <v>20</v>
      </c>
      <c r="E290" s="24" t="n">
        <v>16.2</v>
      </c>
      <c r="F290" s="24" t="n">
        <v>24.1</v>
      </c>
      <c r="G290" s="24" t="n">
        <f aca="false">G289+D290</f>
        <v>2758.9</v>
      </c>
      <c r="H290" s="24" t="n">
        <f aca="false">H289+D290</f>
        <v>308.1</v>
      </c>
      <c r="J290" s="24" t="n">
        <v>0</v>
      </c>
      <c r="K290" s="24" t="n">
        <f aca="false">K289+J290</f>
        <v>439.8</v>
      </c>
      <c r="L290" s="24" t="n">
        <v>4.6</v>
      </c>
      <c r="M290" s="24" t="n">
        <f aca="false">M289+L290</f>
        <v>477.8</v>
      </c>
      <c r="N290" s="57" t="n">
        <f aca="false">J290-L290</f>
        <v>-4.6</v>
      </c>
      <c r="O290" s="24" t="n">
        <f aca="false">O289+N290</f>
        <v>32.1999999999999</v>
      </c>
      <c r="P290" s="24" t="n">
        <v>285</v>
      </c>
      <c r="Q290" s="58" t="n">
        <f aca="false">1.15+((P290-267)/54)*(0.35-1.15)</f>
        <v>0.883333333333333</v>
      </c>
      <c r="R290" s="26" t="n">
        <f aca="false">Q290*L290</f>
        <v>4.06333333333333</v>
      </c>
      <c r="S290" s="26" t="n">
        <f aca="false">J290-R290</f>
        <v>-4.06333333333333</v>
      </c>
      <c r="T290" s="27" t="n">
        <f aca="false">MIN(197.4,(T289+S290))</f>
        <v>13.3185925925927</v>
      </c>
      <c r="V290" s="24" t="n">
        <v>2335.6</v>
      </c>
      <c r="W290" s="24" t="n">
        <f aca="false">V290/D290</f>
        <v>116.78</v>
      </c>
      <c r="X290" s="24" t="n">
        <f aca="false">X289+V290</f>
        <v>274507.5</v>
      </c>
      <c r="Y290" s="25" t="n">
        <f aca="false">Y289+V290</f>
        <v>40268.7</v>
      </c>
      <c r="AA290" s="25" t="n">
        <v>16.087009078614</v>
      </c>
    </row>
    <row r="291" s="9" customFormat="true" ht="15" hidden="false" customHeight="false" outlineLevel="0" collapsed="false">
      <c r="A291" s="72" t="n">
        <v>1000</v>
      </c>
      <c r="B291" s="11"/>
      <c r="C291" s="12" t="n">
        <v>42169</v>
      </c>
      <c r="D291" s="9" t="n">
        <v>18.9</v>
      </c>
      <c r="E291" s="9" t="n">
        <v>15.1</v>
      </c>
      <c r="F291" s="9" t="n">
        <v>24</v>
      </c>
      <c r="G291" s="9" t="n">
        <f aca="false">G290+D291</f>
        <v>2777.8</v>
      </c>
      <c r="H291" s="9" t="n">
        <v>18.9</v>
      </c>
      <c r="I291" s="73" t="s">
        <v>28</v>
      </c>
      <c r="J291" s="9" t="n">
        <v>0</v>
      </c>
      <c r="K291" s="9" t="n">
        <f aca="false">K290+J291</f>
        <v>439.8</v>
      </c>
      <c r="L291" s="9" t="n">
        <v>4.2</v>
      </c>
      <c r="M291" s="9" t="n">
        <f aca="false">M290+L291</f>
        <v>482</v>
      </c>
      <c r="N291" s="14" t="n">
        <f aca="false">J291-L291</f>
        <v>-4.2</v>
      </c>
      <c r="O291" s="9" t="n">
        <f aca="false">O290+N291</f>
        <v>27.9999999999999</v>
      </c>
      <c r="P291" s="9" t="n">
        <v>286</v>
      </c>
      <c r="Q291" s="17" t="n">
        <f aca="false">1.15+((P291-267)/54)*(0.35-1.15)</f>
        <v>0.868518518518519</v>
      </c>
      <c r="R291" s="15" t="n">
        <f aca="false">Q291*L291</f>
        <v>3.64777777777778</v>
      </c>
      <c r="S291" s="15" t="n">
        <f aca="false">J291-R291</f>
        <v>-3.64777777777778</v>
      </c>
      <c r="T291" s="15" t="n">
        <f aca="false">MIN(197.4,(T290+S291))</f>
        <v>9.67081481481489</v>
      </c>
      <c r="U291" s="73" t="s">
        <v>29</v>
      </c>
      <c r="V291" s="9" t="n">
        <v>1701.9</v>
      </c>
      <c r="W291" s="9" t="n">
        <f aca="false">V291/D291</f>
        <v>90.0476190476191</v>
      </c>
      <c r="X291" s="9" t="n">
        <f aca="false">X290+V291</f>
        <v>276209.4</v>
      </c>
      <c r="Y291" s="9" t="n">
        <v>1701.9</v>
      </c>
      <c r="Z291" s="73" t="s">
        <v>30</v>
      </c>
      <c r="AA291" s="9" t="n">
        <v>16.0992635130962</v>
      </c>
    </row>
    <row r="292" s="9" customFormat="true" ht="15" hidden="false" customHeight="false" outlineLevel="0" collapsed="false">
      <c r="A292" s="72"/>
      <c r="B292" s="11"/>
      <c r="C292" s="12" t="n">
        <v>42170</v>
      </c>
      <c r="D292" s="9" t="n">
        <v>17.4</v>
      </c>
      <c r="E292" s="9" t="n">
        <v>15</v>
      </c>
      <c r="F292" s="9" t="n">
        <v>20.5</v>
      </c>
      <c r="G292" s="9" t="n">
        <f aca="false">G291+D292</f>
        <v>2795.2</v>
      </c>
      <c r="H292" s="9" t="n">
        <f aca="false">H291+D292</f>
        <v>36.3</v>
      </c>
      <c r="I292" s="9" t="n">
        <f aca="false">MIN(E291:E311)</f>
        <v>9.1</v>
      </c>
      <c r="J292" s="9" t="n">
        <v>0</v>
      </c>
      <c r="K292" s="9" t="n">
        <f aca="false">K291+J292</f>
        <v>439.8</v>
      </c>
      <c r="L292" s="9" t="n">
        <v>3.9</v>
      </c>
      <c r="M292" s="9" t="n">
        <f aca="false">M291+L292</f>
        <v>485.9</v>
      </c>
      <c r="N292" s="14" t="n">
        <f aca="false">J292-L292</f>
        <v>-3.9</v>
      </c>
      <c r="O292" s="9" t="n">
        <f aca="false">O291+N292</f>
        <v>24.0999999999999</v>
      </c>
      <c r="P292" s="9" t="n">
        <v>287</v>
      </c>
      <c r="Q292" s="17" t="n">
        <f aca="false">1.15+((P292-267)/54)*(0.35-1.15)</f>
        <v>0.853703703703704</v>
      </c>
      <c r="R292" s="15" t="n">
        <f aca="false">Q292*L292</f>
        <v>3.32944444444444</v>
      </c>
      <c r="S292" s="15" t="n">
        <f aca="false">J292-R292</f>
        <v>-3.32944444444444</v>
      </c>
      <c r="T292" s="15" t="n">
        <f aca="false">MIN(197.4,(T291+S292))</f>
        <v>6.34137037037045</v>
      </c>
      <c r="U292" s="9" t="n">
        <v>20</v>
      </c>
      <c r="V292" s="9" t="n">
        <v>2022.3</v>
      </c>
      <c r="W292" s="9" t="n">
        <f aca="false">V292/D292</f>
        <v>116.224137931034</v>
      </c>
      <c r="X292" s="9" t="n">
        <f aca="false">X291+V292</f>
        <v>278231.7</v>
      </c>
      <c r="Y292" s="9" t="n">
        <f aca="false">Y291+V292</f>
        <v>3724.2</v>
      </c>
      <c r="Z292" s="9" t="n">
        <v>47902.7</v>
      </c>
      <c r="AA292" s="9" t="n">
        <v>16.1101044967227</v>
      </c>
    </row>
    <row r="293" s="9" customFormat="true" ht="15" hidden="false" customHeight="false" outlineLevel="0" collapsed="false">
      <c r="A293" s="72"/>
      <c r="B293" s="11"/>
      <c r="C293" s="12" t="n">
        <v>42171</v>
      </c>
      <c r="D293" s="9" t="n">
        <v>16.3</v>
      </c>
      <c r="E293" s="9" t="n">
        <v>11.7</v>
      </c>
      <c r="F293" s="9" t="n">
        <v>21</v>
      </c>
      <c r="G293" s="9" t="n">
        <f aca="false">G292+D293</f>
        <v>2811.5</v>
      </c>
      <c r="H293" s="9" t="n">
        <f aca="false">H292+D293</f>
        <v>52.6</v>
      </c>
      <c r="I293" s="73" t="s">
        <v>31</v>
      </c>
      <c r="J293" s="9" t="n">
        <v>0</v>
      </c>
      <c r="K293" s="9" t="n">
        <f aca="false">K292+J293</f>
        <v>439.8</v>
      </c>
      <c r="L293" s="9" t="n">
        <v>4.4</v>
      </c>
      <c r="M293" s="9" t="n">
        <f aca="false">M292+L293</f>
        <v>490.3</v>
      </c>
      <c r="N293" s="14" t="n">
        <f aca="false">J293-L293</f>
        <v>-4.4</v>
      </c>
      <c r="O293" s="9" t="n">
        <f aca="false">O292+N293</f>
        <v>19.6999999999999</v>
      </c>
      <c r="P293" s="9" t="n">
        <v>288</v>
      </c>
      <c r="Q293" s="17" t="n">
        <f aca="false">1.15+((P293-267)/54)*(0.35-1.15)</f>
        <v>0.838888888888889</v>
      </c>
      <c r="R293" s="15" t="n">
        <f aca="false">Q293*L293</f>
        <v>3.69111111111111</v>
      </c>
      <c r="S293" s="15" t="n">
        <f aca="false">J293-R293</f>
        <v>-3.69111111111111</v>
      </c>
      <c r="T293" s="15" t="n">
        <f aca="false">MIN(197.4,(T292+S293))</f>
        <v>2.65025925925934</v>
      </c>
      <c r="U293" s="73" t="s">
        <v>32</v>
      </c>
      <c r="V293" s="9" t="n">
        <v>1945</v>
      </c>
      <c r="W293" s="9" t="n">
        <f aca="false">V293/D293</f>
        <v>119.325153374233</v>
      </c>
      <c r="X293" s="9" t="n">
        <f aca="false">X292+V293</f>
        <v>280176.7</v>
      </c>
      <c r="Y293" s="9" t="n">
        <f aca="false">Y292+V293</f>
        <v>5669.2</v>
      </c>
      <c r="Z293" s="73" t="s">
        <v>33</v>
      </c>
      <c r="AA293" s="9" t="n">
        <v>16.1195213417536</v>
      </c>
    </row>
    <row r="294" s="9" customFormat="true" ht="15" hidden="false" customHeight="false" outlineLevel="0" collapsed="false">
      <c r="A294" s="72"/>
      <c r="B294" s="11"/>
      <c r="C294" s="12" t="n">
        <v>42172</v>
      </c>
      <c r="D294" s="9" t="n">
        <v>18.5</v>
      </c>
      <c r="E294" s="9" t="n">
        <v>11.3</v>
      </c>
      <c r="F294" s="9" t="n">
        <v>23.7</v>
      </c>
      <c r="G294" s="9" t="n">
        <f aca="false">G293+D294</f>
        <v>2830</v>
      </c>
      <c r="H294" s="9" t="n">
        <f aca="false">H293+D294</f>
        <v>71.1</v>
      </c>
      <c r="I294" s="9" t="n">
        <f aca="false">MAX(F291:F311)</f>
        <v>36.2</v>
      </c>
      <c r="J294" s="9" t="n">
        <v>0</v>
      </c>
      <c r="K294" s="9" t="n">
        <f aca="false">K293+J294</f>
        <v>439.8</v>
      </c>
      <c r="L294" s="9" t="n">
        <v>5.1</v>
      </c>
      <c r="M294" s="9" t="n">
        <f aca="false">M293+L294</f>
        <v>495.4</v>
      </c>
      <c r="N294" s="14" t="n">
        <f aca="false">J294-L294</f>
        <v>-5.1</v>
      </c>
      <c r="O294" s="9" t="n">
        <f aca="false">O293+N294</f>
        <v>14.5999999999999</v>
      </c>
      <c r="P294" s="9" t="n">
        <v>289</v>
      </c>
      <c r="Q294" s="17" t="n">
        <f aca="false">1.15+((P294-267)/54)*(0.35-1.15)</f>
        <v>0.824074074074074</v>
      </c>
      <c r="R294" s="15" t="n">
        <f aca="false">Q294*L294</f>
        <v>4.20277777777778</v>
      </c>
      <c r="S294" s="15" t="n">
        <f aca="false">J294-R294</f>
        <v>-4.20277777777778</v>
      </c>
      <c r="T294" s="15" t="n">
        <v>0</v>
      </c>
      <c r="U294" s="9" t="n">
        <v>17</v>
      </c>
      <c r="V294" s="9" t="n">
        <v>2768.6</v>
      </c>
      <c r="W294" s="9" t="n">
        <f aca="false">V294/D294</f>
        <v>149.654054054054</v>
      </c>
      <c r="X294" s="9" t="n">
        <f aca="false">X293+V294</f>
        <v>282945.3</v>
      </c>
      <c r="Y294" s="9" t="n">
        <f aca="false">Y293+V294</f>
        <v>8437.8</v>
      </c>
      <c r="Z294" s="17" t="n">
        <f aca="false">(Z292/100)/I304</f>
        <v>1.13111452184179</v>
      </c>
      <c r="AA294" s="9" t="n">
        <v>16.1275047740674</v>
      </c>
    </row>
    <row r="295" s="9" customFormat="true" ht="15" hidden="false" customHeight="false" outlineLevel="0" collapsed="false">
      <c r="A295" s="72"/>
      <c r="B295" s="11"/>
      <c r="C295" s="12" t="n">
        <v>42173</v>
      </c>
      <c r="D295" s="9" t="n">
        <v>17.2</v>
      </c>
      <c r="E295" s="9" t="n">
        <v>16.6</v>
      </c>
      <c r="F295" s="9" t="n">
        <v>19.6</v>
      </c>
      <c r="G295" s="9" t="n">
        <f aca="false">G294+D295</f>
        <v>2847.2</v>
      </c>
      <c r="H295" s="9" t="n">
        <f aca="false">H294+D295</f>
        <v>88.3</v>
      </c>
      <c r="I295" s="73" t="s">
        <v>34</v>
      </c>
      <c r="J295" s="9" t="n">
        <v>0.3</v>
      </c>
      <c r="K295" s="9" t="n">
        <f aca="false">K294+J295</f>
        <v>440.1</v>
      </c>
      <c r="L295" s="9" t="n">
        <v>2.6</v>
      </c>
      <c r="M295" s="9" t="n">
        <f aca="false">M294+L295</f>
        <v>498</v>
      </c>
      <c r="N295" s="14" t="n">
        <f aca="false">J295-L295</f>
        <v>-2.3</v>
      </c>
      <c r="O295" s="9" t="n">
        <f aca="false">O294+N295</f>
        <v>12.2999999999999</v>
      </c>
      <c r="P295" s="9" t="n">
        <v>290</v>
      </c>
      <c r="Q295" s="17" t="n">
        <f aca="false">1.15+((P295-267)/54)*(0.35-1.15)</f>
        <v>0.809259259259259</v>
      </c>
      <c r="R295" s="15" t="n">
        <f aca="false">Q295*L295</f>
        <v>2.10407407407407</v>
      </c>
      <c r="S295" s="15" t="n">
        <f aca="false">J295-R295</f>
        <v>-1.80407407407407</v>
      </c>
      <c r="T295" s="15" t="n">
        <v>0</v>
      </c>
      <c r="U295" s="73" t="s">
        <v>35</v>
      </c>
      <c r="V295" s="9" t="n">
        <v>1212.2</v>
      </c>
      <c r="W295" s="9" t="n">
        <f aca="false">V295/D295</f>
        <v>70.4767441860465</v>
      </c>
      <c r="X295" s="9" t="n">
        <f aca="false">X294+V295</f>
        <v>284157.5</v>
      </c>
      <c r="Y295" s="9" t="n">
        <f aca="false">Y294+V295</f>
        <v>9650</v>
      </c>
      <c r="Z295" s="73" t="s">
        <v>36</v>
      </c>
      <c r="AA295" s="9" t="n">
        <v>16.1340469690827</v>
      </c>
    </row>
    <row r="296" s="9" customFormat="true" ht="15" hidden="false" customHeight="false" outlineLevel="0" collapsed="false">
      <c r="A296" s="72"/>
      <c r="B296" s="11"/>
      <c r="C296" s="12" t="n">
        <v>42174</v>
      </c>
      <c r="D296" s="9" t="n">
        <v>16.2</v>
      </c>
      <c r="E296" s="9" t="n">
        <v>11.8</v>
      </c>
      <c r="F296" s="9" t="n">
        <v>21.3</v>
      </c>
      <c r="G296" s="9" t="n">
        <f aca="false">G295+D296</f>
        <v>2863.4</v>
      </c>
      <c r="H296" s="9" t="n">
        <f aca="false">H295+D296</f>
        <v>104.5</v>
      </c>
      <c r="I296" s="15" t="n">
        <f aca="false">AVERAGE(D291:D311)</f>
        <v>20.1666666666667</v>
      </c>
      <c r="J296" s="9" t="n">
        <v>0</v>
      </c>
      <c r="K296" s="9" t="n">
        <f aca="false">K295+J296</f>
        <v>440.1</v>
      </c>
      <c r="L296" s="9" t="n">
        <v>4.7</v>
      </c>
      <c r="M296" s="9" t="n">
        <f aca="false">M295+L296</f>
        <v>502.7</v>
      </c>
      <c r="N296" s="14" t="n">
        <f aca="false">J296-L296</f>
        <v>-4.7</v>
      </c>
      <c r="O296" s="9" t="n">
        <f aca="false">O295+N296</f>
        <v>7.59999999999991</v>
      </c>
      <c r="P296" s="9" t="n">
        <v>291</v>
      </c>
      <c r="Q296" s="17" t="n">
        <f aca="false">1.15+((P296-267)/54)*(0.35-1.15)</f>
        <v>0.794444444444444</v>
      </c>
      <c r="R296" s="15" t="n">
        <f aca="false">Q296*L296</f>
        <v>3.73388888888889</v>
      </c>
      <c r="S296" s="15" t="n">
        <f aca="false">J296-R296</f>
        <v>-3.73388888888889</v>
      </c>
      <c r="T296" s="15" t="n">
        <v>0</v>
      </c>
      <c r="U296" s="9" t="n">
        <v>4</v>
      </c>
      <c r="V296" s="9" t="n">
        <v>2509.3</v>
      </c>
      <c r="W296" s="9" t="n">
        <f aca="false">V296/D296</f>
        <v>154.895061728395</v>
      </c>
      <c r="X296" s="9" t="n">
        <f aca="false">X295+V296</f>
        <v>286666.8</v>
      </c>
      <c r="Y296" s="9" t="n">
        <f aca="false">Y295+V296</f>
        <v>12159.3</v>
      </c>
      <c r="Z296" s="9" t="n">
        <v>0</v>
      </c>
      <c r="AA296" s="9" t="n">
        <v>16.1391415823157</v>
      </c>
    </row>
    <row r="297" s="9" customFormat="true" ht="15" hidden="false" customHeight="false" outlineLevel="0" collapsed="false">
      <c r="A297" s="72"/>
      <c r="B297" s="11"/>
      <c r="C297" s="12" t="n">
        <v>42175</v>
      </c>
      <c r="D297" s="9" t="n">
        <v>16.5</v>
      </c>
      <c r="E297" s="9" t="n">
        <v>9.9</v>
      </c>
      <c r="F297" s="9" t="n">
        <v>20.2</v>
      </c>
      <c r="G297" s="9" t="n">
        <f aca="false">G296+D297</f>
        <v>2879.9</v>
      </c>
      <c r="H297" s="9" t="n">
        <f aca="false">H296+D297</f>
        <v>121</v>
      </c>
      <c r="I297" s="73" t="s">
        <v>37</v>
      </c>
      <c r="J297" s="9" t="n">
        <v>0</v>
      </c>
      <c r="K297" s="9" t="n">
        <f aca="false">K296+J297</f>
        <v>440.1</v>
      </c>
      <c r="L297" s="9" t="n">
        <v>3.3</v>
      </c>
      <c r="M297" s="9" t="n">
        <f aca="false">M296+L297</f>
        <v>506</v>
      </c>
      <c r="N297" s="14" t="n">
        <f aca="false">J297-L297</f>
        <v>-3.3</v>
      </c>
      <c r="O297" s="9" t="n">
        <f aca="false">O296+N297</f>
        <v>4.29999999999991</v>
      </c>
      <c r="P297" s="9" t="n">
        <v>292</v>
      </c>
      <c r="Q297" s="17" t="n">
        <f aca="false">1.15+((P297-267)/54)*(0.35-1.15)</f>
        <v>0.77962962962963</v>
      </c>
      <c r="R297" s="15" t="n">
        <f aca="false">Q297*L297</f>
        <v>2.57277777777778</v>
      </c>
      <c r="S297" s="15" t="n">
        <f aca="false">J297-R297</f>
        <v>-2.57277777777778</v>
      </c>
      <c r="T297" s="15" t="n">
        <v>0</v>
      </c>
      <c r="U297" s="73" t="s">
        <v>38</v>
      </c>
      <c r="V297" s="9" t="n">
        <v>1965.1</v>
      </c>
      <c r="W297" s="9" t="n">
        <f aca="false">V297/D297</f>
        <v>119.09696969697</v>
      </c>
      <c r="X297" s="9" t="n">
        <f aca="false">X296+V297</f>
        <v>288631.9</v>
      </c>
      <c r="Y297" s="9" t="n">
        <f aca="false">Y296+V297</f>
        <v>14124.4</v>
      </c>
      <c r="AA297" s="9" t="n">
        <v>16.1427837743245</v>
      </c>
    </row>
    <row r="298" s="9" customFormat="true" ht="15" hidden="false" customHeight="false" outlineLevel="0" collapsed="false">
      <c r="A298" s="72"/>
      <c r="B298" s="11"/>
      <c r="C298" s="12" t="n">
        <v>42176</v>
      </c>
      <c r="D298" s="9" t="n">
        <v>18.2</v>
      </c>
      <c r="E298" s="9" t="n">
        <v>15.8</v>
      </c>
      <c r="F298" s="9" t="n">
        <v>21.1</v>
      </c>
      <c r="G298" s="9" t="n">
        <f aca="false">G297+D298</f>
        <v>2898.1</v>
      </c>
      <c r="H298" s="9" t="n">
        <f aca="false">H297+D298</f>
        <v>139.2</v>
      </c>
      <c r="I298" s="9" t="n">
        <v>0</v>
      </c>
      <c r="J298" s="9" t="n">
        <v>0</v>
      </c>
      <c r="K298" s="9" t="n">
        <f aca="false">K297+J298</f>
        <v>440.1</v>
      </c>
      <c r="L298" s="9" t="n">
        <v>4.5</v>
      </c>
      <c r="M298" s="9" t="n">
        <f aca="false">M297+L298</f>
        <v>510.5</v>
      </c>
      <c r="N298" s="14" t="n">
        <f aca="false">J298-L298</f>
        <v>-4.5</v>
      </c>
      <c r="O298" s="9" t="n">
        <v>0</v>
      </c>
      <c r="P298" s="9" t="n">
        <v>293</v>
      </c>
      <c r="Q298" s="17" t="n">
        <f aca="false">1.15+((P298-267)/54)*(0.35-1.15)</f>
        <v>0.764814814814815</v>
      </c>
      <c r="R298" s="15" t="n">
        <f aca="false">Q298*L298</f>
        <v>3.44166666666667</v>
      </c>
      <c r="S298" s="15" t="n">
        <f aca="false">J298-R298</f>
        <v>-3.44166666666667</v>
      </c>
      <c r="T298" s="15" t="n">
        <v>0</v>
      </c>
      <c r="U298" s="15" t="n">
        <v>0</v>
      </c>
      <c r="V298" s="9" t="n">
        <v>2416.6</v>
      </c>
      <c r="W298" s="9" t="n">
        <f aca="false">V298/D298</f>
        <v>132.78021978022</v>
      </c>
      <c r="X298" s="9" t="n">
        <f aca="false">X297+V298</f>
        <v>291048.5</v>
      </c>
      <c r="Y298" s="9" t="n">
        <f aca="false">Y297+V298</f>
        <v>16541</v>
      </c>
      <c r="AA298" s="9" t="n">
        <v>16.1449702298335</v>
      </c>
    </row>
    <row r="299" s="9" customFormat="true" ht="15" hidden="false" customHeight="false" outlineLevel="0" collapsed="false">
      <c r="A299" s="72"/>
      <c r="B299" s="11"/>
      <c r="C299" s="12" t="n">
        <v>42177</v>
      </c>
      <c r="D299" s="9" t="n">
        <v>14.3</v>
      </c>
      <c r="E299" s="9" t="n">
        <v>12.6</v>
      </c>
      <c r="F299" s="9" t="n">
        <v>19.1</v>
      </c>
      <c r="G299" s="9" t="n">
        <f aca="false">G298+D299</f>
        <v>2912.4</v>
      </c>
      <c r="H299" s="9" t="n">
        <f aca="false">H298+D299</f>
        <v>153.5</v>
      </c>
      <c r="I299" s="73" t="s">
        <v>39</v>
      </c>
      <c r="J299" s="9" t="n">
        <v>3.6</v>
      </c>
      <c r="K299" s="9" t="n">
        <f aca="false">K298+J299</f>
        <v>443.7</v>
      </c>
      <c r="L299" s="9" t="n">
        <v>2.8</v>
      </c>
      <c r="M299" s="9" t="n">
        <f aca="false">M298+L299</f>
        <v>513.3</v>
      </c>
      <c r="N299" s="9" t="n">
        <f aca="false">J299-L299</f>
        <v>0.8</v>
      </c>
      <c r="O299" s="9" t="n">
        <f aca="false">O298+N299</f>
        <v>0.8</v>
      </c>
      <c r="P299" s="9" t="n">
        <v>294</v>
      </c>
      <c r="Q299" s="17" t="n">
        <f aca="false">1.15+((P299-267)/54)*(0.35-1.15)</f>
        <v>0.75</v>
      </c>
      <c r="R299" s="15" t="n">
        <f aca="false">Q299*L299</f>
        <v>2.1</v>
      </c>
      <c r="S299" s="15" t="n">
        <f aca="false">J299-R299</f>
        <v>1.5</v>
      </c>
      <c r="T299" s="15" t="n">
        <f aca="false">MIN(197.4,(T298+S299))</f>
        <v>1.5</v>
      </c>
      <c r="U299" s="73" t="s">
        <v>40</v>
      </c>
      <c r="V299" s="9" t="n">
        <v>1236.5</v>
      </c>
      <c r="W299" s="9" t="n">
        <f aca="false">V299/D299</f>
        <v>86.4685314685315</v>
      </c>
      <c r="X299" s="9" t="n">
        <f aca="false">X298+V299</f>
        <v>292285</v>
      </c>
      <c r="Y299" s="9" t="n">
        <f aca="false">Y298+V299</f>
        <v>17777.5</v>
      </c>
      <c r="AA299" s="9" t="n">
        <v>16.1456991708802</v>
      </c>
    </row>
    <row r="300" s="9" customFormat="true" ht="15" hidden="false" customHeight="false" outlineLevel="0" collapsed="false">
      <c r="A300" s="72"/>
      <c r="B300" s="11"/>
      <c r="C300" s="12" t="n">
        <v>42178</v>
      </c>
      <c r="D300" s="9" t="n">
        <v>13.8</v>
      </c>
      <c r="E300" s="9" t="n">
        <v>10.3</v>
      </c>
      <c r="F300" s="9" t="n">
        <v>17.5</v>
      </c>
      <c r="G300" s="9" t="n">
        <f aca="false">G299+D300</f>
        <v>2926.2</v>
      </c>
      <c r="H300" s="9" t="n">
        <f aca="false">H299+D300</f>
        <v>167.3</v>
      </c>
      <c r="I300" s="9" t="n">
        <v>9</v>
      </c>
      <c r="J300" s="9" t="n">
        <v>0</v>
      </c>
      <c r="K300" s="9" t="n">
        <f aca="false">K299+J300</f>
        <v>443.7</v>
      </c>
      <c r="L300" s="9" t="n">
        <v>3.2</v>
      </c>
      <c r="M300" s="9" t="n">
        <f aca="false">M299+L300</f>
        <v>516.5</v>
      </c>
      <c r="N300" s="14" t="n">
        <f aca="false">J300-L300</f>
        <v>-3.2</v>
      </c>
      <c r="O300" s="9" t="n">
        <v>0</v>
      </c>
      <c r="P300" s="9" t="n">
        <v>295</v>
      </c>
      <c r="Q300" s="17" t="n">
        <f aca="false">1.15+((P300-267)/54)*(0.35-1.15)</f>
        <v>0.735185185185185</v>
      </c>
      <c r="R300" s="15" t="n">
        <f aca="false">Q300*L300</f>
        <v>2.35259259259259</v>
      </c>
      <c r="S300" s="15" t="n">
        <f aca="false">J300-R300</f>
        <v>-2.35259259259259</v>
      </c>
      <c r="T300" s="15" t="n">
        <v>0</v>
      </c>
      <c r="U300" s="15" t="n">
        <v>9.7</v>
      </c>
      <c r="V300" s="9" t="n">
        <v>1798.7</v>
      </c>
      <c r="W300" s="9" t="n">
        <f aca="false">V300/D300</f>
        <v>130.340579710145</v>
      </c>
      <c r="X300" s="9" t="n">
        <f aca="false">X299+V300</f>
        <v>294083.7</v>
      </c>
      <c r="Y300" s="9" t="n">
        <f aca="false">Y299+V300</f>
        <v>19576.2</v>
      </c>
      <c r="AA300" s="9" t="n">
        <v>16.1449703638726</v>
      </c>
    </row>
    <row r="301" s="9" customFormat="true" ht="15" hidden="false" customHeight="false" outlineLevel="0" collapsed="false">
      <c r="A301" s="72"/>
      <c r="B301" s="11"/>
      <c r="C301" s="12" t="n">
        <v>42179</v>
      </c>
      <c r="D301" s="9" t="n">
        <v>17</v>
      </c>
      <c r="E301" s="9" t="n">
        <v>9.1</v>
      </c>
      <c r="F301" s="9" t="n">
        <v>23.7</v>
      </c>
      <c r="G301" s="9" t="n">
        <f aca="false">G300+D301</f>
        <v>2943.2</v>
      </c>
      <c r="H301" s="9" t="n">
        <f aca="false">H300+D301</f>
        <v>184.3</v>
      </c>
      <c r="I301" s="73" t="s">
        <v>41</v>
      </c>
      <c r="J301" s="9" t="n">
        <v>0</v>
      </c>
      <c r="K301" s="9" t="n">
        <f aca="false">K300+J301</f>
        <v>443.7</v>
      </c>
      <c r="L301" s="9" t="n">
        <v>4.2</v>
      </c>
      <c r="M301" s="9" t="n">
        <f aca="false">M300+L301</f>
        <v>520.7</v>
      </c>
      <c r="N301" s="14" t="n">
        <f aca="false">J301-L301</f>
        <v>-4.2</v>
      </c>
      <c r="O301" s="9" t="n">
        <v>0</v>
      </c>
      <c r="P301" s="9" t="n">
        <v>296</v>
      </c>
      <c r="Q301" s="17" t="n">
        <f aca="false">1.15+((P301-267)/54)*(0.35-1.15)</f>
        <v>0.72037037037037</v>
      </c>
      <c r="R301" s="15" t="n">
        <f aca="false">Q301*L301</f>
        <v>3.02555555555556</v>
      </c>
      <c r="S301" s="15" t="n">
        <f aca="false">J301-R301</f>
        <v>-3.02555555555556</v>
      </c>
      <c r="T301" s="15" t="n">
        <v>0</v>
      </c>
      <c r="U301" s="73" t="s">
        <v>42</v>
      </c>
      <c r="V301" s="9" t="n">
        <v>2410.6</v>
      </c>
      <c r="W301" s="9" t="n">
        <f aca="false">V301/D301</f>
        <v>141.8</v>
      </c>
      <c r="X301" s="9" t="n">
        <f aca="false">X300+V301</f>
        <v>296494.3</v>
      </c>
      <c r="Y301" s="9" t="n">
        <f aca="false">Y300+V301</f>
        <v>21986.8</v>
      </c>
      <c r="AA301" s="9" t="n">
        <v>16.1427851204995</v>
      </c>
    </row>
    <row r="302" s="9" customFormat="true" ht="15" hidden="false" customHeight="false" outlineLevel="0" collapsed="false">
      <c r="A302" s="72"/>
      <c r="B302" s="11"/>
      <c r="C302" s="12" t="n">
        <v>42180</v>
      </c>
      <c r="D302" s="9" t="n">
        <v>20.3</v>
      </c>
      <c r="E302" s="9" t="n">
        <v>13.1</v>
      </c>
      <c r="F302" s="18" t="n">
        <v>27</v>
      </c>
      <c r="G302" s="9" t="n">
        <f aca="false">G301+D302</f>
        <v>2963.5</v>
      </c>
      <c r="H302" s="9" t="n">
        <f aca="false">H301+D302</f>
        <v>204.6</v>
      </c>
      <c r="I302" s="9" t="n">
        <v>0</v>
      </c>
      <c r="J302" s="9" t="n">
        <v>0</v>
      </c>
      <c r="K302" s="9" t="n">
        <f aca="false">K301+J302</f>
        <v>443.7</v>
      </c>
      <c r="L302" s="9" t="n">
        <v>3.9</v>
      </c>
      <c r="M302" s="9" t="n">
        <f aca="false">M301+L302</f>
        <v>524.6</v>
      </c>
      <c r="N302" s="14" t="n">
        <f aca="false">J302-L302</f>
        <v>-3.9</v>
      </c>
      <c r="O302" s="9" t="n">
        <v>0</v>
      </c>
      <c r="P302" s="9" t="n">
        <v>297</v>
      </c>
      <c r="Q302" s="17" t="n">
        <f aca="false">1.15+((P302-267)/54)*(0.35-1.15)</f>
        <v>0.705555555555556</v>
      </c>
      <c r="R302" s="15" t="n">
        <f aca="false">Q302*L302</f>
        <v>2.75166666666667</v>
      </c>
      <c r="S302" s="15" t="n">
        <f aca="false">J302-R302</f>
        <v>-2.75166666666667</v>
      </c>
      <c r="T302" s="15" t="n">
        <v>0</v>
      </c>
      <c r="U302" s="17" t="n">
        <f aca="false">AVERAGE(T291:T311)</f>
        <v>0.960116402116413</v>
      </c>
      <c r="V302" s="9" t="n">
        <v>2056.9</v>
      </c>
      <c r="W302" s="9" t="n">
        <f aca="false">V302/D302</f>
        <v>101.325123152709</v>
      </c>
      <c r="X302" s="9" t="n">
        <f aca="false">X301+V302</f>
        <v>298551.2</v>
      </c>
      <c r="Y302" s="9" t="n">
        <f aca="false">Y301+V302</f>
        <v>24043.7</v>
      </c>
      <c r="AA302" s="9" t="n">
        <v>16.1391462924845</v>
      </c>
    </row>
    <row r="303" s="9" customFormat="true" ht="15" hidden="false" customHeight="false" outlineLevel="0" collapsed="false">
      <c r="A303" s="72"/>
      <c r="B303" s="11"/>
      <c r="C303" s="12" t="n">
        <v>42181</v>
      </c>
      <c r="D303" s="9" t="n">
        <v>23</v>
      </c>
      <c r="E303" s="9" t="n">
        <v>15.3</v>
      </c>
      <c r="F303" s="18" t="n">
        <v>29.6</v>
      </c>
      <c r="G303" s="9" t="n">
        <f aca="false">G302+D303</f>
        <v>2986.5</v>
      </c>
      <c r="H303" s="9" t="n">
        <f aca="false">H302+D303</f>
        <v>227.6</v>
      </c>
      <c r="I303" s="73" t="s">
        <v>43</v>
      </c>
      <c r="J303" s="9" t="n">
        <v>0</v>
      </c>
      <c r="K303" s="9" t="n">
        <f aca="false">K302+J303</f>
        <v>443.7</v>
      </c>
      <c r="L303" s="9" t="n">
        <v>5.1</v>
      </c>
      <c r="M303" s="9" t="n">
        <f aca="false">M302+L303</f>
        <v>529.7</v>
      </c>
      <c r="N303" s="14" t="n">
        <f aca="false">J303-L303</f>
        <v>-5.1</v>
      </c>
      <c r="O303" s="9" t="n">
        <v>0</v>
      </c>
      <c r="P303" s="9" t="n">
        <v>298</v>
      </c>
      <c r="Q303" s="17" t="n">
        <f aca="false">1.15+((P303-267)/54)*(0.35-1.15)</f>
        <v>0.690740740740741</v>
      </c>
      <c r="R303" s="15" t="n">
        <f aca="false">Q303*L303</f>
        <v>3.52277777777778</v>
      </c>
      <c r="S303" s="15" t="n">
        <f aca="false">J303-R303</f>
        <v>-3.52277777777778</v>
      </c>
      <c r="T303" s="15" t="n">
        <v>0</v>
      </c>
      <c r="V303" s="9" t="n">
        <v>2230.8</v>
      </c>
      <c r="W303" s="9" t="n">
        <f aca="false">V303/D303</f>
        <v>96.9913043478261</v>
      </c>
      <c r="X303" s="9" t="n">
        <f aca="false">X302+V303</f>
        <v>300782</v>
      </c>
      <c r="Y303" s="9" t="n">
        <f aca="false">Y302+V303</f>
        <v>26274.5</v>
      </c>
      <c r="AA303" s="9" t="n">
        <v>16.1340582602282</v>
      </c>
    </row>
    <row r="304" s="9" customFormat="true" ht="15" hidden="false" customHeight="false" outlineLevel="0" collapsed="false">
      <c r="A304" s="72"/>
      <c r="B304" s="11"/>
      <c r="C304" s="12" t="n">
        <v>42182</v>
      </c>
      <c r="D304" s="9" t="n">
        <v>20.5</v>
      </c>
      <c r="E304" s="9" t="n">
        <v>17.7</v>
      </c>
      <c r="F304" s="9" t="n">
        <v>24.4</v>
      </c>
      <c r="G304" s="9" t="n">
        <f aca="false">G303+D304</f>
        <v>3007</v>
      </c>
      <c r="H304" s="9" t="n">
        <f aca="false">H303+D304</f>
        <v>248.1</v>
      </c>
      <c r="I304" s="9" t="n">
        <v>423.5</v>
      </c>
      <c r="J304" s="9" t="n">
        <v>0</v>
      </c>
      <c r="K304" s="9" t="n">
        <f aca="false">K303+J304</f>
        <v>443.7</v>
      </c>
      <c r="L304" s="9" t="n">
        <v>6.1</v>
      </c>
      <c r="M304" s="9" t="n">
        <f aca="false">M303+L304</f>
        <v>535.8</v>
      </c>
      <c r="N304" s="14" t="n">
        <f aca="false">J304-L304</f>
        <v>-6.1</v>
      </c>
      <c r="O304" s="9" t="n">
        <v>0</v>
      </c>
      <c r="P304" s="9" t="n">
        <v>299</v>
      </c>
      <c r="Q304" s="17" t="n">
        <f aca="false">1.15+((P304-267)/54)*(0.35-1.15)</f>
        <v>0.675925925925926</v>
      </c>
      <c r="R304" s="15" t="n">
        <f aca="false">Q304*L304</f>
        <v>4.12314814814815</v>
      </c>
      <c r="S304" s="15" t="n">
        <f aca="false">J304-R304</f>
        <v>-4.12314814814815</v>
      </c>
      <c r="T304" s="15" t="n">
        <v>0</v>
      </c>
      <c r="U304" s="9" t="n">
        <f aca="false">(U302*100)/197.4</f>
        <v>0.486381156087342</v>
      </c>
      <c r="V304" s="9" t="n">
        <v>2790.4</v>
      </c>
      <c r="W304" s="9" t="n">
        <f aca="false">V304/D304</f>
        <v>136.117073170732</v>
      </c>
      <c r="X304" s="9" t="n">
        <f aca="false">X303+V304</f>
        <v>303572.4</v>
      </c>
      <c r="Y304" s="9" t="n">
        <f aca="false">Y303+V304</f>
        <v>29064.9</v>
      </c>
      <c r="AA304" s="9" t="n">
        <v>16.1275269154332</v>
      </c>
    </row>
    <row r="305" s="9" customFormat="true" ht="15" hidden="false" customHeight="false" outlineLevel="0" collapsed="false">
      <c r="A305" s="72"/>
      <c r="B305" s="11"/>
      <c r="C305" s="12" t="n">
        <v>42183</v>
      </c>
      <c r="D305" s="9" t="n">
        <v>21.9</v>
      </c>
      <c r="E305" s="9" t="n">
        <v>12.9</v>
      </c>
      <c r="F305" s="18" t="n">
        <v>28.3</v>
      </c>
      <c r="G305" s="9" t="n">
        <f aca="false">G304+D305</f>
        <v>3028.9</v>
      </c>
      <c r="H305" s="9" t="n">
        <f aca="false">H304+D305</f>
        <v>270</v>
      </c>
      <c r="J305" s="9" t="n">
        <v>0</v>
      </c>
      <c r="K305" s="9" t="n">
        <f aca="false">K304+J305</f>
        <v>443.7</v>
      </c>
      <c r="L305" s="9" t="n">
        <v>5.3</v>
      </c>
      <c r="M305" s="9" t="n">
        <f aca="false">M304+L305</f>
        <v>541.1</v>
      </c>
      <c r="N305" s="14" t="n">
        <f aca="false">J305-L305</f>
        <v>-5.3</v>
      </c>
      <c r="O305" s="9" t="n">
        <v>0</v>
      </c>
      <c r="P305" s="9" t="n">
        <v>300</v>
      </c>
      <c r="Q305" s="17" t="n">
        <f aca="false">1.15+((P305-267)/54)*(0.35-1.15)</f>
        <v>0.661111111111111</v>
      </c>
      <c r="R305" s="15" t="n">
        <f aca="false">Q305*L305</f>
        <v>3.50388888888889</v>
      </c>
      <c r="S305" s="15" t="n">
        <f aca="false">J305-R305</f>
        <v>-3.50388888888889</v>
      </c>
      <c r="T305" s="15" t="n">
        <v>0</v>
      </c>
      <c r="V305" s="9" t="n">
        <v>2684.1</v>
      </c>
      <c r="W305" s="9" t="n">
        <f aca="false">V305/D305</f>
        <v>122.561643835616</v>
      </c>
      <c r="X305" s="9" t="n">
        <f aca="false">X304+V305</f>
        <v>306256.5</v>
      </c>
      <c r="Y305" s="9" t="n">
        <f aca="false">Y304+V305</f>
        <v>31749</v>
      </c>
      <c r="AA305" s="9" t="n">
        <v>16.1195596378565</v>
      </c>
    </row>
    <row r="306" s="50" customFormat="true" ht="15" hidden="false" customHeight="false" outlineLevel="0" collapsed="false">
      <c r="A306" s="72"/>
      <c r="B306" s="48"/>
      <c r="C306" s="49" t="n">
        <v>42184</v>
      </c>
      <c r="D306" s="50" t="n">
        <v>21.9</v>
      </c>
      <c r="E306" s="50" t="n">
        <v>17</v>
      </c>
      <c r="F306" s="74" t="n">
        <v>28.4</v>
      </c>
      <c r="G306" s="50" t="n">
        <f aca="false">G305+D306</f>
        <v>3050.8</v>
      </c>
      <c r="H306" s="50" t="n">
        <f aca="false">H305+D306</f>
        <v>291.9</v>
      </c>
      <c r="J306" s="50" t="n">
        <v>0</v>
      </c>
      <c r="K306" s="50" t="n">
        <f aca="false">K305+J306</f>
        <v>443.7</v>
      </c>
      <c r="L306" s="50" t="n">
        <v>6.1</v>
      </c>
      <c r="M306" s="50" t="n">
        <f aca="false">M305+L306</f>
        <v>547.2</v>
      </c>
      <c r="N306" s="52" t="n">
        <f aca="false">J306-L306</f>
        <v>-6.1</v>
      </c>
      <c r="O306" s="50" t="n">
        <v>0</v>
      </c>
      <c r="P306" s="50" t="n">
        <v>301</v>
      </c>
      <c r="Q306" s="17" t="n">
        <f aca="false">1.15+((P306-267)/54)*(0.35-1.15)</f>
        <v>0.646296296296296</v>
      </c>
      <c r="R306" s="53" t="n">
        <f aca="false">Q306*L306</f>
        <v>3.94240740740741</v>
      </c>
      <c r="S306" s="53" t="n">
        <f aca="false">J306-R306</f>
        <v>-3.94240740740741</v>
      </c>
      <c r="T306" s="15" t="n">
        <v>0</v>
      </c>
      <c r="V306" s="50" t="n">
        <v>2853.8</v>
      </c>
      <c r="W306" s="50" t="n">
        <f aca="false">V306/D306</f>
        <v>130.310502283105</v>
      </c>
      <c r="X306" s="50" t="n">
        <f aca="false">X305+V306</f>
        <v>309110.3</v>
      </c>
      <c r="Y306" s="9" t="n">
        <f aca="false">Y305+V306</f>
        <v>34602.8</v>
      </c>
      <c r="AA306" s="9" t="n">
        <v>16.1101652663812</v>
      </c>
    </row>
    <row r="307" s="9" customFormat="true" ht="15" hidden="false" customHeight="true" outlineLevel="0" collapsed="false">
      <c r="A307" s="72"/>
      <c r="B307" s="75"/>
      <c r="C307" s="12" t="n">
        <v>42185</v>
      </c>
      <c r="D307" s="9" t="n">
        <v>24.5</v>
      </c>
      <c r="E307" s="9" t="n">
        <v>14.7</v>
      </c>
      <c r="F307" s="18" t="n">
        <v>32.1</v>
      </c>
      <c r="G307" s="9" t="n">
        <f aca="false">G306+D307</f>
        <v>3075.3</v>
      </c>
      <c r="H307" s="9" t="n">
        <f aca="false">H306+D307</f>
        <v>316.4</v>
      </c>
      <c r="J307" s="9" t="n">
        <v>0</v>
      </c>
      <c r="K307" s="9" t="n">
        <f aca="false">K306+J307</f>
        <v>443.7</v>
      </c>
      <c r="L307" s="9" t="n">
        <v>7.9</v>
      </c>
      <c r="M307" s="9" t="n">
        <f aca="false">M306+L307</f>
        <v>555.1</v>
      </c>
      <c r="N307" s="14" t="n">
        <f aca="false">J307-L307</f>
        <v>-7.9</v>
      </c>
      <c r="O307" s="9" t="n">
        <v>0</v>
      </c>
      <c r="P307" s="9" t="n">
        <v>302</v>
      </c>
      <c r="Q307" s="17" t="n">
        <f aca="false">1.15+((P307-267)/54)*(0.35-1.15)</f>
        <v>0.631481481481481</v>
      </c>
      <c r="R307" s="15" t="n">
        <f aca="false">Q307*L307</f>
        <v>4.9887037037037</v>
      </c>
      <c r="S307" s="15" t="n">
        <f aca="false">J307-R307</f>
        <v>-4.9887037037037</v>
      </c>
      <c r="T307" s="15" t="n">
        <v>0</v>
      </c>
      <c r="U307" s="16"/>
      <c r="V307" s="9" t="n">
        <v>3263.2</v>
      </c>
      <c r="W307" s="9" t="n">
        <f aca="false">V307/D307</f>
        <v>133.191836734694</v>
      </c>
      <c r="X307" s="9" t="n">
        <f aca="false">X306+V307</f>
        <v>312373.5</v>
      </c>
      <c r="Y307" s="9" t="n">
        <f aca="false">Y306+V307</f>
        <v>37866</v>
      </c>
      <c r="Z307" s="16"/>
      <c r="AA307" s="9" t="n">
        <v>16.099354064644</v>
      </c>
    </row>
    <row r="308" s="9" customFormat="true" ht="15" hidden="false" customHeight="false" outlineLevel="0" collapsed="false">
      <c r="A308" s="72"/>
      <c r="B308" s="75"/>
      <c r="C308" s="12" t="n">
        <v>42186</v>
      </c>
      <c r="D308" s="18" t="n">
        <v>29.1</v>
      </c>
      <c r="E308" s="9" t="n">
        <v>19.9</v>
      </c>
      <c r="F308" s="18" t="n">
        <v>36.2</v>
      </c>
      <c r="G308" s="9" t="n">
        <f aca="false">G307+D308</f>
        <v>3104.4</v>
      </c>
      <c r="H308" s="9" t="n">
        <f aca="false">H307+D308</f>
        <v>345.5</v>
      </c>
      <c r="J308" s="9" t="n">
        <v>0</v>
      </c>
      <c r="K308" s="9" t="n">
        <f aca="false">K307+J308</f>
        <v>443.7</v>
      </c>
      <c r="L308" s="9" t="n">
        <v>8</v>
      </c>
      <c r="M308" s="9" t="n">
        <f aca="false">M307+L308</f>
        <v>563.1</v>
      </c>
      <c r="N308" s="14" t="n">
        <f aca="false">J308-L308</f>
        <v>-8</v>
      </c>
      <c r="O308" s="9" t="n">
        <v>0</v>
      </c>
      <c r="P308" s="9" t="n">
        <v>303</v>
      </c>
      <c r="Q308" s="17" t="n">
        <f aca="false">1.15+((P308-267)/54)*(0.35-1.15)</f>
        <v>0.616666666666667</v>
      </c>
      <c r="R308" s="15" t="n">
        <f aca="false">Q308*L308</f>
        <v>4.93333333333333</v>
      </c>
      <c r="S308" s="15" t="n">
        <f aca="false">J308-R308</f>
        <v>-4.93333333333333</v>
      </c>
      <c r="T308" s="15" t="n">
        <v>0</v>
      </c>
      <c r="V308" s="9" t="n">
        <v>2902.7</v>
      </c>
      <c r="W308" s="9" t="n">
        <f aca="false">V308/D308</f>
        <v>99.7491408934708</v>
      </c>
      <c r="X308" s="9" t="n">
        <f aca="false">X307+V308</f>
        <v>315276.2</v>
      </c>
      <c r="Y308" s="9" t="n">
        <f aca="false">Y307+V308</f>
        <v>40768.7</v>
      </c>
      <c r="AA308" s="9" t="n">
        <v>16.0871376814971</v>
      </c>
    </row>
    <row r="309" s="9" customFormat="true" ht="15" hidden="false" customHeight="false" outlineLevel="0" collapsed="false">
      <c r="A309" s="72"/>
      <c r="B309" s="75"/>
      <c r="C309" s="12" t="n">
        <v>42187</v>
      </c>
      <c r="D309" s="18" t="n">
        <v>26.2</v>
      </c>
      <c r="E309" s="9" t="n">
        <v>22.7</v>
      </c>
      <c r="F309" s="18" t="n">
        <v>30.4</v>
      </c>
      <c r="G309" s="9" t="n">
        <f aca="false">G308+D309</f>
        <v>3130.6</v>
      </c>
      <c r="H309" s="9" t="n">
        <f aca="false">H308+D309</f>
        <v>371.7</v>
      </c>
      <c r="J309" s="9" t="n">
        <v>0.2</v>
      </c>
      <c r="K309" s="9" t="n">
        <f aca="false">K308+J309</f>
        <v>443.9</v>
      </c>
      <c r="L309" s="9" t="n">
        <v>6</v>
      </c>
      <c r="M309" s="9" t="n">
        <f aca="false">M308+L309</f>
        <v>569.1</v>
      </c>
      <c r="N309" s="14" t="n">
        <f aca="false">J309-L309</f>
        <v>-5.8</v>
      </c>
      <c r="O309" s="9" t="n">
        <v>0</v>
      </c>
      <c r="P309" s="9" t="n">
        <v>304</v>
      </c>
      <c r="Q309" s="17" t="n">
        <f aca="false">1.15+((P309-267)/54)*(0.35-1.15)</f>
        <v>0.601851851851852</v>
      </c>
      <c r="R309" s="15" t="n">
        <f aca="false">Q309*L309</f>
        <v>3.61111111111111</v>
      </c>
      <c r="S309" s="15" t="n">
        <f aca="false">J309-R309</f>
        <v>-3.41111111111111</v>
      </c>
      <c r="T309" s="15" t="n">
        <v>0</v>
      </c>
      <c r="U309" s="16"/>
      <c r="V309" s="9" t="n">
        <v>2542.2</v>
      </c>
      <c r="W309" s="9" t="n">
        <f aca="false">V309/D309</f>
        <v>97.030534351145</v>
      </c>
      <c r="X309" s="9" t="n">
        <f aca="false">X308+V309</f>
        <v>317818.4</v>
      </c>
      <c r="Y309" s="9" t="n">
        <f aca="false">Y308+V309</f>
        <v>43310.9</v>
      </c>
      <c r="Z309" s="16"/>
      <c r="AA309" s="9" t="n">
        <v>16.0735291066208</v>
      </c>
    </row>
    <row r="310" s="9" customFormat="true" ht="15" hidden="false" customHeight="false" outlineLevel="0" collapsed="false">
      <c r="A310" s="72"/>
      <c r="B310" s="75"/>
      <c r="C310" s="12" t="n">
        <v>42188</v>
      </c>
      <c r="D310" s="18" t="n">
        <v>27.1</v>
      </c>
      <c r="E310" s="9" t="n">
        <v>19.2</v>
      </c>
      <c r="F310" s="18" t="n">
        <v>34.9</v>
      </c>
      <c r="G310" s="9" t="n">
        <f aca="false">G309+D310</f>
        <v>3157.7</v>
      </c>
      <c r="H310" s="9" t="n">
        <f aca="false">H309+D310</f>
        <v>398.8</v>
      </c>
      <c r="J310" s="9" t="n">
        <v>0</v>
      </c>
      <c r="K310" s="9" t="n">
        <f aca="false">K309+J310</f>
        <v>443.9</v>
      </c>
      <c r="L310" s="9" t="n">
        <v>6.9</v>
      </c>
      <c r="M310" s="9" t="n">
        <f aca="false">M309+L310</f>
        <v>576</v>
      </c>
      <c r="N310" s="14" t="n">
        <f aca="false">J310-L310</f>
        <v>-6.9</v>
      </c>
      <c r="O310" s="9" t="n">
        <v>0</v>
      </c>
      <c r="P310" s="9" t="n">
        <v>305</v>
      </c>
      <c r="Q310" s="17" t="n">
        <f aca="false">1.15+((P310-267)/54)*(0.35-1.15)</f>
        <v>0.587037037037037</v>
      </c>
      <c r="R310" s="15" t="n">
        <f aca="false">Q310*L310</f>
        <v>4.05055555555556</v>
      </c>
      <c r="S310" s="15" t="n">
        <f aca="false">J310-R310</f>
        <v>-4.05055555555556</v>
      </c>
      <c r="T310" s="15" t="n">
        <v>0</v>
      </c>
      <c r="V310" s="9" t="n">
        <v>2749.6</v>
      </c>
      <c r="W310" s="9" t="n">
        <f aca="false">V310/D310</f>
        <v>101.461254612546</v>
      </c>
      <c r="X310" s="9" t="n">
        <f aca="false">X309+V310</f>
        <v>320568</v>
      </c>
      <c r="Y310" s="9" t="n">
        <f aca="false">Y309+V310</f>
        <v>46060.5</v>
      </c>
      <c r="AA310" s="9" t="n">
        <v>16.0585426216341</v>
      </c>
    </row>
    <row r="311" s="78" customFormat="true" ht="15" hidden="false" customHeight="false" outlineLevel="0" collapsed="false">
      <c r="A311" s="72"/>
      <c r="B311" s="76" t="n">
        <v>1000</v>
      </c>
      <c r="C311" s="77" t="n">
        <v>42189</v>
      </c>
      <c r="D311" s="78" t="n">
        <v>24.7</v>
      </c>
      <c r="E311" s="78" t="n">
        <v>22.5</v>
      </c>
      <c r="F311" s="79" t="n">
        <v>28.6</v>
      </c>
      <c r="G311" s="78" t="n">
        <f aca="false">G310+D311</f>
        <v>3182.4</v>
      </c>
      <c r="H311" s="78" t="n">
        <f aca="false">H310+D311</f>
        <v>423.5</v>
      </c>
      <c r="J311" s="78" t="n">
        <v>0.5</v>
      </c>
      <c r="K311" s="78" t="n">
        <f aca="false">K310+J311</f>
        <v>444.4</v>
      </c>
      <c r="L311" s="78" t="n">
        <v>3.8</v>
      </c>
      <c r="M311" s="78" t="n">
        <f aca="false">M310+L311</f>
        <v>579.8</v>
      </c>
      <c r="N311" s="80" t="n">
        <f aca="false">J311-L311</f>
        <v>-3.3</v>
      </c>
      <c r="O311" s="78" t="n">
        <v>0</v>
      </c>
      <c r="P311" s="78" t="n">
        <v>306</v>
      </c>
      <c r="Q311" s="81" t="n">
        <f aca="false">1.15+((P311-267)/54)*(0.35-1.15)</f>
        <v>0.572222222222222</v>
      </c>
      <c r="R311" s="82" t="n">
        <f aca="false">Q311*L311</f>
        <v>2.17444444444444</v>
      </c>
      <c r="S311" s="82" t="n">
        <f aca="false">J311-R311</f>
        <v>-1.67444444444444</v>
      </c>
      <c r="T311" s="15" t="n">
        <v>0</v>
      </c>
      <c r="V311" s="78" t="n">
        <v>1842.2</v>
      </c>
      <c r="W311" s="78" t="n">
        <f aca="false">V311/D311</f>
        <v>74.582995951417</v>
      </c>
      <c r="X311" s="78" t="n">
        <f aca="false">X310+V311</f>
        <v>322410.2</v>
      </c>
      <c r="Y311" s="9" t="n">
        <f aca="false">Y310+V311</f>
        <v>47902.7</v>
      </c>
      <c r="AA311" s="9" t="n">
        <v>16.0421937470834</v>
      </c>
    </row>
    <row r="312" s="9" customFormat="true" ht="15" hidden="false" customHeight="false" outlineLevel="0" collapsed="false">
      <c r="A312" s="83"/>
      <c r="B312" s="75"/>
      <c r="C312" s="12" t="n">
        <v>42190</v>
      </c>
      <c r="D312" s="9" t="n">
        <v>21.5</v>
      </c>
      <c r="E312" s="9" t="n">
        <v>18.7</v>
      </c>
      <c r="F312" s="9" t="n">
        <v>26.7</v>
      </c>
      <c r="G312" s="9" t="n">
        <f aca="false">G311+D312</f>
        <v>3203.9</v>
      </c>
      <c r="H312" s="9" t="n">
        <v>21.5</v>
      </c>
      <c r="J312" s="9" t="n">
        <v>0.1</v>
      </c>
      <c r="K312" s="9" t="n">
        <f aca="false">K311+J312</f>
        <v>444.5</v>
      </c>
      <c r="L312" s="9" t="n">
        <v>5.2</v>
      </c>
      <c r="M312" s="9" t="n">
        <f aca="false">M311+L312</f>
        <v>585</v>
      </c>
      <c r="N312" s="14" t="n">
        <f aca="false">J312-L312</f>
        <v>-5.1</v>
      </c>
      <c r="O312" s="9" t="n">
        <v>0</v>
      </c>
      <c r="P312" s="9" t="n">
        <v>307</v>
      </c>
      <c r="Q312" s="17" t="n">
        <f aca="false">1.15+((P312-267)/54)*(0.35-1.15)</f>
        <v>0.557407407407407</v>
      </c>
      <c r="R312" s="15" t="n">
        <f aca="false">Q312*L312</f>
        <v>2.89851851851852</v>
      </c>
      <c r="S312" s="15" t="n">
        <f aca="false">J312-R312</f>
        <v>-2.79851851851852</v>
      </c>
      <c r="T312" s="15" t="n">
        <v>0</v>
      </c>
      <c r="V312" s="9" t="n">
        <v>2184.6</v>
      </c>
      <c r="W312" s="9" t="n">
        <f aca="false">V312/D312</f>
        <v>101.609302325581</v>
      </c>
      <c r="X312" s="9" t="n">
        <f aca="false">X311+V312</f>
        <v>324594.8</v>
      </c>
      <c r="Y312" s="9" t="n">
        <f aca="false">Y311+V312</f>
        <v>50087.3</v>
      </c>
      <c r="AA312" s="9" t="n">
        <v>16.0244991857082</v>
      </c>
    </row>
    <row r="313" s="9" customFormat="true" ht="15" hidden="false" customHeight="false" outlineLevel="0" collapsed="false">
      <c r="A313" s="83"/>
      <c r="B313" s="75"/>
      <c r="C313" s="12" t="n">
        <v>42191</v>
      </c>
      <c r="D313" s="9" t="n">
        <v>22.4</v>
      </c>
      <c r="E313" s="9" t="n">
        <v>13.4</v>
      </c>
      <c r="F313" s="9" t="n">
        <v>29.7</v>
      </c>
      <c r="G313" s="9" t="n">
        <f aca="false">G312+D313</f>
        <v>3226.3</v>
      </c>
      <c r="H313" s="9" t="n">
        <f aca="false">H312+D313</f>
        <v>43.9</v>
      </c>
      <c r="J313" s="9" t="n">
        <v>0</v>
      </c>
      <c r="K313" s="9" t="n">
        <f aca="false">K312+J313</f>
        <v>444.5</v>
      </c>
      <c r="L313" s="9" t="n">
        <v>6.5</v>
      </c>
      <c r="M313" s="9" t="n">
        <f aca="false">M312+L313</f>
        <v>591.5</v>
      </c>
      <c r="N313" s="14" t="n">
        <f aca="false">J313-L313</f>
        <v>-6.5</v>
      </c>
      <c r="O313" s="9" t="n">
        <v>0</v>
      </c>
      <c r="P313" s="9" t="n">
        <v>308</v>
      </c>
      <c r="Q313" s="17" t="n">
        <f aca="false">1.15+((P313-267)/54)*(0.35-1.15)</f>
        <v>0.542592592592593</v>
      </c>
      <c r="R313" s="15" t="n">
        <f aca="false">Q313*L313</f>
        <v>3.52685185185185</v>
      </c>
      <c r="S313" s="15" t="n">
        <f aca="false">J313-R313</f>
        <v>-3.52685185185185</v>
      </c>
      <c r="T313" s="15" t="n">
        <v>0</v>
      </c>
      <c r="V313" s="9" t="n">
        <v>2948.6</v>
      </c>
      <c r="W313" s="9" t="n">
        <f aca="false">V313/D313</f>
        <v>131.633928571429</v>
      </c>
      <c r="X313" s="9" t="n">
        <f aca="false">X312+V313</f>
        <v>327543.4</v>
      </c>
      <c r="Y313" s="9" t="n">
        <f aca="false">Y312+V313</f>
        <v>53035.9</v>
      </c>
      <c r="AA313" s="9" t="n">
        <v>16.0054767624052</v>
      </c>
    </row>
    <row r="314" s="9" customFormat="true" ht="15" hidden="false" customHeight="false" outlineLevel="0" collapsed="false">
      <c r="A314" s="83"/>
      <c r="B314" s="75"/>
      <c r="C314" s="12" t="n">
        <v>42192</v>
      </c>
      <c r="D314" s="9" t="n">
        <v>21.4</v>
      </c>
      <c r="E314" s="9" t="n">
        <v>17.9</v>
      </c>
      <c r="F314" s="9" t="n">
        <v>27.3</v>
      </c>
      <c r="G314" s="9" t="n">
        <f aca="false">G313+D314</f>
        <v>3247.7</v>
      </c>
      <c r="H314" s="9" t="n">
        <f aca="false">H313+D314</f>
        <v>65.3</v>
      </c>
      <c r="J314" s="9" t="n">
        <v>0.2</v>
      </c>
      <c r="K314" s="9" t="n">
        <f aca="false">K313+J314</f>
        <v>444.7</v>
      </c>
      <c r="L314" s="9" t="n">
        <v>5.1</v>
      </c>
      <c r="M314" s="9" t="n">
        <f aca="false">M313+L314</f>
        <v>596.6</v>
      </c>
      <c r="N314" s="14" t="n">
        <f aca="false">J314-L314</f>
        <v>-4.9</v>
      </c>
      <c r="O314" s="9" t="n">
        <v>0</v>
      </c>
      <c r="P314" s="9" t="n">
        <v>309</v>
      </c>
      <c r="Q314" s="17" t="n">
        <f aca="false">1.15+((P314-267)/54)*(0.35-1.15)</f>
        <v>0.527777777777778</v>
      </c>
      <c r="R314" s="15" t="n">
        <f aca="false">Q314*L314</f>
        <v>2.69166666666667</v>
      </c>
      <c r="S314" s="15" t="n">
        <f aca="false">J314-R314</f>
        <v>-2.49166666666667</v>
      </c>
      <c r="T314" s="15" t="n">
        <v>0</v>
      </c>
      <c r="V314" s="9" t="n">
        <v>1774.2</v>
      </c>
      <c r="W314" s="9" t="n">
        <f aca="false">V314/D314</f>
        <v>82.9065420560748</v>
      </c>
      <c r="X314" s="9" t="n">
        <f aca="false">X313+V314</f>
        <v>329317.6</v>
      </c>
      <c r="Y314" s="9" t="n">
        <f aca="false">Y313+V314</f>
        <v>54810.1</v>
      </c>
      <c r="AA314" s="9" t="n">
        <v>15.9851453613226</v>
      </c>
    </row>
    <row r="315" s="9" customFormat="true" ht="15" hidden="false" customHeight="false" outlineLevel="0" collapsed="false">
      <c r="A315" s="83"/>
      <c r="B315" s="75"/>
      <c r="C315" s="12" t="n">
        <v>42193</v>
      </c>
      <c r="D315" s="9" t="n">
        <v>17.5</v>
      </c>
      <c r="E315" s="9" t="n">
        <v>16.2</v>
      </c>
      <c r="F315" s="9" t="n">
        <v>20.5</v>
      </c>
      <c r="G315" s="9" t="n">
        <f aca="false">G314+D315</f>
        <v>3265.2</v>
      </c>
      <c r="H315" s="9" t="n">
        <f aca="false">H314+D315</f>
        <v>82.8</v>
      </c>
      <c r="J315" s="9" t="n">
        <v>0</v>
      </c>
      <c r="K315" s="9" t="n">
        <f aca="false">K314+J315</f>
        <v>444.7</v>
      </c>
      <c r="L315" s="9" t="n">
        <v>5.9</v>
      </c>
      <c r="M315" s="9" t="n">
        <f aca="false">M314+L315</f>
        <v>602.5</v>
      </c>
      <c r="N315" s="14" t="n">
        <f aca="false">J315-L315</f>
        <v>-5.9</v>
      </c>
      <c r="O315" s="9" t="n">
        <v>0</v>
      </c>
      <c r="P315" s="9" t="n">
        <v>310</v>
      </c>
      <c r="Q315" s="17" t="n">
        <f aca="false">1.15+((P315-267)/54)*(0.35-1.15)</f>
        <v>0.512962962962963</v>
      </c>
      <c r="R315" s="15" t="n">
        <f aca="false">Q315*L315</f>
        <v>3.02648148148148</v>
      </c>
      <c r="S315" s="15" t="n">
        <f aca="false">J315-R315</f>
        <v>-3.02648148148148</v>
      </c>
      <c r="T315" s="15" t="n">
        <v>0</v>
      </c>
      <c r="V315" s="9" t="n">
        <v>2769.2</v>
      </c>
      <c r="W315" s="9" t="n">
        <f aca="false">V315/D315</f>
        <v>158.24</v>
      </c>
      <c r="X315" s="9" t="n">
        <f aca="false">X314+V315</f>
        <v>332086.8</v>
      </c>
      <c r="Y315" s="9" t="n">
        <f aca="false">Y314+V315</f>
        <v>57579.3</v>
      </c>
      <c r="AA315" s="9" t="n">
        <v>15.9635248605274</v>
      </c>
    </row>
    <row r="316" s="9" customFormat="true" ht="15" hidden="false" customHeight="false" outlineLevel="0" collapsed="false">
      <c r="A316" s="83"/>
      <c r="B316" s="75"/>
      <c r="C316" s="12" t="n">
        <v>42194</v>
      </c>
      <c r="D316" s="9" t="n">
        <v>17.3</v>
      </c>
      <c r="E316" s="9" t="n">
        <v>13.3</v>
      </c>
      <c r="F316" s="9" t="n">
        <v>22.4</v>
      </c>
      <c r="G316" s="9" t="n">
        <f aca="false">G315+D316</f>
        <v>3282.5</v>
      </c>
      <c r="H316" s="9" t="n">
        <f aca="false">H315+D316</f>
        <v>100.1</v>
      </c>
      <c r="J316" s="9" t="n">
        <v>0</v>
      </c>
      <c r="K316" s="9" t="n">
        <f aca="false">K315+J316</f>
        <v>444.7</v>
      </c>
      <c r="L316" s="9" t="n">
        <v>6.2</v>
      </c>
      <c r="M316" s="9" t="n">
        <f aca="false">M315+L316</f>
        <v>608.7</v>
      </c>
      <c r="N316" s="14" t="n">
        <f aca="false">J316-L316</f>
        <v>-6.2</v>
      </c>
      <c r="O316" s="9" t="n">
        <v>0</v>
      </c>
      <c r="P316" s="9" t="n">
        <v>311</v>
      </c>
      <c r="Q316" s="17" t="n">
        <f aca="false">1.15+((P316-267)/54)*(0.35-1.15)</f>
        <v>0.498148148148148</v>
      </c>
      <c r="R316" s="15" t="n">
        <f aca="false">Q316*L316</f>
        <v>3.08851851851852</v>
      </c>
      <c r="S316" s="15" t="n">
        <f aca="false">J316-R316</f>
        <v>-3.08851851851852</v>
      </c>
      <c r="T316" s="15" t="n">
        <v>0</v>
      </c>
      <c r="V316" s="9" t="n">
        <v>3143.7</v>
      </c>
      <c r="W316" s="9" t="n">
        <f aca="false">V316/D316</f>
        <v>181.71676300578</v>
      </c>
      <c r="X316" s="9" t="n">
        <f aca="false">X315+V316</f>
        <v>335230.5</v>
      </c>
      <c r="Y316" s="9" t="n">
        <f aca="false">Y315+V316</f>
        <v>60723</v>
      </c>
      <c r="AA316" s="9" t="n">
        <v>15.9406360646887</v>
      </c>
    </row>
    <row r="317" s="9" customFormat="true" ht="15" hidden="false" customHeight="false" outlineLevel="0" collapsed="false">
      <c r="A317" s="83"/>
      <c r="B317" s="75"/>
      <c r="C317" s="12" t="n">
        <v>42195</v>
      </c>
      <c r="D317" s="9" t="n">
        <v>19.7</v>
      </c>
      <c r="E317" s="9" t="n">
        <v>10.6</v>
      </c>
      <c r="F317" s="9" t="n">
        <v>27.1</v>
      </c>
      <c r="G317" s="9" t="n">
        <f aca="false">G316+D317</f>
        <v>3302.2</v>
      </c>
      <c r="H317" s="9" t="n">
        <f aca="false">H316+D317</f>
        <v>119.8</v>
      </c>
      <c r="J317" s="9" t="n">
        <v>0</v>
      </c>
      <c r="K317" s="9" t="n">
        <f aca="false">K316+J317</f>
        <v>444.7</v>
      </c>
      <c r="L317" s="9" t="n">
        <v>7.1</v>
      </c>
      <c r="M317" s="9" t="n">
        <f aca="false">M316+L317</f>
        <v>615.8</v>
      </c>
      <c r="N317" s="14" t="n">
        <f aca="false">J317-L317</f>
        <v>-7.1</v>
      </c>
      <c r="O317" s="9" t="n">
        <v>0</v>
      </c>
      <c r="P317" s="9" t="n">
        <v>312</v>
      </c>
      <c r="Q317" s="17" t="n">
        <f aca="false">1.15+((P317-267)/54)*(0.35-1.15)</f>
        <v>0.483333333333333</v>
      </c>
      <c r="R317" s="15" t="n">
        <f aca="false">Q317*L317</f>
        <v>3.43166666666667</v>
      </c>
      <c r="S317" s="15" t="n">
        <f aca="false">J317-R317</f>
        <v>-3.43166666666667</v>
      </c>
      <c r="T317" s="15" t="n">
        <v>0</v>
      </c>
      <c r="V317" s="9" t="n">
        <v>3236.4</v>
      </c>
      <c r="W317" s="9" t="n">
        <f aca="false">V317/D317</f>
        <v>164.284263959391</v>
      </c>
      <c r="X317" s="9" t="n">
        <f aca="false">X316+V317</f>
        <v>338466.9</v>
      </c>
      <c r="Y317" s="9" t="n">
        <f aca="false">Y316+V317</f>
        <v>63959.4</v>
      </c>
      <c r="AA317" s="9" t="n">
        <v>15.9165006362207</v>
      </c>
    </row>
    <row r="318" s="9" customFormat="true" ht="15" hidden="false" customHeight="false" outlineLevel="0" collapsed="false">
      <c r="A318" s="83"/>
      <c r="B318" s="75"/>
      <c r="C318" s="12" t="n">
        <v>42196</v>
      </c>
      <c r="D318" s="9" t="n">
        <v>20.9</v>
      </c>
      <c r="E318" s="9" t="n">
        <v>13.9</v>
      </c>
      <c r="F318" s="9" t="n">
        <v>27.7</v>
      </c>
      <c r="G318" s="9" t="n">
        <f aca="false">G317+D318</f>
        <v>3323.1</v>
      </c>
      <c r="H318" s="9" t="n">
        <f aca="false">H317+D318</f>
        <v>140.7</v>
      </c>
      <c r="J318" s="9" t="n">
        <v>0</v>
      </c>
      <c r="K318" s="9" t="n">
        <f aca="false">K317+J318</f>
        <v>444.7</v>
      </c>
      <c r="L318" s="9" t="n">
        <v>7.1</v>
      </c>
      <c r="M318" s="9" t="n">
        <f aca="false">M317+L318</f>
        <v>622.9</v>
      </c>
      <c r="N318" s="14" t="n">
        <f aca="false">J318-L318</f>
        <v>-7.1</v>
      </c>
      <c r="O318" s="9" t="n">
        <v>0</v>
      </c>
      <c r="P318" s="9" t="n">
        <v>313</v>
      </c>
      <c r="Q318" s="17" t="n">
        <f aca="false">1.15+((P318-267)/54)*(0.35-1.15)</f>
        <v>0.468518518518518</v>
      </c>
      <c r="R318" s="15" t="n">
        <f aca="false">Q318*L318</f>
        <v>3.32648148148148</v>
      </c>
      <c r="S318" s="15" t="n">
        <f aca="false">J318-R318</f>
        <v>-3.32648148148148</v>
      </c>
      <c r="T318" s="15" t="n">
        <v>0</v>
      </c>
      <c r="V318" s="9" t="n">
        <v>3209.5</v>
      </c>
      <c r="W318" s="9" t="n">
        <f aca="false">V318/D318</f>
        <v>153.564593301435</v>
      </c>
      <c r="X318" s="9" t="n">
        <f aca="false">X317+V318</f>
        <v>341676.4</v>
      </c>
      <c r="Y318" s="9" t="n">
        <f aca="false">Y317+V318</f>
        <v>67168.9</v>
      </c>
      <c r="AA318" s="9" t="n">
        <v>15.8911410253227</v>
      </c>
    </row>
    <row r="319" s="9" customFormat="true" ht="15" hidden="false" customHeight="false" outlineLevel="0" collapsed="false">
      <c r="A319" s="83"/>
      <c r="B319" s="75"/>
      <c r="C319" s="12" t="n">
        <v>42197</v>
      </c>
      <c r="D319" s="9" t="n">
        <v>19</v>
      </c>
      <c r="E319" s="9" t="n">
        <v>14</v>
      </c>
      <c r="F319" s="9" t="n">
        <v>24.7</v>
      </c>
      <c r="G319" s="9" t="n">
        <f aca="false">G318+D319</f>
        <v>3342.1</v>
      </c>
      <c r="H319" s="9" t="n">
        <f aca="false">H318+D319</f>
        <v>159.7</v>
      </c>
      <c r="J319" s="9" t="n">
        <v>0</v>
      </c>
      <c r="K319" s="9" t="n">
        <f aca="false">K318+J319</f>
        <v>444.7</v>
      </c>
      <c r="L319" s="9" t="n">
        <v>4.7</v>
      </c>
      <c r="M319" s="9" t="n">
        <f aca="false">M318+L319</f>
        <v>627.6</v>
      </c>
      <c r="N319" s="14" t="n">
        <f aca="false">J319-L319</f>
        <v>-4.7</v>
      </c>
      <c r="O319" s="9" t="n">
        <v>0</v>
      </c>
      <c r="P319" s="9" t="n">
        <v>314</v>
      </c>
      <c r="Q319" s="17" t="n">
        <f aca="false">1.15+((P319-267)/54)*(0.35-1.15)</f>
        <v>0.453703703703704</v>
      </c>
      <c r="R319" s="15" t="n">
        <f aca="false">Q319*L319</f>
        <v>2.13240740740741</v>
      </c>
      <c r="S319" s="15" t="n">
        <f aca="false">J319-R319</f>
        <v>-2.13240740740741</v>
      </c>
      <c r="T319" s="15" t="n">
        <v>0</v>
      </c>
      <c r="V319" s="9" t="n">
        <v>2285.9</v>
      </c>
      <c r="W319" s="9" t="n">
        <f aca="false">V319/D319</f>
        <v>120.310526315789</v>
      </c>
      <c r="X319" s="9" t="n">
        <f aca="false">X318+V319</f>
        <v>343962.3</v>
      </c>
      <c r="Y319" s="9" t="n">
        <f aca="false">Y318+V319</f>
        <v>69454.8</v>
      </c>
      <c r="AA319" s="9" t="n">
        <v>15.8645803993407</v>
      </c>
    </row>
    <row r="320" s="9" customFormat="true" ht="15" hidden="false" customHeight="false" outlineLevel="0" collapsed="false">
      <c r="A320" s="83"/>
      <c r="B320" s="75"/>
      <c r="C320" s="12" t="n">
        <v>42198</v>
      </c>
      <c r="D320" s="9" t="n">
        <v>21.1</v>
      </c>
      <c r="E320" s="9" t="n">
        <v>17.4</v>
      </c>
      <c r="F320" s="9" t="n">
        <v>24.9</v>
      </c>
      <c r="G320" s="9" t="n">
        <f aca="false">G319+D320</f>
        <v>3363.2</v>
      </c>
      <c r="H320" s="9" t="n">
        <f aca="false">H319+D320</f>
        <v>180.8</v>
      </c>
      <c r="J320" s="9" t="n">
        <v>0</v>
      </c>
      <c r="K320" s="9" t="n">
        <f aca="false">K319+J320</f>
        <v>444.7</v>
      </c>
      <c r="L320" s="9" t="n">
        <v>5.4</v>
      </c>
      <c r="M320" s="9" t="n">
        <f aca="false">M319+L320</f>
        <v>633</v>
      </c>
      <c r="N320" s="14" t="n">
        <f aca="false">J320-L320</f>
        <v>-5.4</v>
      </c>
      <c r="O320" s="9" t="n">
        <v>0</v>
      </c>
      <c r="P320" s="9" t="n">
        <v>315</v>
      </c>
      <c r="Q320" s="17" t="n">
        <f aca="false">1.15+((P320-267)/54)*(0.35-1.15)</f>
        <v>0.438888888888889</v>
      </c>
      <c r="R320" s="15" t="n">
        <f aca="false">Q320*L320</f>
        <v>2.37</v>
      </c>
      <c r="S320" s="15" t="n">
        <f aca="false">J320-R320</f>
        <v>-2.37</v>
      </c>
      <c r="T320" s="15" t="n">
        <v>0</v>
      </c>
      <c r="V320" s="9" t="n">
        <v>2303.4</v>
      </c>
      <c r="W320" s="9" t="n">
        <f aca="false">V320/D320</f>
        <v>109.165876777251</v>
      </c>
      <c r="X320" s="9" t="n">
        <f aca="false">X319+V320</f>
        <v>346265.7</v>
      </c>
      <c r="Y320" s="9" t="n">
        <f aca="false">Y319+V320</f>
        <v>71758.2</v>
      </c>
      <c r="AA320" s="9" t="n">
        <v>15.8368425718651</v>
      </c>
    </row>
    <row r="321" s="9" customFormat="true" ht="15" hidden="false" customHeight="false" outlineLevel="0" collapsed="false">
      <c r="A321" s="83"/>
      <c r="B321" s="75"/>
      <c r="C321" s="12" t="n">
        <v>42199</v>
      </c>
      <c r="D321" s="9" t="n">
        <v>20.3</v>
      </c>
      <c r="E321" s="9" t="n">
        <v>16.1</v>
      </c>
      <c r="F321" s="9" t="n">
        <v>25.3</v>
      </c>
      <c r="G321" s="9" t="n">
        <f aca="false">G320+D321</f>
        <v>3383.5</v>
      </c>
      <c r="H321" s="9" t="n">
        <f aca="false">H320+D321</f>
        <v>201.1</v>
      </c>
      <c r="J321" s="9" t="n">
        <v>0</v>
      </c>
      <c r="K321" s="9" t="n">
        <f aca="false">K320+J321</f>
        <v>444.7</v>
      </c>
      <c r="L321" s="9" t="n">
        <v>4</v>
      </c>
      <c r="M321" s="9" t="n">
        <f aca="false">M320+L321</f>
        <v>637</v>
      </c>
      <c r="N321" s="14" t="n">
        <f aca="false">J321-L321</f>
        <v>-4</v>
      </c>
      <c r="O321" s="9" t="n">
        <v>0</v>
      </c>
      <c r="P321" s="9" t="n">
        <v>316</v>
      </c>
      <c r="Q321" s="17" t="n">
        <f aca="false">1.15+((P321-267)/54)*(0.35-1.15)</f>
        <v>0.424074074074074</v>
      </c>
      <c r="R321" s="15" t="n">
        <f aca="false">Q321*L321</f>
        <v>1.6962962962963</v>
      </c>
      <c r="S321" s="15" t="n">
        <f aca="false">J321-R321</f>
        <v>-1.6962962962963</v>
      </c>
      <c r="T321" s="15" t="n">
        <v>0</v>
      </c>
      <c r="V321" s="9" t="n">
        <v>1729.6</v>
      </c>
      <c r="W321" s="9" t="n">
        <f aca="false">V321/D321</f>
        <v>85.2019704433498</v>
      </c>
      <c r="X321" s="9" t="n">
        <f aca="false">X320+V321</f>
        <v>347995.3</v>
      </c>
      <c r="Y321" s="9" t="n">
        <f aca="false">Y320+V321</f>
        <v>73487.8</v>
      </c>
      <c r="AA321" s="9" t="n">
        <v>15.8079519319573</v>
      </c>
    </row>
    <row r="322" s="9" customFormat="true" ht="15" hidden="false" customHeight="false" outlineLevel="0" collapsed="false">
      <c r="A322" s="83"/>
      <c r="B322" s="75"/>
      <c r="C322" s="12" t="n">
        <v>42200</v>
      </c>
      <c r="D322" s="9" t="n">
        <v>23.1</v>
      </c>
      <c r="E322" s="9" t="n">
        <v>14.8</v>
      </c>
      <c r="F322" s="9" t="n">
        <v>29.2</v>
      </c>
      <c r="G322" s="9" t="n">
        <f aca="false">G321+D322</f>
        <v>3406.6</v>
      </c>
      <c r="H322" s="9" t="n">
        <f aca="false">H321+D322</f>
        <v>224.2</v>
      </c>
      <c r="J322" s="9" t="n">
        <v>0</v>
      </c>
      <c r="K322" s="9" t="n">
        <f aca="false">K321+J322</f>
        <v>444.7</v>
      </c>
      <c r="L322" s="9" t="n">
        <v>6.1</v>
      </c>
      <c r="M322" s="9" t="n">
        <f aca="false">M321+L322</f>
        <v>643.1</v>
      </c>
      <c r="N322" s="14" t="n">
        <f aca="false">J322-L322</f>
        <v>-6.1</v>
      </c>
      <c r="O322" s="9" t="n">
        <v>0</v>
      </c>
      <c r="P322" s="9" t="n">
        <v>317</v>
      </c>
      <c r="Q322" s="17" t="n">
        <f aca="false">1.15+((P322-267)/54)*(0.35-1.15)</f>
        <v>0.409259259259259</v>
      </c>
      <c r="R322" s="15" t="n">
        <f aca="false">Q322*L322</f>
        <v>2.49648148148148</v>
      </c>
      <c r="S322" s="15" t="n">
        <f aca="false">J322-R322</f>
        <v>-2.49648148148148</v>
      </c>
      <c r="T322" s="15" t="n">
        <v>0</v>
      </c>
      <c r="V322" s="9" t="n">
        <v>2941.7</v>
      </c>
      <c r="W322" s="9" t="n">
        <f aca="false">V322/D322</f>
        <v>127.34632034632</v>
      </c>
      <c r="X322" s="9" t="n">
        <f aca="false">X321+V322</f>
        <v>350937</v>
      </c>
      <c r="Y322" s="9" t="n">
        <f aca="false">Y321+V322</f>
        <v>76429.5</v>
      </c>
      <c r="AA322" s="9" t="n">
        <v>15.7779333738798</v>
      </c>
    </row>
    <row r="323" s="9" customFormat="true" ht="15" hidden="false" customHeight="false" outlineLevel="0" collapsed="false">
      <c r="A323" s="83"/>
      <c r="B323" s="75"/>
      <c r="C323" s="12" t="n">
        <v>42201</v>
      </c>
      <c r="D323" s="9" t="n">
        <v>27.3</v>
      </c>
      <c r="E323" s="9" t="n">
        <v>19.1</v>
      </c>
      <c r="F323" s="9" t="n">
        <v>34</v>
      </c>
      <c r="G323" s="9" t="n">
        <f aca="false">G322+D323</f>
        <v>3433.9</v>
      </c>
      <c r="H323" s="9" t="n">
        <f aca="false">H322+D323</f>
        <v>251.5</v>
      </c>
      <c r="J323" s="9" t="n">
        <v>0</v>
      </c>
      <c r="K323" s="9" t="n">
        <f aca="false">K322+J323</f>
        <v>444.7</v>
      </c>
      <c r="L323" s="9" t="n">
        <v>8</v>
      </c>
      <c r="M323" s="9" t="n">
        <f aca="false">M322+L323</f>
        <v>651.1</v>
      </c>
      <c r="N323" s="14" t="n">
        <f aca="false">J323-L323</f>
        <v>-8</v>
      </c>
      <c r="O323" s="9" t="n">
        <v>0</v>
      </c>
      <c r="P323" s="9" t="n">
        <v>318</v>
      </c>
      <c r="Q323" s="17" t="n">
        <f aca="false">1.15+((P323-267)/54)*(0.35-1.15)</f>
        <v>0.394444444444445</v>
      </c>
      <c r="R323" s="15" t="n">
        <f aca="false">Q323*L323</f>
        <v>3.15555555555556</v>
      </c>
      <c r="S323" s="15" t="n">
        <f aca="false">J323-R323</f>
        <v>-3.15555555555556</v>
      </c>
      <c r="T323" s="15" t="n">
        <v>0</v>
      </c>
      <c r="V323" s="9" t="n">
        <v>2900.6</v>
      </c>
      <c r="W323" s="9" t="n">
        <f aca="false">V323/D323</f>
        <v>106.249084249084</v>
      </c>
      <c r="X323" s="9" t="n">
        <f aca="false">X322+V323</f>
        <v>353837.6</v>
      </c>
      <c r="Y323" s="9" t="n">
        <f aca="false">Y322+V323</f>
        <v>79330.1</v>
      </c>
      <c r="AA323" s="9" t="n">
        <v>15.7468122276811</v>
      </c>
    </row>
    <row r="324" s="9" customFormat="true" ht="15" hidden="false" customHeight="false" outlineLevel="0" collapsed="false">
      <c r="A324" s="83"/>
      <c r="B324" s="75"/>
      <c r="C324" s="12" t="n">
        <v>42202</v>
      </c>
      <c r="D324" s="9" t="n">
        <v>24.2</v>
      </c>
      <c r="E324" s="9" t="n">
        <v>19.8</v>
      </c>
      <c r="F324" s="9" t="n">
        <v>28</v>
      </c>
      <c r="G324" s="9" t="n">
        <f aca="false">G323+D324</f>
        <v>3458.1</v>
      </c>
      <c r="H324" s="9" t="n">
        <f aca="false">H323+D324</f>
        <v>275.7</v>
      </c>
      <c r="J324" s="9" t="n">
        <v>0</v>
      </c>
      <c r="K324" s="9" t="n">
        <f aca="false">K323+J324</f>
        <v>444.7</v>
      </c>
      <c r="L324" s="9" t="n">
        <v>6.5</v>
      </c>
      <c r="M324" s="9" t="n">
        <f aca="false">M323+L324</f>
        <v>657.6</v>
      </c>
      <c r="N324" s="14" t="n">
        <f aca="false">J324-L324</f>
        <v>-6.5</v>
      </c>
      <c r="O324" s="9" t="n">
        <v>0</v>
      </c>
      <c r="P324" s="9" t="n">
        <v>319</v>
      </c>
      <c r="Q324" s="17" t="n">
        <f aca="false">1.15+((P324-267)/54)*(0.35-1.15)</f>
        <v>0.37962962962963</v>
      </c>
      <c r="R324" s="15" t="n">
        <f aca="false">Q324*L324</f>
        <v>2.46759259259259</v>
      </c>
      <c r="S324" s="15" t="n">
        <f aca="false">J324-R324</f>
        <v>-2.46759259259259</v>
      </c>
      <c r="T324" s="15" t="n">
        <v>0</v>
      </c>
      <c r="V324" s="9" t="n">
        <v>2751.3</v>
      </c>
      <c r="W324" s="9" t="n">
        <f aca="false">V324/D324</f>
        <v>113.690082644628</v>
      </c>
      <c r="X324" s="9" t="n">
        <f aca="false">X323+V324</f>
        <v>356588.9</v>
      </c>
      <c r="Y324" s="9" t="n">
        <f aca="false">Y323+V324</f>
        <v>82081.4</v>
      </c>
      <c r="AA324" s="9" t="n">
        <v>15.7146141909609</v>
      </c>
    </row>
    <row r="325" s="9" customFormat="true" ht="15" hidden="false" customHeight="false" outlineLevel="0" collapsed="false">
      <c r="A325" s="83"/>
      <c r="B325" s="75"/>
      <c r="C325" s="12" t="n">
        <v>42203</v>
      </c>
      <c r="D325" s="9" t="n">
        <v>23</v>
      </c>
      <c r="E325" s="9" t="n">
        <v>18.1</v>
      </c>
      <c r="F325" s="9" t="n">
        <v>28.3</v>
      </c>
      <c r="G325" s="9" t="n">
        <f aca="false">G324+D325</f>
        <v>3481.1</v>
      </c>
      <c r="H325" s="9" t="n">
        <f aca="false">H324+D325</f>
        <v>298.7</v>
      </c>
      <c r="J325" s="9" t="n">
        <v>14.5</v>
      </c>
      <c r="K325" s="9" t="n">
        <f aca="false">K324+J325</f>
        <v>459.2</v>
      </c>
      <c r="L325" s="9" t="n">
        <v>4.3</v>
      </c>
      <c r="M325" s="9" t="n">
        <f aca="false">M324+L325</f>
        <v>661.9</v>
      </c>
      <c r="N325" s="9" t="n">
        <f aca="false">J325-L325</f>
        <v>10.2</v>
      </c>
      <c r="O325" s="9" t="n">
        <f aca="false">O324+N325</f>
        <v>10.2</v>
      </c>
      <c r="P325" s="9" t="n">
        <v>320</v>
      </c>
      <c r="Q325" s="17" t="n">
        <f aca="false">1.15+((P325-267)/54)*(0.35-1.15)</f>
        <v>0.364814814814815</v>
      </c>
      <c r="R325" s="15" t="n">
        <f aca="false">Q325*L325</f>
        <v>1.5687037037037</v>
      </c>
      <c r="S325" s="15" t="n">
        <f aca="false">J325-R325</f>
        <v>12.9312962962963</v>
      </c>
      <c r="T325" s="15" t="n">
        <f aca="false">MIN(197.4,(T324+S325))</f>
        <v>12.9312962962963</v>
      </c>
      <c r="V325" s="9" t="n">
        <v>1952.8</v>
      </c>
      <c r="W325" s="9" t="n">
        <f aca="false">V325/D325</f>
        <v>84.904347826087</v>
      </c>
      <c r="X325" s="9" t="n">
        <f aca="false">X324+V325</f>
        <v>358541.7</v>
      </c>
      <c r="Y325" s="9" t="n">
        <f aca="false">Y324+V325</f>
        <v>84034.2</v>
      </c>
      <c r="AA325" s="9" t="n">
        <v>15.681365262114</v>
      </c>
    </row>
    <row r="326" s="9" customFormat="true" ht="15" hidden="false" customHeight="false" outlineLevel="0" collapsed="false">
      <c r="A326" s="83"/>
      <c r="B326" s="75"/>
      <c r="C326" s="12" t="n">
        <v>42204</v>
      </c>
      <c r="D326" s="9" t="n">
        <v>20.8</v>
      </c>
      <c r="E326" s="9" t="n">
        <v>17.2</v>
      </c>
      <c r="F326" s="9" t="n">
        <v>23.6</v>
      </c>
      <c r="G326" s="9" t="n">
        <f aca="false">G325+D326</f>
        <v>3501.9</v>
      </c>
      <c r="H326" s="9" t="n">
        <f aca="false">H325+D326</f>
        <v>319.5</v>
      </c>
      <c r="J326" s="9" t="n">
        <v>0</v>
      </c>
      <c r="K326" s="9" t="n">
        <f aca="false">K325+J326</f>
        <v>459.2</v>
      </c>
      <c r="L326" s="9" t="n">
        <v>4.1</v>
      </c>
      <c r="M326" s="9" t="n">
        <f aca="false">M325+L326</f>
        <v>666</v>
      </c>
      <c r="N326" s="14" t="n">
        <f aca="false">J326-L326</f>
        <v>-4.1</v>
      </c>
      <c r="O326" s="9" t="n">
        <f aca="false">O325+N326</f>
        <v>6.1</v>
      </c>
      <c r="P326" s="9" t="n">
        <v>321</v>
      </c>
      <c r="Q326" s="17" t="n">
        <f aca="false">1.15+((P326-267)/54)*(0.35-1.15)</f>
        <v>0.35</v>
      </c>
      <c r="R326" s="15" t="n">
        <f aca="false">Q326*L326</f>
        <v>1.435</v>
      </c>
      <c r="S326" s="15" t="n">
        <f aca="false">J326-R326</f>
        <v>-1.435</v>
      </c>
      <c r="T326" s="15" t="n">
        <f aca="false">MIN(197.4,(T325+S326))</f>
        <v>11.4962962962963</v>
      </c>
      <c r="V326" s="9" t="n">
        <v>1895.2</v>
      </c>
      <c r="W326" s="9" t="n">
        <f aca="false">V326/D326</f>
        <v>91.1153846153846</v>
      </c>
      <c r="X326" s="9" t="n">
        <f aca="false">X325+V326</f>
        <v>360436.9</v>
      </c>
      <c r="Y326" s="9" t="n">
        <f aca="false">Y325+V326</f>
        <v>85929.4</v>
      </c>
      <c r="AA326" s="9" t="n">
        <v>15.6470916753263</v>
      </c>
    </row>
    <row r="327" s="9" customFormat="true" ht="15" hidden="false" customHeight="true" outlineLevel="0" collapsed="false">
      <c r="A327" s="83"/>
      <c r="B327" s="84" t="s">
        <v>56</v>
      </c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</sheetData>
  <mergeCells count="14">
    <mergeCell ref="D1:I2"/>
    <mergeCell ref="J1:U2"/>
    <mergeCell ref="V1:Z2"/>
    <mergeCell ref="P3:T3"/>
    <mergeCell ref="G4:H4"/>
    <mergeCell ref="X4:Y4"/>
    <mergeCell ref="A5:Z5"/>
    <mergeCell ref="A6:A94"/>
    <mergeCell ref="A95:A194"/>
    <mergeCell ref="A195:A229"/>
    <mergeCell ref="A251:A272"/>
    <mergeCell ref="A273:A290"/>
    <mergeCell ref="A291:A311"/>
    <mergeCell ref="B327:Z327"/>
  </mergeCells>
  <conditionalFormatting sqref="T5:T326">
    <cfRule type="cellIs" priority="2" operator="equal" aboveAverage="0" equalAverage="0" bottom="0" percent="0" rank="0" text="" dxfId="5">
      <formula>0</formula>
    </cfRule>
    <cfRule type="cellIs" priority="3" operator="lessThanOrEqual" aboveAverage="0" equalAverage="0" bottom="0" percent="0" rank="0" text="" dxfId="6">
      <formula>65.8</formula>
    </cfRule>
  </conditionalFormatting>
  <conditionalFormatting sqref="S6:S326">
    <cfRule type="cellIs" priority="4" operator="lessThanOrEqual" aboveAverage="0" equalAverage="0" bottom="0" percent="0" rank="0" text="" dxfId="7">
      <formula>0</formula>
    </cfRule>
  </conditionalFormatting>
  <conditionalFormatting sqref="T1:T4">
    <cfRule type="cellIs" priority="5" operator="equal" aboveAverage="0" equalAverage="0" bottom="0" percent="0" rank="0" text="" dxfId="8">
      <formula>0</formula>
    </cfRule>
    <cfRule type="cellIs" priority="6" operator="lessThanOrEqual" aboveAverage="0" equalAverage="0" bottom="0" percent="0" rank="0" text="" dxfId="9">
      <formula>65.8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2019-10-22T07:38:01Z</dcterms:created>
  <dc:creator>adminigepp</dc:creator>
  <dc:description/>
  <dc:language>fr-FR</dc:language>
  <cp:lastModifiedBy/>
  <dcterms:modified xsi:type="dcterms:W3CDTF">2025-12-09T13:55:06Z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