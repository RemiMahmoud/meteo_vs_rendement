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28800" windowHeight="1170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94" i="1" l="1"/>
  <c r="AB186" i="1"/>
  <c r="AB194" i="2"/>
  <c r="AB186" i="2"/>
  <c r="U128" i="2" l="1"/>
  <c r="U17" i="2"/>
  <c r="U222" i="2"/>
  <c r="U223" i="2"/>
  <c r="U224" i="1"/>
  <c r="U222" i="1"/>
  <c r="U281" i="2"/>
  <c r="U263" i="2"/>
  <c r="U261" i="2"/>
  <c r="T253" i="2"/>
  <c r="T254" i="2" s="1"/>
  <c r="T255" i="2" s="1"/>
  <c r="T256" i="2" s="1"/>
  <c r="T257" i="2" s="1"/>
  <c r="T258" i="2" s="1"/>
  <c r="T266" i="2" s="1"/>
  <c r="T288" i="2" s="1"/>
  <c r="T289" i="2" s="1"/>
  <c r="U243" i="2"/>
  <c r="I235" i="2"/>
  <c r="U241" i="2"/>
  <c r="U239" i="2"/>
  <c r="U220" i="2"/>
  <c r="U218" i="2"/>
  <c r="U178" i="2"/>
  <c r="U180" i="2"/>
  <c r="U182" i="2"/>
  <c r="Q17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25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U283" i="1" l="1"/>
  <c r="U265" i="1"/>
  <c r="I257" i="2"/>
  <c r="I237" i="2"/>
  <c r="U245" i="1"/>
  <c r="U183" i="1"/>
  <c r="I275" i="2"/>
  <c r="U132" i="2"/>
  <c r="U19" i="2"/>
  <c r="Y270" i="2" l="1"/>
  <c r="Y269" i="2"/>
  <c r="Y252" i="2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Z235" i="2"/>
  <c r="Y232" i="2"/>
  <c r="Y231" i="2"/>
  <c r="Y211" i="2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10" i="2"/>
  <c r="I273" i="2"/>
  <c r="I271" i="2"/>
  <c r="H270" i="2"/>
  <c r="I255" i="2"/>
  <c r="I253" i="2"/>
  <c r="H252" i="2"/>
  <c r="H253" i="2" s="1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50" i="2"/>
  <c r="I233" i="2"/>
  <c r="H232" i="2"/>
  <c r="I212" i="2"/>
  <c r="I214" i="2"/>
  <c r="I216" i="2"/>
  <c r="H230" i="2"/>
  <c r="H212" i="2"/>
  <c r="H213" i="2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11" i="2"/>
  <c r="I174" i="2"/>
  <c r="I172" i="2"/>
  <c r="I176" i="2"/>
  <c r="R304" i="2"/>
  <c r="S304" i="2" s="1"/>
  <c r="R303" i="2"/>
  <c r="S303" i="2" s="1"/>
  <c r="R302" i="2"/>
  <c r="S302" i="2" s="1"/>
  <c r="R301" i="2"/>
  <c r="S301" i="2" s="1"/>
  <c r="S300" i="2"/>
  <c r="R300" i="2"/>
  <c r="R299" i="2"/>
  <c r="S299" i="2" s="1"/>
  <c r="R298" i="2"/>
  <c r="S298" i="2" s="1"/>
  <c r="H298" i="2"/>
  <c r="H299" i="2" s="1"/>
  <c r="H300" i="2" s="1"/>
  <c r="H301" i="2" s="1"/>
  <c r="H302" i="2" s="1"/>
  <c r="H303" i="2" s="1"/>
  <c r="H304" i="2" s="1"/>
  <c r="R297" i="2"/>
  <c r="S297" i="2" s="1"/>
  <c r="R296" i="2"/>
  <c r="S296" i="2" s="1"/>
  <c r="R295" i="2"/>
  <c r="S295" i="2" s="1"/>
  <c r="S294" i="2"/>
  <c r="R294" i="2"/>
  <c r="H294" i="2"/>
  <c r="H295" i="2" s="1"/>
  <c r="H296" i="2" s="1"/>
  <c r="H297" i="2" s="1"/>
  <c r="R293" i="2"/>
  <c r="S293" i="2" s="1"/>
  <c r="O293" i="2"/>
  <c r="O294" i="2" s="1"/>
  <c r="O295" i="2" s="1"/>
  <c r="O296" i="2" s="1"/>
  <c r="O297" i="2" s="1"/>
  <c r="O298" i="2" s="1"/>
  <c r="O299" i="2" s="1"/>
  <c r="O300" i="2" s="1"/>
  <c r="O301" i="2" s="1"/>
  <c r="H293" i="2"/>
  <c r="S292" i="2"/>
  <c r="R292" i="2"/>
  <c r="H292" i="2"/>
  <c r="Y291" i="2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Y303" i="2" s="1"/>
  <c r="Y304" i="2" s="1"/>
  <c r="R291" i="2"/>
  <c r="S291" i="2" s="1"/>
  <c r="H291" i="2"/>
  <c r="R290" i="2"/>
  <c r="S290" i="2" s="1"/>
  <c r="O290" i="2"/>
  <c r="O291" i="2" s="1"/>
  <c r="O292" i="2" s="1"/>
  <c r="R289" i="2"/>
  <c r="S289" i="2" s="1"/>
  <c r="O289" i="2"/>
  <c r="R288" i="2"/>
  <c r="S288" i="2" s="1"/>
  <c r="U283" i="2" s="1"/>
  <c r="O288" i="2"/>
  <c r="R287" i="2"/>
  <c r="S287" i="2" s="1"/>
  <c r="R286" i="2"/>
  <c r="S286" i="2" s="1"/>
  <c r="R285" i="2"/>
  <c r="S285" i="2" s="1"/>
  <c r="R284" i="2"/>
  <c r="S284" i="2" s="1"/>
  <c r="R283" i="2"/>
  <c r="S283" i="2" s="1"/>
  <c r="R282" i="2"/>
  <c r="S282" i="2" s="1"/>
  <c r="R281" i="2"/>
  <c r="S281" i="2" s="1"/>
  <c r="R280" i="2"/>
  <c r="S280" i="2" s="1"/>
  <c r="R279" i="2"/>
  <c r="S279" i="2" s="1"/>
  <c r="R278" i="2"/>
  <c r="S278" i="2" s="1"/>
  <c r="R277" i="2"/>
  <c r="S277" i="2" s="1"/>
  <c r="R276" i="2"/>
  <c r="S276" i="2" s="1"/>
  <c r="R275" i="2"/>
  <c r="S275" i="2" s="1"/>
  <c r="R274" i="2"/>
  <c r="S274" i="2" s="1"/>
  <c r="Z273" i="2"/>
  <c r="R273" i="2"/>
  <c r="S273" i="2" s="1"/>
  <c r="R272" i="2"/>
  <c r="S272" i="2" s="1"/>
  <c r="H272" i="2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Y271" i="2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R271" i="2"/>
  <c r="S271" i="2" s="1"/>
  <c r="H271" i="2"/>
  <c r="R270" i="2"/>
  <c r="S270" i="2" s="1"/>
  <c r="R269" i="2"/>
  <c r="S269" i="2" s="1"/>
  <c r="R268" i="2"/>
  <c r="S268" i="2" s="1"/>
  <c r="R267" i="2"/>
  <c r="S267" i="2" s="1"/>
  <c r="R266" i="2"/>
  <c r="S266" i="2" s="1"/>
  <c r="R265" i="2"/>
  <c r="S265" i="2" s="1"/>
  <c r="S264" i="2"/>
  <c r="R264" i="2"/>
  <c r="R263" i="2"/>
  <c r="S263" i="2" s="1"/>
  <c r="R262" i="2"/>
  <c r="S262" i="2" s="1"/>
  <c r="R261" i="2"/>
  <c r="S261" i="2" s="1"/>
  <c r="R260" i="2"/>
  <c r="S260" i="2" s="1"/>
  <c r="R259" i="2"/>
  <c r="S259" i="2" s="1"/>
  <c r="R258" i="2"/>
  <c r="S258" i="2" s="1"/>
  <c r="R257" i="2"/>
  <c r="S257" i="2" s="1"/>
  <c r="R256" i="2"/>
  <c r="S256" i="2" s="1"/>
  <c r="Z255" i="2"/>
  <c r="R255" i="2"/>
  <c r="S255" i="2" s="1"/>
  <c r="R254" i="2"/>
  <c r="S254" i="2" s="1"/>
  <c r="R253" i="2"/>
  <c r="S253" i="2" s="1"/>
  <c r="R252" i="2"/>
  <c r="S252" i="2" s="1"/>
  <c r="R251" i="2"/>
  <c r="S251" i="2" s="1"/>
  <c r="S250" i="2"/>
  <c r="R250" i="2"/>
  <c r="S249" i="2"/>
  <c r="R249" i="2"/>
  <c r="R248" i="2"/>
  <c r="S248" i="2" s="1"/>
  <c r="S247" i="2"/>
  <c r="R247" i="2"/>
  <c r="R246" i="2"/>
  <c r="S246" i="2" s="1"/>
  <c r="S245" i="2"/>
  <c r="R245" i="2"/>
  <c r="R244" i="2"/>
  <c r="S244" i="2" s="1"/>
  <c r="R243" i="2"/>
  <c r="S243" i="2" s="1"/>
  <c r="R242" i="2"/>
  <c r="S242" i="2" s="1"/>
  <c r="R241" i="2"/>
  <c r="S241" i="2" s="1"/>
  <c r="S240" i="2"/>
  <c r="R240" i="2"/>
  <c r="R239" i="2"/>
  <c r="S239" i="2" s="1"/>
  <c r="R238" i="2"/>
  <c r="S238" i="2" s="1"/>
  <c r="R237" i="2"/>
  <c r="S237" i="2" s="1"/>
  <c r="R236" i="2"/>
  <c r="S236" i="2" s="1"/>
  <c r="R235" i="2"/>
  <c r="S235" i="2" s="1"/>
  <c r="H235" i="2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S234" i="2"/>
  <c r="R234" i="2"/>
  <c r="Y233" i="2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R233" i="2"/>
  <c r="S233" i="2" s="1"/>
  <c r="H233" i="2"/>
  <c r="H234" i="2" s="1"/>
  <c r="S232" i="2"/>
  <c r="R232" i="2"/>
  <c r="R231" i="2"/>
  <c r="S231" i="2" s="1"/>
  <c r="S230" i="2"/>
  <c r="R230" i="2"/>
  <c r="R229" i="2"/>
  <c r="S229" i="2" s="1"/>
  <c r="R228" i="2"/>
  <c r="S228" i="2" s="1"/>
  <c r="R227" i="2"/>
  <c r="S227" i="2" s="1"/>
  <c r="R226" i="2"/>
  <c r="S226" i="2" s="1"/>
  <c r="S225" i="2"/>
  <c r="R225" i="2"/>
  <c r="R224" i="2"/>
  <c r="S224" i="2" s="1"/>
  <c r="R223" i="2"/>
  <c r="S223" i="2" s="1"/>
  <c r="S222" i="2"/>
  <c r="R222" i="2"/>
  <c r="R221" i="2"/>
  <c r="S221" i="2" s="1"/>
  <c r="R220" i="2"/>
  <c r="S220" i="2" s="1"/>
  <c r="R219" i="2"/>
  <c r="S219" i="2" s="1"/>
  <c r="R218" i="2"/>
  <c r="S218" i="2" s="1"/>
  <c r="R217" i="2"/>
  <c r="S217" i="2" s="1"/>
  <c r="S216" i="2"/>
  <c r="R216" i="2"/>
  <c r="S215" i="2"/>
  <c r="R215" i="2"/>
  <c r="Z214" i="2"/>
  <c r="S214" i="2"/>
  <c r="R214" i="2"/>
  <c r="R213" i="2"/>
  <c r="S213" i="2" s="1"/>
  <c r="S212" i="2"/>
  <c r="R212" i="2"/>
  <c r="R211" i="2"/>
  <c r="S211" i="2" s="1"/>
  <c r="S210" i="2"/>
  <c r="R210" i="2"/>
  <c r="Q210" i="2"/>
  <c r="R209" i="2"/>
  <c r="S209" i="2" s="1"/>
  <c r="R208" i="2"/>
  <c r="S208" i="2" s="1"/>
  <c r="R207" i="2"/>
  <c r="S207" i="2" s="1"/>
  <c r="R206" i="2"/>
  <c r="S206" i="2" s="1"/>
  <c r="R205" i="2"/>
  <c r="S205" i="2" s="1"/>
  <c r="R204" i="2"/>
  <c r="S204" i="2" s="1"/>
  <c r="R203" i="2"/>
  <c r="S203" i="2" s="1"/>
  <c r="R202" i="2"/>
  <c r="S202" i="2" s="1"/>
  <c r="R201" i="2"/>
  <c r="S201" i="2" s="1"/>
  <c r="R200" i="2"/>
  <c r="S200" i="2" s="1"/>
  <c r="R199" i="2"/>
  <c r="S199" i="2" s="1"/>
  <c r="R198" i="2"/>
  <c r="S198" i="2" s="1"/>
  <c r="R197" i="2"/>
  <c r="S197" i="2" s="1"/>
  <c r="R196" i="2"/>
  <c r="S196" i="2" s="1"/>
  <c r="R195" i="2"/>
  <c r="S195" i="2" s="1"/>
  <c r="R194" i="2"/>
  <c r="S194" i="2" s="1"/>
  <c r="R193" i="2"/>
  <c r="S193" i="2" s="1"/>
  <c r="R192" i="2"/>
  <c r="S192" i="2" s="1"/>
  <c r="S191" i="2"/>
  <c r="R191" i="2"/>
  <c r="S190" i="2"/>
  <c r="R190" i="2"/>
  <c r="R189" i="2"/>
  <c r="S189" i="2" s="1"/>
  <c r="R188" i="2"/>
  <c r="S188" i="2" s="1"/>
  <c r="R187" i="2"/>
  <c r="S187" i="2" s="1"/>
  <c r="R186" i="2"/>
  <c r="S186" i="2" s="1"/>
  <c r="R185" i="2"/>
  <c r="S185" i="2" s="1"/>
  <c r="R184" i="2"/>
  <c r="S184" i="2" s="1"/>
  <c r="R183" i="2"/>
  <c r="S183" i="2" s="1"/>
  <c r="S182" i="2"/>
  <c r="R182" i="2"/>
  <c r="R181" i="2"/>
  <c r="S181" i="2" s="1"/>
  <c r="R180" i="2"/>
  <c r="S180" i="2" s="1"/>
  <c r="R179" i="2"/>
  <c r="S179" i="2" s="1"/>
  <c r="R178" i="2"/>
  <c r="S178" i="2" s="1"/>
  <c r="Y177" i="2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R177" i="2"/>
  <c r="S177" i="2" s="1"/>
  <c r="S176" i="2"/>
  <c r="R176" i="2"/>
  <c r="S175" i="2"/>
  <c r="R175" i="2"/>
  <c r="H175" i="2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Z174" i="2"/>
  <c r="S174" i="2"/>
  <c r="R174" i="2"/>
  <c r="S173" i="2"/>
  <c r="R173" i="2"/>
  <c r="H173" i="2"/>
  <c r="H174" i="2" s="1"/>
  <c r="Y172" i="2"/>
  <c r="Y173" i="2" s="1"/>
  <c r="Y174" i="2" s="1"/>
  <c r="Y175" i="2" s="1"/>
  <c r="Y176" i="2" s="1"/>
  <c r="R172" i="2"/>
  <c r="S172" i="2" s="1"/>
  <c r="H172" i="2"/>
  <c r="R171" i="2"/>
  <c r="S171" i="2" s="1"/>
  <c r="S170" i="2"/>
  <c r="R170" i="2"/>
  <c r="S169" i="2"/>
  <c r="R169" i="2"/>
  <c r="S168" i="2"/>
  <c r="R168" i="2"/>
  <c r="S167" i="2"/>
  <c r="R167" i="2"/>
  <c r="S166" i="2"/>
  <c r="R166" i="2"/>
  <c r="S165" i="2"/>
  <c r="R165" i="2"/>
  <c r="S164" i="2"/>
  <c r="R164" i="2"/>
  <c r="S163" i="2"/>
  <c r="R163" i="2"/>
  <c r="G163" i="2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S162" i="2"/>
  <c r="R162" i="2"/>
  <c r="H162" i="2"/>
  <c r="H163" i="2" s="1"/>
  <c r="H164" i="2" s="1"/>
  <c r="H165" i="2" s="1"/>
  <c r="H166" i="2" s="1"/>
  <c r="H167" i="2" s="1"/>
  <c r="H168" i="2" s="1"/>
  <c r="H169" i="2" s="1"/>
  <c r="H170" i="2" s="1"/>
  <c r="G162" i="2"/>
  <c r="S161" i="2"/>
  <c r="R161" i="2"/>
  <c r="S160" i="2"/>
  <c r="R160" i="2"/>
  <c r="S159" i="2"/>
  <c r="R159" i="2"/>
  <c r="S158" i="2"/>
  <c r="R158" i="2"/>
  <c r="S157" i="2"/>
  <c r="R157" i="2"/>
  <c r="R156" i="2"/>
  <c r="S156" i="2" s="1"/>
  <c r="S155" i="2"/>
  <c r="R155" i="2"/>
  <c r="S154" i="2"/>
  <c r="R154" i="2"/>
  <c r="S153" i="2"/>
  <c r="R153" i="2"/>
  <c r="R152" i="2"/>
  <c r="S152" i="2" s="1"/>
  <c r="S151" i="2"/>
  <c r="R151" i="2"/>
  <c r="S150" i="2"/>
  <c r="R150" i="2"/>
  <c r="S149" i="2"/>
  <c r="R149" i="2"/>
  <c r="R148" i="2"/>
  <c r="S148" i="2" s="1"/>
  <c r="S147" i="2"/>
  <c r="R147" i="2"/>
  <c r="R146" i="2"/>
  <c r="S146" i="2" s="1"/>
  <c r="R145" i="2"/>
  <c r="S145" i="2" s="1"/>
  <c r="R144" i="2"/>
  <c r="S144" i="2" s="1"/>
  <c r="S143" i="2"/>
  <c r="R143" i="2"/>
  <c r="R142" i="2"/>
  <c r="S142" i="2" s="1"/>
  <c r="R141" i="2"/>
  <c r="S141" i="2" s="1"/>
  <c r="R140" i="2"/>
  <c r="S140" i="2" s="1"/>
  <c r="S139" i="2"/>
  <c r="R139" i="2"/>
  <c r="R138" i="2"/>
  <c r="S138" i="2" s="1"/>
  <c r="R137" i="2"/>
  <c r="S137" i="2" s="1"/>
  <c r="H137" i="2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R136" i="2"/>
  <c r="S136" i="2" s="1"/>
  <c r="R135" i="2"/>
  <c r="S135" i="2" s="1"/>
  <c r="H135" i="2"/>
  <c r="H136" i="2" s="1"/>
  <c r="R134" i="2"/>
  <c r="S134" i="2" s="1"/>
  <c r="R133" i="2"/>
  <c r="S133" i="2" s="1"/>
  <c r="S132" i="2"/>
  <c r="R132" i="2"/>
  <c r="R131" i="2"/>
  <c r="S131" i="2" s="1"/>
  <c r="R130" i="2"/>
  <c r="S130" i="2" s="1"/>
  <c r="G130" i="2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R129" i="2"/>
  <c r="S129" i="2" s="1"/>
  <c r="H129" i="2"/>
  <c r="H130" i="2" s="1"/>
  <c r="H131" i="2" s="1"/>
  <c r="H132" i="2" s="1"/>
  <c r="H133" i="2" s="1"/>
  <c r="H134" i="2" s="1"/>
  <c r="G129" i="2"/>
  <c r="R128" i="2"/>
  <c r="S128" i="2" s="1"/>
  <c r="R127" i="2"/>
  <c r="S127" i="2" s="1"/>
  <c r="S126" i="2"/>
  <c r="R126" i="2"/>
  <c r="R125" i="2"/>
  <c r="S125" i="2" s="1"/>
  <c r="S124" i="2"/>
  <c r="R124" i="2"/>
  <c r="R123" i="2"/>
  <c r="S123" i="2" s="1"/>
  <c r="S122" i="2"/>
  <c r="R122" i="2"/>
  <c r="I122" i="2"/>
  <c r="S121" i="2"/>
  <c r="R121" i="2"/>
  <c r="Z120" i="2"/>
  <c r="R120" i="2"/>
  <c r="S120" i="2" s="1"/>
  <c r="I120" i="2"/>
  <c r="R119" i="2"/>
  <c r="S119" i="2" s="1"/>
  <c r="S118" i="2"/>
  <c r="R118" i="2"/>
  <c r="I118" i="2"/>
  <c r="Y117" i="2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R117" i="2"/>
  <c r="S117" i="2" s="1"/>
  <c r="H117" i="2"/>
  <c r="H118" i="2" s="1"/>
  <c r="H119" i="2" s="1"/>
  <c r="H120" i="2" s="1"/>
  <c r="H121" i="2" s="1"/>
  <c r="H122" i="2" s="1"/>
  <c r="H123" i="2" s="1"/>
  <c r="H124" i="2" s="1"/>
  <c r="H125" i="2" s="1"/>
  <c r="H126" i="2" s="1"/>
  <c r="S116" i="2"/>
  <c r="Q116" i="2"/>
  <c r="R116" i="2" s="1"/>
  <c r="Q115" i="2"/>
  <c r="R115" i="2" s="1"/>
  <c r="S115" i="2" s="1"/>
  <c r="S114" i="2"/>
  <c r="Q114" i="2"/>
  <c r="R114" i="2" s="1"/>
  <c r="R113" i="2"/>
  <c r="S113" i="2" s="1"/>
  <c r="Q113" i="2"/>
  <c r="S112" i="2"/>
  <c r="R112" i="2"/>
  <c r="Q112" i="2"/>
  <c r="Q111" i="2"/>
  <c r="R111" i="2" s="1"/>
  <c r="S111" i="2" s="1"/>
  <c r="R110" i="2"/>
  <c r="S110" i="2" s="1"/>
  <c r="Q110" i="2"/>
  <c r="R109" i="2"/>
  <c r="S109" i="2" s="1"/>
  <c r="Q109" i="2"/>
  <c r="Q108" i="2"/>
  <c r="R108" i="2" s="1"/>
  <c r="S108" i="2" s="1"/>
  <c r="R107" i="2"/>
  <c r="S107" i="2" s="1"/>
  <c r="Q107" i="2"/>
  <c r="R106" i="2"/>
  <c r="S106" i="2" s="1"/>
  <c r="Q106" i="2"/>
  <c r="R105" i="2"/>
  <c r="S105" i="2" s="1"/>
  <c r="Q105" i="2"/>
  <c r="R104" i="2"/>
  <c r="S104" i="2" s="1"/>
  <c r="Q104" i="2"/>
  <c r="Q103" i="2"/>
  <c r="R103" i="2" s="1"/>
  <c r="S103" i="2" s="1"/>
  <c r="R102" i="2"/>
  <c r="S102" i="2" s="1"/>
  <c r="Q102" i="2"/>
  <c r="R101" i="2"/>
  <c r="S101" i="2" s="1"/>
  <c r="Q101" i="2"/>
  <c r="Q100" i="2"/>
  <c r="R100" i="2" s="1"/>
  <c r="S100" i="2" s="1"/>
  <c r="R99" i="2"/>
  <c r="S99" i="2" s="1"/>
  <c r="Q99" i="2"/>
  <c r="S98" i="2"/>
  <c r="Q98" i="2"/>
  <c r="R98" i="2" s="1"/>
  <c r="Q97" i="2"/>
  <c r="R97" i="2" s="1"/>
  <c r="S97" i="2" s="1"/>
  <c r="S96" i="2"/>
  <c r="Q96" i="2"/>
  <c r="R96" i="2" s="1"/>
  <c r="R95" i="2"/>
  <c r="S95" i="2" s="1"/>
  <c r="Q95" i="2"/>
  <c r="S94" i="2"/>
  <c r="Q94" i="2"/>
  <c r="R94" i="2" s="1"/>
  <c r="R93" i="2"/>
  <c r="S93" i="2" s="1"/>
  <c r="Q93" i="2"/>
  <c r="S92" i="2"/>
  <c r="R92" i="2"/>
  <c r="Q92" i="2"/>
  <c r="Q91" i="2"/>
  <c r="R91" i="2" s="1"/>
  <c r="S91" i="2" s="1"/>
  <c r="Q90" i="2"/>
  <c r="R90" i="2" s="1"/>
  <c r="S90" i="2" s="1"/>
  <c r="R89" i="2"/>
  <c r="S89" i="2" s="1"/>
  <c r="Q89" i="2"/>
  <c r="Q88" i="2"/>
  <c r="R88" i="2" s="1"/>
  <c r="S88" i="2" s="1"/>
  <c r="R87" i="2"/>
  <c r="S87" i="2" s="1"/>
  <c r="Q87" i="2"/>
  <c r="R86" i="2"/>
  <c r="S86" i="2" s="1"/>
  <c r="Q86" i="2"/>
  <c r="S85" i="2"/>
  <c r="R85" i="2"/>
  <c r="Q85" i="2"/>
  <c r="S84" i="2"/>
  <c r="R84" i="2"/>
  <c r="Q84" i="2"/>
  <c r="Q83" i="2"/>
  <c r="R83" i="2" s="1"/>
  <c r="S83" i="2" s="1"/>
  <c r="R82" i="2"/>
  <c r="S82" i="2" s="1"/>
  <c r="Q82" i="2"/>
  <c r="R81" i="2"/>
  <c r="S81" i="2" s="1"/>
  <c r="Q81" i="2"/>
  <c r="O81" i="2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S80" i="2"/>
  <c r="Q80" i="2"/>
  <c r="R80" i="2" s="1"/>
  <c r="R79" i="2"/>
  <c r="S79" i="2" s="1"/>
  <c r="Q79" i="2"/>
  <c r="R78" i="2"/>
  <c r="S78" i="2" s="1"/>
  <c r="Q78" i="2"/>
  <c r="R77" i="2"/>
  <c r="S77" i="2" s="1"/>
  <c r="Q77" i="2"/>
  <c r="S76" i="2"/>
  <c r="R76" i="2"/>
  <c r="Q76" i="2"/>
  <c r="S75" i="2"/>
  <c r="Q75" i="2"/>
  <c r="R75" i="2" s="1"/>
  <c r="Q74" i="2"/>
  <c r="R74" i="2" s="1"/>
  <c r="S74" i="2" s="1"/>
  <c r="R73" i="2"/>
  <c r="S73" i="2" s="1"/>
  <c r="Q73" i="2"/>
  <c r="Q72" i="2"/>
  <c r="R72" i="2" s="1"/>
  <c r="S72" i="2" s="1"/>
  <c r="R71" i="2"/>
  <c r="S71" i="2" s="1"/>
  <c r="Q71" i="2"/>
  <c r="O71" i="2"/>
  <c r="O72" i="2" s="1"/>
  <c r="O73" i="2" s="1"/>
  <c r="O74" i="2" s="1"/>
  <c r="O75" i="2" s="1"/>
  <c r="O76" i="2" s="1"/>
  <c r="O77" i="2" s="1"/>
  <c r="O78" i="2" s="1"/>
  <c r="O79" i="2" s="1"/>
  <c r="O80" i="2" s="1"/>
  <c r="Q70" i="2"/>
  <c r="R70" i="2" s="1"/>
  <c r="S70" i="2" s="1"/>
  <c r="O70" i="2"/>
  <c r="R69" i="2"/>
  <c r="S69" i="2" s="1"/>
  <c r="Q69" i="2"/>
  <c r="S68" i="2"/>
  <c r="R68" i="2"/>
  <c r="Q68" i="2"/>
  <c r="O68" i="2"/>
  <c r="O69" i="2" s="1"/>
  <c r="S67" i="2"/>
  <c r="Q67" i="2"/>
  <c r="R67" i="2" s="1"/>
  <c r="S66" i="2"/>
  <c r="Q66" i="2"/>
  <c r="R66" i="2" s="1"/>
  <c r="S65" i="2"/>
  <c r="Q65" i="2"/>
  <c r="R65" i="2" s="1"/>
  <c r="Q64" i="2"/>
  <c r="R64" i="2" s="1"/>
  <c r="S64" i="2" s="1"/>
  <c r="Q63" i="2"/>
  <c r="R63" i="2" s="1"/>
  <c r="S63" i="2" s="1"/>
  <c r="Q62" i="2"/>
  <c r="R62" i="2" s="1"/>
  <c r="S62" i="2" s="1"/>
  <c r="Q61" i="2"/>
  <c r="R61" i="2" s="1"/>
  <c r="S61" i="2" s="1"/>
  <c r="Q60" i="2"/>
  <c r="R60" i="2" s="1"/>
  <c r="S60" i="2" s="1"/>
  <c r="Q59" i="2"/>
  <c r="R59" i="2" s="1"/>
  <c r="S59" i="2" s="1"/>
  <c r="Q58" i="2"/>
  <c r="R58" i="2" s="1"/>
  <c r="S58" i="2" s="1"/>
  <c r="Q57" i="2"/>
  <c r="R57" i="2" s="1"/>
  <c r="S57" i="2" s="1"/>
  <c r="Q56" i="2"/>
  <c r="R56" i="2" s="1"/>
  <c r="S56" i="2" s="1"/>
  <c r="Q55" i="2"/>
  <c r="R55" i="2" s="1"/>
  <c r="S55" i="2" s="1"/>
  <c r="Q54" i="2"/>
  <c r="R54" i="2" s="1"/>
  <c r="S54" i="2" s="1"/>
  <c r="Q53" i="2"/>
  <c r="R53" i="2" s="1"/>
  <c r="S53" i="2" s="1"/>
  <c r="R52" i="2"/>
  <c r="S52" i="2" s="1"/>
  <c r="Q52" i="2"/>
  <c r="S51" i="2"/>
  <c r="Q51" i="2"/>
  <c r="R51" i="2" s="1"/>
  <c r="R50" i="2"/>
  <c r="S50" i="2" s="1"/>
  <c r="Q50" i="2"/>
  <c r="S49" i="2"/>
  <c r="Q49" i="2"/>
  <c r="R49" i="2" s="1"/>
  <c r="R48" i="2"/>
  <c r="S48" i="2" s="1"/>
  <c r="Q48" i="2"/>
  <c r="S47" i="2"/>
  <c r="Q47" i="2"/>
  <c r="R47" i="2" s="1"/>
  <c r="R46" i="2"/>
  <c r="S46" i="2" s="1"/>
  <c r="Q46" i="2"/>
  <c r="Q45" i="2"/>
  <c r="R45" i="2" s="1"/>
  <c r="S45" i="2" s="1"/>
  <c r="R44" i="2"/>
  <c r="S44" i="2" s="1"/>
  <c r="Q44" i="2"/>
  <c r="Q43" i="2"/>
  <c r="R43" i="2" s="1"/>
  <c r="S43" i="2" s="1"/>
  <c r="R42" i="2"/>
  <c r="S42" i="2" s="1"/>
  <c r="Q42" i="2"/>
  <c r="Q41" i="2"/>
  <c r="R41" i="2" s="1"/>
  <c r="S41" i="2" s="1"/>
  <c r="R40" i="2"/>
  <c r="S40" i="2" s="1"/>
  <c r="Q40" i="2"/>
  <c r="Q39" i="2"/>
  <c r="R39" i="2" s="1"/>
  <c r="S39" i="2" s="1"/>
  <c r="R38" i="2"/>
  <c r="S38" i="2" s="1"/>
  <c r="Q38" i="2"/>
  <c r="Q37" i="2"/>
  <c r="R37" i="2" s="1"/>
  <c r="S37" i="2" s="1"/>
  <c r="R36" i="2"/>
  <c r="S36" i="2" s="1"/>
  <c r="Q36" i="2"/>
  <c r="S35" i="2"/>
  <c r="Q35" i="2"/>
  <c r="R35" i="2" s="1"/>
  <c r="R34" i="2"/>
  <c r="S34" i="2" s="1"/>
  <c r="Q34" i="2"/>
  <c r="O34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S33" i="2"/>
  <c r="Q33" i="2"/>
  <c r="R33" i="2" s="1"/>
  <c r="O33" i="2"/>
  <c r="R32" i="2"/>
  <c r="S32" i="2" s="1"/>
  <c r="Q32" i="2"/>
  <c r="R31" i="2"/>
  <c r="S31" i="2" s="1"/>
  <c r="Q31" i="2"/>
  <c r="R30" i="2"/>
  <c r="S30" i="2" s="1"/>
  <c r="Q30" i="2"/>
  <c r="R29" i="2"/>
  <c r="S29" i="2" s="1"/>
  <c r="Q29" i="2"/>
  <c r="R28" i="2"/>
  <c r="S28" i="2" s="1"/>
  <c r="Q28" i="2"/>
  <c r="Q27" i="2"/>
  <c r="R27" i="2" s="1"/>
  <c r="S27" i="2" s="1"/>
  <c r="R26" i="2"/>
  <c r="S26" i="2" s="1"/>
  <c r="Q26" i="2"/>
  <c r="Q25" i="2"/>
  <c r="R25" i="2" s="1"/>
  <c r="S25" i="2" s="1"/>
  <c r="R24" i="2"/>
  <c r="S24" i="2" s="1"/>
  <c r="Q24" i="2"/>
  <c r="O24" i="2"/>
  <c r="O25" i="2" s="1"/>
  <c r="O26" i="2" s="1"/>
  <c r="O27" i="2" s="1"/>
  <c r="O28" i="2" s="1"/>
  <c r="S23" i="2"/>
  <c r="T23" i="2" s="1"/>
  <c r="T24" i="2" s="1"/>
  <c r="T25" i="2" s="1"/>
  <c r="T26" i="2" s="1"/>
  <c r="Q23" i="2"/>
  <c r="R23" i="2" s="1"/>
  <c r="O23" i="2"/>
  <c r="S22" i="2"/>
  <c r="Q22" i="2"/>
  <c r="R22" i="2" s="1"/>
  <c r="R21" i="2"/>
  <c r="S21" i="2" s="1"/>
  <c r="Q21" i="2"/>
  <c r="Q20" i="2"/>
  <c r="R20" i="2" s="1"/>
  <c r="S20" i="2" s="1"/>
  <c r="Q19" i="2"/>
  <c r="R19" i="2" s="1"/>
  <c r="S19" i="2" s="1"/>
  <c r="R18" i="2"/>
  <c r="S18" i="2" s="1"/>
  <c r="Q18" i="2"/>
  <c r="R17" i="2"/>
  <c r="S17" i="2" s="1"/>
  <c r="Q17" i="2"/>
  <c r="Q16" i="2"/>
  <c r="R16" i="2" s="1"/>
  <c r="S16" i="2" s="1"/>
  <c r="S15" i="2"/>
  <c r="Q15" i="2"/>
  <c r="R15" i="2" s="1"/>
  <c r="R14" i="2"/>
  <c r="S14" i="2" s="1"/>
  <c r="Q14" i="2"/>
  <c r="Q13" i="2"/>
  <c r="R13" i="2" s="1"/>
  <c r="S13" i="2" s="1"/>
  <c r="R12" i="2"/>
  <c r="S12" i="2" s="1"/>
  <c r="R11" i="2"/>
  <c r="S11" i="2" s="1"/>
  <c r="K11" i="2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I11" i="2"/>
  <c r="S10" i="2"/>
  <c r="R10" i="2"/>
  <c r="M10" i="2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Z9" i="2"/>
  <c r="R9" i="2"/>
  <c r="S9" i="2" s="1"/>
  <c r="K9" i="2"/>
  <c r="K10" i="2" s="1"/>
  <c r="I9" i="2"/>
  <c r="T8" i="2"/>
  <c r="R8" i="2"/>
  <c r="S8" i="2" s="1"/>
  <c r="K8" i="2"/>
  <c r="X7" i="2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R7" i="2"/>
  <c r="S7" i="2" s="1"/>
  <c r="K7" i="2"/>
  <c r="I7" i="2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X6" i="2"/>
  <c r="S6" i="2"/>
  <c r="R6" i="2"/>
  <c r="M6" i="2"/>
  <c r="M7" i="2" s="1"/>
  <c r="M8" i="2" s="1"/>
  <c r="M9" i="2" s="1"/>
  <c r="K6" i="2"/>
  <c r="G6" i="2"/>
  <c r="T27" i="2" l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W116" i="2"/>
  <c r="X117" i="2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T290" i="2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118" i="2" l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U15" i="2"/>
  <c r="U126" i="2" l="1"/>
  <c r="U124" i="2"/>
  <c r="T172" i="2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U19" i="1"/>
  <c r="Q304" i="1"/>
  <c r="R304" i="1" s="1"/>
  <c r="S304" i="1" s="1"/>
  <c r="Q303" i="1"/>
  <c r="R303" i="1" s="1"/>
  <c r="S303" i="1" s="1"/>
  <c r="S302" i="1"/>
  <c r="Q302" i="1"/>
  <c r="R302" i="1" s="1"/>
  <c r="Q301" i="1"/>
  <c r="R301" i="1" s="1"/>
  <c r="S301" i="1" s="1"/>
  <c r="Q300" i="1"/>
  <c r="R300" i="1" s="1"/>
  <c r="S300" i="1" s="1"/>
  <c r="Q299" i="1"/>
  <c r="R299" i="1" s="1"/>
  <c r="S299" i="1" s="1"/>
  <c r="R298" i="1"/>
  <c r="S298" i="1" s="1"/>
  <c r="Q298" i="1"/>
  <c r="Q297" i="1"/>
  <c r="R297" i="1" s="1"/>
  <c r="S297" i="1" s="1"/>
  <c r="R296" i="1"/>
  <c r="S296" i="1" s="1"/>
  <c r="Q296" i="1"/>
  <c r="Q295" i="1"/>
  <c r="R295" i="1" s="1"/>
  <c r="S295" i="1" s="1"/>
  <c r="S294" i="1"/>
  <c r="R294" i="1"/>
  <c r="Q294" i="1"/>
  <c r="Q293" i="1"/>
  <c r="R293" i="1" s="1"/>
  <c r="S293" i="1" s="1"/>
  <c r="Q292" i="1"/>
  <c r="R292" i="1" s="1"/>
  <c r="S292" i="1" s="1"/>
  <c r="Y291" i="1"/>
  <c r="Y292" i="1" s="1"/>
  <c r="Y293" i="1" s="1"/>
  <c r="Y294" i="1" s="1"/>
  <c r="Y295" i="1" s="1"/>
  <c r="Y296" i="1" s="1"/>
  <c r="Y297" i="1" s="1"/>
  <c r="Y298" i="1" s="1"/>
  <c r="Y299" i="1" s="1"/>
  <c r="Y300" i="1" s="1"/>
  <c r="Y301" i="1" s="1"/>
  <c r="Y302" i="1" s="1"/>
  <c r="Y303" i="1" s="1"/>
  <c r="Y304" i="1" s="1"/>
  <c r="S291" i="1"/>
  <c r="Q291" i="1"/>
  <c r="R291" i="1" s="1"/>
  <c r="H291" i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H302" i="1" s="1"/>
  <c r="H303" i="1" s="1"/>
  <c r="H304" i="1" s="1"/>
  <c r="Q290" i="1"/>
  <c r="R290" i="1" s="1"/>
  <c r="S290" i="1" s="1"/>
  <c r="Q289" i="1"/>
  <c r="R289" i="1" s="1"/>
  <c r="S289" i="1" s="1"/>
  <c r="O289" i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R288" i="1"/>
  <c r="S288" i="1" s="1"/>
  <c r="T288" i="1" s="1"/>
  <c r="Q288" i="1"/>
  <c r="O288" i="1"/>
  <c r="Q287" i="1"/>
  <c r="R287" i="1" s="1"/>
  <c r="S287" i="1" s="1"/>
  <c r="Q286" i="1"/>
  <c r="R286" i="1" s="1"/>
  <c r="S286" i="1" s="1"/>
  <c r="R285" i="1"/>
  <c r="S285" i="1" s="1"/>
  <c r="Q285" i="1"/>
  <c r="Q284" i="1"/>
  <c r="R284" i="1" s="1"/>
  <c r="S284" i="1" s="1"/>
  <c r="Q283" i="1"/>
  <c r="R283" i="1" s="1"/>
  <c r="S283" i="1" s="1"/>
  <c r="R282" i="1"/>
  <c r="S282" i="1" s="1"/>
  <c r="Q282" i="1"/>
  <c r="Q281" i="1"/>
  <c r="R281" i="1" s="1"/>
  <c r="S281" i="1" s="1"/>
  <c r="Q280" i="1"/>
  <c r="R280" i="1" s="1"/>
  <c r="S280" i="1" s="1"/>
  <c r="Q279" i="1"/>
  <c r="R279" i="1" s="1"/>
  <c r="S279" i="1" s="1"/>
  <c r="R278" i="1"/>
  <c r="S278" i="1" s="1"/>
  <c r="Q278" i="1"/>
  <c r="Q277" i="1"/>
  <c r="R277" i="1" s="1"/>
  <c r="S277" i="1" s="1"/>
  <c r="R276" i="1"/>
  <c r="S276" i="1" s="1"/>
  <c r="Q276" i="1"/>
  <c r="Q275" i="1"/>
  <c r="R275" i="1" s="1"/>
  <c r="S275" i="1" s="1"/>
  <c r="I275" i="1"/>
  <c r="Q274" i="1"/>
  <c r="R274" i="1" s="1"/>
  <c r="S274" i="1" s="1"/>
  <c r="Z273" i="1"/>
  <c r="Y273" i="1"/>
  <c r="Y274" i="1" s="1"/>
  <c r="Y275" i="1" s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Y286" i="1" s="1"/>
  <c r="Y287" i="1" s="1"/>
  <c r="Y288" i="1" s="1"/>
  <c r="Y289" i="1" s="1"/>
  <c r="Q273" i="1"/>
  <c r="R273" i="1" s="1"/>
  <c r="S273" i="1" s="1"/>
  <c r="I273" i="1"/>
  <c r="Q272" i="1"/>
  <c r="R272" i="1" s="1"/>
  <c r="S272" i="1" s="1"/>
  <c r="Y271" i="1"/>
  <c r="Y272" i="1" s="1"/>
  <c r="Q271" i="1"/>
  <c r="R271" i="1" s="1"/>
  <c r="S271" i="1" s="1"/>
  <c r="I271" i="1"/>
  <c r="H271" i="1"/>
  <c r="H272" i="1" s="1"/>
  <c r="H273" i="1" s="1"/>
  <c r="H274" i="1" s="1"/>
  <c r="H275" i="1" s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Q270" i="1"/>
  <c r="R270" i="1" s="1"/>
  <c r="S270" i="1" s="1"/>
  <c r="R269" i="1"/>
  <c r="S269" i="1" s="1"/>
  <c r="Q269" i="1"/>
  <c r="S268" i="1"/>
  <c r="R268" i="1"/>
  <c r="Q268" i="1"/>
  <c r="S267" i="1"/>
  <c r="Q267" i="1"/>
  <c r="R267" i="1" s="1"/>
  <c r="R266" i="1"/>
  <c r="S266" i="1" s="1"/>
  <c r="T266" i="1" s="1"/>
  <c r="Q266" i="1"/>
  <c r="Q265" i="1"/>
  <c r="R265" i="1" s="1"/>
  <c r="S265" i="1" s="1"/>
  <c r="S264" i="1"/>
  <c r="R264" i="1"/>
  <c r="Q264" i="1"/>
  <c r="Q263" i="1"/>
  <c r="R263" i="1" s="1"/>
  <c r="S263" i="1" s="1"/>
  <c r="Q262" i="1"/>
  <c r="R262" i="1" s="1"/>
  <c r="S262" i="1" s="1"/>
  <c r="R261" i="1"/>
  <c r="S261" i="1" s="1"/>
  <c r="Q261" i="1"/>
  <c r="Q260" i="1"/>
  <c r="R260" i="1" s="1"/>
  <c r="S260" i="1" s="1"/>
  <c r="R259" i="1"/>
  <c r="S259" i="1" s="1"/>
  <c r="Q259" i="1"/>
  <c r="Q258" i="1"/>
  <c r="R258" i="1" s="1"/>
  <c r="S258" i="1" s="1"/>
  <c r="S257" i="1"/>
  <c r="R257" i="1"/>
  <c r="Q257" i="1"/>
  <c r="I257" i="1"/>
  <c r="H257" i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Q256" i="1"/>
  <c r="R256" i="1" s="1"/>
  <c r="S256" i="1" s="1"/>
  <c r="Z255" i="1"/>
  <c r="Q255" i="1"/>
  <c r="R255" i="1" s="1"/>
  <c r="S255" i="1" s="1"/>
  <c r="I255" i="1"/>
  <c r="Q254" i="1"/>
  <c r="R254" i="1" s="1"/>
  <c r="S254" i="1" s="1"/>
  <c r="Y253" i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S253" i="1"/>
  <c r="R253" i="1"/>
  <c r="Q253" i="1"/>
  <c r="I253" i="1"/>
  <c r="H253" i="1"/>
  <c r="H254" i="1" s="1"/>
  <c r="H255" i="1" s="1"/>
  <c r="H256" i="1" s="1"/>
  <c r="R252" i="1"/>
  <c r="S252" i="1" s="1"/>
  <c r="Q252" i="1"/>
  <c r="R251" i="1"/>
  <c r="S251" i="1" s="1"/>
  <c r="R250" i="1"/>
  <c r="S250" i="1" s="1"/>
  <c r="S249" i="1"/>
  <c r="R249" i="1"/>
  <c r="Y248" i="1"/>
  <c r="Y249" i="1" s="1"/>
  <c r="Y250" i="1" s="1"/>
  <c r="Y251" i="1" s="1"/>
  <c r="S248" i="1"/>
  <c r="R248" i="1"/>
  <c r="R247" i="1"/>
  <c r="S247" i="1" s="1"/>
  <c r="R246" i="1"/>
  <c r="S246" i="1" s="1"/>
  <c r="S245" i="1"/>
  <c r="R245" i="1"/>
  <c r="S244" i="1"/>
  <c r="R244" i="1"/>
  <c r="R243" i="1"/>
  <c r="S243" i="1" s="1"/>
  <c r="S242" i="1"/>
  <c r="R242" i="1"/>
  <c r="R241" i="1"/>
  <c r="S241" i="1" s="1"/>
  <c r="R240" i="1"/>
  <c r="S240" i="1" s="1"/>
  <c r="R239" i="1"/>
  <c r="S239" i="1" s="1"/>
  <c r="R238" i="1"/>
  <c r="S238" i="1" s="1"/>
  <c r="R237" i="1"/>
  <c r="S237" i="1" s="1"/>
  <c r="I237" i="1"/>
  <c r="R236" i="1"/>
  <c r="S236" i="1" s="1"/>
  <c r="Z235" i="1"/>
  <c r="Y235" i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R235" i="1"/>
  <c r="S235" i="1" s="1"/>
  <c r="I235" i="1"/>
  <c r="R234" i="1"/>
  <c r="S234" i="1" s="1"/>
  <c r="Y233" i="1"/>
  <c r="Y234" i="1" s="1"/>
  <c r="R233" i="1"/>
  <c r="S233" i="1" s="1"/>
  <c r="I233" i="1"/>
  <c r="H233" i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S232" i="1"/>
  <c r="R232" i="1"/>
  <c r="R231" i="1"/>
  <c r="S231" i="1" s="1"/>
  <c r="S230" i="1"/>
  <c r="R230" i="1"/>
  <c r="S229" i="1"/>
  <c r="R229" i="1"/>
  <c r="R228" i="1"/>
  <c r="S228" i="1" s="1"/>
  <c r="R227" i="1"/>
  <c r="S227" i="1" s="1"/>
  <c r="Y226" i="1"/>
  <c r="Y227" i="1" s="1"/>
  <c r="Y228" i="1" s="1"/>
  <c r="Y229" i="1" s="1"/>
  <c r="Y230" i="1" s="1"/>
  <c r="Y231" i="1" s="1"/>
  <c r="R226" i="1"/>
  <c r="S226" i="1" s="1"/>
  <c r="R225" i="1"/>
  <c r="S225" i="1" s="1"/>
  <c r="R224" i="1"/>
  <c r="S224" i="1" s="1"/>
  <c r="R223" i="1"/>
  <c r="S223" i="1" s="1"/>
  <c r="R222" i="1"/>
  <c r="S222" i="1" s="1"/>
  <c r="R221" i="1"/>
  <c r="S221" i="1" s="1"/>
  <c r="R220" i="1"/>
  <c r="S220" i="1" s="1"/>
  <c r="R219" i="1"/>
  <c r="S219" i="1" s="1"/>
  <c r="R218" i="1"/>
  <c r="S218" i="1" s="1"/>
  <c r="S217" i="1"/>
  <c r="R217" i="1"/>
  <c r="S216" i="1"/>
  <c r="R216" i="1"/>
  <c r="I216" i="1"/>
  <c r="R215" i="1"/>
  <c r="S215" i="1" s="1"/>
  <c r="Z214" i="1"/>
  <c r="S214" i="1"/>
  <c r="R214" i="1"/>
  <c r="I214" i="1"/>
  <c r="Y213" i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Y225" i="1" s="1"/>
  <c r="R213" i="1"/>
  <c r="S213" i="1" s="1"/>
  <c r="H213" i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Y212" i="1"/>
  <c r="S212" i="1"/>
  <c r="R212" i="1"/>
  <c r="I212" i="1"/>
  <c r="H212" i="1"/>
  <c r="R211" i="1"/>
  <c r="S211" i="1" s="1"/>
  <c r="S210" i="1"/>
  <c r="Q210" i="1"/>
  <c r="R210" i="1" s="1"/>
  <c r="Q209" i="1"/>
  <c r="R209" i="1" s="1"/>
  <c r="S209" i="1" s="1"/>
  <c r="Q208" i="1"/>
  <c r="R208" i="1" s="1"/>
  <c r="S208" i="1" s="1"/>
  <c r="R207" i="1"/>
  <c r="S207" i="1" s="1"/>
  <c r="Q207" i="1"/>
  <c r="Q206" i="1"/>
  <c r="R206" i="1" s="1"/>
  <c r="S206" i="1" s="1"/>
  <c r="R205" i="1"/>
  <c r="S205" i="1" s="1"/>
  <c r="Q205" i="1"/>
  <c r="S204" i="1"/>
  <c r="Q204" i="1"/>
  <c r="R204" i="1" s="1"/>
  <c r="Q203" i="1"/>
  <c r="R203" i="1" s="1"/>
  <c r="S203" i="1" s="1"/>
  <c r="Q202" i="1"/>
  <c r="R202" i="1" s="1"/>
  <c r="S202" i="1" s="1"/>
  <c r="Q201" i="1"/>
  <c r="R201" i="1" s="1"/>
  <c r="S201" i="1" s="1"/>
  <c r="Q200" i="1"/>
  <c r="R200" i="1" s="1"/>
  <c r="S200" i="1" s="1"/>
  <c r="R199" i="1"/>
  <c r="S199" i="1" s="1"/>
  <c r="Q199" i="1"/>
  <c r="Q198" i="1"/>
  <c r="R198" i="1" s="1"/>
  <c r="S198" i="1" s="1"/>
  <c r="H198" i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R197" i="1"/>
  <c r="S197" i="1" s="1"/>
  <c r="Q197" i="1"/>
  <c r="Q196" i="1"/>
  <c r="R196" i="1" s="1"/>
  <c r="S196" i="1" s="1"/>
  <c r="R195" i="1"/>
  <c r="S195" i="1" s="1"/>
  <c r="Q195" i="1"/>
  <c r="Q194" i="1"/>
  <c r="R194" i="1" s="1"/>
  <c r="S194" i="1" s="1"/>
  <c r="Q193" i="1"/>
  <c r="R193" i="1" s="1"/>
  <c r="S193" i="1" s="1"/>
  <c r="Q192" i="1"/>
  <c r="R192" i="1" s="1"/>
  <c r="S192" i="1" s="1"/>
  <c r="R191" i="1"/>
  <c r="S191" i="1" s="1"/>
  <c r="Q191" i="1"/>
  <c r="Q190" i="1"/>
  <c r="R190" i="1" s="1"/>
  <c r="S190" i="1" s="1"/>
  <c r="S189" i="1"/>
  <c r="Q189" i="1"/>
  <c r="R189" i="1" s="1"/>
  <c r="Q188" i="1"/>
  <c r="R188" i="1" s="1"/>
  <c r="S188" i="1" s="1"/>
  <c r="Q187" i="1"/>
  <c r="R187" i="1" s="1"/>
  <c r="S187" i="1" s="1"/>
  <c r="R186" i="1"/>
  <c r="S186" i="1" s="1"/>
  <c r="Q186" i="1"/>
  <c r="Q185" i="1"/>
  <c r="R185" i="1" s="1"/>
  <c r="S185" i="1" s="1"/>
  <c r="R184" i="1"/>
  <c r="S184" i="1" s="1"/>
  <c r="Q184" i="1"/>
  <c r="Q183" i="1"/>
  <c r="R183" i="1" s="1"/>
  <c r="S183" i="1" s="1"/>
  <c r="Q182" i="1"/>
  <c r="R182" i="1" s="1"/>
  <c r="S182" i="1" s="1"/>
  <c r="S181" i="1"/>
  <c r="R181" i="1"/>
  <c r="Q181" i="1"/>
  <c r="Q180" i="1"/>
  <c r="R180" i="1" s="1"/>
  <c r="S180" i="1" s="1"/>
  <c r="S179" i="1"/>
  <c r="Q179" i="1"/>
  <c r="R179" i="1" s="1"/>
  <c r="Q178" i="1"/>
  <c r="R178" i="1" s="1"/>
  <c r="S178" i="1" s="1"/>
  <c r="R177" i="1"/>
  <c r="S177" i="1" s="1"/>
  <c r="Q177" i="1"/>
  <c r="Y176" i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Q176" i="1"/>
  <c r="R176" i="1" s="1"/>
  <c r="S176" i="1" s="1"/>
  <c r="I176" i="1"/>
  <c r="Q175" i="1"/>
  <c r="R175" i="1" s="1"/>
  <c r="S175" i="1" s="1"/>
  <c r="Z174" i="1"/>
  <c r="Y174" i="1"/>
  <c r="Y175" i="1" s="1"/>
  <c r="Q174" i="1"/>
  <c r="R174" i="1" s="1"/>
  <c r="S174" i="1" s="1"/>
  <c r="I174" i="1"/>
  <c r="Q173" i="1"/>
  <c r="R173" i="1" s="1"/>
  <c r="S173" i="1" s="1"/>
  <c r="Y172" i="1"/>
  <c r="Y173" i="1" s="1"/>
  <c r="Q172" i="1"/>
  <c r="R172" i="1" s="1"/>
  <c r="S172" i="1" s="1"/>
  <c r="I172" i="1"/>
  <c r="H172" i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Q171" i="1"/>
  <c r="R171" i="1" s="1"/>
  <c r="S171" i="1" s="1"/>
  <c r="R170" i="1"/>
  <c r="S170" i="1" s="1"/>
  <c r="S169" i="1"/>
  <c r="R169" i="1"/>
  <c r="S168" i="1"/>
  <c r="R168" i="1"/>
  <c r="S167" i="1"/>
  <c r="R167" i="1"/>
  <c r="R166" i="1"/>
  <c r="S166" i="1" s="1"/>
  <c r="S165" i="1"/>
  <c r="R165" i="1"/>
  <c r="S164" i="1"/>
  <c r="R164" i="1"/>
  <c r="S163" i="1"/>
  <c r="R163" i="1"/>
  <c r="R162" i="1"/>
  <c r="S162" i="1" s="1"/>
  <c r="H162" i="1"/>
  <c r="H163" i="1" s="1"/>
  <c r="H164" i="1" s="1"/>
  <c r="H165" i="1" s="1"/>
  <c r="H166" i="1" s="1"/>
  <c r="H167" i="1" s="1"/>
  <c r="H168" i="1" s="1"/>
  <c r="H169" i="1" s="1"/>
  <c r="H170" i="1" s="1"/>
  <c r="G162" i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S161" i="1"/>
  <c r="R161" i="1"/>
  <c r="S160" i="1"/>
  <c r="R160" i="1"/>
  <c r="S159" i="1"/>
  <c r="R159" i="1"/>
  <c r="S158" i="1"/>
  <c r="R158" i="1"/>
  <c r="R157" i="1"/>
  <c r="S157" i="1" s="1"/>
  <c r="S156" i="1"/>
  <c r="R156" i="1"/>
  <c r="S155" i="1"/>
  <c r="R155" i="1"/>
  <c r="S154" i="1"/>
  <c r="R154" i="1"/>
  <c r="R153" i="1"/>
  <c r="S153" i="1" s="1"/>
  <c r="S152" i="1"/>
  <c r="R152" i="1"/>
  <c r="R151" i="1"/>
  <c r="S151" i="1" s="1"/>
  <c r="R150" i="1"/>
  <c r="S150" i="1" s="1"/>
  <c r="R149" i="1"/>
  <c r="S149" i="1" s="1"/>
  <c r="S148" i="1"/>
  <c r="R148" i="1"/>
  <c r="S147" i="1"/>
  <c r="R147" i="1"/>
  <c r="S146" i="1"/>
  <c r="R146" i="1"/>
  <c r="R145" i="1"/>
  <c r="S145" i="1" s="1"/>
  <c r="S144" i="1"/>
  <c r="R144" i="1"/>
  <c r="R143" i="1"/>
  <c r="S143" i="1" s="1"/>
  <c r="G143" i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R142" i="1"/>
  <c r="S142" i="1" s="1"/>
  <c r="R141" i="1"/>
  <c r="S141" i="1" s="1"/>
  <c r="S140" i="1"/>
  <c r="R140" i="1"/>
  <c r="R139" i="1"/>
  <c r="S139" i="1" s="1"/>
  <c r="S138" i="1"/>
  <c r="R138" i="1"/>
  <c r="R137" i="1"/>
  <c r="S137" i="1" s="1"/>
  <c r="S136" i="1"/>
  <c r="R136" i="1"/>
  <c r="R135" i="1"/>
  <c r="S135" i="1" s="1"/>
  <c r="S134" i="1"/>
  <c r="R134" i="1"/>
  <c r="S133" i="1"/>
  <c r="R133" i="1"/>
  <c r="S132" i="1"/>
  <c r="R132" i="1"/>
  <c r="R131" i="1"/>
  <c r="S131" i="1" s="1"/>
  <c r="H131" i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G131" i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R130" i="1"/>
  <c r="S130" i="1" s="1"/>
  <c r="G130" i="1"/>
  <c r="R129" i="1"/>
  <c r="S129" i="1" s="1"/>
  <c r="H129" i="1"/>
  <c r="H130" i="1" s="1"/>
  <c r="G129" i="1"/>
  <c r="Y128" i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R128" i="1"/>
  <c r="S128" i="1" s="1"/>
  <c r="R127" i="1"/>
  <c r="S127" i="1" s="1"/>
  <c r="R126" i="1"/>
  <c r="S126" i="1" s="1"/>
  <c r="R125" i="1"/>
  <c r="S125" i="1" s="1"/>
  <c r="S124" i="1"/>
  <c r="R124" i="1"/>
  <c r="R123" i="1"/>
  <c r="S123" i="1" s="1"/>
  <c r="S122" i="1"/>
  <c r="R122" i="1"/>
  <c r="I122" i="1"/>
  <c r="R121" i="1"/>
  <c r="S121" i="1" s="1"/>
  <c r="Z120" i="1"/>
  <c r="R120" i="1"/>
  <c r="S120" i="1" s="1"/>
  <c r="I120" i="1"/>
  <c r="H120" i="1"/>
  <c r="H121" i="1" s="1"/>
  <c r="H122" i="1" s="1"/>
  <c r="H123" i="1" s="1"/>
  <c r="H124" i="1" s="1"/>
  <c r="H125" i="1" s="1"/>
  <c r="H126" i="1" s="1"/>
  <c r="R119" i="1"/>
  <c r="S119" i="1" s="1"/>
  <c r="Y118" i="1"/>
  <c r="Y119" i="1" s="1"/>
  <c r="Y120" i="1" s="1"/>
  <c r="Y121" i="1" s="1"/>
  <c r="Y122" i="1" s="1"/>
  <c r="Y123" i="1" s="1"/>
  <c r="Y124" i="1" s="1"/>
  <c r="Y125" i="1" s="1"/>
  <c r="Y126" i="1" s="1"/>
  <c r="Y127" i="1" s="1"/>
  <c r="R118" i="1"/>
  <c r="S118" i="1" s="1"/>
  <c r="I118" i="1"/>
  <c r="Y117" i="1"/>
  <c r="R117" i="1"/>
  <c r="S117" i="1" s="1"/>
  <c r="H117" i="1"/>
  <c r="H118" i="1" s="1"/>
  <c r="H119" i="1" s="1"/>
  <c r="Q116" i="1"/>
  <c r="R116" i="1" s="1"/>
  <c r="S116" i="1" s="1"/>
  <c r="R115" i="1"/>
  <c r="S115" i="1" s="1"/>
  <c r="Q115" i="1"/>
  <c r="Q114" i="1"/>
  <c r="R114" i="1" s="1"/>
  <c r="S114" i="1" s="1"/>
  <c r="R113" i="1"/>
  <c r="S113" i="1" s="1"/>
  <c r="Q113" i="1"/>
  <c r="S112" i="1"/>
  <c r="R112" i="1"/>
  <c r="Q112" i="1"/>
  <c r="Q111" i="1"/>
  <c r="R111" i="1" s="1"/>
  <c r="S111" i="1" s="1"/>
  <c r="Q110" i="1"/>
  <c r="R110" i="1" s="1"/>
  <c r="S110" i="1" s="1"/>
  <c r="R109" i="1"/>
  <c r="S109" i="1" s="1"/>
  <c r="Q109" i="1"/>
  <c r="Q108" i="1"/>
  <c r="R108" i="1" s="1"/>
  <c r="S108" i="1" s="1"/>
  <c r="R107" i="1"/>
  <c r="S107" i="1" s="1"/>
  <c r="Q107" i="1"/>
  <c r="Q106" i="1"/>
  <c r="R106" i="1" s="1"/>
  <c r="S106" i="1" s="1"/>
  <c r="R105" i="1"/>
  <c r="S105" i="1" s="1"/>
  <c r="Q105" i="1"/>
  <c r="S104" i="1"/>
  <c r="R104" i="1"/>
  <c r="Q104" i="1"/>
  <c r="Q103" i="1"/>
  <c r="R103" i="1" s="1"/>
  <c r="S103" i="1" s="1"/>
  <c r="Q102" i="1"/>
  <c r="R102" i="1" s="1"/>
  <c r="S102" i="1" s="1"/>
  <c r="R101" i="1"/>
  <c r="S101" i="1" s="1"/>
  <c r="Q101" i="1"/>
  <c r="Q100" i="1"/>
  <c r="R100" i="1" s="1"/>
  <c r="S100" i="1" s="1"/>
  <c r="R99" i="1"/>
  <c r="S99" i="1" s="1"/>
  <c r="Q99" i="1"/>
  <c r="Q98" i="1"/>
  <c r="R98" i="1" s="1"/>
  <c r="S98" i="1" s="1"/>
  <c r="R97" i="1"/>
  <c r="S97" i="1" s="1"/>
  <c r="Q97" i="1"/>
  <c r="Q96" i="1"/>
  <c r="R96" i="1" s="1"/>
  <c r="S96" i="1" s="1"/>
  <c r="Q95" i="1"/>
  <c r="R95" i="1" s="1"/>
  <c r="S95" i="1" s="1"/>
  <c r="Q94" i="1"/>
  <c r="R94" i="1" s="1"/>
  <c r="S94" i="1" s="1"/>
  <c r="Q93" i="1"/>
  <c r="R93" i="1" s="1"/>
  <c r="S93" i="1" s="1"/>
  <c r="Q92" i="1"/>
  <c r="R92" i="1" s="1"/>
  <c r="S92" i="1" s="1"/>
  <c r="R91" i="1"/>
  <c r="S91" i="1" s="1"/>
  <c r="Q91" i="1"/>
  <c r="Q90" i="1"/>
  <c r="R90" i="1" s="1"/>
  <c r="S90" i="1" s="1"/>
  <c r="R89" i="1"/>
  <c r="S89" i="1" s="1"/>
  <c r="Q89" i="1"/>
  <c r="Q88" i="1"/>
  <c r="R88" i="1" s="1"/>
  <c r="S88" i="1" s="1"/>
  <c r="Q87" i="1"/>
  <c r="R87" i="1" s="1"/>
  <c r="S87" i="1" s="1"/>
  <c r="Q86" i="1"/>
  <c r="R86" i="1" s="1"/>
  <c r="S86" i="1" s="1"/>
  <c r="Q85" i="1"/>
  <c r="R85" i="1" s="1"/>
  <c r="S85" i="1" s="1"/>
  <c r="Q84" i="1"/>
  <c r="R84" i="1" s="1"/>
  <c r="S84" i="1" s="1"/>
  <c r="R83" i="1"/>
  <c r="S83" i="1" s="1"/>
  <c r="Q83" i="1"/>
  <c r="O83" i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Q82" i="1"/>
  <c r="R82" i="1" s="1"/>
  <c r="S82" i="1" s="1"/>
  <c r="R81" i="1"/>
  <c r="S81" i="1" s="1"/>
  <c r="Q81" i="1"/>
  <c r="Q80" i="1"/>
  <c r="R80" i="1" s="1"/>
  <c r="S80" i="1" s="1"/>
  <c r="Q79" i="1"/>
  <c r="R79" i="1" s="1"/>
  <c r="S79" i="1" s="1"/>
  <c r="Q78" i="1"/>
  <c r="R78" i="1" s="1"/>
  <c r="S78" i="1" s="1"/>
  <c r="Q77" i="1"/>
  <c r="R77" i="1" s="1"/>
  <c r="S77" i="1" s="1"/>
  <c r="Q76" i="1"/>
  <c r="R76" i="1" s="1"/>
  <c r="S76" i="1" s="1"/>
  <c r="R75" i="1"/>
  <c r="S75" i="1" s="1"/>
  <c r="Q75" i="1"/>
  <c r="O75" i="1"/>
  <c r="O76" i="1" s="1"/>
  <c r="O77" i="1" s="1"/>
  <c r="O78" i="1" s="1"/>
  <c r="O79" i="1" s="1"/>
  <c r="O80" i="1" s="1"/>
  <c r="O81" i="1" s="1"/>
  <c r="O82" i="1" s="1"/>
  <c r="Q74" i="1"/>
  <c r="R74" i="1" s="1"/>
  <c r="S74" i="1" s="1"/>
  <c r="R73" i="1"/>
  <c r="S73" i="1" s="1"/>
  <c r="Q73" i="1"/>
  <c r="Q72" i="1"/>
  <c r="R72" i="1" s="1"/>
  <c r="S72" i="1" s="1"/>
  <c r="Q71" i="1"/>
  <c r="R71" i="1" s="1"/>
  <c r="S71" i="1" s="1"/>
  <c r="R70" i="1"/>
  <c r="S70" i="1" s="1"/>
  <c r="Q70" i="1"/>
  <c r="Q69" i="1"/>
  <c r="R69" i="1" s="1"/>
  <c r="S69" i="1" s="1"/>
  <c r="O69" i="1"/>
  <c r="O70" i="1" s="1"/>
  <c r="O71" i="1" s="1"/>
  <c r="O72" i="1" s="1"/>
  <c r="O73" i="1" s="1"/>
  <c r="O74" i="1" s="1"/>
  <c r="Q68" i="1"/>
  <c r="R68" i="1" s="1"/>
  <c r="S68" i="1" s="1"/>
  <c r="O68" i="1"/>
  <c r="Q67" i="1"/>
  <c r="R67" i="1" s="1"/>
  <c r="S67" i="1" s="1"/>
  <c r="Q66" i="1"/>
  <c r="R66" i="1" s="1"/>
  <c r="S66" i="1" s="1"/>
  <c r="Q65" i="1"/>
  <c r="R65" i="1" s="1"/>
  <c r="S65" i="1" s="1"/>
  <c r="Q64" i="1"/>
  <c r="R64" i="1" s="1"/>
  <c r="S64" i="1" s="1"/>
  <c r="Q63" i="1"/>
  <c r="R63" i="1" s="1"/>
  <c r="S63" i="1" s="1"/>
  <c r="Q62" i="1"/>
  <c r="R62" i="1" s="1"/>
  <c r="S62" i="1" s="1"/>
  <c r="Q61" i="1"/>
  <c r="R61" i="1" s="1"/>
  <c r="S61" i="1" s="1"/>
  <c r="Q60" i="1"/>
  <c r="R60" i="1" s="1"/>
  <c r="S60" i="1" s="1"/>
  <c r="Q59" i="1"/>
  <c r="R59" i="1" s="1"/>
  <c r="S59" i="1" s="1"/>
  <c r="Q58" i="1"/>
  <c r="R58" i="1" s="1"/>
  <c r="S58" i="1" s="1"/>
  <c r="Q57" i="1"/>
  <c r="R57" i="1" s="1"/>
  <c r="S57" i="1" s="1"/>
  <c r="Q56" i="1"/>
  <c r="R56" i="1" s="1"/>
  <c r="S56" i="1" s="1"/>
  <c r="Q55" i="1"/>
  <c r="R55" i="1" s="1"/>
  <c r="S55" i="1" s="1"/>
  <c r="Q54" i="1"/>
  <c r="R54" i="1" s="1"/>
  <c r="S54" i="1" s="1"/>
  <c r="Q53" i="1"/>
  <c r="R53" i="1" s="1"/>
  <c r="S53" i="1" s="1"/>
  <c r="R52" i="1"/>
  <c r="S52" i="1" s="1"/>
  <c r="Q52" i="1"/>
  <c r="Q51" i="1"/>
  <c r="R51" i="1" s="1"/>
  <c r="S51" i="1" s="1"/>
  <c r="Q50" i="1"/>
  <c r="R50" i="1" s="1"/>
  <c r="S50" i="1" s="1"/>
  <c r="R49" i="1"/>
  <c r="S49" i="1" s="1"/>
  <c r="Q49" i="1"/>
  <c r="Q48" i="1"/>
  <c r="R48" i="1" s="1"/>
  <c r="S48" i="1" s="1"/>
  <c r="R47" i="1"/>
  <c r="S47" i="1" s="1"/>
  <c r="Q47" i="1"/>
  <c r="S46" i="1"/>
  <c r="R46" i="1"/>
  <c r="Q46" i="1"/>
  <c r="Q45" i="1"/>
  <c r="R45" i="1" s="1"/>
  <c r="S45" i="1" s="1"/>
  <c r="R44" i="1"/>
  <c r="S44" i="1" s="1"/>
  <c r="Q44" i="1"/>
  <c r="Q43" i="1"/>
  <c r="R43" i="1" s="1"/>
  <c r="S43" i="1" s="1"/>
  <c r="Q42" i="1"/>
  <c r="R42" i="1" s="1"/>
  <c r="S42" i="1" s="1"/>
  <c r="R41" i="1"/>
  <c r="S41" i="1" s="1"/>
  <c r="Q41" i="1"/>
  <c r="Q40" i="1"/>
  <c r="R40" i="1" s="1"/>
  <c r="S40" i="1" s="1"/>
  <c r="R39" i="1"/>
  <c r="S39" i="1" s="1"/>
  <c r="Q39" i="1"/>
  <c r="S38" i="1"/>
  <c r="R38" i="1"/>
  <c r="Q38" i="1"/>
  <c r="Q37" i="1"/>
  <c r="R37" i="1" s="1"/>
  <c r="S37" i="1" s="1"/>
  <c r="R36" i="1"/>
  <c r="S36" i="1" s="1"/>
  <c r="Q36" i="1"/>
  <c r="Q35" i="1"/>
  <c r="R35" i="1" s="1"/>
  <c r="S35" i="1" s="1"/>
  <c r="Q34" i="1"/>
  <c r="R34" i="1" s="1"/>
  <c r="S34" i="1" s="1"/>
  <c r="R33" i="1"/>
  <c r="S33" i="1" s="1"/>
  <c r="Q33" i="1"/>
  <c r="O33" i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S32" i="1"/>
  <c r="Q32" i="1"/>
  <c r="R32" i="1" s="1"/>
  <c r="Q31" i="1"/>
  <c r="R31" i="1" s="1"/>
  <c r="S31" i="1" s="1"/>
  <c r="Q30" i="1"/>
  <c r="R30" i="1" s="1"/>
  <c r="S30" i="1" s="1"/>
  <c r="S29" i="1"/>
  <c r="Q29" i="1"/>
  <c r="R29" i="1" s="1"/>
  <c r="S28" i="1"/>
  <c r="Q28" i="1"/>
  <c r="R28" i="1" s="1"/>
  <c r="R27" i="1"/>
  <c r="S27" i="1" s="1"/>
  <c r="Q27" i="1"/>
  <c r="Q26" i="1"/>
  <c r="R26" i="1" s="1"/>
  <c r="S26" i="1" s="1"/>
  <c r="Q25" i="1"/>
  <c r="R25" i="1" s="1"/>
  <c r="S25" i="1" s="1"/>
  <c r="R24" i="1"/>
  <c r="S24" i="1" s="1"/>
  <c r="Q24" i="1"/>
  <c r="Q23" i="1"/>
  <c r="R23" i="1" s="1"/>
  <c r="S23" i="1" s="1"/>
  <c r="T23" i="1" s="1"/>
  <c r="T24" i="1" s="1"/>
  <c r="O23" i="1"/>
  <c r="O24" i="1" s="1"/>
  <c r="O25" i="1" s="1"/>
  <c r="O26" i="1" s="1"/>
  <c r="O27" i="1" s="1"/>
  <c r="O28" i="1" s="1"/>
  <c r="Q22" i="1"/>
  <c r="R22" i="1" s="1"/>
  <c r="S22" i="1" s="1"/>
  <c r="R21" i="1"/>
  <c r="S21" i="1" s="1"/>
  <c r="Q21" i="1"/>
  <c r="Q20" i="1"/>
  <c r="R20" i="1" s="1"/>
  <c r="S20" i="1" s="1"/>
  <c r="Q19" i="1"/>
  <c r="R19" i="1" s="1"/>
  <c r="S19" i="1" s="1"/>
  <c r="R18" i="1"/>
  <c r="S18" i="1" s="1"/>
  <c r="Q18" i="1"/>
  <c r="R17" i="1"/>
  <c r="S17" i="1" s="1"/>
  <c r="Q17" i="1"/>
  <c r="Q16" i="1"/>
  <c r="R16" i="1" s="1"/>
  <c r="S16" i="1" s="1"/>
  <c r="Q15" i="1"/>
  <c r="R15" i="1" s="1"/>
  <c r="S15" i="1" s="1"/>
  <c r="R14" i="1"/>
  <c r="S14" i="1" s="1"/>
  <c r="Q14" i="1"/>
  <c r="Q13" i="1"/>
  <c r="R13" i="1" s="1"/>
  <c r="S13" i="1" s="1"/>
  <c r="R12" i="1"/>
  <c r="S12" i="1" s="1"/>
  <c r="K12" i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R11" i="1"/>
  <c r="S11" i="1" s="1"/>
  <c r="I11" i="1"/>
  <c r="S10" i="1"/>
  <c r="R10" i="1"/>
  <c r="Z9" i="1"/>
  <c r="R9" i="1"/>
  <c r="S9" i="1" s="1"/>
  <c r="I9" i="1"/>
  <c r="R8" i="1"/>
  <c r="S8" i="1" s="1"/>
  <c r="T8" i="1" s="1"/>
  <c r="R7" i="1"/>
  <c r="S7" i="1" s="1"/>
  <c r="K7" i="1"/>
  <c r="K8" i="1" s="1"/>
  <c r="K9" i="1" s="1"/>
  <c r="K10" i="1" s="1"/>
  <c r="K11" i="1" s="1"/>
  <c r="I7" i="1"/>
  <c r="X6" i="1"/>
  <c r="X7" i="1" s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R6" i="1"/>
  <c r="S6" i="1" s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K6" i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U183" i="2" l="1"/>
  <c r="T211" i="2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W116" i="1"/>
  <c r="X117" i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T25" i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289" i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232" i="2" l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U281" i="1"/>
  <c r="T118" i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U17" i="1"/>
  <c r="U15" i="1"/>
  <c r="U244" i="2" l="1"/>
  <c r="T252" i="2"/>
  <c r="U126" i="1"/>
  <c r="U178" i="1"/>
  <c r="U182" i="1"/>
  <c r="T172" i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U124" i="1"/>
  <c r="U128" i="1"/>
  <c r="U264" i="2" l="1"/>
  <c r="U218" i="1"/>
  <c r="T212" i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U180" i="1"/>
  <c r="U220" i="1" l="1"/>
  <c r="T233" i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U241" i="1" l="1"/>
  <c r="U243" i="1"/>
  <c r="U239" i="1"/>
  <c r="T253" i="1"/>
  <c r="T254" i="1" s="1"/>
  <c r="T255" i="1" s="1"/>
  <c r="T256" i="1" s="1"/>
  <c r="T257" i="1" s="1"/>
  <c r="T258" i="1" s="1"/>
  <c r="U261" i="1" l="1"/>
  <c r="U263" i="1"/>
</calcChain>
</file>

<file path=xl/sharedStrings.xml><?xml version="1.0" encoding="utf-8"?>
<sst xmlns="http://schemas.openxmlformats.org/spreadsheetml/2006/main" count="314" uniqueCount="62">
  <si>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</si>
  <si>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</si>
  <si>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</si>
  <si>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</si>
  <si>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</si>
  <si>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</si>
  <si>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</si>
  <si>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</si>
  <si>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</si>
  <si>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</si>
  <si>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</si>
  <si>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</t>
  </si>
  <si>
    <t>Cumul_P</t>
  </si>
  <si>
    <t>ETP_Q</t>
  </si>
  <si>
    <t>Cumul 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</si>
  <si>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</si>
  <si>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</si>
  <si>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</si>
  <si>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</si>
  <si>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</si>
  <si>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</si>
  <si>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</si>
  <si>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</si>
  <si>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</si>
  <si>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 RG</t>
  </si>
  <si>
    <t>Photopériode</t>
  </si>
  <si>
    <t>SEMIS BGA15</t>
  </si>
  <si>
    <t>AUTOMNE</t>
  </si>
  <si>
    <t>nbj_sec</t>
  </si>
  <si>
    <t>qpt_p</t>
  </si>
  <si>
    <t>water_soil_content_min</t>
  </si>
  <si>
    <t>water_soil_content_max</t>
  </si>
  <si>
    <t>water_soil_content_moy</t>
  </si>
  <si>
    <t>gdd_p</t>
  </si>
  <si>
    <t>HIVER</t>
  </si>
  <si>
    <t>MONTAISON</t>
  </si>
  <si>
    <t>C1</t>
  </si>
  <si>
    <t>Montego</t>
  </si>
  <si>
    <t>Aviso</t>
  </si>
  <si>
    <t>Fin FLO</t>
  </si>
  <si>
    <t>RECOLTE BGA15</t>
  </si>
  <si>
    <t>TMIN</t>
  </si>
  <si>
    <t>TMAX</t>
  </si>
  <si>
    <t>TMN</t>
  </si>
  <si>
    <t>FR</t>
  </si>
  <si>
    <t>HT</t>
  </si>
  <si>
    <t>LT</t>
  </si>
  <si>
    <t>LGDD</t>
  </si>
  <si>
    <t>WD</t>
  </si>
  <si>
    <t>WS</t>
  </si>
  <si>
    <t>WSC_MN</t>
  </si>
  <si>
    <t>SSR</t>
  </si>
  <si>
    <t>LSR</t>
  </si>
  <si>
    <t>VERN</t>
  </si>
  <si>
    <t>QPT</t>
  </si>
  <si>
    <t>IRF</t>
  </si>
  <si>
    <t>TS</t>
  </si>
  <si>
    <t>DRF</t>
  </si>
  <si>
    <t>BI</t>
  </si>
  <si>
    <t>WSC_I</t>
  </si>
  <si>
    <t>N52</t>
  </si>
  <si>
    <t>N122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</si>
</sst>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u/>
      <sz val="11"/>
      <color rgb="FFFFC000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0070C0"/>
        <bgColor indexed="64"/>
      </patternFill>
    </fill>
    <fill>
      <patternFill patternType="lightGray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Fill="1" applyAlignme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1" fillId="0" borderId="0" xfId="0" applyFont="1" applyFill="1" applyAlignment="1">
      <alignment horizontal="center" vertical="center"/>
    </xf>
    <xf numFmtId="14" fontId="0" fillId="0" borderId="0" xfId="0" applyNumberFormat="1"/>
    <xf numFmtId="0" fontId="1" fillId="3" borderId="0" xfId="0" applyFont="1" applyFill="1"/>
    <xf numFmtId="164" fontId="0" fillId="0" borderId="0" xfId="0" applyNumberFormat="1" applyBorder="1"/>
    <xf numFmtId="0" fontId="0" fillId="0" borderId="0" xfId="0" applyFill="1" applyBorder="1"/>
    <xf numFmtId="0" fontId="3" fillId="0" borderId="0" xfId="0" applyFont="1"/>
    <xf numFmtId="164" fontId="0" fillId="0" borderId="2" xfId="0" applyNumberFormat="1" applyBorder="1"/>
    <xf numFmtId="2" fontId="0" fillId="0" borderId="0" xfId="0" applyNumberFormat="1"/>
    <xf numFmtId="164" fontId="0" fillId="0" borderId="0" xfId="0" applyNumberFormat="1"/>
    <xf numFmtId="0" fontId="0" fillId="4" borderId="0" xfId="0" applyFill="1"/>
    <xf numFmtId="0" fontId="1" fillId="7" borderId="0" xfId="0" applyFont="1" applyFill="1" applyAlignment="1">
      <alignment horizontal="center" vertical="center"/>
    </xf>
    <xf numFmtId="0" fontId="1" fillId="6" borderId="0" xfId="0" applyFont="1" applyFill="1"/>
    <xf numFmtId="0" fontId="1" fillId="8" borderId="0" xfId="0" applyFont="1" applyFill="1"/>
    <xf numFmtId="2" fontId="0" fillId="0" borderId="0" xfId="0" applyNumberFormat="1" applyBorder="1"/>
    <xf numFmtId="0" fontId="4" fillId="0" borderId="0" xfId="0" applyFont="1" applyFill="1" applyAlignment="1">
      <alignment horizontal="center" vertical="center"/>
    </xf>
    <xf numFmtId="14" fontId="4" fillId="0" borderId="0" xfId="0" applyNumberFormat="1" applyFont="1"/>
    <xf numFmtId="0" fontId="4" fillId="0" borderId="0" xfId="0" applyFont="1"/>
    <xf numFmtId="0" fontId="4" fillId="0" borderId="1" xfId="0" applyFont="1" applyBorder="1"/>
    <xf numFmtId="164" fontId="4" fillId="0" borderId="0" xfId="0" applyNumberFormat="1" applyFont="1" applyBorder="1"/>
    <xf numFmtId="0" fontId="1" fillId="0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9" borderId="0" xfId="0" applyFont="1" applyFill="1"/>
    <xf numFmtId="0" fontId="1" fillId="10" borderId="0" xfId="0" applyFont="1" applyFill="1"/>
    <xf numFmtId="0" fontId="5" fillId="10" borderId="0" xfId="0" applyFont="1" applyFill="1"/>
    <xf numFmtId="0" fontId="4" fillId="0" borderId="0" xfId="0" applyFont="1" applyFill="1" applyAlignment="1">
      <alignment horizontal="center" vertical="center" wrapText="1"/>
    </xf>
    <xf numFmtId="0" fontId="4" fillId="10" borderId="0" xfId="0" applyFont="1" applyFill="1"/>
    <xf numFmtId="0" fontId="4" fillId="0" borderId="0" xfId="0" applyFont="1" applyBorder="1"/>
    <xf numFmtId="0" fontId="1" fillId="11" borderId="0" xfId="0" applyFont="1" applyFill="1"/>
    <xf numFmtId="2" fontId="4" fillId="0" borderId="0" xfId="0" applyNumberFormat="1" applyFont="1"/>
    <xf numFmtId="0" fontId="1" fillId="12" borderId="0" xfId="0" applyFont="1" applyFill="1"/>
    <xf numFmtId="0" fontId="5" fillId="12" borderId="0" xfId="0" applyFont="1" applyFill="1"/>
    <xf numFmtId="0" fontId="4" fillId="12" borderId="0" xfId="0" applyFont="1" applyFill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applyFill="1" applyAlignment="1">
      <alignment horizontal="center" vertical="center" wrapText="1"/>
    </xf>
    <xf numFmtId="164" fontId="4" fillId="0" borderId="2" xfId="0" applyNumberFormat="1" applyFont="1" applyBorder="1"/>
    <xf numFmtId="0" fontId="4" fillId="9" borderId="0" xfId="0" applyFont="1" applyFill="1" applyAlignment="1">
      <alignment horizontal="center" vertical="center" wrapText="1"/>
    </xf>
    <xf numFmtId="2" fontId="4" fillId="0" borderId="0" xfId="0" applyNumberFormat="1" applyFont="1" applyBorder="1"/>
    <xf numFmtId="0" fontId="4" fillId="0" borderId="0" xfId="0" applyFont="1" applyFill="1" applyAlignment="1"/>
    <xf numFmtId="164" fontId="4" fillId="0" borderId="0" xfId="0" applyNumberFormat="1" applyFont="1"/>
    <xf numFmtId="43" fontId="0" fillId="0" borderId="0" xfId="1" applyNumberFormat="1" applyFont="1"/>
    <xf numFmtId="0" fontId="1" fillId="0" borderId="3" xfId="0" applyFont="1" applyFill="1" applyBorder="1" applyAlignment="1">
      <alignment horizontal="center" vertical="center"/>
    </xf>
    <xf numFmtId="14" fontId="3" fillId="0" borderId="3" xfId="0" applyNumberFormat="1" applyFont="1" applyBorder="1"/>
    <xf numFmtId="0" fontId="3" fillId="0" borderId="3" xfId="0" applyFont="1" applyBorder="1"/>
    <xf numFmtId="0" fontId="3" fillId="5" borderId="3" xfId="0" applyFont="1" applyFill="1" applyBorder="1"/>
    <xf numFmtId="0" fontId="3" fillId="0" borderId="4" xfId="0" applyFont="1" applyBorder="1"/>
    <xf numFmtId="0" fontId="1" fillId="0" borderId="3" xfId="0" applyFont="1" applyBorder="1"/>
    <xf numFmtId="164" fontId="3" fillId="0" borderId="3" xfId="0" applyNumberFormat="1" applyFont="1" applyBorder="1"/>
    <xf numFmtId="164" fontId="1" fillId="0" borderId="5" xfId="0" applyNumberFormat="1" applyFont="1" applyBorder="1"/>
    <xf numFmtId="0" fontId="3" fillId="4" borderId="3" xfId="0" applyFont="1" applyFill="1" applyBorder="1"/>
    <xf numFmtId="0" fontId="3" fillId="0" borderId="3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 wrapText="1"/>
    </xf>
    <xf numFmtId="2" fontId="1" fillId="0" borderId="3" xfId="0" applyNumberFormat="1" applyFont="1" applyBorder="1"/>
    <xf numFmtId="164" fontId="3" fillId="0" borderId="5" xfId="0" applyNumberFormat="1" applyFont="1" applyBorder="1"/>
    <xf numFmtId="0" fontId="3" fillId="9" borderId="3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/>
    <xf numFmtId="2" fontId="3" fillId="0" borderId="3" xfId="0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2" borderId="0" xfId="0" applyFont="1" applyFill="1" applyAlignment="1">
      <alignment horizontal="center" vertical="center" textRotation="255"/>
    </xf>
    <xf numFmtId="0" fontId="6" fillId="1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textRotation="255"/>
    </xf>
    <xf numFmtId="0" fontId="1" fillId="6" borderId="0" xfId="0" applyFont="1" applyFill="1" applyAlignment="1">
      <alignment horizontal="center" vertical="center" textRotation="255"/>
    </xf>
    <xf numFmtId="0" fontId="1" fillId="8" borderId="0" xfId="0" applyFont="1" applyFill="1" applyAlignment="1">
      <alignment horizontal="center" vertical="center" textRotation="255"/>
    </xf>
    <xf numFmtId="0" fontId="1" fillId="10" borderId="0" xfId="0" applyFont="1" applyFill="1" applyAlignment="1">
      <alignment horizontal="center" vertical="center" textRotation="255"/>
    </xf>
    <xf numFmtId="0" fontId="1" fillId="11" borderId="0" xfId="0" applyFont="1" applyFill="1" applyAlignment="1">
      <alignment horizontal="center" vertical="center" textRotation="255"/>
    </xf>
    <xf numFmtId="0" fontId="1" fillId="14" borderId="0" xfId="0" applyFont="1" applyFill="1" applyAlignment="1">
      <alignment horizontal="center" vertical="center"/>
    </xf>
    <xf numFmtId="14" fontId="0" fillId="14" borderId="0" xfId="0" applyNumberFormat="1" applyFill="1"/>
    <xf numFmtId="0" fontId="0" fillId="14" borderId="0" xfId="0" applyFill="1"/>
    <xf numFmtId="0" fontId="0" fillId="14" borderId="1" xfId="0" applyFill="1" applyBorder="1"/>
    <xf numFmtId="2" fontId="0" fillId="14" borderId="0" xfId="0" applyNumberFormat="1" applyFill="1" applyBorder="1"/>
    <xf numFmtId="164" fontId="0" fillId="14" borderId="0" xfId="0" applyNumberFormat="1" applyFill="1" applyBorder="1"/>
    <xf numFmtId="164" fontId="0" fillId="14" borderId="2" xfId="0" applyNumberFormat="1" applyFill="1" applyBorder="1"/>
    <xf numFmtId="0" fontId="0" fillId="15" borderId="0" xfId="0" applyFill="1"/>
    <xf numFmtId="164" fontId="0" fillId="15" borderId="2" xfId="0" applyNumberFormat="1" applyFill="1" applyBorder="1"/>
    <xf numFmtId="0" fontId="1" fillId="0" borderId="0" xfId="0" applyFont="1"/>
  </cellXfs>
  <cellStyles count="2">
    <cellStyle name="Milliers" xfId="1" builtinId="3"/>
    <cellStyle name="Normal" xfId="0" builtinId="0"/>
  </cellStyles>
  <dxfs count="22"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05"/>
  <sheetViews>
    <sheetView tabSelected="1" topLeftCell="A160" zoomScale="70" zoomScaleNormal="70" workbookViewId="0">
      <selection activeCell="AB186" sqref="AB186"/>
    </sheetView>
  </sheetViews>
  <sheetFormatPr baseColWidth="10" defaultRowHeight="15" x14ac:dyDescent="0.25"/>
  <cols>
    <col min="21" max="21" width="17.140625" customWidth="1"/>
  </cols>
  <sheetData>
    <row r="1" spans="1:27" x14ac:dyDescent="0.25">
      <c r="B1" s="1"/>
      <c r="D1" s="67" t="s">
        <v>0</v>
      </c>
      <c r="E1" s="67"/>
      <c r="F1" s="67"/>
      <c r="G1" s="67"/>
      <c r="H1" s="67"/>
      <c r="I1" s="67"/>
      <c r="J1" s="67" t="s">
        <v>1</v>
      </c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 t="s">
        <v>2</v>
      </c>
      <c r="W1" s="66"/>
      <c r="X1" s="66"/>
      <c r="Y1" s="66"/>
      <c r="Z1" s="66"/>
    </row>
    <row r="2" spans="1:27" x14ac:dyDescent="0.25">
      <c r="B2" s="1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6"/>
      <c r="W2" s="66"/>
      <c r="X2" s="66"/>
      <c r="Y2" s="66"/>
      <c r="Z2" s="66"/>
    </row>
    <row r="3" spans="1:27" x14ac:dyDescent="0.25">
      <c r="B3" s="1"/>
      <c r="D3" s="2"/>
      <c r="E3" s="2"/>
      <c r="F3" s="2"/>
      <c r="G3" s="2"/>
      <c r="H3" s="2"/>
      <c r="I3" s="2"/>
      <c r="J3" s="67"/>
      <c r="K3" s="67"/>
      <c r="L3" s="67"/>
      <c r="M3" s="67"/>
      <c r="N3" s="67"/>
      <c r="O3" s="67"/>
      <c r="P3" s="68" t="s">
        <v>3</v>
      </c>
      <c r="Q3" s="69"/>
      <c r="R3" s="69"/>
      <c r="S3" s="69"/>
      <c r="T3" s="70"/>
      <c r="U3" s="2"/>
      <c r="V3" s="3"/>
      <c r="W3" s="3"/>
      <c r="X3" s="3"/>
      <c r="Y3" s="3"/>
      <c r="Z3" s="3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65" t="s">
        <v>9</v>
      </c>
      <c r="H4" s="65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s="4" t="s">
        <v>16</v>
      </c>
      <c r="P4" s="5" t="s">
        <v>17</v>
      </c>
      <c r="Q4" s="6" t="s">
        <v>18</v>
      </c>
      <c r="R4" s="6" t="s">
        <v>19</v>
      </c>
      <c r="S4" s="6" t="s">
        <v>20</v>
      </c>
      <c r="T4" s="7" t="s">
        <v>21</v>
      </c>
      <c r="U4" t="s">
        <v>10</v>
      </c>
      <c r="V4" t="s">
        <v>22</v>
      </c>
      <c r="W4" t="s">
        <v>23</v>
      </c>
      <c r="X4" s="66" t="s">
        <v>24</v>
      </c>
      <c r="Y4" s="66"/>
      <c r="Z4" t="s">
        <v>10</v>
      </c>
      <c r="AA4" t="s">
        <v>25</v>
      </c>
    </row>
    <row r="5" spans="1:27" x14ac:dyDescent="0.25">
      <c r="A5" s="73" t="s">
        <v>26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7" x14ac:dyDescent="0.25">
      <c r="A6" s="74" t="s">
        <v>27</v>
      </c>
      <c r="B6" s="8"/>
      <c r="C6" s="9">
        <v>41884</v>
      </c>
      <c r="D6">
        <v>19.7</v>
      </c>
      <c r="E6">
        <v>13.3</v>
      </c>
      <c r="F6">
        <v>24.9</v>
      </c>
      <c r="G6">
        <f>D6</f>
        <v>19.7</v>
      </c>
      <c r="I6" s="10" t="s">
        <v>41</v>
      </c>
      <c r="J6">
        <v>0</v>
      </c>
      <c r="K6">
        <f>J6</f>
        <v>0</v>
      </c>
      <c r="L6">
        <v>5</v>
      </c>
      <c r="M6">
        <f>L6</f>
        <v>5</v>
      </c>
      <c r="N6">
        <v>-5</v>
      </c>
      <c r="O6">
        <v>0</v>
      </c>
      <c r="P6" s="5">
        <v>1</v>
      </c>
      <c r="Q6" s="6">
        <v>0.35</v>
      </c>
      <c r="R6" s="11">
        <f>Q6*L6</f>
        <v>1.75</v>
      </c>
      <c r="S6" s="11">
        <f>J6-R6</f>
        <v>-1.75</v>
      </c>
      <c r="T6" s="7">
        <v>0</v>
      </c>
      <c r="U6" s="10" t="s">
        <v>28</v>
      </c>
      <c r="V6">
        <v>2383.6999999999998</v>
      </c>
      <c r="X6">
        <f>V6</f>
        <v>2383.6999999999998</v>
      </c>
      <c r="Z6" s="10" t="s">
        <v>51</v>
      </c>
      <c r="AA6">
        <v>13.2192025815938</v>
      </c>
    </row>
    <row r="7" spans="1:27" x14ac:dyDescent="0.25">
      <c r="A7" s="74"/>
      <c r="B7" s="8"/>
      <c r="C7" s="9">
        <v>41885</v>
      </c>
      <c r="D7">
        <v>19.8</v>
      </c>
      <c r="E7">
        <v>11.8</v>
      </c>
      <c r="F7">
        <v>25.5</v>
      </c>
      <c r="G7">
        <f>G6+D7</f>
        <v>39.5</v>
      </c>
      <c r="I7">
        <f>MIN(E6:E116)</f>
        <v>-0.1</v>
      </c>
      <c r="J7">
        <v>0</v>
      </c>
      <c r="K7">
        <f>K6+J7</f>
        <v>0</v>
      </c>
      <c r="L7">
        <v>4.9000000000000004</v>
      </c>
      <c r="M7">
        <f>M6+L7</f>
        <v>9.9</v>
      </c>
      <c r="N7">
        <v>-4.9000000000000004</v>
      </c>
      <c r="O7">
        <v>0</v>
      </c>
      <c r="P7" s="5">
        <v>2</v>
      </c>
      <c r="Q7" s="6">
        <v>0.35</v>
      </c>
      <c r="R7" s="11">
        <f t="shared" ref="R7:R70" si="0">Q7*L7</f>
        <v>1.7150000000000001</v>
      </c>
      <c r="S7" s="11">
        <f t="shared" ref="S7:S70" si="1">J7-R7</f>
        <v>-1.7150000000000001</v>
      </c>
      <c r="T7" s="7">
        <v>0</v>
      </c>
      <c r="U7" s="12">
        <v>84</v>
      </c>
      <c r="V7">
        <v>2412.6</v>
      </c>
      <c r="X7">
        <f>X6+V7</f>
        <v>4796.2999999999993</v>
      </c>
      <c r="Z7" s="13">
        <v>102739.1</v>
      </c>
      <c r="AA7">
        <v>13.1710016789782</v>
      </c>
    </row>
    <row r="8" spans="1:27" x14ac:dyDescent="0.25">
      <c r="A8" s="74"/>
      <c r="B8" s="8"/>
      <c r="C8" s="9">
        <v>41886</v>
      </c>
      <c r="D8">
        <v>20.100000000000001</v>
      </c>
      <c r="E8">
        <v>13.3</v>
      </c>
      <c r="F8">
        <v>26.2</v>
      </c>
      <c r="G8">
        <f t="shared" ref="G8:G71" si="2">G7+D8</f>
        <v>59.6</v>
      </c>
      <c r="I8" s="10" t="s">
        <v>42</v>
      </c>
      <c r="J8">
        <v>1.5</v>
      </c>
      <c r="K8">
        <f t="shared" ref="K8:K71" si="3">K7+J8</f>
        <v>1.5</v>
      </c>
      <c r="L8">
        <v>3.5</v>
      </c>
      <c r="M8">
        <f t="shared" ref="M8:M71" si="4">M7+L8</f>
        <v>13.4</v>
      </c>
      <c r="N8">
        <v>-2</v>
      </c>
      <c r="O8">
        <v>0</v>
      </c>
      <c r="P8" s="5">
        <v>3</v>
      </c>
      <c r="Q8" s="6">
        <v>0.35</v>
      </c>
      <c r="R8" s="11">
        <f t="shared" si="0"/>
        <v>1.2249999999999999</v>
      </c>
      <c r="S8" s="11">
        <f t="shared" si="1"/>
        <v>0.27500000000000013</v>
      </c>
      <c r="T8" s="14">
        <f>MIN(122.1,(T7+S8))</f>
        <v>0.27500000000000013</v>
      </c>
      <c r="U8" s="10" t="s">
        <v>48</v>
      </c>
      <c r="V8">
        <v>1777.1</v>
      </c>
      <c r="X8">
        <f t="shared" ref="X8:X71" si="5">X7+V8</f>
        <v>6573.4</v>
      </c>
      <c r="Z8" s="10" t="s">
        <v>29</v>
      </c>
      <c r="AA8">
        <v>13.1226597233241</v>
      </c>
    </row>
    <row r="9" spans="1:27" x14ac:dyDescent="0.25">
      <c r="A9" s="74"/>
      <c r="B9" s="8"/>
      <c r="C9" s="9">
        <v>41887</v>
      </c>
      <c r="D9">
        <v>21.6</v>
      </c>
      <c r="E9">
        <v>18.3</v>
      </c>
      <c r="F9">
        <v>25.2</v>
      </c>
      <c r="G9">
        <f t="shared" si="2"/>
        <v>81.2</v>
      </c>
      <c r="I9">
        <f>MAX(F6:F116)</f>
        <v>29.6</v>
      </c>
      <c r="J9">
        <v>0</v>
      </c>
      <c r="K9">
        <f t="shared" si="3"/>
        <v>1.5</v>
      </c>
      <c r="L9">
        <v>4</v>
      </c>
      <c r="M9">
        <f t="shared" si="4"/>
        <v>17.399999999999999</v>
      </c>
      <c r="N9">
        <v>-4</v>
      </c>
      <c r="O9">
        <v>0</v>
      </c>
      <c r="P9" s="5">
        <v>4</v>
      </c>
      <c r="Q9" s="6">
        <v>0.35</v>
      </c>
      <c r="R9" s="11">
        <f t="shared" si="0"/>
        <v>1.4</v>
      </c>
      <c r="S9" s="11">
        <f t="shared" si="1"/>
        <v>-1.4</v>
      </c>
      <c r="T9" s="14">
        <v>0</v>
      </c>
      <c r="U9">
        <v>16</v>
      </c>
      <c r="V9">
        <v>1890.4</v>
      </c>
      <c r="X9">
        <f t="shared" si="5"/>
        <v>8463.7999999999993</v>
      </c>
      <c r="Z9" s="15">
        <f>(Z7/100)/I19</f>
        <v>0.61653324531925113</v>
      </c>
      <c r="AA9">
        <v>13.0741843703721</v>
      </c>
    </row>
    <row r="10" spans="1:27" x14ac:dyDescent="0.25">
      <c r="A10" s="74"/>
      <c r="B10" s="8"/>
      <c r="C10" s="9">
        <v>41888</v>
      </c>
      <c r="D10">
        <v>21.2</v>
      </c>
      <c r="E10">
        <v>14.8</v>
      </c>
      <c r="F10">
        <v>25.9</v>
      </c>
      <c r="G10">
        <f t="shared" si="2"/>
        <v>102.4</v>
      </c>
      <c r="I10" s="10" t="s">
        <v>43</v>
      </c>
      <c r="J10">
        <v>0.1</v>
      </c>
      <c r="K10">
        <f t="shared" si="3"/>
        <v>1.6</v>
      </c>
      <c r="L10">
        <v>2.8</v>
      </c>
      <c r="M10">
        <f t="shared" si="4"/>
        <v>20.2</v>
      </c>
      <c r="N10">
        <v>-2.6999999999999997</v>
      </c>
      <c r="O10">
        <v>0</v>
      </c>
      <c r="P10" s="5">
        <v>5</v>
      </c>
      <c r="Q10" s="6">
        <v>0.35</v>
      </c>
      <c r="R10" s="11">
        <f t="shared" si="0"/>
        <v>0.97999999999999987</v>
      </c>
      <c r="S10" s="11">
        <f t="shared" si="1"/>
        <v>-0.87999999999999989</v>
      </c>
      <c r="T10" s="14">
        <v>0</v>
      </c>
      <c r="U10" s="10" t="s">
        <v>49</v>
      </c>
      <c r="V10">
        <v>1488.7</v>
      </c>
      <c r="X10">
        <f t="shared" si="5"/>
        <v>9952.5</v>
      </c>
      <c r="Z10" s="10" t="s">
        <v>52</v>
      </c>
      <c r="AA10">
        <v>13.0255830444497</v>
      </c>
    </row>
    <row r="11" spans="1:27" x14ac:dyDescent="0.25">
      <c r="A11" s="74"/>
      <c r="B11" s="8"/>
      <c r="C11" s="9">
        <v>41889</v>
      </c>
      <c r="D11">
        <v>24.2</v>
      </c>
      <c r="E11">
        <v>17.3</v>
      </c>
      <c r="F11">
        <v>29.6</v>
      </c>
      <c r="G11">
        <f t="shared" si="2"/>
        <v>126.60000000000001</v>
      </c>
      <c r="I11" s="16">
        <f>AVERAGE(D6:D116)</f>
        <v>15.012612612612607</v>
      </c>
      <c r="J11">
        <v>0</v>
      </c>
      <c r="K11">
        <f t="shared" si="3"/>
        <v>1.6</v>
      </c>
      <c r="L11">
        <v>3.2</v>
      </c>
      <c r="M11">
        <f t="shared" si="4"/>
        <v>23.4</v>
      </c>
      <c r="N11">
        <v>-3.2</v>
      </c>
      <c r="O11">
        <v>0</v>
      </c>
      <c r="P11" s="5">
        <v>6</v>
      </c>
      <c r="Q11" s="6">
        <v>0.35</v>
      </c>
      <c r="R11" s="11">
        <f t="shared" si="0"/>
        <v>1.1199999999999999</v>
      </c>
      <c r="S11" s="11">
        <f t="shared" si="1"/>
        <v>-1.1199999999999999</v>
      </c>
      <c r="T11" s="14">
        <v>0</v>
      </c>
      <c r="U11">
        <v>65</v>
      </c>
      <c r="V11">
        <v>1468.2</v>
      </c>
      <c r="X11">
        <f t="shared" si="5"/>
        <v>11420.7</v>
      </c>
      <c r="Z11">
        <v>60</v>
      </c>
      <c r="AA11">
        <v>12.9768629502276</v>
      </c>
    </row>
    <row r="12" spans="1:27" x14ac:dyDescent="0.25">
      <c r="A12" s="74"/>
      <c r="B12" s="8"/>
      <c r="C12" s="9">
        <v>41890</v>
      </c>
      <c r="D12">
        <v>22.4</v>
      </c>
      <c r="E12">
        <v>18.8</v>
      </c>
      <c r="F12">
        <v>26.7</v>
      </c>
      <c r="G12">
        <f t="shared" si="2"/>
        <v>149</v>
      </c>
      <c r="I12" s="10" t="s">
        <v>44</v>
      </c>
      <c r="J12">
        <v>0</v>
      </c>
      <c r="K12">
        <f t="shared" si="3"/>
        <v>1.6</v>
      </c>
      <c r="L12">
        <v>2.4</v>
      </c>
      <c r="M12">
        <f t="shared" si="4"/>
        <v>25.799999999999997</v>
      </c>
      <c r="N12">
        <v>-2.4</v>
      </c>
      <c r="O12">
        <v>0</v>
      </c>
      <c r="P12" s="5">
        <v>7</v>
      </c>
      <c r="Q12" s="6">
        <v>0.35</v>
      </c>
      <c r="R12" s="11">
        <f t="shared" si="0"/>
        <v>0.84</v>
      </c>
      <c r="S12" s="11">
        <f t="shared" si="1"/>
        <v>-0.84</v>
      </c>
      <c r="T12" s="14">
        <v>0</v>
      </c>
      <c r="U12" s="10" t="s">
        <v>30</v>
      </c>
      <c r="V12">
        <v>881.9</v>
      </c>
      <c r="X12">
        <f t="shared" si="5"/>
        <v>12302.6</v>
      </c>
      <c r="AA12">
        <v>12.9280310846554</v>
      </c>
    </row>
    <row r="13" spans="1:27" x14ac:dyDescent="0.25">
      <c r="A13" s="74"/>
      <c r="B13" s="8"/>
      <c r="C13" s="9">
        <v>41891</v>
      </c>
      <c r="D13">
        <v>22.5</v>
      </c>
      <c r="E13">
        <v>17.100000000000001</v>
      </c>
      <c r="F13">
        <v>27.4</v>
      </c>
      <c r="G13">
        <f t="shared" si="2"/>
        <v>171.5</v>
      </c>
      <c r="I13">
        <v>1</v>
      </c>
      <c r="J13">
        <v>0</v>
      </c>
      <c r="K13">
        <f t="shared" si="3"/>
        <v>1.6</v>
      </c>
      <c r="L13">
        <v>3.4</v>
      </c>
      <c r="M13">
        <f t="shared" si="4"/>
        <v>29.199999999999996</v>
      </c>
      <c r="N13">
        <v>-3.4</v>
      </c>
      <c r="O13">
        <v>0</v>
      </c>
      <c r="P13" s="5">
        <v>8</v>
      </c>
      <c r="Q13" s="6">
        <f>0.35+((P13-7)/104)*(1-0.35)</f>
        <v>0.35624999999999996</v>
      </c>
      <c r="R13" s="11">
        <f t="shared" si="0"/>
        <v>1.2112499999999997</v>
      </c>
      <c r="S13" s="11">
        <f t="shared" si="1"/>
        <v>-1.2112499999999997</v>
      </c>
      <c r="T13" s="14">
        <v>0</v>
      </c>
      <c r="U13">
        <v>0</v>
      </c>
      <c r="V13">
        <v>1679.5</v>
      </c>
      <c r="X13">
        <f t="shared" si="5"/>
        <v>13982.1</v>
      </c>
      <c r="AA13">
        <v>12.8790942490585</v>
      </c>
    </row>
    <row r="14" spans="1:27" x14ac:dyDescent="0.25">
      <c r="A14" s="74"/>
      <c r="B14" s="8"/>
      <c r="C14" s="9">
        <v>41892</v>
      </c>
      <c r="D14">
        <v>23</v>
      </c>
      <c r="E14">
        <v>16.899999999999999</v>
      </c>
      <c r="F14">
        <v>28.3</v>
      </c>
      <c r="G14">
        <f t="shared" si="2"/>
        <v>194.5</v>
      </c>
      <c r="I14" s="10" t="s">
        <v>45</v>
      </c>
      <c r="J14">
        <v>0</v>
      </c>
      <c r="K14">
        <f t="shared" si="3"/>
        <v>1.6</v>
      </c>
      <c r="L14">
        <v>4.0999999999999996</v>
      </c>
      <c r="M14">
        <f t="shared" si="4"/>
        <v>33.299999999999997</v>
      </c>
      <c r="N14">
        <v>-4.0999999999999996</v>
      </c>
      <c r="O14">
        <v>0</v>
      </c>
      <c r="P14" s="5">
        <v>9</v>
      </c>
      <c r="Q14" s="6">
        <f t="shared" ref="Q14:Q77" si="6">0.35+((P14-7)/104)*(1-0.35)</f>
        <v>0.36249999999999999</v>
      </c>
      <c r="R14" s="11">
        <f t="shared" si="0"/>
        <v>1.4862499999999998</v>
      </c>
      <c r="S14" s="11">
        <f t="shared" si="1"/>
        <v>-1.4862499999999998</v>
      </c>
      <c r="T14" s="14">
        <v>0</v>
      </c>
      <c r="U14" s="10" t="s">
        <v>31</v>
      </c>
      <c r="V14">
        <v>1906.7</v>
      </c>
      <c r="X14">
        <f t="shared" si="5"/>
        <v>15888.800000000001</v>
      </c>
      <c r="AA14">
        <v>12.8300590613851</v>
      </c>
    </row>
    <row r="15" spans="1:27" x14ac:dyDescent="0.25">
      <c r="A15" s="74"/>
      <c r="B15" s="8"/>
      <c r="C15" s="9">
        <v>41893</v>
      </c>
      <c r="D15">
        <v>22.4</v>
      </c>
      <c r="E15">
        <v>16.5</v>
      </c>
      <c r="F15">
        <v>28.8</v>
      </c>
      <c r="G15">
        <f t="shared" si="2"/>
        <v>216.9</v>
      </c>
      <c r="I15">
        <v>25</v>
      </c>
      <c r="J15">
        <v>0</v>
      </c>
      <c r="K15">
        <f t="shared" si="3"/>
        <v>1.6</v>
      </c>
      <c r="L15">
        <v>5.7</v>
      </c>
      <c r="M15">
        <f t="shared" si="4"/>
        <v>39</v>
      </c>
      <c r="N15">
        <v>-5.7</v>
      </c>
      <c r="O15">
        <v>0</v>
      </c>
      <c r="P15" s="5">
        <v>10</v>
      </c>
      <c r="Q15" s="6">
        <f t="shared" si="6"/>
        <v>0.36874999999999997</v>
      </c>
      <c r="R15" s="11">
        <f t="shared" si="0"/>
        <v>2.1018749999999997</v>
      </c>
      <c r="S15" s="11">
        <f t="shared" si="1"/>
        <v>-2.1018749999999997</v>
      </c>
      <c r="T15" s="14">
        <v>0</v>
      </c>
      <c r="U15" s="16">
        <f>MAX(T6:T116)</f>
        <v>61.990000000000009</v>
      </c>
      <c r="V15">
        <v>2265.8000000000002</v>
      </c>
      <c r="X15">
        <f t="shared" si="5"/>
        <v>18154.600000000002</v>
      </c>
      <c r="AA15">
        <v>12.780931968586099</v>
      </c>
    </row>
    <row r="16" spans="1:27" x14ac:dyDescent="0.25">
      <c r="A16" s="74"/>
      <c r="B16" s="8"/>
      <c r="C16" s="9">
        <v>41894</v>
      </c>
      <c r="D16">
        <v>20.8</v>
      </c>
      <c r="E16">
        <v>16</v>
      </c>
      <c r="F16">
        <v>26.1</v>
      </c>
      <c r="G16">
        <f t="shared" si="2"/>
        <v>237.70000000000002</v>
      </c>
      <c r="I16" s="10" t="s">
        <v>46</v>
      </c>
      <c r="J16">
        <v>0</v>
      </c>
      <c r="K16">
        <f t="shared" si="3"/>
        <v>1.6</v>
      </c>
      <c r="L16">
        <v>4.5999999999999996</v>
      </c>
      <c r="M16">
        <f t="shared" si="4"/>
        <v>43.6</v>
      </c>
      <c r="N16">
        <v>-4.5999999999999996</v>
      </c>
      <c r="O16">
        <v>0</v>
      </c>
      <c r="P16" s="5">
        <v>11</v>
      </c>
      <c r="Q16" s="6">
        <f t="shared" si="6"/>
        <v>0.375</v>
      </c>
      <c r="R16" s="11">
        <f t="shared" si="0"/>
        <v>1.7249999999999999</v>
      </c>
      <c r="S16" s="11">
        <f t="shared" si="1"/>
        <v>-1.7249999999999999</v>
      </c>
      <c r="T16" s="14">
        <v>0</v>
      </c>
      <c r="U16" s="10" t="s">
        <v>32</v>
      </c>
      <c r="V16">
        <v>2020.4</v>
      </c>
      <c r="X16">
        <f t="shared" si="5"/>
        <v>20175.000000000004</v>
      </c>
      <c r="AA16">
        <v>12.731719259121499</v>
      </c>
    </row>
    <row r="17" spans="1:27" x14ac:dyDescent="0.25">
      <c r="A17" s="74"/>
      <c r="B17" s="8"/>
      <c r="C17" s="9">
        <v>41895</v>
      </c>
      <c r="D17">
        <v>19.2</v>
      </c>
      <c r="E17">
        <v>11.4</v>
      </c>
      <c r="F17">
        <v>25.3</v>
      </c>
      <c r="G17">
        <f t="shared" si="2"/>
        <v>256.90000000000003</v>
      </c>
      <c r="I17">
        <v>15</v>
      </c>
      <c r="J17">
        <v>0</v>
      </c>
      <c r="K17">
        <f t="shared" si="3"/>
        <v>1.6</v>
      </c>
      <c r="L17">
        <v>4.0999999999999996</v>
      </c>
      <c r="M17">
        <f t="shared" si="4"/>
        <v>47.7</v>
      </c>
      <c r="N17">
        <v>-4.0999999999999996</v>
      </c>
      <c r="O17">
        <v>0</v>
      </c>
      <c r="P17" s="5">
        <v>12</v>
      </c>
      <c r="Q17" s="6">
        <f t="shared" si="6"/>
        <v>0.38124999999999998</v>
      </c>
      <c r="R17" s="11">
        <f t="shared" si="0"/>
        <v>1.5631249999999999</v>
      </c>
      <c r="S17" s="11">
        <f t="shared" si="1"/>
        <v>-1.5631249999999999</v>
      </c>
      <c r="T17" s="14">
        <v>0</v>
      </c>
      <c r="U17" s="16">
        <f>AVERAGE(T6:T116)</f>
        <v>28.055101351351357</v>
      </c>
      <c r="V17">
        <v>1982.5</v>
      </c>
      <c r="X17">
        <f t="shared" si="5"/>
        <v>22157.500000000004</v>
      </c>
      <c r="AA17">
        <v>12.6824270755802</v>
      </c>
    </row>
    <row r="18" spans="1:27" x14ac:dyDescent="0.25">
      <c r="A18" s="74"/>
      <c r="B18" s="8"/>
      <c r="C18" s="9">
        <v>41896</v>
      </c>
      <c r="D18">
        <v>19.600000000000001</v>
      </c>
      <c r="E18">
        <v>10.9</v>
      </c>
      <c r="F18">
        <v>26.7</v>
      </c>
      <c r="G18">
        <f t="shared" si="2"/>
        <v>276.50000000000006</v>
      </c>
      <c r="I18" s="10" t="s">
        <v>47</v>
      </c>
      <c r="J18">
        <v>0</v>
      </c>
      <c r="K18">
        <f t="shared" si="3"/>
        <v>1.6</v>
      </c>
      <c r="L18">
        <v>2.9</v>
      </c>
      <c r="M18">
        <f t="shared" si="4"/>
        <v>50.6</v>
      </c>
      <c r="N18">
        <v>-2.9</v>
      </c>
      <c r="O18">
        <v>0</v>
      </c>
      <c r="P18" s="5">
        <v>13</v>
      </c>
      <c r="Q18" s="6">
        <f t="shared" si="6"/>
        <v>0.38749999999999996</v>
      </c>
      <c r="R18" s="11">
        <f t="shared" si="0"/>
        <v>1.1237499999999998</v>
      </c>
      <c r="S18" s="11">
        <f t="shared" si="1"/>
        <v>-1.1237499999999998</v>
      </c>
      <c r="T18" s="14">
        <v>0</v>
      </c>
      <c r="U18" t="s">
        <v>50</v>
      </c>
      <c r="V18">
        <v>1288.7</v>
      </c>
      <c r="X18">
        <f t="shared" si="5"/>
        <v>23446.200000000004</v>
      </c>
      <c r="AA18">
        <v>12.6330614274066</v>
      </c>
    </row>
    <row r="19" spans="1:27" x14ac:dyDescent="0.25">
      <c r="A19" s="74"/>
      <c r="B19" s="8"/>
      <c r="C19" s="9">
        <v>41897</v>
      </c>
      <c r="D19">
        <v>21</v>
      </c>
      <c r="E19">
        <v>15.9</v>
      </c>
      <c r="F19">
        <v>25.3</v>
      </c>
      <c r="G19">
        <f t="shared" si="2"/>
        <v>297.50000000000006</v>
      </c>
      <c r="I19">
        <v>1666.4</v>
      </c>
      <c r="J19">
        <v>0</v>
      </c>
      <c r="K19">
        <f t="shared" si="3"/>
        <v>1.6</v>
      </c>
      <c r="L19">
        <v>2.2000000000000002</v>
      </c>
      <c r="M19">
        <f t="shared" si="4"/>
        <v>52.800000000000004</v>
      </c>
      <c r="N19">
        <v>-2.2000000000000002</v>
      </c>
      <c r="O19">
        <v>0</v>
      </c>
      <c r="P19" s="5">
        <v>14</v>
      </c>
      <c r="Q19" s="6">
        <f t="shared" si="6"/>
        <v>0.39374999999999999</v>
      </c>
      <c r="R19" s="11">
        <f t="shared" si="0"/>
        <v>0.86625000000000008</v>
      </c>
      <c r="S19" s="11">
        <f t="shared" si="1"/>
        <v>-0.86625000000000008</v>
      </c>
      <c r="T19" s="14">
        <v>0</v>
      </c>
      <c r="U19" s="16">
        <f>(U17*100)/122.1</f>
        <v>22.977150983907748</v>
      </c>
      <c r="V19">
        <v>909</v>
      </c>
      <c r="X19">
        <f t="shared" si="5"/>
        <v>24355.200000000004</v>
      </c>
      <c r="AA19">
        <v>12.5836282037275</v>
      </c>
    </row>
    <row r="20" spans="1:27" x14ac:dyDescent="0.25">
      <c r="A20" s="74"/>
      <c r="B20" s="8"/>
      <c r="C20" s="9">
        <v>41898</v>
      </c>
      <c r="D20">
        <v>21.5</v>
      </c>
      <c r="E20">
        <v>17.600000000000001</v>
      </c>
      <c r="F20">
        <v>25</v>
      </c>
      <c r="G20">
        <f t="shared" si="2"/>
        <v>319.00000000000006</v>
      </c>
      <c r="J20">
        <v>0.2</v>
      </c>
      <c r="K20">
        <f t="shared" si="3"/>
        <v>1.8</v>
      </c>
      <c r="L20">
        <v>3.5</v>
      </c>
      <c r="M20">
        <f t="shared" si="4"/>
        <v>56.300000000000004</v>
      </c>
      <c r="N20">
        <v>-3.3</v>
      </c>
      <c r="O20">
        <v>0</v>
      </c>
      <c r="P20" s="5">
        <v>15</v>
      </c>
      <c r="Q20" s="6">
        <f t="shared" si="6"/>
        <v>0.39999999999999997</v>
      </c>
      <c r="R20" s="11">
        <f t="shared" si="0"/>
        <v>1.4</v>
      </c>
      <c r="S20" s="11">
        <f t="shared" si="1"/>
        <v>-1.2</v>
      </c>
      <c r="T20" s="14">
        <v>0</v>
      </c>
      <c r="V20">
        <v>1581.9</v>
      </c>
      <c r="X20">
        <f t="shared" si="5"/>
        <v>25937.100000000006</v>
      </c>
      <c r="AA20">
        <v>12.534133186272699</v>
      </c>
    </row>
    <row r="21" spans="1:27" x14ac:dyDescent="0.25">
      <c r="A21" s="74"/>
      <c r="B21" s="8"/>
      <c r="C21" s="9">
        <v>41899</v>
      </c>
      <c r="D21">
        <v>23.3</v>
      </c>
      <c r="E21">
        <v>17.5</v>
      </c>
      <c r="F21">
        <v>29</v>
      </c>
      <c r="G21">
        <f t="shared" si="2"/>
        <v>342.30000000000007</v>
      </c>
      <c r="J21">
        <v>0</v>
      </c>
      <c r="K21">
        <f t="shared" si="3"/>
        <v>1.8</v>
      </c>
      <c r="L21">
        <v>3.7</v>
      </c>
      <c r="M21">
        <f t="shared" si="4"/>
        <v>60.000000000000007</v>
      </c>
      <c r="N21">
        <v>-3.7</v>
      </c>
      <c r="O21">
        <v>0</v>
      </c>
      <c r="P21" s="5">
        <v>16</v>
      </c>
      <c r="Q21" s="6">
        <f t="shared" si="6"/>
        <v>0.40625</v>
      </c>
      <c r="R21" s="11">
        <f t="shared" si="0"/>
        <v>1.503125</v>
      </c>
      <c r="S21" s="11">
        <f t="shared" si="1"/>
        <v>-1.503125</v>
      </c>
      <c r="T21" s="14">
        <v>0</v>
      </c>
      <c r="V21">
        <v>1307.9000000000001</v>
      </c>
      <c r="X21">
        <f t="shared" si="5"/>
        <v>27245.000000000007</v>
      </c>
      <c r="AA21">
        <v>12.4845820623847</v>
      </c>
    </row>
    <row r="22" spans="1:27" x14ac:dyDescent="0.25">
      <c r="A22" s="74"/>
      <c r="B22" s="8"/>
      <c r="C22" s="9">
        <v>41900</v>
      </c>
      <c r="D22">
        <v>23.3</v>
      </c>
      <c r="E22">
        <v>19.399999999999999</v>
      </c>
      <c r="F22">
        <v>27</v>
      </c>
      <c r="G22">
        <f t="shared" si="2"/>
        <v>365.60000000000008</v>
      </c>
      <c r="J22">
        <v>0</v>
      </c>
      <c r="K22">
        <f t="shared" si="3"/>
        <v>1.8</v>
      </c>
      <c r="L22">
        <v>2.9</v>
      </c>
      <c r="M22">
        <f t="shared" si="4"/>
        <v>62.900000000000006</v>
      </c>
      <c r="N22">
        <v>-2.9</v>
      </c>
      <c r="O22">
        <v>0</v>
      </c>
      <c r="P22" s="5">
        <v>17</v>
      </c>
      <c r="Q22" s="6">
        <f t="shared" si="6"/>
        <v>0.41249999999999998</v>
      </c>
      <c r="R22" s="11">
        <f t="shared" si="0"/>
        <v>1.1962499999999998</v>
      </c>
      <c r="S22" s="11">
        <f t="shared" si="1"/>
        <v>-1.1962499999999998</v>
      </c>
      <c r="T22" s="14">
        <v>0</v>
      </c>
      <c r="V22">
        <v>1155.5</v>
      </c>
      <c r="X22">
        <f t="shared" si="5"/>
        <v>28400.500000000007</v>
      </c>
      <c r="AA22">
        <v>12.434980438115399</v>
      </c>
    </row>
    <row r="23" spans="1:27" x14ac:dyDescent="0.25">
      <c r="A23" s="74"/>
      <c r="B23" s="8"/>
      <c r="C23" s="9">
        <v>41901</v>
      </c>
      <c r="D23">
        <v>23.9</v>
      </c>
      <c r="E23">
        <v>20.8</v>
      </c>
      <c r="F23">
        <v>28.5</v>
      </c>
      <c r="G23">
        <f t="shared" si="2"/>
        <v>389.50000000000006</v>
      </c>
      <c r="J23">
        <v>5.4</v>
      </c>
      <c r="K23">
        <f t="shared" si="3"/>
        <v>7.2</v>
      </c>
      <c r="L23">
        <v>3.6</v>
      </c>
      <c r="M23">
        <f t="shared" si="4"/>
        <v>66.5</v>
      </c>
      <c r="N23">
        <v>1.8000000000000003</v>
      </c>
      <c r="O23">
        <f t="shared" ref="O23:O28" si="7">O22+N23</f>
        <v>1.8000000000000003</v>
      </c>
      <c r="P23" s="5">
        <v>18</v>
      </c>
      <c r="Q23" s="6">
        <f t="shared" si="6"/>
        <v>0.41874999999999996</v>
      </c>
      <c r="R23" s="11">
        <f t="shared" si="0"/>
        <v>1.5074999999999998</v>
      </c>
      <c r="S23" s="11">
        <f t="shared" si="1"/>
        <v>3.8925000000000005</v>
      </c>
      <c r="T23" s="14">
        <f t="shared" ref="T23:T86" si="8">MIN(122.1,(T22+S23))</f>
        <v>3.8925000000000005</v>
      </c>
      <c r="V23">
        <v>1193</v>
      </c>
      <c r="X23">
        <f t="shared" si="5"/>
        <v>29593.500000000007</v>
      </c>
      <c r="AA23">
        <v>12.3853338514052</v>
      </c>
    </row>
    <row r="24" spans="1:27" x14ac:dyDescent="0.25">
      <c r="A24" s="74"/>
      <c r="B24" s="8"/>
      <c r="C24" s="9">
        <v>41902</v>
      </c>
      <c r="D24">
        <v>22.3</v>
      </c>
      <c r="E24">
        <v>17</v>
      </c>
      <c r="F24">
        <v>27.9</v>
      </c>
      <c r="G24">
        <f t="shared" si="2"/>
        <v>411.80000000000007</v>
      </c>
      <c r="J24">
        <v>11.8</v>
      </c>
      <c r="K24">
        <f t="shared" si="3"/>
        <v>19</v>
      </c>
      <c r="L24">
        <v>1.7</v>
      </c>
      <c r="M24">
        <f t="shared" si="4"/>
        <v>68.2</v>
      </c>
      <c r="N24">
        <v>10.100000000000001</v>
      </c>
      <c r="O24">
        <f t="shared" si="7"/>
        <v>11.900000000000002</v>
      </c>
      <c r="P24" s="5">
        <v>19</v>
      </c>
      <c r="Q24" s="6">
        <f t="shared" si="6"/>
        <v>0.42499999999999999</v>
      </c>
      <c r="R24" s="11">
        <f t="shared" si="0"/>
        <v>0.72249999999999992</v>
      </c>
      <c r="S24" s="11">
        <f t="shared" si="1"/>
        <v>11.077500000000001</v>
      </c>
      <c r="T24" s="14">
        <f t="shared" si="8"/>
        <v>14.97</v>
      </c>
      <c r="V24">
        <v>767.2</v>
      </c>
      <c r="X24">
        <f t="shared" si="5"/>
        <v>30360.700000000008</v>
      </c>
      <c r="AA24">
        <v>12.335647785343101</v>
      </c>
    </row>
    <row r="25" spans="1:27" x14ac:dyDescent="0.25">
      <c r="A25" s="74"/>
      <c r="B25" s="8"/>
      <c r="C25" s="9">
        <v>41903</v>
      </c>
      <c r="D25">
        <v>21.1</v>
      </c>
      <c r="E25">
        <v>17</v>
      </c>
      <c r="F25">
        <v>25.4</v>
      </c>
      <c r="G25">
        <f t="shared" si="2"/>
        <v>432.90000000000009</v>
      </c>
      <c r="J25">
        <v>0.1</v>
      </c>
      <c r="K25">
        <f t="shared" si="3"/>
        <v>19.100000000000001</v>
      </c>
      <c r="L25">
        <v>2.2999999999999998</v>
      </c>
      <c r="M25">
        <f t="shared" si="4"/>
        <v>70.5</v>
      </c>
      <c r="N25">
        <v>-2.1999999999999997</v>
      </c>
      <c r="O25">
        <f t="shared" si="7"/>
        <v>9.7000000000000028</v>
      </c>
      <c r="P25" s="5">
        <v>20</v>
      </c>
      <c r="Q25" s="6">
        <f t="shared" si="6"/>
        <v>0.43124999999999997</v>
      </c>
      <c r="R25" s="11">
        <f t="shared" si="0"/>
        <v>0.99187499999999984</v>
      </c>
      <c r="S25" s="11">
        <f t="shared" si="1"/>
        <v>-0.89187499999999986</v>
      </c>
      <c r="T25" s="14">
        <f t="shared" si="8"/>
        <v>14.078125</v>
      </c>
      <c r="V25">
        <v>929.1</v>
      </c>
      <c r="X25">
        <f t="shared" si="5"/>
        <v>31289.800000000007</v>
      </c>
      <c r="AA25">
        <v>12.2859276815076</v>
      </c>
    </row>
    <row r="26" spans="1:27" x14ac:dyDescent="0.25">
      <c r="A26" s="74"/>
      <c r="B26" s="8"/>
      <c r="C26" s="9">
        <v>41904</v>
      </c>
      <c r="D26">
        <v>18.3</v>
      </c>
      <c r="E26">
        <v>15.8</v>
      </c>
      <c r="F26">
        <v>20.5</v>
      </c>
      <c r="G26">
        <f t="shared" si="2"/>
        <v>451.2000000000001</v>
      </c>
      <c r="J26">
        <v>0</v>
      </c>
      <c r="K26">
        <f t="shared" si="3"/>
        <v>19.100000000000001</v>
      </c>
      <c r="L26">
        <v>1.9</v>
      </c>
      <c r="M26">
        <f t="shared" si="4"/>
        <v>72.400000000000006</v>
      </c>
      <c r="N26">
        <v>-1.9</v>
      </c>
      <c r="O26">
        <f t="shared" si="7"/>
        <v>7.8000000000000025</v>
      </c>
      <c r="P26" s="5">
        <v>21</v>
      </c>
      <c r="Q26" s="6">
        <f t="shared" si="6"/>
        <v>0.4375</v>
      </c>
      <c r="R26" s="11">
        <f t="shared" si="0"/>
        <v>0.83124999999999993</v>
      </c>
      <c r="S26" s="11">
        <f t="shared" si="1"/>
        <v>-0.83124999999999993</v>
      </c>
      <c r="T26" s="14">
        <f t="shared" si="8"/>
        <v>13.246874999999999</v>
      </c>
      <c r="V26">
        <v>1166.2</v>
      </c>
      <c r="X26">
        <f t="shared" si="5"/>
        <v>32456.000000000007</v>
      </c>
      <c r="AA26">
        <v>12.2361789533854</v>
      </c>
    </row>
    <row r="27" spans="1:27" x14ac:dyDescent="0.25">
      <c r="A27" s="74"/>
      <c r="B27" s="8"/>
      <c r="C27" s="9">
        <v>41905</v>
      </c>
      <c r="D27">
        <v>16.2</v>
      </c>
      <c r="E27">
        <v>12</v>
      </c>
      <c r="F27">
        <v>18.600000000000001</v>
      </c>
      <c r="G27">
        <f t="shared" si="2"/>
        <v>467.40000000000009</v>
      </c>
      <c r="J27">
        <v>0</v>
      </c>
      <c r="K27">
        <f t="shared" si="3"/>
        <v>19.100000000000001</v>
      </c>
      <c r="L27">
        <v>2.1</v>
      </c>
      <c r="M27">
        <f t="shared" si="4"/>
        <v>74.5</v>
      </c>
      <c r="N27">
        <v>-2.1</v>
      </c>
      <c r="O27">
        <f t="shared" si="7"/>
        <v>5.7000000000000028</v>
      </c>
      <c r="P27" s="5">
        <v>22</v>
      </c>
      <c r="Q27" s="6">
        <f t="shared" si="6"/>
        <v>0.44374999999999998</v>
      </c>
      <c r="R27" s="11">
        <f t="shared" si="0"/>
        <v>0.93187500000000001</v>
      </c>
      <c r="S27" s="11">
        <f t="shared" si="1"/>
        <v>-0.93187500000000001</v>
      </c>
      <c r="T27" s="14">
        <f t="shared" si="8"/>
        <v>12.315</v>
      </c>
      <c r="V27">
        <v>1361.7</v>
      </c>
      <c r="X27">
        <f t="shared" si="5"/>
        <v>33817.700000000004</v>
      </c>
      <c r="AA27">
        <v>12.1864069998693</v>
      </c>
    </row>
    <row r="28" spans="1:27" x14ac:dyDescent="0.25">
      <c r="A28" s="74"/>
      <c r="B28" s="8"/>
      <c r="C28" s="9">
        <v>41906</v>
      </c>
      <c r="D28">
        <v>17.399999999999999</v>
      </c>
      <c r="E28">
        <v>15.2</v>
      </c>
      <c r="F28">
        <v>20.9</v>
      </c>
      <c r="G28">
        <f t="shared" si="2"/>
        <v>484.80000000000007</v>
      </c>
      <c r="J28">
        <v>0</v>
      </c>
      <c r="K28">
        <f t="shared" si="3"/>
        <v>19.100000000000001</v>
      </c>
      <c r="L28">
        <v>4</v>
      </c>
      <c r="M28">
        <f t="shared" si="4"/>
        <v>78.5</v>
      </c>
      <c r="N28">
        <v>-4</v>
      </c>
      <c r="O28">
        <f t="shared" si="7"/>
        <v>1.7000000000000028</v>
      </c>
      <c r="P28" s="5">
        <v>23</v>
      </c>
      <c r="Q28" s="6">
        <f t="shared" si="6"/>
        <v>0.44999999999999996</v>
      </c>
      <c r="R28" s="11">
        <f t="shared" si="0"/>
        <v>1.7999999999999998</v>
      </c>
      <c r="S28" s="11">
        <f t="shared" si="1"/>
        <v>-1.7999999999999998</v>
      </c>
      <c r="T28" s="14">
        <f t="shared" si="8"/>
        <v>10.515000000000001</v>
      </c>
      <c r="V28">
        <v>1635.4</v>
      </c>
      <c r="X28">
        <f t="shared" si="5"/>
        <v>35453.100000000006</v>
      </c>
      <c r="AA28">
        <v>12.1366172188345</v>
      </c>
    </row>
    <row r="29" spans="1:27" x14ac:dyDescent="0.25">
      <c r="A29" s="74"/>
      <c r="B29" s="8"/>
      <c r="C29" s="9">
        <v>41907</v>
      </c>
      <c r="D29">
        <v>16.399999999999999</v>
      </c>
      <c r="E29">
        <v>12.5</v>
      </c>
      <c r="F29">
        <v>21.5</v>
      </c>
      <c r="G29">
        <f t="shared" si="2"/>
        <v>501.20000000000005</v>
      </c>
      <c r="J29">
        <v>0</v>
      </c>
      <c r="K29">
        <f t="shared" si="3"/>
        <v>19.100000000000001</v>
      </c>
      <c r="L29">
        <v>3.2</v>
      </c>
      <c r="M29">
        <f t="shared" si="4"/>
        <v>81.7</v>
      </c>
      <c r="N29">
        <v>-3.2</v>
      </c>
      <c r="O29">
        <v>0</v>
      </c>
      <c r="P29" s="5">
        <v>24</v>
      </c>
      <c r="Q29" s="6">
        <f t="shared" si="6"/>
        <v>0.45624999999999999</v>
      </c>
      <c r="R29" s="11">
        <f t="shared" si="0"/>
        <v>1.46</v>
      </c>
      <c r="S29" s="11">
        <f t="shared" si="1"/>
        <v>-1.46</v>
      </c>
      <c r="T29" s="14">
        <f t="shared" si="8"/>
        <v>9.0549999999999997</v>
      </c>
      <c r="V29">
        <v>1615.5</v>
      </c>
      <c r="X29">
        <f t="shared" si="5"/>
        <v>37068.600000000006</v>
      </c>
      <c r="AA29">
        <v>12.0868150207924</v>
      </c>
    </row>
    <row r="30" spans="1:27" x14ac:dyDescent="0.25">
      <c r="A30" s="74"/>
      <c r="B30" s="8"/>
      <c r="C30" s="9">
        <v>41908</v>
      </c>
      <c r="D30">
        <v>16.100000000000001</v>
      </c>
      <c r="E30">
        <v>9.8000000000000007</v>
      </c>
      <c r="F30">
        <v>21.8</v>
      </c>
      <c r="G30">
        <f t="shared" si="2"/>
        <v>517.30000000000007</v>
      </c>
      <c r="J30">
        <v>0</v>
      </c>
      <c r="K30">
        <f t="shared" si="3"/>
        <v>19.100000000000001</v>
      </c>
      <c r="L30">
        <v>3.2</v>
      </c>
      <c r="M30">
        <f t="shared" si="4"/>
        <v>84.9</v>
      </c>
      <c r="N30">
        <v>-3.2</v>
      </c>
      <c r="O30">
        <v>0</v>
      </c>
      <c r="P30" s="5">
        <v>25</v>
      </c>
      <c r="Q30" s="6">
        <f t="shared" si="6"/>
        <v>0.46249999999999997</v>
      </c>
      <c r="R30" s="11">
        <f t="shared" si="0"/>
        <v>1.48</v>
      </c>
      <c r="S30" s="11">
        <f t="shared" si="1"/>
        <v>-1.48</v>
      </c>
      <c r="T30" s="14">
        <f t="shared" si="8"/>
        <v>7.5749999999999993</v>
      </c>
      <c r="V30">
        <v>1685.6</v>
      </c>
      <c r="X30">
        <f t="shared" si="5"/>
        <v>38754.200000000004</v>
      </c>
      <c r="AA30">
        <v>12.037005842623801</v>
      </c>
    </row>
    <row r="31" spans="1:27" x14ac:dyDescent="0.25">
      <c r="A31" s="74"/>
      <c r="B31" s="8"/>
      <c r="C31" s="9">
        <v>41909</v>
      </c>
      <c r="D31">
        <v>17.5</v>
      </c>
      <c r="E31">
        <v>9</v>
      </c>
      <c r="F31">
        <v>24.1</v>
      </c>
      <c r="G31">
        <f t="shared" si="2"/>
        <v>534.80000000000007</v>
      </c>
      <c r="J31">
        <v>0</v>
      </c>
      <c r="K31">
        <f t="shared" si="3"/>
        <v>19.100000000000001</v>
      </c>
      <c r="L31">
        <v>3.9</v>
      </c>
      <c r="M31">
        <f t="shared" si="4"/>
        <v>88.800000000000011</v>
      </c>
      <c r="N31">
        <v>-3.9</v>
      </c>
      <c r="O31">
        <v>0</v>
      </c>
      <c r="P31" s="5">
        <v>26</v>
      </c>
      <c r="Q31" s="6">
        <f t="shared" si="6"/>
        <v>0.46875</v>
      </c>
      <c r="R31" s="11">
        <f t="shared" si="0"/>
        <v>1.828125</v>
      </c>
      <c r="S31" s="11">
        <f t="shared" si="1"/>
        <v>-1.828125</v>
      </c>
      <c r="T31" s="14">
        <f t="shared" si="8"/>
        <v>5.7468749999999993</v>
      </c>
      <c r="V31">
        <v>1908.7</v>
      </c>
      <c r="X31">
        <f t="shared" si="5"/>
        <v>40662.9</v>
      </c>
      <c r="AA31">
        <v>11.9871951613899</v>
      </c>
    </row>
    <row r="32" spans="1:27" x14ac:dyDescent="0.25">
      <c r="A32" s="74"/>
      <c r="B32" s="8"/>
      <c r="C32" s="9">
        <v>41910</v>
      </c>
      <c r="D32">
        <v>19.2</v>
      </c>
      <c r="E32">
        <v>14.2</v>
      </c>
      <c r="F32">
        <v>25.8</v>
      </c>
      <c r="G32">
        <f t="shared" si="2"/>
        <v>554.00000000000011</v>
      </c>
      <c r="J32">
        <v>2.2000000000000002</v>
      </c>
      <c r="K32">
        <f t="shared" si="3"/>
        <v>21.3</v>
      </c>
      <c r="L32">
        <v>2.7</v>
      </c>
      <c r="M32">
        <f t="shared" si="4"/>
        <v>91.500000000000014</v>
      </c>
      <c r="N32">
        <v>-0.5</v>
      </c>
      <c r="O32">
        <v>0</v>
      </c>
      <c r="P32" s="5">
        <v>27</v>
      </c>
      <c r="Q32" s="6">
        <f t="shared" si="6"/>
        <v>0.47499999999999998</v>
      </c>
      <c r="R32" s="11">
        <f t="shared" si="0"/>
        <v>1.2825</v>
      </c>
      <c r="S32" s="11">
        <f t="shared" si="1"/>
        <v>0.9175000000000002</v>
      </c>
      <c r="T32" s="14">
        <f t="shared" si="8"/>
        <v>6.6643749999999997</v>
      </c>
      <c r="V32">
        <v>982.2</v>
      </c>
      <c r="X32">
        <f t="shared" si="5"/>
        <v>41645.1</v>
      </c>
      <c r="AA32">
        <v>11.937388508221201</v>
      </c>
    </row>
    <row r="33" spans="1:27" x14ac:dyDescent="0.25">
      <c r="A33" s="74"/>
      <c r="B33" s="8"/>
      <c r="C33" s="9">
        <v>41911</v>
      </c>
      <c r="D33">
        <v>20.9</v>
      </c>
      <c r="E33">
        <v>16.899999999999999</v>
      </c>
      <c r="F33">
        <v>23.6</v>
      </c>
      <c r="G33">
        <f t="shared" si="2"/>
        <v>574.90000000000009</v>
      </c>
      <c r="J33">
        <v>18.5</v>
      </c>
      <c r="K33">
        <f t="shared" si="3"/>
        <v>39.799999999999997</v>
      </c>
      <c r="L33">
        <v>2.2999999999999998</v>
      </c>
      <c r="M33">
        <f t="shared" si="4"/>
        <v>93.800000000000011</v>
      </c>
      <c r="N33">
        <v>16.2</v>
      </c>
      <c r="O33">
        <f t="shared" ref="O33:O53" si="9">O32+N33</f>
        <v>16.2</v>
      </c>
      <c r="P33" s="5">
        <v>28</v>
      </c>
      <c r="Q33" s="6">
        <f t="shared" si="6"/>
        <v>0.48124999999999996</v>
      </c>
      <c r="R33" s="11">
        <f t="shared" si="0"/>
        <v>1.1068749999999998</v>
      </c>
      <c r="S33" s="11">
        <f t="shared" si="1"/>
        <v>17.393125000000001</v>
      </c>
      <c r="T33" s="14">
        <f t="shared" si="8"/>
        <v>24.057500000000001</v>
      </c>
      <c r="V33">
        <v>1159.5</v>
      </c>
      <c r="X33">
        <f t="shared" si="5"/>
        <v>42804.6</v>
      </c>
      <c r="AA33">
        <v>11.887591482284099</v>
      </c>
    </row>
    <row r="34" spans="1:27" x14ac:dyDescent="0.25">
      <c r="A34" s="74"/>
      <c r="B34" s="8"/>
      <c r="C34" s="9">
        <v>41912</v>
      </c>
      <c r="D34">
        <v>19.600000000000001</v>
      </c>
      <c r="E34">
        <v>18.600000000000001</v>
      </c>
      <c r="F34">
        <v>21.8</v>
      </c>
      <c r="G34">
        <f t="shared" si="2"/>
        <v>594.50000000000011</v>
      </c>
      <c r="J34">
        <v>12.8</v>
      </c>
      <c r="K34">
        <f t="shared" si="3"/>
        <v>52.599999999999994</v>
      </c>
      <c r="L34">
        <v>1.3</v>
      </c>
      <c r="M34">
        <f t="shared" si="4"/>
        <v>95.100000000000009</v>
      </c>
      <c r="N34">
        <v>11.5</v>
      </c>
      <c r="O34">
        <f t="shared" si="9"/>
        <v>27.7</v>
      </c>
      <c r="P34" s="5">
        <v>29</v>
      </c>
      <c r="Q34" s="6">
        <f t="shared" si="6"/>
        <v>0.48749999999999999</v>
      </c>
      <c r="R34" s="11">
        <f t="shared" si="0"/>
        <v>0.63375000000000004</v>
      </c>
      <c r="S34" s="11">
        <f t="shared" si="1"/>
        <v>12.166250000000002</v>
      </c>
      <c r="T34" s="14">
        <f t="shared" si="8"/>
        <v>36.223750000000003</v>
      </c>
      <c r="V34">
        <v>477.5</v>
      </c>
      <c r="X34">
        <f t="shared" si="5"/>
        <v>43282.1</v>
      </c>
      <c r="AA34">
        <v>11.8378097648246</v>
      </c>
    </row>
    <row r="35" spans="1:27" x14ac:dyDescent="0.25">
      <c r="A35" s="74"/>
      <c r="B35" s="8"/>
      <c r="C35" s="9">
        <v>41913</v>
      </c>
      <c r="D35">
        <v>18.399999999999999</v>
      </c>
      <c r="E35">
        <v>17.3</v>
      </c>
      <c r="F35">
        <v>19.899999999999999</v>
      </c>
      <c r="G35">
        <f t="shared" si="2"/>
        <v>612.90000000000009</v>
      </c>
      <c r="J35">
        <v>0.2</v>
      </c>
      <c r="K35">
        <f t="shared" si="3"/>
        <v>52.8</v>
      </c>
      <c r="L35">
        <v>2.2000000000000002</v>
      </c>
      <c r="M35">
        <f t="shared" si="4"/>
        <v>97.300000000000011</v>
      </c>
      <c r="N35">
        <v>-2</v>
      </c>
      <c r="O35">
        <f t="shared" si="9"/>
        <v>25.7</v>
      </c>
      <c r="P35" s="5">
        <v>30</v>
      </c>
      <c r="Q35" s="6">
        <f t="shared" si="6"/>
        <v>0.49374999999999997</v>
      </c>
      <c r="R35" s="11">
        <f t="shared" si="0"/>
        <v>1.0862499999999999</v>
      </c>
      <c r="S35" s="11">
        <f t="shared" si="1"/>
        <v>-0.88624999999999998</v>
      </c>
      <c r="T35" s="14">
        <f t="shared" si="8"/>
        <v>35.337500000000006</v>
      </c>
      <c r="V35">
        <v>1119.0999999999999</v>
      </c>
      <c r="X35">
        <f t="shared" si="5"/>
        <v>44401.2</v>
      </c>
      <c r="AA35">
        <v>11.788049133285501</v>
      </c>
    </row>
    <row r="36" spans="1:27" x14ac:dyDescent="0.25">
      <c r="A36" s="74"/>
      <c r="B36" s="8"/>
      <c r="C36" s="9">
        <v>41914</v>
      </c>
      <c r="D36">
        <v>18.399999999999999</v>
      </c>
      <c r="E36">
        <v>13.3</v>
      </c>
      <c r="F36">
        <v>23.6</v>
      </c>
      <c r="G36">
        <f t="shared" si="2"/>
        <v>631.30000000000007</v>
      </c>
      <c r="J36">
        <v>0.1</v>
      </c>
      <c r="K36">
        <f t="shared" si="3"/>
        <v>52.9</v>
      </c>
      <c r="L36">
        <v>3.1</v>
      </c>
      <c r="M36">
        <f t="shared" si="4"/>
        <v>100.4</v>
      </c>
      <c r="N36">
        <v>-3</v>
      </c>
      <c r="O36">
        <f t="shared" si="9"/>
        <v>22.7</v>
      </c>
      <c r="P36" s="5">
        <v>31</v>
      </c>
      <c r="Q36" s="6">
        <f t="shared" si="6"/>
        <v>0.5</v>
      </c>
      <c r="R36" s="11">
        <f t="shared" si="0"/>
        <v>1.55</v>
      </c>
      <c r="S36" s="11">
        <f t="shared" si="1"/>
        <v>-1.45</v>
      </c>
      <c r="T36" s="14">
        <f t="shared" si="8"/>
        <v>33.887500000000003</v>
      </c>
      <c r="V36">
        <v>1673.5</v>
      </c>
      <c r="X36">
        <f t="shared" si="5"/>
        <v>46074.7</v>
      </c>
      <c r="AA36">
        <v>11.738315475497499</v>
      </c>
    </row>
    <row r="37" spans="1:27" x14ac:dyDescent="0.25">
      <c r="A37" s="74"/>
      <c r="B37" s="8"/>
      <c r="C37" s="9">
        <v>41915</v>
      </c>
      <c r="D37">
        <v>18.399999999999999</v>
      </c>
      <c r="E37">
        <v>12.6</v>
      </c>
      <c r="F37">
        <v>24.1</v>
      </c>
      <c r="G37">
        <f t="shared" si="2"/>
        <v>649.70000000000005</v>
      </c>
      <c r="J37">
        <v>0.1</v>
      </c>
      <c r="K37">
        <f t="shared" si="3"/>
        <v>53</v>
      </c>
      <c r="L37">
        <v>3.1</v>
      </c>
      <c r="M37">
        <f t="shared" si="4"/>
        <v>103.5</v>
      </c>
      <c r="N37">
        <v>-3</v>
      </c>
      <c r="O37">
        <f t="shared" si="9"/>
        <v>19.7</v>
      </c>
      <c r="P37" s="5">
        <v>32</v>
      </c>
      <c r="Q37" s="6">
        <f t="shared" si="6"/>
        <v>0.50624999999999998</v>
      </c>
      <c r="R37" s="11">
        <f t="shared" si="0"/>
        <v>1.569375</v>
      </c>
      <c r="S37" s="11">
        <f t="shared" si="1"/>
        <v>-1.4693749999999999</v>
      </c>
      <c r="T37" s="14">
        <f t="shared" si="8"/>
        <v>32.418125000000003</v>
      </c>
      <c r="V37">
        <v>1659.6</v>
      </c>
      <c r="X37">
        <f t="shared" si="5"/>
        <v>47734.299999999996</v>
      </c>
      <c r="AA37">
        <v>11.688614803938799</v>
      </c>
    </row>
    <row r="38" spans="1:27" x14ac:dyDescent="0.25">
      <c r="A38" s="74"/>
      <c r="B38" s="8"/>
      <c r="C38" s="9">
        <v>41916</v>
      </c>
      <c r="D38">
        <v>18.5</v>
      </c>
      <c r="E38">
        <v>11.7</v>
      </c>
      <c r="F38">
        <v>24.1</v>
      </c>
      <c r="G38">
        <f t="shared" si="2"/>
        <v>668.2</v>
      </c>
      <c r="J38">
        <v>0</v>
      </c>
      <c r="K38">
        <f t="shared" si="3"/>
        <v>53</v>
      </c>
      <c r="L38">
        <v>2.6</v>
      </c>
      <c r="M38">
        <f t="shared" si="4"/>
        <v>106.1</v>
      </c>
      <c r="N38">
        <v>-2.6</v>
      </c>
      <c r="O38">
        <f t="shared" si="9"/>
        <v>17.099999999999998</v>
      </c>
      <c r="P38" s="5">
        <v>33</v>
      </c>
      <c r="Q38" s="6">
        <f t="shared" si="6"/>
        <v>0.51249999999999996</v>
      </c>
      <c r="R38" s="11">
        <f t="shared" si="0"/>
        <v>1.3325</v>
      </c>
      <c r="S38" s="11">
        <f t="shared" si="1"/>
        <v>-1.3325</v>
      </c>
      <c r="T38" s="14">
        <f t="shared" si="8"/>
        <v>31.085625000000004</v>
      </c>
      <c r="V38">
        <v>1444.7</v>
      </c>
      <c r="X38">
        <f t="shared" si="5"/>
        <v>49178.999999999993</v>
      </c>
      <c r="AA38">
        <v>11.63895327006</v>
      </c>
    </row>
    <row r="39" spans="1:27" x14ac:dyDescent="0.25">
      <c r="A39" s="74"/>
      <c r="B39" s="8"/>
      <c r="C39" s="9">
        <v>41917</v>
      </c>
      <c r="D39">
        <v>14.3</v>
      </c>
      <c r="E39">
        <v>11.7</v>
      </c>
      <c r="F39">
        <v>17.3</v>
      </c>
      <c r="G39">
        <f t="shared" si="2"/>
        <v>682.5</v>
      </c>
      <c r="J39">
        <v>0</v>
      </c>
      <c r="K39">
        <f t="shared" si="3"/>
        <v>53</v>
      </c>
      <c r="L39">
        <v>2.8</v>
      </c>
      <c r="M39">
        <f t="shared" si="4"/>
        <v>108.89999999999999</v>
      </c>
      <c r="N39">
        <v>-2.8</v>
      </c>
      <c r="O39">
        <f t="shared" si="9"/>
        <v>14.299999999999997</v>
      </c>
      <c r="P39" s="5">
        <v>34</v>
      </c>
      <c r="Q39" s="6">
        <f t="shared" si="6"/>
        <v>0.51875000000000004</v>
      </c>
      <c r="R39" s="11">
        <f t="shared" si="0"/>
        <v>1.4525000000000001</v>
      </c>
      <c r="S39" s="11">
        <f t="shared" si="1"/>
        <v>-1.4525000000000001</v>
      </c>
      <c r="T39" s="14">
        <f t="shared" si="8"/>
        <v>29.633125000000003</v>
      </c>
      <c r="V39">
        <v>1541.1</v>
      </c>
      <c r="X39">
        <f t="shared" si="5"/>
        <v>50720.099999999991</v>
      </c>
      <c r="AA39">
        <v>11.589337178668901</v>
      </c>
    </row>
    <row r="40" spans="1:27" x14ac:dyDescent="0.25">
      <c r="A40" s="74"/>
      <c r="B40" s="8"/>
      <c r="C40" s="9">
        <v>41918</v>
      </c>
      <c r="D40">
        <v>16.3</v>
      </c>
      <c r="E40">
        <v>9.8000000000000007</v>
      </c>
      <c r="F40">
        <v>22.6</v>
      </c>
      <c r="G40">
        <f t="shared" si="2"/>
        <v>698.8</v>
      </c>
      <c r="J40">
        <v>0</v>
      </c>
      <c r="K40">
        <f t="shared" si="3"/>
        <v>53</v>
      </c>
      <c r="L40">
        <v>2.7</v>
      </c>
      <c r="M40">
        <f t="shared" si="4"/>
        <v>111.6</v>
      </c>
      <c r="N40">
        <v>-2.7</v>
      </c>
      <c r="O40">
        <f t="shared" si="9"/>
        <v>11.599999999999998</v>
      </c>
      <c r="P40" s="5">
        <v>35</v>
      </c>
      <c r="Q40" s="6">
        <f t="shared" si="6"/>
        <v>0.52499999999999991</v>
      </c>
      <c r="R40" s="11">
        <f t="shared" si="0"/>
        <v>1.4174999999999998</v>
      </c>
      <c r="S40" s="11">
        <f t="shared" si="1"/>
        <v>-1.4174999999999998</v>
      </c>
      <c r="T40" s="14">
        <f t="shared" si="8"/>
        <v>28.215625000000003</v>
      </c>
      <c r="V40">
        <v>1373.9</v>
      </c>
      <c r="X40">
        <f t="shared" si="5"/>
        <v>52093.999999999993</v>
      </c>
      <c r="AA40">
        <v>11.539773002367999</v>
      </c>
    </row>
    <row r="41" spans="1:27" x14ac:dyDescent="0.25">
      <c r="A41" s="74"/>
      <c r="B41" s="8"/>
      <c r="C41" s="9">
        <v>41919</v>
      </c>
      <c r="D41">
        <v>18.600000000000001</v>
      </c>
      <c r="E41">
        <v>14</v>
      </c>
      <c r="F41">
        <v>22.6</v>
      </c>
      <c r="G41">
        <f t="shared" si="2"/>
        <v>717.4</v>
      </c>
      <c r="J41">
        <v>0</v>
      </c>
      <c r="K41">
        <f t="shared" si="3"/>
        <v>53</v>
      </c>
      <c r="L41">
        <v>2.2999999999999998</v>
      </c>
      <c r="M41">
        <f t="shared" si="4"/>
        <v>113.89999999999999</v>
      </c>
      <c r="N41">
        <v>-2.2999999999999998</v>
      </c>
      <c r="O41">
        <f t="shared" si="9"/>
        <v>9.2999999999999972</v>
      </c>
      <c r="P41" s="5">
        <v>36</v>
      </c>
      <c r="Q41" s="6">
        <f t="shared" si="6"/>
        <v>0.53125</v>
      </c>
      <c r="R41" s="11">
        <f t="shared" si="0"/>
        <v>1.2218749999999998</v>
      </c>
      <c r="S41" s="11">
        <f t="shared" si="1"/>
        <v>-1.2218749999999998</v>
      </c>
      <c r="T41" s="14">
        <f t="shared" si="8"/>
        <v>26.993750000000002</v>
      </c>
      <c r="V41">
        <v>1205</v>
      </c>
      <c r="X41">
        <f t="shared" si="5"/>
        <v>53298.999999999993</v>
      </c>
      <c r="AA41">
        <v>11.490267396036799</v>
      </c>
    </row>
    <row r="42" spans="1:27" x14ac:dyDescent="0.25">
      <c r="A42" s="74"/>
      <c r="B42" s="8"/>
      <c r="C42" s="9">
        <v>41920</v>
      </c>
      <c r="D42">
        <v>20.8</v>
      </c>
      <c r="E42">
        <v>16.3</v>
      </c>
      <c r="F42">
        <v>25.8</v>
      </c>
      <c r="G42">
        <f t="shared" si="2"/>
        <v>738.19999999999993</v>
      </c>
      <c r="J42">
        <v>0.2</v>
      </c>
      <c r="K42">
        <f t="shared" si="3"/>
        <v>53.2</v>
      </c>
      <c r="L42">
        <v>2.6</v>
      </c>
      <c r="M42">
        <f t="shared" si="4"/>
        <v>116.49999999999999</v>
      </c>
      <c r="N42">
        <v>-2.4</v>
      </c>
      <c r="O42">
        <f t="shared" si="9"/>
        <v>6.8999999999999968</v>
      </c>
      <c r="P42" s="5">
        <v>37</v>
      </c>
      <c r="Q42" s="6">
        <f t="shared" si="6"/>
        <v>0.53749999999999998</v>
      </c>
      <c r="R42" s="11">
        <f t="shared" si="0"/>
        <v>1.3975</v>
      </c>
      <c r="S42" s="11">
        <f t="shared" si="1"/>
        <v>-1.1975</v>
      </c>
      <c r="T42" s="14">
        <f t="shared" si="8"/>
        <v>25.796250000000001</v>
      </c>
      <c r="V42">
        <v>818.3</v>
      </c>
      <c r="X42">
        <f t="shared" si="5"/>
        <v>54117.299999999996</v>
      </c>
      <c r="AA42">
        <v>11.4408272113498</v>
      </c>
    </row>
    <row r="43" spans="1:27" x14ac:dyDescent="0.25">
      <c r="A43" s="74"/>
      <c r="B43" s="8"/>
      <c r="C43" s="9">
        <v>41921</v>
      </c>
      <c r="D43">
        <v>19.600000000000001</v>
      </c>
      <c r="E43">
        <v>17.399999999999999</v>
      </c>
      <c r="F43">
        <v>24.4</v>
      </c>
      <c r="G43">
        <f t="shared" si="2"/>
        <v>757.8</v>
      </c>
      <c r="J43">
        <v>15.2</v>
      </c>
      <c r="K43">
        <f t="shared" si="3"/>
        <v>68.400000000000006</v>
      </c>
      <c r="L43">
        <v>1.9</v>
      </c>
      <c r="M43">
        <f t="shared" si="4"/>
        <v>118.39999999999999</v>
      </c>
      <c r="N43">
        <v>13.299999999999999</v>
      </c>
      <c r="O43">
        <f t="shared" si="9"/>
        <v>20.199999999999996</v>
      </c>
      <c r="P43" s="5">
        <v>38</v>
      </c>
      <c r="Q43" s="6">
        <f t="shared" si="6"/>
        <v>0.54374999999999996</v>
      </c>
      <c r="R43" s="11">
        <f t="shared" si="0"/>
        <v>1.0331249999999998</v>
      </c>
      <c r="S43" s="11">
        <f t="shared" si="1"/>
        <v>14.166874999999999</v>
      </c>
      <c r="T43" s="14">
        <f t="shared" si="8"/>
        <v>39.963124999999998</v>
      </c>
      <c r="V43">
        <v>811</v>
      </c>
      <c r="X43">
        <f t="shared" si="5"/>
        <v>54928.299999999996</v>
      </c>
      <c r="AA43">
        <v>11.391459511317199</v>
      </c>
    </row>
    <row r="44" spans="1:27" x14ac:dyDescent="0.25">
      <c r="A44" s="74"/>
      <c r="B44" s="8"/>
      <c r="C44" s="9">
        <v>41922</v>
      </c>
      <c r="D44">
        <v>17.399999999999999</v>
      </c>
      <c r="E44">
        <v>16.2</v>
      </c>
      <c r="F44">
        <v>20</v>
      </c>
      <c r="G44">
        <f t="shared" si="2"/>
        <v>775.19999999999993</v>
      </c>
      <c r="J44">
        <v>0.4</v>
      </c>
      <c r="K44">
        <f t="shared" si="3"/>
        <v>68.800000000000011</v>
      </c>
      <c r="L44">
        <v>1.3</v>
      </c>
      <c r="M44">
        <f t="shared" si="4"/>
        <v>119.69999999999999</v>
      </c>
      <c r="N44">
        <v>-0.9</v>
      </c>
      <c r="O44">
        <f t="shared" si="9"/>
        <v>19.299999999999997</v>
      </c>
      <c r="P44" s="5">
        <v>39</v>
      </c>
      <c r="Q44" s="6">
        <f t="shared" si="6"/>
        <v>0.55000000000000004</v>
      </c>
      <c r="R44" s="11">
        <f t="shared" si="0"/>
        <v>0.71500000000000008</v>
      </c>
      <c r="S44" s="11">
        <f t="shared" si="1"/>
        <v>-0.31500000000000006</v>
      </c>
      <c r="T44" s="14">
        <f t="shared" si="8"/>
        <v>39.648125</v>
      </c>
      <c r="V44">
        <v>567.4</v>
      </c>
      <c r="X44">
        <f t="shared" si="5"/>
        <v>55495.7</v>
      </c>
      <c r="AA44">
        <v>11.342171584836001</v>
      </c>
    </row>
    <row r="45" spans="1:27" x14ac:dyDescent="0.25">
      <c r="A45" s="74"/>
      <c r="B45" s="8"/>
      <c r="C45" s="9">
        <v>41923</v>
      </c>
      <c r="D45">
        <v>17.5</v>
      </c>
      <c r="E45">
        <v>14.7</v>
      </c>
      <c r="F45">
        <v>20.3</v>
      </c>
      <c r="G45">
        <f t="shared" si="2"/>
        <v>792.69999999999993</v>
      </c>
      <c r="J45">
        <v>0</v>
      </c>
      <c r="K45">
        <f t="shared" si="3"/>
        <v>68.800000000000011</v>
      </c>
      <c r="L45">
        <v>1.7</v>
      </c>
      <c r="M45">
        <f t="shared" si="4"/>
        <v>121.39999999999999</v>
      </c>
      <c r="N45">
        <v>-1.7</v>
      </c>
      <c r="O45">
        <f t="shared" si="9"/>
        <v>17.599999999999998</v>
      </c>
      <c r="P45" s="5">
        <v>40</v>
      </c>
      <c r="Q45" s="6">
        <f t="shared" si="6"/>
        <v>0.55624999999999991</v>
      </c>
      <c r="R45" s="11">
        <f t="shared" si="0"/>
        <v>0.94562499999999983</v>
      </c>
      <c r="S45" s="11">
        <f t="shared" si="1"/>
        <v>-0.94562499999999983</v>
      </c>
      <c r="T45" s="14">
        <f t="shared" si="8"/>
        <v>38.702500000000001</v>
      </c>
      <c r="V45">
        <v>891</v>
      </c>
      <c r="X45">
        <f t="shared" si="5"/>
        <v>56386.7</v>
      </c>
      <c r="AA45">
        <v>11.292970961235399</v>
      </c>
    </row>
    <row r="46" spans="1:27" x14ac:dyDescent="0.25">
      <c r="A46" s="74"/>
      <c r="B46" s="8"/>
      <c r="C46" s="9">
        <v>41924</v>
      </c>
      <c r="D46">
        <v>21.5</v>
      </c>
      <c r="E46">
        <v>17.7</v>
      </c>
      <c r="F46">
        <v>26.2</v>
      </c>
      <c r="G46">
        <f t="shared" si="2"/>
        <v>814.19999999999993</v>
      </c>
      <c r="J46">
        <v>0.1</v>
      </c>
      <c r="K46">
        <f t="shared" si="3"/>
        <v>68.900000000000006</v>
      </c>
      <c r="L46">
        <v>2.6</v>
      </c>
      <c r="M46">
        <f t="shared" si="4"/>
        <v>123.99999999999999</v>
      </c>
      <c r="N46">
        <v>-2.5</v>
      </c>
      <c r="O46">
        <f t="shared" si="9"/>
        <v>15.099999999999998</v>
      </c>
      <c r="P46" s="5">
        <v>41</v>
      </c>
      <c r="Q46" s="6">
        <f t="shared" si="6"/>
        <v>0.5625</v>
      </c>
      <c r="R46" s="11">
        <f t="shared" si="0"/>
        <v>1.4625000000000001</v>
      </c>
      <c r="S46" s="11">
        <f t="shared" si="1"/>
        <v>-1.3625</v>
      </c>
      <c r="T46" s="14">
        <f t="shared" si="8"/>
        <v>37.340000000000003</v>
      </c>
      <c r="V46">
        <v>899.4</v>
      </c>
      <c r="X46">
        <f t="shared" si="5"/>
        <v>57286.1</v>
      </c>
      <c r="AA46">
        <v>11.2438654247982</v>
      </c>
    </row>
    <row r="47" spans="1:27" x14ac:dyDescent="0.25">
      <c r="A47" s="74"/>
      <c r="B47" s="8"/>
      <c r="C47" s="9">
        <v>41925</v>
      </c>
      <c r="D47">
        <v>16.5</v>
      </c>
      <c r="E47">
        <v>11.4</v>
      </c>
      <c r="F47">
        <v>22.1</v>
      </c>
      <c r="G47">
        <f t="shared" si="2"/>
        <v>830.69999999999993</v>
      </c>
      <c r="J47">
        <v>0</v>
      </c>
      <c r="K47">
        <f t="shared" si="3"/>
        <v>68.900000000000006</v>
      </c>
      <c r="L47">
        <v>2.2999999999999998</v>
      </c>
      <c r="M47">
        <f t="shared" si="4"/>
        <v>126.29999999999998</v>
      </c>
      <c r="N47">
        <v>-2.2999999999999998</v>
      </c>
      <c r="O47">
        <f t="shared" si="9"/>
        <v>12.799999999999997</v>
      </c>
      <c r="P47" s="5">
        <v>42</v>
      </c>
      <c r="Q47" s="6">
        <f t="shared" si="6"/>
        <v>0.56874999999999998</v>
      </c>
      <c r="R47" s="11">
        <f t="shared" si="0"/>
        <v>1.3081249999999998</v>
      </c>
      <c r="S47" s="11">
        <f t="shared" si="1"/>
        <v>-1.3081249999999998</v>
      </c>
      <c r="T47" s="14">
        <f t="shared" si="8"/>
        <v>36.031875000000007</v>
      </c>
      <c r="V47">
        <v>1205.9000000000001</v>
      </c>
      <c r="X47">
        <f t="shared" si="5"/>
        <v>58492</v>
      </c>
      <c r="AA47">
        <v>11.1948630292391</v>
      </c>
    </row>
    <row r="48" spans="1:27" x14ac:dyDescent="0.25">
      <c r="A48" s="74"/>
      <c r="B48" s="8"/>
      <c r="C48" s="9">
        <v>41926</v>
      </c>
      <c r="D48">
        <v>16.7</v>
      </c>
      <c r="E48">
        <v>11.4</v>
      </c>
      <c r="F48">
        <v>21.3</v>
      </c>
      <c r="G48">
        <f t="shared" si="2"/>
        <v>847.4</v>
      </c>
      <c r="J48">
        <v>0.2</v>
      </c>
      <c r="K48">
        <f t="shared" si="3"/>
        <v>69.100000000000009</v>
      </c>
      <c r="L48">
        <v>1.4</v>
      </c>
      <c r="M48">
        <f t="shared" si="4"/>
        <v>127.69999999999999</v>
      </c>
      <c r="N48">
        <v>-1.2</v>
      </c>
      <c r="O48">
        <f t="shared" si="9"/>
        <v>11.599999999999998</v>
      </c>
      <c r="P48" s="5">
        <v>43</v>
      </c>
      <c r="Q48" s="6">
        <f t="shared" si="6"/>
        <v>0.57499999999999996</v>
      </c>
      <c r="R48" s="11">
        <f t="shared" si="0"/>
        <v>0.80499999999999994</v>
      </c>
      <c r="S48" s="11">
        <f t="shared" si="1"/>
        <v>-0.60499999999999998</v>
      </c>
      <c r="T48" s="14">
        <f t="shared" si="8"/>
        <v>35.42687500000001</v>
      </c>
      <c r="V48">
        <v>797.3</v>
      </c>
      <c r="X48">
        <f t="shared" si="5"/>
        <v>59289.3</v>
      </c>
      <c r="AA48">
        <v>11.145972112114601</v>
      </c>
    </row>
    <row r="49" spans="1:27" x14ac:dyDescent="0.25">
      <c r="A49" s="74"/>
      <c r="B49" s="8"/>
      <c r="C49" s="9">
        <v>41927</v>
      </c>
      <c r="D49">
        <v>17.3</v>
      </c>
      <c r="E49">
        <v>12</v>
      </c>
      <c r="F49">
        <v>21.3</v>
      </c>
      <c r="G49">
        <f t="shared" si="2"/>
        <v>864.69999999999993</v>
      </c>
      <c r="J49">
        <v>0.5</v>
      </c>
      <c r="K49">
        <f t="shared" si="3"/>
        <v>69.600000000000009</v>
      </c>
      <c r="L49">
        <v>1</v>
      </c>
      <c r="M49">
        <f t="shared" si="4"/>
        <v>128.69999999999999</v>
      </c>
      <c r="N49">
        <v>-0.5</v>
      </c>
      <c r="O49">
        <f t="shared" si="9"/>
        <v>11.099999999999998</v>
      </c>
      <c r="P49" s="5">
        <v>44</v>
      </c>
      <c r="Q49" s="6">
        <f t="shared" si="6"/>
        <v>0.58125000000000004</v>
      </c>
      <c r="R49" s="11">
        <f t="shared" si="0"/>
        <v>0.58125000000000004</v>
      </c>
      <c r="S49" s="11">
        <f t="shared" si="1"/>
        <v>-8.1250000000000044E-2</v>
      </c>
      <c r="T49" s="14">
        <f t="shared" si="8"/>
        <v>35.345625000000013</v>
      </c>
      <c r="V49">
        <v>807.7</v>
      </c>
      <c r="X49">
        <f t="shared" si="5"/>
        <v>60097</v>
      </c>
      <c r="AA49">
        <v>11.0972013091412</v>
      </c>
    </row>
    <row r="50" spans="1:27" x14ac:dyDescent="0.25">
      <c r="A50" s="74"/>
      <c r="B50" s="8"/>
      <c r="C50" s="9">
        <v>41928</v>
      </c>
      <c r="D50">
        <v>19.899999999999999</v>
      </c>
      <c r="E50">
        <v>15.5</v>
      </c>
      <c r="F50">
        <v>24.8</v>
      </c>
      <c r="G50">
        <f t="shared" si="2"/>
        <v>884.59999999999991</v>
      </c>
      <c r="J50">
        <v>0</v>
      </c>
      <c r="K50">
        <f t="shared" si="3"/>
        <v>69.600000000000009</v>
      </c>
      <c r="L50">
        <v>2</v>
      </c>
      <c r="M50">
        <f t="shared" si="4"/>
        <v>130.69999999999999</v>
      </c>
      <c r="N50">
        <v>-2</v>
      </c>
      <c r="O50">
        <f t="shared" si="9"/>
        <v>9.0999999999999979</v>
      </c>
      <c r="P50" s="5">
        <v>45</v>
      </c>
      <c r="Q50" s="6">
        <f t="shared" si="6"/>
        <v>0.58749999999999991</v>
      </c>
      <c r="R50" s="11">
        <f t="shared" si="0"/>
        <v>1.1749999999999998</v>
      </c>
      <c r="S50" s="11">
        <f t="shared" si="1"/>
        <v>-1.1749999999999998</v>
      </c>
      <c r="T50" s="14">
        <f t="shared" si="8"/>
        <v>34.170625000000015</v>
      </c>
      <c r="V50">
        <v>710.7</v>
      </c>
      <c r="X50">
        <f t="shared" si="5"/>
        <v>60807.7</v>
      </c>
      <c r="AA50">
        <v>11.048559568390701</v>
      </c>
    </row>
    <row r="51" spans="1:27" x14ac:dyDescent="0.25">
      <c r="A51" s="74"/>
      <c r="B51" s="8"/>
      <c r="C51" s="9">
        <v>41929</v>
      </c>
      <c r="D51">
        <v>20</v>
      </c>
      <c r="E51">
        <v>14</v>
      </c>
      <c r="F51">
        <v>26.1</v>
      </c>
      <c r="G51">
        <f t="shared" si="2"/>
        <v>904.59999999999991</v>
      </c>
      <c r="J51">
        <v>0</v>
      </c>
      <c r="K51">
        <f t="shared" si="3"/>
        <v>69.600000000000009</v>
      </c>
      <c r="L51">
        <v>2.9</v>
      </c>
      <c r="M51">
        <f t="shared" si="4"/>
        <v>133.6</v>
      </c>
      <c r="N51">
        <v>-2.9</v>
      </c>
      <c r="O51">
        <f t="shared" si="9"/>
        <v>6.1999999999999975</v>
      </c>
      <c r="P51" s="5">
        <v>46</v>
      </c>
      <c r="Q51" s="6">
        <f t="shared" si="6"/>
        <v>0.59375</v>
      </c>
      <c r="R51" s="11">
        <f t="shared" si="0"/>
        <v>1.721875</v>
      </c>
      <c r="S51" s="11">
        <f t="shared" si="1"/>
        <v>-1.721875</v>
      </c>
      <c r="T51" s="14">
        <f t="shared" si="8"/>
        <v>32.448750000000018</v>
      </c>
      <c r="V51">
        <v>1283.5999999999999</v>
      </c>
      <c r="X51">
        <f t="shared" si="5"/>
        <v>62091.299999999996</v>
      </c>
      <c r="AA51">
        <v>11.0000561643326</v>
      </c>
    </row>
    <row r="52" spans="1:27" x14ac:dyDescent="0.25">
      <c r="A52" s="74"/>
      <c r="B52" s="8"/>
      <c r="C52" s="9">
        <v>41930</v>
      </c>
      <c r="D52">
        <v>18.8</v>
      </c>
      <c r="E52">
        <v>14.1</v>
      </c>
      <c r="F52">
        <v>21.7</v>
      </c>
      <c r="G52">
        <f t="shared" si="2"/>
        <v>923.39999999999986</v>
      </c>
      <c r="J52">
        <v>0.2</v>
      </c>
      <c r="K52">
        <f t="shared" si="3"/>
        <v>69.800000000000011</v>
      </c>
      <c r="L52">
        <v>2.2999999999999998</v>
      </c>
      <c r="M52">
        <f t="shared" si="4"/>
        <v>135.9</v>
      </c>
      <c r="N52">
        <v>-2.0999999999999996</v>
      </c>
      <c r="O52">
        <f t="shared" si="9"/>
        <v>4.0999999999999979</v>
      </c>
      <c r="P52" s="5">
        <v>47</v>
      </c>
      <c r="Q52" s="6">
        <f t="shared" si="6"/>
        <v>0.6</v>
      </c>
      <c r="R52" s="11">
        <f t="shared" si="0"/>
        <v>1.38</v>
      </c>
      <c r="S52" s="11">
        <f t="shared" si="1"/>
        <v>-1.18</v>
      </c>
      <c r="T52" s="14">
        <f t="shared" si="8"/>
        <v>31.268750000000018</v>
      </c>
      <c r="V52">
        <v>1203.7</v>
      </c>
      <c r="X52">
        <f t="shared" si="5"/>
        <v>63294.999999999993</v>
      </c>
      <c r="AA52">
        <v>10.9517007116862</v>
      </c>
    </row>
    <row r="53" spans="1:27" x14ac:dyDescent="0.25">
      <c r="A53" s="74"/>
      <c r="B53" s="8"/>
      <c r="C53" s="9">
        <v>41931</v>
      </c>
      <c r="D53">
        <v>21.7</v>
      </c>
      <c r="E53">
        <v>18.8</v>
      </c>
      <c r="F53">
        <v>25.5</v>
      </c>
      <c r="G53">
        <f t="shared" si="2"/>
        <v>945.09999999999991</v>
      </c>
      <c r="J53">
        <v>0</v>
      </c>
      <c r="K53">
        <f t="shared" si="3"/>
        <v>69.800000000000011</v>
      </c>
      <c r="L53">
        <v>2.9</v>
      </c>
      <c r="M53">
        <f t="shared" si="4"/>
        <v>138.80000000000001</v>
      </c>
      <c r="N53">
        <v>-2.9</v>
      </c>
      <c r="O53">
        <f t="shared" si="9"/>
        <v>1.199999999999998</v>
      </c>
      <c r="P53" s="5">
        <v>48</v>
      </c>
      <c r="Q53" s="6">
        <f t="shared" si="6"/>
        <v>0.60624999999999996</v>
      </c>
      <c r="R53" s="11">
        <f t="shared" si="0"/>
        <v>1.7581249999999997</v>
      </c>
      <c r="S53" s="11">
        <f t="shared" si="1"/>
        <v>-1.7581249999999997</v>
      </c>
      <c r="T53" s="14">
        <f t="shared" si="8"/>
        <v>29.510625000000019</v>
      </c>
      <c r="V53">
        <v>1031.3</v>
      </c>
      <c r="X53">
        <f t="shared" si="5"/>
        <v>64326.299999999996</v>
      </c>
      <c r="AA53">
        <v>10.9035031790459</v>
      </c>
    </row>
    <row r="54" spans="1:27" x14ac:dyDescent="0.25">
      <c r="A54" s="74"/>
      <c r="B54" s="8"/>
      <c r="C54" s="9">
        <v>41932</v>
      </c>
      <c r="D54">
        <v>21</v>
      </c>
      <c r="E54">
        <v>15.8</v>
      </c>
      <c r="F54">
        <v>26.8</v>
      </c>
      <c r="G54">
        <f t="shared" si="2"/>
        <v>966.09999999999991</v>
      </c>
      <c r="J54">
        <v>0</v>
      </c>
      <c r="K54">
        <f t="shared" si="3"/>
        <v>69.800000000000011</v>
      </c>
      <c r="L54">
        <v>2.1</v>
      </c>
      <c r="M54">
        <f t="shared" si="4"/>
        <v>140.9</v>
      </c>
      <c r="N54">
        <v>-2.1</v>
      </c>
      <c r="O54">
        <v>0</v>
      </c>
      <c r="P54" s="5">
        <v>49</v>
      </c>
      <c r="Q54" s="6">
        <f t="shared" si="6"/>
        <v>0.61250000000000004</v>
      </c>
      <c r="R54" s="11">
        <f t="shared" si="0"/>
        <v>1.2862500000000001</v>
      </c>
      <c r="S54" s="11">
        <f t="shared" si="1"/>
        <v>-1.2862500000000001</v>
      </c>
      <c r="T54" s="14">
        <f t="shared" si="8"/>
        <v>28.22437500000002</v>
      </c>
      <c r="V54">
        <v>1003.4</v>
      </c>
      <c r="X54">
        <f t="shared" si="5"/>
        <v>65329.7</v>
      </c>
      <c r="AA54">
        <v>10.8554739022345</v>
      </c>
    </row>
    <row r="55" spans="1:27" x14ac:dyDescent="0.25">
      <c r="A55" s="74"/>
      <c r="B55" s="8"/>
      <c r="C55" s="9">
        <v>41933</v>
      </c>
      <c r="D55">
        <v>19.2</v>
      </c>
      <c r="E55">
        <v>17.899999999999999</v>
      </c>
      <c r="F55">
        <v>22.2</v>
      </c>
      <c r="G55">
        <f t="shared" si="2"/>
        <v>985.3</v>
      </c>
      <c r="J55">
        <v>0</v>
      </c>
      <c r="K55">
        <f t="shared" si="3"/>
        <v>69.800000000000011</v>
      </c>
      <c r="L55">
        <v>3.5</v>
      </c>
      <c r="M55">
        <f t="shared" si="4"/>
        <v>144.4</v>
      </c>
      <c r="N55">
        <v>-3.5</v>
      </c>
      <c r="O55">
        <v>0</v>
      </c>
      <c r="P55" s="5">
        <v>50</v>
      </c>
      <c r="Q55" s="6">
        <f t="shared" si="6"/>
        <v>0.61874999999999991</v>
      </c>
      <c r="R55" s="11">
        <f t="shared" si="0"/>
        <v>2.1656249999999995</v>
      </c>
      <c r="S55" s="11">
        <f t="shared" si="1"/>
        <v>-2.1656249999999995</v>
      </c>
      <c r="T55" s="14">
        <f t="shared" si="8"/>
        <v>26.058750000000021</v>
      </c>
      <c r="V55">
        <v>1105.3</v>
      </c>
      <c r="X55">
        <f t="shared" si="5"/>
        <v>66435</v>
      </c>
      <c r="AA55">
        <v>10.8076235973406</v>
      </c>
    </row>
    <row r="56" spans="1:27" x14ac:dyDescent="0.25">
      <c r="A56" s="74"/>
      <c r="B56" s="8"/>
      <c r="C56" s="9">
        <v>41934</v>
      </c>
      <c r="D56">
        <v>12.6</v>
      </c>
      <c r="E56">
        <v>10.4</v>
      </c>
      <c r="F56">
        <v>16.100000000000001</v>
      </c>
      <c r="G56">
        <f t="shared" si="2"/>
        <v>997.9</v>
      </c>
      <c r="J56">
        <v>0</v>
      </c>
      <c r="K56">
        <f t="shared" si="3"/>
        <v>69.800000000000011</v>
      </c>
      <c r="L56">
        <v>2.8</v>
      </c>
      <c r="M56">
        <f t="shared" si="4"/>
        <v>147.20000000000002</v>
      </c>
      <c r="N56">
        <v>-2.8</v>
      </c>
      <c r="O56">
        <v>0</v>
      </c>
      <c r="P56" s="5">
        <v>51</v>
      </c>
      <c r="Q56" s="6">
        <f t="shared" si="6"/>
        <v>0.625</v>
      </c>
      <c r="R56" s="11">
        <f t="shared" si="0"/>
        <v>1.75</v>
      </c>
      <c r="S56" s="11">
        <f t="shared" si="1"/>
        <v>-1.75</v>
      </c>
      <c r="T56" s="14">
        <f t="shared" si="8"/>
        <v>24.308750000000021</v>
      </c>
      <c r="V56">
        <v>1191.8</v>
      </c>
      <c r="X56">
        <f t="shared" si="5"/>
        <v>67626.8</v>
      </c>
      <c r="AA56">
        <v>10.759963373388301</v>
      </c>
    </row>
    <row r="57" spans="1:27" x14ac:dyDescent="0.25">
      <c r="A57" s="74"/>
      <c r="B57" s="8"/>
      <c r="C57" s="9">
        <v>41935</v>
      </c>
      <c r="D57">
        <v>10.9</v>
      </c>
      <c r="E57">
        <v>6.1</v>
      </c>
      <c r="F57">
        <v>16</v>
      </c>
      <c r="G57">
        <f t="shared" si="2"/>
        <v>1008.8</v>
      </c>
      <c r="J57">
        <v>0</v>
      </c>
      <c r="K57">
        <f t="shared" si="3"/>
        <v>69.800000000000011</v>
      </c>
      <c r="L57">
        <v>2.2000000000000002</v>
      </c>
      <c r="M57">
        <f t="shared" si="4"/>
        <v>149.4</v>
      </c>
      <c r="N57">
        <v>-2.2000000000000002</v>
      </c>
      <c r="O57">
        <v>0</v>
      </c>
      <c r="P57" s="5">
        <v>52</v>
      </c>
      <c r="Q57" s="6">
        <f t="shared" si="6"/>
        <v>0.63124999999999998</v>
      </c>
      <c r="R57" s="11">
        <f t="shared" si="0"/>
        <v>1.3887500000000002</v>
      </c>
      <c r="S57" s="11">
        <f t="shared" si="1"/>
        <v>-1.3887500000000002</v>
      </c>
      <c r="T57" s="14">
        <f t="shared" si="8"/>
        <v>22.920000000000019</v>
      </c>
      <c r="V57">
        <v>1308.3</v>
      </c>
      <c r="X57">
        <f t="shared" si="5"/>
        <v>68935.100000000006</v>
      </c>
      <c r="AA57">
        <v>10.7125047445855</v>
      </c>
    </row>
    <row r="58" spans="1:27" x14ac:dyDescent="0.25">
      <c r="A58" s="74"/>
      <c r="B58" s="8"/>
      <c r="C58" s="9">
        <v>41936</v>
      </c>
      <c r="D58">
        <v>12.8</v>
      </c>
      <c r="E58">
        <v>6.1</v>
      </c>
      <c r="F58">
        <v>18.600000000000001</v>
      </c>
      <c r="G58">
        <f t="shared" si="2"/>
        <v>1021.5999999999999</v>
      </c>
      <c r="J58">
        <v>0</v>
      </c>
      <c r="K58">
        <f t="shared" si="3"/>
        <v>69.800000000000011</v>
      </c>
      <c r="L58">
        <v>2</v>
      </c>
      <c r="M58">
        <f t="shared" si="4"/>
        <v>151.4</v>
      </c>
      <c r="N58">
        <v>-2</v>
      </c>
      <c r="O58">
        <v>0</v>
      </c>
      <c r="P58" s="5">
        <v>53</v>
      </c>
      <c r="Q58" s="6">
        <f t="shared" si="6"/>
        <v>0.63749999999999996</v>
      </c>
      <c r="R58" s="11">
        <f t="shared" si="0"/>
        <v>1.2749999999999999</v>
      </c>
      <c r="S58" s="11">
        <f t="shared" si="1"/>
        <v>-1.2749999999999999</v>
      </c>
      <c r="T58" s="14">
        <f t="shared" si="8"/>
        <v>21.645000000000021</v>
      </c>
      <c r="V58">
        <v>1068.7</v>
      </c>
      <c r="X58">
        <f t="shared" si="5"/>
        <v>70003.8</v>
      </c>
      <c r="AA58">
        <v>10.6652596420924</v>
      </c>
    </row>
    <row r="59" spans="1:27" x14ac:dyDescent="0.25">
      <c r="A59" s="74"/>
      <c r="B59" s="8"/>
      <c r="C59" s="9">
        <v>41937</v>
      </c>
      <c r="D59">
        <v>15</v>
      </c>
      <c r="E59">
        <v>9.6</v>
      </c>
      <c r="F59">
        <v>21.5</v>
      </c>
      <c r="G59">
        <f t="shared" si="2"/>
        <v>1036.5999999999999</v>
      </c>
      <c r="J59">
        <v>0</v>
      </c>
      <c r="K59">
        <f t="shared" si="3"/>
        <v>69.800000000000011</v>
      </c>
      <c r="L59">
        <v>1.4</v>
      </c>
      <c r="M59">
        <f t="shared" si="4"/>
        <v>152.80000000000001</v>
      </c>
      <c r="N59">
        <v>-1.4</v>
      </c>
      <c r="O59">
        <v>0</v>
      </c>
      <c r="P59" s="5">
        <v>54</v>
      </c>
      <c r="Q59" s="6">
        <f t="shared" si="6"/>
        <v>0.64375000000000004</v>
      </c>
      <c r="R59" s="11">
        <f t="shared" si="0"/>
        <v>0.90125</v>
      </c>
      <c r="S59" s="11">
        <f t="shared" si="1"/>
        <v>-0.90125</v>
      </c>
      <c r="T59" s="14">
        <f t="shared" si="8"/>
        <v>20.74375000000002</v>
      </c>
      <c r="V59">
        <v>826.1</v>
      </c>
      <c r="X59">
        <f t="shared" si="5"/>
        <v>70829.900000000009</v>
      </c>
      <c r="AA59">
        <v>10.618240425247</v>
      </c>
    </row>
    <row r="60" spans="1:27" x14ac:dyDescent="0.25">
      <c r="A60" s="74"/>
      <c r="B60" s="8"/>
      <c r="C60" s="9">
        <v>41938</v>
      </c>
      <c r="D60">
        <v>14.7</v>
      </c>
      <c r="E60">
        <v>9.4</v>
      </c>
      <c r="F60">
        <v>20</v>
      </c>
      <c r="G60">
        <f t="shared" si="2"/>
        <v>1051.3</v>
      </c>
      <c r="J60">
        <v>0</v>
      </c>
      <c r="K60">
        <f t="shared" si="3"/>
        <v>69.800000000000011</v>
      </c>
      <c r="L60">
        <v>2.2999999999999998</v>
      </c>
      <c r="M60">
        <f t="shared" si="4"/>
        <v>155.10000000000002</v>
      </c>
      <c r="N60">
        <v>-2.2999999999999998</v>
      </c>
      <c r="O60">
        <v>0</v>
      </c>
      <c r="P60" s="5">
        <v>55</v>
      </c>
      <c r="Q60" s="6">
        <f t="shared" si="6"/>
        <v>0.65</v>
      </c>
      <c r="R60" s="11">
        <f t="shared" si="0"/>
        <v>1.4949999999999999</v>
      </c>
      <c r="S60" s="11">
        <f t="shared" si="1"/>
        <v>-1.4949999999999999</v>
      </c>
      <c r="T60" s="14">
        <f t="shared" si="8"/>
        <v>19.248750000000019</v>
      </c>
      <c r="V60">
        <v>1361.9</v>
      </c>
      <c r="X60">
        <f t="shared" si="5"/>
        <v>72191.8</v>
      </c>
      <c r="AA60">
        <v>10.571459892181601</v>
      </c>
    </row>
    <row r="61" spans="1:27" x14ac:dyDescent="0.25">
      <c r="A61" s="74"/>
      <c r="B61" s="8"/>
      <c r="C61" s="9">
        <v>41939</v>
      </c>
      <c r="D61">
        <v>15.3</v>
      </c>
      <c r="E61">
        <v>10</v>
      </c>
      <c r="F61">
        <v>20.7</v>
      </c>
      <c r="G61">
        <f t="shared" si="2"/>
        <v>1066.5999999999999</v>
      </c>
      <c r="J61">
        <v>0</v>
      </c>
      <c r="K61">
        <f t="shared" si="3"/>
        <v>69.800000000000011</v>
      </c>
      <c r="L61">
        <v>2.1</v>
      </c>
      <c r="M61">
        <f t="shared" si="4"/>
        <v>157.20000000000002</v>
      </c>
      <c r="N61">
        <v>-2.1</v>
      </c>
      <c r="O61">
        <v>0</v>
      </c>
      <c r="P61" s="5">
        <v>56</v>
      </c>
      <c r="Q61" s="6">
        <f t="shared" si="6"/>
        <v>0.65625</v>
      </c>
      <c r="R61" s="11">
        <f t="shared" si="0"/>
        <v>1.378125</v>
      </c>
      <c r="S61" s="11">
        <f t="shared" si="1"/>
        <v>-1.378125</v>
      </c>
      <c r="T61" s="14">
        <f t="shared" si="8"/>
        <v>17.870625000000018</v>
      </c>
      <c r="V61">
        <v>1116.2</v>
      </c>
      <c r="X61">
        <f t="shared" si="5"/>
        <v>73308</v>
      </c>
      <c r="AA61">
        <v>10.5249312897583</v>
      </c>
    </row>
    <row r="62" spans="1:27" x14ac:dyDescent="0.25">
      <c r="A62" s="74"/>
      <c r="B62" s="8"/>
      <c r="C62" s="9">
        <v>41940</v>
      </c>
      <c r="D62">
        <v>15.5</v>
      </c>
      <c r="E62">
        <v>11</v>
      </c>
      <c r="F62">
        <v>21.4</v>
      </c>
      <c r="G62">
        <f t="shared" si="2"/>
        <v>1082.0999999999999</v>
      </c>
      <c r="J62">
        <v>0</v>
      </c>
      <c r="K62">
        <f t="shared" si="3"/>
        <v>69.800000000000011</v>
      </c>
      <c r="L62">
        <v>2.7</v>
      </c>
      <c r="M62">
        <f t="shared" si="4"/>
        <v>159.9</v>
      </c>
      <c r="N62">
        <v>-2.7</v>
      </c>
      <c r="O62">
        <v>0</v>
      </c>
      <c r="P62" s="5">
        <v>57</v>
      </c>
      <c r="Q62" s="6">
        <f t="shared" si="6"/>
        <v>0.66249999999999998</v>
      </c>
      <c r="R62" s="11">
        <f t="shared" si="0"/>
        <v>1.7887500000000001</v>
      </c>
      <c r="S62" s="11">
        <f t="shared" si="1"/>
        <v>-1.7887500000000001</v>
      </c>
      <c r="T62" s="14">
        <f t="shared" si="8"/>
        <v>16.081875000000018</v>
      </c>
      <c r="V62">
        <v>1188.3</v>
      </c>
      <c r="X62">
        <f t="shared" si="5"/>
        <v>74496.3</v>
      </c>
      <c r="AA62">
        <v>10.478668322747399</v>
      </c>
    </row>
    <row r="63" spans="1:27" x14ac:dyDescent="0.25">
      <c r="A63" s="74"/>
      <c r="B63" s="8"/>
      <c r="C63" s="9">
        <v>41941</v>
      </c>
      <c r="D63">
        <v>14.7</v>
      </c>
      <c r="E63">
        <v>9.9</v>
      </c>
      <c r="F63">
        <v>20.2</v>
      </c>
      <c r="G63">
        <f t="shared" si="2"/>
        <v>1096.8</v>
      </c>
      <c r="J63">
        <v>0.1</v>
      </c>
      <c r="K63">
        <f t="shared" si="3"/>
        <v>69.900000000000006</v>
      </c>
      <c r="L63">
        <v>2.2999999999999998</v>
      </c>
      <c r="M63">
        <f t="shared" si="4"/>
        <v>162.20000000000002</v>
      </c>
      <c r="N63">
        <v>-2.1999999999999997</v>
      </c>
      <c r="O63">
        <v>0</v>
      </c>
      <c r="P63" s="5">
        <v>58</v>
      </c>
      <c r="Q63" s="6">
        <f t="shared" si="6"/>
        <v>0.66874999999999996</v>
      </c>
      <c r="R63" s="11">
        <f t="shared" si="0"/>
        <v>1.5381249999999997</v>
      </c>
      <c r="S63" s="11">
        <f t="shared" si="1"/>
        <v>-1.4381249999999997</v>
      </c>
      <c r="T63" s="14">
        <f t="shared" si="8"/>
        <v>14.643750000000018</v>
      </c>
      <c r="V63">
        <v>1232.2</v>
      </c>
      <c r="X63">
        <f t="shared" si="5"/>
        <v>75728.5</v>
      </c>
      <c r="AA63">
        <v>10.432685162171101</v>
      </c>
    </row>
    <row r="64" spans="1:27" x14ac:dyDescent="0.25">
      <c r="A64" s="74"/>
      <c r="B64" s="8"/>
      <c r="C64" s="9">
        <v>41942</v>
      </c>
      <c r="D64">
        <v>14.6</v>
      </c>
      <c r="E64">
        <v>8.6999999999999993</v>
      </c>
      <c r="F64">
        <v>20.5</v>
      </c>
      <c r="G64">
        <f t="shared" si="2"/>
        <v>1111.3999999999999</v>
      </c>
      <c r="J64">
        <v>0.1</v>
      </c>
      <c r="K64">
        <f t="shared" si="3"/>
        <v>70</v>
      </c>
      <c r="L64">
        <v>2</v>
      </c>
      <c r="M64">
        <f t="shared" si="4"/>
        <v>164.20000000000002</v>
      </c>
      <c r="N64">
        <v>-1.9</v>
      </c>
      <c r="O64">
        <v>0</v>
      </c>
      <c r="P64" s="5">
        <v>59</v>
      </c>
      <c r="Q64" s="6">
        <f t="shared" si="6"/>
        <v>0.67500000000000004</v>
      </c>
      <c r="R64" s="11">
        <f t="shared" si="0"/>
        <v>1.35</v>
      </c>
      <c r="S64" s="11">
        <f t="shared" si="1"/>
        <v>-1.25</v>
      </c>
      <c r="T64" s="14">
        <f t="shared" si="8"/>
        <v>13.393750000000018</v>
      </c>
      <c r="V64">
        <v>948</v>
      </c>
      <c r="X64">
        <f t="shared" si="5"/>
        <v>76676.5</v>
      </c>
      <c r="AA64">
        <v>10.386996452725599</v>
      </c>
    </row>
    <row r="65" spans="1:27" x14ac:dyDescent="0.25">
      <c r="A65" s="74"/>
      <c r="B65" s="8"/>
      <c r="C65" s="9">
        <v>41943</v>
      </c>
      <c r="D65">
        <v>15.1</v>
      </c>
      <c r="E65">
        <v>8.5</v>
      </c>
      <c r="F65">
        <v>21.9</v>
      </c>
      <c r="G65">
        <f t="shared" si="2"/>
        <v>1126.4999999999998</v>
      </c>
      <c r="J65">
        <v>0.2</v>
      </c>
      <c r="K65">
        <f t="shared" si="3"/>
        <v>70.2</v>
      </c>
      <c r="L65">
        <v>2.9</v>
      </c>
      <c r="M65">
        <f t="shared" si="4"/>
        <v>167.10000000000002</v>
      </c>
      <c r="N65">
        <v>-2.6999999999999997</v>
      </c>
      <c r="O65">
        <v>0</v>
      </c>
      <c r="P65" s="5">
        <v>60</v>
      </c>
      <c r="Q65" s="6">
        <f t="shared" si="6"/>
        <v>0.68124999999999991</v>
      </c>
      <c r="R65" s="11">
        <f t="shared" si="0"/>
        <v>1.9756249999999997</v>
      </c>
      <c r="S65" s="11">
        <f t="shared" si="1"/>
        <v>-1.7756249999999998</v>
      </c>
      <c r="T65" s="14">
        <f t="shared" si="8"/>
        <v>11.618125000000019</v>
      </c>
      <c r="V65">
        <v>1268.5</v>
      </c>
      <c r="X65">
        <f t="shared" si="5"/>
        <v>77945</v>
      </c>
      <c r="AA65">
        <v>10.3416173191965</v>
      </c>
    </row>
    <row r="66" spans="1:27" x14ac:dyDescent="0.25">
      <c r="A66" s="74"/>
      <c r="B66" s="8"/>
      <c r="C66" s="9">
        <v>41944</v>
      </c>
      <c r="D66">
        <v>16.5</v>
      </c>
      <c r="E66">
        <v>14</v>
      </c>
      <c r="F66">
        <v>21.7</v>
      </c>
      <c r="G66">
        <f t="shared" si="2"/>
        <v>1142.9999999999998</v>
      </c>
      <c r="J66">
        <v>0.1</v>
      </c>
      <c r="K66">
        <f t="shared" si="3"/>
        <v>70.3</v>
      </c>
      <c r="L66">
        <v>2.9</v>
      </c>
      <c r="M66">
        <f t="shared" si="4"/>
        <v>170.00000000000003</v>
      </c>
      <c r="N66">
        <v>-2.8</v>
      </c>
      <c r="O66">
        <v>0</v>
      </c>
      <c r="P66" s="5">
        <v>61</v>
      </c>
      <c r="Q66" s="6">
        <f t="shared" si="6"/>
        <v>0.6875</v>
      </c>
      <c r="R66" s="11">
        <f t="shared" si="0"/>
        <v>1.9937499999999999</v>
      </c>
      <c r="S66" s="11">
        <f t="shared" si="1"/>
        <v>-1.8937499999999998</v>
      </c>
      <c r="T66" s="14">
        <f t="shared" si="8"/>
        <v>9.7243750000000198</v>
      </c>
      <c r="V66">
        <v>1243.5</v>
      </c>
      <c r="X66">
        <f t="shared" si="5"/>
        <v>79188.5</v>
      </c>
      <c r="AA66">
        <v>10.296563371773701</v>
      </c>
    </row>
    <row r="67" spans="1:27" x14ac:dyDescent="0.25">
      <c r="A67" s="74"/>
      <c r="B67" s="8"/>
      <c r="C67" s="9">
        <v>41945</v>
      </c>
      <c r="D67">
        <v>17.100000000000001</v>
      </c>
      <c r="E67">
        <v>12.9</v>
      </c>
      <c r="F67">
        <v>20.7</v>
      </c>
      <c r="G67">
        <f t="shared" si="2"/>
        <v>1160.0999999999997</v>
      </c>
      <c r="J67">
        <v>0.4</v>
      </c>
      <c r="K67">
        <f t="shared" si="3"/>
        <v>70.7</v>
      </c>
      <c r="L67">
        <v>1.7</v>
      </c>
      <c r="M67">
        <f t="shared" si="4"/>
        <v>171.70000000000002</v>
      </c>
      <c r="N67">
        <v>-1.2999999999999998</v>
      </c>
      <c r="O67">
        <v>0</v>
      </c>
      <c r="P67" s="5">
        <v>62</v>
      </c>
      <c r="Q67" s="6">
        <f t="shared" si="6"/>
        <v>0.69374999999999998</v>
      </c>
      <c r="R67" s="11">
        <f t="shared" si="0"/>
        <v>1.1793749999999998</v>
      </c>
      <c r="S67" s="11">
        <f t="shared" si="1"/>
        <v>-0.77937499999999982</v>
      </c>
      <c r="T67" s="14">
        <f t="shared" si="8"/>
        <v>8.9450000000000198</v>
      </c>
      <c r="V67">
        <v>791.6</v>
      </c>
      <c r="X67">
        <f t="shared" si="5"/>
        <v>79980.100000000006</v>
      </c>
      <c r="AA67">
        <v>10.2518507101715</v>
      </c>
    </row>
    <row r="68" spans="1:27" x14ac:dyDescent="0.25">
      <c r="A68" s="74"/>
      <c r="B68" s="8"/>
      <c r="C68" s="9">
        <v>41946</v>
      </c>
      <c r="D68">
        <v>16.100000000000001</v>
      </c>
      <c r="E68">
        <v>13.2</v>
      </c>
      <c r="F68">
        <v>19.2</v>
      </c>
      <c r="G68">
        <f t="shared" si="2"/>
        <v>1176.1999999999996</v>
      </c>
      <c r="J68">
        <v>4.8</v>
      </c>
      <c r="K68">
        <f t="shared" si="3"/>
        <v>75.5</v>
      </c>
      <c r="L68">
        <v>1.2</v>
      </c>
      <c r="M68">
        <f t="shared" si="4"/>
        <v>172.9</v>
      </c>
      <c r="N68">
        <v>3.5999999999999996</v>
      </c>
      <c r="O68">
        <f t="shared" ref="O68:O131" si="10">O67+N68</f>
        <v>3.5999999999999996</v>
      </c>
      <c r="P68" s="5">
        <v>63</v>
      </c>
      <c r="Q68" s="6">
        <f t="shared" si="6"/>
        <v>0.7</v>
      </c>
      <c r="R68" s="11">
        <f t="shared" si="0"/>
        <v>0.84</v>
      </c>
      <c r="S68" s="11">
        <f t="shared" si="1"/>
        <v>3.96</v>
      </c>
      <c r="T68" s="14">
        <f t="shared" si="8"/>
        <v>12.905000000000019</v>
      </c>
      <c r="V68">
        <v>624.70000000000005</v>
      </c>
      <c r="X68">
        <f t="shared" si="5"/>
        <v>80604.800000000003</v>
      </c>
      <c r="AA68">
        <v>10.207495926455399</v>
      </c>
    </row>
    <row r="69" spans="1:27" x14ac:dyDescent="0.25">
      <c r="A69" s="74"/>
      <c r="B69" s="8"/>
      <c r="C69" s="9">
        <v>41947</v>
      </c>
      <c r="D69">
        <v>10.4</v>
      </c>
      <c r="E69">
        <v>9.6</v>
      </c>
      <c r="F69">
        <v>11.3</v>
      </c>
      <c r="G69">
        <f t="shared" si="2"/>
        <v>1186.5999999999997</v>
      </c>
      <c r="J69">
        <v>6.7</v>
      </c>
      <c r="K69">
        <f t="shared" si="3"/>
        <v>82.2</v>
      </c>
      <c r="L69">
        <v>0.6</v>
      </c>
      <c r="M69">
        <f t="shared" si="4"/>
        <v>173.5</v>
      </c>
      <c r="N69">
        <v>6.1000000000000005</v>
      </c>
      <c r="O69">
        <f t="shared" si="10"/>
        <v>9.6999999999999993</v>
      </c>
      <c r="P69" s="5">
        <v>64</v>
      </c>
      <c r="Q69" s="6">
        <f t="shared" si="6"/>
        <v>0.70625000000000004</v>
      </c>
      <c r="R69" s="11">
        <f t="shared" si="0"/>
        <v>0.42375000000000002</v>
      </c>
      <c r="S69" s="11">
        <f t="shared" si="1"/>
        <v>6.2762500000000001</v>
      </c>
      <c r="T69" s="14">
        <f t="shared" si="8"/>
        <v>19.18125000000002</v>
      </c>
      <c r="V69">
        <v>261.2</v>
      </c>
      <c r="X69">
        <f t="shared" si="5"/>
        <v>80866</v>
      </c>
      <c r="AA69">
        <v>10.163516106473599</v>
      </c>
    </row>
    <row r="70" spans="1:27" x14ac:dyDescent="0.25">
      <c r="A70" s="74"/>
      <c r="B70" s="8"/>
      <c r="C70" s="9">
        <v>41948</v>
      </c>
      <c r="D70">
        <v>10.3</v>
      </c>
      <c r="E70">
        <v>8.5</v>
      </c>
      <c r="F70">
        <v>14</v>
      </c>
      <c r="G70">
        <f t="shared" si="2"/>
        <v>1196.8999999999996</v>
      </c>
      <c r="J70">
        <v>2.4</v>
      </c>
      <c r="K70">
        <f t="shared" si="3"/>
        <v>84.600000000000009</v>
      </c>
      <c r="L70">
        <v>1.8</v>
      </c>
      <c r="M70">
        <f t="shared" si="4"/>
        <v>175.3</v>
      </c>
      <c r="N70">
        <v>0.59999999999999987</v>
      </c>
      <c r="O70">
        <f t="shared" si="10"/>
        <v>10.299999999999999</v>
      </c>
      <c r="P70" s="5">
        <v>65</v>
      </c>
      <c r="Q70" s="6">
        <f t="shared" si="6"/>
        <v>0.71250000000000002</v>
      </c>
      <c r="R70" s="11">
        <f t="shared" si="0"/>
        <v>1.2825</v>
      </c>
      <c r="S70" s="11">
        <f t="shared" si="1"/>
        <v>1.1174999999999999</v>
      </c>
      <c r="T70" s="14">
        <f t="shared" si="8"/>
        <v>20.29875000000002</v>
      </c>
      <c r="V70">
        <v>943.2</v>
      </c>
      <c r="X70">
        <f t="shared" si="5"/>
        <v>81809.2</v>
      </c>
      <c r="AA70">
        <v>10.1199288297901</v>
      </c>
    </row>
    <row r="71" spans="1:27" x14ac:dyDescent="0.25">
      <c r="A71" s="74"/>
      <c r="B71" s="8"/>
      <c r="C71" s="9">
        <v>41949</v>
      </c>
      <c r="D71">
        <v>9.6999999999999993</v>
      </c>
      <c r="E71">
        <v>5.7</v>
      </c>
      <c r="F71">
        <v>15.1</v>
      </c>
      <c r="G71">
        <f t="shared" si="2"/>
        <v>1206.5999999999997</v>
      </c>
      <c r="J71">
        <v>0.3</v>
      </c>
      <c r="K71">
        <f t="shared" si="3"/>
        <v>84.9</v>
      </c>
      <c r="L71">
        <v>1.2</v>
      </c>
      <c r="M71">
        <f t="shared" si="4"/>
        <v>176.5</v>
      </c>
      <c r="N71">
        <v>-0.89999999999999991</v>
      </c>
      <c r="O71">
        <f t="shared" si="10"/>
        <v>9.3999999999999986</v>
      </c>
      <c r="P71" s="5">
        <v>66</v>
      </c>
      <c r="Q71" s="6">
        <f t="shared" si="6"/>
        <v>0.71875</v>
      </c>
      <c r="R71" s="11">
        <f t="shared" ref="R71:R134" si="11">Q71*L71</f>
        <v>0.86249999999999993</v>
      </c>
      <c r="S71" s="11">
        <f t="shared" ref="S71:S134" si="12">J71-R71</f>
        <v>-0.5625</v>
      </c>
      <c r="T71" s="14">
        <f t="shared" si="8"/>
        <v>19.73625000000002</v>
      </c>
      <c r="V71">
        <v>781.6</v>
      </c>
      <c r="X71">
        <f t="shared" si="5"/>
        <v>82590.8</v>
      </c>
      <c r="AA71">
        <v>10.0767521680136</v>
      </c>
    </row>
    <row r="72" spans="1:27" x14ac:dyDescent="0.25">
      <c r="A72" s="74"/>
      <c r="B72" s="8"/>
      <c r="C72" s="9">
        <v>41950</v>
      </c>
      <c r="D72">
        <v>10.1</v>
      </c>
      <c r="E72">
        <v>5.8</v>
      </c>
      <c r="F72">
        <v>13.4</v>
      </c>
      <c r="G72">
        <f t="shared" ref="G72:G135" si="13">G71+D72</f>
        <v>1216.6999999999996</v>
      </c>
      <c r="J72">
        <v>1.2</v>
      </c>
      <c r="K72">
        <f t="shared" ref="K72:K135" si="14">K71+J72</f>
        <v>86.100000000000009</v>
      </c>
      <c r="L72">
        <v>0.3</v>
      </c>
      <c r="M72">
        <f t="shared" ref="M72:M135" si="15">M71+L72</f>
        <v>176.8</v>
      </c>
      <c r="N72">
        <v>0.89999999999999991</v>
      </c>
      <c r="O72">
        <f t="shared" si="10"/>
        <v>10.299999999999999</v>
      </c>
      <c r="P72" s="5">
        <v>67</v>
      </c>
      <c r="Q72" s="6">
        <f t="shared" si="6"/>
        <v>0.72499999999999998</v>
      </c>
      <c r="R72" s="11">
        <f t="shared" si="11"/>
        <v>0.2175</v>
      </c>
      <c r="S72" s="11">
        <f t="shared" si="12"/>
        <v>0.98249999999999993</v>
      </c>
      <c r="T72" s="14">
        <f t="shared" si="8"/>
        <v>20.718750000000021</v>
      </c>
      <c r="V72">
        <v>240</v>
      </c>
      <c r="X72">
        <f t="shared" ref="X72:X135" si="16">X71+V72</f>
        <v>82830.8</v>
      </c>
      <c r="AA72">
        <v>10.034004681415199</v>
      </c>
    </row>
    <row r="73" spans="1:27" x14ac:dyDescent="0.25">
      <c r="A73" s="74"/>
      <c r="B73" s="8"/>
      <c r="C73" s="9">
        <v>41951</v>
      </c>
      <c r="D73">
        <v>9.9</v>
      </c>
      <c r="E73">
        <v>4.9000000000000004</v>
      </c>
      <c r="F73">
        <v>15.8</v>
      </c>
      <c r="G73">
        <f t="shared" si="13"/>
        <v>1226.5999999999997</v>
      </c>
      <c r="J73">
        <v>0.1</v>
      </c>
      <c r="K73">
        <f t="shared" si="14"/>
        <v>86.2</v>
      </c>
      <c r="L73">
        <v>0.9</v>
      </c>
      <c r="M73">
        <f t="shared" si="15"/>
        <v>177.70000000000002</v>
      </c>
      <c r="N73">
        <v>-0.8</v>
      </c>
      <c r="O73">
        <f t="shared" si="10"/>
        <v>9.4999999999999982</v>
      </c>
      <c r="P73" s="5">
        <v>68</v>
      </c>
      <c r="Q73" s="6">
        <f t="shared" si="6"/>
        <v>0.73124999999999996</v>
      </c>
      <c r="R73" s="11">
        <f t="shared" si="11"/>
        <v>0.65812499999999996</v>
      </c>
      <c r="S73" s="11">
        <f t="shared" si="12"/>
        <v>-0.55812499999999998</v>
      </c>
      <c r="T73" s="14">
        <f t="shared" si="8"/>
        <v>20.160625000000021</v>
      </c>
      <c r="V73">
        <v>630.6</v>
      </c>
      <c r="X73">
        <f t="shared" si="16"/>
        <v>83461.400000000009</v>
      </c>
      <c r="AA73">
        <v>9.9917054137274892</v>
      </c>
    </row>
    <row r="74" spans="1:27" x14ac:dyDescent="0.25">
      <c r="A74" s="74"/>
      <c r="B74" s="8"/>
      <c r="C74" s="9">
        <v>41952</v>
      </c>
      <c r="D74">
        <v>8.9</v>
      </c>
      <c r="E74">
        <v>6.5</v>
      </c>
      <c r="F74">
        <v>11.9</v>
      </c>
      <c r="G74">
        <f t="shared" si="13"/>
        <v>1235.4999999999998</v>
      </c>
      <c r="J74">
        <v>1.8</v>
      </c>
      <c r="K74">
        <f t="shared" si="14"/>
        <v>88</v>
      </c>
      <c r="L74">
        <v>0.5</v>
      </c>
      <c r="M74">
        <f t="shared" si="15"/>
        <v>178.20000000000002</v>
      </c>
      <c r="N74">
        <v>1.3</v>
      </c>
      <c r="O74">
        <f t="shared" si="10"/>
        <v>10.799999999999999</v>
      </c>
      <c r="P74" s="5">
        <v>69</v>
      </c>
      <c r="Q74" s="6">
        <f t="shared" si="6"/>
        <v>0.73750000000000004</v>
      </c>
      <c r="R74" s="11">
        <f t="shared" si="11"/>
        <v>0.36875000000000002</v>
      </c>
      <c r="S74" s="11">
        <f t="shared" si="12"/>
        <v>1.4312499999999999</v>
      </c>
      <c r="T74" s="14">
        <f t="shared" si="8"/>
        <v>21.591875000000019</v>
      </c>
      <c r="V74">
        <v>188.9</v>
      </c>
      <c r="X74">
        <f t="shared" si="16"/>
        <v>83650.3</v>
      </c>
      <c r="AA74">
        <v>9.9498738850186097</v>
      </c>
    </row>
    <row r="75" spans="1:27" x14ac:dyDescent="0.25">
      <c r="A75" s="74"/>
      <c r="B75" s="8"/>
      <c r="C75" s="9">
        <v>41953</v>
      </c>
      <c r="D75">
        <v>9.6999999999999993</v>
      </c>
      <c r="E75">
        <v>5.7</v>
      </c>
      <c r="F75">
        <v>14.6</v>
      </c>
      <c r="G75">
        <f t="shared" si="13"/>
        <v>1245.1999999999998</v>
      </c>
      <c r="J75">
        <v>0.1</v>
      </c>
      <c r="K75">
        <f t="shared" si="14"/>
        <v>88.1</v>
      </c>
      <c r="L75">
        <v>1.6</v>
      </c>
      <c r="M75">
        <f t="shared" si="15"/>
        <v>179.8</v>
      </c>
      <c r="N75">
        <v>-1.5</v>
      </c>
      <c r="O75">
        <f t="shared" si="10"/>
        <v>9.2999999999999989</v>
      </c>
      <c r="P75" s="5">
        <v>70</v>
      </c>
      <c r="Q75" s="6">
        <f t="shared" si="6"/>
        <v>0.74374999999999991</v>
      </c>
      <c r="R75" s="11">
        <f t="shared" si="11"/>
        <v>1.19</v>
      </c>
      <c r="S75" s="11">
        <f t="shared" si="12"/>
        <v>-1.0899999999999999</v>
      </c>
      <c r="T75" s="14">
        <f t="shared" si="8"/>
        <v>20.50187500000002</v>
      </c>
      <c r="V75">
        <v>1002.2</v>
      </c>
      <c r="X75">
        <f t="shared" si="16"/>
        <v>84652.5</v>
      </c>
      <c r="AA75">
        <v>9.9085300825343392</v>
      </c>
    </row>
    <row r="76" spans="1:27" x14ac:dyDescent="0.25">
      <c r="A76" s="74"/>
      <c r="B76" s="8"/>
      <c r="C76" s="9">
        <v>41954</v>
      </c>
      <c r="D76">
        <v>9.4</v>
      </c>
      <c r="E76">
        <v>3.5</v>
      </c>
      <c r="F76">
        <v>14.4</v>
      </c>
      <c r="G76">
        <f t="shared" si="13"/>
        <v>1254.5999999999999</v>
      </c>
      <c r="J76">
        <v>0.1</v>
      </c>
      <c r="K76">
        <f t="shared" si="14"/>
        <v>88.199999999999989</v>
      </c>
      <c r="L76">
        <v>0.8</v>
      </c>
      <c r="M76">
        <f t="shared" si="15"/>
        <v>180.60000000000002</v>
      </c>
      <c r="N76">
        <v>-0.70000000000000007</v>
      </c>
      <c r="O76">
        <f t="shared" si="10"/>
        <v>8.6</v>
      </c>
      <c r="P76" s="5">
        <v>71</v>
      </c>
      <c r="Q76" s="6">
        <f t="shared" si="6"/>
        <v>0.75</v>
      </c>
      <c r="R76" s="11">
        <f t="shared" si="11"/>
        <v>0.60000000000000009</v>
      </c>
      <c r="S76" s="11">
        <f t="shared" si="12"/>
        <v>-0.50000000000000011</v>
      </c>
      <c r="T76" s="14">
        <f t="shared" si="8"/>
        <v>20.00187500000002</v>
      </c>
      <c r="V76">
        <v>411.7</v>
      </c>
      <c r="X76">
        <f t="shared" si="16"/>
        <v>85064.2</v>
      </c>
      <c r="AA76">
        <v>9.8676944494053895</v>
      </c>
    </row>
    <row r="77" spans="1:27" x14ac:dyDescent="0.25">
      <c r="A77" s="74"/>
      <c r="B77" s="8"/>
      <c r="C77" s="9">
        <v>41955</v>
      </c>
      <c r="D77">
        <v>9.5</v>
      </c>
      <c r="E77">
        <v>3.9</v>
      </c>
      <c r="F77">
        <v>15.5</v>
      </c>
      <c r="G77">
        <f t="shared" si="13"/>
        <v>1264.0999999999999</v>
      </c>
      <c r="J77">
        <v>0</v>
      </c>
      <c r="K77">
        <f t="shared" si="14"/>
        <v>88.199999999999989</v>
      </c>
      <c r="L77">
        <v>1.1000000000000001</v>
      </c>
      <c r="M77">
        <f t="shared" si="15"/>
        <v>181.70000000000002</v>
      </c>
      <c r="N77">
        <v>-1.1000000000000001</v>
      </c>
      <c r="O77">
        <f t="shared" si="10"/>
        <v>7.5</v>
      </c>
      <c r="P77" s="5">
        <v>72</v>
      </c>
      <c r="Q77" s="6">
        <f t="shared" si="6"/>
        <v>0.75624999999999998</v>
      </c>
      <c r="R77" s="11">
        <f t="shared" si="11"/>
        <v>0.83187500000000003</v>
      </c>
      <c r="S77" s="11">
        <f t="shared" si="12"/>
        <v>-0.83187500000000003</v>
      </c>
      <c r="T77" s="14">
        <f t="shared" si="8"/>
        <v>19.170000000000019</v>
      </c>
      <c r="V77">
        <v>586.70000000000005</v>
      </c>
      <c r="X77">
        <f t="shared" si="16"/>
        <v>85650.9</v>
      </c>
      <c r="AA77">
        <v>9.8273878711190008</v>
      </c>
    </row>
    <row r="78" spans="1:27" x14ac:dyDescent="0.25">
      <c r="A78" s="74"/>
      <c r="B78" s="8"/>
      <c r="C78" s="9">
        <v>41956</v>
      </c>
      <c r="D78">
        <v>11.8</v>
      </c>
      <c r="E78">
        <v>4.0999999999999996</v>
      </c>
      <c r="F78">
        <v>17.399999999999999</v>
      </c>
      <c r="G78">
        <f t="shared" si="13"/>
        <v>1275.8999999999999</v>
      </c>
      <c r="J78">
        <v>0</v>
      </c>
      <c r="K78">
        <f t="shared" si="14"/>
        <v>88.199999999999989</v>
      </c>
      <c r="L78">
        <v>1.5</v>
      </c>
      <c r="M78">
        <f t="shared" si="15"/>
        <v>183.20000000000002</v>
      </c>
      <c r="N78">
        <v>-1.5</v>
      </c>
      <c r="O78">
        <f t="shared" si="10"/>
        <v>6</v>
      </c>
      <c r="P78" s="5">
        <v>73</v>
      </c>
      <c r="Q78" s="6">
        <f t="shared" ref="Q78:Q116" si="17">0.35+((P78-7)/104)*(1-0.35)</f>
        <v>0.76249999999999996</v>
      </c>
      <c r="R78" s="11">
        <f t="shared" si="11"/>
        <v>1.1437499999999998</v>
      </c>
      <c r="S78" s="11">
        <f t="shared" si="12"/>
        <v>-1.1437499999999998</v>
      </c>
      <c r="T78" s="14">
        <f t="shared" si="8"/>
        <v>18.026250000000019</v>
      </c>
      <c r="V78">
        <v>743.5</v>
      </c>
      <c r="X78">
        <f t="shared" si="16"/>
        <v>86394.4</v>
      </c>
      <c r="AA78">
        <v>9.7876316596586008</v>
      </c>
    </row>
    <row r="79" spans="1:27" x14ac:dyDescent="0.25">
      <c r="A79" s="74"/>
      <c r="B79" s="8"/>
      <c r="C79" s="9">
        <v>41957</v>
      </c>
      <c r="D79">
        <v>12.8</v>
      </c>
      <c r="E79">
        <v>11.3</v>
      </c>
      <c r="F79">
        <v>15.6</v>
      </c>
      <c r="G79">
        <f t="shared" si="13"/>
        <v>1288.6999999999998</v>
      </c>
      <c r="J79">
        <v>11.1</v>
      </c>
      <c r="K79">
        <f t="shared" si="14"/>
        <v>99.299999999999983</v>
      </c>
      <c r="L79">
        <v>0.9</v>
      </c>
      <c r="M79">
        <f t="shared" si="15"/>
        <v>184.10000000000002</v>
      </c>
      <c r="N79">
        <v>10.199999999999999</v>
      </c>
      <c r="O79">
        <f t="shared" si="10"/>
        <v>16.2</v>
      </c>
      <c r="P79" s="5">
        <v>74</v>
      </c>
      <c r="Q79" s="6">
        <f t="shared" si="17"/>
        <v>0.76875000000000004</v>
      </c>
      <c r="R79" s="11">
        <f t="shared" si="11"/>
        <v>0.69187500000000002</v>
      </c>
      <c r="S79" s="11">
        <f t="shared" si="12"/>
        <v>10.408125</v>
      </c>
      <c r="T79" s="14">
        <f t="shared" si="8"/>
        <v>28.434375000000017</v>
      </c>
      <c r="V79">
        <v>400.4</v>
      </c>
      <c r="X79">
        <f t="shared" si="16"/>
        <v>86794.799999999988</v>
      </c>
      <c r="AA79">
        <v>9.7484475352214695</v>
      </c>
    </row>
    <row r="80" spans="1:27" x14ac:dyDescent="0.25">
      <c r="A80" s="74"/>
      <c r="B80" s="8"/>
      <c r="C80" s="9">
        <v>41958</v>
      </c>
      <c r="D80">
        <v>10.199999999999999</v>
      </c>
      <c r="E80">
        <v>6</v>
      </c>
      <c r="F80">
        <v>14.9</v>
      </c>
      <c r="G80">
        <f t="shared" si="13"/>
        <v>1298.8999999999999</v>
      </c>
      <c r="J80">
        <v>1.6</v>
      </c>
      <c r="K80">
        <f t="shared" si="14"/>
        <v>100.89999999999998</v>
      </c>
      <c r="L80">
        <v>1.2</v>
      </c>
      <c r="M80">
        <f t="shared" si="15"/>
        <v>185.3</v>
      </c>
      <c r="N80">
        <v>0.40000000000000013</v>
      </c>
      <c r="O80">
        <f t="shared" si="10"/>
        <v>16.599999999999998</v>
      </c>
      <c r="P80" s="5">
        <v>75</v>
      </c>
      <c r="Q80" s="6">
        <f t="shared" si="17"/>
        <v>0.77500000000000002</v>
      </c>
      <c r="R80" s="11">
        <f t="shared" si="11"/>
        <v>0.92999999999999994</v>
      </c>
      <c r="S80" s="11">
        <f t="shared" si="12"/>
        <v>0.67000000000000015</v>
      </c>
      <c r="T80" s="14">
        <f t="shared" si="8"/>
        <v>29.104375000000019</v>
      </c>
      <c r="V80">
        <v>828.5</v>
      </c>
      <c r="X80">
        <f t="shared" si="16"/>
        <v>87623.299999999988</v>
      </c>
      <c r="AA80">
        <v>9.7098576054304893</v>
      </c>
    </row>
    <row r="81" spans="1:27" x14ac:dyDescent="0.25">
      <c r="A81" s="74"/>
      <c r="B81" s="8"/>
      <c r="C81" s="9">
        <v>41959</v>
      </c>
      <c r="D81">
        <v>9.6</v>
      </c>
      <c r="E81">
        <v>7</v>
      </c>
      <c r="F81">
        <v>13</v>
      </c>
      <c r="G81">
        <f t="shared" si="13"/>
        <v>1308.4999999999998</v>
      </c>
      <c r="J81">
        <v>13.6</v>
      </c>
      <c r="K81">
        <f t="shared" si="14"/>
        <v>114.49999999999997</v>
      </c>
      <c r="L81">
        <v>0.8</v>
      </c>
      <c r="M81">
        <f t="shared" si="15"/>
        <v>186.10000000000002</v>
      </c>
      <c r="N81">
        <v>12.799999999999999</v>
      </c>
      <c r="O81">
        <f t="shared" si="10"/>
        <v>29.4</v>
      </c>
      <c r="P81" s="5">
        <v>76</v>
      </c>
      <c r="Q81" s="6">
        <f t="shared" si="17"/>
        <v>0.78125</v>
      </c>
      <c r="R81" s="11">
        <f t="shared" si="11"/>
        <v>0.625</v>
      </c>
      <c r="S81" s="11">
        <f t="shared" si="12"/>
        <v>12.975</v>
      </c>
      <c r="T81" s="14">
        <f t="shared" si="8"/>
        <v>42.07937500000002</v>
      </c>
      <c r="V81">
        <v>152.6</v>
      </c>
      <c r="X81">
        <f t="shared" si="16"/>
        <v>87775.9</v>
      </c>
      <c r="AA81">
        <v>9.6718843419651996</v>
      </c>
    </row>
    <row r="82" spans="1:27" x14ac:dyDescent="0.25">
      <c r="A82" s="74"/>
      <c r="B82" s="8"/>
      <c r="C82" s="9">
        <v>41960</v>
      </c>
      <c r="D82">
        <v>10</v>
      </c>
      <c r="E82">
        <v>9.3000000000000007</v>
      </c>
      <c r="F82">
        <v>10.3</v>
      </c>
      <c r="G82">
        <f t="shared" si="13"/>
        <v>1318.4999999999998</v>
      </c>
      <c r="J82">
        <v>2.2999999999999998</v>
      </c>
      <c r="K82">
        <f t="shared" si="14"/>
        <v>116.79999999999997</v>
      </c>
      <c r="L82">
        <v>1.1000000000000001</v>
      </c>
      <c r="M82">
        <f t="shared" si="15"/>
        <v>187.20000000000002</v>
      </c>
      <c r="N82">
        <v>1.1999999999999997</v>
      </c>
      <c r="O82">
        <f t="shared" si="10"/>
        <v>30.599999999999998</v>
      </c>
      <c r="P82" s="5">
        <v>77</v>
      </c>
      <c r="Q82" s="6">
        <f t="shared" si="17"/>
        <v>0.78750000000000009</v>
      </c>
      <c r="R82" s="11">
        <f t="shared" si="11"/>
        <v>0.86625000000000019</v>
      </c>
      <c r="S82" s="11">
        <f t="shared" si="12"/>
        <v>1.4337499999999996</v>
      </c>
      <c r="T82" s="14">
        <f t="shared" si="8"/>
        <v>43.513125000000016</v>
      </c>
      <c r="V82">
        <v>574</v>
      </c>
      <c r="X82">
        <f t="shared" si="16"/>
        <v>88349.9</v>
      </c>
      <c r="AA82">
        <v>9.6345505545468395</v>
      </c>
    </row>
    <row r="83" spans="1:27" x14ac:dyDescent="0.25">
      <c r="A83" s="74"/>
      <c r="B83" s="8"/>
      <c r="C83" s="9">
        <v>41961</v>
      </c>
      <c r="D83">
        <v>10.7</v>
      </c>
      <c r="E83">
        <v>9.9</v>
      </c>
      <c r="F83">
        <v>15.2</v>
      </c>
      <c r="G83">
        <f t="shared" si="13"/>
        <v>1329.1999999999998</v>
      </c>
      <c r="J83">
        <v>0.3</v>
      </c>
      <c r="K83">
        <f t="shared" si="14"/>
        <v>117.09999999999997</v>
      </c>
      <c r="L83">
        <v>1.8</v>
      </c>
      <c r="M83">
        <f t="shared" si="15"/>
        <v>189.00000000000003</v>
      </c>
      <c r="N83">
        <v>-1.5</v>
      </c>
      <c r="O83">
        <f t="shared" si="10"/>
        <v>29.099999999999998</v>
      </c>
      <c r="P83" s="5">
        <v>78</v>
      </c>
      <c r="Q83" s="6">
        <f t="shared" si="17"/>
        <v>0.79374999999999996</v>
      </c>
      <c r="R83" s="11">
        <f t="shared" si="11"/>
        <v>1.42875</v>
      </c>
      <c r="S83" s="11">
        <f t="shared" si="12"/>
        <v>-1.1287499999999999</v>
      </c>
      <c r="T83" s="14">
        <f t="shared" si="8"/>
        <v>42.38437500000002</v>
      </c>
      <c r="V83">
        <v>765.2</v>
      </c>
      <c r="X83">
        <f t="shared" si="16"/>
        <v>89115.099999999991</v>
      </c>
      <c r="AA83">
        <v>9.5978793622234999</v>
      </c>
    </row>
    <row r="84" spans="1:27" x14ac:dyDescent="0.25">
      <c r="A84" s="74"/>
      <c r="B84" s="8"/>
      <c r="C84" s="9">
        <v>41962</v>
      </c>
      <c r="D84">
        <v>10.5</v>
      </c>
      <c r="E84">
        <v>6</v>
      </c>
      <c r="F84">
        <v>14.7</v>
      </c>
      <c r="G84">
        <f t="shared" si="13"/>
        <v>1339.6999999999998</v>
      </c>
      <c r="J84">
        <v>0</v>
      </c>
      <c r="K84">
        <f t="shared" si="14"/>
        <v>117.09999999999997</v>
      </c>
      <c r="L84">
        <v>1.1000000000000001</v>
      </c>
      <c r="M84">
        <f t="shared" si="15"/>
        <v>190.10000000000002</v>
      </c>
      <c r="N84">
        <v>-1.1000000000000001</v>
      </c>
      <c r="O84">
        <f t="shared" si="10"/>
        <v>27.999999999999996</v>
      </c>
      <c r="P84" s="5">
        <v>79</v>
      </c>
      <c r="Q84" s="6">
        <f t="shared" si="17"/>
        <v>0.8</v>
      </c>
      <c r="R84" s="11">
        <f t="shared" si="11"/>
        <v>0.88000000000000012</v>
      </c>
      <c r="S84" s="11">
        <f t="shared" si="12"/>
        <v>-0.88000000000000012</v>
      </c>
      <c r="T84" s="14">
        <f t="shared" si="8"/>
        <v>41.504375000000017</v>
      </c>
      <c r="V84">
        <v>719.1</v>
      </c>
      <c r="X84">
        <f t="shared" si="16"/>
        <v>89834.2</v>
      </c>
      <c r="AA84">
        <v>9.5618941619146405</v>
      </c>
    </row>
    <row r="85" spans="1:27" x14ac:dyDescent="0.25">
      <c r="A85" s="74"/>
      <c r="B85" s="8"/>
      <c r="C85" s="9">
        <v>41963</v>
      </c>
      <c r="D85">
        <v>12.8</v>
      </c>
      <c r="E85">
        <v>9.1</v>
      </c>
      <c r="F85">
        <v>15.9</v>
      </c>
      <c r="G85">
        <f t="shared" si="13"/>
        <v>1352.4999999999998</v>
      </c>
      <c r="J85">
        <v>0.1</v>
      </c>
      <c r="K85">
        <f t="shared" si="14"/>
        <v>117.19999999999996</v>
      </c>
      <c r="L85">
        <v>1.7</v>
      </c>
      <c r="M85">
        <f t="shared" si="15"/>
        <v>191.8</v>
      </c>
      <c r="N85">
        <v>-1.5999999999999999</v>
      </c>
      <c r="O85">
        <f t="shared" si="10"/>
        <v>26.399999999999995</v>
      </c>
      <c r="P85" s="5">
        <v>80</v>
      </c>
      <c r="Q85" s="6">
        <f t="shared" si="17"/>
        <v>0.80624999999999991</v>
      </c>
      <c r="R85" s="11">
        <f t="shared" si="11"/>
        <v>1.3706249999999998</v>
      </c>
      <c r="S85" s="11">
        <f t="shared" si="12"/>
        <v>-1.2706249999999997</v>
      </c>
      <c r="T85" s="14">
        <f t="shared" si="8"/>
        <v>40.233750000000015</v>
      </c>
      <c r="V85">
        <v>732</v>
      </c>
      <c r="X85">
        <f t="shared" si="16"/>
        <v>90566.2</v>
      </c>
      <c r="AA85">
        <v>9.5266185941885198</v>
      </c>
    </row>
    <row r="86" spans="1:27" x14ac:dyDescent="0.25">
      <c r="A86" s="74"/>
      <c r="B86" s="8"/>
      <c r="C86" s="9">
        <v>41964</v>
      </c>
      <c r="D86">
        <v>14.9</v>
      </c>
      <c r="E86">
        <v>12.6</v>
      </c>
      <c r="F86">
        <v>18.100000000000001</v>
      </c>
      <c r="G86">
        <f t="shared" si="13"/>
        <v>1367.3999999999999</v>
      </c>
      <c r="J86">
        <v>0.2</v>
      </c>
      <c r="K86">
        <f t="shared" si="14"/>
        <v>117.39999999999996</v>
      </c>
      <c r="L86">
        <v>2.1</v>
      </c>
      <c r="M86">
        <f t="shared" si="15"/>
        <v>193.9</v>
      </c>
      <c r="N86">
        <v>-1.9000000000000001</v>
      </c>
      <c r="O86">
        <f t="shared" si="10"/>
        <v>24.499999999999996</v>
      </c>
      <c r="P86" s="5">
        <v>81</v>
      </c>
      <c r="Q86" s="6">
        <f t="shared" si="17"/>
        <v>0.8125</v>
      </c>
      <c r="R86" s="11">
        <f t="shared" si="11"/>
        <v>1.70625</v>
      </c>
      <c r="S86" s="11">
        <f t="shared" si="12"/>
        <v>-1.5062500000000001</v>
      </c>
      <c r="T86" s="14">
        <f t="shared" si="8"/>
        <v>38.727500000000013</v>
      </c>
      <c r="V86">
        <v>833</v>
      </c>
      <c r="X86">
        <f t="shared" si="16"/>
        <v>91399.2</v>
      </c>
      <c r="AA86">
        <v>9.4920765062624106</v>
      </c>
    </row>
    <row r="87" spans="1:27" x14ac:dyDescent="0.25">
      <c r="A87" s="74"/>
      <c r="B87" s="8"/>
      <c r="C87" s="9">
        <v>41965</v>
      </c>
      <c r="D87">
        <v>16.2</v>
      </c>
      <c r="E87">
        <v>14.4</v>
      </c>
      <c r="F87">
        <v>19.2</v>
      </c>
      <c r="G87">
        <f t="shared" si="13"/>
        <v>1383.6</v>
      </c>
      <c r="J87">
        <v>0</v>
      </c>
      <c r="K87">
        <f t="shared" si="14"/>
        <v>117.39999999999996</v>
      </c>
      <c r="L87">
        <v>1.6</v>
      </c>
      <c r="M87">
        <f t="shared" si="15"/>
        <v>195.5</v>
      </c>
      <c r="N87">
        <v>-1.6</v>
      </c>
      <c r="O87">
        <f t="shared" si="10"/>
        <v>22.899999999999995</v>
      </c>
      <c r="P87" s="5">
        <v>82</v>
      </c>
      <c r="Q87" s="6">
        <f t="shared" si="17"/>
        <v>0.81874999999999998</v>
      </c>
      <c r="R87" s="11">
        <f t="shared" si="11"/>
        <v>1.31</v>
      </c>
      <c r="S87" s="11">
        <f t="shared" si="12"/>
        <v>-1.31</v>
      </c>
      <c r="T87" s="14">
        <f t="shared" ref="T87:T150" si="18">MIN(122.1,(T86+S87))</f>
        <v>37.417500000000011</v>
      </c>
      <c r="V87">
        <v>480.4</v>
      </c>
      <c r="X87">
        <f t="shared" si="16"/>
        <v>91879.599999999991</v>
      </c>
      <c r="AA87">
        <v>9.4582919122330207</v>
      </c>
    </row>
    <row r="88" spans="1:27" x14ac:dyDescent="0.25">
      <c r="A88" s="74"/>
      <c r="B88" s="8"/>
      <c r="C88" s="9">
        <v>41966</v>
      </c>
      <c r="D88">
        <v>16.899999999999999</v>
      </c>
      <c r="E88">
        <v>15.4</v>
      </c>
      <c r="F88">
        <v>18.399999999999999</v>
      </c>
      <c r="G88">
        <f t="shared" si="13"/>
        <v>1400.5</v>
      </c>
      <c r="J88">
        <v>0</v>
      </c>
      <c r="K88">
        <f t="shared" si="14"/>
        <v>117.39999999999996</v>
      </c>
      <c r="L88">
        <v>1.7</v>
      </c>
      <c r="M88">
        <f t="shared" si="15"/>
        <v>197.2</v>
      </c>
      <c r="N88">
        <v>-1.7</v>
      </c>
      <c r="O88">
        <f t="shared" si="10"/>
        <v>21.199999999999996</v>
      </c>
      <c r="P88" s="5">
        <v>83</v>
      </c>
      <c r="Q88" s="6">
        <f t="shared" si="17"/>
        <v>0.82499999999999996</v>
      </c>
      <c r="R88" s="11">
        <f t="shared" si="11"/>
        <v>1.4024999999999999</v>
      </c>
      <c r="S88" s="11">
        <f t="shared" si="12"/>
        <v>-1.4024999999999999</v>
      </c>
      <c r="T88" s="14">
        <f t="shared" si="18"/>
        <v>36.015000000000015</v>
      </c>
      <c r="V88">
        <v>340.9</v>
      </c>
      <c r="X88">
        <f t="shared" si="16"/>
        <v>92220.499999999985</v>
      </c>
      <c r="AA88">
        <v>9.4252889505638695</v>
      </c>
    </row>
    <row r="89" spans="1:27" x14ac:dyDescent="0.25">
      <c r="A89" s="74"/>
      <c r="B89" s="8"/>
      <c r="C89" s="9">
        <v>41967</v>
      </c>
      <c r="D89">
        <v>15.7</v>
      </c>
      <c r="E89">
        <v>14.7</v>
      </c>
      <c r="F89">
        <v>17.2</v>
      </c>
      <c r="G89">
        <f t="shared" si="13"/>
        <v>1416.2</v>
      </c>
      <c r="J89">
        <v>0.1</v>
      </c>
      <c r="K89">
        <f t="shared" si="14"/>
        <v>117.49999999999996</v>
      </c>
      <c r="L89">
        <v>0.9</v>
      </c>
      <c r="M89">
        <f t="shared" si="15"/>
        <v>198.1</v>
      </c>
      <c r="N89">
        <v>-0.8</v>
      </c>
      <c r="O89">
        <f t="shared" si="10"/>
        <v>20.399999999999995</v>
      </c>
      <c r="P89" s="5">
        <v>84</v>
      </c>
      <c r="Q89" s="6">
        <f t="shared" si="17"/>
        <v>0.83125000000000004</v>
      </c>
      <c r="R89" s="11">
        <f t="shared" si="11"/>
        <v>0.74812500000000004</v>
      </c>
      <c r="S89" s="11">
        <f t="shared" si="12"/>
        <v>-0.64812500000000006</v>
      </c>
      <c r="T89" s="14">
        <f t="shared" si="18"/>
        <v>35.366875000000014</v>
      </c>
      <c r="V89">
        <v>312.8</v>
      </c>
      <c r="X89">
        <f t="shared" si="16"/>
        <v>92533.299999999988</v>
      </c>
      <c r="AA89">
        <v>9.3930918388768099</v>
      </c>
    </row>
    <row r="90" spans="1:27" x14ac:dyDescent="0.25">
      <c r="A90" s="74"/>
      <c r="B90" s="8"/>
      <c r="C90" s="9">
        <v>41968</v>
      </c>
      <c r="D90">
        <v>13.7</v>
      </c>
      <c r="E90">
        <v>13</v>
      </c>
      <c r="F90">
        <v>14.7</v>
      </c>
      <c r="G90">
        <f t="shared" si="13"/>
        <v>1429.9</v>
      </c>
      <c r="J90">
        <v>4.2</v>
      </c>
      <c r="K90">
        <f t="shared" si="14"/>
        <v>121.69999999999996</v>
      </c>
      <c r="L90">
        <v>0.5</v>
      </c>
      <c r="M90">
        <f t="shared" si="15"/>
        <v>198.6</v>
      </c>
      <c r="N90">
        <v>3.7</v>
      </c>
      <c r="O90">
        <f t="shared" si="10"/>
        <v>24.099999999999994</v>
      </c>
      <c r="P90" s="5">
        <v>85</v>
      </c>
      <c r="Q90" s="6">
        <f t="shared" si="17"/>
        <v>0.83750000000000002</v>
      </c>
      <c r="R90" s="11">
        <f t="shared" si="11"/>
        <v>0.41875000000000001</v>
      </c>
      <c r="S90" s="11">
        <f t="shared" si="12"/>
        <v>3.78125</v>
      </c>
      <c r="T90" s="14">
        <f t="shared" si="18"/>
        <v>39.148125000000014</v>
      </c>
      <c r="V90">
        <v>143.9</v>
      </c>
      <c r="X90">
        <f t="shared" si="16"/>
        <v>92677.199999999983</v>
      </c>
      <c r="AA90">
        <v>9.3617248261170491</v>
      </c>
    </row>
    <row r="91" spans="1:27" x14ac:dyDescent="0.25">
      <c r="A91" s="74"/>
      <c r="B91" s="8"/>
      <c r="C91" s="9">
        <v>41969</v>
      </c>
      <c r="D91">
        <v>12.8</v>
      </c>
      <c r="E91">
        <v>11.5</v>
      </c>
      <c r="F91">
        <v>13.5</v>
      </c>
      <c r="G91">
        <f t="shared" si="13"/>
        <v>1442.7</v>
      </c>
      <c r="J91">
        <v>7</v>
      </c>
      <c r="K91">
        <f t="shared" si="14"/>
        <v>128.69999999999996</v>
      </c>
      <c r="L91">
        <v>0.2</v>
      </c>
      <c r="M91">
        <f t="shared" si="15"/>
        <v>198.79999999999998</v>
      </c>
      <c r="N91">
        <v>6.8</v>
      </c>
      <c r="O91">
        <f t="shared" si="10"/>
        <v>30.899999999999995</v>
      </c>
      <c r="P91" s="5">
        <v>86</v>
      </c>
      <c r="Q91" s="6">
        <f t="shared" si="17"/>
        <v>0.84375</v>
      </c>
      <c r="R91" s="11">
        <f t="shared" si="11"/>
        <v>0.16875000000000001</v>
      </c>
      <c r="S91" s="11">
        <f t="shared" si="12"/>
        <v>6.8312499999999998</v>
      </c>
      <c r="T91" s="14">
        <f t="shared" si="18"/>
        <v>45.979375000000012</v>
      </c>
      <c r="V91">
        <v>77.7</v>
      </c>
      <c r="X91">
        <f t="shared" si="16"/>
        <v>92754.89999999998</v>
      </c>
      <c r="AA91">
        <v>9.3312121421840395</v>
      </c>
    </row>
    <row r="92" spans="1:27" x14ac:dyDescent="0.25">
      <c r="A92" s="74"/>
      <c r="B92" s="8"/>
      <c r="C92" s="9">
        <v>41970</v>
      </c>
      <c r="D92">
        <v>13.1</v>
      </c>
      <c r="E92">
        <v>10.9</v>
      </c>
      <c r="F92">
        <v>16.2</v>
      </c>
      <c r="G92">
        <f t="shared" si="13"/>
        <v>1455.8</v>
      </c>
      <c r="J92">
        <v>0</v>
      </c>
      <c r="K92">
        <f t="shared" si="14"/>
        <v>128.69999999999996</v>
      </c>
      <c r="L92">
        <v>1.4</v>
      </c>
      <c r="M92">
        <f t="shared" si="15"/>
        <v>200.2</v>
      </c>
      <c r="N92">
        <v>-1.4</v>
      </c>
      <c r="O92">
        <f t="shared" si="10"/>
        <v>29.499999999999996</v>
      </c>
      <c r="P92" s="5">
        <v>87</v>
      </c>
      <c r="Q92" s="6">
        <f t="shared" si="17"/>
        <v>0.85</v>
      </c>
      <c r="R92" s="11">
        <f t="shared" si="11"/>
        <v>1.19</v>
      </c>
      <c r="S92" s="11">
        <f t="shared" si="12"/>
        <v>-1.19</v>
      </c>
      <c r="T92" s="14">
        <f t="shared" si="18"/>
        <v>44.789375000000014</v>
      </c>
      <c r="V92">
        <v>642.1</v>
      </c>
      <c r="X92">
        <f t="shared" si="16"/>
        <v>93396.999999999985</v>
      </c>
      <c r="AA92">
        <v>9.3015779451449401</v>
      </c>
    </row>
    <row r="93" spans="1:27" x14ac:dyDescent="0.25">
      <c r="A93" s="74"/>
      <c r="B93" s="8"/>
      <c r="C93" s="9">
        <v>41971</v>
      </c>
      <c r="D93">
        <v>17</v>
      </c>
      <c r="E93">
        <v>12.9</v>
      </c>
      <c r="F93">
        <v>19.100000000000001</v>
      </c>
      <c r="G93">
        <f t="shared" si="13"/>
        <v>1472.8</v>
      </c>
      <c r="J93">
        <v>0</v>
      </c>
      <c r="K93">
        <f t="shared" si="14"/>
        <v>128.69999999999996</v>
      </c>
      <c r="L93">
        <v>2.7</v>
      </c>
      <c r="M93">
        <f t="shared" si="15"/>
        <v>202.89999999999998</v>
      </c>
      <c r="N93">
        <v>-2.7</v>
      </c>
      <c r="O93">
        <f t="shared" si="10"/>
        <v>26.799999999999997</v>
      </c>
      <c r="P93" s="5">
        <v>88</v>
      </c>
      <c r="Q93" s="6">
        <f t="shared" si="17"/>
        <v>0.85624999999999996</v>
      </c>
      <c r="R93" s="11">
        <f t="shared" si="11"/>
        <v>2.3118750000000001</v>
      </c>
      <c r="S93" s="11">
        <f t="shared" si="12"/>
        <v>-2.3118750000000001</v>
      </c>
      <c r="T93" s="14">
        <f t="shared" si="18"/>
        <v>42.477500000000013</v>
      </c>
      <c r="V93">
        <v>406.1</v>
      </c>
      <c r="X93">
        <f t="shared" si="16"/>
        <v>93803.099999999991</v>
      </c>
      <c r="AA93">
        <v>9.2728462661720794</v>
      </c>
    </row>
    <row r="94" spans="1:27" x14ac:dyDescent="0.25">
      <c r="A94" s="74"/>
      <c r="B94" s="8"/>
      <c r="C94" s="9">
        <v>41972</v>
      </c>
      <c r="D94">
        <v>16.600000000000001</v>
      </c>
      <c r="E94">
        <v>15.7</v>
      </c>
      <c r="F94">
        <v>18</v>
      </c>
      <c r="G94">
        <f t="shared" si="13"/>
        <v>1489.3999999999999</v>
      </c>
      <c r="J94">
        <v>6.3</v>
      </c>
      <c r="K94">
        <f t="shared" si="14"/>
        <v>134.99999999999997</v>
      </c>
      <c r="L94">
        <v>2.2000000000000002</v>
      </c>
      <c r="M94">
        <f t="shared" si="15"/>
        <v>205.09999999999997</v>
      </c>
      <c r="N94">
        <v>4.0999999999999996</v>
      </c>
      <c r="O94">
        <f t="shared" si="10"/>
        <v>30.9</v>
      </c>
      <c r="P94" s="5">
        <v>89</v>
      </c>
      <c r="Q94" s="6">
        <f t="shared" si="17"/>
        <v>0.86249999999999993</v>
      </c>
      <c r="R94" s="11">
        <f t="shared" si="11"/>
        <v>1.8975</v>
      </c>
      <c r="S94" s="11">
        <f t="shared" si="12"/>
        <v>4.4024999999999999</v>
      </c>
      <c r="T94" s="14">
        <f t="shared" si="18"/>
        <v>46.88000000000001</v>
      </c>
      <c r="V94">
        <v>314.89999999999998</v>
      </c>
      <c r="X94">
        <f t="shared" si="16"/>
        <v>94117.999999999985</v>
      </c>
      <c r="AA94">
        <v>9.2450409523719106</v>
      </c>
    </row>
    <row r="95" spans="1:27" x14ac:dyDescent="0.25">
      <c r="A95" s="74"/>
      <c r="B95" s="8"/>
      <c r="C95" s="9">
        <v>41973</v>
      </c>
      <c r="D95">
        <v>14.1</v>
      </c>
      <c r="E95">
        <v>12.3</v>
      </c>
      <c r="F95">
        <v>16.399999999999999</v>
      </c>
      <c r="G95">
        <f t="shared" si="13"/>
        <v>1503.4999999999998</v>
      </c>
      <c r="J95">
        <v>4.8</v>
      </c>
      <c r="K95">
        <f t="shared" si="14"/>
        <v>139.79999999999998</v>
      </c>
      <c r="L95">
        <v>0.8</v>
      </c>
      <c r="M95">
        <f t="shared" si="15"/>
        <v>205.89999999999998</v>
      </c>
      <c r="N95">
        <v>4</v>
      </c>
      <c r="O95">
        <f t="shared" si="10"/>
        <v>34.9</v>
      </c>
      <c r="P95" s="5">
        <v>90</v>
      </c>
      <c r="Q95" s="6">
        <f t="shared" si="17"/>
        <v>0.86875000000000002</v>
      </c>
      <c r="R95" s="11">
        <f t="shared" si="11"/>
        <v>0.69500000000000006</v>
      </c>
      <c r="S95" s="11">
        <f t="shared" si="12"/>
        <v>4.1049999999999995</v>
      </c>
      <c r="T95" s="14">
        <f t="shared" si="18"/>
        <v>50.985000000000007</v>
      </c>
      <c r="V95">
        <v>248.6</v>
      </c>
      <c r="X95">
        <f t="shared" si="16"/>
        <v>94366.599999999991</v>
      </c>
      <c r="AA95">
        <v>9.2181856076983308</v>
      </c>
    </row>
    <row r="96" spans="1:27" x14ac:dyDescent="0.25">
      <c r="A96" s="74"/>
      <c r="B96" s="8"/>
      <c r="C96" s="9">
        <v>41974</v>
      </c>
      <c r="D96">
        <v>8.3000000000000007</v>
      </c>
      <c r="E96">
        <v>5.8</v>
      </c>
      <c r="F96">
        <v>9.8000000000000007</v>
      </c>
      <c r="G96">
        <f t="shared" si="13"/>
        <v>1511.7999999999997</v>
      </c>
      <c r="J96">
        <v>0.2</v>
      </c>
      <c r="K96">
        <f t="shared" si="14"/>
        <v>139.99999999999997</v>
      </c>
      <c r="L96">
        <v>0.6</v>
      </c>
      <c r="M96">
        <f t="shared" si="15"/>
        <v>206.49999999999997</v>
      </c>
      <c r="N96">
        <v>-0.39999999999999997</v>
      </c>
      <c r="O96">
        <f t="shared" si="10"/>
        <v>34.5</v>
      </c>
      <c r="P96" s="5">
        <v>91</v>
      </c>
      <c r="Q96" s="6">
        <f t="shared" si="17"/>
        <v>0.875</v>
      </c>
      <c r="R96" s="11">
        <f t="shared" si="11"/>
        <v>0.52500000000000002</v>
      </c>
      <c r="S96" s="11">
        <f t="shared" si="12"/>
        <v>-0.32500000000000001</v>
      </c>
      <c r="T96" s="14">
        <f t="shared" si="18"/>
        <v>50.660000000000004</v>
      </c>
      <c r="V96">
        <v>440.7</v>
      </c>
      <c r="X96">
        <f t="shared" si="16"/>
        <v>94807.299999999988</v>
      </c>
      <c r="AA96">
        <v>9.1923035321696798</v>
      </c>
    </row>
    <row r="97" spans="1:27" x14ac:dyDescent="0.25">
      <c r="A97" s="74"/>
      <c r="B97" s="8"/>
      <c r="C97" s="9">
        <v>41975</v>
      </c>
      <c r="D97">
        <v>5.7</v>
      </c>
      <c r="E97">
        <v>4.5</v>
      </c>
      <c r="F97">
        <v>6.1</v>
      </c>
      <c r="G97">
        <f t="shared" si="13"/>
        <v>1517.4999999999998</v>
      </c>
      <c r="J97">
        <v>1.1000000000000001</v>
      </c>
      <c r="K97">
        <f t="shared" si="14"/>
        <v>141.09999999999997</v>
      </c>
      <c r="L97">
        <v>0.4</v>
      </c>
      <c r="M97">
        <f t="shared" si="15"/>
        <v>206.89999999999998</v>
      </c>
      <c r="N97">
        <v>0.70000000000000007</v>
      </c>
      <c r="O97">
        <f t="shared" si="10"/>
        <v>35.200000000000003</v>
      </c>
      <c r="P97" s="5">
        <v>92</v>
      </c>
      <c r="Q97" s="6">
        <f t="shared" si="17"/>
        <v>0.88124999999999998</v>
      </c>
      <c r="R97" s="11">
        <f t="shared" si="11"/>
        <v>0.35250000000000004</v>
      </c>
      <c r="S97" s="11">
        <f t="shared" si="12"/>
        <v>0.74750000000000005</v>
      </c>
      <c r="T97" s="14">
        <f t="shared" si="18"/>
        <v>51.407500000000006</v>
      </c>
      <c r="V97">
        <v>245.1</v>
      </c>
      <c r="X97">
        <f t="shared" si="16"/>
        <v>95052.4</v>
      </c>
      <c r="AA97">
        <v>9.1674176596340509</v>
      </c>
    </row>
    <row r="98" spans="1:27" x14ac:dyDescent="0.25">
      <c r="A98" s="74"/>
      <c r="B98" s="8"/>
      <c r="C98" s="9">
        <v>41976</v>
      </c>
      <c r="D98">
        <v>5.3</v>
      </c>
      <c r="E98">
        <v>4.7</v>
      </c>
      <c r="F98">
        <v>5.8</v>
      </c>
      <c r="G98">
        <f t="shared" si="13"/>
        <v>1522.7999999999997</v>
      </c>
      <c r="J98">
        <v>0</v>
      </c>
      <c r="K98">
        <f t="shared" si="14"/>
        <v>141.09999999999997</v>
      </c>
      <c r="L98">
        <v>0.6</v>
      </c>
      <c r="M98">
        <f t="shared" si="15"/>
        <v>207.49999999999997</v>
      </c>
      <c r="N98">
        <v>-0.6</v>
      </c>
      <c r="O98">
        <f t="shared" si="10"/>
        <v>34.6</v>
      </c>
      <c r="P98" s="5">
        <v>93</v>
      </c>
      <c r="Q98" s="6">
        <f t="shared" si="17"/>
        <v>0.88749999999999996</v>
      </c>
      <c r="R98" s="11">
        <f t="shared" si="11"/>
        <v>0.53249999999999997</v>
      </c>
      <c r="S98" s="11">
        <f t="shared" si="12"/>
        <v>-0.53249999999999997</v>
      </c>
      <c r="T98" s="14">
        <f t="shared" si="18"/>
        <v>50.875000000000007</v>
      </c>
      <c r="V98">
        <v>422.8</v>
      </c>
      <c r="X98">
        <f t="shared" si="16"/>
        <v>95475.199999999997</v>
      </c>
      <c r="AA98">
        <v>9.1435504943525494</v>
      </c>
    </row>
    <row r="99" spans="1:27" x14ac:dyDescent="0.25">
      <c r="A99" s="74"/>
      <c r="B99" s="8"/>
      <c r="C99" s="9">
        <v>41977</v>
      </c>
      <c r="D99">
        <v>6.1</v>
      </c>
      <c r="E99">
        <v>4.5999999999999996</v>
      </c>
      <c r="F99">
        <v>8.1999999999999993</v>
      </c>
      <c r="G99">
        <f t="shared" si="13"/>
        <v>1528.8999999999996</v>
      </c>
      <c r="J99">
        <v>0</v>
      </c>
      <c r="K99">
        <f t="shared" si="14"/>
        <v>141.09999999999997</v>
      </c>
      <c r="L99">
        <v>0.5</v>
      </c>
      <c r="M99">
        <f t="shared" si="15"/>
        <v>207.99999999999997</v>
      </c>
      <c r="N99">
        <v>-0.5</v>
      </c>
      <c r="O99">
        <f t="shared" si="10"/>
        <v>34.1</v>
      </c>
      <c r="P99" s="5">
        <v>94</v>
      </c>
      <c r="Q99" s="6">
        <f t="shared" si="17"/>
        <v>0.89375000000000004</v>
      </c>
      <c r="R99" s="11">
        <f t="shared" si="11"/>
        <v>0.44687500000000002</v>
      </c>
      <c r="S99" s="11">
        <f t="shared" si="12"/>
        <v>-0.44687500000000002</v>
      </c>
      <c r="T99" s="14">
        <f t="shared" si="18"/>
        <v>50.428125000000009</v>
      </c>
      <c r="V99">
        <v>329.7</v>
      </c>
      <c r="X99">
        <f t="shared" si="16"/>
        <v>95804.9</v>
      </c>
      <c r="AA99">
        <v>9.1207240466944004</v>
      </c>
    </row>
    <row r="100" spans="1:27" x14ac:dyDescent="0.25">
      <c r="A100" s="74"/>
      <c r="B100" s="8"/>
      <c r="C100" s="9">
        <v>41978</v>
      </c>
      <c r="D100">
        <v>6.1</v>
      </c>
      <c r="E100">
        <v>2</v>
      </c>
      <c r="F100">
        <v>8.6</v>
      </c>
      <c r="G100">
        <f t="shared" si="13"/>
        <v>1534.9999999999995</v>
      </c>
      <c r="J100">
        <v>1.9</v>
      </c>
      <c r="K100">
        <f t="shared" si="14"/>
        <v>142.99999999999997</v>
      </c>
      <c r="L100">
        <v>0.4</v>
      </c>
      <c r="M100">
        <f t="shared" si="15"/>
        <v>208.39999999999998</v>
      </c>
      <c r="N100">
        <v>1.5</v>
      </c>
      <c r="O100">
        <f t="shared" si="10"/>
        <v>35.6</v>
      </c>
      <c r="P100" s="5">
        <v>95</v>
      </c>
      <c r="Q100" s="6">
        <f t="shared" si="17"/>
        <v>0.9</v>
      </c>
      <c r="R100" s="11">
        <f t="shared" si="11"/>
        <v>0.36000000000000004</v>
      </c>
      <c r="S100" s="11">
        <f t="shared" si="12"/>
        <v>1.5399999999999998</v>
      </c>
      <c r="T100" s="14">
        <f t="shared" si="18"/>
        <v>51.968125000000008</v>
      </c>
      <c r="V100">
        <v>391.8</v>
      </c>
      <c r="X100">
        <f t="shared" si="16"/>
        <v>96196.7</v>
      </c>
      <c r="AA100">
        <v>9.0989597682599204</v>
      </c>
    </row>
    <row r="101" spans="1:27" x14ac:dyDescent="0.25">
      <c r="A101" s="74"/>
      <c r="B101" s="8"/>
      <c r="C101" s="9">
        <v>41979</v>
      </c>
      <c r="D101">
        <v>5.5</v>
      </c>
      <c r="E101">
        <v>4.5999999999999996</v>
      </c>
      <c r="F101">
        <v>6</v>
      </c>
      <c r="G101">
        <f t="shared" si="13"/>
        <v>1540.4999999999995</v>
      </c>
      <c r="J101">
        <v>3</v>
      </c>
      <c r="K101">
        <f t="shared" si="14"/>
        <v>145.99999999999997</v>
      </c>
      <c r="L101">
        <v>0.5</v>
      </c>
      <c r="M101">
        <f t="shared" si="15"/>
        <v>208.89999999999998</v>
      </c>
      <c r="N101">
        <v>2.5</v>
      </c>
      <c r="O101">
        <f t="shared" si="10"/>
        <v>38.1</v>
      </c>
      <c r="P101" s="5">
        <v>96</v>
      </c>
      <c r="Q101" s="6">
        <f t="shared" si="17"/>
        <v>0.90625</v>
      </c>
      <c r="R101" s="11">
        <f t="shared" si="11"/>
        <v>0.453125</v>
      </c>
      <c r="S101" s="11">
        <f t="shared" si="12"/>
        <v>2.546875</v>
      </c>
      <c r="T101" s="14">
        <f t="shared" si="18"/>
        <v>54.515000000000008</v>
      </c>
      <c r="V101">
        <v>134.69999999999999</v>
      </c>
      <c r="X101">
        <f t="shared" si="16"/>
        <v>96331.4</v>
      </c>
      <c r="AA101">
        <v>9.0782784867684505</v>
      </c>
    </row>
    <row r="102" spans="1:27" x14ac:dyDescent="0.25">
      <c r="A102" s="74"/>
      <c r="B102" s="8"/>
      <c r="C102" s="9">
        <v>41980</v>
      </c>
      <c r="D102">
        <v>6.6</v>
      </c>
      <c r="E102">
        <v>4.4000000000000004</v>
      </c>
      <c r="F102">
        <v>10.6</v>
      </c>
      <c r="G102">
        <f t="shared" si="13"/>
        <v>1547.0999999999995</v>
      </c>
      <c r="J102">
        <v>0.4</v>
      </c>
      <c r="K102">
        <f t="shared" si="14"/>
        <v>146.39999999999998</v>
      </c>
      <c r="L102">
        <v>1.6</v>
      </c>
      <c r="M102">
        <f t="shared" si="15"/>
        <v>210.49999999999997</v>
      </c>
      <c r="N102">
        <v>-1.2000000000000002</v>
      </c>
      <c r="O102">
        <f t="shared" si="10"/>
        <v>36.9</v>
      </c>
      <c r="P102" s="5">
        <v>97</v>
      </c>
      <c r="Q102" s="6">
        <f t="shared" si="17"/>
        <v>0.91249999999999998</v>
      </c>
      <c r="R102" s="11">
        <f t="shared" si="11"/>
        <v>1.46</v>
      </c>
      <c r="S102" s="11">
        <f t="shared" si="12"/>
        <v>-1.06</v>
      </c>
      <c r="T102" s="14">
        <f t="shared" si="18"/>
        <v>53.455000000000005</v>
      </c>
      <c r="V102">
        <v>703.5</v>
      </c>
      <c r="X102">
        <f t="shared" si="16"/>
        <v>97034.9</v>
      </c>
      <c r="AA102">
        <v>9.0587003410666203</v>
      </c>
    </row>
    <row r="103" spans="1:27" x14ac:dyDescent="0.25">
      <c r="A103" s="74"/>
      <c r="B103" s="8"/>
      <c r="C103" s="9">
        <v>41981</v>
      </c>
      <c r="D103">
        <v>9.8000000000000007</v>
      </c>
      <c r="E103">
        <v>7.4</v>
      </c>
      <c r="F103">
        <v>12.5</v>
      </c>
      <c r="G103">
        <f t="shared" si="13"/>
        <v>1556.8999999999994</v>
      </c>
      <c r="J103">
        <v>2.6</v>
      </c>
      <c r="K103">
        <f t="shared" si="14"/>
        <v>148.99999999999997</v>
      </c>
      <c r="L103">
        <v>1.2</v>
      </c>
      <c r="M103">
        <f t="shared" si="15"/>
        <v>211.69999999999996</v>
      </c>
      <c r="N103">
        <v>1.4000000000000001</v>
      </c>
      <c r="O103">
        <f t="shared" si="10"/>
        <v>38.299999999999997</v>
      </c>
      <c r="P103" s="5">
        <v>98</v>
      </c>
      <c r="Q103" s="6">
        <f t="shared" si="17"/>
        <v>0.91874999999999996</v>
      </c>
      <c r="R103" s="11">
        <f t="shared" si="11"/>
        <v>1.1024999999999998</v>
      </c>
      <c r="S103" s="11">
        <f t="shared" si="12"/>
        <v>1.4975000000000003</v>
      </c>
      <c r="T103" s="14">
        <f t="shared" si="18"/>
        <v>54.952500000000008</v>
      </c>
      <c r="V103">
        <v>492</v>
      </c>
      <c r="X103">
        <f t="shared" si="16"/>
        <v>97526.9</v>
      </c>
      <c r="AA103">
        <v>9.0402447166284698</v>
      </c>
    </row>
    <row r="104" spans="1:27" x14ac:dyDescent="0.25">
      <c r="A104" s="74"/>
      <c r="B104" s="8"/>
      <c r="C104" s="9">
        <v>41982</v>
      </c>
      <c r="D104">
        <v>4.5</v>
      </c>
      <c r="E104">
        <v>2.7</v>
      </c>
      <c r="F104">
        <v>7.1</v>
      </c>
      <c r="G104">
        <f t="shared" si="13"/>
        <v>1561.3999999999994</v>
      </c>
      <c r="J104">
        <v>0</v>
      </c>
      <c r="K104">
        <f t="shared" si="14"/>
        <v>148.99999999999997</v>
      </c>
      <c r="L104">
        <v>0.9</v>
      </c>
      <c r="M104">
        <f t="shared" si="15"/>
        <v>212.59999999999997</v>
      </c>
      <c r="N104">
        <v>-0.9</v>
      </c>
      <c r="O104">
        <f t="shared" si="10"/>
        <v>37.4</v>
      </c>
      <c r="P104" s="5">
        <v>99</v>
      </c>
      <c r="Q104" s="6">
        <f t="shared" si="17"/>
        <v>0.92499999999999993</v>
      </c>
      <c r="R104" s="11">
        <f t="shared" si="11"/>
        <v>0.83249999999999991</v>
      </c>
      <c r="S104" s="11">
        <f t="shared" si="12"/>
        <v>-0.83249999999999991</v>
      </c>
      <c r="T104" s="14">
        <f t="shared" si="18"/>
        <v>54.120000000000005</v>
      </c>
      <c r="V104">
        <v>624.6</v>
      </c>
      <c r="X104">
        <f t="shared" si="16"/>
        <v>98151.5</v>
      </c>
      <c r="AA104">
        <v>9.0229301819317502</v>
      </c>
    </row>
    <row r="105" spans="1:27" x14ac:dyDescent="0.25">
      <c r="A105" s="74"/>
      <c r="B105" s="8"/>
      <c r="C105" s="9">
        <v>41983</v>
      </c>
      <c r="D105">
        <v>8</v>
      </c>
      <c r="E105">
        <v>1.8</v>
      </c>
      <c r="F105">
        <v>12.4</v>
      </c>
      <c r="G105">
        <f t="shared" si="13"/>
        <v>1569.3999999999994</v>
      </c>
      <c r="J105">
        <v>3.3</v>
      </c>
      <c r="K105">
        <f t="shared" si="14"/>
        <v>152.29999999999998</v>
      </c>
      <c r="L105">
        <v>0.8</v>
      </c>
      <c r="M105">
        <f t="shared" si="15"/>
        <v>213.39999999999998</v>
      </c>
      <c r="N105">
        <v>2.5</v>
      </c>
      <c r="O105">
        <f t="shared" si="10"/>
        <v>39.9</v>
      </c>
      <c r="P105" s="5">
        <v>100</v>
      </c>
      <c r="Q105" s="6">
        <f t="shared" si="17"/>
        <v>0.93125000000000002</v>
      </c>
      <c r="R105" s="11">
        <f t="shared" si="11"/>
        <v>0.74500000000000011</v>
      </c>
      <c r="S105" s="11">
        <f t="shared" si="12"/>
        <v>2.5549999999999997</v>
      </c>
      <c r="T105" s="14">
        <f t="shared" si="18"/>
        <v>56.675000000000004</v>
      </c>
      <c r="V105">
        <v>539.79999999999995</v>
      </c>
      <c r="X105">
        <f t="shared" si="16"/>
        <v>98691.3</v>
      </c>
      <c r="AA105">
        <v>9.0067744261043305</v>
      </c>
    </row>
    <row r="106" spans="1:27" x14ac:dyDescent="0.25">
      <c r="A106" s="74"/>
      <c r="B106" s="8"/>
      <c r="C106" s="9">
        <v>41984</v>
      </c>
      <c r="D106">
        <v>9.6999999999999993</v>
      </c>
      <c r="E106">
        <v>10.199999999999999</v>
      </c>
      <c r="F106">
        <v>11.6</v>
      </c>
      <c r="G106">
        <f t="shared" si="13"/>
        <v>1579.0999999999995</v>
      </c>
      <c r="J106">
        <v>0.9</v>
      </c>
      <c r="K106">
        <f t="shared" si="14"/>
        <v>153.19999999999999</v>
      </c>
      <c r="L106">
        <v>1.3</v>
      </c>
      <c r="M106">
        <f t="shared" si="15"/>
        <v>214.7</v>
      </c>
      <c r="N106">
        <v>-0.4</v>
      </c>
      <c r="O106">
        <f t="shared" si="10"/>
        <v>39.5</v>
      </c>
      <c r="P106" s="5">
        <v>101</v>
      </c>
      <c r="Q106" s="6">
        <f t="shared" si="17"/>
        <v>0.9375</v>
      </c>
      <c r="R106" s="11">
        <f t="shared" si="11"/>
        <v>1.21875</v>
      </c>
      <c r="S106" s="11">
        <f t="shared" si="12"/>
        <v>-0.31874999999999998</v>
      </c>
      <c r="T106" s="14">
        <f t="shared" si="18"/>
        <v>56.356250000000003</v>
      </c>
      <c r="V106">
        <v>599.5</v>
      </c>
      <c r="X106">
        <f t="shared" si="16"/>
        <v>99290.8</v>
      </c>
      <c r="AA106" s="17">
        <v>8.9917941982407594</v>
      </c>
    </row>
    <row r="107" spans="1:27" x14ac:dyDescent="0.25">
      <c r="A107" s="74"/>
      <c r="B107" s="8"/>
      <c r="C107" s="9">
        <v>41985</v>
      </c>
      <c r="D107">
        <v>6.4</v>
      </c>
      <c r="E107">
        <v>-0.1</v>
      </c>
      <c r="F107">
        <v>10.6</v>
      </c>
      <c r="G107">
        <f t="shared" si="13"/>
        <v>1585.4999999999995</v>
      </c>
      <c r="J107">
        <v>0.2</v>
      </c>
      <c r="K107">
        <f t="shared" si="14"/>
        <v>153.39999999999998</v>
      </c>
      <c r="L107">
        <v>0.6</v>
      </c>
      <c r="M107">
        <f t="shared" si="15"/>
        <v>215.29999999999998</v>
      </c>
      <c r="N107">
        <v>-0.39999999999999997</v>
      </c>
      <c r="O107">
        <f t="shared" si="10"/>
        <v>39.1</v>
      </c>
      <c r="P107" s="5">
        <v>102</v>
      </c>
      <c r="Q107" s="6">
        <f t="shared" si="17"/>
        <v>0.94374999999999998</v>
      </c>
      <c r="R107" s="11">
        <f t="shared" si="11"/>
        <v>0.56624999999999992</v>
      </c>
      <c r="S107" s="11">
        <f t="shared" si="12"/>
        <v>-0.36624999999999991</v>
      </c>
      <c r="T107" s="14">
        <f t="shared" si="18"/>
        <v>55.99</v>
      </c>
      <c r="V107">
        <v>518.70000000000005</v>
      </c>
      <c r="X107">
        <f t="shared" si="16"/>
        <v>99809.5</v>
      </c>
      <c r="AA107" s="17">
        <v>8.9780052487909998</v>
      </c>
    </row>
    <row r="108" spans="1:27" x14ac:dyDescent="0.25">
      <c r="A108" s="74"/>
      <c r="B108" s="8"/>
      <c r="C108" s="9">
        <v>41986</v>
      </c>
      <c r="D108">
        <v>8.3000000000000007</v>
      </c>
      <c r="E108">
        <v>5.9</v>
      </c>
      <c r="F108">
        <v>12.3</v>
      </c>
      <c r="G108">
        <f t="shared" si="13"/>
        <v>1593.7999999999995</v>
      </c>
      <c r="J108">
        <v>0.2</v>
      </c>
      <c r="K108">
        <f t="shared" si="14"/>
        <v>153.59999999999997</v>
      </c>
      <c r="L108">
        <v>0.6</v>
      </c>
      <c r="M108">
        <f t="shared" si="15"/>
        <v>215.89999999999998</v>
      </c>
      <c r="N108">
        <v>-0.39999999999999997</v>
      </c>
      <c r="O108">
        <f t="shared" si="10"/>
        <v>38.700000000000003</v>
      </c>
      <c r="P108" s="5">
        <v>103</v>
      </c>
      <c r="Q108" s="6">
        <f t="shared" si="17"/>
        <v>0.95000000000000007</v>
      </c>
      <c r="R108" s="11">
        <f t="shared" si="11"/>
        <v>0.57000000000000006</v>
      </c>
      <c r="S108" s="11">
        <f t="shared" si="12"/>
        <v>-0.37000000000000005</v>
      </c>
      <c r="T108" s="14">
        <f t="shared" si="18"/>
        <v>55.620000000000005</v>
      </c>
      <c r="V108">
        <v>228.3</v>
      </c>
      <c r="X108">
        <f t="shared" si="16"/>
        <v>100037.8</v>
      </c>
      <c r="AA108" s="17">
        <v>8.9654222734210904</v>
      </c>
    </row>
    <row r="109" spans="1:27" x14ac:dyDescent="0.25">
      <c r="A109" s="74"/>
      <c r="B109" s="8"/>
      <c r="C109" s="9">
        <v>41987</v>
      </c>
      <c r="D109">
        <v>6.7</v>
      </c>
      <c r="E109">
        <v>3.7</v>
      </c>
      <c r="F109">
        <v>8.8000000000000007</v>
      </c>
      <c r="G109">
        <f t="shared" si="13"/>
        <v>1600.4999999999995</v>
      </c>
      <c r="J109">
        <v>0</v>
      </c>
      <c r="K109">
        <f t="shared" si="14"/>
        <v>153.59999999999997</v>
      </c>
      <c r="L109">
        <v>0.1</v>
      </c>
      <c r="M109">
        <f t="shared" si="15"/>
        <v>215.99999999999997</v>
      </c>
      <c r="N109">
        <v>-0.1</v>
      </c>
      <c r="O109">
        <f t="shared" si="10"/>
        <v>38.6</v>
      </c>
      <c r="P109" s="5">
        <v>104</v>
      </c>
      <c r="Q109" s="6">
        <f t="shared" si="17"/>
        <v>0.95625000000000004</v>
      </c>
      <c r="R109" s="11">
        <f t="shared" si="11"/>
        <v>9.5625000000000016E-2</v>
      </c>
      <c r="S109" s="11">
        <f t="shared" si="12"/>
        <v>-9.5625000000000016E-2</v>
      </c>
      <c r="T109" s="14">
        <f t="shared" si="18"/>
        <v>55.524375000000006</v>
      </c>
      <c r="V109">
        <v>67.599999999999994</v>
      </c>
      <c r="X109">
        <f t="shared" si="16"/>
        <v>100105.40000000001</v>
      </c>
      <c r="AA109" s="17">
        <v>8.9540588597394901</v>
      </c>
    </row>
    <row r="110" spans="1:27" x14ac:dyDescent="0.25">
      <c r="A110" s="74"/>
      <c r="B110" s="8"/>
      <c r="C110" s="9">
        <v>41988</v>
      </c>
      <c r="D110">
        <v>8.1</v>
      </c>
      <c r="E110">
        <v>7.7</v>
      </c>
      <c r="F110">
        <v>8.6999999999999993</v>
      </c>
      <c r="G110">
        <f t="shared" si="13"/>
        <v>1608.5999999999995</v>
      </c>
      <c r="J110">
        <v>0.1</v>
      </c>
      <c r="K110">
        <f t="shared" si="14"/>
        <v>153.69999999999996</v>
      </c>
      <c r="L110">
        <v>0.3</v>
      </c>
      <c r="M110">
        <f t="shared" si="15"/>
        <v>216.29999999999998</v>
      </c>
      <c r="N110">
        <v>-0.19999999999999998</v>
      </c>
      <c r="O110">
        <f t="shared" si="10"/>
        <v>38.4</v>
      </c>
      <c r="P110" s="5">
        <v>105</v>
      </c>
      <c r="Q110" s="6">
        <f t="shared" si="17"/>
        <v>0.96250000000000002</v>
      </c>
      <c r="R110" s="11">
        <f t="shared" si="11"/>
        <v>0.28875000000000001</v>
      </c>
      <c r="S110" s="11">
        <f t="shared" si="12"/>
        <v>-0.18875</v>
      </c>
      <c r="T110" s="14">
        <f t="shared" si="18"/>
        <v>55.335625000000007</v>
      </c>
      <c r="V110">
        <v>151.19999999999999</v>
      </c>
      <c r="X110">
        <f t="shared" si="16"/>
        <v>100256.6</v>
      </c>
      <c r="AA110" s="17">
        <v>8.9439274372714106</v>
      </c>
    </row>
    <row r="111" spans="1:27" x14ac:dyDescent="0.25">
      <c r="A111" s="74"/>
      <c r="B111" s="8"/>
      <c r="C111" s="9">
        <v>41989</v>
      </c>
      <c r="D111">
        <v>8.1</v>
      </c>
      <c r="E111">
        <v>4.9000000000000004</v>
      </c>
      <c r="F111">
        <v>9.9</v>
      </c>
      <c r="G111">
        <f t="shared" si="13"/>
        <v>1616.6999999999994</v>
      </c>
      <c r="J111">
        <v>0</v>
      </c>
      <c r="K111">
        <f t="shared" si="14"/>
        <v>153.69999999999996</v>
      </c>
      <c r="L111">
        <v>0.7</v>
      </c>
      <c r="M111">
        <f t="shared" si="15"/>
        <v>216.99999999999997</v>
      </c>
      <c r="N111">
        <v>-0.7</v>
      </c>
      <c r="O111">
        <f t="shared" si="10"/>
        <v>37.699999999999996</v>
      </c>
      <c r="P111" s="5">
        <v>106</v>
      </c>
      <c r="Q111" s="6">
        <f t="shared" si="17"/>
        <v>0.96875</v>
      </c>
      <c r="R111" s="11">
        <f t="shared" si="11"/>
        <v>0.67812499999999998</v>
      </c>
      <c r="S111" s="11">
        <f t="shared" si="12"/>
        <v>-0.67812499999999998</v>
      </c>
      <c r="T111" s="14">
        <f t="shared" si="18"/>
        <v>54.657500000000006</v>
      </c>
      <c r="V111">
        <v>421.1</v>
      </c>
      <c r="X111">
        <f t="shared" si="16"/>
        <v>100677.70000000001</v>
      </c>
      <c r="AA111" s="17">
        <v>8.9350392310487798</v>
      </c>
    </row>
    <row r="112" spans="1:27" x14ac:dyDescent="0.25">
      <c r="A112" s="74"/>
      <c r="B112" s="8"/>
      <c r="C112" s="9">
        <v>41990</v>
      </c>
      <c r="D112">
        <v>10.5</v>
      </c>
      <c r="E112">
        <v>8.9</v>
      </c>
      <c r="F112">
        <v>11.9</v>
      </c>
      <c r="G112">
        <f t="shared" si="13"/>
        <v>1627.1999999999994</v>
      </c>
      <c r="J112">
        <v>8</v>
      </c>
      <c r="K112">
        <f t="shared" si="14"/>
        <v>161.69999999999996</v>
      </c>
      <c r="L112">
        <v>0.7</v>
      </c>
      <c r="M112">
        <f t="shared" si="15"/>
        <v>217.69999999999996</v>
      </c>
      <c r="N112">
        <v>7.3</v>
      </c>
      <c r="O112">
        <f t="shared" si="10"/>
        <v>44.999999999999993</v>
      </c>
      <c r="P112" s="5">
        <v>107</v>
      </c>
      <c r="Q112" s="6">
        <f t="shared" si="17"/>
        <v>0.97499999999999998</v>
      </c>
      <c r="R112" s="11">
        <f t="shared" si="11"/>
        <v>0.6825</v>
      </c>
      <c r="S112" s="11">
        <f t="shared" si="12"/>
        <v>7.3174999999999999</v>
      </c>
      <c r="T112" s="14">
        <f t="shared" si="18"/>
        <v>61.975000000000009</v>
      </c>
      <c r="V112">
        <v>265</v>
      </c>
      <c r="X112">
        <f t="shared" si="16"/>
        <v>100942.70000000001</v>
      </c>
      <c r="AA112" s="17">
        <v>8.9274042191631295</v>
      </c>
    </row>
    <row r="113" spans="1:27" x14ac:dyDescent="0.25">
      <c r="A113" s="74"/>
      <c r="B113" s="8"/>
      <c r="C113" s="9">
        <v>41991</v>
      </c>
      <c r="D113">
        <v>12</v>
      </c>
      <c r="E113">
        <v>10.8</v>
      </c>
      <c r="F113">
        <v>13.2</v>
      </c>
      <c r="G113">
        <f t="shared" si="13"/>
        <v>1639.1999999999994</v>
      </c>
      <c r="J113">
        <v>0.8</v>
      </c>
      <c r="K113">
        <f t="shared" si="14"/>
        <v>162.49999999999997</v>
      </c>
      <c r="L113">
        <v>0.8</v>
      </c>
      <c r="M113">
        <f t="shared" si="15"/>
        <v>218.49999999999997</v>
      </c>
      <c r="N113">
        <v>0</v>
      </c>
      <c r="O113">
        <f t="shared" si="10"/>
        <v>44.999999999999993</v>
      </c>
      <c r="P113" s="5">
        <v>108</v>
      </c>
      <c r="Q113" s="6">
        <f t="shared" si="17"/>
        <v>0.98124999999999996</v>
      </c>
      <c r="R113" s="11">
        <f t="shared" si="11"/>
        <v>0.78500000000000003</v>
      </c>
      <c r="S113" s="11">
        <f t="shared" si="12"/>
        <v>1.5000000000000013E-2</v>
      </c>
      <c r="T113" s="14">
        <f t="shared" si="18"/>
        <v>61.990000000000009</v>
      </c>
      <c r="V113">
        <v>272.5</v>
      </c>
      <c r="X113">
        <f t="shared" si="16"/>
        <v>101215.20000000001</v>
      </c>
      <c r="AA113" s="17">
        <v>8.9210310946051994</v>
      </c>
    </row>
    <row r="114" spans="1:27" x14ac:dyDescent="0.25">
      <c r="A114" s="74"/>
      <c r="B114" s="8"/>
      <c r="C114" s="9">
        <v>41992</v>
      </c>
      <c r="D114">
        <v>11.3</v>
      </c>
      <c r="E114">
        <v>10.7</v>
      </c>
      <c r="F114">
        <v>12</v>
      </c>
      <c r="G114">
        <f t="shared" si="13"/>
        <v>1650.4999999999993</v>
      </c>
      <c r="J114">
        <v>0.4</v>
      </c>
      <c r="K114">
        <f t="shared" si="14"/>
        <v>162.89999999999998</v>
      </c>
      <c r="L114">
        <v>0.7</v>
      </c>
      <c r="M114">
        <f t="shared" si="15"/>
        <v>219.19999999999996</v>
      </c>
      <c r="N114">
        <v>-0.29999999999999993</v>
      </c>
      <c r="O114">
        <f t="shared" si="10"/>
        <v>44.699999999999996</v>
      </c>
      <c r="P114" s="5">
        <v>109</v>
      </c>
      <c r="Q114" s="6">
        <f t="shared" si="17"/>
        <v>0.98749999999999993</v>
      </c>
      <c r="R114" s="11">
        <f t="shared" si="11"/>
        <v>0.69124999999999992</v>
      </c>
      <c r="S114" s="11">
        <f t="shared" si="12"/>
        <v>-0.2912499999999999</v>
      </c>
      <c r="T114" s="14">
        <f t="shared" si="18"/>
        <v>61.698750000000011</v>
      </c>
      <c r="V114">
        <v>245.4</v>
      </c>
      <c r="X114">
        <f t="shared" si="16"/>
        <v>101460.6</v>
      </c>
      <c r="AA114" s="17">
        <v>8.9159272316865401</v>
      </c>
    </row>
    <row r="115" spans="1:27" x14ac:dyDescent="0.25">
      <c r="A115" s="74"/>
      <c r="B115" s="8"/>
      <c r="C115" s="9">
        <v>41993</v>
      </c>
      <c r="D115">
        <v>10.5</v>
      </c>
      <c r="E115">
        <v>10.7</v>
      </c>
      <c r="F115">
        <v>12</v>
      </c>
      <c r="G115">
        <f t="shared" si="13"/>
        <v>1660.9999999999993</v>
      </c>
      <c r="J115">
        <v>0.9</v>
      </c>
      <c r="K115">
        <f t="shared" si="14"/>
        <v>163.79999999999998</v>
      </c>
      <c r="L115">
        <v>1.3</v>
      </c>
      <c r="M115">
        <f t="shared" si="15"/>
        <v>220.49999999999997</v>
      </c>
      <c r="N115">
        <v>-0.4</v>
      </c>
      <c r="O115">
        <f t="shared" si="10"/>
        <v>44.3</v>
      </c>
      <c r="P115" s="5">
        <v>110</v>
      </c>
      <c r="Q115" s="6">
        <f t="shared" si="17"/>
        <v>0.99375000000000002</v>
      </c>
      <c r="R115" s="11">
        <f t="shared" si="11"/>
        <v>1.2918750000000001</v>
      </c>
      <c r="S115" s="11">
        <f t="shared" si="12"/>
        <v>-0.39187500000000008</v>
      </c>
      <c r="T115" s="14">
        <f t="shared" si="18"/>
        <v>61.306875000000012</v>
      </c>
      <c r="V115">
        <v>496.1</v>
      </c>
      <c r="X115">
        <f t="shared" si="16"/>
        <v>101956.70000000001</v>
      </c>
      <c r="AA115" s="17">
        <v>8.9120986573066894</v>
      </c>
    </row>
    <row r="116" spans="1:27" s="51" customFormat="1" ht="15.75" thickBot="1" x14ac:dyDescent="0.3">
      <c r="A116" s="74"/>
      <c r="B116" s="49"/>
      <c r="C116" s="50">
        <v>41994</v>
      </c>
      <c r="D116" s="51">
        <v>5.4</v>
      </c>
      <c r="E116" s="51">
        <v>3.1</v>
      </c>
      <c r="F116" s="51">
        <v>10.3</v>
      </c>
      <c r="G116" s="51">
        <f t="shared" si="13"/>
        <v>1666.3999999999994</v>
      </c>
      <c r="I116" s="52"/>
      <c r="J116" s="51">
        <v>0</v>
      </c>
      <c r="K116" s="51">
        <f t="shared" si="14"/>
        <v>163.79999999999998</v>
      </c>
      <c r="L116" s="51">
        <v>1.3</v>
      </c>
      <c r="M116" s="51">
        <f t="shared" si="15"/>
        <v>221.79999999999998</v>
      </c>
      <c r="N116" s="51">
        <v>-1.3</v>
      </c>
      <c r="O116" s="51">
        <f t="shared" si="10"/>
        <v>43</v>
      </c>
      <c r="P116" s="53">
        <v>111</v>
      </c>
      <c r="Q116" s="54">
        <f t="shared" si="17"/>
        <v>1</v>
      </c>
      <c r="R116" s="55">
        <f t="shared" si="11"/>
        <v>1.3</v>
      </c>
      <c r="S116" s="55">
        <f t="shared" si="12"/>
        <v>-1.3</v>
      </c>
      <c r="T116" s="56">
        <f t="shared" si="18"/>
        <v>60.006875000000015</v>
      </c>
      <c r="V116" s="51">
        <v>782.4</v>
      </c>
      <c r="W116" s="51">
        <f>(X116/100)/I19</f>
        <v>0.61653324531925113</v>
      </c>
      <c r="X116" s="51">
        <f t="shared" si="16"/>
        <v>102739.1</v>
      </c>
      <c r="Z116" s="52"/>
      <c r="AA116" s="57">
        <v>8.9095500272939407</v>
      </c>
    </row>
    <row r="117" spans="1:27" x14ac:dyDescent="0.25">
      <c r="A117" s="75" t="s">
        <v>34</v>
      </c>
      <c r="B117" s="18"/>
      <c r="C117" s="9">
        <v>41995</v>
      </c>
      <c r="D117">
        <v>1.3</v>
      </c>
      <c r="E117">
        <v>-1.7</v>
      </c>
      <c r="F117">
        <v>6</v>
      </c>
      <c r="G117">
        <f t="shared" si="13"/>
        <v>1667.6999999999994</v>
      </c>
      <c r="H117">
        <f>D117</f>
        <v>1.3</v>
      </c>
      <c r="I117" s="19" t="s">
        <v>41</v>
      </c>
      <c r="J117">
        <v>0.1</v>
      </c>
      <c r="K117">
        <f t="shared" si="14"/>
        <v>163.89999999999998</v>
      </c>
      <c r="L117">
        <v>1.1000000000000001</v>
      </c>
      <c r="M117">
        <f t="shared" si="15"/>
        <v>222.89999999999998</v>
      </c>
      <c r="N117">
        <v>-1</v>
      </c>
      <c r="O117">
        <f t="shared" si="10"/>
        <v>42</v>
      </c>
      <c r="P117" s="5">
        <v>112</v>
      </c>
      <c r="Q117" s="6">
        <v>1</v>
      </c>
      <c r="R117" s="11">
        <f t="shared" si="11"/>
        <v>1.1000000000000001</v>
      </c>
      <c r="S117" s="11">
        <f t="shared" si="12"/>
        <v>-1</v>
      </c>
      <c r="T117" s="14">
        <f t="shared" si="18"/>
        <v>59.006875000000015</v>
      </c>
      <c r="U117" s="19" t="s">
        <v>28</v>
      </c>
      <c r="V117">
        <v>509</v>
      </c>
      <c r="X117">
        <f t="shared" si="16"/>
        <v>103248.1</v>
      </c>
      <c r="Y117">
        <f>V117</f>
        <v>509</v>
      </c>
      <c r="Z117" s="19" t="s">
        <v>51</v>
      </c>
      <c r="AA117" s="17">
        <v>8.9082846080093994</v>
      </c>
    </row>
    <row r="118" spans="1:27" x14ac:dyDescent="0.25">
      <c r="A118" s="75"/>
      <c r="B118" s="18"/>
      <c r="C118" s="9">
        <v>41996</v>
      </c>
      <c r="D118">
        <v>2.9</v>
      </c>
      <c r="E118">
        <v>-2.5</v>
      </c>
      <c r="F118">
        <v>6.7</v>
      </c>
      <c r="G118">
        <f t="shared" si="13"/>
        <v>1670.5999999999995</v>
      </c>
      <c r="H118">
        <f>H117+D118</f>
        <v>4.2</v>
      </c>
      <c r="I118">
        <f>MIN(E117:E170)</f>
        <v>-4.8</v>
      </c>
      <c r="J118">
        <v>0.1</v>
      </c>
      <c r="K118">
        <f t="shared" si="14"/>
        <v>163.99999999999997</v>
      </c>
      <c r="L118">
        <v>0.7</v>
      </c>
      <c r="M118">
        <f t="shared" si="15"/>
        <v>223.59999999999997</v>
      </c>
      <c r="N118">
        <v>-0.6</v>
      </c>
      <c r="O118">
        <f t="shared" si="10"/>
        <v>41.4</v>
      </c>
      <c r="P118" s="5">
        <v>113</v>
      </c>
      <c r="Q118" s="6">
        <v>1</v>
      </c>
      <c r="R118" s="11">
        <f t="shared" si="11"/>
        <v>0.7</v>
      </c>
      <c r="S118" s="11">
        <f t="shared" si="12"/>
        <v>-0.6</v>
      </c>
      <c r="T118" s="14">
        <f t="shared" si="18"/>
        <v>58.406875000000014</v>
      </c>
      <c r="U118">
        <v>39</v>
      </c>
      <c r="V118">
        <v>424.1</v>
      </c>
      <c r="X118">
        <f t="shared" si="16"/>
        <v>103672.20000000001</v>
      </c>
      <c r="Y118">
        <f>Y117+V118</f>
        <v>933.1</v>
      </c>
      <c r="Z118">
        <v>31464.499999999996</v>
      </c>
      <c r="AA118" s="17">
        <v>8.90830426336281</v>
      </c>
    </row>
    <row r="119" spans="1:27" x14ac:dyDescent="0.25">
      <c r="A119" s="75"/>
      <c r="B119" s="18"/>
      <c r="C119" s="9">
        <v>41997</v>
      </c>
      <c r="D119">
        <v>1.9</v>
      </c>
      <c r="E119">
        <v>1.5</v>
      </c>
      <c r="F119">
        <v>2.6</v>
      </c>
      <c r="G119">
        <f t="shared" si="13"/>
        <v>1672.4999999999995</v>
      </c>
      <c r="H119">
        <f t="shared" ref="H119:H182" si="19">H118+D119</f>
        <v>6.1</v>
      </c>
      <c r="I119" s="19" t="s">
        <v>42</v>
      </c>
      <c r="J119">
        <v>0</v>
      </c>
      <c r="K119">
        <f t="shared" si="14"/>
        <v>163.99999999999997</v>
      </c>
      <c r="L119">
        <v>0.4</v>
      </c>
      <c r="M119">
        <f t="shared" si="15"/>
        <v>223.99999999999997</v>
      </c>
      <c r="N119">
        <v>-0.4</v>
      </c>
      <c r="O119">
        <f t="shared" si="10"/>
        <v>41</v>
      </c>
      <c r="P119" s="5">
        <v>114</v>
      </c>
      <c r="Q119" s="6">
        <v>1</v>
      </c>
      <c r="R119" s="11">
        <f t="shared" si="11"/>
        <v>0.4</v>
      </c>
      <c r="S119" s="11">
        <f t="shared" si="12"/>
        <v>-0.4</v>
      </c>
      <c r="T119" s="14">
        <f t="shared" si="18"/>
        <v>58.006875000000015</v>
      </c>
      <c r="U119" s="19" t="s">
        <v>48</v>
      </c>
      <c r="V119">
        <v>241.2</v>
      </c>
      <c r="X119">
        <f t="shared" si="16"/>
        <v>103913.40000000001</v>
      </c>
      <c r="Y119">
        <f t="shared" ref="Y119:Y182" si="20">Y118+V119</f>
        <v>1174.3</v>
      </c>
      <c r="Z119" s="19" t="s">
        <v>29</v>
      </c>
      <c r="AA119" s="17">
        <v>8.9096094473457796</v>
      </c>
    </row>
    <row r="120" spans="1:27" x14ac:dyDescent="0.25">
      <c r="A120" s="75"/>
      <c r="B120" s="8"/>
      <c r="C120" s="9">
        <v>41998</v>
      </c>
      <c r="D120">
        <v>7.7</v>
      </c>
      <c r="E120">
        <v>1.5</v>
      </c>
      <c r="F120">
        <v>14.3</v>
      </c>
      <c r="G120">
        <f t="shared" si="13"/>
        <v>1680.1999999999996</v>
      </c>
      <c r="H120">
        <f t="shared" si="19"/>
        <v>13.8</v>
      </c>
      <c r="I120">
        <f>MAX(F117:F170)</f>
        <v>15.7</v>
      </c>
      <c r="J120">
        <v>0</v>
      </c>
      <c r="K120">
        <f t="shared" si="14"/>
        <v>163.99999999999997</v>
      </c>
      <c r="L120">
        <v>1.1000000000000001</v>
      </c>
      <c r="M120">
        <f t="shared" si="15"/>
        <v>225.09999999999997</v>
      </c>
      <c r="N120">
        <v>-1.1000000000000001</v>
      </c>
      <c r="O120">
        <f t="shared" si="10"/>
        <v>39.9</v>
      </c>
      <c r="P120" s="5">
        <v>115</v>
      </c>
      <c r="Q120" s="6">
        <v>1</v>
      </c>
      <c r="R120" s="11">
        <f t="shared" si="11"/>
        <v>1.1000000000000001</v>
      </c>
      <c r="S120" s="11">
        <f t="shared" si="12"/>
        <v>-1.1000000000000001</v>
      </c>
      <c r="T120" s="14">
        <f t="shared" si="18"/>
        <v>56.906875000000014</v>
      </c>
      <c r="U120">
        <v>0</v>
      </c>
      <c r="V120">
        <v>593.79999999999995</v>
      </c>
      <c r="X120">
        <f t="shared" si="16"/>
        <v>104507.20000000001</v>
      </c>
      <c r="Y120">
        <f t="shared" si="20"/>
        <v>1768.1</v>
      </c>
      <c r="Z120" s="15">
        <f>(Z118/100)/I130</f>
        <v>1.1846573795180722</v>
      </c>
      <c r="AA120" s="17">
        <v>8.9121992021433307</v>
      </c>
    </row>
    <row r="121" spans="1:27" x14ac:dyDescent="0.25">
      <c r="A121" s="75"/>
      <c r="B121" s="8"/>
      <c r="C121" s="9">
        <v>41999</v>
      </c>
      <c r="D121">
        <v>8.9</v>
      </c>
      <c r="E121">
        <v>7</v>
      </c>
      <c r="F121">
        <v>11.4</v>
      </c>
      <c r="G121">
        <f t="shared" si="13"/>
        <v>1689.0999999999997</v>
      </c>
      <c r="H121">
        <f t="shared" si="19"/>
        <v>22.700000000000003</v>
      </c>
      <c r="I121" s="19" t="s">
        <v>43</v>
      </c>
      <c r="J121">
        <v>1.4</v>
      </c>
      <c r="K121">
        <f t="shared" si="14"/>
        <v>165.39999999999998</v>
      </c>
      <c r="L121">
        <v>1.1000000000000001</v>
      </c>
      <c r="M121">
        <f t="shared" si="15"/>
        <v>226.19999999999996</v>
      </c>
      <c r="N121">
        <v>0.29999999999999982</v>
      </c>
      <c r="O121">
        <f t="shared" si="10"/>
        <v>40.199999999999996</v>
      </c>
      <c r="P121" s="5">
        <v>116</v>
      </c>
      <c r="Q121" s="6">
        <v>1</v>
      </c>
      <c r="R121" s="11">
        <f t="shared" si="11"/>
        <v>1.1000000000000001</v>
      </c>
      <c r="S121" s="11">
        <f t="shared" si="12"/>
        <v>0.29999999999999982</v>
      </c>
      <c r="T121" s="14">
        <f t="shared" si="18"/>
        <v>57.206875000000011</v>
      </c>
      <c r="U121" s="19" t="s">
        <v>49</v>
      </c>
      <c r="V121">
        <v>575.6</v>
      </c>
      <c r="X121">
        <f t="shared" si="16"/>
        <v>105082.80000000002</v>
      </c>
      <c r="Y121">
        <f t="shared" si="20"/>
        <v>2343.6999999999998</v>
      </c>
      <c r="Z121" s="19" t="s">
        <v>52</v>
      </c>
      <c r="AA121" s="17">
        <v>8.9160711618395396</v>
      </c>
    </row>
    <row r="122" spans="1:27" x14ac:dyDescent="0.25">
      <c r="A122" s="75"/>
      <c r="B122" s="8"/>
      <c r="C122" s="9">
        <v>42000</v>
      </c>
      <c r="D122">
        <v>8.8000000000000007</v>
      </c>
      <c r="E122">
        <v>7.1</v>
      </c>
      <c r="F122">
        <v>10.5</v>
      </c>
      <c r="G122">
        <f t="shared" si="13"/>
        <v>1697.8999999999996</v>
      </c>
      <c r="H122">
        <f t="shared" si="19"/>
        <v>31.500000000000004</v>
      </c>
      <c r="I122" s="16">
        <f>AVERAGE(D117:D170)</f>
        <v>4.8759259259259249</v>
      </c>
      <c r="J122">
        <v>16.8</v>
      </c>
      <c r="K122">
        <f t="shared" si="14"/>
        <v>182.2</v>
      </c>
      <c r="L122">
        <v>0.7</v>
      </c>
      <c r="M122">
        <f t="shared" si="15"/>
        <v>226.89999999999995</v>
      </c>
      <c r="N122">
        <v>16.100000000000001</v>
      </c>
      <c r="O122">
        <f t="shared" si="10"/>
        <v>56.3</v>
      </c>
      <c r="P122" s="5">
        <v>117</v>
      </c>
      <c r="Q122" s="6">
        <v>1</v>
      </c>
      <c r="R122" s="11">
        <f t="shared" si="11"/>
        <v>0.7</v>
      </c>
      <c r="S122" s="11">
        <f t="shared" si="12"/>
        <v>16.100000000000001</v>
      </c>
      <c r="T122" s="14">
        <f t="shared" si="18"/>
        <v>73.306875000000019</v>
      </c>
      <c r="U122">
        <v>0</v>
      </c>
      <c r="V122">
        <v>137.69999999999999</v>
      </c>
      <c r="X122">
        <f t="shared" si="16"/>
        <v>105220.50000000001</v>
      </c>
      <c r="Y122">
        <f t="shared" si="20"/>
        <v>2481.3999999999996</v>
      </c>
      <c r="Z122">
        <v>47</v>
      </c>
      <c r="AA122" s="17">
        <v>8.9212215616872008</v>
      </c>
    </row>
    <row r="123" spans="1:27" x14ac:dyDescent="0.25">
      <c r="A123" s="75"/>
      <c r="B123" s="18"/>
      <c r="C123" s="9">
        <v>42001</v>
      </c>
      <c r="D123">
        <v>4.3</v>
      </c>
      <c r="E123">
        <v>2.7</v>
      </c>
      <c r="F123">
        <v>5.4</v>
      </c>
      <c r="G123">
        <f t="shared" si="13"/>
        <v>1702.1999999999996</v>
      </c>
      <c r="H123">
        <f t="shared" si="19"/>
        <v>35.800000000000004</v>
      </c>
      <c r="I123" s="19" t="s">
        <v>44</v>
      </c>
      <c r="J123">
        <v>0</v>
      </c>
      <c r="K123">
        <f t="shared" si="14"/>
        <v>182.2</v>
      </c>
      <c r="L123">
        <v>1</v>
      </c>
      <c r="M123">
        <f t="shared" si="15"/>
        <v>227.89999999999995</v>
      </c>
      <c r="N123">
        <v>-1</v>
      </c>
      <c r="O123">
        <f t="shared" si="10"/>
        <v>55.3</v>
      </c>
      <c r="P123" s="5">
        <v>118</v>
      </c>
      <c r="Q123" s="6">
        <v>1</v>
      </c>
      <c r="R123" s="11">
        <f t="shared" si="11"/>
        <v>1</v>
      </c>
      <c r="S123" s="11">
        <f t="shared" si="12"/>
        <v>-1</v>
      </c>
      <c r="T123" s="14">
        <f t="shared" si="18"/>
        <v>72.306875000000019</v>
      </c>
      <c r="U123" s="19" t="s">
        <v>30</v>
      </c>
      <c r="V123">
        <v>702.1</v>
      </c>
      <c r="X123">
        <f t="shared" si="16"/>
        <v>105922.60000000002</v>
      </c>
      <c r="Y123">
        <f t="shared" si="20"/>
        <v>3183.4999999999995</v>
      </c>
      <c r="AA123" s="17">
        <v>8.9276452528666006</v>
      </c>
    </row>
    <row r="124" spans="1:27" x14ac:dyDescent="0.25">
      <c r="A124" s="75"/>
      <c r="B124" s="18"/>
      <c r="C124" s="9">
        <v>42002</v>
      </c>
      <c r="D124">
        <v>0.2</v>
      </c>
      <c r="E124">
        <v>-1.8</v>
      </c>
      <c r="F124">
        <v>1</v>
      </c>
      <c r="G124">
        <f t="shared" si="13"/>
        <v>1702.3999999999996</v>
      </c>
      <c r="H124">
        <f t="shared" si="19"/>
        <v>36.000000000000007</v>
      </c>
      <c r="I124">
        <v>19</v>
      </c>
      <c r="J124">
        <v>0</v>
      </c>
      <c r="K124">
        <f t="shared" si="14"/>
        <v>182.2</v>
      </c>
      <c r="L124">
        <v>0.8</v>
      </c>
      <c r="M124">
        <f t="shared" si="15"/>
        <v>228.69999999999996</v>
      </c>
      <c r="N124">
        <v>-0.8</v>
      </c>
      <c r="O124">
        <f t="shared" si="10"/>
        <v>54.5</v>
      </c>
      <c r="P124" s="5">
        <v>119</v>
      </c>
      <c r="Q124" s="6">
        <v>1</v>
      </c>
      <c r="R124" s="11">
        <f t="shared" si="11"/>
        <v>0.8</v>
      </c>
      <c r="S124" s="11">
        <f t="shared" si="12"/>
        <v>-0.8</v>
      </c>
      <c r="T124" s="14">
        <f t="shared" si="18"/>
        <v>71.506875000000022</v>
      </c>
      <c r="U124" s="16">
        <f>MIN(T117:T170)</f>
        <v>56.906875000000014</v>
      </c>
      <c r="V124">
        <v>835.2</v>
      </c>
      <c r="X124">
        <f t="shared" si="16"/>
        <v>106757.80000000002</v>
      </c>
      <c r="Y124">
        <f t="shared" si="20"/>
        <v>4018.7</v>
      </c>
      <c r="AA124" s="17">
        <v>8.9353357226140204</v>
      </c>
    </row>
    <row r="125" spans="1:27" x14ac:dyDescent="0.25">
      <c r="A125" s="75"/>
      <c r="B125" s="18"/>
      <c r="C125" s="9">
        <v>42003</v>
      </c>
      <c r="D125">
        <v>1.4</v>
      </c>
      <c r="E125">
        <v>-0.1</v>
      </c>
      <c r="F125">
        <v>4.5</v>
      </c>
      <c r="G125">
        <f t="shared" si="13"/>
        <v>1703.7999999999997</v>
      </c>
      <c r="H125">
        <f t="shared" si="19"/>
        <v>37.400000000000006</v>
      </c>
      <c r="I125" s="19" t="s">
        <v>45</v>
      </c>
      <c r="J125">
        <v>0</v>
      </c>
      <c r="K125">
        <f t="shared" si="14"/>
        <v>182.2</v>
      </c>
      <c r="L125">
        <v>0.9</v>
      </c>
      <c r="M125">
        <f t="shared" si="15"/>
        <v>229.59999999999997</v>
      </c>
      <c r="N125">
        <v>-0.9</v>
      </c>
      <c r="O125">
        <f t="shared" si="10"/>
        <v>53.6</v>
      </c>
      <c r="P125" s="5">
        <v>120</v>
      </c>
      <c r="Q125" s="6">
        <v>1</v>
      </c>
      <c r="R125" s="11">
        <f t="shared" si="11"/>
        <v>0.9</v>
      </c>
      <c r="S125" s="11">
        <f t="shared" si="12"/>
        <v>-0.9</v>
      </c>
      <c r="T125" s="14">
        <f t="shared" si="18"/>
        <v>70.606875000000016</v>
      </c>
      <c r="U125" s="19" t="s">
        <v>31</v>
      </c>
      <c r="V125">
        <v>735.3</v>
      </c>
      <c r="X125">
        <f t="shared" si="16"/>
        <v>107493.10000000002</v>
      </c>
      <c r="Y125">
        <f t="shared" si="20"/>
        <v>4754</v>
      </c>
      <c r="AA125" s="17">
        <v>8.9442851195584403</v>
      </c>
    </row>
    <row r="126" spans="1:27" x14ac:dyDescent="0.25">
      <c r="A126" s="75"/>
      <c r="B126" s="18"/>
      <c r="C126" s="9">
        <v>42004</v>
      </c>
      <c r="D126">
        <v>0.7</v>
      </c>
      <c r="E126">
        <v>-2</v>
      </c>
      <c r="F126">
        <v>3.8</v>
      </c>
      <c r="G126">
        <f t="shared" si="13"/>
        <v>1704.4999999999998</v>
      </c>
      <c r="H126">
        <f t="shared" si="19"/>
        <v>38.100000000000009</v>
      </c>
      <c r="I126">
        <v>0</v>
      </c>
      <c r="J126">
        <v>0</v>
      </c>
      <c r="K126">
        <f t="shared" si="14"/>
        <v>182.2</v>
      </c>
      <c r="L126">
        <v>0.8</v>
      </c>
      <c r="M126">
        <f t="shared" si="15"/>
        <v>230.39999999999998</v>
      </c>
      <c r="N126">
        <v>-0.8</v>
      </c>
      <c r="O126">
        <f t="shared" si="10"/>
        <v>52.800000000000004</v>
      </c>
      <c r="P126" s="5">
        <v>121</v>
      </c>
      <c r="Q126" s="6">
        <v>1</v>
      </c>
      <c r="R126" s="11">
        <f t="shared" si="11"/>
        <v>0.8</v>
      </c>
      <c r="S126" s="11">
        <f t="shared" si="12"/>
        <v>-0.8</v>
      </c>
      <c r="T126" s="14">
        <f t="shared" si="18"/>
        <v>69.806875000000019</v>
      </c>
      <c r="U126" s="16">
        <f>MAX(T117:T170)</f>
        <v>86.90687500000007</v>
      </c>
      <c r="V126">
        <v>729.9</v>
      </c>
      <c r="X126">
        <f t="shared" si="16"/>
        <v>108223.00000000001</v>
      </c>
      <c r="Y126">
        <f t="shared" si="20"/>
        <v>5483.9</v>
      </c>
      <c r="AA126" s="17">
        <v>8.95448428406422</v>
      </c>
    </row>
    <row r="127" spans="1:27" x14ac:dyDescent="0.25">
      <c r="A127" s="75"/>
      <c r="B127" s="18"/>
      <c r="C127" s="9">
        <v>42005</v>
      </c>
      <c r="D127">
        <v>-1.6</v>
      </c>
      <c r="E127">
        <v>-4.8</v>
      </c>
      <c r="F127">
        <v>0.5</v>
      </c>
      <c r="G127">
        <v>1704.5</v>
      </c>
      <c r="H127">
        <v>38.1</v>
      </c>
      <c r="I127" s="19" t="s">
        <v>46</v>
      </c>
      <c r="J127">
        <v>0</v>
      </c>
      <c r="K127">
        <f t="shared" si="14"/>
        <v>182.2</v>
      </c>
      <c r="L127">
        <v>0.4</v>
      </c>
      <c r="M127">
        <f t="shared" si="15"/>
        <v>230.79999999999998</v>
      </c>
      <c r="N127">
        <v>-0.4</v>
      </c>
      <c r="O127">
        <f t="shared" si="10"/>
        <v>52.400000000000006</v>
      </c>
      <c r="P127" s="5">
        <v>122</v>
      </c>
      <c r="Q127" s="6">
        <v>1</v>
      </c>
      <c r="R127" s="11">
        <f t="shared" si="11"/>
        <v>0.4</v>
      </c>
      <c r="S127" s="11">
        <f t="shared" si="12"/>
        <v>-0.4</v>
      </c>
      <c r="T127" s="14">
        <f t="shared" si="18"/>
        <v>69.406875000000014</v>
      </c>
      <c r="U127" s="19" t="s">
        <v>32</v>
      </c>
      <c r="V127">
        <v>358</v>
      </c>
      <c r="X127">
        <f t="shared" si="16"/>
        <v>108581.00000000001</v>
      </c>
      <c r="Y127">
        <f t="shared" si="20"/>
        <v>5841.9</v>
      </c>
      <c r="AA127" s="17">
        <v>8.9696125694491506</v>
      </c>
    </row>
    <row r="128" spans="1:27" x14ac:dyDescent="0.25">
      <c r="A128" s="75"/>
      <c r="B128" s="18"/>
      <c r="C128" s="9">
        <v>42006</v>
      </c>
      <c r="D128">
        <v>-0.6</v>
      </c>
      <c r="E128">
        <v>-2.5</v>
      </c>
      <c r="F128">
        <v>2.2999999999999998</v>
      </c>
      <c r="G128">
        <v>1704.5</v>
      </c>
      <c r="H128">
        <v>38.1</v>
      </c>
      <c r="I128">
        <v>23</v>
      </c>
      <c r="J128">
        <v>0</v>
      </c>
      <c r="K128">
        <f t="shared" si="14"/>
        <v>182.2</v>
      </c>
      <c r="L128">
        <v>0.6</v>
      </c>
      <c r="M128">
        <f t="shared" si="15"/>
        <v>231.39999999999998</v>
      </c>
      <c r="N128">
        <v>-0.6</v>
      </c>
      <c r="O128">
        <f t="shared" si="10"/>
        <v>51.800000000000004</v>
      </c>
      <c r="P128" s="5">
        <v>123</v>
      </c>
      <c r="Q128" s="6">
        <v>1</v>
      </c>
      <c r="R128" s="11">
        <f t="shared" si="11"/>
        <v>0.6</v>
      </c>
      <c r="S128" s="11">
        <f t="shared" si="12"/>
        <v>-0.6</v>
      </c>
      <c r="T128" s="14">
        <f t="shared" si="18"/>
        <v>68.806875000000019</v>
      </c>
      <c r="U128" s="16">
        <f>AVERAGE(T117:T170)</f>
        <v>72.284652777777808</v>
      </c>
      <c r="V128">
        <v>242.8</v>
      </c>
      <c r="X128">
        <f t="shared" si="16"/>
        <v>108823.80000000002</v>
      </c>
      <c r="Y128">
        <f t="shared" si="20"/>
        <v>6084.7</v>
      </c>
      <c r="AA128" s="17">
        <v>8.98264637504559</v>
      </c>
    </row>
    <row r="129" spans="1:27" x14ac:dyDescent="0.25">
      <c r="A129" s="75"/>
      <c r="B129" s="8"/>
      <c r="C129" s="9">
        <v>42007</v>
      </c>
      <c r="D129">
        <v>6.8</v>
      </c>
      <c r="E129">
        <v>0.9</v>
      </c>
      <c r="F129">
        <v>10.8</v>
      </c>
      <c r="G129">
        <f t="shared" si="13"/>
        <v>1711.3</v>
      </c>
      <c r="H129">
        <f t="shared" si="19"/>
        <v>44.9</v>
      </c>
      <c r="I129" s="19" t="s">
        <v>47</v>
      </c>
      <c r="J129">
        <v>1.1000000000000001</v>
      </c>
      <c r="K129">
        <f t="shared" si="14"/>
        <v>183.29999999999998</v>
      </c>
      <c r="L129">
        <v>0.6</v>
      </c>
      <c r="M129">
        <f t="shared" si="15"/>
        <v>231.99999999999997</v>
      </c>
      <c r="N129">
        <v>0.50000000000000011</v>
      </c>
      <c r="O129">
        <f t="shared" si="10"/>
        <v>52.300000000000004</v>
      </c>
      <c r="P129" s="5">
        <v>124</v>
      </c>
      <c r="Q129" s="6">
        <v>1</v>
      </c>
      <c r="R129" s="11">
        <f t="shared" si="11"/>
        <v>0.6</v>
      </c>
      <c r="S129" s="11">
        <f t="shared" si="12"/>
        <v>0.50000000000000011</v>
      </c>
      <c r="T129" s="14">
        <f t="shared" si="18"/>
        <v>69.306875000000019</v>
      </c>
      <c r="U129" s="19" t="s">
        <v>53</v>
      </c>
      <c r="V129">
        <v>378.6</v>
      </c>
      <c r="X129">
        <f t="shared" si="16"/>
        <v>109202.40000000002</v>
      </c>
      <c r="Y129">
        <f t="shared" si="20"/>
        <v>6463.3</v>
      </c>
      <c r="AA129" s="17">
        <v>8.9968908908804792</v>
      </c>
    </row>
    <row r="130" spans="1:27" x14ac:dyDescent="0.25">
      <c r="A130" s="75"/>
      <c r="B130" s="8"/>
      <c r="C130" s="9">
        <v>42008</v>
      </c>
      <c r="D130">
        <v>10.199999999999999</v>
      </c>
      <c r="E130">
        <v>10.1</v>
      </c>
      <c r="F130">
        <v>12.9</v>
      </c>
      <c r="G130">
        <f t="shared" si="13"/>
        <v>1721.5</v>
      </c>
      <c r="H130">
        <f t="shared" si="19"/>
        <v>55.099999999999994</v>
      </c>
      <c r="I130">
        <v>265.60000000000002</v>
      </c>
      <c r="J130">
        <v>1.3</v>
      </c>
      <c r="K130">
        <f t="shared" si="14"/>
        <v>184.6</v>
      </c>
      <c r="L130">
        <v>1</v>
      </c>
      <c r="M130">
        <f t="shared" si="15"/>
        <v>232.99999999999997</v>
      </c>
      <c r="N130">
        <v>0.30000000000000004</v>
      </c>
      <c r="O130">
        <f t="shared" si="10"/>
        <v>52.6</v>
      </c>
      <c r="P130" s="5">
        <v>125</v>
      </c>
      <c r="Q130" s="6">
        <v>1</v>
      </c>
      <c r="R130" s="11">
        <f t="shared" si="11"/>
        <v>1</v>
      </c>
      <c r="S130" s="11">
        <f t="shared" si="12"/>
        <v>0.30000000000000004</v>
      </c>
      <c r="T130" s="14">
        <f t="shared" si="18"/>
        <v>69.606875000000016</v>
      </c>
      <c r="U130" s="16">
        <v>9</v>
      </c>
      <c r="V130">
        <v>309.8</v>
      </c>
      <c r="X130">
        <f t="shared" si="16"/>
        <v>109512.20000000003</v>
      </c>
      <c r="Y130">
        <f t="shared" si="20"/>
        <v>6773.1</v>
      </c>
      <c r="AA130">
        <v>9.0123317842943393</v>
      </c>
    </row>
    <row r="131" spans="1:27" x14ac:dyDescent="0.25">
      <c r="A131" s="75"/>
      <c r="B131" s="8"/>
      <c r="C131" s="9">
        <v>42009</v>
      </c>
      <c r="D131">
        <v>3.8</v>
      </c>
      <c r="E131">
        <v>4.2</v>
      </c>
      <c r="F131">
        <v>4.9000000000000004</v>
      </c>
      <c r="G131">
        <f t="shared" si="13"/>
        <v>1725.3</v>
      </c>
      <c r="H131">
        <f t="shared" si="19"/>
        <v>58.899999999999991</v>
      </c>
      <c r="J131">
        <v>0.2</v>
      </c>
      <c r="K131">
        <f t="shared" si="14"/>
        <v>184.79999999999998</v>
      </c>
      <c r="L131">
        <v>0.6</v>
      </c>
      <c r="M131">
        <f t="shared" si="15"/>
        <v>233.59999999999997</v>
      </c>
      <c r="N131">
        <v>-0.39999999999999997</v>
      </c>
      <c r="O131">
        <f t="shared" si="10"/>
        <v>52.2</v>
      </c>
      <c r="P131" s="5">
        <v>126</v>
      </c>
      <c r="Q131" s="6">
        <v>1</v>
      </c>
      <c r="R131" s="11">
        <f t="shared" si="11"/>
        <v>0.6</v>
      </c>
      <c r="S131" s="11">
        <f t="shared" si="12"/>
        <v>-0.39999999999999997</v>
      </c>
      <c r="T131" s="14">
        <f t="shared" si="18"/>
        <v>69.206875000000011</v>
      </c>
      <c r="V131">
        <v>322.7</v>
      </c>
      <c r="X131">
        <f t="shared" si="16"/>
        <v>109834.90000000002</v>
      </c>
      <c r="Y131">
        <f t="shared" si="20"/>
        <v>7095.8</v>
      </c>
      <c r="AA131">
        <v>9.0289536477070094</v>
      </c>
    </row>
    <row r="132" spans="1:27" x14ac:dyDescent="0.25">
      <c r="A132" s="75"/>
      <c r="B132" s="8"/>
      <c r="C132" s="9">
        <v>42010</v>
      </c>
      <c r="D132">
        <v>5.0999999999999996</v>
      </c>
      <c r="E132">
        <v>-1.3</v>
      </c>
      <c r="F132">
        <v>7.5</v>
      </c>
      <c r="G132">
        <f t="shared" si="13"/>
        <v>1730.3999999999999</v>
      </c>
      <c r="H132">
        <f t="shared" si="19"/>
        <v>63.999999999999993</v>
      </c>
      <c r="J132">
        <v>0.1</v>
      </c>
      <c r="K132">
        <f t="shared" si="14"/>
        <v>184.89999999999998</v>
      </c>
      <c r="L132">
        <v>0.4</v>
      </c>
      <c r="M132">
        <f t="shared" si="15"/>
        <v>233.99999999999997</v>
      </c>
      <c r="N132">
        <v>-0.30000000000000004</v>
      </c>
      <c r="O132">
        <f t="shared" ref="O132:O195" si="21">O131+N132</f>
        <v>51.900000000000006</v>
      </c>
      <c r="P132" s="5">
        <v>127</v>
      </c>
      <c r="Q132" s="6">
        <v>1</v>
      </c>
      <c r="R132" s="11">
        <f t="shared" si="11"/>
        <v>0.4</v>
      </c>
      <c r="S132" s="11">
        <f t="shared" si="12"/>
        <v>-0.30000000000000004</v>
      </c>
      <c r="T132" s="14">
        <f t="shared" si="18"/>
        <v>68.906875000000014</v>
      </c>
      <c r="V132">
        <v>249.1</v>
      </c>
      <c r="X132">
        <f t="shared" si="16"/>
        <v>110084.00000000003</v>
      </c>
      <c r="Y132">
        <f t="shared" si="20"/>
        <v>7344.9000000000005</v>
      </c>
      <c r="AA132">
        <v>9.0467400537614999</v>
      </c>
    </row>
    <row r="133" spans="1:27" x14ac:dyDescent="0.25">
      <c r="A133" s="75"/>
      <c r="B133" s="8"/>
      <c r="C133" s="9">
        <v>42011</v>
      </c>
      <c r="D133">
        <v>6.9</v>
      </c>
      <c r="E133">
        <v>6.3</v>
      </c>
      <c r="F133">
        <v>11.5</v>
      </c>
      <c r="G133">
        <f t="shared" si="13"/>
        <v>1737.3</v>
      </c>
      <c r="H133">
        <f t="shared" si="19"/>
        <v>70.899999999999991</v>
      </c>
      <c r="J133">
        <v>0.2</v>
      </c>
      <c r="K133">
        <f t="shared" si="14"/>
        <v>185.09999999999997</v>
      </c>
      <c r="L133">
        <v>1</v>
      </c>
      <c r="M133">
        <f t="shared" si="15"/>
        <v>234.99999999999997</v>
      </c>
      <c r="N133">
        <v>-0.8</v>
      </c>
      <c r="O133">
        <f t="shared" si="21"/>
        <v>51.100000000000009</v>
      </c>
      <c r="P133" s="5">
        <v>128</v>
      </c>
      <c r="Q133" s="6">
        <v>1</v>
      </c>
      <c r="R133" s="11">
        <f t="shared" si="11"/>
        <v>1</v>
      </c>
      <c r="S133" s="11">
        <f t="shared" si="12"/>
        <v>-0.8</v>
      </c>
      <c r="T133" s="14">
        <f t="shared" si="18"/>
        <v>68.106875000000016</v>
      </c>
      <c r="V133">
        <v>518.5</v>
      </c>
      <c r="X133">
        <f t="shared" si="16"/>
        <v>110602.50000000003</v>
      </c>
      <c r="Y133">
        <f t="shared" si="20"/>
        <v>7863.4000000000005</v>
      </c>
      <c r="AA133">
        <v>9.0656736130913007</v>
      </c>
    </row>
    <row r="134" spans="1:27" x14ac:dyDescent="0.25">
      <c r="A134" s="75"/>
      <c r="B134" s="8"/>
      <c r="C134" s="9">
        <v>42012</v>
      </c>
      <c r="D134">
        <v>6.3</v>
      </c>
      <c r="E134">
        <v>-0.1</v>
      </c>
      <c r="F134">
        <v>11.3</v>
      </c>
      <c r="G134">
        <f t="shared" si="13"/>
        <v>1743.6</v>
      </c>
      <c r="H134">
        <f t="shared" si="19"/>
        <v>77.199999999999989</v>
      </c>
      <c r="J134">
        <v>0.3</v>
      </c>
      <c r="K134">
        <f t="shared" si="14"/>
        <v>185.39999999999998</v>
      </c>
      <c r="L134">
        <v>0.8</v>
      </c>
      <c r="M134">
        <f t="shared" si="15"/>
        <v>235.79999999999998</v>
      </c>
      <c r="N134">
        <v>-0.5</v>
      </c>
      <c r="O134">
        <f t="shared" si="21"/>
        <v>50.600000000000009</v>
      </c>
      <c r="P134" s="5">
        <v>129</v>
      </c>
      <c r="Q134" s="6">
        <v>1</v>
      </c>
      <c r="R134" s="11">
        <f t="shared" si="11"/>
        <v>0.8</v>
      </c>
      <c r="S134" s="11">
        <f t="shared" si="12"/>
        <v>-0.5</v>
      </c>
      <c r="T134" s="14">
        <f t="shared" si="18"/>
        <v>67.606875000000016</v>
      </c>
      <c r="V134">
        <v>506.9</v>
      </c>
      <c r="X134">
        <f t="shared" si="16"/>
        <v>111109.40000000002</v>
      </c>
      <c r="Y134">
        <f t="shared" si="20"/>
        <v>8370.3000000000011</v>
      </c>
      <c r="AA134">
        <v>9.0857360343126992</v>
      </c>
    </row>
    <row r="135" spans="1:27" x14ac:dyDescent="0.25">
      <c r="A135" s="75"/>
      <c r="B135" s="8"/>
      <c r="C135" s="9">
        <v>42013</v>
      </c>
      <c r="D135">
        <v>12.9</v>
      </c>
      <c r="E135">
        <v>9.3000000000000007</v>
      </c>
      <c r="F135">
        <v>15.7</v>
      </c>
      <c r="G135">
        <f t="shared" si="13"/>
        <v>1756.5</v>
      </c>
      <c r="H135">
        <f t="shared" si="19"/>
        <v>90.1</v>
      </c>
      <c r="J135">
        <v>0.1</v>
      </c>
      <c r="K135">
        <f t="shared" si="14"/>
        <v>185.49999999999997</v>
      </c>
      <c r="L135">
        <v>1.2</v>
      </c>
      <c r="M135">
        <f t="shared" si="15"/>
        <v>236.99999999999997</v>
      </c>
      <c r="N135">
        <v>-1.0999999999999999</v>
      </c>
      <c r="O135">
        <f t="shared" si="21"/>
        <v>49.500000000000007</v>
      </c>
      <c r="P135" s="5">
        <v>130</v>
      </c>
      <c r="Q135" s="6">
        <v>1</v>
      </c>
      <c r="R135" s="11">
        <f t="shared" ref="R135:R198" si="22">Q135*L135</f>
        <v>1.2</v>
      </c>
      <c r="S135" s="11">
        <f t="shared" ref="S135:S198" si="23">J135-R135</f>
        <v>-1.0999999999999999</v>
      </c>
      <c r="T135" s="14">
        <f t="shared" si="18"/>
        <v>66.506875000000022</v>
      </c>
      <c r="V135">
        <v>501.2</v>
      </c>
      <c r="X135">
        <f t="shared" si="16"/>
        <v>111610.60000000002</v>
      </c>
      <c r="Y135">
        <f t="shared" si="20"/>
        <v>8871.5000000000018</v>
      </c>
      <c r="AA135">
        <v>9.1069081858402594</v>
      </c>
    </row>
    <row r="136" spans="1:27" x14ac:dyDescent="0.25">
      <c r="A136" s="75"/>
      <c r="B136" s="8"/>
      <c r="C136" s="9">
        <v>42014</v>
      </c>
      <c r="D136">
        <v>10.6</v>
      </c>
      <c r="E136">
        <v>8.6999999999999993</v>
      </c>
      <c r="F136">
        <v>11.4</v>
      </c>
      <c r="G136">
        <f t="shared" ref="G136:G199" si="24">G135+D136</f>
        <v>1767.1</v>
      </c>
      <c r="H136">
        <f t="shared" si="19"/>
        <v>100.69999999999999</v>
      </c>
      <c r="J136">
        <v>0.2</v>
      </c>
      <c r="K136">
        <f t="shared" ref="K136:K199" si="25">K135+J136</f>
        <v>185.69999999999996</v>
      </c>
      <c r="L136">
        <v>0.6</v>
      </c>
      <c r="M136">
        <f t="shared" ref="M136:M199" si="26">M135+L136</f>
        <v>237.59999999999997</v>
      </c>
      <c r="N136">
        <v>-0.39999999999999997</v>
      </c>
      <c r="O136">
        <f t="shared" si="21"/>
        <v>49.100000000000009</v>
      </c>
      <c r="P136" s="5">
        <v>131</v>
      </c>
      <c r="Q136" s="6">
        <v>1</v>
      </c>
      <c r="R136" s="11">
        <f t="shared" si="22"/>
        <v>0.6</v>
      </c>
      <c r="S136" s="11">
        <f t="shared" si="23"/>
        <v>-0.39999999999999997</v>
      </c>
      <c r="T136" s="14">
        <f t="shared" si="18"/>
        <v>66.106875000000016</v>
      </c>
      <c r="V136">
        <v>310.39999999999998</v>
      </c>
      <c r="X136">
        <f t="shared" ref="X136:X199" si="27">X135+V136</f>
        <v>111921.00000000001</v>
      </c>
      <c r="Y136">
        <f t="shared" si="20"/>
        <v>9181.9000000000015</v>
      </c>
      <c r="AA136">
        <v>9.1291701591237508</v>
      </c>
    </row>
    <row r="137" spans="1:27" x14ac:dyDescent="0.25">
      <c r="A137" s="75"/>
      <c r="B137" s="8"/>
      <c r="C137" s="9">
        <v>42015</v>
      </c>
      <c r="D137">
        <v>8</v>
      </c>
      <c r="E137">
        <v>5.7</v>
      </c>
      <c r="F137">
        <v>11</v>
      </c>
      <c r="G137">
        <f t="shared" si="24"/>
        <v>1775.1</v>
      </c>
      <c r="H137">
        <f t="shared" si="19"/>
        <v>108.69999999999999</v>
      </c>
      <c r="J137">
        <v>1.4</v>
      </c>
      <c r="K137">
        <f t="shared" si="25"/>
        <v>187.09999999999997</v>
      </c>
      <c r="L137">
        <v>1</v>
      </c>
      <c r="M137">
        <f t="shared" si="26"/>
        <v>238.59999999999997</v>
      </c>
      <c r="N137">
        <v>0.39999999999999991</v>
      </c>
      <c r="O137">
        <f t="shared" si="21"/>
        <v>49.500000000000007</v>
      </c>
      <c r="P137" s="5">
        <v>132</v>
      </c>
      <c r="Q137" s="6">
        <v>1</v>
      </c>
      <c r="R137" s="11">
        <f t="shared" si="22"/>
        <v>1</v>
      </c>
      <c r="S137" s="11">
        <f t="shared" si="23"/>
        <v>0.39999999999999991</v>
      </c>
      <c r="T137" s="14">
        <f t="shared" si="18"/>
        <v>66.506875000000022</v>
      </c>
      <c r="V137">
        <v>547</v>
      </c>
      <c r="X137">
        <f t="shared" si="27"/>
        <v>112468.00000000001</v>
      </c>
      <c r="Y137">
        <f t="shared" si="20"/>
        <v>9728.9000000000015</v>
      </c>
      <c r="AA137">
        <v>9.1525013329092904</v>
      </c>
    </row>
    <row r="138" spans="1:27" x14ac:dyDescent="0.25">
      <c r="A138" s="75"/>
      <c r="B138" s="8"/>
      <c r="C138" s="9">
        <v>42016</v>
      </c>
      <c r="D138">
        <v>4.2</v>
      </c>
      <c r="E138">
        <v>-1.6</v>
      </c>
      <c r="F138">
        <v>8.6</v>
      </c>
      <c r="G138">
        <f t="shared" si="24"/>
        <v>1779.3</v>
      </c>
      <c r="H138">
        <f t="shared" si="19"/>
        <v>112.89999999999999</v>
      </c>
      <c r="J138">
        <v>0.1</v>
      </c>
      <c r="K138">
        <f t="shared" si="25"/>
        <v>187.19999999999996</v>
      </c>
      <c r="L138">
        <v>1.1000000000000001</v>
      </c>
      <c r="M138">
        <f t="shared" si="26"/>
        <v>239.69999999999996</v>
      </c>
      <c r="N138">
        <v>-1</v>
      </c>
      <c r="O138">
        <f t="shared" si="21"/>
        <v>48.500000000000007</v>
      </c>
      <c r="P138" s="5">
        <v>133</v>
      </c>
      <c r="Q138" s="6">
        <v>1</v>
      </c>
      <c r="R138" s="11">
        <f t="shared" si="22"/>
        <v>1.1000000000000001</v>
      </c>
      <c r="S138" s="11">
        <f t="shared" si="23"/>
        <v>-1</v>
      </c>
      <c r="T138" s="14">
        <f t="shared" si="18"/>
        <v>65.506875000000022</v>
      </c>
      <c r="V138">
        <v>864.2</v>
      </c>
      <c r="X138">
        <f t="shared" si="27"/>
        <v>113332.20000000001</v>
      </c>
      <c r="Y138">
        <f t="shared" si="20"/>
        <v>10593.100000000002</v>
      </c>
      <c r="AA138">
        <v>9.1768804381359708</v>
      </c>
    </row>
    <row r="139" spans="1:27" x14ac:dyDescent="0.25">
      <c r="A139" s="75"/>
      <c r="B139" s="8"/>
      <c r="C139" s="9">
        <v>42017</v>
      </c>
      <c r="D139">
        <v>8.6</v>
      </c>
      <c r="E139">
        <v>2.2000000000000002</v>
      </c>
      <c r="F139">
        <v>14.2</v>
      </c>
      <c r="G139">
        <f t="shared" si="24"/>
        <v>1787.8999999999999</v>
      </c>
      <c r="H139">
        <f t="shared" si="19"/>
        <v>121.49999999999999</v>
      </c>
      <c r="J139">
        <v>0</v>
      </c>
      <c r="K139">
        <f t="shared" si="25"/>
        <v>187.19999999999996</v>
      </c>
      <c r="L139">
        <v>1</v>
      </c>
      <c r="M139">
        <f t="shared" si="26"/>
        <v>240.69999999999996</v>
      </c>
      <c r="N139">
        <v>-1</v>
      </c>
      <c r="O139">
        <f t="shared" si="21"/>
        <v>47.500000000000007</v>
      </c>
      <c r="P139" s="5">
        <v>134</v>
      </c>
      <c r="Q139" s="6">
        <v>1</v>
      </c>
      <c r="R139" s="11">
        <f t="shared" si="22"/>
        <v>1</v>
      </c>
      <c r="S139" s="11">
        <f t="shared" si="23"/>
        <v>-1</v>
      </c>
      <c r="T139" s="14">
        <f t="shared" si="18"/>
        <v>64.506875000000022</v>
      </c>
      <c r="V139">
        <v>769.1</v>
      </c>
      <c r="X139">
        <f t="shared" si="27"/>
        <v>114101.30000000002</v>
      </c>
      <c r="Y139">
        <f t="shared" si="20"/>
        <v>11362.200000000003</v>
      </c>
      <c r="AA139">
        <v>9.2022856230905408</v>
      </c>
    </row>
    <row r="140" spans="1:27" x14ac:dyDescent="0.25">
      <c r="A140" s="75"/>
      <c r="B140" s="8"/>
      <c r="C140" s="9">
        <v>42018</v>
      </c>
      <c r="D140">
        <v>9.1999999999999993</v>
      </c>
      <c r="E140">
        <v>8.1999999999999993</v>
      </c>
      <c r="F140">
        <v>13.8</v>
      </c>
      <c r="G140">
        <f t="shared" si="24"/>
        <v>1797.1</v>
      </c>
      <c r="H140">
        <f t="shared" si="19"/>
        <v>130.69999999999999</v>
      </c>
      <c r="J140">
        <v>0</v>
      </c>
      <c r="K140">
        <f t="shared" si="25"/>
        <v>187.19999999999996</v>
      </c>
      <c r="L140">
        <v>1.4</v>
      </c>
      <c r="M140">
        <f t="shared" si="26"/>
        <v>242.09999999999997</v>
      </c>
      <c r="N140">
        <v>-1.4</v>
      </c>
      <c r="O140">
        <f t="shared" si="21"/>
        <v>46.100000000000009</v>
      </c>
      <c r="P140" s="5">
        <v>135</v>
      </c>
      <c r="Q140" s="6">
        <v>1</v>
      </c>
      <c r="R140" s="11">
        <f t="shared" si="22"/>
        <v>1.4</v>
      </c>
      <c r="S140" s="11">
        <f t="shared" si="23"/>
        <v>-1.4</v>
      </c>
      <c r="T140" s="14">
        <f t="shared" si="18"/>
        <v>63.106875000000024</v>
      </c>
      <c r="V140">
        <v>532.9</v>
      </c>
      <c r="X140">
        <f t="shared" si="27"/>
        <v>114634.20000000001</v>
      </c>
      <c r="Y140">
        <f t="shared" si="20"/>
        <v>11895.100000000002</v>
      </c>
      <c r="AA140">
        <v>9.2286945184577291</v>
      </c>
    </row>
    <row r="141" spans="1:27" x14ac:dyDescent="0.25">
      <c r="A141" s="75"/>
      <c r="B141" s="8"/>
      <c r="C141" s="9">
        <v>42019</v>
      </c>
      <c r="D141">
        <v>8.6999999999999993</v>
      </c>
      <c r="E141">
        <v>4</v>
      </c>
      <c r="F141">
        <v>13.8</v>
      </c>
      <c r="G141">
        <f t="shared" si="24"/>
        <v>1805.8</v>
      </c>
      <c r="H141">
        <f t="shared" si="19"/>
        <v>139.39999999999998</v>
      </c>
      <c r="J141">
        <v>1.1000000000000001</v>
      </c>
      <c r="K141">
        <f t="shared" si="25"/>
        <v>188.29999999999995</v>
      </c>
      <c r="L141">
        <v>1.1000000000000001</v>
      </c>
      <c r="M141">
        <f t="shared" si="26"/>
        <v>243.19999999999996</v>
      </c>
      <c r="N141">
        <v>0</v>
      </c>
      <c r="O141">
        <f t="shared" si="21"/>
        <v>46.100000000000009</v>
      </c>
      <c r="P141" s="5">
        <v>136</v>
      </c>
      <c r="Q141" s="6">
        <v>1</v>
      </c>
      <c r="R141" s="11">
        <f t="shared" si="22"/>
        <v>1.1000000000000001</v>
      </c>
      <c r="S141" s="11">
        <f t="shared" si="23"/>
        <v>0</v>
      </c>
      <c r="T141" s="14">
        <f t="shared" si="18"/>
        <v>63.106875000000024</v>
      </c>
      <c r="V141">
        <v>718.5</v>
      </c>
      <c r="X141">
        <f t="shared" si="27"/>
        <v>115352.70000000001</v>
      </c>
      <c r="Y141">
        <f t="shared" si="20"/>
        <v>12613.600000000002</v>
      </c>
      <c r="AA141">
        <v>9.2560843019213195</v>
      </c>
    </row>
    <row r="142" spans="1:27" x14ac:dyDescent="0.25">
      <c r="A142" s="75"/>
      <c r="B142" s="8"/>
      <c r="C142" s="9">
        <v>42020</v>
      </c>
      <c r="D142">
        <v>7.6</v>
      </c>
      <c r="E142">
        <v>5.8</v>
      </c>
      <c r="F142">
        <v>9.1</v>
      </c>
      <c r="G142">
        <f t="shared" si="24"/>
        <v>1813.3999999999999</v>
      </c>
      <c r="H142">
        <f t="shared" si="19"/>
        <v>146.99999999999997</v>
      </c>
      <c r="J142">
        <v>9.8000000000000007</v>
      </c>
      <c r="K142">
        <f t="shared" si="25"/>
        <v>198.09999999999997</v>
      </c>
      <c r="L142">
        <v>0.5</v>
      </c>
      <c r="M142">
        <f t="shared" si="26"/>
        <v>243.69999999999996</v>
      </c>
      <c r="N142">
        <v>9.3000000000000007</v>
      </c>
      <c r="O142">
        <f t="shared" si="21"/>
        <v>55.400000000000006</v>
      </c>
      <c r="P142" s="5">
        <v>137</v>
      </c>
      <c r="Q142" s="6">
        <v>1</v>
      </c>
      <c r="R142" s="11">
        <f t="shared" si="22"/>
        <v>0.5</v>
      </c>
      <c r="S142" s="11">
        <f t="shared" si="23"/>
        <v>9.3000000000000007</v>
      </c>
      <c r="T142" s="14">
        <f t="shared" si="18"/>
        <v>72.406875000000028</v>
      </c>
      <c r="V142">
        <v>149.80000000000001</v>
      </c>
      <c r="X142">
        <f t="shared" si="27"/>
        <v>115502.50000000001</v>
      </c>
      <c r="Y142">
        <f t="shared" si="20"/>
        <v>12763.400000000001</v>
      </c>
      <c r="AA142">
        <v>9.2844317619909909</v>
      </c>
    </row>
    <row r="143" spans="1:27" x14ac:dyDescent="0.25">
      <c r="A143" s="75"/>
      <c r="B143" s="8"/>
      <c r="C143" s="9">
        <v>42021</v>
      </c>
      <c r="D143">
        <v>5.5</v>
      </c>
      <c r="E143">
        <v>4</v>
      </c>
      <c r="F143">
        <v>7.6</v>
      </c>
      <c r="G143">
        <f t="shared" si="24"/>
        <v>1818.8999999999999</v>
      </c>
      <c r="H143">
        <f t="shared" si="19"/>
        <v>152.49999999999997</v>
      </c>
      <c r="J143">
        <v>1.1000000000000001</v>
      </c>
      <c r="K143">
        <f t="shared" si="25"/>
        <v>199.19999999999996</v>
      </c>
      <c r="L143">
        <v>0.7</v>
      </c>
      <c r="M143">
        <f t="shared" si="26"/>
        <v>244.39999999999995</v>
      </c>
      <c r="N143">
        <v>0.40000000000000013</v>
      </c>
      <c r="O143">
        <f t="shared" si="21"/>
        <v>55.800000000000004</v>
      </c>
      <c r="P143" s="5">
        <v>138</v>
      </c>
      <c r="Q143" s="6">
        <v>1</v>
      </c>
      <c r="R143" s="11">
        <f t="shared" si="22"/>
        <v>0.7</v>
      </c>
      <c r="S143" s="11">
        <f t="shared" si="23"/>
        <v>0.40000000000000013</v>
      </c>
      <c r="T143" s="14">
        <f t="shared" si="18"/>
        <v>72.806875000000034</v>
      </c>
      <c r="V143">
        <v>398</v>
      </c>
      <c r="X143">
        <f t="shared" si="27"/>
        <v>115900.50000000001</v>
      </c>
      <c r="Y143">
        <f t="shared" si="20"/>
        <v>13161.400000000001</v>
      </c>
      <c r="AA143">
        <v>9.3137133607517306</v>
      </c>
    </row>
    <row r="144" spans="1:27" x14ac:dyDescent="0.25">
      <c r="A144" s="75"/>
      <c r="B144" s="8"/>
      <c r="C144" s="9">
        <v>42022</v>
      </c>
      <c r="D144">
        <v>4.0999999999999996</v>
      </c>
      <c r="E144">
        <v>0.3</v>
      </c>
      <c r="F144">
        <v>6.9</v>
      </c>
      <c r="G144">
        <f t="shared" si="24"/>
        <v>1822.9999999999998</v>
      </c>
      <c r="H144">
        <f t="shared" si="19"/>
        <v>156.59999999999997</v>
      </c>
      <c r="J144">
        <v>0.1</v>
      </c>
      <c r="K144">
        <f t="shared" si="25"/>
        <v>199.29999999999995</v>
      </c>
      <c r="L144">
        <v>0.7</v>
      </c>
      <c r="M144">
        <f t="shared" si="26"/>
        <v>245.09999999999994</v>
      </c>
      <c r="N144">
        <v>-0.6</v>
      </c>
      <c r="O144">
        <f t="shared" si="21"/>
        <v>55.2</v>
      </c>
      <c r="P144" s="5">
        <v>139</v>
      </c>
      <c r="Q144" s="6">
        <v>1</v>
      </c>
      <c r="R144" s="11">
        <f t="shared" si="22"/>
        <v>0.7</v>
      </c>
      <c r="S144" s="11">
        <f t="shared" si="23"/>
        <v>-0.6</v>
      </c>
      <c r="T144" s="14">
        <f t="shared" si="18"/>
        <v>72.206875000000039</v>
      </c>
      <c r="V144">
        <v>765.7</v>
      </c>
      <c r="X144">
        <f t="shared" si="27"/>
        <v>116666.20000000001</v>
      </c>
      <c r="Y144">
        <f t="shared" si="20"/>
        <v>13927.100000000002</v>
      </c>
      <c r="AA144">
        <v>9.3439052952562403</v>
      </c>
    </row>
    <row r="145" spans="1:27" x14ac:dyDescent="0.25">
      <c r="A145" s="75"/>
      <c r="B145" s="8"/>
      <c r="C145" s="9">
        <v>42023</v>
      </c>
      <c r="D145">
        <v>5.5</v>
      </c>
      <c r="E145">
        <v>4.7</v>
      </c>
      <c r="F145">
        <v>6.9</v>
      </c>
      <c r="G145">
        <f t="shared" si="24"/>
        <v>1828.4999999999998</v>
      </c>
      <c r="H145">
        <f t="shared" si="19"/>
        <v>162.09999999999997</v>
      </c>
      <c r="J145">
        <v>1.6</v>
      </c>
      <c r="K145">
        <f t="shared" si="25"/>
        <v>200.89999999999995</v>
      </c>
      <c r="L145">
        <v>0.5</v>
      </c>
      <c r="M145">
        <f t="shared" si="26"/>
        <v>245.59999999999994</v>
      </c>
      <c r="N145">
        <v>1.1000000000000001</v>
      </c>
      <c r="O145">
        <f t="shared" si="21"/>
        <v>56.300000000000004</v>
      </c>
      <c r="P145" s="5">
        <v>140</v>
      </c>
      <c r="Q145" s="6">
        <v>1</v>
      </c>
      <c r="R145" s="11">
        <f t="shared" si="22"/>
        <v>0.5</v>
      </c>
      <c r="S145" s="11">
        <f t="shared" si="23"/>
        <v>1.1000000000000001</v>
      </c>
      <c r="T145" s="14">
        <f t="shared" si="18"/>
        <v>73.306875000000034</v>
      </c>
      <c r="V145">
        <v>266.39999999999998</v>
      </c>
      <c r="X145">
        <f t="shared" si="27"/>
        <v>116932.6</v>
      </c>
      <c r="Y145">
        <f t="shared" si="20"/>
        <v>14193.500000000002</v>
      </c>
      <c r="AA145">
        <v>9.3749835573052707</v>
      </c>
    </row>
    <row r="146" spans="1:27" x14ac:dyDescent="0.25">
      <c r="A146" s="75"/>
      <c r="B146" s="8"/>
      <c r="C146" s="9">
        <v>42024</v>
      </c>
      <c r="D146">
        <v>2.2999999999999998</v>
      </c>
      <c r="E146">
        <v>1.3</v>
      </c>
      <c r="F146">
        <v>4.9000000000000004</v>
      </c>
      <c r="G146">
        <f t="shared" si="24"/>
        <v>1830.7999999999997</v>
      </c>
      <c r="H146">
        <f t="shared" si="19"/>
        <v>164.39999999999998</v>
      </c>
      <c r="J146">
        <v>0</v>
      </c>
      <c r="K146">
        <f t="shared" si="25"/>
        <v>200.89999999999995</v>
      </c>
      <c r="L146">
        <v>0.6</v>
      </c>
      <c r="M146">
        <f t="shared" si="26"/>
        <v>246.19999999999993</v>
      </c>
      <c r="N146">
        <v>-0.6</v>
      </c>
      <c r="O146">
        <f t="shared" si="21"/>
        <v>55.7</v>
      </c>
      <c r="P146" s="5">
        <v>141</v>
      </c>
      <c r="Q146" s="6">
        <v>1</v>
      </c>
      <c r="R146" s="11">
        <f t="shared" si="22"/>
        <v>0.6</v>
      </c>
      <c r="S146" s="11">
        <f t="shared" si="23"/>
        <v>-0.6</v>
      </c>
      <c r="T146" s="14">
        <f t="shared" si="18"/>
        <v>72.706875000000039</v>
      </c>
      <c r="V146">
        <v>577.20000000000005</v>
      </c>
      <c r="X146">
        <f t="shared" si="27"/>
        <v>117509.8</v>
      </c>
      <c r="Y146">
        <f t="shared" si="20"/>
        <v>14770.700000000003</v>
      </c>
      <c r="AA146">
        <v>9.4069239913861793</v>
      </c>
    </row>
    <row r="147" spans="1:27" x14ac:dyDescent="0.25">
      <c r="A147" s="75"/>
      <c r="B147" s="8"/>
      <c r="C147" s="9">
        <v>42025</v>
      </c>
      <c r="D147">
        <v>1.8</v>
      </c>
      <c r="E147">
        <v>-1.7</v>
      </c>
      <c r="F147">
        <v>4.7</v>
      </c>
      <c r="G147">
        <f t="shared" si="24"/>
        <v>1832.5999999999997</v>
      </c>
      <c r="H147">
        <f t="shared" si="19"/>
        <v>166.2</v>
      </c>
      <c r="J147">
        <v>0.3</v>
      </c>
      <c r="K147">
        <f t="shared" si="25"/>
        <v>201.19999999999996</v>
      </c>
      <c r="L147">
        <v>0.6</v>
      </c>
      <c r="M147">
        <f t="shared" si="26"/>
        <v>246.79999999999993</v>
      </c>
      <c r="N147">
        <v>-0.3</v>
      </c>
      <c r="O147">
        <f t="shared" si="21"/>
        <v>55.400000000000006</v>
      </c>
      <c r="P147" s="5">
        <v>142</v>
      </c>
      <c r="Q147" s="6">
        <v>1</v>
      </c>
      <c r="R147" s="11">
        <f t="shared" si="22"/>
        <v>0.6</v>
      </c>
      <c r="S147" s="11">
        <f t="shared" si="23"/>
        <v>-0.3</v>
      </c>
      <c r="T147" s="14">
        <f t="shared" si="18"/>
        <v>72.406875000000042</v>
      </c>
      <c r="V147">
        <v>365</v>
      </c>
      <c r="X147">
        <f t="shared" si="27"/>
        <v>117874.8</v>
      </c>
      <c r="Y147">
        <f t="shared" si="20"/>
        <v>15135.700000000003</v>
      </c>
      <c r="AA147">
        <v>9.4397023505662503</v>
      </c>
    </row>
    <row r="148" spans="1:27" x14ac:dyDescent="0.25">
      <c r="A148" s="75"/>
      <c r="B148" s="8">
        <v>4</v>
      </c>
      <c r="C148" s="9">
        <v>42026</v>
      </c>
      <c r="D148">
        <v>3.7</v>
      </c>
      <c r="E148">
        <v>1.4</v>
      </c>
      <c r="F148">
        <v>5.5</v>
      </c>
      <c r="G148">
        <f t="shared" si="24"/>
        <v>1836.2999999999997</v>
      </c>
      <c r="H148">
        <f t="shared" si="19"/>
        <v>169.89999999999998</v>
      </c>
      <c r="J148">
        <v>0.3</v>
      </c>
      <c r="K148">
        <f t="shared" si="25"/>
        <v>201.49999999999997</v>
      </c>
      <c r="L148">
        <v>0.6</v>
      </c>
      <c r="M148">
        <f t="shared" si="26"/>
        <v>247.39999999999992</v>
      </c>
      <c r="N148">
        <v>-0.3</v>
      </c>
      <c r="O148">
        <f t="shared" si="21"/>
        <v>55.100000000000009</v>
      </c>
      <c r="P148" s="5">
        <v>143</v>
      </c>
      <c r="Q148" s="6">
        <v>1</v>
      </c>
      <c r="R148" s="11">
        <f t="shared" si="22"/>
        <v>0.6</v>
      </c>
      <c r="S148" s="11">
        <f t="shared" si="23"/>
        <v>-0.3</v>
      </c>
      <c r="T148" s="14">
        <f t="shared" si="18"/>
        <v>72.106875000000045</v>
      </c>
      <c r="V148">
        <v>457.4</v>
      </c>
      <c r="X148">
        <f t="shared" si="27"/>
        <v>118332.2</v>
      </c>
      <c r="Y148">
        <f t="shared" si="20"/>
        <v>15593.100000000002</v>
      </c>
      <c r="AA148">
        <v>9.4732943501627194</v>
      </c>
    </row>
    <row r="149" spans="1:27" x14ac:dyDescent="0.25">
      <c r="A149" s="75"/>
      <c r="B149" s="8"/>
      <c r="C149" s="9">
        <v>42027</v>
      </c>
      <c r="D149">
        <v>1.8</v>
      </c>
      <c r="E149">
        <v>0.2</v>
      </c>
      <c r="F149">
        <v>3.9</v>
      </c>
      <c r="G149">
        <f t="shared" si="24"/>
        <v>1838.0999999999997</v>
      </c>
      <c r="H149">
        <f t="shared" si="19"/>
        <v>171.7</v>
      </c>
      <c r="J149">
        <v>0</v>
      </c>
      <c r="K149">
        <f t="shared" si="25"/>
        <v>201.49999999999997</v>
      </c>
      <c r="L149">
        <v>1.1000000000000001</v>
      </c>
      <c r="M149">
        <f t="shared" si="26"/>
        <v>248.49999999999991</v>
      </c>
      <c r="N149">
        <v>-1.1000000000000001</v>
      </c>
      <c r="O149">
        <f t="shared" si="21"/>
        <v>54.000000000000007</v>
      </c>
      <c r="P149" s="5">
        <v>144</v>
      </c>
      <c r="Q149" s="6">
        <v>1</v>
      </c>
      <c r="R149" s="11">
        <f t="shared" si="22"/>
        <v>1.1000000000000001</v>
      </c>
      <c r="S149" s="11">
        <f t="shared" si="23"/>
        <v>-1.1000000000000001</v>
      </c>
      <c r="T149" s="14">
        <f t="shared" si="18"/>
        <v>71.006875000000051</v>
      </c>
      <c r="V149">
        <v>751.5</v>
      </c>
      <c r="X149">
        <f t="shared" si="27"/>
        <v>119083.7</v>
      </c>
      <c r="Y149">
        <f t="shared" si="20"/>
        <v>16344.600000000002</v>
      </c>
      <c r="AA149">
        <v>9.5076757190377794</v>
      </c>
    </row>
    <row r="150" spans="1:27" x14ac:dyDescent="0.25">
      <c r="A150" s="75"/>
      <c r="B150" s="8"/>
      <c r="C150" s="9">
        <v>42028</v>
      </c>
      <c r="D150">
        <v>4.0999999999999996</v>
      </c>
      <c r="E150">
        <v>0.3</v>
      </c>
      <c r="F150">
        <v>7.3</v>
      </c>
      <c r="G150">
        <f t="shared" si="24"/>
        <v>1842.1999999999996</v>
      </c>
      <c r="H150">
        <f t="shared" si="19"/>
        <v>175.79999999999998</v>
      </c>
      <c r="J150">
        <v>2.4</v>
      </c>
      <c r="K150">
        <f t="shared" si="25"/>
        <v>203.89999999999998</v>
      </c>
      <c r="L150">
        <v>0.9</v>
      </c>
      <c r="M150">
        <f t="shared" si="26"/>
        <v>249.39999999999992</v>
      </c>
      <c r="N150">
        <v>1.5</v>
      </c>
      <c r="O150">
        <f t="shared" si="21"/>
        <v>55.500000000000007</v>
      </c>
      <c r="P150" s="5">
        <v>145</v>
      </c>
      <c r="Q150" s="6">
        <v>1</v>
      </c>
      <c r="R150" s="11">
        <f t="shared" si="22"/>
        <v>0.9</v>
      </c>
      <c r="S150" s="11">
        <f t="shared" si="23"/>
        <v>1.5</v>
      </c>
      <c r="T150" s="14">
        <f t="shared" si="18"/>
        <v>72.506875000000051</v>
      </c>
      <c r="V150">
        <v>581</v>
      </c>
      <c r="X150">
        <f t="shared" si="27"/>
        <v>119664.7</v>
      </c>
      <c r="Y150">
        <f t="shared" si="20"/>
        <v>16925.600000000002</v>
      </c>
      <c r="AA150">
        <v>9.5428222483918006</v>
      </c>
    </row>
    <row r="151" spans="1:27" x14ac:dyDescent="0.25">
      <c r="A151" s="75"/>
      <c r="B151" s="8"/>
      <c r="C151" s="9">
        <v>42029</v>
      </c>
      <c r="D151">
        <v>3.8</v>
      </c>
      <c r="E151">
        <v>1.2</v>
      </c>
      <c r="F151">
        <v>6.3</v>
      </c>
      <c r="G151">
        <f t="shared" si="24"/>
        <v>1845.9999999999995</v>
      </c>
      <c r="H151">
        <f t="shared" si="19"/>
        <v>179.6</v>
      </c>
      <c r="J151">
        <v>0</v>
      </c>
      <c r="K151">
        <f t="shared" si="25"/>
        <v>203.89999999999998</v>
      </c>
      <c r="L151">
        <v>1.2</v>
      </c>
      <c r="M151">
        <f t="shared" si="26"/>
        <v>250.59999999999991</v>
      </c>
      <c r="N151">
        <v>-1.2</v>
      </c>
      <c r="O151">
        <f t="shared" si="21"/>
        <v>54.300000000000004</v>
      </c>
      <c r="P151" s="5">
        <v>146</v>
      </c>
      <c r="Q151" s="6">
        <v>1</v>
      </c>
      <c r="R151" s="11">
        <f t="shared" si="22"/>
        <v>1.2</v>
      </c>
      <c r="S151" s="11">
        <f t="shared" si="23"/>
        <v>-1.2</v>
      </c>
      <c r="T151" s="14">
        <f t="shared" ref="T151:T214" si="28">MIN(122.1,(T150+S151))</f>
        <v>71.306875000000048</v>
      </c>
      <c r="V151">
        <v>747.8</v>
      </c>
      <c r="X151">
        <f t="shared" si="27"/>
        <v>120412.5</v>
      </c>
      <c r="Y151">
        <f t="shared" si="20"/>
        <v>17673.400000000001</v>
      </c>
      <c r="AA151">
        <v>9.5787098379526103</v>
      </c>
    </row>
    <row r="152" spans="1:27" x14ac:dyDescent="0.25">
      <c r="A152" s="75"/>
      <c r="B152" s="8"/>
      <c r="C152" s="9">
        <v>42030</v>
      </c>
      <c r="D152">
        <v>5.4</v>
      </c>
      <c r="E152">
        <v>3</v>
      </c>
      <c r="F152">
        <v>8.3000000000000007</v>
      </c>
      <c r="G152">
        <f t="shared" si="24"/>
        <v>1851.3999999999996</v>
      </c>
      <c r="H152">
        <f t="shared" si="19"/>
        <v>185</v>
      </c>
      <c r="J152">
        <v>1.5</v>
      </c>
      <c r="K152">
        <f t="shared" si="25"/>
        <v>205.39999999999998</v>
      </c>
      <c r="L152">
        <v>1.1000000000000001</v>
      </c>
      <c r="M152">
        <f t="shared" si="26"/>
        <v>251.6999999999999</v>
      </c>
      <c r="N152">
        <v>0.39999999999999991</v>
      </c>
      <c r="O152">
        <f t="shared" si="21"/>
        <v>54.7</v>
      </c>
      <c r="P152" s="5">
        <v>147</v>
      </c>
      <c r="Q152" s="6">
        <v>1</v>
      </c>
      <c r="R152" s="11">
        <f t="shared" si="22"/>
        <v>1.1000000000000001</v>
      </c>
      <c r="S152" s="11">
        <f t="shared" si="23"/>
        <v>0.39999999999999991</v>
      </c>
      <c r="T152" s="14">
        <f t="shared" si="28"/>
        <v>71.706875000000053</v>
      </c>
      <c r="V152">
        <v>426.6</v>
      </c>
      <c r="X152">
        <f t="shared" si="27"/>
        <v>120839.1</v>
      </c>
      <c r="Y152">
        <f t="shared" si="20"/>
        <v>18100</v>
      </c>
      <c r="AA152">
        <v>9.6153145394824406</v>
      </c>
    </row>
    <row r="153" spans="1:27" x14ac:dyDescent="0.25">
      <c r="A153" s="75"/>
      <c r="B153" s="8"/>
      <c r="C153" s="9">
        <v>42031</v>
      </c>
      <c r="D153">
        <v>6.7</v>
      </c>
      <c r="E153">
        <v>6</v>
      </c>
      <c r="F153">
        <v>7.9</v>
      </c>
      <c r="G153">
        <f t="shared" si="24"/>
        <v>1858.0999999999997</v>
      </c>
      <c r="H153">
        <f t="shared" si="19"/>
        <v>191.7</v>
      </c>
      <c r="J153">
        <v>0</v>
      </c>
      <c r="K153">
        <f t="shared" si="25"/>
        <v>205.39999999999998</v>
      </c>
      <c r="L153">
        <v>1</v>
      </c>
      <c r="M153">
        <f t="shared" si="26"/>
        <v>252.6999999999999</v>
      </c>
      <c r="N153">
        <v>-1</v>
      </c>
      <c r="O153">
        <f t="shared" si="21"/>
        <v>53.7</v>
      </c>
      <c r="P153" s="5">
        <v>148</v>
      </c>
      <c r="Q153" s="6">
        <v>1</v>
      </c>
      <c r="R153" s="11">
        <f t="shared" si="22"/>
        <v>1</v>
      </c>
      <c r="S153" s="11">
        <f t="shared" si="23"/>
        <v>-1</v>
      </c>
      <c r="T153" s="14">
        <f t="shared" si="28"/>
        <v>70.706875000000053</v>
      </c>
      <c r="V153">
        <v>535.70000000000005</v>
      </c>
      <c r="X153">
        <f t="shared" si="27"/>
        <v>121374.8</v>
      </c>
      <c r="Y153">
        <f t="shared" si="20"/>
        <v>18635.7</v>
      </c>
      <c r="AA153">
        <v>9.6526125975464208</v>
      </c>
    </row>
    <row r="154" spans="1:27" x14ac:dyDescent="0.25">
      <c r="A154" s="75"/>
      <c r="B154" s="8"/>
      <c r="C154" s="9">
        <v>42032</v>
      </c>
      <c r="D154">
        <v>8.1</v>
      </c>
      <c r="E154">
        <v>4.9000000000000004</v>
      </c>
      <c r="F154">
        <v>10.199999999999999</v>
      </c>
      <c r="G154">
        <f t="shared" si="24"/>
        <v>1866.1999999999996</v>
      </c>
      <c r="H154">
        <f t="shared" si="19"/>
        <v>199.79999999999998</v>
      </c>
      <c r="J154">
        <v>2</v>
      </c>
      <c r="K154">
        <f t="shared" si="25"/>
        <v>207.39999999999998</v>
      </c>
      <c r="L154">
        <v>1.3</v>
      </c>
      <c r="M154">
        <f t="shared" si="26"/>
        <v>253.99999999999991</v>
      </c>
      <c r="N154">
        <v>0.7</v>
      </c>
      <c r="O154">
        <f t="shared" si="21"/>
        <v>54.400000000000006</v>
      </c>
      <c r="P154" s="5">
        <v>149</v>
      </c>
      <c r="Q154" s="6">
        <v>1</v>
      </c>
      <c r="R154" s="11">
        <f t="shared" si="22"/>
        <v>1.3</v>
      </c>
      <c r="S154" s="11">
        <f t="shared" si="23"/>
        <v>0.7</v>
      </c>
      <c r="T154" s="14">
        <f t="shared" si="28"/>
        <v>71.406875000000056</v>
      </c>
      <c r="V154">
        <v>744.1</v>
      </c>
      <c r="X154">
        <f t="shared" si="27"/>
        <v>122118.90000000001</v>
      </c>
      <c r="Y154">
        <f t="shared" si="20"/>
        <v>19379.8</v>
      </c>
      <c r="AA154">
        <v>9.6905804875077397</v>
      </c>
    </row>
    <row r="155" spans="1:27" x14ac:dyDescent="0.25">
      <c r="A155" s="75"/>
      <c r="B155" s="8">
        <v>5</v>
      </c>
      <c r="C155" s="9">
        <v>42033</v>
      </c>
      <c r="D155">
        <v>10.5</v>
      </c>
      <c r="E155">
        <v>9.1</v>
      </c>
      <c r="F155">
        <v>11.8</v>
      </c>
      <c r="G155">
        <f t="shared" si="24"/>
        <v>1876.6999999999996</v>
      </c>
      <c r="H155">
        <f t="shared" si="19"/>
        <v>210.29999999999998</v>
      </c>
      <c r="J155">
        <v>8.9</v>
      </c>
      <c r="K155">
        <f t="shared" si="25"/>
        <v>216.29999999999998</v>
      </c>
      <c r="L155">
        <v>1.2</v>
      </c>
      <c r="M155">
        <f t="shared" si="26"/>
        <v>255.1999999999999</v>
      </c>
      <c r="N155">
        <v>7.7</v>
      </c>
      <c r="O155">
        <f t="shared" si="21"/>
        <v>62.100000000000009</v>
      </c>
      <c r="P155" s="5">
        <v>150</v>
      </c>
      <c r="Q155" s="6">
        <v>1</v>
      </c>
      <c r="R155" s="11">
        <f t="shared" si="22"/>
        <v>1.2</v>
      </c>
      <c r="S155" s="11">
        <f t="shared" si="23"/>
        <v>7.7</v>
      </c>
      <c r="T155" s="14">
        <f t="shared" si="28"/>
        <v>79.106875000000059</v>
      </c>
      <c r="V155">
        <v>220.9</v>
      </c>
      <c r="X155">
        <f t="shared" si="27"/>
        <v>122339.8</v>
      </c>
      <c r="Y155">
        <f t="shared" si="20"/>
        <v>19600.7</v>
      </c>
      <c r="AA155">
        <v>9.7291949507346693</v>
      </c>
    </row>
    <row r="156" spans="1:27" x14ac:dyDescent="0.25">
      <c r="A156" s="75"/>
      <c r="B156" s="8"/>
      <c r="C156" s="9">
        <v>42034</v>
      </c>
      <c r="D156">
        <v>6.4</v>
      </c>
      <c r="E156">
        <v>4.8</v>
      </c>
      <c r="F156">
        <v>7.5</v>
      </c>
      <c r="G156">
        <f t="shared" si="24"/>
        <v>1883.0999999999997</v>
      </c>
      <c r="H156">
        <f t="shared" si="19"/>
        <v>216.7</v>
      </c>
      <c r="J156">
        <v>4</v>
      </c>
      <c r="K156">
        <f t="shared" si="25"/>
        <v>220.29999999999998</v>
      </c>
      <c r="L156">
        <v>0.7</v>
      </c>
      <c r="M156">
        <f t="shared" si="26"/>
        <v>255.89999999999989</v>
      </c>
      <c r="N156">
        <v>3.3</v>
      </c>
      <c r="O156">
        <f t="shared" si="21"/>
        <v>65.400000000000006</v>
      </c>
      <c r="P156" s="5">
        <v>151</v>
      </c>
      <c r="Q156" s="6">
        <v>1</v>
      </c>
      <c r="R156" s="11">
        <f t="shared" si="22"/>
        <v>0.7</v>
      </c>
      <c r="S156" s="11">
        <f t="shared" si="23"/>
        <v>3.3</v>
      </c>
      <c r="T156" s="14">
        <f t="shared" si="28"/>
        <v>82.406875000000056</v>
      </c>
      <c r="V156">
        <v>415.5</v>
      </c>
      <c r="X156">
        <f t="shared" si="27"/>
        <v>122755.3</v>
      </c>
      <c r="Y156">
        <f t="shared" si="20"/>
        <v>20016.2</v>
      </c>
      <c r="AA156">
        <v>9.7684330270224002</v>
      </c>
    </row>
    <row r="157" spans="1:27" x14ac:dyDescent="0.25">
      <c r="A157" s="75"/>
      <c r="B157" s="8"/>
      <c r="C157" s="9">
        <v>42035</v>
      </c>
      <c r="D157">
        <v>5.3</v>
      </c>
      <c r="E157">
        <v>4.2</v>
      </c>
      <c r="F157">
        <v>7.5</v>
      </c>
      <c r="G157">
        <f t="shared" si="24"/>
        <v>1888.3999999999996</v>
      </c>
      <c r="H157">
        <f t="shared" si="19"/>
        <v>222</v>
      </c>
      <c r="J157">
        <v>2.2999999999999998</v>
      </c>
      <c r="K157">
        <f t="shared" si="25"/>
        <v>222.6</v>
      </c>
      <c r="L157">
        <v>0.9</v>
      </c>
      <c r="M157">
        <f t="shared" si="26"/>
        <v>256.7999999999999</v>
      </c>
      <c r="N157">
        <v>1.4</v>
      </c>
      <c r="O157">
        <f t="shared" si="21"/>
        <v>66.800000000000011</v>
      </c>
      <c r="P157" s="5">
        <v>152</v>
      </c>
      <c r="Q157" s="6">
        <v>1</v>
      </c>
      <c r="R157" s="11">
        <f t="shared" si="22"/>
        <v>0.9</v>
      </c>
      <c r="S157" s="11">
        <f t="shared" si="23"/>
        <v>1.4</v>
      </c>
      <c r="T157" s="14">
        <f t="shared" si="28"/>
        <v>83.806875000000062</v>
      </c>
      <c r="V157">
        <v>331</v>
      </c>
      <c r="X157">
        <f t="shared" si="27"/>
        <v>123086.3</v>
      </c>
      <c r="Y157">
        <f t="shared" si="20"/>
        <v>20347.2</v>
      </c>
      <c r="AA157">
        <v>9.8082720842499906</v>
      </c>
    </row>
    <row r="158" spans="1:27" x14ac:dyDescent="0.25">
      <c r="A158" s="75"/>
      <c r="B158" s="8"/>
      <c r="C158" s="9">
        <v>42036</v>
      </c>
      <c r="D158">
        <v>3.7</v>
      </c>
      <c r="E158">
        <v>2.7</v>
      </c>
      <c r="F158">
        <v>6</v>
      </c>
      <c r="G158">
        <f t="shared" si="24"/>
        <v>1892.0999999999997</v>
      </c>
      <c r="H158">
        <f t="shared" si="19"/>
        <v>225.7</v>
      </c>
      <c r="J158">
        <v>0.7</v>
      </c>
      <c r="K158">
        <f t="shared" si="25"/>
        <v>223.29999999999998</v>
      </c>
      <c r="L158">
        <v>1.3</v>
      </c>
      <c r="M158">
        <f t="shared" si="26"/>
        <v>258.09999999999991</v>
      </c>
      <c r="N158">
        <v>-0.60000000000000009</v>
      </c>
      <c r="O158">
        <f t="shared" si="21"/>
        <v>66.200000000000017</v>
      </c>
      <c r="P158" s="5">
        <v>153</v>
      </c>
      <c r="Q158" s="6">
        <v>1</v>
      </c>
      <c r="R158" s="11">
        <f t="shared" si="22"/>
        <v>1.3</v>
      </c>
      <c r="S158" s="11">
        <f t="shared" si="23"/>
        <v>-0.60000000000000009</v>
      </c>
      <c r="T158" s="14">
        <f t="shared" si="28"/>
        <v>83.206875000000068</v>
      </c>
      <c r="V158">
        <v>808.1</v>
      </c>
      <c r="X158">
        <f t="shared" si="27"/>
        <v>123894.40000000001</v>
      </c>
      <c r="Y158">
        <f t="shared" si="20"/>
        <v>21155.3</v>
      </c>
      <c r="AA158">
        <v>9.8486898453075806</v>
      </c>
    </row>
    <row r="159" spans="1:27" x14ac:dyDescent="0.25">
      <c r="A159" s="75"/>
      <c r="B159" s="8"/>
      <c r="C159" s="9">
        <v>42037</v>
      </c>
      <c r="D159">
        <v>3.7</v>
      </c>
      <c r="E159">
        <v>1.9</v>
      </c>
      <c r="F159">
        <v>5.5</v>
      </c>
      <c r="G159">
        <f t="shared" si="24"/>
        <v>1895.7999999999997</v>
      </c>
      <c r="H159">
        <f t="shared" si="19"/>
        <v>229.39999999999998</v>
      </c>
      <c r="J159">
        <v>0.1</v>
      </c>
      <c r="K159">
        <f t="shared" si="25"/>
        <v>223.39999999999998</v>
      </c>
      <c r="L159">
        <v>0.7</v>
      </c>
      <c r="M159">
        <f t="shared" si="26"/>
        <v>258.7999999999999</v>
      </c>
      <c r="N159">
        <v>-0.6</v>
      </c>
      <c r="O159">
        <f t="shared" si="21"/>
        <v>65.600000000000023</v>
      </c>
      <c r="P159" s="5">
        <v>154</v>
      </c>
      <c r="Q159" s="6">
        <v>1</v>
      </c>
      <c r="R159" s="11">
        <f t="shared" si="22"/>
        <v>0.7</v>
      </c>
      <c r="S159" s="11">
        <f t="shared" si="23"/>
        <v>-0.6</v>
      </c>
      <c r="T159" s="14">
        <f t="shared" si="28"/>
        <v>82.606875000000073</v>
      </c>
      <c r="V159">
        <v>634.6</v>
      </c>
      <c r="X159">
        <f t="shared" si="27"/>
        <v>124529.00000000001</v>
      </c>
      <c r="Y159">
        <f t="shared" si="20"/>
        <v>21789.899999999998</v>
      </c>
      <c r="AA159">
        <v>9.8896644123426807</v>
      </c>
    </row>
    <row r="160" spans="1:27" x14ac:dyDescent="0.25">
      <c r="A160" s="75"/>
      <c r="B160" s="8"/>
      <c r="C160" s="9">
        <v>42038</v>
      </c>
      <c r="D160">
        <v>0.4</v>
      </c>
      <c r="E160">
        <v>-0.1</v>
      </c>
      <c r="F160">
        <v>1.1000000000000001</v>
      </c>
      <c r="G160">
        <f t="shared" si="24"/>
        <v>1896.1999999999998</v>
      </c>
      <c r="H160">
        <f t="shared" si="19"/>
        <v>229.79999999999998</v>
      </c>
      <c r="J160">
        <v>4.5</v>
      </c>
      <c r="K160">
        <f t="shared" si="25"/>
        <v>227.89999999999998</v>
      </c>
      <c r="L160">
        <v>0.2</v>
      </c>
      <c r="M160">
        <f t="shared" si="26"/>
        <v>258.99999999999989</v>
      </c>
      <c r="N160">
        <v>4.3</v>
      </c>
      <c r="O160">
        <f t="shared" si="21"/>
        <v>69.90000000000002</v>
      </c>
      <c r="P160" s="5">
        <v>155</v>
      </c>
      <c r="Q160" s="6">
        <v>1</v>
      </c>
      <c r="R160" s="11">
        <f t="shared" si="22"/>
        <v>0.2</v>
      </c>
      <c r="S160" s="11">
        <f t="shared" si="23"/>
        <v>4.3</v>
      </c>
      <c r="T160" s="14">
        <f t="shared" si="28"/>
        <v>86.90687500000007</v>
      </c>
      <c r="V160">
        <v>170.9</v>
      </c>
      <c r="X160">
        <f t="shared" si="27"/>
        <v>124699.90000000001</v>
      </c>
      <c r="Y160">
        <f t="shared" si="20"/>
        <v>21960.799999999999</v>
      </c>
      <c r="AA160">
        <v>9.93117428838646</v>
      </c>
    </row>
    <row r="161" spans="1:27" x14ac:dyDescent="0.25">
      <c r="A161" s="75"/>
      <c r="B161" s="8"/>
      <c r="C161" s="9">
        <v>42039</v>
      </c>
      <c r="D161">
        <v>-0.1</v>
      </c>
      <c r="E161">
        <v>-2.6</v>
      </c>
      <c r="F161">
        <v>1.3</v>
      </c>
      <c r="G161">
        <v>1896.2</v>
      </c>
      <c r="H161">
        <v>229.8</v>
      </c>
      <c r="J161">
        <v>0.1</v>
      </c>
      <c r="K161">
        <f t="shared" si="25"/>
        <v>227.99999999999997</v>
      </c>
      <c r="L161">
        <v>0.6</v>
      </c>
      <c r="M161">
        <f t="shared" si="26"/>
        <v>259.59999999999991</v>
      </c>
      <c r="N161">
        <v>-0.5</v>
      </c>
      <c r="O161">
        <f t="shared" si="21"/>
        <v>69.40000000000002</v>
      </c>
      <c r="P161" s="5">
        <v>156</v>
      </c>
      <c r="Q161" s="6">
        <v>1</v>
      </c>
      <c r="R161" s="11">
        <f t="shared" si="22"/>
        <v>0.6</v>
      </c>
      <c r="S161" s="11">
        <f t="shared" si="23"/>
        <v>-0.5</v>
      </c>
      <c r="T161" s="14">
        <f t="shared" si="28"/>
        <v>86.40687500000007</v>
      </c>
      <c r="V161">
        <v>602.79999999999995</v>
      </c>
      <c r="X161">
        <f t="shared" si="27"/>
        <v>125302.70000000001</v>
      </c>
      <c r="Y161">
        <f t="shared" si="20"/>
        <v>22563.599999999999</v>
      </c>
      <c r="AA161">
        <v>9.9731983964313997</v>
      </c>
    </row>
    <row r="162" spans="1:27" x14ac:dyDescent="0.25">
      <c r="A162" s="75"/>
      <c r="B162" s="8">
        <v>6</v>
      </c>
      <c r="C162" s="9">
        <v>42040</v>
      </c>
      <c r="D162">
        <v>0.3</v>
      </c>
      <c r="E162">
        <v>-1.5</v>
      </c>
      <c r="F162">
        <v>2</v>
      </c>
      <c r="G162">
        <f t="shared" si="24"/>
        <v>1896.5</v>
      </c>
      <c r="H162">
        <f t="shared" si="19"/>
        <v>230.10000000000002</v>
      </c>
      <c r="J162">
        <v>0.1</v>
      </c>
      <c r="K162">
        <f t="shared" si="25"/>
        <v>228.09999999999997</v>
      </c>
      <c r="L162">
        <v>1</v>
      </c>
      <c r="M162">
        <f t="shared" si="26"/>
        <v>260.59999999999991</v>
      </c>
      <c r="N162">
        <v>-0.9</v>
      </c>
      <c r="O162">
        <f t="shared" si="21"/>
        <v>68.500000000000014</v>
      </c>
      <c r="P162" s="5">
        <v>157</v>
      </c>
      <c r="Q162" s="6">
        <v>1</v>
      </c>
      <c r="R162" s="11">
        <f t="shared" si="22"/>
        <v>1</v>
      </c>
      <c r="S162" s="11">
        <f t="shared" si="23"/>
        <v>-0.9</v>
      </c>
      <c r="T162" s="14">
        <f t="shared" si="28"/>
        <v>85.506875000000065</v>
      </c>
      <c r="V162">
        <v>988.3</v>
      </c>
      <c r="X162">
        <f t="shared" si="27"/>
        <v>126291.00000000001</v>
      </c>
      <c r="Y162">
        <f t="shared" si="20"/>
        <v>23551.899999999998</v>
      </c>
      <c r="AA162">
        <v>10.015716096040601</v>
      </c>
    </row>
    <row r="163" spans="1:27" x14ac:dyDescent="0.25">
      <c r="A163" s="75"/>
      <c r="B163" s="8"/>
      <c r="C163" s="9">
        <v>42041</v>
      </c>
      <c r="D163">
        <v>0.2</v>
      </c>
      <c r="E163">
        <v>-0.5</v>
      </c>
      <c r="F163">
        <v>1</v>
      </c>
      <c r="G163">
        <f t="shared" si="24"/>
        <v>1896.7</v>
      </c>
      <c r="H163">
        <f t="shared" si="19"/>
        <v>230.3</v>
      </c>
      <c r="J163">
        <v>0.1</v>
      </c>
      <c r="K163">
        <f t="shared" si="25"/>
        <v>228.19999999999996</v>
      </c>
      <c r="L163">
        <v>0.5</v>
      </c>
      <c r="M163">
        <f t="shared" si="26"/>
        <v>261.09999999999991</v>
      </c>
      <c r="N163">
        <v>-0.4</v>
      </c>
      <c r="O163">
        <f t="shared" si="21"/>
        <v>68.100000000000009</v>
      </c>
      <c r="P163" s="5">
        <v>158</v>
      </c>
      <c r="Q163" s="6">
        <v>1</v>
      </c>
      <c r="R163" s="11">
        <f t="shared" si="22"/>
        <v>0.5</v>
      </c>
      <c r="S163" s="11">
        <f t="shared" si="23"/>
        <v>-0.4</v>
      </c>
      <c r="T163" s="14">
        <f t="shared" si="28"/>
        <v>85.106875000000059</v>
      </c>
      <c r="V163">
        <v>280.89999999999998</v>
      </c>
      <c r="X163">
        <f t="shared" si="27"/>
        <v>126571.90000000001</v>
      </c>
      <c r="Y163">
        <f t="shared" si="20"/>
        <v>23832.799999999999</v>
      </c>
      <c r="AA163">
        <v>10.058707197576799</v>
      </c>
    </row>
    <row r="164" spans="1:27" x14ac:dyDescent="0.25">
      <c r="A164" s="75"/>
      <c r="B164" s="8"/>
      <c r="C164" s="9">
        <v>42042</v>
      </c>
      <c r="D164">
        <v>1.7</v>
      </c>
      <c r="E164">
        <v>-0.2</v>
      </c>
      <c r="F164">
        <v>4.2</v>
      </c>
      <c r="G164">
        <f t="shared" si="24"/>
        <v>1898.4</v>
      </c>
      <c r="H164">
        <f t="shared" si="19"/>
        <v>232</v>
      </c>
      <c r="J164">
        <v>0</v>
      </c>
      <c r="K164">
        <f t="shared" si="25"/>
        <v>228.19999999999996</v>
      </c>
      <c r="L164">
        <v>1.3</v>
      </c>
      <c r="M164">
        <f t="shared" si="26"/>
        <v>262.39999999999992</v>
      </c>
      <c r="N164">
        <v>-1.3</v>
      </c>
      <c r="O164">
        <f t="shared" si="21"/>
        <v>66.800000000000011</v>
      </c>
      <c r="P164" s="5">
        <v>159</v>
      </c>
      <c r="Q164" s="6">
        <v>1</v>
      </c>
      <c r="R164" s="11">
        <f t="shared" si="22"/>
        <v>1.3</v>
      </c>
      <c r="S164" s="11">
        <f t="shared" si="23"/>
        <v>-1.3</v>
      </c>
      <c r="T164" s="14">
        <f t="shared" si="28"/>
        <v>83.806875000000062</v>
      </c>
      <c r="V164">
        <v>1110.8</v>
      </c>
      <c r="X164">
        <f t="shared" si="27"/>
        <v>127682.70000000001</v>
      </c>
      <c r="Y164">
        <f t="shared" si="20"/>
        <v>24943.599999999999</v>
      </c>
      <c r="AA164">
        <v>10.1021519741451</v>
      </c>
    </row>
    <row r="165" spans="1:27" x14ac:dyDescent="0.25">
      <c r="A165" s="75"/>
      <c r="B165" s="8"/>
      <c r="C165" s="9">
        <v>42043</v>
      </c>
      <c r="D165">
        <v>2.7</v>
      </c>
      <c r="E165">
        <v>0.8</v>
      </c>
      <c r="F165">
        <v>4.8</v>
      </c>
      <c r="G165">
        <f t="shared" si="24"/>
        <v>1901.1000000000001</v>
      </c>
      <c r="H165">
        <f t="shared" si="19"/>
        <v>234.7</v>
      </c>
      <c r="J165">
        <v>0</v>
      </c>
      <c r="K165">
        <f t="shared" si="25"/>
        <v>228.19999999999996</v>
      </c>
      <c r="L165">
        <v>1.3</v>
      </c>
      <c r="M165">
        <f t="shared" si="26"/>
        <v>263.69999999999993</v>
      </c>
      <c r="N165">
        <v>-1.3</v>
      </c>
      <c r="O165">
        <f t="shared" si="21"/>
        <v>65.500000000000014</v>
      </c>
      <c r="P165" s="5">
        <v>160</v>
      </c>
      <c r="Q165" s="6">
        <v>1</v>
      </c>
      <c r="R165" s="11">
        <f t="shared" si="22"/>
        <v>1.3</v>
      </c>
      <c r="S165" s="11">
        <f t="shared" si="23"/>
        <v>-1.3</v>
      </c>
      <c r="T165" s="14">
        <f t="shared" si="28"/>
        <v>82.506875000000065</v>
      </c>
      <c r="V165">
        <v>1115.3</v>
      </c>
      <c r="X165">
        <f t="shared" si="27"/>
        <v>128798.00000000001</v>
      </c>
      <c r="Y165">
        <f t="shared" si="20"/>
        <v>26058.899999999998</v>
      </c>
      <c r="AA165">
        <v>10.146031171348</v>
      </c>
    </row>
    <row r="166" spans="1:27" x14ac:dyDescent="0.25">
      <c r="A166" s="75"/>
      <c r="B166" s="8"/>
      <c r="C166" s="9">
        <v>42044</v>
      </c>
      <c r="D166">
        <v>3.5</v>
      </c>
      <c r="E166">
        <v>-0.1</v>
      </c>
      <c r="F166">
        <v>6.4</v>
      </c>
      <c r="G166">
        <f t="shared" si="24"/>
        <v>1904.6000000000001</v>
      </c>
      <c r="H166">
        <f t="shared" si="19"/>
        <v>238.2</v>
      </c>
      <c r="J166">
        <v>0</v>
      </c>
      <c r="K166">
        <f t="shared" si="25"/>
        <v>228.19999999999996</v>
      </c>
      <c r="L166">
        <v>1.5</v>
      </c>
      <c r="M166">
        <f t="shared" si="26"/>
        <v>265.19999999999993</v>
      </c>
      <c r="N166">
        <v>-1.5</v>
      </c>
      <c r="O166">
        <f t="shared" si="21"/>
        <v>64.000000000000014</v>
      </c>
      <c r="P166" s="5">
        <v>161</v>
      </c>
      <c r="Q166" s="6">
        <v>1</v>
      </c>
      <c r="R166" s="11">
        <f t="shared" si="22"/>
        <v>1.5</v>
      </c>
      <c r="S166" s="11">
        <f t="shared" si="23"/>
        <v>-1.5</v>
      </c>
      <c r="T166" s="14">
        <f t="shared" si="28"/>
        <v>81.006875000000065</v>
      </c>
      <c r="V166">
        <v>1328.8</v>
      </c>
      <c r="X166">
        <f t="shared" si="27"/>
        <v>130126.80000000002</v>
      </c>
      <c r="Y166">
        <f t="shared" si="20"/>
        <v>27387.699999999997</v>
      </c>
      <c r="AA166">
        <v>10.1903260149566</v>
      </c>
    </row>
    <row r="167" spans="1:27" x14ac:dyDescent="0.25">
      <c r="A167" s="75"/>
      <c r="B167" s="8"/>
      <c r="C167" s="9">
        <v>42045</v>
      </c>
      <c r="D167">
        <v>4.2</v>
      </c>
      <c r="E167">
        <v>-0.7</v>
      </c>
      <c r="F167">
        <v>9.9</v>
      </c>
      <c r="G167">
        <f t="shared" si="24"/>
        <v>1908.8000000000002</v>
      </c>
      <c r="H167">
        <f t="shared" si="19"/>
        <v>242.39999999999998</v>
      </c>
      <c r="J167">
        <v>0</v>
      </c>
      <c r="K167">
        <f t="shared" si="25"/>
        <v>228.19999999999996</v>
      </c>
      <c r="L167">
        <v>1.7</v>
      </c>
      <c r="M167">
        <f t="shared" si="26"/>
        <v>266.89999999999992</v>
      </c>
      <c r="N167">
        <v>-1.7</v>
      </c>
      <c r="O167">
        <f t="shared" si="21"/>
        <v>62.300000000000011</v>
      </c>
      <c r="P167" s="5">
        <v>162</v>
      </c>
      <c r="Q167" s="6">
        <v>1</v>
      </c>
      <c r="R167" s="11">
        <f t="shared" si="22"/>
        <v>1.7</v>
      </c>
      <c r="S167" s="11">
        <f t="shared" si="23"/>
        <v>-1.7</v>
      </c>
      <c r="T167" s="14">
        <f t="shared" si="28"/>
        <v>79.306875000000062</v>
      </c>
      <c r="V167">
        <v>1280.8</v>
      </c>
      <c r="X167">
        <f t="shared" si="27"/>
        <v>131407.6</v>
      </c>
      <c r="Y167">
        <f t="shared" si="20"/>
        <v>28668.499999999996</v>
      </c>
      <c r="AA167">
        <v>10.235018216601899</v>
      </c>
    </row>
    <row r="168" spans="1:27" x14ac:dyDescent="0.25">
      <c r="A168" s="75"/>
      <c r="B168" s="8"/>
      <c r="C168" s="9">
        <v>42046</v>
      </c>
      <c r="D168">
        <v>5.3</v>
      </c>
      <c r="E168">
        <v>-1.6</v>
      </c>
      <c r="F168">
        <v>10.9</v>
      </c>
      <c r="G168">
        <f t="shared" si="24"/>
        <v>1914.1000000000001</v>
      </c>
      <c r="H168">
        <f t="shared" si="19"/>
        <v>247.7</v>
      </c>
      <c r="J168">
        <v>0</v>
      </c>
      <c r="K168">
        <f t="shared" si="25"/>
        <v>228.19999999999996</v>
      </c>
      <c r="L168">
        <v>1.4</v>
      </c>
      <c r="M168">
        <f t="shared" si="26"/>
        <v>268.2999999999999</v>
      </c>
      <c r="N168">
        <v>-1.4</v>
      </c>
      <c r="O168">
        <f t="shared" si="21"/>
        <v>60.900000000000013</v>
      </c>
      <c r="P168" s="5">
        <v>163</v>
      </c>
      <c r="Q168" s="6">
        <v>1</v>
      </c>
      <c r="R168" s="11">
        <f t="shared" si="22"/>
        <v>1.4</v>
      </c>
      <c r="S168" s="11">
        <f t="shared" si="23"/>
        <v>-1.4</v>
      </c>
      <c r="T168" s="14">
        <f t="shared" si="28"/>
        <v>77.906875000000056</v>
      </c>
      <c r="V168">
        <v>1099.3</v>
      </c>
      <c r="X168">
        <f t="shared" si="27"/>
        <v>132506.9</v>
      </c>
      <c r="Y168">
        <f t="shared" si="20"/>
        <v>29767.799999999996</v>
      </c>
      <c r="AA168">
        <v>10.2800899775938</v>
      </c>
    </row>
    <row r="169" spans="1:27" x14ac:dyDescent="0.25">
      <c r="A169" s="75"/>
      <c r="B169" s="8">
        <v>7</v>
      </c>
      <c r="C169" s="9">
        <v>42047</v>
      </c>
      <c r="D169">
        <v>8</v>
      </c>
      <c r="E169">
        <v>5</v>
      </c>
      <c r="F169">
        <v>10</v>
      </c>
      <c r="G169">
        <f t="shared" si="24"/>
        <v>1922.1000000000001</v>
      </c>
      <c r="H169">
        <f t="shared" si="19"/>
        <v>255.7</v>
      </c>
      <c r="J169">
        <v>0</v>
      </c>
      <c r="K169">
        <f t="shared" si="25"/>
        <v>228.19999999999996</v>
      </c>
      <c r="L169">
        <v>1</v>
      </c>
      <c r="M169">
        <f t="shared" si="26"/>
        <v>269.2999999999999</v>
      </c>
      <c r="N169">
        <v>-1</v>
      </c>
      <c r="O169">
        <f t="shared" si="21"/>
        <v>59.900000000000013</v>
      </c>
      <c r="P169" s="5">
        <v>164</v>
      </c>
      <c r="Q169" s="6">
        <v>1</v>
      </c>
      <c r="R169" s="11">
        <f t="shared" si="22"/>
        <v>1</v>
      </c>
      <c r="S169" s="11">
        <f t="shared" si="23"/>
        <v>-1</v>
      </c>
      <c r="T169" s="14">
        <f t="shared" si="28"/>
        <v>76.906875000000056</v>
      </c>
      <c r="V169">
        <v>663.4</v>
      </c>
      <c r="X169">
        <f t="shared" si="27"/>
        <v>133170.29999999999</v>
      </c>
      <c r="Y169">
        <f t="shared" si="20"/>
        <v>30431.199999999997</v>
      </c>
      <c r="AA169">
        <v>10.325523990975</v>
      </c>
    </row>
    <row r="170" spans="1:27" s="51" customFormat="1" ht="15.75" thickBot="1" x14ac:dyDescent="0.3">
      <c r="A170" s="75"/>
      <c r="B170" s="58"/>
      <c r="C170" s="50">
        <v>42048</v>
      </c>
      <c r="D170" s="51">
        <v>9.9</v>
      </c>
      <c r="E170" s="51">
        <v>5.7</v>
      </c>
      <c r="F170" s="51">
        <v>13.3</v>
      </c>
      <c r="G170" s="51">
        <f t="shared" si="24"/>
        <v>1932.0000000000002</v>
      </c>
      <c r="H170" s="51">
        <f t="shared" si="19"/>
        <v>265.59999999999997</v>
      </c>
      <c r="I170" s="52"/>
      <c r="J170" s="51">
        <v>1.6</v>
      </c>
      <c r="K170" s="51">
        <f t="shared" si="25"/>
        <v>229.79999999999995</v>
      </c>
      <c r="L170" s="51">
        <v>1.6</v>
      </c>
      <c r="M170" s="51">
        <f t="shared" si="26"/>
        <v>270.89999999999992</v>
      </c>
      <c r="N170" s="51">
        <v>0</v>
      </c>
      <c r="O170" s="51">
        <f t="shared" si="21"/>
        <v>59.900000000000013</v>
      </c>
      <c r="P170" s="53">
        <v>165</v>
      </c>
      <c r="Q170" s="51">
        <v>1</v>
      </c>
      <c r="R170" s="55">
        <f t="shared" si="22"/>
        <v>1.6</v>
      </c>
      <c r="S170" s="55">
        <f t="shared" si="23"/>
        <v>0</v>
      </c>
      <c r="T170" s="56">
        <f t="shared" si="28"/>
        <v>76.906875000000056</v>
      </c>
      <c r="V170" s="51">
        <v>1033.3</v>
      </c>
      <c r="X170" s="51">
        <f t="shared" si="27"/>
        <v>134203.59999999998</v>
      </c>
      <c r="Y170" s="54">
        <f t="shared" si="20"/>
        <v>31464.499999999996</v>
      </c>
      <c r="Z170" s="52"/>
      <c r="AA170" s="51">
        <v>10.3713034419173</v>
      </c>
    </row>
    <row r="171" spans="1:27" ht="15" customHeight="1" x14ac:dyDescent="0.25">
      <c r="A171" s="76" t="s">
        <v>35</v>
      </c>
      <c r="B171" s="8"/>
      <c r="C171" s="9">
        <v>42049</v>
      </c>
      <c r="D171">
        <v>8.4</v>
      </c>
      <c r="E171">
        <v>8.1999999999999993</v>
      </c>
      <c r="F171">
        <v>8.5</v>
      </c>
      <c r="G171">
        <f t="shared" si="24"/>
        <v>1940.4000000000003</v>
      </c>
      <c r="H171">
        <v>8.4</v>
      </c>
      <c r="I171" s="20" t="s">
        <v>41</v>
      </c>
      <c r="J171">
        <v>12.1</v>
      </c>
      <c r="K171">
        <f t="shared" si="25"/>
        <v>241.89999999999995</v>
      </c>
      <c r="L171">
        <v>0.9</v>
      </c>
      <c r="M171">
        <f t="shared" si="26"/>
        <v>271.7999999999999</v>
      </c>
      <c r="N171">
        <v>11.2</v>
      </c>
      <c r="O171">
        <f t="shared" si="21"/>
        <v>71.100000000000009</v>
      </c>
      <c r="P171" s="5">
        <v>166</v>
      </c>
      <c r="Q171" s="21">
        <f>1+((P171-165)/40)*(1.15-1)</f>
        <v>1.0037499999999999</v>
      </c>
      <c r="R171" s="11">
        <f t="shared" si="22"/>
        <v>0.90337499999999993</v>
      </c>
      <c r="S171" s="11">
        <f t="shared" si="23"/>
        <v>11.196624999999999</v>
      </c>
      <c r="T171" s="14">
        <f t="shared" si="28"/>
        <v>88.103500000000054</v>
      </c>
      <c r="U171" s="20" t="s">
        <v>28</v>
      </c>
      <c r="V171">
        <v>411.9</v>
      </c>
      <c r="X171">
        <f t="shared" si="27"/>
        <v>134615.49999999997</v>
      </c>
      <c r="Y171">
        <v>411.9</v>
      </c>
      <c r="Z171" s="20" t="s">
        <v>51</v>
      </c>
      <c r="AA171">
        <v>10.417412006566201</v>
      </c>
    </row>
    <row r="172" spans="1:27" x14ac:dyDescent="0.25">
      <c r="A172" s="76"/>
      <c r="B172" s="8"/>
      <c r="C172" s="9">
        <v>42050</v>
      </c>
      <c r="D172">
        <v>8.1999999999999993</v>
      </c>
      <c r="E172">
        <v>7.7</v>
      </c>
      <c r="F172">
        <v>10.3</v>
      </c>
      <c r="G172">
        <f t="shared" si="24"/>
        <v>1948.6000000000004</v>
      </c>
      <c r="H172">
        <f t="shared" si="19"/>
        <v>16.600000000000001</v>
      </c>
      <c r="I172">
        <f>MIN(E171:E210)</f>
        <v>0.4</v>
      </c>
      <c r="J172">
        <v>1.1000000000000001</v>
      </c>
      <c r="K172">
        <f t="shared" si="25"/>
        <v>242.99999999999994</v>
      </c>
      <c r="L172">
        <v>1.6</v>
      </c>
      <c r="M172">
        <f t="shared" si="26"/>
        <v>273.39999999999992</v>
      </c>
      <c r="N172">
        <v>-0.5</v>
      </c>
      <c r="O172">
        <f t="shared" si="21"/>
        <v>70.600000000000009</v>
      </c>
      <c r="P172" s="5">
        <v>167</v>
      </c>
      <c r="Q172" s="21">
        <f t="shared" ref="Q172:Q210" si="29">1+((P172-165)/40)*(1.15-1)</f>
        <v>1.0075000000000001</v>
      </c>
      <c r="R172" s="11">
        <f t="shared" si="22"/>
        <v>1.6120000000000001</v>
      </c>
      <c r="S172" s="11">
        <f t="shared" si="23"/>
        <v>-0.51200000000000001</v>
      </c>
      <c r="T172" s="14">
        <f t="shared" si="28"/>
        <v>87.591500000000053</v>
      </c>
      <c r="U172">
        <v>22</v>
      </c>
      <c r="V172">
        <v>966.5</v>
      </c>
      <c r="X172">
        <f t="shared" si="27"/>
        <v>135581.99999999997</v>
      </c>
      <c r="Y172">
        <f t="shared" si="20"/>
        <v>1378.4</v>
      </c>
      <c r="Z172">
        <v>40713.599999999991</v>
      </c>
      <c r="AA172">
        <v>10.4638338494391</v>
      </c>
    </row>
    <row r="173" spans="1:27" x14ac:dyDescent="0.25">
      <c r="A173" s="76"/>
      <c r="B173" s="8" t="s">
        <v>36</v>
      </c>
      <c r="C173" s="9">
        <v>42051</v>
      </c>
      <c r="D173">
        <v>7.5</v>
      </c>
      <c r="E173">
        <v>3.5</v>
      </c>
      <c r="F173">
        <v>11.3</v>
      </c>
      <c r="G173">
        <f t="shared" si="24"/>
        <v>1956.1000000000004</v>
      </c>
      <c r="H173">
        <f t="shared" si="19"/>
        <v>24.1</v>
      </c>
      <c r="I173" s="20" t="s">
        <v>42</v>
      </c>
      <c r="J173">
        <v>1.9</v>
      </c>
      <c r="K173">
        <f t="shared" si="25"/>
        <v>244.89999999999995</v>
      </c>
      <c r="L173">
        <v>1.2</v>
      </c>
      <c r="M173">
        <f t="shared" si="26"/>
        <v>274.59999999999991</v>
      </c>
      <c r="N173">
        <v>0.7</v>
      </c>
      <c r="O173">
        <f t="shared" si="21"/>
        <v>71.300000000000011</v>
      </c>
      <c r="P173" s="5">
        <v>168</v>
      </c>
      <c r="Q173" s="21">
        <f t="shared" si="29"/>
        <v>1.01125</v>
      </c>
      <c r="R173" s="11">
        <f t="shared" si="22"/>
        <v>1.2135</v>
      </c>
      <c r="S173" s="11">
        <f t="shared" si="23"/>
        <v>0.68649999999999989</v>
      </c>
      <c r="T173" s="14">
        <f t="shared" si="28"/>
        <v>88.278000000000048</v>
      </c>
      <c r="U173" s="20" t="s">
        <v>48</v>
      </c>
      <c r="V173">
        <v>929.2</v>
      </c>
      <c r="X173">
        <f t="shared" si="27"/>
        <v>136511.19999999998</v>
      </c>
      <c r="Y173">
        <f t="shared" si="20"/>
        <v>2307.6000000000004</v>
      </c>
      <c r="Z173" s="20" t="s">
        <v>29</v>
      </c>
      <c r="AA173">
        <v>10.5105536194789</v>
      </c>
    </row>
    <row r="174" spans="1:27" x14ac:dyDescent="0.25">
      <c r="A174" s="76"/>
      <c r="B174" s="8"/>
      <c r="C174" s="9">
        <v>42052</v>
      </c>
      <c r="D174">
        <v>8.6</v>
      </c>
      <c r="E174">
        <v>7.6</v>
      </c>
      <c r="F174">
        <v>10.6</v>
      </c>
      <c r="G174">
        <f t="shared" si="24"/>
        <v>1964.7000000000003</v>
      </c>
      <c r="H174">
        <f t="shared" si="19"/>
        <v>32.700000000000003</v>
      </c>
      <c r="I174">
        <f>MAX(F171:F210)</f>
        <v>18.899999999999999</v>
      </c>
      <c r="J174">
        <v>0.4</v>
      </c>
      <c r="K174">
        <f t="shared" si="25"/>
        <v>245.29999999999995</v>
      </c>
      <c r="L174">
        <v>1.5</v>
      </c>
      <c r="M174">
        <f t="shared" si="26"/>
        <v>276.09999999999991</v>
      </c>
      <c r="N174">
        <v>-1.1000000000000001</v>
      </c>
      <c r="O174">
        <f t="shared" si="21"/>
        <v>70.200000000000017</v>
      </c>
      <c r="P174" s="5">
        <v>169</v>
      </c>
      <c r="Q174" s="21">
        <f t="shared" si="29"/>
        <v>1.0149999999999999</v>
      </c>
      <c r="R174" s="11">
        <f t="shared" si="22"/>
        <v>1.5225</v>
      </c>
      <c r="S174" s="11">
        <f t="shared" si="23"/>
        <v>-1.1225000000000001</v>
      </c>
      <c r="T174" s="14">
        <f t="shared" si="28"/>
        <v>87.155500000000046</v>
      </c>
      <c r="U174">
        <v>0</v>
      </c>
      <c r="V174">
        <v>813.5</v>
      </c>
      <c r="X174">
        <f t="shared" si="27"/>
        <v>137324.69999999998</v>
      </c>
      <c r="Y174">
        <f t="shared" si="20"/>
        <v>3121.1000000000004</v>
      </c>
      <c r="Z174" s="15">
        <f>(Z172/100)/I184</f>
        <v>1.1331366546061783</v>
      </c>
      <c r="AA174">
        <v>10.557556444863501</v>
      </c>
    </row>
    <row r="175" spans="1:27" x14ac:dyDescent="0.25">
      <c r="A175" s="76"/>
      <c r="B175" s="8"/>
      <c r="C175" s="9">
        <v>42053</v>
      </c>
      <c r="D175">
        <v>7.2</v>
      </c>
      <c r="E175">
        <v>6.1</v>
      </c>
      <c r="F175">
        <v>9.6</v>
      </c>
      <c r="G175">
        <f t="shared" si="24"/>
        <v>1971.9000000000003</v>
      </c>
      <c r="H175">
        <f t="shared" si="19"/>
        <v>39.900000000000006</v>
      </c>
      <c r="I175" s="20" t="s">
        <v>43</v>
      </c>
      <c r="J175">
        <v>0</v>
      </c>
      <c r="K175">
        <f t="shared" si="25"/>
        <v>245.29999999999995</v>
      </c>
      <c r="L175">
        <v>2</v>
      </c>
      <c r="M175">
        <f t="shared" si="26"/>
        <v>278.09999999999991</v>
      </c>
      <c r="N175">
        <v>-2</v>
      </c>
      <c r="O175">
        <f t="shared" si="21"/>
        <v>68.200000000000017</v>
      </c>
      <c r="P175" s="5">
        <v>170</v>
      </c>
      <c r="Q175" s="21">
        <f t="shared" si="29"/>
        <v>1.01875</v>
      </c>
      <c r="R175" s="11">
        <f t="shared" si="22"/>
        <v>2.0375000000000001</v>
      </c>
      <c r="S175" s="11">
        <f t="shared" si="23"/>
        <v>-2.0375000000000001</v>
      </c>
      <c r="T175" s="14">
        <f t="shared" si="28"/>
        <v>85.118000000000052</v>
      </c>
      <c r="U175" s="20" t="s">
        <v>49</v>
      </c>
      <c r="V175">
        <v>1240.9000000000001</v>
      </c>
      <c r="X175">
        <f t="shared" si="27"/>
        <v>138565.59999999998</v>
      </c>
      <c r="Y175">
        <f t="shared" si="20"/>
        <v>4362</v>
      </c>
      <c r="Z175" s="20" t="s">
        <v>52</v>
      </c>
      <c r="AA175">
        <v>10.604827926667101</v>
      </c>
    </row>
    <row r="176" spans="1:27" x14ac:dyDescent="0.25">
      <c r="A176" s="76"/>
      <c r="B176" s="8"/>
      <c r="C176" s="9">
        <v>42054</v>
      </c>
      <c r="D176">
        <v>6.2</v>
      </c>
      <c r="E176">
        <v>0.4</v>
      </c>
      <c r="F176">
        <v>10.7</v>
      </c>
      <c r="G176">
        <f t="shared" si="24"/>
        <v>1978.1000000000004</v>
      </c>
      <c r="H176">
        <f t="shared" si="19"/>
        <v>46.100000000000009</v>
      </c>
      <c r="I176" s="16">
        <f>AVERAGE(D171:D210)</f>
        <v>8.9825000000000017</v>
      </c>
      <c r="J176">
        <v>0</v>
      </c>
      <c r="K176">
        <f t="shared" si="25"/>
        <v>245.29999999999995</v>
      </c>
      <c r="L176">
        <v>1.7</v>
      </c>
      <c r="M176">
        <f t="shared" si="26"/>
        <v>279.7999999999999</v>
      </c>
      <c r="N176">
        <v>-1.7</v>
      </c>
      <c r="O176">
        <f t="shared" si="21"/>
        <v>66.500000000000014</v>
      </c>
      <c r="P176" s="5">
        <v>171</v>
      </c>
      <c r="Q176" s="21">
        <f t="shared" si="29"/>
        <v>1.0225</v>
      </c>
      <c r="R176" s="11">
        <f t="shared" si="22"/>
        <v>1.7382499999999999</v>
      </c>
      <c r="S176" s="11">
        <f t="shared" si="23"/>
        <v>-1.7382499999999999</v>
      </c>
      <c r="T176" s="14">
        <f t="shared" si="28"/>
        <v>83.379750000000058</v>
      </c>
      <c r="U176">
        <v>0</v>
      </c>
      <c r="V176">
        <v>1429.9</v>
      </c>
      <c r="X176">
        <f t="shared" si="27"/>
        <v>139995.49999999997</v>
      </c>
      <c r="Y176">
        <f t="shared" si="20"/>
        <v>5791.9</v>
      </c>
      <c r="Z176">
        <v>14</v>
      </c>
      <c r="AA176">
        <v>10.652354131468099</v>
      </c>
    </row>
    <row r="177" spans="1:28" x14ac:dyDescent="0.25">
      <c r="A177" s="76"/>
      <c r="B177" s="8">
        <v>8</v>
      </c>
      <c r="C177" s="9">
        <v>42055</v>
      </c>
      <c r="D177">
        <v>8.1999999999999993</v>
      </c>
      <c r="E177">
        <v>2.7</v>
      </c>
      <c r="F177">
        <v>12.8</v>
      </c>
      <c r="G177">
        <f t="shared" si="24"/>
        <v>1986.3000000000004</v>
      </c>
      <c r="H177">
        <f t="shared" si="19"/>
        <v>54.300000000000011</v>
      </c>
      <c r="I177" s="20" t="s">
        <v>44</v>
      </c>
      <c r="J177">
        <v>9.6999999999999993</v>
      </c>
      <c r="K177">
        <f t="shared" si="25"/>
        <v>254.99999999999994</v>
      </c>
      <c r="L177">
        <v>1.8</v>
      </c>
      <c r="M177">
        <f t="shared" si="26"/>
        <v>281.59999999999991</v>
      </c>
      <c r="N177">
        <v>7.8999999999999995</v>
      </c>
      <c r="O177">
        <f t="shared" si="21"/>
        <v>74.40000000000002</v>
      </c>
      <c r="P177" s="5">
        <v>172</v>
      </c>
      <c r="Q177" s="21">
        <f t="shared" si="29"/>
        <v>1.0262499999999999</v>
      </c>
      <c r="R177" s="11">
        <f t="shared" si="22"/>
        <v>1.8472499999999998</v>
      </c>
      <c r="S177" s="11">
        <f t="shared" si="23"/>
        <v>7.8527499999999995</v>
      </c>
      <c r="T177" s="14">
        <f t="shared" si="28"/>
        <v>91.232500000000059</v>
      </c>
      <c r="U177" s="20" t="s">
        <v>30</v>
      </c>
      <c r="V177">
        <v>1169.2</v>
      </c>
      <c r="X177">
        <f t="shared" si="27"/>
        <v>141164.69999999998</v>
      </c>
      <c r="Y177">
        <f t="shared" si="20"/>
        <v>6961.0999999999995</v>
      </c>
      <c r="AA177">
        <v>10.7001215829912</v>
      </c>
    </row>
    <row r="178" spans="1:28" x14ac:dyDescent="0.25">
      <c r="A178" s="76"/>
      <c r="B178" s="8"/>
      <c r="C178" s="9">
        <v>42056</v>
      </c>
      <c r="D178">
        <v>6.7</v>
      </c>
      <c r="E178">
        <v>4.8</v>
      </c>
      <c r="F178">
        <v>9.5</v>
      </c>
      <c r="G178">
        <f t="shared" si="24"/>
        <v>1993.0000000000005</v>
      </c>
      <c r="H178">
        <f t="shared" si="19"/>
        <v>61.000000000000014</v>
      </c>
      <c r="I178">
        <v>0</v>
      </c>
      <c r="J178">
        <v>5.8</v>
      </c>
      <c r="K178">
        <f t="shared" si="25"/>
        <v>260.79999999999995</v>
      </c>
      <c r="L178">
        <v>1.1000000000000001</v>
      </c>
      <c r="M178">
        <f t="shared" si="26"/>
        <v>282.69999999999993</v>
      </c>
      <c r="N178">
        <v>4.6999999999999993</v>
      </c>
      <c r="O178">
        <f t="shared" si="21"/>
        <v>79.100000000000023</v>
      </c>
      <c r="P178" s="5">
        <v>173</v>
      </c>
      <c r="Q178" s="21">
        <f t="shared" si="29"/>
        <v>1.03</v>
      </c>
      <c r="R178" s="11">
        <f t="shared" si="22"/>
        <v>1.1330000000000002</v>
      </c>
      <c r="S178" s="11">
        <f t="shared" si="23"/>
        <v>4.6669999999999998</v>
      </c>
      <c r="T178" s="14">
        <f t="shared" si="28"/>
        <v>95.89950000000006</v>
      </c>
      <c r="U178" s="16">
        <f>MIN(T171:T210)</f>
        <v>83.379750000000058</v>
      </c>
      <c r="V178">
        <v>563.70000000000005</v>
      </c>
      <c r="X178">
        <f t="shared" si="27"/>
        <v>141728.4</v>
      </c>
      <c r="Y178">
        <f t="shared" si="20"/>
        <v>7524.7999999999993</v>
      </c>
      <c r="AA178">
        <v>10.7481172528709</v>
      </c>
    </row>
    <row r="179" spans="1:28" x14ac:dyDescent="0.25">
      <c r="A179" s="76"/>
      <c r="B179" s="8"/>
      <c r="C179" s="9">
        <v>42057</v>
      </c>
      <c r="D179">
        <v>5.2</v>
      </c>
      <c r="E179">
        <v>1.6</v>
      </c>
      <c r="F179">
        <v>10.3</v>
      </c>
      <c r="G179">
        <f t="shared" si="24"/>
        <v>1998.2000000000005</v>
      </c>
      <c r="H179">
        <f t="shared" si="19"/>
        <v>66.200000000000017</v>
      </c>
      <c r="I179" s="20" t="s">
        <v>45</v>
      </c>
      <c r="J179">
        <v>2.8</v>
      </c>
      <c r="K179">
        <f t="shared" si="25"/>
        <v>263.59999999999997</v>
      </c>
      <c r="L179">
        <v>1.9</v>
      </c>
      <c r="M179">
        <f t="shared" si="26"/>
        <v>284.59999999999991</v>
      </c>
      <c r="N179">
        <v>0.89999999999999991</v>
      </c>
      <c r="O179">
        <f t="shared" si="21"/>
        <v>80.000000000000028</v>
      </c>
      <c r="P179" s="5">
        <v>174</v>
      </c>
      <c r="Q179" s="21">
        <f t="shared" si="29"/>
        <v>1.0337499999999999</v>
      </c>
      <c r="R179" s="11">
        <f t="shared" si="22"/>
        <v>1.9641249999999999</v>
      </c>
      <c r="S179" s="11">
        <f t="shared" si="23"/>
        <v>0.83587499999999992</v>
      </c>
      <c r="T179" s="14">
        <f t="shared" si="28"/>
        <v>96.735375000000062</v>
      </c>
      <c r="U179" s="20" t="s">
        <v>31</v>
      </c>
      <c r="V179">
        <v>1270.0999999999999</v>
      </c>
      <c r="X179">
        <f t="shared" si="27"/>
        <v>142998.5</v>
      </c>
      <c r="Y179">
        <f t="shared" si="20"/>
        <v>8794.9</v>
      </c>
      <c r="AA179">
        <v>10.796328550617201</v>
      </c>
    </row>
    <row r="180" spans="1:28" x14ac:dyDescent="0.25">
      <c r="A180" s="76"/>
      <c r="B180" s="8"/>
      <c r="C180" s="9">
        <v>42058</v>
      </c>
      <c r="D180">
        <v>9.5</v>
      </c>
      <c r="E180">
        <v>5.2</v>
      </c>
      <c r="F180">
        <v>12.7</v>
      </c>
      <c r="G180">
        <f t="shared" si="24"/>
        <v>2007.7000000000005</v>
      </c>
      <c r="H180">
        <f t="shared" si="19"/>
        <v>75.700000000000017</v>
      </c>
      <c r="I180">
        <v>0</v>
      </c>
      <c r="J180">
        <v>8.1</v>
      </c>
      <c r="K180">
        <f t="shared" si="25"/>
        <v>271.7</v>
      </c>
      <c r="L180">
        <v>0.9</v>
      </c>
      <c r="M180">
        <f t="shared" si="26"/>
        <v>285.49999999999989</v>
      </c>
      <c r="N180">
        <v>7.1999999999999993</v>
      </c>
      <c r="O180">
        <f t="shared" si="21"/>
        <v>87.200000000000031</v>
      </c>
      <c r="P180" s="5">
        <v>175</v>
      </c>
      <c r="Q180" s="21">
        <f t="shared" si="29"/>
        <v>1.0375000000000001</v>
      </c>
      <c r="R180" s="11">
        <f t="shared" si="22"/>
        <v>0.93375000000000008</v>
      </c>
      <c r="S180" s="11">
        <f t="shared" si="23"/>
        <v>7.1662499999999998</v>
      </c>
      <c r="T180" s="14">
        <f t="shared" si="28"/>
        <v>103.90162500000007</v>
      </c>
      <c r="U180" s="16">
        <f>MAX(T171:T210)</f>
        <v>122.1</v>
      </c>
      <c r="V180">
        <v>416.4</v>
      </c>
      <c r="X180">
        <f t="shared" si="27"/>
        <v>143414.9</v>
      </c>
      <c r="Y180">
        <f t="shared" si="20"/>
        <v>9211.2999999999993</v>
      </c>
      <c r="AA180">
        <v>10.844743312861301</v>
      </c>
    </row>
    <row r="181" spans="1:28" x14ac:dyDescent="0.25">
      <c r="A181" s="76"/>
      <c r="B181" s="8"/>
      <c r="C181" s="9">
        <v>42059</v>
      </c>
      <c r="D181">
        <v>5.9</v>
      </c>
      <c r="E181">
        <v>4.7</v>
      </c>
      <c r="F181">
        <v>7.5</v>
      </c>
      <c r="G181">
        <f t="shared" si="24"/>
        <v>2013.6000000000006</v>
      </c>
      <c r="H181">
        <f t="shared" si="19"/>
        <v>81.600000000000023</v>
      </c>
      <c r="I181" s="20" t="s">
        <v>46</v>
      </c>
      <c r="J181">
        <v>2.2999999999999998</v>
      </c>
      <c r="K181">
        <f t="shared" si="25"/>
        <v>274</v>
      </c>
      <c r="L181">
        <v>1.1000000000000001</v>
      </c>
      <c r="M181">
        <f t="shared" si="26"/>
        <v>286.59999999999991</v>
      </c>
      <c r="N181">
        <v>1.1999999999999997</v>
      </c>
      <c r="O181">
        <f t="shared" si="21"/>
        <v>88.400000000000034</v>
      </c>
      <c r="P181" s="5">
        <v>176</v>
      </c>
      <c r="Q181" s="21">
        <f t="shared" si="29"/>
        <v>1.04125</v>
      </c>
      <c r="R181" s="11">
        <f t="shared" si="22"/>
        <v>1.145375</v>
      </c>
      <c r="S181" s="11">
        <f t="shared" si="23"/>
        <v>1.1546249999999998</v>
      </c>
      <c r="T181" s="14">
        <f t="shared" si="28"/>
        <v>105.05625000000006</v>
      </c>
      <c r="U181" s="20" t="s">
        <v>32</v>
      </c>
      <c r="V181">
        <v>705.9</v>
      </c>
      <c r="X181">
        <f t="shared" si="27"/>
        <v>144120.79999999999</v>
      </c>
      <c r="Y181">
        <f t="shared" si="20"/>
        <v>9917.1999999999989</v>
      </c>
      <c r="AA181">
        <v>10.8933497919536</v>
      </c>
    </row>
    <row r="182" spans="1:28" x14ac:dyDescent="0.25">
      <c r="A182" s="76"/>
      <c r="B182" s="8"/>
      <c r="C182" s="9">
        <v>42060</v>
      </c>
      <c r="D182">
        <v>8.1999999999999993</v>
      </c>
      <c r="E182">
        <v>5</v>
      </c>
      <c r="F182">
        <v>10.3</v>
      </c>
      <c r="G182">
        <f t="shared" si="24"/>
        <v>2021.8000000000006</v>
      </c>
      <c r="H182">
        <f t="shared" si="19"/>
        <v>89.800000000000026</v>
      </c>
      <c r="I182">
        <v>17</v>
      </c>
      <c r="J182">
        <v>5.9</v>
      </c>
      <c r="K182">
        <f t="shared" si="25"/>
        <v>279.89999999999998</v>
      </c>
      <c r="L182">
        <v>0.5</v>
      </c>
      <c r="M182">
        <f t="shared" si="26"/>
        <v>287.09999999999991</v>
      </c>
      <c r="N182">
        <v>5.4</v>
      </c>
      <c r="O182">
        <f t="shared" si="21"/>
        <v>93.80000000000004</v>
      </c>
      <c r="P182" s="5">
        <v>177</v>
      </c>
      <c r="Q182" s="21">
        <f t="shared" si="29"/>
        <v>1.0449999999999999</v>
      </c>
      <c r="R182" s="11">
        <f t="shared" si="22"/>
        <v>0.52249999999999996</v>
      </c>
      <c r="S182" s="11">
        <f t="shared" si="23"/>
        <v>5.3775000000000004</v>
      </c>
      <c r="T182" s="14">
        <f t="shared" si="28"/>
        <v>110.43375000000006</v>
      </c>
      <c r="U182" s="15">
        <f>AVERAGE(T171:T210)</f>
        <v>104.79326875000004</v>
      </c>
      <c r="V182">
        <v>298.7</v>
      </c>
      <c r="X182">
        <f t="shared" si="27"/>
        <v>144419.5</v>
      </c>
      <c r="Y182">
        <f t="shared" si="20"/>
        <v>10215.9</v>
      </c>
      <c r="AA182">
        <v>10.942136643984</v>
      </c>
    </row>
    <row r="183" spans="1:28" x14ac:dyDescent="0.25">
      <c r="A183" s="76"/>
      <c r="B183" s="8"/>
      <c r="C183" s="9">
        <v>42061</v>
      </c>
      <c r="D183">
        <v>10.6</v>
      </c>
      <c r="E183">
        <v>9.5</v>
      </c>
      <c r="F183">
        <v>11.5</v>
      </c>
      <c r="G183">
        <f t="shared" si="24"/>
        <v>2032.4000000000005</v>
      </c>
      <c r="H183">
        <f t="shared" ref="H183:H246" si="30">H182+D183</f>
        <v>100.40000000000002</v>
      </c>
      <c r="I183" s="20" t="s">
        <v>47</v>
      </c>
      <c r="J183">
        <v>8.6999999999999993</v>
      </c>
      <c r="K183">
        <f t="shared" si="25"/>
        <v>288.59999999999997</v>
      </c>
      <c r="L183">
        <v>0.8</v>
      </c>
      <c r="M183">
        <f t="shared" si="26"/>
        <v>287.89999999999992</v>
      </c>
      <c r="N183">
        <v>7.8999999999999995</v>
      </c>
      <c r="O183">
        <f t="shared" si="21"/>
        <v>101.70000000000005</v>
      </c>
      <c r="P183" s="5">
        <v>178</v>
      </c>
      <c r="Q183" s="21">
        <f t="shared" si="29"/>
        <v>1.0487500000000001</v>
      </c>
      <c r="R183" s="11">
        <f t="shared" si="22"/>
        <v>0.83900000000000008</v>
      </c>
      <c r="S183" s="11">
        <f t="shared" si="23"/>
        <v>7.8609999999999989</v>
      </c>
      <c r="T183" s="14">
        <f t="shared" si="28"/>
        <v>118.29475000000006</v>
      </c>
      <c r="U183">
        <f>(U182*100)/122.1</f>
        <v>85.825772932022971</v>
      </c>
      <c r="V183">
        <v>435.2</v>
      </c>
      <c r="X183">
        <f t="shared" si="27"/>
        <v>144854.70000000001</v>
      </c>
      <c r="Y183">
        <f t="shared" ref="Y183:Y246" si="31">Y182+V183</f>
        <v>10651.1</v>
      </c>
      <c r="AA183">
        <v>10.9910929162871</v>
      </c>
    </row>
    <row r="184" spans="1:28" x14ac:dyDescent="0.25">
      <c r="A184" s="76"/>
      <c r="B184" s="8"/>
      <c r="C184" s="9">
        <v>42062</v>
      </c>
      <c r="D184">
        <v>7.4</v>
      </c>
      <c r="E184">
        <v>7.1</v>
      </c>
      <c r="F184">
        <v>8.1</v>
      </c>
      <c r="G184">
        <f t="shared" si="24"/>
        <v>2039.8000000000006</v>
      </c>
      <c r="H184">
        <f t="shared" si="30"/>
        <v>107.80000000000003</v>
      </c>
      <c r="I184">
        <v>359.3</v>
      </c>
      <c r="J184">
        <v>0.5</v>
      </c>
      <c r="K184">
        <f t="shared" si="25"/>
        <v>289.09999999999997</v>
      </c>
      <c r="L184">
        <v>2.1</v>
      </c>
      <c r="M184">
        <f t="shared" si="26"/>
        <v>289.99999999999994</v>
      </c>
      <c r="N184">
        <v>-1.6</v>
      </c>
      <c r="O184">
        <f t="shared" si="21"/>
        <v>100.10000000000005</v>
      </c>
      <c r="P184" s="5">
        <v>179</v>
      </c>
      <c r="Q184" s="21">
        <f t="shared" si="29"/>
        <v>1.0525</v>
      </c>
      <c r="R184" s="11">
        <f t="shared" si="22"/>
        <v>2.2102500000000003</v>
      </c>
      <c r="S184" s="11">
        <f t="shared" si="23"/>
        <v>-1.7102500000000003</v>
      </c>
      <c r="T184" s="14">
        <f t="shared" si="28"/>
        <v>116.58450000000006</v>
      </c>
      <c r="U184" s="16"/>
      <c r="V184">
        <v>1270.4000000000001</v>
      </c>
      <c r="X184">
        <f t="shared" si="27"/>
        <v>146125.1</v>
      </c>
      <c r="Y184">
        <f t="shared" si="31"/>
        <v>11921.5</v>
      </c>
      <c r="AA184">
        <v>11.040208034494601</v>
      </c>
    </row>
    <row r="185" spans="1:28" x14ac:dyDescent="0.25">
      <c r="A185" s="76"/>
      <c r="B185" s="8"/>
      <c r="C185" s="9">
        <v>42063</v>
      </c>
      <c r="D185">
        <v>7.8</v>
      </c>
      <c r="E185">
        <v>2.4</v>
      </c>
      <c r="F185">
        <v>11.6</v>
      </c>
      <c r="G185">
        <f t="shared" si="24"/>
        <v>2047.6000000000006</v>
      </c>
      <c r="H185">
        <f t="shared" si="30"/>
        <v>115.60000000000002</v>
      </c>
      <c r="J185" s="86">
        <v>6.7</v>
      </c>
      <c r="K185">
        <f t="shared" si="25"/>
        <v>295.79999999999995</v>
      </c>
      <c r="L185">
        <v>0.9</v>
      </c>
      <c r="M185">
        <f t="shared" si="26"/>
        <v>290.89999999999992</v>
      </c>
      <c r="N185">
        <v>5.8</v>
      </c>
      <c r="O185">
        <f t="shared" si="21"/>
        <v>105.90000000000005</v>
      </c>
      <c r="P185" s="5">
        <v>180</v>
      </c>
      <c r="Q185" s="21">
        <f t="shared" si="29"/>
        <v>1.0562499999999999</v>
      </c>
      <c r="R185" s="11">
        <f t="shared" si="22"/>
        <v>0.95062499999999994</v>
      </c>
      <c r="S185" s="11">
        <f t="shared" si="23"/>
        <v>5.7493750000000006</v>
      </c>
      <c r="T185" s="14">
        <f t="shared" si="28"/>
        <v>122.1</v>
      </c>
      <c r="V185">
        <v>518.1</v>
      </c>
      <c r="X185">
        <f t="shared" si="27"/>
        <v>146643.20000000001</v>
      </c>
      <c r="Y185">
        <f t="shared" si="31"/>
        <v>12439.6</v>
      </c>
      <c r="AA185">
        <v>11.089471789189499</v>
      </c>
      <c r="AB185" s="88" t="s">
        <v>59</v>
      </c>
    </row>
    <row r="186" spans="1:28" x14ac:dyDescent="0.25">
      <c r="A186" s="76"/>
      <c r="B186" s="8"/>
      <c r="C186" s="9">
        <v>42064</v>
      </c>
      <c r="D186">
        <v>12.8</v>
      </c>
      <c r="E186">
        <v>9.4</v>
      </c>
      <c r="F186">
        <v>13.7</v>
      </c>
      <c r="G186">
        <f t="shared" si="24"/>
        <v>2060.4000000000005</v>
      </c>
      <c r="H186">
        <f t="shared" si="30"/>
        <v>128.40000000000003</v>
      </c>
      <c r="J186" s="86">
        <v>5.2</v>
      </c>
      <c r="K186">
        <f t="shared" si="25"/>
        <v>300.99999999999994</v>
      </c>
      <c r="L186">
        <v>0.7</v>
      </c>
      <c r="M186">
        <f t="shared" si="26"/>
        <v>291.59999999999991</v>
      </c>
      <c r="N186">
        <v>4.5</v>
      </c>
      <c r="O186">
        <f t="shared" si="21"/>
        <v>110.40000000000005</v>
      </c>
      <c r="P186" s="5">
        <v>181</v>
      </c>
      <c r="Q186" s="21">
        <f t="shared" si="29"/>
        <v>1.06</v>
      </c>
      <c r="R186" s="11">
        <f t="shared" si="22"/>
        <v>0.74199999999999999</v>
      </c>
      <c r="S186" s="11">
        <f t="shared" si="23"/>
        <v>4.4580000000000002</v>
      </c>
      <c r="T186" s="14">
        <f t="shared" si="28"/>
        <v>122.1</v>
      </c>
      <c r="V186">
        <v>393.4</v>
      </c>
      <c r="X186">
        <f t="shared" si="27"/>
        <v>147036.6</v>
      </c>
      <c r="Y186">
        <f t="shared" si="31"/>
        <v>12833</v>
      </c>
      <c r="AA186">
        <v>11.1388743222142</v>
      </c>
      <c r="AB186" s="15">
        <f>AVERAGE(T192:T205)</f>
        <v>104.62713392857142</v>
      </c>
    </row>
    <row r="187" spans="1:28" x14ac:dyDescent="0.25">
      <c r="A187" s="76"/>
      <c r="B187" s="8"/>
      <c r="C187" s="9">
        <v>42065</v>
      </c>
      <c r="D187">
        <v>12</v>
      </c>
      <c r="E187">
        <v>11.6</v>
      </c>
      <c r="F187">
        <v>12.9</v>
      </c>
      <c r="G187">
        <f t="shared" si="24"/>
        <v>2072.4000000000005</v>
      </c>
      <c r="H187">
        <f t="shared" si="30"/>
        <v>140.40000000000003</v>
      </c>
      <c r="J187" s="86">
        <v>3.6</v>
      </c>
      <c r="K187">
        <f t="shared" si="25"/>
        <v>304.59999999999997</v>
      </c>
      <c r="L187">
        <v>0.9</v>
      </c>
      <c r="M187">
        <f t="shared" si="26"/>
        <v>292.49999999999989</v>
      </c>
      <c r="N187">
        <v>2.7</v>
      </c>
      <c r="O187">
        <f t="shared" si="21"/>
        <v>113.10000000000005</v>
      </c>
      <c r="P187" s="5">
        <v>182</v>
      </c>
      <c r="Q187" s="21">
        <f t="shared" si="29"/>
        <v>1.06375</v>
      </c>
      <c r="R187" s="11">
        <f t="shared" si="22"/>
        <v>0.95737499999999998</v>
      </c>
      <c r="S187" s="11">
        <f t="shared" si="23"/>
        <v>2.6426250000000002</v>
      </c>
      <c r="T187" s="14">
        <f t="shared" si="28"/>
        <v>122.1</v>
      </c>
      <c r="V187">
        <v>421.4</v>
      </c>
      <c r="X187">
        <f t="shared" si="27"/>
        <v>147458</v>
      </c>
      <c r="Y187">
        <f t="shared" si="31"/>
        <v>13254.4</v>
      </c>
      <c r="AA187">
        <v>11.188406112681101</v>
      </c>
      <c r="AB187" s="88" t="s">
        <v>58</v>
      </c>
    </row>
    <row r="188" spans="1:28" x14ac:dyDescent="0.25">
      <c r="A188" s="76"/>
      <c r="B188" s="8"/>
      <c r="C188" s="9">
        <v>42066</v>
      </c>
      <c r="D188">
        <v>10.5</v>
      </c>
      <c r="E188">
        <v>9.6</v>
      </c>
      <c r="F188">
        <v>12.5</v>
      </c>
      <c r="G188">
        <f t="shared" si="24"/>
        <v>2082.9000000000005</v>
      </c>
      <c r="H188">
        <f t="shared" si="30"/>
        <v>150.90000000000003</v>
      </c>
      <c r="J188" s="86">
        <v>8.6999999999999993</v>
      </c>
      <c r="K188">
        <f t="shared" si="25"/>
        <v>313.29999999999995</v>
      </c>
      <c r="L188">
        <v>1.1000000000000001</v>
      </c>
      <c r="M188">
        <f t="shared" si="26"/>
        <v>293.59999999999991</v>
      </c>
      <c r="N188">
        <v>7.6</v>
      </c>
      <c r="O188">
        <f t="shared" si="21"/>
        <v>120.70000000000005</v>
      </c>
      <c r="P188" s="5">
        <v>183</v>
      </c>
      <c r="Q188" s="21">
        <f t="shared" si="29"/>
        <v>1.0674999999999999</v>
      </c>
      <c r="R188" s="11">
        <f t="shared" si="22"/>
        <v>1.17425</v>
      </c>
      <c r="S188" s="11">
        <f t="shared" si="23"/>
        <v>7.5257499999999995</v>
      </c>
      <c r="T188" s="14">
        <f t="shared" si="28"/>
        <v>122.1</v>
      </c>
      <c r="V188">
        <v>556.4</v>
      </c>
      <c r="X188">
        <f t="shared" si="27"/>
        <v>148014.39999999999</v>
      </c>
      <c r="Y188">
        <f t="shared" si="31"/>
        <v>13810.8</v>
      </c>
      <c r="AA188">
        <v>11.2380579627293</v>
      </c>
      <c r="AB188">
        <v>5</v>
      </c>
    </row>
    <row r="189" spans="1:28" x14ac:dyDescent="0.25">
      <c r="A189" s="76"/>
      <c r="B189" s="8"/>
      <c r="C189" s="9">
        <v>42067</v>
      </c>
      <c r="D189">
        <v>7.7</v>
      </c>
      <c r="E189">
        <v>7</v>
      </c>
      <c r="F189">
        <v>9</v>
      </c>
      <c r="G189">
        <f t="shared" si="24"/>
        <v>2090.6000000000004</v>
      </c>
      <c r="H189">
        <f t="shared" si="30"/>
        <v>158.60000000000002</v>
      </c>
      <c r="J189" s="86">
        <v>0.8</v>
      </c>
      <c r="K189">
        <f t="shared" si="25"/>
        <v>314.09999999999997</v>
      </c>
      <c r="L189">
        <v>1.9</v>
      </c>
      <c r="M189">
        <f t="shared" si="26"/>
        <v>295.49999999999989</v>
      </c>
      <c r="N189">
        <v>-1.0999999999999999</v>
      </c>
      <c r="O189">
        <f t="shared" si="21"/>
        <v>119.60000000000005</v>
      </c>
      <c r="P189" s="5">
        <v>184</v>
      </c>
      <c r="Q189" s="21">
        <f t="shared" si="29"/>
        <v>1.07125</v>
      </c>
      <c r="R189" s="11">
        <f t="shared" si="22"/>
        <v>2.0353750000000002</v>
      </c>
      <c r="S189" s="11">
        <f t="shared" si="23"/>
        <v>-1.2353750000000001</v>
      </c>
      <c r="T189" s="14">
        <f t="shared" si="28"/>
        <v>120.86462499999999</v>
      </c>
      <c r="V189">
        <v>1086.7</v>
      </c>
      <c r="X189">
        <f t="shared" si="27"/>
        <v>149101.1</v>
      </c>
      <c r="Y189">
        <f t="shared" si="31"/>
        <v>14897.5</v>
      </c>
      <c r="AA189">
        <v>11.287820983067601</v>
      </c>
      <c r="AB189" s="88" t="s">
        <v>57</v>
      </c>
    </row>
    <row r="190" spans="1:28" x14ac:dyDescent="0.25">
      <c r="A190" s="76"/>
      <c r="B190" s="8"/>
      <c r="C190" s="9">
        <v>42068</v>
      </c>
      <c r="D190">
        <v>6.5</v>
      </c>
      <c r="E190">
        <v>2.4</v>
      </c>
      <c r="F190">
        <v>9.9</v>
      </c>
      <c r="G190">
        <f t="shared" si="24"/>
        <v>2097.1000000000004</v>
      </c>
      <c r="H190">
        <f t="shared" si="30"/>
        <v>165.10000000000002</v>
      </c>
      <c r="J190" s="86">
        <v>0</v>
      </c>
      <c r="K190">
        <f t="shared" si="25"/>
        <v>314.09999999999997</v>
      </c>
      <c r="L190">
        <v>2.4</v>
      </c>
      <c r="M190">
        <f t="shared" si="26"/>
        <v>297.89999999999986</v>
      </c>
      <c r="N190">
        <v>-2.4</v>
      </c>
      <c r="O190">
        <f t="shared" si="21"/>
        <v>117.20000000000005</v>
      </c>
      <c r="P190" s="5">
        <v>185</v>
      </c>
      <c r="Q190" s="21">
        <f t="shared" si="29"/>
        <v>1.075</v>
      </c>
      <c r="R190" s="11">
        <f t="shared" si="22"/>
        <v>2.5799999999999996</v>
      </c>
      <c r="S190" s="11">
        <f t="shared" si="23"/>
        <v>-2.5799999999999996</v>
      </c>
      <c r="T190" s="14">
        <f t="shared" si="28"/>
        <v>118.28462499999999</v>
      </c>
      <c r="V190">
        <v>1662.9</v>
      </c>
      <c r="X190">
        <f t="shared" si="27"/>
        <v>150764</v>
      </c>
      <c r="Y190">
        <f t="shared" si="31"/>
        <v>16560.400000000001</v>
      </c>
      <c r="AA190">
        <v>11.3376865783416</v>
      </c>
      <c r="AB190">
        <v>5</v>
      </c>
    </row>
    <row r="191" spans="1:28" x14ac:dyDescent="0.25">
      <c r="A191" s="76"/>
      <c r="B191" s="8"/>
      <c r="C191" s="9">
        <v>42069</v>
      </c>
      <c r="D191">
        <v>8</v>
      </c>
      <c r="E191">
        <v>2</v>
      </c>
      <c r="F191">
        <v>12.6</v>
      </c>
      <c r="G191">
        <f t="shared" si="24"/>
        <v>2105.1000000000004</v>
      </c>
      <c r="H191">
        <f t="shared" si="30"/>
        <v>173.10000000000002</v>
      </c>
      <c r="J191" s="86">
        <v>0</v>
      </c>
      <c r="K191">
        <f t="shared" si="25"/>
        <v>314.09999999999997</v>
      </c>
      <c r="L191">
        <v>2.5</v>
      </c>
      <c r="M191">
        <f t="shared" si="26"/>
        <v>300.39999999999986</v>
      </c>
      <c r="N191">
        <v>-2.5</v>
      </c>
      <c r="O191">
        <f t="shared" si="21"/>
        <v>114.70000000000005</v>
      </c>
      <c r="P191" s="5">
        <v>186</v>
      </c>
      <c r="Q191" s="21">
        <f t="shared" si="29"/>
        <v>1.0787499999999999</v>
      </c>
      <c r="R191" s="11">
        <f t="shared" si="22"/>
        <v>2.6968749999999995</v>
      </c>
      <c r="S191" s="11">
        <f t="shared" si="23"/>
        <v>-2.6968749999999995</v>
      </c>
      <c r="T191" s="14">
        <f t="shared" si="28"/>
        <v>115.58774999999999</v>
      </c>
      <c r="V191">
        <v>1697.3</v>
      </c>
      <c r="X191">
        <f t="shared" si="27"/>
        <v>152461.29999999999</v>
      </c>
      <c r="Y191">
        <f t="shared" si="31"/>
        <v>18257.7</v>
      </c>
      <c r="AA191">
        <v>11.387646432357201</v>
      </c>
      <c r="AB191" s="88" t="s">
        <v>56</v>
      </c>
    </row>
    <row r="192" spans="1:28" x14ac:dyDescent="0.25">
      <c r="A192" s="76"/>
      <c r="B192" s="8"/>
      <c r="C192" s="9">
        <v>42070</v>
      </c>
      <c r="D192">
        <v>10.4</v>
      </c>
      <c r="E192">
        <v>0.8</v>
      </c>
      <c r="F192">
        <v>18.8</v>
      </c>
      <c r="G192">
        <f t="shared" si="24"/>
        <v>2115.5000000000005</v>
      </c>
      <c r="H192">
        <f t="shared" si="30"/>
        <v>183.50000000000003</v>
      </c>
      <c r="J192" s="86">
        <v>0</v>
      </c>
      <c r="K192">
        <f t="shared" si="25"/>
        <v>314.09999999999997</v>
      </c>
      <c r="L192">
        <v>2.2999999999999998</v>
      </c>
      <c r="M192">
        <f t="shared" si="26"/>
        <v>302.69999999999987</v>
      </c>
      <c r="N192">
        <v>-2.2999999999999998</v>
      </c>
      <c r="O192">
        <f t="shared" si="21"/>
        <v>112.40000000000005</v>
      </c>
      <c r="P192" s="5">
        <v>187</v>
      </c>
      <c r="Q192" s="21">
        <f t="shared" si="29"/>
        <v>1.0825</v>
      </c>
      <c r="R192" s="11">
        <f t="shared" si="22"/>
        <v>2.4897499999999999</v>
      </c>
      <c r="S192" s="11">
        <f t="shared" si="23"/>
        <v>-2.4897499999999999</v>
      </c>
      <c r="T192" s="87">
        <f t="shared" si="28"/>
        <v>113.09799999999998</v>
      </c>
      <c r="V192">
        <v>1317.1</v>
      </c>
      <c r="X192">
        <f t="shared" si="27"/>
        <v>153778.4</v>
      </c>
      <c r="Y192">
        <f t="shared" si="31"/>
        <v>19574.8</v>
      </c>
      <c r="AA192">
        <v>11.4376924931915</v>
      </c>
      <c r="AB192">
        <v>0</v>
      </c>
    </row>
    <row r="193" spans="1:28" x14ac:dyDescent="0.25">
      <c r="A193" s="76"/>
      <c r="B193" s="8"/>
      <c r="C193" s="9">
        <v>42071</v>
      </c>
      <c r="D193">
        <v>11.1</v>
      </c>
      <c r="E193">
        <v>4.3</v>
      </c>
      <c r="F193">
        <v>17.100000000000001</v>
      </c>
      <c r="G193">
        <f t="shared" si="24"/>
        <v>2126.6000000000004</v>
      </c>
      <c r="H193">
        <f t="shared" si="30"/>
        <v>194.60000000000002</v>
      </c>
      <c r="J193" s="86">
        <v>0</v>
      </c>
      <c r="K193">
        <f t="shared" si="25"/>
        <v>314.09999999999997</v>
      </c>
      <c r="L193">
        <v>2.4</v>
      </c>
      <c r="M193">
        <f t="shared" si="26"/>
        <v>305.09999999999985</v>
      </c>
      <c r="N193">
        <v>-2.4</v>
      </c>
      <c r="O193">
        <f t="shared" si="21"/>
        <v>110.00000000000004</v>
      </c>
      <c r="P193" s="5">
        <v>188</v>
      </c>
      <c r="Q193" s="21">
        <f t="shared" si="29"/>
        <v>1.0862499999999999</v>
      </c>
      <c r="R193" s="11">
        <f t="shared" si="22"/>
        <v>2.6069999999999998</v>
      </c>
      <c r="S193" s="11">
        <f t="shared" si="23"/>
        <v>-2.6069999999999998</v>
      </c>
      <c r="T193" s="87">
        <f t="shared" si="28"/>
        <v>110.49099999999999</v>
      </c>
      <c r="V193">
        <v>1276.4000000000001</v>
      </c>
      <c r="X193">
        <f t="shared" si="27"/>
        <v>155054.79999999999</v>
      </c>
      <c r="Y193">
        <f t="shared" si="31"/>
        <v>20851.2</v>
      </c>
      <c r="AA193">
        <v>11.4878169582182</v>
      </c>
      <c r="AB193" s="88" t="s">
        <v>55</v>
      </c>
    </row>
    <row r="194" spans="1:28" x14ac:dyDescent="0.25">
      <c r="A194" s="76"/>
      <c r="B194" s="8"/>
      <c r="C194" s="9">
        <v>42072</v>
      </c>
      <c r="D194">
        <v>9.6999999999999993</v>
      </c>
      <c r="E194">
        <v>8.5</v>
      </c>
      <c r="F194">
        <v>12.3</v>
      </c>
      <c r="G194">
        <f t="shared" si="24"/>
        <v>2136.3000000000002</v>
      </c>
      <c r="H194">
        <f t="shared" si="30"/>
        <v>204.3</v>
      </c>
      <c r="J194" s="86">
        <v>0</v>
      </c>
      <c r="K194">
        <f t="shared" si="25"/>
        <v>314.09999999999997</v>
      </c>
      <c r="L194">
        <v>1.7</v>
      </c>
      <c r="M194">
        <f t="shared" si="26"/>
        <v>306.79999999999984</v>
      </c>
      <c r="N194">
        <v>-1.7</v>
      </c>
      <c r="O194">
        <f t="shared" si="21"/>
        <v>108.30000000000004</v>
      </c>
      <c r="P194" s="5">
        <v>189</v>
      </c>
      <c r="Q194" s="21">
        <f t="shared" si="29"/>
        <v>1.0899999999999999</v>
      </c>
      <c r="R194" s="11">
        <f t="shared" si="22"/>
        <v>1.8529999999999998</v>
      </c>
      <c r="S194" s="11">
        <f t="shared" si="23"/>
        <v>-1.8529999999999998</v>
      </c>
      <c r="T194" s="87">
        <f t="shared" si="28"/>
        <v>108.63799999999999</v>
      </c>
      <c r="V194">
        <v>1067.3</v>
      </c>
      <c r="X194">
        <f t="shared" si="27"/>
        <v>156122.09999999998</v>
      </c>
      <c r="Y194">
        <f t="shared" si="31"/>
        <v>21918.5</v>
      </c>
      <c r="AA194">
        <v>11.5380122590723</v>
      </c>
      <c r="AB194">
        <f>SUM(J196:J205)</f>
        <v>11.2</v>
      </c>
    </row>
    <row r="195" spans="1:28" s="81" customFormat="1" x14ac:dyDescent="0.25">
      <c r="A195" s="76"/>
      <c r="B195" s="79" t="s">
        <v>61</v>
      </c>
      <c r="C195" s="80">
        <v>42073</v>
      </c>
      <c r="D195" s="81">
        <v>10.7</v>
      </c>
      <c r="E195" s="81">
        <v>4.7</v>
      </c>
      <c r="F195" s="81">
        <v>16</v>
      </c>
      <c r="G195" s="81">
        <f t="shared" si="24"/>
        <v>2147</v>
      </c>
      <c r="H195" s="81">
        <f t="shared" si="30"/>
        <v>215</v>
      </c>
      <c r="J195" s="81">
        <v>0</v>
      </c>
      <c r="K195" s="81">
        <f t="shared" si="25"/>
        <v>314.09999999999997</v>
      </c>
      <c r="L195" s="81">
        <v>2.2000000000000002</v>
      </c>
      <c r="M195" s="81">
        <f t="shared" si="26"/>
        <v>308.99999999999983</v>
      </c>
      <c r="N195" s="81">
        <v>-2.2000000000000002</v>
      </c>
      <c r="O195" s="81">
        <f t="shared" si="21"/>
        <v>106.10000000000004</v>
      </c>
      <c r="P195" s="82">
        <v>190</v>
      </c>
      <c r="Q195" s="83">
        <f t="shared" si="29"/>
        <v>1.09375</v>
      </c>
      <c r="R195" s="84">
        <f t="shared" si="22"/>
        <v>2.40625</v>
      </c>
      <c r="S195" s="84">
        <f t="shared" si="23"/>
        <v>-2.40625</v>
      </c>
      <c r="T195" s="85">
        <f t="shared" si="28"/>
        <v>106.23174999999999</v>
      </c>
      <c r="V195" s="81">
        <v>1539.2</v>
      </c>
      <c r="X195" s="81">
        <f t="shared" si="27"/>
        <v>157661.29999999999</v>
      </c>
      <c r="Y195" s="81">
        <f t="shared" si="31"/>
        <v>23457.7</v>
      </c>
      <c r="AA195" s="81">
        <v>11.588271046574199</v>
      </c>
    </row>
    <row r="196" spans="1:28" x14ac:dyDescent="0.25">
      <c r="A196" s="76"/>
      <c r="B196" s="8"/>
      <c r="C196" s="9">
        <v>42074</v>
      </c>
      <c r="D196">
        <v>12.4</v>
      </c>
      <c r="E196">
        <v>7.5</v>
      </c>
      <c r="F196">
        <v>18.899999999999999</v>
      </c>
      <c r="G196">
        <f t="shared" si="24"/>
        <v>2159.4</v>
      </c>
      <c r="H196">
        <f t="shared" si="30"/>
        <v>227.4</v>
      </c>
      <c r="J196" s="86">
        <v>0</v>
      </c>
      <c r="K196">
        <f t="shared" si="25"/>
        <v>314.09999999999997</v>
      </c>
      <c r="L196">
        <v>2.5</v>
      </c>
      <c r="M196">
        <f t="shared" si="26"/>
        <v>311.49999999999983</v>
      </c>
      <c r="N196">
        <v>-2.5</v>
      </c>
      <c r="O196">
        <f t="shared" ref="O196:O259" si="32">O195+N196</f>
        <v>103.60000000000004</v>
      </c>
      <c r="P196" s="5">
        <v>191</v>
      </c>
      <c r="Q196" s="21">
        <f t="shared" si="29"/>
        <v>1.0974999999999999</v>
      </c>
      <c r="R196" s="11">
        <f t="shared" si="22"/>
        <v>2.7437499999999999</v>
      </c>
      <c r="S196" s="11">
        <f t="shared" si="23"/>
        <v>-2.7437499999999999</v>
      </c>
      <c r="T196" s="87">
        <f t="shared" si="28"/>
        <v>103.48799999999999</v>
      </c>
      <c r="V196">
        <v>1223.5999999999999</v>
      </c>
      <c r="X196">
        <f t="shared" si="27"/>
        <v>158884.9</v>
      </c>
      <c r="Y196">
        <f t="shared" si="31"/>
        <v>24681.3</v>
      </c>
      <c r="AA196">
        <v>11.638586175635</v>
      </c>
    </row>
    <row r="197" spans="1:28" x14ac:dyDescent="0.25">
      <c r="A197" s="76"/>
      <c r="B197" s="8"/>
      <c r="C197" s="9">
        <v>42075</v>
      </c>
      <c r="D197">
        <v>11.1</v>
      </c>
      <c r="E197">
        <v>8.9</v>
      </c>
      <c r="F197">
        <v>12.5</v>
      </c>
      <c r="G197">
        <f t="shared" si="24"/>
        <v>2170.5</v>
      </c>
      <c r="H197">
        <f t="shared" si="30"/>
        <v>238.5</v>
      </c>
      <c r="J197" s="86">
        <v>0.2</v>
      </c>
      <c r="K197">
        <f t="shared" si="25"/>
        <v>314.29999999999995</v>
      </c>
      <c r="L197">
        <v>2.1</v>
      </c>
      <c r="M197">
        <f t="shared" si="26"/>
        <v>313.59999999999985</v>
      </c>
      <c r="N197">
        <v>-1.9000000000000001</v>
      </c>
      <c r="O197">
        <f t="shared" si="32"/>
        <v>101.70000000000003</v>
      </c>
      <c r="P197" s="5">
        <v>192</v>
      </c>
      <c r="Q197" s="21">
        <f t="shared" si="29"/>
        <v>1.1012499999999998</v>
      </c>
      <c r="R197" s="11">
        <f t="shared" si="22"/>
        <v>2.3126249999999997</v>
      </c>
      <c r="S197" s="11">
        <f t="shared" si="23"/>
        <v>-2.1126249999999995</v>
      </c>
      <c r="T197" s="87">
        <f t="shared" si="28"/>
        <v>101.37537499999999</v>
      </c>
      <c r="V197">
        <v>1613.9</v>
      </c>
      <c r="X197">
        <f t="shared" si="27"/>
        <v>160498.79999999999</v>
      </c>
      <c r="Y197">
        <f t="shared" si="31"/>
        <v>26295.200000000001</v>
      </c>
      <c r="AA197">
        <v>11.6889506901574</v>
      </c>
    </row>
    <row r="198" spans="1:28" x14ac:dyDescent="0.25">
      <c r="A198" s="76"/>
      <c r="B198" s="8"/>
      <c r="C198" s="9">
        <v>42076</v>
      </c>
      <c r="D198">
        <v>8.8000000000000007</v>
      </c>
      <c r="E198">
        <v>8.6</v>
      </c>
      <c r="F198">
        <v>9.6</v>
      </c>
      <c r="G198">
        <f t="shared" si="24"/>
        <v>2179.3000000000002</v>
      </c>
      <c r="H198">
        <f t="shared" si="30"/>
        <v>247.3</v>
      </c>
      <c r="J198" s="86">
        <v>2.2999999999999998</v>
      </c>
      <c r="K198">
        <f t="shared" si="25"/>
        <v>316.59999999999997</v>
      </c>
      <c r="L198">
        <v>1.2</v>
      </c>
      <c r="M198">
        <f t="shared" si="26"/>
        <v>314.79999999999984</v>
      </c>
      <c r="N198">
        <v>1.0999999999999999</v>
      </c>
      <c r="O198">
        <f t="shared" si="32"/>
        <v>102.80000000000003</v>
      </c>
      <c r="P198" s="5">
        <v>193</v>
      </c>
      <c r="Q198" s="21">
        <f t="shared" si="29"/>
        <v>1.105</v>
      </c>
      <c r="R198" s="11">
        <f t="shared" si="22"/>
        <v>1.3259999999999998</v>
      </c>
      <c r="S198" s="11">
        <f t="shared" si="23"/>
        <v>0.97399999999999998</v>
      </c>
      <c r="T198" s="87">
        <f t="shared" si="28"/>
        <v>102.34937499999999</v>
      </c>
      <c r="V198">
        <v>497.3</v>
      </c>
      <c r="X198">
        <f t="shared" si="27"/>
        <v>160996.09999999998</v>
      </c>
      <c r="Y198">
        <f t="shared" si="31"/>
        <v>26792.5</v>
      </c>
      <c r="AA198">
        <v>11.7393578079484</v>
      </c>
    </row>
    <row r="199" spans="1:28" x14ac:dyDescent="0.25">
      <c r="A199" s="76"/>
      <c r="B199" s="8"/>
      <c r="C199" s="9">
        <v>42077</v>
      </c>
      <c r="D199">
        <v>6.4</v>
      </c>
      <c r="E199">
        <v>4.4000000000000004</v>
      </c>
      <c r="F199">
        <v>8.4</v>
      </c>
      <c r="G199">
        <f t="shared" si="24"/>
        <v>2185.7000000000003</v>
      </c>
      <c r="H199">
        <f t="shared" si="30"/>
        <v>253.70000000000002</v>
      </c>
      <c r="J199" s="86">
        <v>0.8</v>
      </c>
      <c r="K199">
        <f t="shared" si="25"/>
        <v>317.39999999999998</v>
      </c>
      <c r="L199">
        <v>1.5</v>
      </c>
      <c r="M199">
        <f t="shared" si="26"/>
        <v>316.29999999999984</v>
      </c>
      <c r="N199">
        <v>-0.7</v>
      </c>
      <c r="O199">
        <f t="shared" si="32"/>
        <v>102.10000000000002</v>
      </c>
      <c r="P199" s="5">
        <v>194</v>
      </c>
      <c r="Q199" s="21">
        <f t="shared" si="29"/>
        <v>1.1087499999999999</v>
      </c>
      <c r="R199" s="11">
        <f t="shared" ref="R199:R262" si="33">Q199*L199</f>
        <v>1.663125</v>
      </c>
      <c r="S199" s="11">
        <f t="shared" ref="S199:S262" si="34">J199-R199</f>
        <v>-0.86312499999999992</v>
      </c>
      <c r="T199" s="87">
        <f t="shared" si="28"/>
        <v>101.48625</v>
      </c>
      <c r="V199">
        <v>1211.5999999999999</v>
      </c>
      <c r="X199">
        <f t="shared" si="27"/>
        <v>162207.69999999998</v>
      </c>
      <c r="Y199">
        <f t="shared" si="31"/>
        <v>28004.1</v>
      </c>
      <c r="AA199">
        <v>11.7898009056566</v>
      </c>
    </row>
    <row r="200" spans="1:28" x14ac:dyDescent="0.25">
      <c r="A200" s="76"/>
      <c r="B200" s="8"/>
      <c r="C200" s="9">
        <v>42078</v>
      </c>
      <c r="D200">
        <v>6.7</v>
      </c>
      <c r="E200">
        <v>4.7</v>
      </c>
      <c r="F200">
        <v>9.1</v>
      </c>
      <c r="G200">
        <f t="shared" ref="G200:G263" si="35">G199+D200</f>
        <v>2192.4</v>
      </c>
      <c r="H200">
        <f t="shared" si="30"/>
        <v>260.40000000000003</v>
      </c>
      <c r="J200" s="86">
        <v>7.4</v>
      </c>
      <c r="K200">
        <f t="shared" ref="K200:K263" si="36">K199+J200</f>
        <v>324.79999999999995</v>
      </c>
      <c r="L200">
        <v>0.9</v>
      </c>
      <c r="M200">
        <f t="shared" ref="M200:M263" si="37">M199+L200</f>
        <v>317.19999999999982</v>
      </c>
      <c r="N200">
        <v>6.5</v>
      </c>
      <c r="O200">
        <f t="shared" si="32"/>
        <v>108.60000000000002</v>
      </c>
      <c r="P200" s="5">
        <v>195</v>
      </c>
      <c r="Q200" s="21">
        <f t="shared" si="29"/>
        <v>1.1124999999999998</v>
      </c>
      <c r="R200" s="11">
        <f t="shared" si="33"/>
        <v>1.00125</v>
      </c>
      <c r="S200" s="11">
        <f t="shared" si="34"/>
        <v>6.3987500000000006</v>
      </c>
      <c r="T200" s="87">
        <f t="shared" si="28"/>
        <v>107.88500000000001</v>
      </c>
      <c r="V200">
        <v>816.3</v>
      </c>
      <c r="X200">
        <f t="shared" ref="X200:X263" si="38">X199+V200</f>
        <v>163023.99999999997</v>
      </c>
      <c r="Y200">
        <f t="shared" si="31"/>
        <v>28820.399999999998</v>
      </c>
      <c r="AA200">
        <v>11.840273503743701</v>
      </c>
    </row>
    <row r="201" spans="1:28" x14ac:dyDescent="0.25">
      <c r="A201" s="76"/>
      <c r="B201" s="8"/>
      <c r="C201" s="9">
        <v>42079</v>
      </c>
      <c r="D201">
        <v>7.6</v>
      </c>
      <c r="E201">
        <v>6.1</v>
      </c>
      <c r="F201">
        <v>9.4</v>
      </c>
      <c r="G201">
        <f t="shared" si="35"/>
        <v>2200</v>
      </c>
      <c r="H201">
        <f t="shared" si="30"/>
        <v>268.00000000000006</v>
      </c>
      <c r="J201" s="86">
        <v>0.5</v>
      </c>
      <c r="K201">
        <f t="shared" si="36"/>
        <v>325.29999999999995</v>
      </c>
      <c r="L201">
        <v>1.4</v>
      </c>
      <c r="M201">
        <f t="shared" si="37"/>
        <v>318.5999999999998</v>
      </c>
      <c r="N201">
        <v>-0.89999999999999991</v>
      </c>
      <c r="O201">
        <f t="shared" si="32"/>
        <v>107.70000000000002</v>
      </c>
      <c r="P201" s="5">
        <v>196</v>
      </c>
      <c r="Q201" s="21">
        <f t="shared" si="29"/>
        <v>1.11625</v>
      </c>
      <c r="R201" s="11">
        <f t="shared" si="33"/>
        <v>1.5627499999999999</v>
      </c>
      <c r="S201" s="11">
        <f t="shared" si="34"/>
        <v>-1.0627499999999999</v>
      </c>
      <c r="T201" s="87">
        <f t="shared" si="28"/>
        <v>106.82225000000001</v>
      </c>
      <c r="V201">
        <v>936</v>
      </c>
      <c r="X201">
        <f t="shared" si="38"/>
        <v>163959.99999999997</v>
      </c>
      <c r="Y201">
        <f t="shared" si="31"/>
        <v>29756.399999999998</v>
      </c>
      <c r="AA201">
        <v>11.890769251502199</v>
      </c>
    </row>
    <row r="202" spans="1:28" x14ac:dyDescent="0.25">
      <c r="A202" s="76"/>
      <c r="B202" s="8"/>
      <c r="C202" s="9">
        <v>42080</v>
      </c>
      <c r="D202">
        <v>9.4</v>
      </c>
      <c r="E202">
        <v>2.2999999999999998</v>
      </c>
      <c r="F202">
        <v>15.3</v>
      </c>
      <c r="G202">
        <f t="shared" si="35"/>
        <v>2209.4</v>
      </c>
      <c r="H202">
        <f t="shared" si="30"/>
        <v>277.40000000000003</v>
      </c>
      <c r="J202" s="86">
        <v>0</v>
      </c>
      <c r="K202">
        <f t="shared" si="36"/>
        <v>325.29999999999995</v>
      </c>
      <c r="L202">
        <v>2.2999999999999998</v>
      </c>
      <c r="M202">
        <f t="shared" si="37"/>
        <v>320.89999999999981</v>
      </c>
      <c r="N202">
        <v>-2.2999999999999998</v>
      </c>
      <c r="O202">
        <f t="shared" si="32"/>
        <v>105.40000000000002</v>
      </c>
      <c r="P202" s="5">
        <v>197</v>
      </c>
      <c r="Q202" s="21">
        <f t="shared" si="29"/>
        <v>1.1199999999999999</v>
      </c>
      <c r="R202" s="11">
        <f t="shared" si="33"/>
        <v>2.5759999999999996</v>
      </c>
      <c r="S202" s="11">
        <f t="shared" si="34"/>
        <v>-2.5759999999999996</v>
      </c>
      <c r="T202" s="87">
        <f t="shared" si="28"/>
        <v>104.24625000000002</v>
      </c>
      <c r="V202">
        <v>1618.9</v>
      </c>
      <c r="X202">
        <f t="shared" si="38"/>
        <v>165578.89999999997</v>
      </c>
      <c r="Y202">
        <f t="shared" si="31"/>
        <v>31375.3</v>
      </c>
      <c r="AA202">
        <v>11.9412819121242</v>
      </c>
    </row>
    <row r="203" spans="1:28" x14ac:dyDescent="0.25">
      <c r="A203" s="76"/>
      <c r="B203" s="8"/>
      <c r="C203" s="9">
        <v>42081</v>
      </c>
      <c r="D203">
        <v>12.1</v>
      </c>
      <c r="E203">
        <v>9.4</v>
      </c>
      <c r="F203">
        <v>15.3</v>
      </c>
      <c r="G203">
        <f t="shared" si="35"/>
        <v>2221.5</v>
      </c>
      <c r="H203">
        <f t="shared" si="30"/>
        <v>289.50000000000006</v>
      </c>
      <c r="J203" s="86">
        <v>0</v>
      </c>
      <c r="K203">
        <f t="shared" si="36"/>
        <v>325.29999999999995</v>
      </c>
      <c r="L203">
        <v>2.5</v>
      </c>
      <c r="M203">
        <f t="shared" si="37"/>
        <v>323.39999999999981</v>
      </c>
      <c r="N203">
        <v>-2.5</v>
      </c>
      <c r="O203">
        <f t="shared" si="32"/>
        <v>102.90000000000002</v>
      </c>
      <c r="P203" s="5">
        <v>198</v>
      </c>
      <c r="Q203" s="21">
        <f t="shared" si="29"/>
        <v>1.1237499999999998</v>
      </c>
      <c r="R203" s="11">
        <f t="shared" si="33"/>
        <v>2.8093749999999993</v>
      </c>
      <c r="S203" s="11">
        <f t="shared" si="34"/>
        <v>-2.8093749999999993</v>
      </c>
      <c r="T203" s="87">
        <f t="shared" si="28"/>
        <v>101.43687500000001</v>
      </c>
      <c r="V203">
        <v>1478.2</v>
      </c>
      <c r="X203">
        <f t="shared" si="38"/>
        <v>167057.09999999998</v>
      </c>
      <c r="Y203">
        <f t="shared" si="31"/>
        <v>32853.5</v>
      </c>
      <c r="AA203">
        <v>11.9918053478304</v>
      </c>
    </row>
    <row r="204" spans="1:28" x14ac:dyDescent="0.25">
      <c r="A204" s="76"/>
      <c r="B204" s="8"/>
      <c r="C204" s="9">
        <v>42082</v>
      </c>
      <c r="D204">
        <v>12.6</v>
      </c>
      <c r="E204">
        <v>7.3</v>
      </c>
      <c r="F204">
        <v>17</v>
      </c>
      <c r="G204">
        <f t="shared" si="35"/>
        <v>2234.1</v>
      </c>
      <c r="H204">
        <f t="shared" si="30"/>
        <v>302.10000000000008</v>
      </c>
      <c r="J204" s="86">
        <v>0</v>
      </c>
      <c r="K204">
        <f t="shared" si="36"/>
        <v>325.29999999999995</v>
      </c>
      <c r="L204">
        <v>1.9</v>
      </c>
      <c r="M204">
        <f t="shared" si="37"/>
        <v>325.29999999999978</v>
      </c>
      <c r="N204">
        <v>-1.9</v>
      </c>
      <c r="O204">
        <f t="shared" si="32"/>
        <v>101.00000000000001</v>
      </c>
      <c r="P204" s="5">
        <v>199</v>
      </c>
      <c r="Q204" s="21">
        <f t="shared" si="29"/>
        <v>1.1274999999999999</v>
      </c>
      <c r="R204" s="11">
        <f t="shared" si="33"/>
        <v>2.1422499999999998</v>
      </c>
      <c r="S204" s="11">
        <f t="shared" si="34"/>
        <v>-2.1422499999999998</v>
      </c>
      <c r="T204" s="87">
        <f t="shared" si="28"/>
        <v>99.294625000000011</v>
      </c>
      <c r="V204">
        <v>1059.5</v>
      </c>
      <c r="X204">
        <f t="shared" si="38"/>
        <v>168116.59999999998</v>
      </c>
      <c r="Y204">
        <f t="shared" si="31"/>
        <v>33913</v>
      </c>
      <c r="AA204">
        <v>12.042333505063899</v>
      </c>
    </row>
    <row r="205" spans="1:28" x14ac:dyDescent="0.25">
      <c r="A205" s="76"/>
      <c r="B205" s="8"/>
      <c r="C205" s="9">
        <v>42083</v>
      </c>
      <c r="D205">
        <v>11.1</v>
      </c>
      <c r="E205">
        <v>9.4</v>
      </c>
      <c r="F205">
        <v>13.7</v>
      </c>
      <c r="G205">
        <f t="shared" si="35"/>
        <v>2245.1999999999998</v>
      </c>
      <c r="H205">
        <f t="shared" si="30"/>
        <v>313.2000000000001</v>
      </c>
      <c r="J205" s="86">
        <v>0</v>
      </c>
      <c r="K205">
        <f t="shared" si="36"/>
        <v>325.29999999999995</v>
      </c>
      <c r="L205">
        <v>1.2</v>
      </c>
      <c r="M205">
        <f t="shared" si="37"/>
        <v>326.49999999999977</v>
      </c>
      <c r="N205">
        <v>-1.2</v>
      </c>
      <c r="O205">
        <f t="shared" si="32"/>
        <v>99.800000000000011</v>
      </c>
      <c r="P205" s="5">
        <v>200</v>
      </c>
      <c r="Q205" s="21">
        <f t="shared" si="29"/>
        <v>1.1312499999999999</v>
      </c>
      <c r="R205" s="11">
        <f t="shared" si="33"/>
        <v>1.3574999999999997</v>
      </c>
      <c r="S205" s="11">
        <f t="shared" si="34"/>
        <v>-1.3574999999999997</v>
      </c>
      <c r="T205" s="87">
        <f t="shared" si="28"/>
        <v>97.937125000000009</v>
      </c>
      <c r="V205">
        <v>782.6</v>
      </c>
      <c r="X205">
        <f t="shared" si="38"/>
        <v>168899.19999999998</v>
      </c>
      <c r="Y205">
        <f t="shared" si="31"/>
        <v>34695.599999999999</v>
      </c>
      <c r="AA205">
        <v>12.092860399753</v>
      </c>
    </row>
    <row r="206" spans="1:28" x14ac:dyDescent="0.25">
      <c r="A206" s="76"/>
      <c r="B206" s="8"/>
      <c r="C206" s="9">
        <v>42084</v>
      </c>
      <c r="D206">
        <v>10.7</v>
      </c>
      <c r="E206">
        <v>8</v>
      </c>
      <c r="F206">
        <v>15.4</v>
      </c>
      <c r="G206">
        <f t="shared" si="35"/>
        <v>2255.8999999999996</v>
      </c>
      <c r="H206">
        <f t="shared" si="30"/>
        <v>323.90000000000009</v>
      </c>
      <c r="J206">
        <v>10.1</v>
      </c>
      <c r="K206">
        <f t="shared" si="36"/>
        <v>335.4</v>
      </c>
      <c r="L206">
        <v>1.9</v>
      </c>
      <c r="M206">
        <f t="shared" si="37"/>
        <v>328.39999999999975</v>
      </c>
      <c r="N206">
        <v>8.1999999999999993</v>
      </c>
      <c r="O206">
        <f t="shared" si="32"/>
        <v>108.00000000000001</v>
      </c>
      <c r="P206" s="5">
        <v>201</v>
      </c>
      <c r="Q206" s="21">
        <f t="shared" si="29"/>
        <v>1.135</v>
      </c>
      <c r="R206" s="11">
        <f t="shared" si="33"/>
        <v>2.1564999999999999</v>
      </c>
      <c r="S206" s="11">
        <f t="shared" si="34"/>
        <v>7.9435000000000002</v>
      </c>
      <c r="T206" s="14">
        <f t="shared" si="28"/>
        <v>105.88062500000001</v>
      </c>
      <c r="V206">
        <v>987.6</v>
      </c>
      <c r="X206">
        <f t="shared" si="38"/>
        <v>169886.8</v>
      </c>
      <c r="Y206">
        <f t="shared" si="31"/>
        <v>35683.199999999997</v>
      </c>
      <c r="AA206">
        <v>12.1433801026478</v>
      </c>
    </row>
    <row r="207" spans="1:28" x14ac:dyDescent="0.25">
      <c r="A207" s="76"/>
      <c r="B207" s="8"/>
      <c r="C207" s="9">
        <v>42085</v>
      </c>
      <c r="D207">
        <v>8.6</v>
      </c>
      <c r="E207">
        <v>7.9</v>
      </c>
      <c r="F207">
        <v>9.8000000000000007</v>
      </c>
      <c r="G207">
        <f t="shared" si="35"/>
        <v>2264.4999999999995</v>
      </c>
      <c r="H207">
        <f t="shared" si="30"/>
        <v>332.50000000000011</v>
      </c>
      <c r="J207">
        <v>2.4</v>
      </c>
      <c r="K207">
        <f t="shared" si="36"/>
        <v>337.79999999999995</v>
      </c>
      <c r="L207">
        <v>1.5</v>
      </c>
      <c r="M207">
        <f t="shared" si="37"/>
        <v>329.89999999999975</v>
      </c>
      <c r="N207">
        <v>0.89999999999999991</v>
      </c>
      <c r="O207">
        <f t="shared" si="32"/>
        <v>108.90000000000002</v>
      </c>
      <c r="P207" s="5">
        <v>202</v>
      </c>
      <c r="Q207" s="21">
        <f t="shared" si="29"/>
        <v>1.1387499999999999</v>
      </c>
      <c r="R207" s="11">
        <f t="shared" si="33"/>
        <v>1.7081249999999999</v>
      </c>
      <c r="S207" s="11">
        <f t="shared" si="34"/>
        <v>0.69187500000000002</v>
      </c>
      <c r="T207" s="14">
        <f t="shared" si="28"/>
        <v>106.57250000000001</v>
      </c>
      <c r="V207">
        <v>1011.5</v>
      </c>
      <c r="X207">
        <f t="shared" si="38"/>
        <v>170898.3</v>
      </c>
      <c r="Y207">
        <f t="shared" si="31"/>
        <v>36694.699999999997</v>
      </c>
      <c r="AA207">
        <v>12.193886724733</v>
      </c>
    </row>
    <row r="208" spans="1:28" s="24" customFormat="1" x14ac:dyDescent="0.25">
      <c r="A208" s="76"/>
      <c r="B208" s="22"/>
      <c r="C208" s="23">
        <v>42086</v>
      </c>
      <c r="D208" s="24">
        <v>10.9</v>
      </c>
      <c r="E208" s="24">
        <v>7.3</v>
      </c>
      <c r="F208" s="24">
        <v>14.6</v>
      </c>
      <c r="G208" s="24">
        <f t="shared" si="35"/>
        <v>2275.3999999999996</v>
      </c>
      <c r="H208" s="24">
        <f t="shared" si="30"/>
        <v>343.40000000000009</v>
      </c>
      <c r="J208" s="24">
        <v>0</v>
      </c>
      <c r="K208" s="24">
        <f t="shared" si="36"/>
        <v>337.79999999999995</v>
      </c>
      <c r="L208" s="24">
        <v>2.2999999999999998</v>
      </c>
      <c r="M208" s="24">
        <f t="shared" si="37"/>
        <v>332.19999999999976</v>
      </c>
      <c r="N208" s="24">
        <v>-2.2999999999999998</v>
      </c>
      <c r="O208" s="24">
        <f t="shared" si="32"/>
        <v>106.60000000000002</v>
      </c>
      <c r="P208" s="25">
        <v>203</v>
      </c>
      <c r="Q208" s="21">
        <f t="shared" si="29"/>
        <v>1.1424999999999998</v>
      </c>
      <c r="R208" s="26">
        <f t="shared" si="33"/>
        <v>2.6277499999999994</v>
      </c>
      <c r="S208" s="26">
        <f t="shared" si="34"/>
        <v>-2.6277499999999994</v>
      </c>
      <c r="T208" s="14">
        <f t="shared" si="28"/>
        <v>103.94475</v>
      </c>
      <c r="V208" s="24">
        <v>1546.6</v>
      </c>
      <c r="X208" s="24">
        <f t="shared" si="38"/>
        <v>172444.9</v>
      </c>
      <c r="Y208">
        <f t="shared" si="31"/>
        <v>38241.299999999996</v>
      </c>
      <c r="AA208" s="24">
        <v>12.244374402719799</v>
      </c>
    </row>
    <row r="209" spans="1:27" ht="15" customHeight="1" x14ac:dyDescent="0.25">
      <c r="A209" s="76"/>
      <c r="B209" s="27"/>
      <c r="C209" s="9">
        <v>42087</v>
      </c>
      <c r="D209">
        <v>9.6999999999999993</v>
      </c>
      <c r="E209">
        <v>8.6</v>
      </c>
      <c r="F209">
        <v>12.2</v>
      </c>
      <c r="G209">
        <f t="shared" si="35"/>
        <v>2285.0999999999995</v>
      </c>
      <c r="H209">
        <f t="shared" si="30"/>
        <v>353.10000000000008</v>
      </c>
      <c r="J209">
        <v>3.6</v>
      </c>
      <c r="K209">
        <f t="shared" si="36"/>
        <v>341.4</v>
      </c>
      <c r="L209">
        <v>1.6</v>
      </c>
      <c r="M209">
        <f t="shared" si="37"/>
        <v>333.79999999999978</v>
      </c>
      <c r="N209">
        <v>2</v>
      </c>
      <c r="O209">
        <f t="shared" si="32"/>
        <v>108.60000000000002</v>
      </c>
      <c r="P209" s="5">
        <v>204</v>
      </c>
      <c r="Q209" s="21">
        <f t="shared" si="29"/>
        <v>1.14625</v>
      </c>
      <c r="R209" s="11">
        <f t="shared" si="33"/>
        <v>1.8340000000000001</v>
      </c>
      <c r="S209" s="11">
        <f t="shared" si="34"/>
        <v>1.766</v>
      </c>
      <c r="T209" s="14">
        <f t="shared" si="28"/>
        <v>105.71075</v>
      </c>
      <c r="V209">
        <v>919.1</v>
      </c>
      <c r="X209">
        <f t="shared" si="38"/>
        <v>173364</v>
      </c>
      <c r="Y209">
        <f t="shared" si="31"/>
        <v>39160.399999999994</v>
      </c>
      <c r="AA209">
        <v>12.294837284619099</v>
      </c>
    </row>
    <row r="210" spans="1:27" s="51" customFormat="1" ht="15.75" thickBot="1" x14ac:dyDescent="0.3">
      <c r="A210" s="76"/>
      <c r="B210" s="59"/>
      <c r="C210" s="50">
        <v>42088</v>
      </c>
      <c r="D210" s="51">
        <v>6.2</v>
      </c>
      <c r="E210" s="51">
        <v>5</v>
      </c>
      <c r="F210" s="51">
        <v>7.5</v>
      </c>
      <c r="G210" s="51">
        <f t="shared" si="35"/>
        <v>2291.2999999999993</v>
      </c>
      <c r="H210" s="51">
        <f t="shared" si="30"/>
        <v>359.30000000000007</v>
      </c>
      <c r="J210" s="51">
        <v>0.3</v>
      </c>
      <c r="K210" s="51">
        <f t="shared" si="36"/>
        <v>341.7</v>
      </c>
      <c r="L210" s="51">
        <v>1.8</v>
      </c>
      <c r="M210" s="51">
        <f t="shared" si="37"/>
        <v>335.5999999999998</v>
      </c>
      <c r="N210" s="51">
        <v>-1.5</v>
      </c>
      <c r="O210" s="51">
        <f t="shared" si="32"/>
        <v>107.10000000000002</v>
      </c>
      <c r="P210" s="53">
        <v>205</v>
      </c>
      <c r="Q210" s="64">
        <f t="shared" si="29"/>
        <v>1.1499999999999999</v>
      </c>
      <c r="R210" s="55">
        <f t="shared" si="33"/>
        <v>2.0699999999999998</v>
      </c>
      <c r="S210" s="55">
        <f t="shared" si="34"/>
        <v>-1.7699999999999998</v>
      </c>
      <c r="T210" s="56">
        <f t="shared" si="28"/>
        <v>103.94075000000001</v>
      </c>
      <c r="V210" s="51">
        <v>1553.2</v>
      </c>
      <c r="X210" s="51">
        <f t="shared" si="38"/>
        <v>174917.2</v>
      </c>
      <c r="Y210" s="54">
        <f t="shared" si="31"/>
        <v>40713.599999999991</v>
      </c>
      <c r="AA210" s="51">
        <v>12.345269515398</v>
      </c>
    </row>
    <row r="211" spans="1:27" x14ac:dyDescent="0.25">
      <c r="A211" s="28" t="s">
        <v>37</v>
      </c>
      <c r="B211" s="1"/>
      <c r="C211" s="9">
        <v>42089</v>
      </c>
      <c r="D211">
        <v>8.6</v>
      </c>
      <c r="E211">
        <v>3</v>
      </c>
      <c r="F211">
        <v>13</v>
      </c>
      <c r="G211">
        <f t="shared" si="35"/>
        <v>2299.8999999999992</v>
      </c>
      <c r="H211">
        <v>8.6</v>
      </c>
      <c r="I211" s="29" t="s">
        <v>41</v>
      </c>
      <c r="J211">
        <v>0</v>
      </c>
      <c r="K211">
        <f t="shared" si="36"/>
        <v>341.7</v>
      </c>
      <c r="L211">
        <v>2</v>
      </c>
      <c r="M211">
        <f t="shared" si="37"/>
        <v>337.5999999999998</v>
      </c>
      <c r="N211">
        <v>-2</v>
      </c>
      <c r="O211">
        <f t="shared" si="32"/>
        <v>105.10000000000002</v>
      </c>
      <c r="P211" s="5">
        <v>206</v>
      </c>
      <c r="Q211" s="6">
        <v>1.1499999999999999</v>
      </c>
      <c r="R211" s="11">
        <f t="shared" si="33"/>
        <v>2.2999999999999998</v>
      </c>
      <c r="S211" s="11">
        <f t="shared" si="34"/>
        <v>-2.2999999999999998</v>
      </c>
      <c r="T211" s="14">
        <f t="shared" si="28"/>
        <v>101.64075000000001</v>
      </c>
      <c r="U211" s="29" t="s">
        <v>28</v>
      </c>
      <c r="V211">
        <v>1246.9000000000001</v>
      </c>
      <c r="X211">
        <f t="shared" si="38"/>
        <v>176164.1</v>
      </c>
      <c r="Y211">
        <v>1246.9000000000001</v>
      </c>
      <c r="Z211" s="29" t="s">
        <v>51</v>
      </c>
      <c r="AA211">
        <v>12.395665222721901</v>
      </c>
    </row>
    <row r="212" spans="1:27" x14ac:dyDescent="0.25">
      <c r="A212" s="28"/>
      <c r="B212" s="1"/>
      <c r="C212" s="9">
        <v>42090</v>
      </c>
      <c r="D212">
        <v>11.5</v>
      </c>
      <c r="E212">
        <v>8.1999999999999993</v>
      </c>
      <c r="F212">
        <v>14.2</v>
      </c>
      <c r="G212">
        <f t="shared" si="35"/>
        <v>2311.3999999999992</v>
      </c>
      <c r="H212">
        <f t="shared" si="30"/>
        <v>20.100000000000001</v>
      </c>
      <c r="I212">
        <f>MIN(E211:E231)</f>
        <v>1</v>
      </c>
      <c r="J212">
        <v>4.7</v>
      </c>
      <c r="K212">
        <f t="shared" si="36"/>
        <v>346.4</v>
      </c>
      <c r="L212">
        <v>2.9</v>
      </c>
      <c r="M212">
        <f t="shared" si="37"/>
        <v>340.49999999999977</v>
      </c>
      <c r="N212">
        <v>1.8000000000000003</v>
      </c>
      <c r="O212">
        <f t="shared" si="32"/>
        <v>106.90000000000002</v>
      </c>
      <c r="P212" s="5">
        <v>207</v>
      </c>
      <c r="Q212" s="6">
        <v>1.1499999999999999</v>
      </c>
      <c r="R212" s="11">
        <f t="shared" si="33"/>
        <v>3.3349999999999995</v>
      </c>
      <c r="S212" s="11">
        <f t="shared" si="34"/>
        <v>1.3650000000000007</v>
      </c>
      <c r="T212" s="14">
        <f t="shared" si="28"/>
        <v>103.00575000000001</v>
      </c>
      <c r="U212">
        <v>19</v>
      </c>
      <c r="V212">
        <v>1661.8</v>
      </c>
      <c r="X212">
        <f t="shared" si="38"/>
        <v>177825.9</v>
      </c>
      <c r="Y212">
        <f t="shared" si="31"/>
        <v>2908.7</v>
      </c>
      <c r="Z212">
        <v>38607.899999999994</v>
      </c>
      <c r="AA212">
        <v>12.446018502784201</v>
      </c>
    </row>
    <row r="213" spans="1:27" x14ac:dyDescent="0.25">
      <c r="A213" s="28"/>
      <c r="B213" s="1"/>
      <c r="C213" s="9">
        <v>42091</v>
      </c>
      <c r="D213">
        <v>12.2</v>
      </c>
      <c r="E213">
        <v>10.5</v>
      </c>
      <c r="F213">
        <v>14.5</v>
      </c>
      <c r="G213">
        <f t="shared" si="35"/>
        <v>2323.599999999999</v>
      </c>
      <c r="H213">
        <f t="shared" si="30"/>
        <v>32.299999999999997</v>
      </c>
      <c r="I213" s="29" t="s">
        <v>42</v>
      </c>
      <c r="J213">
        <v>1.5</v>
      </c>
      <c r="K213">
        <f t="shared" si="36"/>
        <v>347.9</v>
      </c>
      <c r="L213">
        <v>2.2999999999999998</v>
      </c>
      <c r="M213">
        <f t="shared" si="37"/>
        <v>342.79999999999978</v>
      </c>
      <c r="N213">
        <v>-0.79999999999999982</v>
      </c>
      <c r="O213">
        <f t="shared" si="32"/>
        <v>106.10000000000002</v>
      </c>
      <c r="P213" s="5">
        <v>208</v>
      </c>
      <c r="Q213" s="6">
        <v>1.1499999999999999</v>
      </c>
      <c r="R213" s="11">
        <f t="shared" si="33"/>
        <v>2.6449999999999996</v>
      </c>
      <c r="S213" s="11">
        <f t="shared" si="34"/>
        <v>-1.1449999999999996</v>
      </c>
      <c r="T213" s="14">
        <f t="shared" si="28"/>
        <v>101.86075000000001</v>
      </c>
      <c r="U213" s="29" t="s">
        <v>48</v>
      </c>
      <c r="V213">
        <v>1402.6</v>
      </c>
      <c r="X213">
        <f t="shared" si="38"/>
        <v>179228.5</v>
      </c>
      <c r="Y213">
        <f t="shared" si="31"/>
        <v>4311.2999999999993</v>
      </c>
      <c r="Z213" s="29" t="s">
        <v>54</v>
      </c>
      <c r="AA213">
        <v>12.4963234062244</v>
      </c>
    </row>
    <row r="214" spans="1:27" x14ac:dyDescent="0.25">
      <c r="A214" s="28"/>
      <c r="B214" s="1"/>
      <c r="C214" s="9">
        <v>42092</v>
      </c>
      <c r="D214">
        <v>12.5</v>
      </c>
      <c r="E214">
        <v>10.9</v>
      </c>
      <c r="F214">
        <v>14.2</v>
      </c>
      <c r="G214">
        <f t="shared" si="35"/>
        <v>2336.099999999999</v>
      </c>
      <c r="H214">
        <f t="shared" si="30"/>
        <v>44.8</v>
      </c>
      <c r="I214">
        <f>MAX(F211:F231)</f>
        <v>26.4</v>
      </c>
      <c r="J214">
        <v>0.6</v>
      </c>
      <c r="K214">
        <f t="shared" si="36"/>
        <v>348.5</v>
      </c>
      <c r="L214">
        <v>2.5</v>
      </c>
      <c r="M214">
        <f t="shared" si="37"/>
        <v>345.29999999999978</v>
      </c>
      <c r="N214">
        <v>-1.9</v>
      </c>
      <c r="O214">
        <f t="shared" si="32"/>
        <v>104.20000000000002</v>
      </c>
      <c r="P214" s="5">
        <v>209</v>
      </c>
      <c r="Q214" s="6">
        <v>1.1499999999999999</v>
      </c>
      <c r="R214" s="11">
        <f t="shared" si="33"/>
        <v>2.875</v>
      </c>
      <c r="S214" s="11">
        <f t="shared" si="34"/>
        <v>-2.2749999999999999</v>
      </c>
      <c r="T214" s="14">
        <f t="shared" si="28"/>
        <v>99.585750000000004</v>
      </c>
      <c r="U214">
        <v>0</v>
      </c>
      <c r="V214">
        <v>1197.2</v>
      </c>
      <c r="X214">
        <f t="shared" si="38"/>
        <v>180425.7</v>
      </c>
      <c r="Y214">
        <f t="shared" si="31"/>
        <v>5508.4999999999991</v>
      </c>
      <c r="Z214" s="15">
        <f>(Z212/100)/I224</f>
        <v>1.45855307895731</v>
      </c>
      <c r="AA214">
        <v>12.546573924140199</v>
      </c>
    </row>
    <row r="215" spans="1:27" x14ac:dyDescent="0.25">
      <c r="A215" s="28"/>
      <c r="B215" s="1"/>
      <c r="C215" s="9">
        <v>42093</v>
      </c>
      <c r="D215">
        <v>12.7</v>
      </c>
      <c r="E215">
        <v>11.7</v>
      </c>
      <c r="F215">
        <v>14</v>
      </c>
      <c r="G215">
        <f t="shared" si="35"/>
        <v>2348.7999999999988</v>
      </c>
      <c r="H215">
        <f t="shared" si="30"/>
        <v>57.5</v>
      </c>
      <c r="I215" s="29" t="s">
        <v>43</v>
      </c>
      <c r="J215">
        <v>3</v>
      </c>
      <c r="K215">
        <f t="shared" si="36"/>
        <v>351.5</v>
      </c>
      <c r="L215">
        <v>2.1</v>
      </c>
      <c r="M215">
        <f t="shared" si="37"/>
        <v>347.39999999999981</v>
      </c>
      <c r="N215">
        <v>0.89999999999999991</v>
      </c>
      <c r="O215">
        <f t="shared" si="32"/>
        <v>105.10000000000002</v>
      </c>
      <c r="P215" s="5">
        <v>210</v>
      </c>
      <c r="Q215" s="6">
        <v>1.1499999999999999</v>
      </c>
      <c r="R215" s="11">
        <f t="shared" si="33"/>
        <v>2.415</v>
      </c>
      <c r="S215" s="11">
        <f t="shared" si="34"/>
        <v>0.58499999999999996</v>
      </c>
      <c r="T215" s="14">
        <f t="shared" ref="T215:T258" si="39">MIN(122.1,(T214+S215))</f>
        <v>100.17075</v>
      </c>
      <c r="U215" s="29" t="s">
        <v>49</v>
      </c>
      <c r="V215">
        <v>557.70000000000005</v>
      </c>
      <c r="X215">
        <f t="shared" si="38"/>
        <v>180983.40000000002</v>
      </c>
      <c r="Y215">
        <f t="shared" si="31"/>
        <v>6066.1999999999989</v>
      </c>
      <c r="Z215" s="29" t="s">
        <v>52</v>
      </c>
      <c r="AA215">
        <v>12.5967639741929</v>
      </c>
    </row>
    <row r="216" spans="1:27" x14ac:dyDescent="0.25">
      <c r="A216" s="28" t="s">
        <v>38</v>
      </c>
      <c r="B216" s="1"/>
      <c r="C216" s="9">
        <v>42094</v>
      </c>
      <c r="D216">
        <v>12.3</v>
      </c>
      <c r="E216">
        <v>11.7</v>
      </c>
      <c r="F216">
        <v>13.9</v>
      </c>
      <c r="G216">
        <f t="shared" si="35"/>
        <v>2361.099999999999</v>
      </c>
      <c r="H216">
        <f t="shared" si="30"/>
        <v>69.8</v>
      </c>
      <c r="I216" s="16">
        <f>AVERAGE(D211:D231)</f>
        <v>12.604761904761904</v>
      </c>
      <c r="J216">
        <v>0.9</v>
      </c>
      <c r="K216">
        <f t="shared" si="36"/>
        <v>352.4</v>
      </c>
      <c r="L216">
        <v>2.6</v>
      </c>
      <c r="M216">
        <f t="shared" si="37"/>
        <v>349.99999999999983</v>
      </c>
      <c r="N216">
        <v>-1.7000000000000002</v>
      </c>
      <c r="O216">
        <f t="shared" si="32"/>
        <v>103.40000000000002</v>
      </c>
      <c r="P216" s="5">
        <v>211</v>
      </c>
      <c r="Q216" s="6">
        <v>1.1499999999999999</v>
      </c>
      <c r="R216" s="11">
        <f t="shared" si="33"/>
        <v>2.9899999999999998</v>
      </c>
      <c r="S216" s="11">
        <f t="shared" si="34"/>
        <v>-2.09</v>
      </c>
      <c r="T216" s="14">
        <f t="shared" si="39"/>
        <v>98.080749999999995</v>
      </c>
      <c r="U216">
        <v>1</v>
      </c>
      <c r="V216">
        <v>1588.6</v>
      </c>
      <c r="X216">
        <f t="shared" si="38"/>
        <v>182572.00000000003</v>
      </c>
      <c r="Y216">
        <f t="shared" si="31"/>
        <v>7654.7999999999993</v>
      </c>
      <c r="Z216">
        <v>1</v>
      </c>
      <c r="AA216">
        <v>12.646887386812599</v>
      </c>
    </row>
    <row r="217" spans="1:27" x14ac:dyDescent="0.25">
      <c r="A217" s="28"/>
      <c r="B217" s="1"/>
      <c r="C217" s="9">
        <v>42095</v>
      </c>
      <c r="D217">
        <v>10.199999999999999</v>
      </c>
      <c r="E217">
        <v>7.8</v>
      </c>
      <c r="F217">
        <v>12.6</v>
      </c>
      <c r="G217">
        <f t="shared" si="35"/>
        <v>2371.2999999999988</v>
      </c>
      <c r="H217">
        <f t="shared" si="30"/>
        <v>80</v>
      </c>
      <c r="I217" s="29" t="s">
        <v>44</v>
      </c>
      <c r="J217">
        <v>0</v>
      </c>
      <c r="K217">
        <f t="shared" si="36"/>
        <v>352.4</v>
      </c>
      <c r="L217">
        <v>3</v>
      </c>
      <c r="M217">
        <f t="shared" si="37"/>
        <v>352.99999999999983</v>
      </c>
      <c r="N217">
        <v>-3</v>
      </c>
      <c r="O217">
        <f t="shared" si="32"/>
        <v>100.40000000000002</v>
      </c>
      <c r="P217" s="5">
        <v>212</v>
      </c>
      <c r="Q217" s="6">
        <v>1.1499999999999999</v>
      </c>
      <c r="R217" s="11">
        <f t="shared" si="33"/>
        <v>3.4499999999999997</v>
      </c>
      <c r="S217" s="11">
        <f t="shared" si="34"/>
        <v>-3.4499999999999997</v>
      </c>
      <c r="T217" s="14">
        <f t="shared" si="39"/>
        <v>94.630749999999992</v>
      </c>
      <c r="U217" s="29" t="s">
        <v>30</v>
      </c>
      <c r="V217">
        <v>1736.8</v>
      </c>
      <c r="X217">
        <f t="shared" si="38"/>
        <v>184308.80000000002</v>
      </c>
      <c r="Y217">
        <f t="shared" si="31"/>
        <v>9391.5999999999985</v>
      </c>
      <c r="AA217">
        <v>12.6969378915059</v>
      </c>
    </row>
    <row r="218" spans="1:27" x14ac:dyDescent="0.25">
      <c r="A218" s="28"/>
      <c r="B218" s="1"/>
      <c r="C218" s="9">
        <v>42096</v>
      </c>
      <c r="D218">
        <v>10.4</v>
      </c>
      <c r="E218">
        <v>4.5999999999999996</v>
      </c>
      <c r="F218">
        <v>14.4</v>
      </c>
      <c r="G218">
        <f t="shared" si="35"/>
        <v>2381.6999999999989</v>
      </c>
      <c r="H218">
        <f t="shared" si="30"/>
        <v>90.4</v>
      </c>
      <c r="I218">
        <v>0</v>
      </c>
      <c r="J218">
        <v>0</v>
      </c>
      <c r="K218">
        <f t="shared" si="36"/>
        <v>352.4</v>
      </c>
      <c r="L218">
        <v>2.2999999999999998</v>
      </c>
      <c r="M218">
        <f t="shared" si="37"/>
        <v>355.29999999999984</v>
      </c>
      <c r="N218">
        <v>-2.2999999999999998</v>
      </c>
      <c r="O218">
        <f t="shared" si="32"/>
        <v>98.100000000000023</v>
      </c>
      <c r="P218" s="5">
        <v>213</v>
      </c>
      <c r="Q218" s="6">
        <v>1.1499999999999999</v>
      </c>
      <c r="R218" s="11">
        <f t="shared" si="33"/>
        <v>2.6449999999999996</v>
      </c>
      <c r="S218" s="11">
        <f t="shared" si="34"/>
        <v>-2.6449999999999996</v>
      </c>
      <c r="T218" s="14">
        <f t="shared" si="39"/>
        <v>91.985749999999996</v>
      </c>
      <c r="U218" s="16">
        <f>MIN(T211:T231)</f>
        <v>35.870750000000001</v>
      </c>
      <c r="V218">
        <v>1540.6</v>
      </c>
      <c r="X218">
        <f t="shared" si="38"/>
        <v>185849.40000000002</v>
      </c>
      <c r="Y218">
        <f t="shared" si="31"/>
        <v>10932.199999999999</v>
      </c>
      <c r="AA218">
        <v>12.7469091032715</v>
      </c>
    </row>
    <row r="219" spans="1:27" x14ac:dyDescent="0.25">
      <c r="A219" s="28"/>
      <c r="B219" s="1"/>
      <c r="C219" s="9">
        <v>42097</v>
      </c>
      <c r="D219">
        <v>12.5</v>
      </c>
      <c r="E219">
        <v>9</v>
      </c>
      <c r="F219">
        <v>16.5</v>
      </c>
      <c r="G219">
        <f t="shared" si="35"/>
        <v>2394.1999999999989</v>
      </c>
      <c r="H219">
        <f t="shared" si="30"/>
        <v>102.9</v>
      </c>
      <c r="I219" s="29" t="s">
        <v>45</v>
      </c>
      <c r="J219">
        <v>0.7</v>
      </c>
      <c r="K219">
        <f t="shared" si="36"/>
        <v>353.09999999999997</v>
      </c>
      <c r="L219">
        <v>2.5</v>
      </c>
      <c r="M219">
        <f t="shared" si="37"/>
        <v>357.79999999999984</v>
      </c>
      <c r="N219">
        <v>-1.8</v>
      </c>
      <c r="O219">
        <f t="shared" si="32"/>
        <v>96.300000000000026</v>
      </c>
      <c r="P219" s="5">
        <v>214</v>
      </c>
      <c r="Q219" s="6">
        <v>1.1499999999999999</v>
      </c>
      <c r="R219" s="11">
        <f t="shared" si="33"/>
        <v>2.875</v>
      </c>
      <c r="S219" s="11">
        <f t="shared" si="34"/>
        <v>-2.1749999999999998</v>
      </c>
      <c r="T219" s="14">
        <f t="shared" si="39"/>
        <v>89.810749999999999</v>
      </c>
      <c r="U219" s="29" t="s">
        <v>31</v>
      </c>
      <c r="V219">
        <v>1558.9</v>
      </c>
      <c r="X219">
        <f t="shared" si="38"/>
        <v>187408.30000000002</v>
      </c>
      <c r="Y219">
        <f t="shared" si="31"/>
        <v>12491.099999999999</v>
      </c>
      <c r="AA219">
        <v>12.7967945091298</v>
      </c>
    </row>
    <row r="220" spans="1:27" x14ac:dyDescent="0.25">
      <c r="A220" s="28"/>
      <c r="B220" s="1"/>
      <c r="C220" s="9">
        <v>42098</v>
      </c>
      <c r="D220">
        <v>10.7</v>
      </c>
      <c r="E220">
        <v>8.1</v>
      </c>
      <c r="F220">
        <v>13.1</v>
      </c>
      <c r="G220">
        <f t="shared" si="35"/>
        <v>2404.8999999999987</v>
      </c>
      <c r="H220">
        <f t="shared" si="30"/>
        <v>113.60000000000001</v>
      </c>
      <c r="I220">
        <v>1</v>
      </c>
      <c r="J220">
        <v>0.8</v>
      </c>
      <c r="K220">
        <f t="shared" si="36"/>
        <v>353.9</v>
      </c>
      <c r="L220">
        <v>2.5</v>
      </c>
      <c r="M220">
        <f t="shared" si="37"/>
        <v>360.29999999999984</v>
      </c>
      <c r="N220">
        <v>-1.7</v>
      </c>
      <c r="O220">
        <f t="shared" si="32"/>
        <v>94.600000000000023</v>
      </c>
      <c r="P220" s="5">
        <v>215</v>
      </c>
      <c r="Q220" s="6">
        <v>1.1499999999999999</v>
      </c>
      <c r="R220" s="11">
        <f t="shared" si="33"/>
        <v>2.875</v>
      </c>
      <c r="S220" s="11">
        <f t="shared" si="34"/>
        <v>-2.0750000000000002</v>
      </c>
      <c r="T220" s="14">
        <f t="shared" si="39"/>
        <v>87.735749999999996</v>
      </c>
      <c r="U220" s="16">
        <f>MAX(T211:T231)</f>
        <v>103.00575000000001</v>
      </c>
      <c r="V220">
        <v>1725.9</v>
      </c>
      <c r="X220">
        <f t="shared" si="38"/>
        <v>189134.2</v>
      </c>
      <c r="Y220">
        <f t="shared" si="31"/>
        <v>14216.999999999998</v>
      </c>
      <c r="AA220">
        <v>12.8465874547739</v>
      </c>
    </row>
    <row r="221" spans="1:27" x14ac:dyDescent="0.25">
      <c r="A221" s="28"/>
      <c r="B221" s="1"/>
      <c r="C221" s="9">
        <v>42099</v>
      </c>
      <c r="D221">
        <v>9.6999999999999993</v>
      </c>
      <c r="E221">
        <v>5.8</v>
      </c>
      <c r="F221">
        <v>13.3</v>
      </c>
      <c r="G221">
        <f t="shared" si="35"/>
        <v>2414.5999999999985</v>
      </c>
      <c r="H221">
        <f t="shared" si="30"/>
        <v>123.30000000000001</v>
      </c>
      <c r="I221" s="29" t="s">
        <v>46</v>
      </c>
      <c r="J221">
        <v>0</v>
      </c>
      <c r="K221">
        <f t="shared" si="36"/>
        <v>353.9</v>
      </c>
      <c r="L221">
        <v>3.3</v>
      </c>
      <c r="M221">
        <f t="shared" si="37"/>
        <v>363.59999999999985</v>
      </c>
      <c r="N221">
        <v>-3.3</v>
      </c>
      <c r="O221">
        <f t="shared" si="32"/>
        <v>91.300000000000026</v>
      </c>
      <c r="P221" s="5">
        <v>216</v>
      </c>
      <c r="Q221" s="6">
        <v>1.1499999999999999</v>
      </c>
      <c r="R221" s="11">
        <f t="shared" si="33"/>
        <v>3.7949999999999995</v>
      </c>
      <c r="S221" s="11">
        <f t="shared" si="34"/>
        <v>-3.7949999999999995</v>
      </c>
      <c r="T221" s="14">
        <f t="shared" si="39"/>
        <v>83.940749999999994</v>
      </c>
      <c r="U221" s="29" t="s">
        <v>32</v>
      </c>
      <c r="V221">
        <v>2327.9</v>
      </c>
      <c r="X221">
        <f t="shared" si="38"/>
        <v>191462.1</v>
      </c>
      <c r="Y221">
        <f t="shared" si="31"/>
        <v>16544.899999999998</v>
      </c>
      <c r="AA221">
        <v>12.896281131349699</v>
      </c>
    </row>
    <row r="222" spans="1:27" x14ac:dyDescent="0.25">
      <c r="A222" s="28"/>
      <c r="B222" s="1"/>
      <c r="C222" s="9">
        <v>42100</v>
      </c>
      <c r="D222">
        <v>9.6999999999999993</v>
      </c>
      <c r="E222">
        <v>1</v>
      </c>
      <c r="F222">
        <v>17.100000000000001</v>
      </c>
      <c r="G222">
        <f t="shared" si="35"/>
        <v>2424.2999999999984</v>
      </c>
      <c r="H222">
        <f t="shared" si="30"/>
        <v>133</v>
      </c>
      <c r="I222">
        <v>5</v>
      </c>
      <c r="J222">
        <v>0</v>
      </c>
      <c r="K222">
        <f t="shared" si="36"/>
        <v>353.9</v>
      </c>
      <c r="L222">
        <v>3.7</v>
      </c>
      <c r="M222">
        <f t="shared" si="37"/>
        <v>367.29999999999984</v>
      </c>
      <c r="N222">
        <v>-3.7</v>
      </c>
      <c r="O222">
        <f t="shared" si="32"/>
        <v>87.600000000000023</v>
      </c>
      <c r="P222" s="5">
        <v>217</v>
      </c>
      <c r="Q222" s="6">
        <v>1.1499999999999999</v>
      </c>
      <c r="R222" s="11">
        <f t="shared" si="33"/>
        <v>4.2549999999999999</v>
      </c>
      <c r="S222" s="11">
        <f t="shared" si="34"/>
        <v>-4.2549999999999999</v>
      </c>
      <c r="T222" s="14">
        <f t="shared" si="39"/>
        <v>79.685749999999999</v>
      </c>
      <c r="U222" s="15">
        <f>AVERAGE(T211:T231)</f>
        <v>78.500749999999982</v>
      </c>
      <c r="V222">
        <v>2498</v>
      </c>
      <c r="X222">
        <f t="shared" si="38"/>
        <v>193960.1</v>
      </c>
      <c r="Y222">
        <f t="shared" si="31"/>
        <v>19042.899999999998</v>
      </c>
      <c r="AA222">
        <v>12.9458685623751</v>
      </c>
    </row>
    <row r="223" spans="1:27" x14ac:dyDescent="0.25">
      <c r="A223" s="28"/>
      <c r="B223" s="1"/>
      <c r="C223" s="9">
        <v>42101</v>
      </c>
      <c r="D223">
        <v>11</v>
      </c>
      <c r="E223">
        <v>4.0999999999999996</v>
      </c>
      <c r="F223">
        <v>16.600000000000001</v>
      </c>
      <c r="G223">
        <f t="shared" si="35"/>
        <v>2435.2999999999984</v>
      </c>
      <c r="H223">
        <f t="shared" si="30"/>
        <v>144</v>
      </c>
      <c r="I223" s="29" t="s">
        <v>47</v>
      </c>
      <c r="J223">
        <v>0</v>
      </c>
      <c r="K223">
        <f t="shared" si="36"/>
        <v>353.9</v>
      </c>
      <c r="L223">
        <v>4.2</v>
      </c>
      <c r="M223">
        <f t="shared" si="37"/>
        <v>371.49999999999983</v>
      </c>
      <c r="N223">
        <v>-4.2</v>
      </c>
      <c r="O223">
        <f t="shared" si="32"/>
        <v>83.40000000000002</v>
      </c>
      <c r="P223" s="5">
        <v>218</v>
      </c>
      <c r="Q223" s="6">
        <v>1.1499999999999999</v>
      </c>
      <c r="R223" s="11">
        <f t="shared" si="33"/>
        <v>4.83</v>
      </c>
      <c r="S223" s="11">
        <f t="shared" si="34"/>
        <v>-4.83</v>
      </c>
      <c r="T223" s="14">
        <f t="shared" si="39"/>
        <v>74.85575</v>
      </c>
      <c r="V223">
        <v>2536.8000000000002</v>
      </c>
      <c r="X223">
        <f t="shared" si="38"/>
        <v>196496.9</v>
      </c>
      <c r="Y223">
        <f t="shared" si="31"/>
        <v>21579.699999999997</v>
      </c>
      <c r="AA223">
        <v>12.9953425908089</v>
      </c>
    </row>
    <row r="224" spans="1:27" x14ac:dyDescent="0.25">
      <c r="A224" s="28"/>
      <c r="B224" s="1"/>
      <c r="C224" s="9">
        <v>42102</v>
      </c>
      <c r="D224">
        <v>11.6</v>
      </c>
      <c r="E224">
        <v>3.1</v>
      </c>
      <c r="F224">
        <v>17.8</v>
      </c>
      <c r="G224">
        <f t="shared" si="35"/>
        <v>2446.8999999999983</v>
      </c>
      <c r="H224">
        <f t="shared" si="30"/>
        <v>155.6</v>
      </c>
      <c r="I224">
        <v>264.7</v>
      </c>
      <c r="J224">
        <v>0</v>
      </c>
      <c r="K224">
        <f t="shared" si="36"/>
        <v>353.9</v>
      </c>
      <c r="L224">
        <v>3.8</v>
      </c>
      <c r="M224">
        <f t="shared" si="37"/>
        <v>375.29999999999984</v>
      </c>
      <c r="N224">
        <v>-3.8</v>
      </c>
      <c r="O224">
        <f t="shared" si="32"/>
        <v>79.600000000000023</v>
      </c>
      <c r="P224" s="5">
        <v>219</v>
      </c>
      <c r="Q224" s="6">
        <v>1.1499999999999999</v>
      </c>
      <c r="R224" s="11">
        <f t="shared" si="33"/>
        <v>4.3699999999999992</v>
      </c>
      <c r="S224" s="11">
        <f t="shared" si="34"/>
        <v>-4.3699999999999992</v>
      </c>
      <c r="T224" s="14">
        <f t="shared" si="39"/>
        <v>70.485749999999996</v>
      </c>
      <c r="U224">
        <f>(U222*100)/122.1</f>
        <v>64.292178542178533</v>
      </c>
      <c r="V224">
        <v>2423.5</v>
      </c>
      <c r="X224">
        <f t="shared" si="38"/>
        <v>198920.4</v>
      </c>
      <c r="Y224">
        <f t="shared" si="31"/>
        <v>24003.199999999997</v>
      </c>
      <c r="AA224">
        <v>13.044695866283099</v>
      </c>
    </row>
    <row r="225" spans="1:27" x14ac:dyDescent="0.25">
      <c r="A225" s="28"/>
      <c r="B225" s="1"/>
      <c r="C225" s="9">
        <v>42103</v>
      </c>
      <c r="D225">
        <v>12.6</v>
      </c>
      <c r="E225">
        <v>6.6</v>
      </c>
      <c r="F225">
        <v>18.3</v>
      </c>
      <c r="G225">
        <f t="shared" si="35"/>
        <v>2459.4999999999982</v>
      </c>
      <c r="H225">
        <f t="shared" si="30"/>
        <v>168.2</v>
      </c>
      <c r="J225">
        <v>0</v>
      </c>
      <c r="K225">
        <f t="shared" si="36"/>
        <v>353.9</v>
      </c>
      <c r="L225">
        <v>4.0999999999999996</v>
      </c>
      <c r="M225">
        <f t="shared" si="37"/>
        <v>379.39999999999986</v>
      </c>
      <c r="N225">
        <v>-4.0999999999999996</v>
      </c>
      <c r="O225">
        <f t="shared" si="32"/>
        <v>75.500000000000028</v>
      </c>
      <c r="P225" s="5">
        <v>220</v>
      </c>
      <c r="Q225" s="6">
        <v>1.1499999999999999</v>
      </c>
      <c r="R225" s="11">
        <f t="shared" si="33"/>
        <v>4.714999999999999</v>
      </c>
      <c r="S225" s="11">
        <f t="shared" si="34"/>
        <v>-4.714999999999999</v>
      </c>
      <c r="T225" s="14">
        <f t="shared" si="39"/>
        <v>65.770749999999992</v>
      </c>
      <c r="V225">
        <v>2298.1</v>
      </c>
      <c r="X225">
        <f t="shared" si="38"/>
        <v>201218.5</v>
      </c>
      <c r="Y225">
        <f t="shared" si="31"/>
        <v>26301.299999999996</v>
      </c>
      <c r="AA225">
        <v>13.0939208325112</v>
      </c>
    </row>
    <row r="226" spans="1:27" x14ac:dyDescent="0.25">
      <c r="A226" s="28"/>
      <c r="B226" s="1"/>
      <c r="C226" s="9">
        <v>42104</v>
      </c>
      <c r="D226">
        <v>13.5</v>
      </c>
      <c r="E226">
        <v>9.6</v>
      </c>
      <c r="F226">
        <v>17.2</v>
      </c>
      <c r="G226">
        <f t="shared" si="35"/>
        <v>2472.9999999999982</v>
      </c>
      <c r="H226">
        <f t="shared" si="30"/>
        <v>181.7</v>
      </c>
      <c r="J226">
        <v>0</v>
      </c>
      <c r="K226">
        <f t="shared" si="36"/>
        <v>353.9</v>
      </c>
      <c r="L226">
        <v>2.5</v>
      </c>
      <c r="M226">
        <f t="shared" si="37"/>
        <v>381.89999999999986</v>
      </c>
      <c r="N226">
        <v>-2.5</v>
      </c>
      <c r="O226">
        <f t="shared" si="32"/>
        <v>73.000000000000028</v>
      </c>
      <c r="P226" s="5">
        <v>221</v>
      </c>
      <c r="Q226" s="6">
        <v>1.1499999999999999</v>
      </c>
      <c r="R226" s="11">
        <f t="shared" si="33"/>
        <v>2.875</v>
      </c>
      <c r="S226" s="11">
        <f t="shared" si="34"/>
        <v>-2.875</v>
      </c>
      <c r="T226" s="14">
        <f t="shared" si="39"/>
        <v>62.895749999999992</v>
      </c>
      <c r="V226">
        <v>1191.5999999999999</v>
      </c>
      <c r="X226">
        <f t="shared" si="38"/>
        <v>202410.1</v>
      </c>
      <c r="Y226">
        <f t="shared" si="31"/>
        <v>27492.899999999994</v>
      </c>
      <c r="AA226">
        <v>13.143009714889599</v>
      </c>
    </row>
    <row r="227" spans="1:27" x14ac:dyDescent="0.25">
      <c r="A227" s="28"/>
      <c r="B227" s="1"/>
      <c r="C227" s="9">
        <v>42105</v>
      </c>
      <c r="D227">
        <v>14</v>
      </c>
      <c r="E227">
        <v>9.6</v>
      </c>
      <c r="F227">
        <v>17.8</v>
      </c>
      <c r="G227">
        <f t="shared" si="35"/>
        <v>2486.9999999999982</v>
      </c>
      <c r="H227">
        <f t="shared" si="30"/>
        <v>195.7</v>
      </c>
      <c r="J227">
        <v>0</v>
      </c>
      <c r="K227">
        <f t="shared" si="36"/>
        <v>353.9</v>
      </c>
      <c r="L227">
        <v>2.8</v>
      </c>
      <c r="M227">
        <f t="shared" si="37"/>
        <v>384.69999999999987</v>
      </c>
      <c r="N227">
        <v>-2.8</v>
      </c>
      <c r="O227">
        <f t="shared" si="32"/>
        <v>70.200000000000031</v>
      </c>
      <c r="P227" s="5">
        <v>222</v>
      </c>
      <c r="Q227" s="6">
        <v>1.1499999999999999</v>
      </c>
      <c r="R227" s="11">
        <f t="shared" si="33"/>
        <v>3.2199999999999998</v>
      </c>
      <c r="S227" s="11">
        <f t="shared" si="34"/>
        <v>-3.2199999999999998</v>
      </c>
      <c r="T227" s="14">
        <f t="shared" si="39"/>
        <v>59.675749999999994</v>
      </c>
      <c r="V227">
        <v>1904.3</v>
      </c>
      <c r="X227">
        <f t="shared" si="38"/>
        <v>204314.4</v>
      </c>
      <c r="Y227">
        <f t="shared" si="31"/>
        <v>29397.199999999993</v>
      </c>
      <c r="AA227">
        <v>13.1919545083099</v>
      </c>
    </row>
    <row r="228" spans="1:27" x14ac:dyDescent="0.25">
      <c r="A228" s="28"/>
      <c r="B228" s="1"/>
      <c r="C228" s="9">
        <v>42106</v>
      </c>
      <c r="D228">
        <v>15.9</v>
      </c>
      <c r="E228">
        <v>8</v>
      </c>
      <c r="F228">
        <v>21.6</v>
      </c>
      <c r="G228">
        <f t="shared" si="35"/>
        <v>2502.8999999999983</v>
      </c>
      <c r="H228">
        <f t="shared" si="30"/>
        <v>211.6</v>
      </c>
      <c r="J228">
        <v>0</v>
      </c>
      <c r="K228">
        <f t="shared" si="36"/>
        <v>353.9</v>
      </c>
      <c r="L228">
        <v>4</v>
      </c>
      <c r="M228">
        <f t="shared" si="37"/>
        <v>388.69999999999987</v>
      </c>
      <c r="N228">
        <v>-4</v>
      </c>
      <c r="O228">
        <f t="shared" si="32"/>
        <v>66.200000000000031</v>
      </c>
      <c r="P228" s="5">
        <v>223</v>
      </c>
      <c r="Q228" s="6">
        <v>1.1499999999999999</v>
      </c>
      <c r="R228" s="11">
        <f t="shared" si="33"/>
        <v>4.5999999999999996</v>
      </c>
      <c r="S228" s="11">
        <f t="shared" si="34"/>
        <v>-4.5999999999999996</v>
      </c>
      <c r="T228" s="14">
        <f t="shared" si="39"/>
        <v>55.075749999999992</v>
      </c>
      <c r="V228">
        <v>2175.8000000000002</v>
      </c>
      <c r="X228">
        <f t="shared" si="38"/>
        <v>206490.19999999998</v>
      </c>
      <c r="Y228">
        <f t="shared" si="31"/>
        <v>31572.999999999993</v>
      </c>
      <c r="AA228">
        <v>13.2407469652017</v>
      </c>
    </row>
    <row r="229" spans="1:27" x14ac:dyDescent="0.25">
      <c r="A229" s="28"/>
      <c r="B229" s="1"/>
      <c r="C229" s="9">
        <v>42107</v>
      </c>
      <c r="D229">
        <v>17.8</v>
      </c>
      <c r="E229">
        <v>9.6</v>
      </c>
      <c r="F229">
        <v>24.6</v>
      </c>
      <c r="G229">
        <f t="shared" si="35"/>
        <v>2520.6999999999985</v>
      </c>
      <c r="H229">
        <f t="shared" si="30"/>
        <v>229.4</v>
      </c>
      <c r="J229">
        <v>0</v>
      </c>
      <c r="K229">
        <f t="shared" si="36"/>
        <v>353.9</v>
      </c>
      <c r="L229">
        <v>5.2</v>
      </c>
      <c r="M229">
        <f t="shared" si="37"/>
        <v>393.89999999999986</v>
      </c>
      <c r="N229">
        <v>-5.2</v>
      </c>
      <c r="O229">
        <f t="shared" si="32"/>
        <v>61.000000000000028</v>
      </c>
      <c r="P229" s="5">
        <v>224</v>
      </c>
      <c r="Q229" s="6">
        <v>1.1499999999999999</v>
      </c>
      <c r="R229" s="11">
        <f t="shared" si="33"/>
        <v>5.9799999999999995</v>
      </c>
      <c r="S229" s="11">
        <f t="shared" si="34"/>
        <v>-5.9799999999999995</v>
      </c>
      <c r="T229" s="14">
        <f t="shared" si="39"/>
        <v>49.095749999999995</v>
      </c>
      <c r="V229">
        <v>2491.9</v>
      </c>
      <c r="X229">
        <f t="shared" si="38"/>
        <v>208982.09999999998</v>
      </c>
      <c r="Y229">
        <f t="shared" si="31"/>
        <v>34064.899999999994</v>
      </c>
      <c r="AA229">
        <v>13.289378583827499</v>
      </c>
    </row>
    <row r="230" spans="1:27" x14ac:dyDescent="0.25">
      <c r="A230" s="28"/>
      <c r="B230" s="1"/>
      <c r="C230" s="9">
        <v>42108</v>
      </c>
      <c r="D230">
        <v>18.2</v>
      </c>
      <c r="E230">
        <v>8.1</v>
      </c>
      <c r="F230">
        <v>26.4</v>
      </c>
      <c r="G230">
        <f t="shared" si="35"/>
        <v>2538.8999999999983</v>
      </c>
      <c r="H230">
        <f t="shared" si="30"/>
        <v>247.6</v>
      </c>
      <c r="J230">
        <v>0</v>
      </c>
      <c r="K230">
        <f t="shared" si="36"/>
        <v>353.9</v>
      </c>
      <c r="L230">
        <v>5.6</v>
      </c>
      <c r="M230">
        <f t="shared" si="37"/>
        <v>399.49999999999989</v>
      </c>
      <c r="N230">
        <v>-5.6</v>
      </c>
      <c r="O230">
        <f t="shared" si="32"/>
        <v>55.400000000000027</v>
      </c>
      <c r="P230" s="5">
        <v>225</v>
      </c>
      <c r="Q230" s="6">
        <v>1.1499999999999999</v>
      </c>
      <c r="R230" s="11">
        <f t="shared" si="33"/>
        <v>6.4399999999999995</v>
      </c>
      <c r="S230" s="11">
        <f t="shared" si="34"/>
        <v>-6.4399999999999995</v>
      </c>
      <c r="T230" s="14">
        <f t="shared" si="39"/>
        <v>42.655749999999998</v>
      </c>
      <c r="V230">
        <v>2494</v>
      </c>
      <c r="X230">
        <f t="shared" si="38"/>
        <v>211476.09999999998</v>
      </c>
      <c r="Y230">
        <f t="shared" si="31"/>
        <v>36558.899999999994</v>
      </c>
      <c r="AA230">
        <v>13.3378405968548</v>
      </c>
    </row>
    <row r="231" spans="1:27" s="51" customFormat="1" ht="15.75" thickBot="1" x14ac:dyDescent="0.3">
      <c r="A231" s="62" t="s">
        <v>39</v>
      </c>
      <c r="B231" s="63"/>
      <c r="C231" s="50">
        <v>42109</v>
      </c>
      <c r="D231" s="51">
        <v>17.100000000000001</v>
      </c>
      <c r="E231" s="51">
        <v>11.8</v>
      </c>
      <c r="F231" s="51">
        <v>23.1</v>
      </c>
      <c r="G231" s="51">
        <f t="shared" si="35"/>
        <v>2555.9999999999982</v>
      </c>
      <c r="H231" s="51">
        <f t="shared" si="30"/>
        <v>264.7</v>
      </c>
      <c r="J231" s="51">
        <v>0</v>
      </c>
      <c r="K231" s="51">
        <f t="shared" si="36"/>
        <v>353.9</v>
      </c>
      <c r="L231" s="51">
        <v>5.9</v>
      </c>
      <c r="M231" s="51">
        <f t="shared" si="37"/>
        <v>405.39999999999986</v>
      </c>
      <c r="N231" s="51">
        <v>-5.9</v>
      </c>
      <c r="O231" s="51">
        <f t="shared" si="32"/>
        <v>49.500000000000028</v>
      </c>
      <c r="P231" s="53">
        <v>226</v>
      </c>
      <c r="Q231" s="51">
        <v>1.1499999999999999</v>
      </c>
      <c r="R231" s="55">
        <f t="shared" si="33"/>
        <v>6.7850000000000001</v>
      </c>
      <c r="S231" s="55">
        <f t="shared" si="34"/>
        <v>-6.7850000000000001</v>
      </c>
      <c r="T231" s="56">
        <f t="shared" si="39"/>
        <v>35.870750000000001</v>
      </c>
      <c r="V231" s="51">
        <v>2049</v>
      </c>
      <c r="X231" s="51">
        <f t="shared" si="38"/>
        <v>213525.09999999998</v>
      </c>
      <c r="Y231" s="54">
        <f t="shared" si="31"/>
        <v>38607.899999999994</v>
      </c>
      <c r="AA231" s="51">
        <v>13.386123960230501</v>
      </c>
    </row>
    <row r="232" spans="1:27" x14ac:dyDescent="0.25">
      <c r="A232" s="77">
        <v>300</v>
      </c>
      <c r="B232" s="27"/>
      <c r="C232" s="9">
        <v>42110</v>
      </c>
      <c r="D232">
        <v>16.5</v>
      </c>
      <c r="E232">
        <v>13.2</v>
      </c>
      <c r="F232">
        <v>21.6</v>
      </c>
      <c r="G232">
        <f t="shared" si="35"/>
        <v>2572.4999999999982</v>
      </c>
      <c r="H232">
        <v>16.5</v>
      </c>
      <c r="I232" s="30" t="s">
        <v>41</v>
      </c>
      <c r="J232">
        <v>0.7</v>
      </c>
      <c r="K232">
        <f t="shared" si="36"/>
        <v>354.59999999999997</v>
      </c>
      <c r="L232">
        <v>2.7</v>
      </c>
      <c r="M232">
        <f t="shared" si="37"/>
        <v>408.09999999999985</v>
      </c>
      <c r="N232">
        <v>-2</v>
      </c>
      <c r="O232">
        <f t="shared" si="32"/>
        <v>47.500000000000028</v>
      </c>
      <c r="P232" s="5">
        <v>227</v>
      </c>
      <c r="Q232" s="6">
        <v>1.1499999999999999</v>
      </c>
      <c r="R232" s="11">
        <f t="shared" si="33"/>
        <v>3.105</v>
      </c>
      <c r="S232" s="11">
        <f t="shared" si="34"/>
        <v>-2.4050000000000002</v>
      </c>
      <c r="T232" s="14">
        <f t="shared" si="39"/>
        <v>33.46575</v>
      </c>
      <c r="U232" s="30" t="s">
        <v>28</v>
      </c>
      <c r="V232">
        <v>1182</v>
      </c>
      <c r="X232">
        <f t="shared" si="38"/>
        <v>214707.09999999998</v>
      </c>
      <c r="Y232">
        <v>1182</v>
      </c>
      <c r="Z232" s="30" t="s">
        <v>51</v>
      </c>
      <c r="AA232">
        <v>13.4342193423876</v>
      </c>
    </row>
    <row r="233" spans="1:27" x14ac:dyDescent="0.25">
      <c r="A233" s="77"/>
      <c r="B233" s="27"/>
      <c r="C233" s="9">
        <v>42111</v>
      </c>
      <c r="D233">
        <v>14.9</v>
      </c>
      <c r="E233">
        <v>12.9</v>
      </c>
      <c r="F233">
        <v>17.399999999999999</v>
      </c>
      <c r="G233">
        <f t="shared" si="35"/>
        <v>2587.3999999999983</v>
      </c>
      <c r="H233">
        <f t="shared" si="30"/>
        <v>31.4</v>
      </c>
      <c r="I233">
        <f>MIN(E232:E251)</f>
        <v>6.6</v>
      </c>
      <c r="J233">
        <v>0</v>
      </c>
      <c r="K233">
        <f t="shared" si="36"/>
        <v>354.59999999999997</v>
      </c>
      <c r="L233">
        <v>1.8</v>
      </c>
      <c r="M233">
        <f t="shared" si="37"/>
        <v>409.89999999999986</v>
      </c>
      <c r="N233">
        <v>-1.8</v>
      </c>
      <c r="O233">
        <f t="shared" si="32"/>
        <v>45.700000000000031</v>
      </c>
      <c r="P233" s="5">
        <v>228</v>
      </c>
      <c r="Q233" s="6">
        <v>1.1499999999999999</v>
      </c>
      <c r="R233" s="11">
        <f t="shared" si="33"/>
        <v>2.0699999999999998</v>
      </c>
      <c r="S233" s="11">
        <f t="shared" si="34"/>
        <v>-2.0699999999999998</v>
      </c>
      <c r="T233" s="14">
        <f t="shared" si="39"/>
        <v>31.39575</v>
      </c>
      <c r="U233">
        <v>15</v>
      </c>
      <c r="V233">
        <v>1063.7</v>
      </c>
      <c r="X233">
        <f t="shared" si="38"/>
        <v>215770.8</v>
      </c>
      <c r="Y233">
        <f t="shared" si="31"/>
        <v>2245.6999999999998</v>
      </c>
      <c r="Z233">
        <v>26176.099999999995</v>
      </c>
      <c r="AA233">
        <v>13.4821171138138</v>
      </c>
    </row>
    <row r="234" spans="1:27" x14ac:dyDescent="0.25">
      <c r="A234" s="77"/>
      <c r="B234" s="27"/>
      <c r="C234" s="9">
        <v>42112</v>
      </c>
      <c r="D234">
        <v>15.1</v>
      </c>
      <c r="E234">
        <v>8.9</v>
      </c>
      <c r="F234">
        <v>21.1</v>
      </c>
      <c r="G234">
        <f t="shared" si="35"/>
        <v>2602.4999999999982</v>
      </c>
      <c r="H234">
        <f t="shared" si="30"/>
        <v>46.5</v>
      </c>
      <c r="I234" s="30" t="s">
        <v>42</v>
      </c>
      <c r="J234">
        <v>21.3</v>
      </c>
      <c r="K234">
        <f t="shared" si="36"/>
        <v>375.9</v>
      </c>
      <c r="L234">
        <v>3.2</v>
      </c>
      <c r="M234">
        <f t="shared" si="37"/>
        <v>413.09999999999985</v>
      </c>
      <c r="N234">
        <v>18.100000000000001</v>
      </c>
      <c r="O234">
        <f t="shared" si="32"/>
        <v>63.800000000000033</v>
      </c>
      <c r="P234" s="5">
        <v>229</v>
      </c>
      <c r="Q234" s="6">
        <v>1.1499999999999999</v>
      </c>
      <c r="R234" s="11">
        <f t="shared" si="33"/>
        <v>3.6799999999999997</v>
      </c>
      <c r="S234" s="11">
        <f t="shared" si="34"/>
        <v>17.62</v>
      </c>
      <c r="T234" s="14">
        <f t="shared" si="39"/>
        <v>49.015749999999997</v>
      </c>
      <c r="U234" s="31" t="s">
        <v>48</v>
      </c>
      <c r="V234">
        <v>1669.3</v>
      </c>
      <c r="X234">
        <f t="shared" si="38"/>
        <v>217440.09999999998</v>
      </c>
      <c r="Y234">
        <f t="shared" si="31"/>
        <v>3915</v>
      </c>
      <c r="Z234" s="30" t="s">
        <v>29</v>
      </c>
      <c r="AA234">
        <v>13.529807337016999</v>
      </c>
    </row>
    <row r="235" spans="1:27" x14ac:dyDescent="0.25">
      <c r="A235" s="77"/>
      <c r="B235" s="27"/>
      <c r="C235" s="9">
        <v>42113</v>
      </c>
      <c r="D235">
        <v>12.5</v>
      </c>
      <c r="E235">
        <v>12.1</v>
      </c>
      <c r="F235">
        <v>13</v>
      </c>
      <c r="G235">
        <f t="shared" si="35"/>
        <v>2614.9999999999982</v>
      </c>
      <c r="H235">
        <f t="shared" si="30"/>
        <v>59</v>
      </c>
      <c r="I235">
        <f>MAX(F232:F251)</f>
        <v>23.7</v>
      </c>
      <c r="J235">
        <v>6.7</v>
      </c>
      <c r="K235">
        <f t="shared" si="36"/>
        <v>382.59999999999997</v>
      </c>
      <c r="L235">
        <v>1</v>
      </c>
      <c r="M235">
        <f t="shared" si="37"/>
        <v>414.09999999999985</v>
      </c>
      <c r="N235">
        <v>5.7</v>
      </c>
      <c r="O235">
        <f t="shared" si="32"/>
        <v>69.500000000000028</v>
      </c>
      <c r="P235" s="5">
        <v>230</v>
      </c>
      <c r="Q235" s="6">
        <v>1.1499999999999999</v>
      </c>
      <c r="R235" s="11">
        <f t="shared" si="33"/>
        <v>1.1499999999999999</v>
      </c>
      <c r="S235" s="11">
        <f t="shared" si="34"/>
        <v>5.5500000000000007</v>
      </c>
      <c r="T235" s="14">
        <f t="shared" si="39"/>
        <v>54.565749999999994</v>
      </c>
      <c r="U235">
        <v>0</v>
      </c>
      <c r="V235">
        <v>492.6</v>
      </c>
      <c r="X235">
        <f t="shared" si="38"/>
        <v>217932.69999999998</v>
      </c>
      <c r="Y235">
        <f t="shared" si="31"/>
        <v>4407.6000000000004</v>
      </c>
      <c r="Z235" s="15">
        <f>(Z233/100)/I245</f>
        <v>0.8357630906768837</v>
      </c>
      <c r="AA235">
        <v>13.577279756923399</v>
      </c>
    </row>
    <row r="236" spans="1:27" s="24" customFormat="1" x14ac:dyDescent="0.25">
      <c r="A236" s="77"/>
      <c r="B236" s="32"/>
      <c r="C236" s="23">
        <v>42114</v>
      </c>
      <c r="D236" s="24">
        <v>13.9</v>
      </c>
      <c r="E236" s="24">
        <v>8.8000000000000007</v>
      </c>
      <c r="F236" s="24">
        <v>18.399999999999999</v>
      </c>
      <c r="G236" s="24">
        <f t="shared" si="35"/>
        <v>2628.8999999999983</v>
      </c>
      <c r="H236" s="24">
        <f t="shared" si="30"/>
        <v>72.900000000000006</v>
      </c>
      <c r="I236" s="33" t="s">
        <v>43</v>
      </c>
      <c r="J236" s="24">
        <v>0</v>
      </c>
      <c r="K236" s="24">
        <f t="shared" si="36"/>
        <v>382.59999999999997</v>
      </c>
      <c r="L236" s="24">
        <v>3.4</v>
      </c>
      <c r="M236" s="24">
        <f t="shared" si="37"/>
        <v>417.49999999999983</v>
      </c>
      <c r="N236" s="24">
        <v>-3.4</v>
      </c>
      <c r="O236" s="24">
        <f t="shared" si="32"/>
        <v>66.100000000000023</v>
      </c>
      <c r="P236" s="25">
        <v>231</v>
      </c>
      <c r="Q236" s="34">
        <v>1.1499999999999999</v>
      </c>
      <c r="R236" s="26">
        <f t="shared" si="33"/>
        <v>3.9099999999999997</v>
      </c>
      <c r="S236" s="26">
        <f t="shared" si="34"/>
        <v>-3.9099999999999997</v>
      </c>
      <c r="T236" s="14">
        <f t="shared" si="39"/>
        <v>50.655749999999998</v>
      </c>
      <c r="U236" s="30" t="s">
        <v>49</v>
      </c>
      <c r="V236" s="24">
        <v>2103.4</v>
      </c>
      <c r="X236" s="24">
        <f t="shared" si="38"/>
        <v>220036.09999999998</v>
      </c>
      <c r="Y236">
        <f t="shared" si="31"/>
        <v>6511</v>
      </c>
      <c r="Z236" s="31" t="s">
        <v>52</v>
      </c>
      <c r="AA236" s="24">
        <v>13.624523791745199</v>
      </c>
    </row>
    <row r="237" spans="1:27" ht="15" customHeight="1" x14ac:dyDescent="0.25">
      <c r="A237" s="77"/>
      <c r="B237" s="8"/>
      <c r="C237" s="9">
        <v>42115</v>
      </c>
      <c r="D237">
        <v>16.2</v>
      </c>
      <c r="E237">
        <v>9.6999999999999993</v>
      </c>
      <c r="F237">
        <v>22</v>
      </c>
      <c r="G237">
        <f t="shared" si="35"/>
        <v>2645.0999999999981</v>
      </c>
      <c r="H237">
        <f t="shared" si="30"/>
        <v>89.100000000000009</v>
      </c>
      <c r="I237" s="16">
        <f>AVERAGE(D232:D251)</f>
        <v>15.660000000000002</v>
      </c>
      <c r="J237">
        <v>0</v>
      </c>
      <c r="K237">
        <f t="shared" si="36"/>
        <v>382.59999999999997</v>
      </c>
      <c r="L237">
        <v>4.5</v>
      </c>
      <c r="M237">
        <f t="shared" si="37"/>
        <v>421.99999999999983</v>
      </c>
      <c r="N237">
        <v>-4.5</v>
      </c>
      <c r="O237">
        <f t="shared" si="32"/>
        <v>61.600000000000023</v>
      </c>
      <c r="P237" s="5">
        <v>232</v>
      </c>
      <c r="Q237" s="6">
        <v>1.1499999999999999</v>
      </c>
      <c r="R237" s="11">
        <f t="shared" si="33"/>
        <v>5.1749999999999998</v>
      </c>
      <c r="S237" s="11">
        <f t="shared" si="34"/>
        <v>-5.1749999999999998</v>
      </c>
      <c r="T237" s="14">
        <f t="shared" si="39"/>
        <v>45.48075</v>
      </c>
      <c r="U237">
        <v>5</v>
      </c>
      <c r="V237">
        <v>2442.4</v>
      </c>
      <c r="X237">
        <f t="shared" si="38"/>
        <v>222478.49999999997</v>
      </c>
      <c r="Y237">
        <f t="shared" si="31"/>
        <v>8953.4</v>
      </c>
      <c r="Z237">
        <v>4</v>
      </c>
      <c r="AA237">
        <v>13.6715285243625</v>
      </c>
    </row>
    <row r="238" spans="1:27" x14ac:dyDescent="0.25">
      <c r="A238" s="77"/>
      <c r="B238" s="8"/>
      <c r="C238" s="9">
        <v>42116</v>
      </c>
      <c r="D238">
        <v>15.3</v>
      </c>
      <c r="E238">
        <v>11.1</v>
      </c>
      <c r="F238">
        <v>19.899999999999999</v>
      </c>
      <c r="G238">
        <f t="shared" si="35"/>
        <v>2660.3999999999983</v>
      </c>
      <c r="H238">
        <f t="shared" si="30"/>
        <v>104.4</v>
      </c>
      <c r="I238" s="30" t="s">
        <v>44</v>
      </c>
      <c r="J238">
        <v>1.4</v>
      </c>
      <c r="K238">
        <f t="shared" si="36"/>
        <v>383.99999999999994</v>
      </c>
      <c r="L238">
        <v>2.8</v>
      </c>
      <c r="M238">
        <f t="shared" si="37"/>
        <v>424.79999999999984</v>
      </c>
      <c r="N238">
        <v>-1.4</v>
      </c>
      <c r="O238">
        <f t="shared" si="32"/>
        <v>60.200000000000024</v>
      </c>
      <c r="P238" s="5">
        <v>233</v>
      </c>
      <c r="Q238" s="6">
        <v>1.1499999999999999</v>
      </c>
      <c r="R238" s="11">
        <f t="shared" si="33"/>
        <v>3.2199999999999998</v>
      </c>
      <c r="S238" s="11">
        <f t="shared" si="34"/>
        <v>-1.8199999999999998</v>
      </c>
      <c r="T238" s="14">
        <f t="shared" si="39"/>
        <v>43.66075</v>
      </c>
      <c r="U238" s="30" t="s">
        <v>30</v>
      </c>
      <c r="V238">
        <v>1422.3</v>
      </c>
      <c r="X238">
        <f t="shared" si="38"/>
        <v>223900.79999999996</v>
      </c>
      <c r="Y238">
        <f t="shared" si="31"/>
        <v>10375.699999999999</v>
      </c>
      <c r="AA238">
        <v>13.7182826942591</v>
      </c>
    </row>
    <row r="239" spans="1:27" x14ac:dyDescent="0.25">
      <c r="A239" s="77"/>
      <c r="B239" s="8"/>
      <c r="C239" s="9">
        <v>42117</v>
      </c>
      <c r="D239">
        <v>14.9</v>
      </c>
      <c r="E239">
        <v>13.9</v>
      </c>
      <c r="F239">
        <v>17.100000000000001</v>
      </c>
      <c r="G239">
        <f t="shared" si="35"/>
        <v>2675.2999999999984</v>
      </c>
      <c r="H239">
        <f t="shared" si="30"/>
        <v>119.30000000000001</v>
      </c>
      <c r="I239">
        <v>0</v>
      </c>
      <c r="J239">
        <v>0.3</v>
      </c>
      <c r="K239">
        <f t="shared" si="36"/>
        <v>384.29999999999995</v>
      </c>
      <c r="L239">
        <v>2.5</v>
      </c>
      <c r="M239">
        <f t="shared" si="37"/>
        <v>427.29999999999984</v>
      </c>
      <c r="N239">
        <v>-2.2000000000000002</v>
      </c>
      <c r="O239">
        <f t="shared" si="32"/>
        <v>58.000000000000021</v>
      </c>
      <c r="P239" s="5">
        <v>234</v>
      </c>
      <c r="Q239" s="6">
        <v>1.1499999999999999</v>
      </c>
      <c r="R239" s="11">
        <f t="shared" si="33"/>
        <v>2.875</v>
      </c>
      <c r="S239" s="11">
        <f t="shared" si="34"/>
        <v>-2.5750000000000002</v>
      </c>
      <c r="T239" s="14">
        <f t="shared" si="39"/>
        <v>41.085749999999997</v>
      </c>
      <c r="U239" s="16">
        <f>MIN(T232:T251)</f>
        <v>31.39575</v>
      </c>
      <c r="V239">
        <v>1243</v>
      </c>
      <c r="X239">
        <f t="shared" si="38"/>
        <v>225143.79999999996</v>
      </c>
      <c r="Y239">
        <f t="shared" si="31"/>
        <v>11618.699999999999</v>
      </c>
      <c r="AA239">
        <v>13.7647746900623</v>
      </c>
    </row>
    <row r="240" spans="1:27" x14ac:dyDescent="0.25">
      <c r="A240" s="77"/>
      <c r="B240" s="8"/>
      <c r="C240" s="9">
        <v>42118</v>
      </c>
      <c r="D240">
        <v>16</v>
      </c>
      <c r="E240">
        <v>9.1999999999999993</v>
      </c>
      <c r="F240">
        <v>20.6</v>
      </c>
      <c r="G240">
        <f t="shared" si="35"/>
        <v>2691.2999999999984</v>
      </c>
      <c r="H240">
        <f t="shared" si="30"/>
        <v>135.30000000000001</v>
      </c>
      <c r="I240" s="30" t="s">
        <v>45</v>
      </c>
      <c r="J240">
        <v>0.1</v>
      </c>
      <c r="K240">
        <f t="shared" si="36"/>
        <v>384.4</v>
      </c>
      <c r="L240">
        <v>2.6</v>
      </c>
      <c r="M240">
        <f t="shared" si="37"/>
        <v>429.89999999999986</v>
      </c>
      <c r="N240">
        <v>-2.5</v>
      </c>
      <c r="O240">
        <f t="shared" si="32"/>
        <v>55.500000000000021</v>
      </c>
      <c r="P240" s="5">
        <v>235</v>
      </c>
      <c r="Q240" s="6">
        <v>1.1499999999999999</v>
      </c>
      <c r="R240" s="11">
        <f t="shared" si="33"/>
        <v>2.9899999999999998</v>
      </c>
      <c r="S240" s="11">
        <f t="shared" si="34"/>
        <v>-2.8899999999999997</v>
      </c>
      <c r="T240" s="14">
        <f t="shared" si="39"/>
        <v>38.195749999999997</v>
      </c>
      <c r="U240" s="30" t="s">
        <v>31</v>
      </c>
      <c r="V240">
        <v>1736.8</v>
      </c>
      <c r="X240">
        <f t="shared" si="38"/>
        <v>226880.59999999995</v>
      </c>
      <c r="Y240">
        <f t="shared" si="31"/>
        <v>13355.499999999998</v>
      </c>
      <c r="AA240">
        <v>13.8109925427327</v>
      </c>
    </row>
    <row r="241" spans="1:27" x14ac:dyDescent="0.25">
      <c r="A241" s="77"/>
      <c r="B241" s="8"/>
      <c r="C241" s="9">
        <v>42119</v>
      </c>
      <c r="D241">
        <v>18.3</v>
      </c>
      <c r="E241">
        <v>14.3</v>
      </c>
      <c r="F241">
        <v>22.5</v>
      </c>
      <c r="G241">
        <f t="shared" si="35"/>
        <v>2709.5999999999985</v>
      </c>
      <c r="H241">
        <f t="shared" si="30"/>
        <v>153.60000000000002</v>
      </c>
      <c r="I241">
        <v>0</v>
      </c>
      <c r="J241">
        <v>0</v>
      </c>
      <c r="K241">
        <f t="shared" si="36"/>
        <v>384.4</v>
      </c>
      <c r="L241">
        <v>2.2000000000000002</v>
      </c>
      <c r="M241">
        <f t="shared" si="37"/>
        <v>432.09999999999985</v>
      </c>
      <c r="N241">
        <v>-2.2000000000000002</v>
      </c>
      <c r="O241">
        <f t="shared" si="32"/>
        <v>53.300000000000018</v>
      </c>
      <c r="P241" s="5">
        <v>236</v>
      </c>
      <c r="Q241" s="6">
        <v>1.1499999999999999</v>
      </c>
      <c r="R241" s="11">
        <f t="shared" si="33"/>
        <v>2.5299999999999998</v>
      </c>
      <c r="S241" s="11">
        <f t="shared" si="34"/>
        <v>-2.5299999999999998</v>
      </c>
      <c r="T241" s="14">
        <f t="shared" si="39"/>
        <v>35.665749999999996</v>
      </c>
      <c r="U241" s="16">
        <f>MAX(T232:T251)</f>
        <v>55.375749999999996</v>
      </c>
      <c r="V241">
        <v>1101.5</v>
      </c>
      <c r="X241">
        <f t="shared" si="38"/>
        <v>227982.09999999995</v>
      </c>
      <c r="Y241">
        <f t="shared" si="31"/>
        <v>14456.999999999998</v>
      </c>
      <c r="AA241">
        <v>13.856923919457101</v>
      </c>
    </row>
    <row r="242" spans="1:27" x14ac:dyDescent="0.25">
      <c r="A242" s="77"/>
      <c r="B242" s="8"/>
      <c r="C242" s="9">
        <v>42120</v>
      </c>
      <c r="D242">
        <v>15.5</v>
      </c>
      <c r="E242">
        <v>14.4</v>
      </c>
      <c r="F242">
        <v>19.2</v>
      </c>
      <c r="G242">
        <f t="shared" si="35"/>
        <v>2725.0999999999985</v>
      </c>
      <c r="H242">
        <f t="shared" si="30"/>
        <v>169.10000000000002</v>
      </c>
      <c r="I242" s="30" t="s">
        <v>46</v>
      </c>
      <c r="J242">
        <v>19.600000000000001</v>
      </c>
      <c r="K242">
        <f t="shared" si="36"/>
        <v>404</v>
      </c>
      <c r="L242">
        <v>2.5</v>
      </c>
      <c r="M242">
        <f t="shared" si="37"/>
        <v>434.59999999999985</v>
      </c>
      <c r="N242">
        <v>17.100000000000001</v>
      </c>
      <c r="O242">
        <f t="shared" si="32"/>
        <v>70.40000000000002</v>
      </c>
      <c r="P242" s="5">
        <v>237</v>
      </c>
      <c r="Q242" s="6">
        <v>1.1499999999999999</v>
      </c>
      <c r="R242" s="11">
        <f t="shared" si="33"/>
        <v>2.875</v>
      </c>
      <c r="S242" s="11">
        <f t="shared" si="34"/>
        <v>16.725000000000001</v>
      </c>
      <c r="T242" s="14">
        <f t="shared" si="39"/>
        <v>52.390749999999997</v>
      </c>
      <c r="U242" s="30" t="s">
        <v>32</v>
      </c>
      <c r="V242">
        <v>1061.7</v>
      </c>
      <c r="X242">
        <f t="shared" si="38"/>
        <v>229043.79999999996</v>
      </c>
      <c r="Y242">
        <f t="shared" si="31"/>
        <v>15518.699999999999</v>
      </c>
      <c r="AA242">
        <v>13.902556118297101</v>
      </c>
    </row>
    <row r="243" spans="1:27" x14ac:dyDescent="0.25">
      <c r="A243" s="77"/>
      <c r="B243" s="8"/>
      <c r="C243" s="9">
        <v>42121</v>
      </c>
      <c r="D243">
        <v>13.3</v>
      </c>
      <c r="E243">
        <v>12.4</v>
      </c>
      <c r="F243">
        <v>15.9</v>
      </c>
      <c r="G243">
        <f t="shared" si="35"/>
        <v>2738.3999999999987</v>
      </c>
      <c r="H243">
        <f t="shared" si="30"/>
        <v>182.40000000000003</v>
      </c>
      <c r="I243">
        <v>0</v>
      </c>
      <c r="J243">
        <v>5.4</v>
      </c>
      <c r="K243">
        <f t="shared" si="36"/>
        <v>409.4</v>
      </c>
      <c r="L243">
        <v>2.1</v>
      </c>
      <c r="M243">
        <f t="shared" si="37"/>
        <v>436.69999999999987</v>
      </c>
      <c r="N243">
        <v>3.3000000000000003</v>
      </c>
      <c r="O243">
        <f t="shared" si="32"/>
        <v>73.700000000000017</v>
      </c>
      <c r="P243" s="5">
        <v>238</v>
      </c>
      <c r="Q243" s="6">
        <v>1.1499999999999999</v>
      </c>
      <c r="R243" s="11">
        <f t="shared" si="33"/>
        <v>2.415</v>
      </c>
      <c r="S243" s="11">
        <f t="shared" si="34"/>
        <v>2.9850000000000003</v>
      </c>
      <c r="T243" s="14">
        <f t="shared" si="39"/>
        <v>55.375749999999996</v>
      </c>
      <c r="U243" s="15">
        <f>AVERAGE(T232:T251)</f>
        <v>44.984999999999999</v>
      </c>
      <c r="V243">
        <v>955.1</v>
      </c>
      <c r="X243">
        <f t="shared" si="38"/>
        <v>229998.89999999997</v>
      </c>
      <c r="Y243">
        <f t="shared" si="31"/>
        <v>16473.8</v>
      </c>
      <c r="AA243">
        <v>13.9478760636504</v>
      </c>
    </row>
    <row r="244" spans="1:27" x14ac:dyDescent="0.25">
      <c r="A244" s="77"/>
      <c r="B244" s="8"/>
      <c r="C244" s="9">
        <v>42122</v>
      </c>
      <c r="D244">
        <v>11.9</v>
      </c>
      <c r="E244">
        <v>9.4</v>
      </c>
      <c r="F244">
        <v>14.7</v>
      </c>
      <c r="G244">
        <f t="shared" si="35"/>
        <v>2750.2999999999988</v>
      </c>
      <c r="H244">
        <f t="shared" si="30"/>
        <v>194.30000000000004</v>
      </c>
      <c r="I244" s="30" t="s">
        <v>33</v>
      </c>
      <c r="J244">
        <v>0</v>
      </c>
      <c r="K244">
        <f t="shared" si="36"/>
        <v>409.4</v>
      </c>
      <c r="L244">
        <v>3.3</v>
      </c>
      <c r="M244">
        <f t="shared" si="37"/>
        <v>439.99999999999989</v>
      </c>
      <c r="N244">
        <v>-3.3</v>
      </c>
      <c r="O244">
        <f t="shared" si="32"/>
        <v>70.40000000000002</v>
      </c>
      <c r="P244" s="5">
        <v>239</v>
      </c>
      <c r="Q244" s="6">
        <v>1.1499999999999999</v>
      </c>
      <c r="R244" s="11">
        <f t="shared" si="33"/>
        <v>3.7949999999999995</v>
      </c>
      <c r="S244" s="11">
        <f t="shared" si="34"/>
        <v>-3.7949999999999995</v>
      </c>
      <c r="T244" s="14">
        <f t="shared" si="39"/>
        <v>51.580749999999995</v>
      </c>
      <c r="V244">
        <v>2112.6</v>
      </c>
      <c r="X244">
        <f t="shared" si="38"/>
        <v>232111.49999999997</v>
      </c>
      <c r="Y244">
        <f t="shared" si="31"/>
        <v>18586.399999999998</v>
      </c>
      <c r="AA244">
        <v>13.992870302581499</v>
      </c>
    </row>
    <row r="245" spans="1:27" x14ac:dyDescent="0.25">
      <c r="A245" s="77"/>
      <c r="B245" s="8"/>
      <c r="C245" s="9">
        <v>42123</v>
      </c>
      <c r="D245">
        <v>12.8</v>
      </c>
      <c r="E245">
        <v>6.6</v>
      </c>
      <c r="F245">
        <v>17</v>
      </c>
      <c r="G245">
        <f t="shared" si="35"/>
        <v>2763.099999999999</v>
      </c>
      <c r="H245">
        <f t="shared" si="30"/>
        <v>207.10000000000005</v>
      </c>
      <c r="I245">
        <v>313.2</v>
      </c>
      <c r="J245">
        <v>0</v>
      </c>
      <c r="K245">
        <f t="shared" si="36"/>
        <v>409.4</v>
      </c>
      <c r="L245">
        <v>2.4</v>
      </c>
      <c r="M245">
        <f t="shared" si="37"/>
        <v>442.39999999999986</v>
      </c>
      <c r="N245">
        <v>-2.4</v>
      </c>
      <c r="O245">
        <f t="shared" si="32"/>
        <v>68.000000000000014</v>
      </c>
      <c r="P245" s="5">
        <v>240</v>
      </c>
      <c r="Q245" s="6">
        <v>1.1499999999999999</v>
      </c>
      <c r="R245" s="11">
        <f t="shared" si="33"/>
        <v>2.76</v>
      </c>
      <c r="S245" s="11">
        <f t="shared" si="34"/>
        <v>-2.76</v>
      </c>
      <c r="T245" s="14">
        <f t="shared" si="39"/>
        <v>48.820749999999997</v>
      </c>
      <c r="U245">
        <f>(U243*100)/122.1</f>
        <v>36.842751842751845</v>
      </c>
      <c r="V245">
        <v>1551.1</v>
      </c>
      <c r="X245">
        <f t="shared" si="38"/>
        <v>233662.59999999998</v>
      </c>
      <c r="Y245">
        <f t="shared" si="31"/>
        <v>20137.499999999996</v>
      </c>
      <c r="AA245">
        <v>14.0375250020838</v>
      </c>
    </row>
    <row r="246" spans="1:27" x14ac:dyDescent="0.25">
      <c r="A246" s="77"/>
      <c r="B246" s="8"/>
      <c r="C246" s="9">
        <v>42124</v>
      </c>
      <c r="D246">
        <v>16.399999999999999</v>
      </c>
      <c r="E246">
        <v>9.6999999999999993</v>
      </c>
      <c r="F246">
        <v>21.5</v>
      </c>
      <c r="G246">
        <f t="shared" si="35"/>
        <v>2779.4999999999991</v>
      </c>
      <c r="H246">
        <f t="shared" si="30"/>
        <v>223.50000000000006</v>
      </c>
      <c r="J246">
        <v>0</v>
      </c>
      <c r="K246">
        <f t="shared" si="36"/>
        <v>409.4</v>
      </c>
      <c r="L246">
        <v>3.3</v>
      </c>
      <c r="M246">
        <f t="shared" si="37"/>
        <v>445.69999999999987</v>
      </c>
      <c r="N246">
        <v>-3.3</v>
      </c>
      <c r="O246">
        <f t="shared" si="32"/>
        <v>64.700000000000017</v>
      </c>
      <c r="P246" s="5">
        <v>241</v>
      </c>
      <c r="Q246" s="6">
        <v>1.1499999999999999</v>
      </c>
      <c r="R246" s="11">
        <f t="shared" si="33"/>
        <v>3.7949999999999995</v>
      </c>
      <c r="S246" s="11">
        <f t="shared" si="34"/>
        <v>-3.7949999999999995</v>
      </c>
      <c r="T246" s="14">
        <f t="shared" si="39"/>
        <v>45.025749999999995</v>
      </c>
      <c r="V246">
        <v>1942.3</v>
      </c>
      <c r="X246">
        <f t="shared" si="38"/>
        <v>235604.89999999997</v>
      </c>
      <c r="Y246">
        <f t="shared" si="31"/>
        <v>22079.799999999996</v>
      </c>
      <c r="AA246">
        <v>14.0818259473327</v>
      </c>
    </row>
    <row r="247" spans="1:27" x14ac:dyDescent="0.25">
      <c r="A247" s="77"/>
      <c r="B247" s="8"/>
      <c r="C247" s="9">
        <v>42125</v>
      </c>
      <c r="D247">
        <v>16.5</v>
      </c>
      <c r="E247">
        <v>14.6</v>
      </c>
      <c r="F247">
        <v>18.399999999999999</v>
      </c>
      <c r="G247">
        <f t="shared" si="35"/>
        <v>2795.9999999999991</v>
      </c>
      <c r="H247">
        <f t="shared" ref="H247:H304" si="40">H246+D247</f>
        <v>240.00000000000006</v>
      </c>
      <c r="J247">
        <v>4.7</v>
      </c>
      <c r="K247">
        <f t="shared" si="36"/>
        <v>414.09999999999997</v>
      </c>
      <c r="L247">
        <v>1.3</v>
      </c>
      <c r="M247">
        <f t="shared" si="37"/>
        <v>446.99999999999989</v>
      </c>
      <c r="N247">
        <v>3.4000000000000004</v>
      </c>
      <c r="O247">
        <f t="shared" si="32"/>
        <v>68.100000000000023</v>
      </c>
      <c r="P247" s="5">
        <v>242</v>
      </c>
      <c r="Q247" s="6">
        <v>1.1499999999999999</v>
      </c>
      <c r="R247" s="11">
        <f t="shared" si="33"/>
        <v>1.4949999999999999</v>
      </c>
      <c r="S247" s="11">
        <f t="shared" si="34"/>
        <v>3.2050000000000001</v>
      </c>
      <c r="T247" s="14">
        <f t="shared" si="39"/>
        <v>48.230749999999993</v>
      </c>
      <c r="V247">
        <v>417.8</v>
      </c>
      <c r="X247">
        <f t="shared" si="38"/>
        <v>236022.69999999995</v>
      </c>
      <c r="Y247">
        <f t="shared" ref="Y247:Y304" si="41">Y246+V247</f>
        <v>22497.599999999995</v>
      </c>
      <c r="AA247">
        <v>14.1257585409945</v>
      </c>
    </row>
    <row r="248" spans="1:27" x14ac:dyDescent="0.25">
      <c r="A248" s="77"/>
      <c r="B248" s="8"/>
      <c r="C248" s="9">
        <v>42126</v>
      </c>
      <c r="D248">
        <v>18.100000000000001</v>
      </c>
      <c r="E248">
        <v>13.9</v>
      </c>
      <c r="F248">
        <v>21.4</v>
      </c>
      <c r="G248">
        <f t="shared" si="35"/>
        <v>2814.099999999999</v>
      </c>
      <c r="H248">
        <f t="shared" si="40"/>
        <v>258.10000000000008</v>
      </c>
      <c r="J248">
        <v>0</v>
      </c>
      <c r="K248">
        <f t="shared" si="36"/>
        <v>414.09999999999997</v>
      </c>
      <c r="L248">
        <v>1.8</v>
      </c>
      <c r="M248">
        <f t="shared" si="37"/>
        <v>448.7999999999999</v>
      </c>
      <c r="N248">
        <v>-1.8</v>
      </c>
      <c r="O248">
        <f t="shared" si="32"/>
        <v>66.300000000000026</v>
      </c>
      <c r="P248" s="5">
        <v>243</v>
      </c>
      <c r="Q248" s="6">
        <v>1.1499999999999999</v>
      </c>
      <c r="R248" s="11">
        <f t="shared" si="33"/>
        <v>2.0699999999999998</v>
      </c>
      <c r="S248" s="11">
        <f t="shared" si="34"/>
        <v>-2.0699999999999998</v>
      </c>
      <c r="T248" s="14">
        <f t="shared" si="39"/>
        <v>46.160749999999993</v>
      </c>
      <c r="V248">
        <v>960.3</v>
      </c>
      <c r="X248">
        <f t="shared" si="38"/>
        <v>236982.99999999994</v>
      </c>
      <c r="Y248">
        <f t="shared" si="41"/>
        <v>23457.899999999994</v>
      </c>
      <c r="AA248">
        <v>14.169307803654799</v>
      </c>
    </row>
    <row r="249" spans="1:27" x14ac:dyDescent="0.25">
      <c r="A249" s="77"/>
      <c r="B249" s="8"/>
      <c r="C249" s="9">
        <v>42127</v>
      </c>
      <c r="D249">
        <v>20.399999999999999</v>
      </c>
      <c r="E249">
        <v>17</v>
      </c>
      <c r="F249">
        <v>23.7</v>
      </c>
      <c r="G249">
        <f t="shared" si="35"/>
        <v>2834.4999999999991</v>
      </c>
      <c r="H249">
        <f t="shared" si="40"/>
        <v>278.50000000000006</v>
      </c>
      <c r="J249">
        <v>1.3</v>
      </c>
      <c r="K249">
        <f t="shared" si="36"/>
        <v>415.4</v>
      </c>
      <c r="L249">
        <v>1.7</v>
      </c>
      <c r="M249">
        <f t="shared" si="37"/>
        <v>450.49999999999989</v>
      </c>
      <c r="N249">
        <v>-0.39999999999999991</v>
      </c>
      <c r="O249">
        <f t="shared" si="32"/>
        <v>65.90000000000002</v>
      </c>
      <c r="P249" s="5">
        <v>244</v>
      </c>
      <c r="Q249" s="6">
        <v>1.1499999999999999</v>
      </c>
      <c r="R249" s="11">
        <f t="shared" si="33"/>
        <v>1.9549999999999998</v>
      </c>
      <c r="S249" s="11">
        <f t="shared" si="34"/>
        <v>-0.6549999999999998</v>
      </c>
      <c r="T249" s="14">
        <f t="shared" si="39"/>
        <v>45.505749999999992</v>
      </c>
      <c r="V249">
        <v>827.9</v>
      </c>
      <c r="X249">
        <f t="shared" si="38"/>
        <v>237810.89999999994</v>
      </c>
      <c r="Y249">
        <f t="shared" si="41"/>
        <v>24285.799999999996</v>
      </c>
      <c r="AA249">
        <v>14.212458375432499</v>
      </c>
    </row>
    <row r="250" spans="1:27" x14ac:dyDescent="0.25">
      <c r="A250" s="77"/>
      <c r="B250" s="8"/>
      <c r="C250" s="9">
        <v>42128</v>
      </c>
      <c r="D250">
        <v>17.8</v>
      </c>
      <c r="E250">
        <v>16.399999999999999</v>
      </c>
      <c r="F250">
        <v>19.5</v>
      </c>
      <c r="G250">
        <f t="shared" si="35"/>
        <v>2852.2999999999993</v>
      </c>
      <c r="H250">
        <f t="shared" si="40"/>
        <v>296.30000000000007</v>
      </c>
      <c r="J250">
        <v>0</v>
      </c>
      <c r="K250">
        <f t="shared" si="36"/>
        <v>415.4</v>
      </c>
      <c r="L250">
        <v>2.2000000000000002</v>
      </c>
      <c r="M250">
        <f t="shared" si="37"/>
        <v>452.69999999999987</v>
      </c>
      <c r="N250">
        <v>-2.2000000000000002</v>
      </c>
      <c r="O250">
        <f t="shared" si="32"/>
        <v>63.700000000000017</v>
      </c>
      <c r="P250" s="5">
        <v>245</v>
      </c>
      <c r="Q250" s="6">
        <v>1.1499999999999999</v>
      </c>
      <c r="R250" s="11">
        <f t="shared" si="33"/>
        <v>2.5299999999999998</v>
      </c>
      <c r="S250" s="11">
        <f t="shared" si="34"/>
        <v>-2.5299999999999998</v>
      </c>
      <c r="T250" s="14">
        <f t="shared" si="39"/>
        <v>42.975749999999991</v>
      </c>
      <c r="U250" s="16"/>
      <c r="V250">
        <v>1022</v>
      </c>
      <c r="X250">
        <f t="shared" si="38"/>
        <v>238832.89999999994</v>
      </c>
      <c r="Y250">
        <f t="shared" si="41"/>
        <v>25307.799999999996</v>
      </c>
      <c r="AA250">
        <v>14.255194518843499</v>
      </c>
    </row>
    <row r="251" spans="1:27" s="51" customFormat="1" ht="15.75" thickBot="1" x14ac:dyDescent="0.3">
      <c r="A251" s="77"/>
      <c r="B251" s="58">
        <v>300</v>
      </c>
      <c r="C251" s="50">
        <v>42129</v>
      </c>
      <c r="D251" s="51">
        <v>16.899999999999999</v>
      </c>
      <c r="E251" s="51">
        <v>15.9</v>
      </c>
      <c r="F251" s="51">
        <v>18.399999999999999</v>
      </c>
      <c r="G251" s="51">
        <f t="shared" si="35"/>
        <v>2869.1999999999994</v>
      </c>
      <c r="H251" s="51">
        <f t="shared" si="40"/>
        <v>313.20000000000005</v>
      </c>
      <c r="J251" s="51">
        <v>0</v>
      </c>
      <c r="K251" s="51">
        <f t="shared" si="36"/>
        <v>415.4</v>
      </c>
      <c r="L251" s="51">
        <v>2.2000000000000002</v>
      </c>
      <c r="M251" s="51">
        <f t="shared" si="37"/>
        <v>454.89999999999986</v>
      </c>
      <c r="N251" s="51">
        <v>-2.2000000000000002</v>
      </c>
      <c r="O251" s="51">
        <f t="shared" si="32"/>
        <v>61.500000000000014</v>
      </c>
      <c r="P251" s="53">
        <v>246</v>
      </c>
      <c r="Q251" s="51">
        <v>1.1499999999999999</v>
      </c>
      <c r="R251" s="55">
        <f t="shared" si="33"/>
        <v>2.5299999999999998</v>
      </c>
      <c r="S251" s="55">
        <f t="shared" si="34"/>
        <v>-2.5299999999999998</v>
      </c>
      <c r="T251" s="56">
        <f t="shared" si="39"/>
        <v>40.44574999999999</v>
      </c>
      <c r="V251" s="51">
        <v>868.3</v>
      </c>
      <c r="X251" s="51">
        <f t="shared" si="38"/>
        <v>239701.19999999992</v>
      </c>
      <c r="Y251" s="54">
        <f t="shared" si="41"/>
        <v>26176.099999999995</v>
      </c>
      <c r="AA251" s="51">
        <v>14.297500122982701</v>
      </c>
    </row>
    <row r="252" spans="1:27" x14ac:dyDescent="0.25">
      <c r="A252" s="78">
        <v>600</v>
      </c>
      <c r="B252" s="8"/>
      <c r="C252" s="9">
        <v>42130</v>
      </c>
      <c r="D252">
        <v>15.4</v>
      </c>
      <c r="E252">
        <v>12.5</v>
      </c>
      <c r="F252">
        <v>18.5</v>
      </c>
      <c r="G252">
        <f t="shared" si="35"/>
        <v>2884.5999999999995</v>
      </c>
      <c r="H252">
        <v>15.4</v>
      </c>
      <c r="I252" s="35" t="s">
        <v>41</v>
      </c>
      <c r="J252">
        <v>0</v>
      </c>
      <c r="K252">
        <f t="shared" si="36"/>
        <v>415.4</v>
      </c>
      <c r="L252">
        <v>3.8</v>
      </c>
      <c r="M252">
        <f t="shared" si="37"/>
        <v>458.69999999999987</v>
      </c>
      <c r="N252">
        <v>-3.8</v>
      </c>
      <c r="O252">
        <f t="shared" si="32"/>
        <v>57.700000000000017</v>
      </c>
      <c r="P252" s="5">
        <v>247</v>
      </c>
      <c r="Q252" s="21">
        <f>1.15+((P252-246)/53)*(0.35-1.15)</f>
        <v>1.1349056603773584</v>
      </c>
      <c r="R252" s="11">
        <f t="shared" si="33"/>
        <v>4.3126415094339619</v>
      </c>
      <c r="S252" s="11">
        <f t="shared" si="34"/>
        <v>-4.3126415094339619</v>
      </c>
      <c r="T252" s="14">
        <f t="shared" si="39"/>
        <v>36.13310849056603</v>
      </c>
      <c r="U252" s="35" t="s">
        <v>28</v>
      </c>
      <c r="V252">
        <v>2009.5</v>
      </c>
      <c r="X252">
        <f t="shared" si="38"/>
        <v>241710.69999999992</v>
      </c>
      <c r="Y252">
        <v>2009.5</v>
      </c>
      <c r="Z252" s="35" t="s">
        <v>51</v>
      </c>
      <c r="AA252">
        <v>14.3393587090866</v>
      </c>
    </row>
    <row r="253" spans="1:27" x14ac:dyDescent="0.25">
      <c r="A253" s="78"/>
      <c r="B253" s="8"/>
      <c r="C253" s="9">
        <v>42131</v>
      </c>
      <c r="D253">
        <v>17.3</v>
      </c>
      <c r="E253">
        <v>9.9</v>
      </c>
      <c r="F253">
        <v>23.6</v>
      </c>
      <c r="G253">
        <f t="shared" si="35"/>
        <v>2901.8999999999996</v>
      </c>
      <c r="H253">
        <f t="shared" si="40"/>
        <v>32.700000000000003</v>
      </c>
      <c r="I253">
        <f>MIN(E252:E269)</f>
        <v>9.9</v>
      </c>
      <c r="J253">
        <v>0.5</v>
      </c>
      <c r="K253">
        <f t="shared" si="36"/>
        <v>415.9</v>
      </c>
      <c r="L253">
        <v>4.5999999999999996</v>
      </c>
      <c r="M253">
        <f t="shared" si="37"/>
        <v>463.2999999999999</v>
      </c>
      <c r="N253">
        <v>-4.0999999999999996</v>
      </c>
      <c r="O253">
        <f t="shared" si="32"/>
        <v>53.600000000000016</v>
      </c>
      <c r="P253" s="5">
        <v>248</v>
      </c>
      <c r="Q253" s="21">
        <f t="shared" ref="Q253:Q304" si="42">1.15+((P253-246)/53)*(0.35-1.15)</f>
        <v>1.1198113207547169</v>
      </c>
      <c r="R253" s="11">
        <f t="shared" si="33"/>
        <v>5.1511320754716969</v>
      </c>
      <c r="S253" s="11">
        <f t="shared" si="34"/>
        <v>-4.6511320754716969</v>
      </c>
      <c r="T253" s="14">
        <f t="shared" si="39"/>
        <v>31.481976415094334</v>
      </c>
      <c r="U253" s="24">
        <v>17</v>
      </c>
      <c r="V253">
        <v>2162.6</v>
      </c>
      <c r="X253">
        <f t="shared" si="38"/>
        <v>243873.29999999993</v>
      </c>
      <c r="Y253">
        <f t="shared" si="41"/>
        <v>4172.1000000000004</v>
      </c>
      <c r="Z253">
        <v>39497.100000000006</v>
      </c>
      <c r="AA253">
        <v>14.380753437543699</v>
      </c>
    </row>
    <row r="254" spans="1:27" x14ac:dyDescent="0.25">
      <c r="A254" s="78"/>
      <c r="B254" s="8"/>
      <c r="C254" s="9">
        <v>42132</v>
      </c>
      <c r="D254">
        <v>18.7</v>
      </c>
      <c r="E254">
        <v>15.2</v>
      </c>
      <c r="F254">
        <v>23.1</v>
      </c>
      <c r="G254">
        <f t="shared" si="35"/>
        <v>2920.5999999999995</v>
      </c>
      <c r="H254">
        <f t="shared" si="40"/>
        <v>51.400000000000006</v>
      </c>
      <c r="I254" s="35" t="s">
        <v>42</v>
      </c>
      <c r="J254">
        <v>0</v>
      </c>
      <c r="K254">
        <f t="shared" si="36"/>
        <v>415.9</v>
      </c>
      <c r="L254">
        <v>4.7</v>
      </c>
      <c r="M254">
        <f t="shared" si="37"/>
        <v>467.99999999999989</v>
      </c>
      <c r="N254">
        <v>-4.7</v>
      </c>
      <c r="O254">
        <f t="shared" si="32"/>
        <v>48.900000000000013</v>
      </c>
      <c r="P254" s="5">
        <v>249</v>
      </c>
      <c r="Q254" s="21">
        <f t="shared" si="42"/>
        <v>1.1047169811320754</v>
      </c>
      <c r="R254" s="11">
        <f t="shared" si="33"/>
        <v>5.1921698113207544</v>
      </c>
      <c r="S254" s="11">
        <f t="shared" si="34"/>
        <v>-5.1921698113207544</v>
      </c>
      <c r="T254" s="14">
        <f t="shared" si="39"/>
        <v>26.289806603773577</v>
      </c>
      <c r="U254" s="35" t="s">
        <v>48</v>
      </c>
      <c r="V254">
        <v>1588.9</v>
      </c>
      <c r="X254">
        <f t="shared" si="38"/>
        <v>245462.19999999992</v>
      </c>
      <c r="Y254">
        <f t="shared" si="41"/>
        <v>5761</v>
      </c>
      <c r="Z254" s="35" t="s">
        <v>29</v>
      </c>
      <c r="AA254">
        <v>14.421667116414101</v>
      </c>
    </row>
    <row r="255" spans="1:27" s="24" customFormat="1" x14ac:dyDescent="0.25">
      <c r="A255" s="78"/>
      <c r="B255" s="22"/>
      <c r="C255" s="23">
        <v>42133</v>
      </c>
      <c r="D255" s="24">
        <v>17.8</v>
      </c>
      <c r="E255" s="24">
        <v>15.5</v>
      </c>
      <c r="F255" s="24">
        <v>20.7</v>
      </c>
      <c r="G255" s="24">
        <f t="shared" si="35"/>
        <v>2938.3999999999996</v>
      </c>
      <c r="H255" s="24">
        <f t="shared" si="40"/>
        <v>69.2</v>
      </c>
      <c r="I255" s="24">
        <f>MAX(F252:F269)</f>
        <v>27.6</v>
      </c>
      <c r="J255" s="24">
        <v>0</v>
      </c>
      <c r="K255" s="24">
        <f t="shared" si="36"/>
        <v>415.9</v>
      </c>
      <c r="L255" s="24">
        <v>4.4000000000000004</v>
      </c>
      <c r="M255" s="24">
        <f t="shared" si="37"/>
        <v>472.39999999999986</v>
      </c>
      <c r="N255" s="24">
        <v>-4.4000000000000004</v>
      </c>
      <c r="O255" s="24">
        <f t="shared" si="32"/>
        <v>44.500000000000014</v>
      </c>
      <c r="P255" s="25">
        <v>250</v>
      </c>
      <c r="Q255" s="21">
        <f t="shared" si="42"/>
        <v>1.0896226415094339</v>
      </c>
      <c r="R255" s="26">
        <f t="shared" si="33"/>
        <v>4.7943396226415098</v>
      </c>
      <c r="S255" s="26">
        <f t="shared" si="34"/>
        <v>-4.7943396226415098</v>
      </c>
      <c r="T255" s="14">
        <f t="shared" si="39"/>
        <v>21.495466981132068</v>
      </c>
      <c r="U255">
        <v>10</v>
      </c>
      <c r="V255" s="24">
        <v>2164.1</v>
      </c>
      <c r="X255" s="24">
        <f t="shared" si="38"/>
        <v>247626.29999999993</v>
      </c>
      <c r="Y255">
        <f t="shared" si="41"/>
        <v>7925.1</v>
      </c>
      <c r="Z255" s="36">
        <f>(Z253/100)/I265</f>
        <v>1.3152547452547454</v>
      </c>
      <c r="AA255" s="24">
        <v>14.462082211520199</v>
      </c>
    </row>
    <row r="256" spans="1:27" ht="15" customHeight="1" x14ac:dyDescent="0.25">
      <c r="A256" s="78"/>
      <c r="B256" s="8"/>
      <c r="C256" s="9">
        <v>42134</v>
      </c>
      <c r="D256">
        <v>20.6</v>
      </c>
      <c r="E256">
        <v>13.6</v>
      </c>
      <c r="F256">
        <v>27.6</v>
      </c>
      <c r="G256">
        <f t="shared" si="35"/>
        <v>2958.9999999999995</v>
      </c>
      <c r="H256">
        <f t="shared" si="40"/>
        <v>89.800000000000011</v>
      </c>
      <c r="I256" s="35" t="s">
        <v>43</v>
      </c>
      <c r="J256">
        <v>0</v>
      </c>
      <c r="K256">
        <f t="shared" si="36"/>
        <v>415.9</v>
      </c>
      <c r="L256">
        <v>6.5</v>
      </c>
      <c r="M256">
        <f t="shared" si="37"/>
        <v>478.89999999999986</v>
      </c>
      <c r="N256">
        <v>-6.5</v>
      </c>
      <c r="O256">
        <f t="shared" si="32"/>
        <v>38.000000000000014</v>
      </c>
      <c r="P256" s="5">
        <v>251</v>
      </c>
      <c r="Q256" s="21">
        <f t="shared" si="42"/>
        <v>1.0745283018867924</v>
      </c>
      <c r="R256" s="11">
        <f t="shared" si="33"/>
        <v>6.9844339622641503</v>
      </c>
      <c r="S256" s="11">
        <f t="shared" si="34"/>
        <v>-6.9844339622641503</v>
      </c>
      <c r="T256" s="14">
        <f t="shared" si="39"/>
        <v>14.511033018867918</v>
      </c>
      <c r="U256" s="35" t="s">
        <v>49</v>
      </c>
      <c r="V256">
        <v>2811.8</v>
      </c>
      <c r="X256">
        <f t="shared" si="38"/>
        <v>250438.09999999992</v>
      </c>
      <c r="Y256">
        <f t="shared" si="41"/>
        <v>10736.900000000001</v>
      </c>
      <c r="Z256" s="35" t="s">
        <v>52</v>
      </c>
      <c r="AA256">
        <v>14.5019808581661</v>
      </c>
    </row>
    <row r="257" spans="1:27" x14ac:dyDescent="0.25">
      <c r="A257" s="78"/>
      <c r="B257" s="8"/>
      <c r="C257" s="9">
        <v>42135</v>
      </c>
      <c r="D257">
        <v>21.6</v>
      </c>
      <c r="E257">
        <v>16.2</v>
      </c>
      <c r="F257">
        <v>27.5</v>
      </c>
      <c r="G257">
        <f t="shared" si="35"/>
        <v>2980.5999999999995</v>
      </c>
      <c r="H257">
        <f t="shared" si="40"/>
        <v>111.4</v>
      </c>
      <c r="I257" s="16">
        <f>AVERAGE(D252:D269)</f>
        <v>16.68333333333333</v>
      </c>
      <c r="J257">
        <v>0</v>
      </c>
      <c r="K257">
        <f t="shared" si="36"/>
        <v>415.9</v>
      </c>
      <c r="L257">
        <v>6.7</v>
      </c>
      <c r="M257">
        <f t="shared" si="37"/>
        <v>485.59999999999985</v>
      </c>
      <c r="N257">
        <v>-6.7</v>
      </c>
      <c r="O257">
        <f t="shared" si="32"/>
        <v>31.300000000000015</v>
      </c>
      <c r="P257" s="5">
        <v>252</v>
      </c>
      <c r="Q257" s="21">
        <f t="shared" si="42"/>
        <v>1.0594339622641509</v>
      </c>
      <c r="R257" s="11">
        <f t="shared" si="33"/>
        <v>7.0982075471698112</v>
      </c>
      <c r="S257" s="11">
        <f t="shared" si="34"/>
        <v>-7.0982075471698112</v>
      </c>
      <c r="T257" s="14">
        <f t="shared" si="39"/>
        <v>7.412825471698107</v>
      </c>
      <c r="U257">
        <v>8</v>
      </c>
      <c r="V257">
        <v>2243.1</v>
      </c>
      <c r="X257">
        <f t="shared" si="38"/>
        <v>252681.19999999992</v>
      </c>
      <c r="Y257">
        <f t="shared" si="41"/>
        <v>12980.000000000002</v>
      </c>
      <c r="Z257">
        <v>0</v>
      </c>
      <c r="AA257">
        <v>14.541344874540799</v>
      </c>
    </row>
    <row r="258" spans="1:27" x14ac:dyDescent="0.25">
      <c r="A258" s="78"/>
      <c r="B258" s="8"/>
      <c r="C258" s="9">
        <v>42136</v>
      </c>
      <c r="D258">
        <v>20.7</v>
      </c>
      <c r="E258">
        <v>14.9</v>
      </c>
      <c r="F258">
        <v>25.9</v>
      </c>
      <c r="G258">
        <f t="shared" si="35"/>
        <v>3001.2999999999993</v>
      </c>
      <c r="H258">
        <f t="shared" si="40"/>
        <v>132.1</v>
      </c>
      <c r="I258" s="35" t="s">
        <v>44</v>
      </c>
      <c r="J258">
        <v>0</v>
      </c>
      <c r="K258">
        <f t="shared" si="36"/>
        <v>415.9</v>
      </c>
      <c r="L258">
        <v>5.0999999999999996</v>
      </c>
      <c r="M258">
        <f t="shared" si="37"/>
        <v>490.69999999999987</v>
      </c>
      <c r="N258">
        <v>-5.0999999999999996</v>
      </c>
      <c r="O258">
        <f t="shared" si="32"/>
        <v>26.200000000000017</v>
      </c>
      <c r="P258" s="5">
        <v>253</v>
      </c>
      <c r="Q258" s="21">
        <f t="shared" si="42"/>
        <v>1.0443396226415094</v>
      </c>
      <c r="R258" s="11">
        <f t="shared" si="33"/>
        <v>5.3261320754716976</v>
      </c>
      <c r="S258" s="11">
        <f t="shared" si="34"/>
        <v>-5.3261320754716976</v>
      </c>
      <c r="T258" s="14">
        <f t="shared" si="39"/>
        <v>2.0866933962264094</v>
      </c>
      <c r="U258" s="35" t="s">
        <v>30</v>
      </c>
      <c r="V258">
        <v>2494.1</v>
      </c>
      <c r="X258">
        <f t="shared" si="38"/>
        <v>255175.29999999993</v>
      </c>
      <c r="Y258">
        <f t="shared" si="41"/>
        <v>15474.100000000002</v>
      </c>
      <c r="AA258">
        <v>14.580155776856</v>
      </c>
    </row>
    <row r="259" spans="1:27" x14ac:dyDescent="0.25">
      <c r="A259" s="78"/>
      <c r="B259" s="8"/>
      <c r="C259" s="9">
        <v>42137</v>
      </c>
      <c r="D259">
        <v>20.100000000000001</v>
      </c>
      <c r="E259">
        <v>16.3</v>
      </c>
      <c r="F259">
        <v>25.5</v>
      </c>
      <c r="G259">
        <f t="shared" si="35"/>
        <v>3021.3999999999992</v>
      </c>
      <c r="H259">
        <f t="shared" si="40"/>
        <v>152.19999999999999</v>
      </c>
      <c r="I259">
        <v>0</v>
      </c>
      <c r="J259">
        <v>0</v>
      </c>
      <c r="K259">
        <f t="shared" si="36"/>
        <v>415.9</v>
      </c>
      <c r="L259">
        <v>3.9</v>
      </c>
      <c r="M259">
        <f t="shared" si="37"/>
        <v>494.59999999999985</v>
      </c>
      <c r="N259">
        <v>-3.9</v>
      </c>
      <c r="O259">
        <f t="shared" si="32"/>
        <v>22.300000000000018</v>
      </c>
      <c r="P259" s="5">
        <v>254</v>
      </c>
      <c r="Q259" s="21">
        <f t="shared" si="42"/>
        <v>1.0292452830188679</v>
      </c>
      <c r="R259" s="11">
        <f t="shared" si="33"/>
        <v>4.014056603773585</v>
      </c>
      <c r="S259" s="11">
        <f t="shared" si="34"/>
        <v>-4.014056603773585</v>
      </c>
      <c r="T259" s="14">
        <v>0</v>
      </c>
      <c r="U259">
        <v>0</v>
      </c>
      <c r="V259">
        <v>1802.7</v>
      </c>
      <c r="X259">
        <f t="shared" si="38"/>
        <v>256977.99999999994</v>
      </c>
      <c r="Y259">
        <f t="shared" si="41"/>
        <v>17276.800000000003</v>
      </c>
      <c r="AA259">
        <v>14.6183947962635</v>
      </c>
    </row>
    <row r="260" spans="1:27" x14ac:dyDescent="0.25">
      <c r="A260" s="78"/>
      <c r="B260" s="8"/>
      <c r="C260" s="9">
        <v>42138</v>
      </c>
      <c r="D260">
        <v>15.7</v>
      </c>
      <c r="E260">
        <v>14.6</v>
      </c>
      <c r="F260">
        <v>18.7</v>
      </c>
      <c r="G260">
        <f t="shared" si="35"/>
        <v>3037.099999999999</v>
      </c>
      <c r="H260">
        <f t="shared" si="40"/>
        <v>167.89999999999998</v>
      </c>
      <c r="I260" s="35" t="s">
        <v>45</v>
      </c>
      <c r="J260">
        <v>3.3</v>
      </c>
      <c r="K260">
        <f t="shared" si="36"/>
        <v>419.2</v>
      </c>
      <c r="L260">
        <v>4</v>
      </c>
      <c r="M260">
        <f t="shared" si="37"/>
        <v>498.59999999999985</v>
      </c>
      <c r="N260">
        <v>-0.70000000000000018</v>
      </c>
      <c r="O260">
        <f t="shared" ref="O260:O267" si="43">O259+N260</f>
        <v>21.600000000000019</v>
      </c>
      <c r="P260" s="5">
        <v>255</v>
      </c>
      <c r="Q260" s="21">
        <f t="shared" si="42"/>
        <v>1.0141509433962264</v>
      </c>
      <c r="R260" s="11">
        <f t="shared" si="33"/>
        <v>4.0566037735849054</v>
      </c>
      <c r="S260" s="11">
        <f t="shared" si="34"/>
        <v>-0.7566037735849056</v>
      </c>
      <c r="T260" s="14">
        <v>0</v>
      </c>
      <c r="U260" s="35" t="s">
        <v>31</v>
      </c>
      <c r="V260">
        <v>2070.8000000000002</v>
      </c>
      <c r="X260">
        <f t="shared" si="38"/>
        <v>259048.79999999993</v>
      </c>
      <c r="Y260">
        <f t="shared" si="41"/>
        <v>19347.600000000002</v>
      </c>
      <c r="AA260">
        <v>14.6560428975923</v>
      </c>
    </row>
    <row r="261" spans="1:27" x14ac:dyDescent="0.25">
      <c r="A261" s="78"/>
      <c r="B261" s="8"/>
      <c r="C261" s="9">
        <v>42139</v>
      </c>
      <c r="D261">
        <v>13.3</v>
      </c>
      <c r="E261">
        <v>11.1</v>
      </c>
      <c r="F261">
        <v>16.100000000000001</v>
      </c>
      <c r="G261">
        <f t="shared" si="35"/>
        <v>3050.3999999999992</v>
      </c>
      <c r="H261">
        <f t="shared" si="40"/>
        <v>181.2</v>
      </c>
      <c r="I261">
        <v>4</v>
      </c>
      <c r="J261">
        <v>1.8</v>
      </c>
      <c r="K261">
        <f t="shared" si="36"/>
        <v>421</v>
      </c>
      <c r="L261">
        <v>3.6</v>
      </c>
      <c r="M261">
        <f t="shared" si="37"/>
        <v>502.19999999999987</v>
      </c>
      <c r="N261">
        <v>-1.8</v>
      </c>
      <c r="O261">
        <f t="shared" si="43"/>
        <v>19.800000000000018</v>
      </c>
      <c r="P261" s="5">
        <v>256</v>
      </c>
      <c r="Q261" s="21">
        <f t="shared" si="42"/>
        <v>0.99905660377358485</v>
      </c>
      <c r="R261" s="11">
        <f t="shared" si="33"/>
        <v>3.5966037735849055</v>
      </c>
      <c r="S261" s="11">
        <f t="shared" si="34"/>
        <v>-1.7966037735849054</v>
      </c>
      <c r="T261" s="14">
        <v>0</v>
      </c>
      <c r="U261" s="16">
        <f>MAX(T252:T269)</f>
        <v>36.13310849056603</v>
      </c>
      <c r="V261">
        <v>1857.1</v>
      </c>
      <c r="X261">
        <f t="shared" si="38"/>
        <v>260905.89999999994</v>
      </c>
      <c r="Y261">
        <f t="shared" si="41"/>
        <v>21204.7</v>
      </c>
      <c r="AA261">
        <v>14.693080799939301</v>
      </c>
    </row>
    <row r="262" spans="1:27" x14ac:dyDescent="0.25">
      <c r="A262" s="78"/>
      <c r="B262" s="8"/>
      <c r="C262" s="9">
        <v>42140</v>
      </c>
      <c r="D262">
        <v>14.6</v>
      </c>
      <c r="E262">
        <v>11.9</v>
      </c>
      <c r="F262">
        <v>17</v>
      </c>
      <c r="G262">
        <f t="shared" si="35"/>
        <v>3064.9999999999991</v>
      </c>
      <c r="H262">
        <f t="shared" si="40"/>
        <v>195.79999999999998</v>
      </c>
      <c r="I262" s="35" t="s">
        <v>46</v>
      </c>
      <c r="J262">
        <v>0</v>
      </c>
      <c r="K262">
        <f t="shared" si="36"/>
        <v>421</v>
      </c>
      <c r="L262">
        <v>3.8</v>
      </c>
      <c r="M262">
        <f t="shared" si="37"/>
        <v>505.99999999999989</v>
      </c>
      <c r="N262">
        <v>-3.8</v>
      </c>
      <c r="O262">
        <f t="shared" si="43"/>
        <v>16.000000000000018</v>
      </c>
      <c r="P262" s="5">
        <v>257</v>
      </c>
      <c r="Q262" s="21">
        <f t="shared" si="42"/>
        <v>0.98396226415094334</v>
      </c>
      <c r="R262" s="11">
        <f t="shared" si="33"/>
        <v>3.7390566037735846</v>
      </c>
      <c r="S262" s="11">
        <f t="shared" si="34"/>
        <v>-3.7390566037735846</v>
      </c>
      <c r="T262" s="14">
        <v>0</v>
      </c>
      <c r="U262" s="35" t="s">
        <v>32</v>
      </c>
      <c r="V262">
        <v>2285.3000000000002</v>
      </c>
      <c r="X262">
        <f t="shared" si="38"/>
        <v>263191.19999999995</v>
      </c>
      <c r="Y262">
        <f t="shared" si="41"/>
        <v>23490</v>
      </c>
      <c r="AA262">
        <v>14.7294889991378</v>
      </c>
    </row>
    <row r="263" spans="1:27" x14ac:dyDescent="0.25">
      <c r="A263" s="78"/>
      <c r="B263" s="8"/>
      <c r="C263" s="9">
        <v>42141</v>
      </c>
      <c r="D263">
        <v>17.600000000000001</v>
      </c>
      <c r="E263">
        <v>14.3</v>
      </c>
      <c r="F263">
        <v>21.8</v>
      </c>
      <c r="G263">
        <f t="shared" si="35"/>
        <v>3082.599999999999</v>
      </c>
      <c r="H263">
        <f t="shared" si="40"/>
        <v>213.39999999999998</v>
      </c>
      <c r="I263">
        <v>0</v>
      </c>
      <c r="J263">
        <v>0</v>
      </c>
      <c r="K263">
        <f t="shared" si="36"/>
        <v>421</v>
      </c>
      <c r="L263">
        <v>4.5999999999999996</v>
      </c>
      <c r="M263">
        <f t="shared" si="37"/>
        <v>510.59999999999991</v>
      </c>
      <c r="N263">
        <v>-4.5999999999999996</v>
      </c>
      <c r="O263">
        <f t="shared" si="43"/>
        <v>11.400000000000018</v>
      </c>
      <c r="P263" s="5">
        <v>258</v>
      </c>
      <c r="Q263" s="21">
        <f t="shared" si="42"/>
        <v>0.96886792452830184</v>
      </c>
      <c r="R263" s="11">
        <f t="shared" ref="R263:R304" si="44">Q263*L263</f>
        <v>4.4567924528301885</v>
      </c>
      <c r="S263" s="11">
        <f t="shared" ref="S263:S304" si="45">J263-R263</f>
        <v>-4.4567924528301885</v>
      </c>
      <c r="T263" s="14">
        <v>0</v>
      </c>
      <c r="U263" s="15">
        <f>AVERAGE(T252:T269)</f>
        <v>7.800071540880503</v>
      </c>
      <c r="V263">
        <v>2335.4</v>
      </c>
      <c r="X263">
        <f t="shared" si="38"/>
        <v>265526.59999999998</v>
      </c>
      <c r="Y263">
        <f t="shared" si="41"/>
        <v>25825.4</v>
      </c>
      <c r="AA263">
        <v>14.765247792122301</v>
      </c>
    </row>
    <row r="264" spans="1:27" x14ac:dyDescent="0.25">
      <c r="A264" s="78"/>
      <c r="B264" s="8"/>
      <c r="C264" s="9">
        <v>42142</v>
      </c>
      <c r="D264">
        <v>17.8</v>
      </c>
      <c r="E264">
        <v>12.1</v>
      </c>
      <c r="F264">
        <v>23</v>
      </c>
      <c r="G264">
        <f t="shared" ref="G264:G304" si="46">G263+D264</f>
        <v>3100.3999999999992</v>
      </c>
      <c r="H264">
        <f t="shared" si="40"/>
        <v>231.2</v>
      </c>
      <c r="I264" s="35" t="s">
        <v>33</v>
      </c>
      <c r="J264">
        <v>2.1</v>
      </c>
      <c r="K264">
        <f t="shared" ref="K264:K304" si="47">K263+J264</f>
        <v>423.1</v>
      </c>
      <c r="L264">
        <v>4.5999999999999996</v>
      </c>
      <c r="M264">
        <f t="shared" ref="M264:M304" si="48">M263+L264</f>
        <v>515.19999999999993</v>
      </c>
      <c r="N264">
        <v>-2.4999999999999996</v>
      </c>
      <c r="O264">
        <f t="shared" si="43"/>
        <v>8.9000000000000181</v>
      </c>
      <c r="P264" s="5">
        <v>259</v>
      </c>
      <c r="Q264" s="21">
        <f t="shared" si="42"/>
        <v>0.95377358490566033</v>
      </c>
      <c r="R264" s="11">
        <f t="shared" si="44"/>
        <v>4.3873584905660374</v>
      </c>
      <c r="S264" s="11">
        <f t="shared" si="45"/>
        <v>-2.2873584905660374</v>
      </c>
      <c r="T264" s="14">
        <v>0</v>
      </c>
      <c r="V264">
        <v>2487.4</v>
      </c>
      <c r="X264">
        <f t="shared" ref="X264:X304" si="49">X263+V264</f>
        <v>268014</v>
      </c>
      <c r="Y264">
        <f t="shared" si="41"/>
        <v>28312.800000000003</v>
      </c>
      <c r="AA264">
        <v>14.800337303197701</v>
      </c>
    </row>
    <row r="265" spans="1:27" x14ac:dyDescent="0.25">
      <c r="A265" s="78"/>
      <c r="B265" s="8"/>
      <c r="C265" s="9">
        <v>42143</v>
      </c>
      <c r="D265">
        <v>12.5</v>
      </c>
      <c r="E265">
        <v>11.7</v>
      </c>
      <c r="F265">
        <v>13.7</v>
      </c>
      <c r="G265">
        <f t="shared" si="46"/>
        <v>3112.8999999999992</v>
      </c>
      <c r="H265">
        <f t="shared" si="40"/>
        <v>243.7</v>
      </c>
      <c r="I265">
        <v>300.3</v>
      </c>
      <c r="J265">
        <v>2.4</v>
      </c>
      <c r="K265">
        <f t="shared" si="47"/>
        <v>425.5</v>
      </c>
      <c r="L265">
        <v>2.9</v>
      </c>
      <c r="M265">
        <f t="shared" si="48"/>
        <v>518.09999999999991</v>
      </c>
      <c r="N265">
        <v>-0.5</v>
      </c>
      <c r="O265">
        <f t="shared" si="43"/>
        <v>8.4000000000000181</v>
      </c>
      <c r="P265" s="5">
        <v>260</v>
      </c>
      <c r="Q265" s="21">
        <f t="shared" si="42"/>
        <v>0.93867924528301883</v>
      </c>
      <c r="R265" s="11">
        <f t="shared" si="44"/>
        <v>2.7221698113207546</v>
      </c>
      <c r="S265" s="11">
        <f t="shared" si="45"/>
        <v>-0.32216981132075473</v>
      </c>
      <c r="T265" s="14">
        <v>0</v>
      </c>
      <c r="U265">
        <f>(U263*100)/122.1</f>
        <v>6.3882649802461131</v>
      </c>
      <c r="V265">
        <v>1833.4</v>
      </c>
      <c r="X265">
        <f t="shared" si="49"/>
        <v>269847.40000000002</v>
      </c>
      <c r="Y265">
        <f t="shared" si="41"/>
        <v>30146.200000000004</v>
      </c>
      <c r="AA265">
        <v>14.834737512209999</v>
      </c>
    </row>
    <row r="266" spans="1:27" x14ac:dyDescent="0.25">
      <c r="A266" s="78"/>
      <c r="B266" s="8"/>
      <c r="C266" s="9">
        <v>42144</v>
      </c>
      <c r="D266">
        <v>12.4</v>
      </c>
      <c r="E266">
        <v>10.4</v>
      </c>
      <c r="F266">
        <v>16.100000000000001</v>
      </c>
      <c r="G266">
        <f t="shared" si="46"/>
        <v>3125.2999999999993</v>
      </c>
      <c r="H266">
        <f t="shared" si="40"/>
        <v>256.09999999999997</v>
      </c>
      <c r="J266">
        <v>4.5</v>
      </c>
      <c r="K266">
        <f t="shared" si="47"/>
        <v>430</v>
      </c>
      <c r="L266">
        <v>3.8</v>
      </c>
      <c r="M266">
        <f t="shared" si="48"/>
        <v>521.89999999999986</v>
      </c>
      <c r="N266">
        <v>0.70000000000000018</v>
      </c>
      <c r="O266">
        <f t="shared" si="43"/>
        <v>9.1000000000000192</v>
      </c>
      <c r="P266" s="5">
        <v>261</v>
      </c>
      <c r="Q266" s="21">
        <f t="shared" si="42"/>
        <v>0.92358490566037732</v>
      </c>
      <c r="R266" s="11">
        <f t="shared" si="44"/>
        <v>3.5096226415094338</v>
      </c>
      <c r="S266" s="11">
        <f t="shared" si="45"/>
        <v>0.99037735849056618</v>
      </c>
      <c r="T266" s="14">
        <f t="shared" ref="T266:T304" si="50">MIN(122.1,(T265+S266))</f>
        <v>0.99037735849056618</v>
      </c>
      <c r="V266">
        <v>2133.6</v>
      </c>
      <c r="X266">
        <f t="shared" si="49"/>
        <v>271981</v>
      </c>
      <c r="Y266">
        <f t="shared" si="41"/>
        <v>32279.800000000003</v>
      </c>
      <c r="AA266">
        <v>14.868428284606299</v>
      </c>
    </row>
    <row r="267" spans="1:27" x14ac:dyDescent="0.25">
      <c r="A267" s="78"/>
      <c r="B267" s="8"/>
      <c r="C267" s="9">
        <v>42145</v>
      </c>
      <c r="D267">
        <v>13.5</v>
      </c>
      <c r="E267">
        <v>10</v>
      </c>
      <c r="F267">
        <v>16.7</v>
      </c>
      <c r="G267">
        <f t="shared" si="46"/>
        <v>3138.7999999999993</v>
      </c>
      <c r="H267">
        <f t="shared" si="40"/>
        <v>269.59999999999997</v>
      </c>
      <c r="J267">
        <v>0</v>
      </c>
      <c r="K267">
        <f t="shared" si="47"/>
        <v>430</v>
      </c>
      <c r="L267">
        <v>4.7</v>
      </c>
      <c r="M267">
        <f t="shared" si="48"/>
        <v>526.59999999999991</v>
      </c>
      <c r="N267">
        <v>-4.7</v>
      </c>
      <c r="O267">
        <f t="shared" si="43"/>
        <v>4.400000000000019</v>
      </c>
      <c r="P267" s="5">
        <v>262</v>
      </c>
      <c r="Q267" s="21">
        <f t="shared" si="42"/>
        <v>0.90849056603773581</v>
      </c>
      <c r="R267" s="11">
        <f t="shared" si="44"/>
        <v>4.2699056603773586</v>
      </c>
      <c r="S267" s="11">
        <f t="shared" si="45"/>
        <v>-4.2699056603773586</v>
      </c>
      <c r="T267" s="14">
        <v>0</v>
      </c>
      <c r="V267">
        <v>2499.8000000000002</v>
      </c>
      <c r="X267">
        <f t="shared" si="49"/>
        <v>274480.8</v>
      </c>
      <c r="Y267">
        <f t="shared" si="41"/>
        <v>34779.600000000006</v>
      </c>
      <c r="AA267">
        <v>14.9013894033589</v>
      </c>
    </row>
    <row r="268" spans="1:27" x14ac:dyDescent="0.25">
      <c r="A268" s="78"/>
      <c r="B268" s="8"/>
      <c r="C268" s="9">
        <v>42146</v>
      </c>
      <c r="D268">
        <v>15</v>
      </c>
      <c r="E268">
        <v>10.1</v>
      </c>
      <c r="F268">
        <v>19</v>
      </c>
      <c r="G268">
        <f t="shared" si="46"/>
        <v>3153.7999999999993</v>
      </c>
      <c r="H268">
        <f t="shared" si="40"/>
        <v>284.59999999999997</v>
      </c>
      <c r="J268">
        <v>0</v>
      </c>
      <c r="K268">
        <f t="shared" si="47"/>
        <v>430</v>
      </c>
      <c r="L268">
        <v>4.8</v>
      </c>
      <c r="M268">
        <f t="shared" si="48"/>
        <v>531.39999999999986</v>
      </c>
      <c r="N268">
        <v>-4.8</v>
      </c>
      <c r="O268">
        <v>0</v>
      </c>
      <c r="P268" s="5">
        <v>263</v>
      </c>
      <c r="Q268" s="21">
        <f t="shared" si="42"/>
        <v>0.89339622641509431</v>
      </c>
      <c r="R268" s="11">
        <f t="shared" si="44"/>
        <v>4.2883018867924525</v>
      </c>
      <c r="S268" s="11">
        <f t="shared" si="45"/>
        <v>-4.2883018867924525</v>
      </c>
      <c r="T268" s="14">
        <v>0</v>
      </c>
      <c r="V268">
        <v>2498.6</v>
      </c>
      <c r="X268">
        <f t="shared" si="49"/>
        <v>276979.39999999997</v>
      </c>
      <c r="Y268">
        <f t="shared" si="41"/>
        <v>37278.200000000004</v>
      </c>
      <c r="AA268">
        <v>14.933600602715901</v>
      </c>
    </row>
    <row r="269" spans="1:27" s="51" customFormat="1" ht="15.75" thickBot="1" x14ac:dyDescent="0.3">
      <c r="A269" s="78"/>
      <c r="B269" s="58">
        <v>600</v>
      </c>
      <c r="C269" s="50">
        <v>42147</v>
      </c>
      <c r="D269" s="51">
        <v>15.7</v>
      </c>
      <c r="E269" s="51">
        <v>11.3</v>
      </c>
      <c r="F269" s="51">
        <v>19.399999999999999</v>
      </c>
      <c r="G269" s="51">
        <f t="shared" si="46"/>
        <v>3169.4999999999991</v>
      </c>
      <c r="H269" s="51">
        <f t="shared" si="40"/>
        <v>300.29999999999995</v>
      </c>
      <c r="J269" s="51">
        <v>0</v>
      </c>
      <c r="K269" s="51">
        <f t="shared" si="47"/>
        <v>430</v>
      </c>
      <c r="L269" s="51">
        <v>4.3</v>
      </c>
      <c r="M269" s="51">
        <f t="shared" si="48"/>
        <v>535.69999999999982</v>
      </c>
      <c r="N269" s="51">
        <v>-4.3</v>
      </c>
      <c r="O269" s="51">
        <v>0</v>
      </c>
      <c r="P269" s="53">
        <v>264</v>
      </c>
      <c r="Q269" s="64">
        <f t="shared" si="42"/>
        <v>0.8783018867924528</v>
      </c>
      <c r="R269" s="55">
        <f t="shared" si="44"/>
        <v>3.776698113207547</v>
      </c>
      <c r="S269" s="55">
        <f t="shared" si="45"/>
        <v>-3.776698113207547</v>
      </c>
      <c r="T269" s="56">
        <v>0</v>
      </c>
      <c r="U269" s="55"/>
      <c r="V269" s="51">
        <v>2218.9</v>
      </c>
      <c r="X269" s="51">
        <f t="shared" si="49"/>
        <v>279198.3</v>
      </c>
      <c r="Y269" s="54">
        <f t="shared" si="41"/>
        <v>39497.100000000006</v>
      </c>
      <c r="AA269" s="51">
        <v>14.965041603728499</v>
      </c>
    </row>
    <row r="270" spans="1:27" x14ac:dyDescent="0.25">
      <c r="A270" s="71">
        <v>1000</v>
      </c>
      <c r="B270" s="8"/>
      <c r="C270" s="9">
        <v>42148</v>
      </c>
      <c r="D270">
        <v>18</v>
      </c>
      <c r="E270">
        <v>14.1</v>
      </c>
      <c r="F270">
        <v>21.5</v>
      </c>
      <c r="G270">
        <f t="shared" si="46"/>
        <v>3187.4999999999991</v>
      </c>
      <c r="H270">
        <v>18</v>
      </c>
      <c r="I270" s="37" t="s">
        <v>41</v>
      </c>
      <c r="J270">
        <v>0</v>
      </c>
      <c r="K270">
        <f t="shared" si="47"/>
        <v>430</v>
      </c>
      <c r="L270">
        <v>4.0999999999999996</v>
      </c>
      <c r="M270">
        <f t="shared" si="48"/>
        <v>539.79999999999984</v>
      </c>
      <c r="N270">
        <v>-4.0999999999999996</v>
      </c>
      <c r="O270">
        <v>0</v>
      </c>
      <c r="P270" s="5">
        <v>265</v>
      </c>
      <c r="Q270" s="21">
        <f t="shared" si="42"/>
        <v>0.8632075471698113</v>
      </c>
      <c r="R270" s="11">
        <f t="shared" si="44"/>
        <v>3.5391509433962258</v>
      </c>
      <c r="S270" s="11">
        <f t="shared" si="45"/>
        <v>-3.5391509433962258</v>
      </c>
      <c r="T270" s="14">
        <v>0</v>
      </c>
      <c r="U270" s="37" t="s">
        <v>28</v>
      </c>
      <c r="V270">
        <v>1864.2</v>
      </c>
      <c r="X270">
        <f t="shared" si="49"/>
        <v>281062.5</v>
      </c>
      <c r="Y270">
        <v>1864.2</v>
      </c>
      <c r="Z270" s="37" t="s">
        <v>51</v>
      </c>
      <c r="AA270">
        <v>14.995692151489401</v>
      </c>
    </row>
    <row r="271" spans="1:27" x14ac:dyDescent="0.25">
      <c r="A271" s="71"/>
      <c r="B271" s="8"/>
      <c r="C271" s="9">
        <v>42149</v>
      </c>
      <c r="D271">
        <v>16.8</v>
      </c>
      <c r="E271">
        <v>13.9</v>
      </c>
      <c r="F271">
        <v>19.899999999999999</v>
      </c>
      <c r="G271">
        <f t="shared" si="46"/>
        <v>3204.2999999999993</v>
      </c>
      <c r="H271">
        <f t="shared" si="40"/>
        <v>34.799999999999997</v>
      </c>
      <c r="I271">
        <f>MIN(E270:E289)</f>
        <v>12.4</v>
      </c>
      <c r="J271">
        <v>0</v>
      </c>
      <c r="K271">
        <f t="shared" si="47"/>
        <v>430</v>
      </c>
      <c r="L271">
        <v>3.5</v>
      </c>
      <c r="M271">
        <f t="shared" si="48"/>
        <v>543.29999999999984</v>
      </c>
      <c r="N271">
        <v>-3.5</v>
      </c>
      <c r="O271">
        <v>0</v>
      </c>
      <c r="P271" s="5">
        <v>266</v>
      </c>
      <c r="Q271" s="21">
        <f t="shared" si="42"/>
        <v>0.84811320754716979</v>
      </c>
      <c r="R271" s="11">
        <f t="shared" si="44"/>
        <v>2.968396226415094</v>
      </c>
      <c r="S271" s="11">
        <f t="shared" si="45"/>
        <v>-2.968396226415094</v>
      </c>
      <c r="T271" s="14">
        <v>0</v>
      </c>
      <c r="U271">
        <v>19</v>
      </c>
      <c r="V271">
        <v>1554.9</v>
      </c>
      <c r="X271">
        <f t="shared" si="49"/>
        <v>282617.40000000002</v>
      </c>
      <c r="Y271">
        <f t="shared" si="41"/>
        <v>3419.1000000000004</v>
      </c>
      <c r="Z271">
        <v>46286.1</v>
      </c>
      <c r="AA271">
        <v>15.0255320540036</v>
      </c>
    </row>
    <row r="272" spans="1:27" x14ac:dyDescent="0.25">
      <c r="A272" s="71"/>
      <c r="B272" s="8"/>
      <c r="C272" s="9">
        <v>42150</v>
      </c>
      <c r="D272">
        <v>15.8</v>
      </c>
      <c r="E272">
        <v>12.4</v>
      </c>
      <c r="F272">
        <v>19.899999999999999</v>
      </c>
      <c r="G272">
        <f t="shared" si="46"/>
        <v>3220.0999999999995</v>
      </c>
      <c r="H272">
        <f t="shared" si="40"/>
        <v>50.599999999999994</v>
      </c>
      <c r="I272" s="37" t="s">
        <v>42</v>
      </c>
      <c r="J272">
        <v>0</v>
      </c>
      <c r="K272">
        <f t="shared" si="47"/>
        <v>430</v>
      </c>
      <c r="L272">
        <v>4.7</v>
      </c>
      <c r="M272">
        <f t="shared" si="48"/>
        <v>547.99999999999989</v>
      </c>
      <c r="N272">
        <v>-4.7</v>
      </c>
      <c r="O272">
        <v>0</v>
      </c>
      <c r="P272" s="5">
        <v>267</v>
      </c>
      <c r="Q272" s="21">
        <f t="shared" si="42"/>
        <v>0.83301886792452828</v>
      </c>
      <c r="R272" s="11">
        <f t="shared" si="44"/>
        <v>3.9151886792452832</v>
      </c>
      <c r="S272" s="11">
        <f t="shared" si="45"/>
        <v>-3.9151886792452832</v>
      </c>
      <c r="T272" s="14">
        <v>0</v>
      </c>
      <c r="U272" s="38" t="s">
        <v>48</v>
      </c>
      <c r="V272">
        <v>2358.1999999999998</v>
      </c>
      <c r="X272">
        <f t="shared" si="49"/>
        <v>284975.60000000003</v>
      </c>
      <c r="Y272">
        <f t="shared" si="41"/>
        <v>5777.3</v>
      </c>
      <c r="Z272" s="37" t="s">
        <v>29</v>
      </c>
      <c r="AA272">
        <v>15.0545412225981</v>
      </c>
    </row>
    <row r="273" spans="1:27" x14ac:dyDescent="0.25">
      <c r="A273" s="71"/>
      <c r="B273" s="8"/>
      <c r="C273" s="9">
        <v>42151</v>
      </c>
      <c r="D273">
        <v>17.899999999999999</v>
      </c>
      <c r="E273">
        <v>12.8</v>
      </c>
      <c r="F273">
        <v>22.2</v>
      </c>
      <c r="G273">
        <f t="shared" si="46"/>
        <v>3237.9999999999995</v>
      </c>
      <c r="H273">
        <f t="shared" si="40"/>
        <v>68.5</v>
      </c>
      <c r="I273">
        <f>MAX(F270:F289)</f>
        <v>32.799999999999997</v>
      </c>
      <c r="J273">
        <v>0</v>
      </c>
      <c r="K273">
        <f t="shared" si="47"/>
        <v>430</v>
      </c>
      <c r="L273">
        <v>6.2</v>
      </c>
      <c r="M273">
        <f t="shared" si="48"/>
        <v>554.19999999999993</v>
      </c>
      <c r="N273">
        <v>-6.2</v>
      </c>
      <c r="O273">
        <v>0</v>
      </c>
      <c r="P273" s="5">
        <v>268</v>
      </c>
      <c r="Q273" s="21">
        <f t="shared" si="42"/>
        <v>0.81792452830188678</v>
      </c>
      <c r="R273" s="11">
        <f t="shared" si="44"/>
        <v>5.0711320754716978</v>
      </c>
      <c r="S273" s="11">
        <f t="shared" si="45"/>
        <v>-5.0711320754716978</v>
      </c>
      <c r="T273" s="14">
        <v>0</v>
      </c>
      <c r="U273">
        <v>18</v>
      </c>
      <c r="V273">
        <v>2905.4</v>
      </c>
      <c r="X273">
        <f t="shared" si="49"/>
        <v>287881.00000000006</v>
      </c>
      <c r="Y273">
        <f t="shared" si="41"/>
        <v>8682.7000000000007</v>
      </c>
      <c r="Z273" s="15">
        <f>(Z271/100)/I283</f>
        <v>1.1169425675675677</v>
      </c>
      <c r="AA273">
        <v>15.082699713760499</v>
      </c>
    </row>
    <row r="274" spans="1:27" s="24" customFormat="1" x14ac:dyDescent="0.25">
      <c r="A274" s="71"/>
      <c r="B274" s="22"/>
      <c r="C274" s="23">
        <v>42152</v>
      </c>
      <c r="D274" s="24">
        <v>19.399999999999999</v>
      </c>
      <c r="E274" s="24">
        <v>13.6</v>
      </c>
      <c r="F274" s="24">
        <v>25.1</v>
      </c>
      <c r="G274" s="24">
        <f t="shared" si="46"/>
        <v>3257.3999999999996</v>
      </c>
      <c r="H274" s="24">
        <f t="shared" si="40"/>
        <v>87.9</v>
      </c>
      <c r="I274" s="39" t="s">
        <v>43</v>
      </c>
      <c r="J274" s="24">
        <v>0</v>
      </c>
      <c r="K274" s="24">
        <f t="shared" si="47"/>
        <v>430</v>
      </c>
      <c r="L274" s="24">
        <v>4.8</v>
      </c>
      <c r="M274" s="24">
        <f t="shared" si="48"/>
        <v>558.99999999999989</v>
      </c>
      <c r="N274" s="24">
        <v>-4.8</v>
      </c>
      <c r="O274" s="24">
        <v>0</v>
      </c>
      <c r="P274" s="25">
        <v>269</v>
      </c>
      <c r="Q274" s="21">
        <f t="shared" si="42"/>
        <v>0.80283018867924527</v>
      </c>
      <c r="R274" s="26">
        <f t="shared" si="44"/>
        <v>3.853584905660377</v>
      </c>
      <c r="S274" s="26">
        <f t="shared" si="45"/>
        <v>-3.853584905660377</v>
      </c>
      <c r="T274" s="14">
        <v>0</v>
      </c>
      <c r="U274" s="37" t="s">
        <v>49</v>
      </c>
      <c r="V274" s="24">
        <v>2457.9</v>
      </c>
      <c r="X274" s="24">
        <f t="shared" si="49"/>
        <v>290338.90000000008</v>
      </c>
      <c r="Y274">
        <f t="shared" si="41"/>
        <v>11140.6</v>
      </c>
      <c r="Z274" s="39" t="s">
        <v>52</v>
      </c>
      <c r="AA274" s="24">
        <v>15.109987772282</v>
      </c>
    </row>
    <row r="275" spans="1:27" ht="15" customHeight="1" x14ac:dyDescent="0.25">
      <c r="A275" s="71"/>
      <c r="B275" s="8"/>
      <c r="C275" s="9">
        <v>42153</v>
      </c>
      <c r="D275">
        <v>17.8</v>
      </c>
      <c r="E275">
        <v>12.7</v>
      </c>
      <c r="F275">
        <v>22.7</v>
      </c>
      <c r="G275">
        <f t="shared" si="46"/>
        <v>3275.2</v>
      </c>
      <c r="H275">
        <f t="shared" si="40"/>
        <v>105.7</v>
      </c>
      <c r="I275" s="16">
        <f>AVERAGE(D270:D289)</f>
        <v>20.720000000000002</v>
      </c>
      <c r="J275">
        <v>0.1</v>
      </c>
      <c r="K275">
        <f t="shared" si="47"/>
        <v>430.1</v>
      </c>
      <c r="L275">
        <v>4.8</v>
      </c>
      <c r="M275">
        <f t="shared" si="48"/>
        <v>563.79999999999984</v>
      </c>
      <c r="N275">
        <v>-4.7</v>
      </c>
      <c r="O275">
        <v>0</v>
      </c>
      <c r="P275" s="5">
        <v>270</v>
      </c>
      <c r="Q275" s="21">
        <f t="shared" si="42"/>
        <v>0.78773584905660377</v>
      </c>
      <c r="R275" s="11">
        <f t="shared" si="44"/>
        <v>3.7811320754716977</v>
      </c>
      <c r="S275" s="11">
        <f t="shared" si="45"/>
        <v>-3.6811320754716976</v>
      </c>
      <c r="T275" s="14">
        <v>0</v>
      </c>
      <c r="U275">
        <v>2</v>
      </c>
      <c r="V275">
        <v>2156.1999999999998</v>
      </c>
      <c r="X275">
        <f t="shared" si="49"/>
        <v>292495.10000000009</v>
      </c>
      <c r="Y275">
        <f t="shared" si="41"/>
        <v>13296.8</v>
      </c>
      <c r="Z275">
        <v>0</v>
      </c>
      <c r="AA275">
        <v>15.136385875566001</v>
      </c>
    </row>
    <row r="276" spans="1:27" x14ac:dyDescent="0.25">
      <c r="A276" s="71"/>
      <c r="B276" s="8"/>
      <c r="C276" s="9">
        <v>42154</v>
      </c>
      <c r="D276">
        <v>17</v>
      </c>
      <c r="E276">
        <v>14.6</v>
      </c>
      <c r="F276">
        <v>20.3</v>
      </c>
      <c r="G276">
        <f t="shared" si="46"/>
        <v>3292.2</v>
      </c>
      <c r="H276">
        <f t="shared" si="40"/>
        <v>122.7</v>
      </c>
      <c r="I276" s="37" t="s">
        <v>44</v>
      </c>
      <c r="J276">
        <v>0</v>
      </c>
      <c r="K276">
        <f t="shared" si="47"/>
        <v>430.1</v>
      </c>
      <c r="L276">
        <v>4.5999999999999996</v>
      </c>
      <c r="M276">
        <f t="shared" si="48"/>
        <v>568.39999999999986</v>
      </c>
      <c r="N276">
        <v>-4.5999999999999996</v>
      </c>
      <c r="O276">
        <v>0</v>
      </c>
      <c r="P276" s="5">
        <v>271</v>
      </c>
      <c r="Q276" s="21">
        <f t="shared" si="42"/>
        <v>0.77264150943396226</v>
      </c>
      <c r="R276" s="11">
        <f t="shared" si="44"/>
        <v>3.5541509433962259</v>
      </c>
      <c r="S276" s="11">
        <f t="shared" si="45"/>
        <v>-3.5541509433962259</v>
      </c>
      <c r="T276" s="14">
        <v>0</v>
      </c>
      <c r="U276" s="37" t="s">
        <v>30</v>
      </c>
      <c r="V276">
        <v>2355.6</v>
      </c>
      <c r="X276">
        <f t="shared" si="49"/>
        <v>294850.70000000007</v>
      </c>
      <c r="Y276">
        <f t="shared" si="41"/>
        <v>15652.4</v>
      </c>
      <c r="AA276">
        <v>15.1618747789451</v>
      </c>
    </row>
    <row r="277" spans="1:27" x14ac:dyDescent="0.25">
      <c r="A277" s="71"/>
      <c r="B277" s="8"/>
      <c r="C277" s="9">
        <v>42155</v>
      </c>
      <c r="D277">
        <v>19.7</v>
      </c>
      <c r="E277">
        <v>13.6</v>
      </c>
      <c r="F277">
        <v>24.7</v>
      </c>
      <c r="G277">
        <f t="shared" si="46"/>
        <v>3311.8999999999996</v>
      </c>
      <c r="H277">
        <f t="shared" si="40"/>
        <v>142.4</v>
      </c>
      <c r="I277">
        <v>0</v>
      </c>
      <c r="J277">
        <v>0</v>
      </c>
      <c r="K277">
        <f t="shared" si="47"/>
        <v>430.1</v>
      </c>
      <c r="L277">
        <v>5.3</v>
      </c>
      <c r="M277">
        <f t="shared" si="48"/>
        <v>573.69999999999982</v>
      </c>
      <c r="N277">
        <v>-5.3</v>
      </c>
      <c r="O277">
        <v>0</v>
      </c>
      <c r="P277" s="5">
        <v>272</v>
      </c>
      <c r="Q277" s="21">
        <f t="shared" si="42"/>
        <v>0.75754716981132075</v>
      </c>
      <c r="R277" s="11">
        <f t="shared" si="44"/>
        <v>4.0149999999999997</v>
      </c>
      <c r="S277" s="11">
        <f t="shared" si="45"/>
        <v>-4.0149999999999997</v>
      </c>
      <c r="T277" s="14">
        <v>0</v>
      </c>
      <c r="U277">
        <v>0</v>
      </c>
      <c r="V277">
        <v>2593.6999999999998</v>
      </c>
      <c r="X277">
        <f t="shared" si="49"/>
        <v>297444.40000000008</v>
      </c>
      <c r="Y277">
        <f t="shared" si="41"/>
        <v>18246.099999999999</v>
      </c>
      <c r="AA277">
        <v>15.186435561837699</v>
      </c>
    </row>
    <row r="278" spans="1:27" x14ac:dyDescent="0.25">
      <c r="A278" s="71"/>
      <c r="B278" s="8"/>
      <c r="C278" s="9">
        <v>42156</v>
      </c>
      <c r="D278">
        <v>19.600000000000001</v>
      </c>
      <c r="E278">
        <v>16.7</v>
      </c>
      <c r="F278">
        <v>23.2</v>
      </c>
      <c r="G278">
        <f t="shared" si="46"/>
        <v>3331.4999999999995</v>
      </c>
      <c r="H278">
        <f t="shared" si="40"/>
        <v>162</v>
      </c>
      <c r="I278" s="37" t="s">
        <v>45</v>
      </c>
      <c r="J278">
        <v>0.1</v>
      </c>
      <c r="K278">
        <f t="shared" si="47"/>
        <v>430.20000000000005</v>
      </c>
      <c r="L278">
        <v>3.2</v>
      </c>
      <c r="M278">
        <f t="shared" si="48"/>
        <v>576.89999999999986</v>
      </c>
      <c r="N278">
        <v>-3.1</v>
      </c>
      <c r="O278">
        <v>0</v>
      </c>
      <c r="P278" s="5">
        <v>273</v>
      </c>
      <c r="Q278" s="21">
        <f t="shared" si="42"/>
        <v>0.74245283018867925</v>
      </c>
      <c r="R278" s="11">
        <f t="shared" si="44"/>
        <v>2.3758490566037738</v>
      </c>
      <c r="S278" s="11">
        <f t="shared" si="45"/>
        <v>-2.2758490566037737</v>
      </c>
      <c r="T278" s="14">
        <v>0</v>
      </c>
      <c r="U278" s="37" t="s">
        <v>31</v>
      </c>
      <c r="V278">
        <v>1551.4</v>
      </c>
      <c r="X278">
        <f t="shared" si="49"/>
        <v>298995.8000000001</v>
      </c>
      <c r="Y278">
        <f t="shared" si="41"/>
        <v>19797.5</v>
      </c>
      <c r="AA278">
        <v>15.2100496745591</v>
      </c>
    </row>
    <row r="279" spans="1:27" x14ac:dyDescent="0.25">
      <c r="A279" s="71"/>
      <c r="B279" s="8"/>
      <c r="C279" s="9">
        <v>42157</v>
      </c>
      <c r="D279">
        <v>22.8</v>
      </c>
      <c r="E279">
        <v>17.100000000000001</v>
      </c>
      <c r="F279">
        <v>28.3</v>
      </c>
      <c r="G279">
        <f t="shared" si="46"/>
        <v>3354.2999999999997</v>
      </c>
      <c r="H279">
        <f t="shared" si="40"/>
        <v>184.8</v>
      </c>
      <c r="I279">
        <v>10</v>
      </c>
      <c r="J279">
        <v>0</v>
      </c>
      <c r="K279">
        <f t="shared" si="47"/>
        <v>430.20000000000005</v>
      </c>
      <c r="L279">
        <v>6.4</v>
      </c>
      <c r="M279">
        <f t="shared" si="48"/>
        <v>583.29999999999984</v>
      </c>
      <c r="N279">
        <v>-6.4</v>
      </c>
      <c r="O279">
        <v>0</v>
      </c>
      <c r="P279" s="5">
        <v>274</v>
      </c>
      <c r="Q279" s="21">
        <f t="shared" si="42"/>
        <v>0.72735849056603774</v>
      </c>
      <c r="R279" s="11">
        <f t="shared" si="44"/>
        <v>4.6550943396226421</v>
      </c>
      <c r="S279" s="11">
        <f t="shared" si="45"/>
        <v>-4.6550943396226421</v>
      </c>
      <c r="T279" s="14">
        <v>0</v>
      </c>
      <c r="U279" s="16">
        <v>19.100000000000001</v>
      </c>
      <c r="V279">
        <v>3134.2</v>
      </c>
      <c r="X279">
        <f t="shared" si="49"/>
        <v>302130.00000000012</v>
      </c>
      <c r="Y279">
        <f t="shared" si="41"/>
        <v>22931.7</v>
      </c>
      <c r="AA279">
        <v>15.232698985588801</v>
      </c>
    </row>
    <row r="280" spans="1:27" x14ac:dyDescent="0.25">
      <c r="A280" s="71"/>
      <c r="B280" s="8"/>
      <c r="C280" s="9">
        <v>42158</v>
      </c>
      <c r="D280">
        <v>23.9</v>
      </c>
      <c r="E280">
        <v>18.3</v>
      </c>
      <c r="F280">
        <v>29.4</v>
      </c>
      <c r="G280">
        <f t="shared" si="46"/>
        <v>3378.2</v>
      </c>
      <c r="H280">
        <f t="shared" si="40"/>
        <v>208.70000000000002</v>
      </c>
      <c r="I280" s="37" t="s">
        <v>46</v>
      </c>
      <c r="J280">
        <v>0</v>
      </c>
      <c r="K280">
        <f t="shared" si="47"/>
        <v>430.20000000000005</v>
      </c>
      <c r="L280">
        <v>5.8</v>
      </c>
      <c r="M280">
        <f t="shared" si="48"/>
        <v>589.0999999999998</v>
      </c>
      <c r="N280">
        <v>-5.8</v>
      </c>
      <c r="O280">
        <v>0</v>
      </c>
      <c r="P280" s="5">
        <v>275</v>
      </c>
      <c r="Q280" s="21">
        <f t="shared" si="42"/>
        <v>0.71226415094339623</v>
      </c>
      <c r="R280" s="11">
        <f t="shared" si="44"/>
        <v>4.1311320754716983</v>
      </c>
      <c r="S280" s="11">
        <f t="shared" si="45"/>
        <v>-4.1311320754716983</v>
      </c>
      <c r="T280" s="14">
        <v>0</v>
      </c>
      <c r="U280" s="37" t="s">
        <v>32</v>
      </c>
      <c r="V280">
        <v>2704.4</v>
      </c>
      <c r="X280">
        <f t="shared" si="49"/>
        <v>304834.40000000014</v>
      </c>
      <c r="Y280">
        <f t="shared" si="41"/>
        <v>25636.100000000002</v>
      </c>
      <c r="AA280">
        <v>15.254365829083101</v>
      </c>
    </row>
    <row r="281" spans="1:27" x14ac:dyDescent="0.25">
      <c r="A281" s="71"/>
      <c r="B281" s="8"/>
      <c r="C281" s="9">
        <v>42159</v>
      </c>
      <c r="D281">
        <v>26.4</v>
      </c>
      <c r="E281">
        <v>20.8</v>
      </c>
      <c r="F281">
        <v>32.799999999999997</v>
      </c>
      <c r="G281">
        <f t="shared" si="46"/>
        <v>3404.6</v>
      </c>
      <c r="H281">
        <f t="shared" si="40"/>
        <v>235.10000000000002</v>
      </c>
      <c r="I281">
        <v>0</v>
      </c>
      <c r="J281">
        <v>0</v>
      </c>
      <c r="K281">
        <f t="shared" si="47"/>
        <v>430.20000000000005</v>
      </c>
      <c r="L281">
        <v>9</v>
      </c>
      <c r="M281">
        <f t="shared" si="48"/>
        <v>598.0999999999998</v>
      </c>
      <c r="N281">
        <v>-9</v>
      </c>
      <c r="O281">
        <v>0</v>
      </c>
      <c r="P281" s="5">
        <v>276</v>
      </c>
      <c r="Q281" s="21">
        <f t="shared" si="42"/>
        <v>0.69716981132075473</v>
      </c>
      <c r="R281" s="11">
        <f t="shared" si="44"/>
        <v>6.274528301886793</v>
      </c>
      <c r="S281" s="11">
        <f t="shared" si="45"/>
        <v>-6.274528301886793</v>
      </c>
      <c r="T281" s="14">
        <v>0</v>
      </c>
      <c r="U281" s="15">
        <f>AVERAGE(T270:T289)</f>
        <v>1.8323207547169809</v>
      </c>
      <c r="V281">
        <v>3260.2</v>
      </c>
      <c r="X281">
        <f t="shared" si="49"/>
        <v>308094.60000000015</v>
      </c>
      <c r="Y281">
        <f t="shared" si="41"/>
        <v>28896.300000000003</v>
      </c>
      <c r="AA281">
        <v>15.2750330524105</v>
      </c>
    </row>
    <row r="282" spans="1:27" x14ac:dyDescent="0.25">
      <c r="A282" s="71"/>
      <c r="B282" s="8"/>
      <c r="C282" s="9">
        <v>42160</v>
      </c>
      <c r="D282">
        <v>25.1</v>
      </c>
      <c r="E282">
        <v>19.899999999999999</v>
      </c>
      <c r="F282">
        <v>31</v>
      </c>
      <c r="G282">
        <f t="shared" si="46"/>
        <v>3429.7</v>
      </c>
      <c r="H282">
        <f t="shared" si="40"/>
        <v>260.20000000000005</v>
      </c>
      <c r="I282" s="37" t="s">
        <v>47</v>
      </c>
      <c r="J282">
        <v>0</v>
      </c>
      <c r="K282">
        <f t="shared" si="47"/>
        <v>430.20000000000005</v>
      </c>
      <c r="L282">
        <v>7.3</v>
      </c>
      <c r="M282">
        <f t="shared" si="48"/>
        <v>605.39999999999975</v>
      </c>
      <c r="N282">
        <v>-7.3</v>
      </c>
      <c r="O282">
        <v>0</v>
      </c>
      <c r="P282" s="5">
        <v>277</v>
      </c>
      <c r="Q282" s="21">
        <f t="shared" si="42"/>
        <v>0.68207547169811322</v>
      </c>
      <c r="R282" s="11">
        <f t="shared" si="44"/>
        <v>4.9791509433962267</v>
      </c>
      <c r="S282" s="11">
        <f t="shared" si="45"/>
        <v>-4.9791509433962267</v>
      </c>
      <c r="T282" s="14">
        <v>0</v>
      </c>
      <c r="V282">
        <v>3154.1</v>
      </c>
      <c r="X282">
        <f t="shared" si="49"/>
        <v>311248.70000000013</v>
      </c>
      <c r="Y282">
        <f t="shared" si="41"/>
        <v>32050.400000000001</v>
      </c>
      <c r="AA282">
        <v>15.2946840634769</v>
      </c>
    </row>
    <row r="283" spans="1:27" x14ac:dyDescent="0.25">
      <c r="A283" s="71"/>
      <c r="B283" s="8"/>
      <c r="C283" s="9">
        <v>42161</v>
      </c>
      <c r="D283">
        <v>22.3</v>
      </c>
      <c r="E283">
        <v>16.8</v>
      </c>
      <c r="F283">
        <v>26.8</v>
      </c>
      <c r="G283">
        <f t="shared" si="46"/>
        <v>3452</v>
      </c>
      <c r="H283">
        <f t="shared" si="40"/>
        <v>282.50000000000006</v>
      </c>
      <c r="I283">
        <v>414.4</v>
      </c>
      <c r="J283">
        <v>0</v>
      </c>
      <c r="K283">
        <f t="shared" si="47"/>
        <v>430.20000000000005</v>
      </c>
      <c r="L283">
        <v>5.8</v>
      </c>
      <c r="M283">
        <f t="shared" si="48"/>
        <v>611.1999999999997</v>
      </c>
      <c r="N283">
        <v>-5.8</v>
      </c>
      <c r="O283">
        <v>0</v>
      </c>
      <c r="P283" s="5">
        <v>278</v>
      </c>
      <c r="Q283" s="21">
        <f t="shared" si="42"/>
        <v>0.66698113207547172</v>
      </c>
      <c r="R283" s="11">
        <f t="shared" si="44"/>
        <v>3.8684905660377358</v>
      </c>
      <c r="S283" s="11">
        <f t="shared" si="45"/>
        <v>-3.8684905660377358</v>
      </c>
      <c r="T283" s="14">
        <v>0</v>
      </c>
      <c r="U283">
        <f>(U281*100)/122.1</f>
        <v>1.5006721987854064</v>
      </c>
      <c r="V283">
        <v>2487.6</v>
      </c>
      <c r="X283">
        <f t="shared" si="49"/>
        <v>313736.3000000001</v>
      </c>
      <c r="Y283">
        <f t="shared" si="41"/>
        <v>34538</v>
      </c>
      <c r="AA283">
        <v>15.313302877599099</v>
      </c>
    </row>
    <row r="284" spans="1:27" x14ac:dyDescent="0.25">
      <c r="A284" s="71"/>
      <c r="B284" s="8"/>
      <c r="C284" s="9">
        <v>42162</v>
      </c>
      <c r="D284">
        <v>23.8</v>
      </c>
      <c r="E284">
        <v>17.600000000000001</v>
      </c>
      <c r="F284">
        <v>28.8</v>
      </c>
      <c r="G284">
        <f t="shared" si="46"/>
        <v>3475.8</v>
      </c>
      <c r="H284">
        <f t="shared" si="40"/>
        <v>306.30000000000007</v>
      </c>
      <c r="J284">
        <v>0</v>
      </c>
      <c r="K284">
        <f t="shared" si="47"/>
        <v>430.20000000000005</v>
      </c>
      <c r="L284">
        <v>5.7</v>
      </c>
      <c r="M284">
        <f t="shared" si="48"/>
        <v>616.89999999999975</v>
      </c>
      <c r="N284">
        <v>-5.7</v>
      </c>
      <c r="O284">
        <v>0</v>
      </c>
      <c r="P284" s="5">
        <v>279</v>
      </c>
      <c r="Q284" s="21">
        <f t="shared" si="42"/>
        <v>0.65188679245283021</v>
      </c>
      <c r="R284" s="11">
        <f t="shared" si="44"/>
        <v>3.7157547169811322</v>
      </c>
      <c r="S284" s="11">
        <f t="shared" si="45"/>
        <v>-3.7157547169811322</v>
      </c>
      <c r="T284" s="14">
        <v>0</v>
      </c>
      <c r="V284">
        <v>2601.6</v>
      </c>
      <c r="X284">
        <f t="shared" si="49"/>
        <v>316337.90000000008</v>
      </c>
      <c r="Y284">
        <f t="shared" si="41"/>
        <v>37139.599999999999</v>
      </c>
      <c r="AA284">
        <v>15.3308741636784</v>
      </c>
    </row>
    <row r="285" spans="1:27" x14ac:dyDescent="0.25">
      <c r="A285" s="71"/>
      <c r="B285" s="8"/>
      <c r="C285" s="9">
        <v>42163</v>
      </c>
      <c r="D285">
        <v>24.7</v>
      </c>
      <c r="E285">
        <v>19.7</v>
      </c>
      <c r="F285">
        <v>29.9</v>
      </c>
      <c r="G285">
        <f t="shared" si="46"/>
        <v>3500.5</v>
      </c>
      <c r="H285">
        <f t="shared" si="40"/>
        <v>331.00000000000006</v>
      </c>
      <c r="J285">
        <v>1</v>
      </c>
      <c r="K285">
        <f t="shared" si="47"/>
        <v>431.20000000000005</v>
      </c>
      <c r="L285">
        <v>5.3</v>
      </c>
      <c r="M285">
        <f t="shared" si="48"/>
        <v>622.1999999999997</v>
      </c>
      <c r="N285">
        <v>-4.3</v>
      </c>
      <c r="O285">
        <v>0</v>
      </c>
      <c r="P285" s="5">
        <v>280</v>
      </c>
      <c r="Q285" s="21">
        <f t="shared" si="42"/>
        <v>0.6367924528301887</v>
      </c>
      <c r="R285" s="11">
        <f t="shared" si="44"/>
        <v>3.375</v>
      </c>
      <c r="S285" s="11">
        <f t="shared" si="45"/>
        <v>-2.375</v>
      </c>
      <c r="T285" s="14">
        <v>0</v>
      </c>
      <c r="V285">
        <v>1836.4</v>
      </c>
      <c r="X285">
        <f t="shared" si="49"/>
        <v>318174.3000000001</v>
      </c>
      <c r="Y285">
        <f t="shared" si="41"/>
        <v>38976</v>
      </c>
      <c r="AA285">
        <v>15.3473832894206</v>
      </c>
    </row>
    <row r="286" spans="1:27" x14ac:dyDescent="0.25">
      <c r="A286" s="71"/>
      <c r="B286" s="8"/>
      <c r="C286" s="9">
        <v>42164</v>
      </c>
      <c r="D286">
        <v>22.2</v>
      </c>
      <c r="E286">
        <v>17.8</v>
      </c>
      <c r="F286">
        <v>26.7</v>
      </c>
      <c r="G286">
        <f t="shared" si="46"/>
        <v>3522.7</v>
      </c>
      <c r="H286">
        <f t="shared" si="40"/>
        <v>353.20000000000005</v>
      </c>
      <c r="J286">
        <v>0.1</v>
      </c>
      <c r="K286">
        <f t="shared" si="47"/>
        <v>431.30000000000007</v>
      </c>
      <c r="L286">
        <v>5.6</v>
      </c>
      <c r="M286">
        <f t="shared" si="48"/>
        <v>627.79999999999973</v>
      </c>
      <c r="N286">
        <v>-5.5</v>
      </c>
      <c r="O286">
        <v>0</v>
      </c>
      <c r="P286" s="5">
        <v>281</v>
      </c>
      <c r="Q286" s="21">
        <f t="shared" si="42"/>
        <v>0.6216981132075472</v>
      </c>
      <c r="R286" s="11">
        <f t="shared" si="44"/>
        <v>3.4815094339622643</v>
      </c>
      <c r="S286" s="11">
        <f t="shared" si="45"/>
        <v>-3.3815094339622642</v>
      </c>
      <c r="T286" s="14">
        <v>0</v>
      </c>
      <c r="V286">
        <v>2222.6</v>
      </c>
      <c r="X286">
        <f t="shared" si="49"/>
        <v>320396.90000000008</v>
      </c>
      <c r="Y286">
        <f t="shared" si="41"/>
        <v>41198.6</v>
      </c>
      <c r="AA286">
        <v>15.3628163653462</v>
      </c>
    </row>
    <row r="287" spans="1:27" x14ac:dyDescent="0.25">
      <c r="A287" s="71"/>
      <c r="B287" s="8"/>
      <c r="C287" s="9">
        <v>42165</v>
      </c>
      <c r="D287">
        <v>19.100000000000001</v>
      </c>
      <c r="E287">
        <v>16.3</v>
      </c>
      <c r="F287">
        <v>23.2</v>
      </c>
      <c r="G287">
        <f t="shared" si="46"/>
        <v>3541.7999999999997</v>
      </c>
      <c r="H287">
        <f t="shared" si="40"/>
        <v>372.30000000000007</v>
      </c>
      <c r="J287">
        <v>0</v>
      </c>
      <c r="K287">
        <f t="shared" si="47"/>
        <v>431.30000000000007</v>
      </c>
      <c r="L287">
        <v>3.3</v>
      </c>
      <c r="M287">
        <f t="shared" si="48"/>
        <v>631.09999999999968</v>
      </c>
      <c r="N287">
        <v>-3.3</v>
      </c>
      <c r="O287">
        <v>0</v>
      </c>
      <c r="P287" s="5">
        <v>282</v>
      </c>
      <c r="Q287" s="21">
        <f t="shared" si="42"/>
        <v>0.60660377358490569</v>
      </c>
      <c r="R287" s="11">
        <f t="shared" si="44"/>
        <v>2.0017924528301885</v>
      </c>
      <c r="S287" s="11">
        <f t="shared" si="45"/>
        <v>-2.0017924528301885</v>
      </c>
      <c r="T287" s="14">
        <v>0</v>
      </c>
      <c r="V287">
        <v>1611.4</v>
      </c>
      <c r="X287">
        <f t="shared" si="49"/>
        <v>322008.3000000001</v>
      </c>
      <c r="Y287">
        <f t="shared" si="41"/>
        <v>42810</v>
      </c>
      <c r="AA287">
        <v>15.3771602873346</v>
      </c>
    </row>
    <row r="288" spans="1:27" x14ac:dyDescent="0.25">
      <c r="A288" s="71"/>
      <c r="B288" s="8"/>
      <c r="C288" s="9">
        <v>42166</v>
      </c>
      <c r="D288">
        <v>22.9</v>
      </c>
      <c r="E288">
        <v>19.2</v>
      </c>
      <c r="F288">
        <v>28.3</v>
      </c>
      <c r="G288">
        <f t="shared" si="46"/>
        <v>3564.7</v>
      </c>
      <c r="H288">
        <f t="shared" si="40"/>
        <v>395.20000000000005</v>
      </c>
      <c r="J288">
        <v>21.9</v>
      </c>
      <c r="K288">
        <f t="shared" si="47"/>
        <v>453.20000000000005</v>
      </c>
      <c r="L288">
        <v>4.8</v>
      </c>
      <c r="M288">
        <f t="shared" si="48"/>
        <v>635.89999999999964</v>
      </c>
      <c r="N288">
        <v>17.099999999999998</v>
      </c>
      <c r="O288">
        <f t="shared" ref="O288:O301" si="51">O287+N288</f>
        <v>17.099999999999998</v>
      </c>
      <c r="P288" s="5">
        <v>283</v>
      </c>
      <c r="Q288" s="21">
        <f t="shared" si="42"/>
        <v>0.59150943396226419</v>
      </c>
      <c r="R288" s="11">
        <f t="shared" si="44"/>
        <v>2.8392452830188679</v>
      </c>
      <c r="S288" s="11">
        <f t="shared" si="45"/>
        <v>19.06075471698113</v>
      </c>
      <c r="T288" s="14">
        <f t="shared" si="50"/>
        <v>19.06075471698113</v>
      </c>
      <c r="U288" s="16"/>
      <c r="V288">
        <v>1684.2</v>
      </c>
      <c r="X288">
        <f t="shared" si="49"/>
        <v>323692.50000000012</v>
      </c>
      <c r="Y288">
        <f t="shared" si="41"/>
        <v>44494.2</v>
      </c>
      <c r="AA288">
        <v>15.390402777444899</v>
      </c>
    </row>
    <row r="289" spans="1:27" s="51" customFormat="1" ht="15.75" thickBot="1" x14ac:dyDescent="0.3">
      <c r="A289" s="71"/>
      <c r="B289" s="58">
        <v>1000</v>
      </c>
      <c r="C289" s="50">
        <v>42167</v>
      </c>
      <c r="D289" s="51">
        <v>19.2</v>
      </c>
      <c r="E289" s="51">
        <v>16.7</v>
      </c>
      <c r="F289" s="51">
        <v>21.8</v>
      </c>
      <c r="G289" s="51">
        <f t="shared" si="46"/>
        <v>3583.8999999999996</v>
      </c>
      <c r="H289" s="51">
        <f t="shared" si="40"/>
        <v>414.40000000000003</v>
      </c>
      <c r="J289" s="51">
        <v>0.6</v>
      </c>
      <c r="K289" s="51">
        <f t="shared" si="47"/>
        <v>453.80000000000007</v>
      </c>
      <c r="L289" s="51">
        <v>3.6</v>
      </c>
      <c r="M289" s="51">
        <f t="shared" si="48"/>
        <v>639.49999999999966</v>
      </c>
      <c r="N289" s="51">
        <v>-3</v>
      </c>
      <c r="O289" s="51">
        <f t="shared" si="51"/>
        <v>14.099999999999998</v>
      </c>
      <c r="P289" s="53">
        <v>284</v>
      </c>
      <c r="Q289" s="64">
        <f t="shared" si="42"/>
        <v>0.57641509433962268</v>
      </c>
      <c r="R289" s="55">
        <f t="shared" si="44"/>
        <v>2.0750943396226416</v>
      </c>
      <c r="S289" s="55">
        <f t="shared" si="45"/>
        <v>-1.4750943396226415</v>
      </c>
      <c r="T289" s="56">
        <f t="shared" si="50"/>
        <v>17.585660377358487</v>
      </c>
      <c r="V289" s="51">
        <v>1791.9</v>
      </c>
      <c r="X289" s="51">
        <f t="shared" si="49"/>
        <v>325484.40000000014</v>
      </c>
      <c r="Y289" s="54">
        <f t="shared" si="41"/>
        <v>46286.1</v>
      </c>
      <c r="AA289" s="51">
        <v>15.4025324227652</v>
      </c>
    </row>
    <row r="290" spans="1:27" x14ac:dyDescent="0.25">
      <c r="A290" s="40"/>
      <c r="B290" s="8"/>
      <c r="C290" s="9">
        <v>42168</v>
      </c>
      <c r="D290">
        <v>19.399999999999999</v>
      </c>
      <c r="E290">
        <v>16.3</v>
      </c>
      <c r="F290">
        <v>26.4</v>
      </c>
      <c r="G290">
        <f t="shared" si="46"/>
        <v>3603.2999999999997</v>
      </c>
      <c r="H290">
        <v>19.399999999999999</v>
      </c>
      <c r="J290">
        <v>31</v>
      </c>
      <c r="K290">
        <f t="shared" si="47"/>
        <v>484.80000000000007</v>
      </c>
      <c r="L290">
        <v>4.2</v>
      </c>
      <c r="M290">
        <f t="shared" si="48"/>
        <v>643.6999999999997</v>
      </c>
      <c r="N290">
        <v>26.8</v>
      </c>
      <c r="O290">
        <f t="shared" si="51"/>
        <v>40.9</v>
      </c>
      <c r="P290" s="5">
        <v>285</v>
      </c>
      <c r="Q290" s="21">
        <f t="shared" si="42"/>
        <v>0.56132075471698117</v>
      </c>
      <c r="R290" s="11">
        <f t="shared" si="44"/>
        <v>2.3575471698113208</v>
      </c>
      <c r="S290" s="11">
        <f t="shared" si="45"/>
        <v>28.642452830188681</v>
      </c>
      <c r="T290" s="14">
        <f t="shared" si="50"/>
        <v>46.228113207547167</v>
      </c>
      <c r="V290">
        <v>1744</v>
      </c>
      <c r="X290">
        <f t="shared" si="49"/>
        <v>327228.40000000014</v>
      </c>
      <c r="Y290">
        <v>1744</v>
      </c>
      <c r="AA290">
        <v>15.413538712043101</v>
      </c>
    </row>
    <row r="291" spans="1:27" x14ac:dyDescent="0.25">
      <c r="A291" s="40"/>
      <c r="B291" s="8"/>
      <c r="C291" s="9">
        <v>42169</v>
      </c>
      <c r="D291">
        <v>18.7</v>
      </c>
      <c r="E291">
        <v>14.3</v>
      </c>
      <c r="F291">
        <v>21.9</v>
      </c>
      <c r="G291">
        <f t="shared" si="46"/>
        <v>3621.9999999999995</v>
      </c>
      <c r="H291">
        <f t="shared" si="40"/>
        <v>38.099999999999994</v>
      </c>
      <c r="J291">
        <v>2.7</v>
      </c>
      <c r="K291">
        <f t="shared" si="47"/>
        <v>487.50000000000006</v>
      </c>
      <c r="L291">
        <v>2.6</v>
      </c>
      <c r="M291">
        <f t="shared" si="48"/>
        <v>646.29999999999973</v>
      </c>
      <c r="N291">
        <v>0.10000000000000009</v>
      </c>
      <c r="O291">
        <f t="shared" si="51"/>
        <v>41</v>
      </c>
      <c r="P291" s="5">
        <v>286</v>
      </c>
      <c r="Q291" s="21">
        <f t="shared" si="42"/>
        <v>0.54622641509433956</v>
      </c>
      <c r="R291" s="11">
        <f t="shared" si="44"/>
        <v>1.4201886792452829</v>
      </c>
      <c r="S291" s="11">
        <f t="shared" si="45"/>
        <v>1.2798113207547173</v>
      </c>
      <c r="T291" s="14">
        <f t="shared" si="50"/>
        <v>47.507924528301885</v>
      </c>
      <c r="V291">
        <v>1332.7</v>
      </c>
      <c r="X291">
        <f t="shared" si="49"/>
        <v>328561.10000000015</v>
      </c>
      <c r="Y291">
        <f t="shared" si="41"/>
        <v>3076.7</v>
      </c>
      <c r="AA291">
        <v>15.423412069863</v>
      </c>
    </row>
    <row r="292" spans="1:27" x14ac:dyDescent="0.25">
      <c r="A292" s="40"/>
      <c r="B292" s="8"/>
      <c r="C292" s="9">
        <v>42170</v>
      </c>
      <c r="D292">
        <v>19.7</v>
      </c>
      <c r="E292">
        <v>15.6</v>
      </c>
      <c r="F292">
        <v>23.5</v>
      </c>
      <c r="G292">
        <f t="shared" si="46"/>
        <v>3641.6999999999994</v>
      </c>
      <c r="H292">
        <f t="shared" si="40"/>
        <v>57.8</v>
      </c>
      <c r="J292">
        <v>3.3</v>
      </c>
      <c r="K292">
        <f t="shared" si="47"/>
        <v>490.80000000000007</v>
      </c>
      <c r="L292">
        <v>4.9000000000000004</v>
      </c>
      <c r="M292">
        <f t="shared" si="48"/>
        <v>651.1999999999997</v>
      </c>
      <c r="N292">
        <v>-1.6000000000000005</v>
      </c>
      <c r="O292">
        <f t="shared" si="51"/>
        <v>39.4</v>
      </c>
      <c r="P292" s="5">
        <v>287</v>
      </c>
      <c r="Q292" s="21">
        <f t="shared" si="42"/>
        <v>0.53113207547169805</v>
      </c>
      <c r="R292" s="11">
        <f t="shared" si="44"/>
        <v>2.6025471698113205</v>
      </c>
      <c r="S292" s="11">
        <f t="shared" si="45"/>
        <v>0.69745283018867932</v>
      </c>
      <c r="T292" s="14">
        <f t="shared" si="50"/>
        <v>48.205377358490566</v>
      </c>
      <c r="V292">
        <v>2408.6</v>
      </c>
      <c r="X292">
        <f t="shared" si="49"/>
        <v>330969.70000000013</v>
      </c>
      <c r="Y292">
        <f t="shared" si="41"/>
        <v>5485.2999999999993</v>
      </c>
      <c r="AA292">
        <v>15.4321438881475</v>
      </c>
    </row>
    <row r="293" spans="1:27" s="24" customFormat="1" x14ac:dyDescent="0.25">
      <c r="A293" s="41"/>
      <c r="B293" s="22"/>
      <c r="C293" s="23">
        <v>42171</v>
      </c>
      <c r="D293" s="24">
        <v>16.5</v>
      </c>
      <c r="E293" s="24">
        <v>15.8</v>
      </c>
      <c r="F293" s="24">
        <v>17.7</v>
      </c>
      <c r="G293" s="24">
        <f t="shared" si="46"/>
        <v>3658.1999999999994</v>
      </c>
      <c r="H293" s="24">
        <f t="shared" si="40"/>
        <v>74.3</v>
      </c>
      <c r="J293" s="24">
        <v>15.9</v>
      </c>
      <c r="K293" s="24">
        <f t="shared" si="47"/>
        <v>506.70000000000005</v>
      </c>
      <c r="L293" s="24">
        <v>1.6</v>
      </c>
      <c r="M293" s="24">
        <f t="shared" si="48"/>
        <v>652.79999999999973</v>
      </c>
      <c r="N293" s="24">
        <v>14.3</v>
      </c>
      <c r="O293" s="24">
        <f t="shared" si="51"/>
        <v>53.7</v>
      </c>
      <c r="P293" s="25">
        <v>288</v>
      </c>
      <c r="Q293" s="21">
        <f t="shared" si="42"/>
        <v>0.51603773584905654</v>
      </c>
      <c r="R293" s="26">
        <f t="shared" si="44"/>
        <v>0.82566037735849052</v>
      </c>
      <c r="S293" s="26">
        <f t="shared" si="45"/>
        <v>15.07433962264151</v>
      </c>
      <c r="T293" s="14">
        <f t="shared" si="50"/>
        <v>63.279716981132076</v>
      </c>
      <c r="V293" s="24">
        <v>734.7</v>
      </c>
      <c r="X293" s="24">
        <f t="shared" si="49"/>
        <v>331704.40000000014</v>
      </c>
      <c r="Y293">
        <f t="shared" si="41"/>
        <v>6219.9999999999991</v>
      </c>
      <c r="AA293" s="24">
        <v>15.439726554770701</v>
      </c>
    </row>
    <row r="294" spans="1:27" ht="15" customHeight="1" x14ac:dyDescent="0.25">
      <c r="A294" s="40"/>
      <c r="B294" s="42"/>
      <c r="C294" s="9">
        <v>42172</v>
      </c>
      <c r="D294">
        <v>19.3</v>
      </c>
      <c r="E294">
        <v>14.9</v>
      </c>
      <c r="F294">
        <v>23</v>
      </c>
      <c r="G294">
        <f t="shared" si="46"/>
        <v>3677.4999999999995</v>
      </c>
      <c r="H294">
        <f t="shared" si="40"/>
        <v>93.6</v>
      </c>
      <c r="J294">
        <v>0</v>
      </c>
      <c r="K294">
        <f t="shared" si="47"/>
        <v>506.70000000000005</v>
      </c>
      <c r="L294">
        <v>5.7</v>
      </c>
      <c r="M294">
        <f t="shared" si="48"/>
        <v>658.49999999999977</v>
      </c>
      <c r="N294">
        <v>-5.7</v>
      </c>
      <c r="O294">
        <f t="shared" si="51"/>
        <v>48</v>
      </c>
      <c r="P294" s="5">
        <v>289</v>
      </c>
      <c r="Q294" s="21">
        <f t="shared" si="42"/>
        <v>0.50094339622641504</v>
      </c>
      <c r="R294" s="11">
        <f t="shared" si="44"/>
        <v>2.855377358490566</v>
      </c>
      <c r="S294" s="11">
        <f t="shared" si="45"/>
        <v>-2.855377358490566</v>
      </c>
      <c r="T294" s="14">
        <f t="shared" si="50"/>
        <v>60.424339622641511</v>
      </c>
      <c r="V294">
        <v>2570.4</v>
      </c>
      <c r="X294">
        <f t="shared" si="49"/>
        <v>334274.80000000016</v>
      </c>
      <c r="Y294">
        <f t="shared" si="41"/>
        <v>8790.4</v>
      </c>
      <c r="AA294">
        <v>15.4461534790925</v>
      </c>
    </row>
    <row r="295" spans="1:27" x14ac:dyDescent="0.25">
      <c r="A295" s="40"/>
      <c r="B295" s="42"/>
      <c r="C295" s="9">
        <v>42173</v>
      </c>
      <c r="D295">
        <v>20.399999999999999</v>
      </c>
      <c r="E295">
        <v>15.9</v>
      </c>
      <c r="F295">
        <v>25</v>
      </c>
      <c r="G295">
        <f t="shared" si="46"/>
        <v>3697.8999999999996</v>
      </c>
      <c r="H295">
        <f t="shared" si="40"/>
        <v>114</v>
      </c>
      <c r="J295">
        <v>0</v>
      </c>
      <c r="K295">
        <f t="shared" si="47"/>
        <v>506.70000000000005</v>
      </c>
      <c r="L295">
        <v>6</v>
      </c>
      <c r="M295">
        <f t="shared" si="48"/>
        <v>664.49999999999977</v>
      </c>
      <c r="N295">
        <v>-6</v>
      </c>
      <c r="O295">
        <f t="shared" si="51"/>
        <v>42</v>
      </c>
      <c r="P295" s="5">
        <v>290</v>
      </c>
      <c r="Q295" s="21">
        <f t="shared" si="42"/>
        <v>0.48584905660377353</v>
      </c>
      <c r="R295" s="11">
        <f t="shared" si="44"/>
        <v>2.915094339622641</v>
      </c>
      <c r="S295" s="11">
        <f t="shared" si="45"/>
        <v>-2.915094339622641</v>
      </c>
      <c r="T295" s="14">
        <f t="shared" si="50"/>
        <v>57.509245283018871</v>
      </c>
      <c r="V295">
        <v>2457.8000000000002</v>
      </c>
      <c r="X295">
        <f t="shared" si="49"/>
        <v>336732.60000000015</v>
      </c>
      <c r="Y295">
        <f t="shared" si="41"/>
        <v>11248.2</v>
      </c>
      <c r="AA295">
        <v>15.4514191142367</v>
      </c>
    </row>
    <row r="296" spans="1:27" x14ac:dyDescent="0.25">
      <c r="A296" s="40"/>
      <c r="B296" s="42"/>
      <c r="C296" s="9">
        <v>42174</v>
      </c>
      <c r="D296">
        <v>19.5</v>
      </c>
      <c r="E296">
        <v>17</v>
      </c>
      <c r="F296">
        <v>23.5</v>
      </c>
      <c r="G296">
        <f t="shared" si="46"/>
        <v>3717.3999999999996</v>
      </c>
      <c r="H296">
        <f t="shared" si="40"/>
        <v>133.5</v>
      </c>
      <c r="J296">
        <v>0</v>
      </c>
      <c r="K296">
        <f t="shared" si="47"/>
        <v>506.70000000000005</v>
      </c>
      <c r="L296">
        <v>5.8</v>
      </c>
      <c r="M296">
        <f t="shared" si="48"/>
        <v>670.29999999999973</v>
      </c>
      <c r="N296">
        <v>-5.8</v>
      </c>
      <c r="O296">
        <f t="shared" si="51"/>
        <v>36.200000000000003</v>
      </c>
      <c r="P296" s="5">
        <v>291</v>
      </c>
      <c r="Q296" s="21">
        <f t="shared" si="42"/>
        <v>0.47075471698113203</v>
      </c>
      <c r="R296" s="11">
        <f t="shared" si="44"/>
        <v>2.7303773584905655</v>
      </c>
      <c r="S296" s="11">
        <f t="shared" si="45"/>
        <v>-2.7303773584905655</v>
      </c>
      <c r="T296" s="14">
        <f t="shared" si="50"/>
        <v>54.778867924528306</v>
      </c>
      <c r="V296">
        <v>2759.9</v>
      </c>
      <c r="X296">
        <f t="shared" si="49"/>
        <v>339492.50000000017</v>
      </c>
      <c r="Y296">
        <f t="shared" si="41"/>
        <v>14008.1</v>
      </c>
      <c r="AA296">
        <v>15.455518975960601</v>
      </c>
    </row>
    <row r="297" spans="1:27" x14ac:dyDescent="0.25">
      <c r="A297" s="40"/>
      <c r="B297" s="42"/>
      <c r="C297" s="9">
        <v>42175</v>
      </c>
      <c r="D297">
        <v>21</v>
      </c>
      <c r="E297">
        <v>15.8</v>
      </c>
      <c r="F297">
        <v>25.5</v>
      </c>
      <c r="G297">
        <f t="shared" si="46"/>
        <v>3738.3999999999996</v>
      </c>
      <c r="H297">
        <f t="shared" si="40"/>
        <v>154.5</v>
      </c>
      <c r="J297">
        <v>0</v>
      </c>
      <c r="K297">
        <f t="shared" si="47"/>
        <v>506.70000000000005</v>
      </c>
      <c r="L297">
        <v>6.7</v>
      </c>
      <c r="M297">
        <f t="shared" si="48"/>
        <v>676.99999999999977</v>
      </c>
      <c r="N297">
        <v>-6.7</v>
      </c>
      <c r="O297">
        <f t="shared" si="51"/>
        <v>29.500000000000004</v>
      </c>
      <c r="P297" s="5">
        <v>292</v>
      </c>
      <c r="Q297" s="21">
        <f t="shared" si="42"/>
        <v>0.45566037735849052</v>
      </c>
      <c r="R297" s="11">
        <f t="shared" si="44"/>
        <v>3.0529245283018867</v>
      </c>
      <c r="S297" s="11">
        <f t="shared" si="45"/>
        <v>-3.0529245283018867</v>
      </c>
      <c r="T297" s="14">
        <f t="shared" si="50"/>
        <v>51.72594339622642</v>
      </c>
      <c r="V297">
        <v>3162.5</v>
      </c>
      <c r="X297">
        <f t="shared" si="49"/>
        <v>342655.00000000017</v>
      </c>
      <c r="Y297">
        <f t="shared" si="41"/>
        <v>17170.599999999999</v>
      </c>
      <c r="AA297">
        <v>15.458449657982399</v>
      </c>
    </row>
    <row r="298" spans="1:27" x14ac:dyDescent="0.25">
      <c r="A298" s="40"/>
      <c r="B298" s="42"/>
      <c r="C298" s="9">
        <v>42176</v>
      </c>
      <c r="D298">
        <v>23</v>
      </c>
      <c r="E298">
        <v>17.3</v>
      </c>
      <c r="F298">
        <v>28.1</v>
      </c>
      <c r="G298">
        <f t="shared" si="46"/>
        <v>3761.3999999999996</v>
      </c>
      <c r="H298">
        <f t="shared" si="40"/>
        <v>177.5</v>
      </c>
      <c r="J298">
        <v>0</v>
      </c>
      <c r="K298">
        <f t="shared" si="47"/>
        <v>506.70000000000005</v>
      </c>
      <c r="L298">
        <v>5.8</v>
      </c>
      <c r="M298">
        <f t="shared" si="48"/>
        <v>682.79999999999973</v>
      </c>
      <c r="N298">
        <v>-5.8</v>
      </c>
      <c r="O298">
        <f t="shared" si="51"/>
        <v>23.700000000000003</v>
      </c>
      <c r="P298" s="5">
        <v>293</v>
      </c>
      <c r="Q298" s="21">
        <f t="shared" si="42"/>
        <v>0.44056603773584901</v>
      </c>
      <c r="R298" s="11">
        <f t="shared" si="44"/>
        <v>2.5552830188679243</v>
      </c>
      <c r="S298" s="11">
        <f t="shared" si="45"/>
        <v>-2.5552830188679243</v>
      </c>
      <c r="T298" s="14">
        <f t="shared" si="50"/>
        <v>49.170660377358494</v>
      </c>
      <c r="V298">
        <v>2794.6</v>
      </c>
      <c r="X298">
        <f t="shared" si="49"/>
        <v>345449.60000000015</v>
      </c>
      <c r="Y298">
        <f t="shared" si="41"/>
        <v>19965.199999999997</v>
      </c>
      <c r="AA298">
        <v>15.460208843660199</v>
      </c>
    </row>
    <row r="299" spans="1:27" x14ac:dyDescent="0.25">
      <c r="A299" s="40"/>
      <c r="B299" s="42"/>
      <c r="C299" s="9">
        <v>42177</v>
      </c>
      <c r="D299">
        <v>25.2</v>
      </c>
      <c r="E299">
        <v>19.2</v>
      </c>
      <c r="F299">
        <v>31</v>
      </c>
      <c r="G299">
        <f t="shared" si="46"/>
        <v>3786.5999999999995</v>
      </c>
      <c r="H299">
        <f t="shared" si="40"/>
        <v>202.7</v>
      </c>
      <c r="J299">
        <v>0</v>
      </c>
      <c r="K299">
        <f t="shared" si="47"/>
        <v>506.70000000000005</v>
      </c>
      <c r="L299">
        <v>7</v>
      </c>
      <c r="M299">
        <f t="shared" si="48"/>
        <v>689.79999999999973</v>
      </c>
      <c r="N299">
        <v>-7</v>
      </c>
      <c r="O299">
        <f t="shared" si="51"/>
        <v>16.700000000000003</v>
      </c>
      <c r="P299" s="5">
        <v>294</v>
      </c>
      <c r="Q299" s="21">
        <f t="shared" si="42"/>
        <v>0.42547169811320751</v>
      </c>
      <c r="R299" s="11">
        <f t="shared" si="44"/>
        <v>2.9783018867924524</v>
      </c>
      <c r="S299" s="11">
        <f t="shared" si="45"/>
        <v>-2.9783018867924524</v>
      </c>
      <c r="T299" s="14">
        <f t="shared" si="50"/>
        <v>46.192358490566043</v>
      </c>
      <c r="V299">
        <v>2861.4</v>
      </c>
      <c r="X299">
        <f t="shared" si="49"/>
        <v>348311.00000000017</v>
      </c>
      <c r="Y299">
        <f t="shared" si="41"/>
        <v>22826.6</v>
      </c>
      <c r="AA299">
        <v>15.460795313937799</v>
      </c>
    </row>
    <row r="300" spans="1:27" x14ac:dyDescent="0.25">
      <c r="A300" s="40"/>
      <c r="B300" s="42"/>
      <c r="C300" s="9">
        <v>42178</v>
      </c>
      <c r="D300">
        <v>21.7</v>
      </c>
      <c r="E300">
        <v>17.2</v>
      </c>
      <c r="F300">
        <v>26.4</v>
      </c>
      <c r="G300">
        <f t="shared" si="46"/>
        <v>3808.2999999999993</v>
      </c>
      <c r="H300">
        <f t="shared" si="40"/>
        <v>224.39999999999998</v>
      </c>
      <c r="J300">
        <v>0</v>
      </c>
      <c r="K300">
        <f t="shared" si="47"/>
        <v>506.70000000000005</v>
      </c>
      <c r="L300">
        <v>7.4</v>
      </c>
      <c r="M300">
        <f t="shared" si="48"/>
        <v>697.1999999999997</v>
      </c>
      <c r="N300">
        <v>-7.4</v>
      </c>
      <c r="O300">
        <f t="shared" si="51"/>
        <v>9.3000000000000025</v>
      </c>
      <c r="P300" s="5">
        <v>295</v>
      </c>
      <c r="Q300" s="21">
        <f t="shared" si="42"/>
        <v>0.410377358490566</v>
      </c>
      <c r="R300" s="11">
        <f t="shared" si="44"/>
        <v>3.0367924528301886</v>
      </c>
      <c r="S300" s="11">
        <f t="shared" si="45"/>
        <v>-3.0367924528301886</v>
      </c>
      <c r="T300" s="14">
        <f t="shared" si="50"/>
        <v>43.155566037735852</v>
      </c>
      <c r="V300">
        <v>3053.6</v>
      </c>
      <c r="X300">
        <f t="shared" si="49"/>
        <v>351364.60000000015</v>
      </c>
      <c r="Y300">
        <f t="shared" si="41"/>
        <v>25880.199999999997</v>
      </c>
      <c r="AA300">
        <v>15.460208951502601</v>
      </c>
    </row>
    <row r="301" spans="1:27" x14ac:dyDescent="0.25">
      <c r="A301" s="40"/>
      <c r="B301" s="42"/>
      <c r="C301" s="9">
        <v>42179</v>
      </c>
      <c r="D301">
        <v>21.7</v>
      </c>
      <c r="E301">
        <v>16.600000000000001</v>
      </c>
      <c r="F301">
        <v>27</v>
      </c>
      <c r="G301">
        <f t="shared" si="46"/>
        <v>3829.9999999999991</v>
      </c>
      <c r="H301">
        <f t="shared" si="40"/>
        <v>246.09999999999997</v>
      </c>
      <c r="J301">
        <v>0.1</v>
      </c>
      <c r="K301">
        <f t="shared" si="47"/>
        <v>506.80000000000007</v>
      </c>
      <c r="L301">
        <v>6.8</v>
      </c>
      <c r="M301">
        <f t="shared" si="48"/>
        <v>703.99999999999966</v>
      </c>
      <c r="N301">
        <v>-6.7</v>
      </c>
      <c r="O301">
        <f t="shared" si="51"/>
        <v>2.6000000000000023</v>
      </c>
      <c r="P301" s="5">
        <v>296</v>
      </c>
      <c r="Q301" s="21">
        <f t="shared" si="42"/>
        <v>0.3952830188679245</v>
      </c>
      <c r="R301" s="11">
        <f t="shared" si="44"/>
        <v>2.6879245283018864</v>
      </c>
      <c r="S301" s="11">
        <f t="shared" si="45"/>
        <v>-2.5879245283018864</v>
      </c>
      <c r="T301" s="14">
        <f t="shared" si="50"/>
        <v>40.567641509433969</v>
      </c>
      <c r="V301">
        <v>3114.4</v>
      </c>
      <c r="X301">
        <f t="shared" si="49"/>
        <v>354479.00000000017</v>
      </c>
      <c r="Y301">
        <f t="shared" si="41"/>
        <v>28994.6</v>
      </c>
      <c r="AA301">
        <v>15.458450741125001</v>
      </c>
    </row>
    <row r="302" spans="1:27" x14ac:dyDescent="0.25">
      <c r="A302" s="40"/>
      <c r="B302" s="42"/>
      <c r="C302" s="9">
        <v>42180</v>
      </c>
      <c r="D302">
        <v>23.6</v>
      </c>
      <c r="E302">
        <v>17</v>
      </c>
      <c r="F302">
        <v>29.7</v>
      </c>
      <c r="G302">
        <f t="shared" si="46"/>
        <v>3853.599999999999</v>
      </c>
      <c r="H302">
        <f t="shared" si="40"/>
        <v>269.7</v>
      </c>
      <c r="J302">
        <v>0</v>
      </c>
      <c r="K302">
        <f t="shared" si="47"/>
        <v>506.80000000000007</v>
      </c>
      <c r="L302">
        <v>5.9</v>
      </c>
      <c r="M302">
        <f t="shared" si="48"/>
        <v>709.89999999999964</v>
      </c>
      <c r="N302">
        <v>-5.9</v>
      </c>
      <c r="O302">
        <v>0</v>
      </c>
      <c r="P302" s="5">
        <v>297</v>
      </c>
      <c r="Q302" s="21">
        <f t="shared" si="42"/>
        <v>0.38018867924528299</v>
      </c>
      <c r="R302" s="11">
        <f t="shared" si="44"/>
        <v>2.2431132075471698</v>
      </c>
      <c r="S302" s="11">
        <f t="shared" si="45"/>
        <v>-2.2431132075471698</v>
      </c>
      <c r="T302" s="14">
        <f t="shared" si="50"/>
        <v>38.324528301886801</v>
      </c>
      <c r="V302">
        <v>2807.2</v>
      </c>
      <c r="X302">
        <f t="shared" si="49"/>
        <v>357286.20000000019</v>
      </c>
      <c r="Y302">
        <f t="shared" si="41"/>
        <v>31801.8</v>
      </c>
      <c r="AA302">
        <v>15.455522766177401</v>
      </c>
    </row>
    <row r="303" spans="1:27" x14ac:dyDescent="0.25">
      <c r="A303" s="40"/>
      <c r="B303" s="42"/>
      <c r="C303" s="9">
        <v>42181</v>
      </c>
      <c r="D303">
        <v>25.2</v>
      </c>
      <c r="E303">
        <v>18.399999999999999</v>
      </c>
      <c r="F303">
        <v>32.1</v>
      </c>
      <c r="G303">
        <f t="shared" si="46"/>
        <v>3878.7999999999988</v>
      </c>
      <c r="H303">
        <f t="shared" si="40"/>
        <v>294.89999999999998</v>
      </c>
      <c r="J303">
        <v>0</v>
      </c>
      <c r="K303">
        <f t="shared" si="47"/>
        <v>506.80000000000007</v>
      </c>
      <c r="L303">
        <v>7.1</v>
      </c>
      <c r="M303">
        <f t="shared" si="48"/>
        <v>716.99999999999966</v>
      </c>
      <c r="N303">
        <v>-7.1</v>
      </c>
      <c r="O303">
        <v>0</v>
      </c>
      <c r="P303" s="5">
        <v>298</v>
      </c>
      <c r="Q303" s="21">
        <f t="shared" si="42"/>
        <v>0.36509433962264148</v>
      </c>
      <c r="R303" s="11">
        <f t="shared" si="44"/>
        <v>2.5921698113207543</v>
      </c>
      <c r="S303" s="11">
        <f t="shared" si="45"/>
        <v>-2.5921698113207543</v>
      </c>
      <c r="T303" s="14">
        <f t="shared" si="50"/>
        <v>35.73235849056605</v>
      </c>
      <c r="V303">
        <v>2862.4</v>
      </c>
      <c r="X303">
        <f t="shared" si="49"/>
        <v>360148.60000000021</v>
      </c>
      <c r="Y303">
        <f t="shared" si="41"/>
        <v>34664.199999999997</v>
      </c>
      <c r="AA303">
        <v>15.451428201357301</v>
      </c>
    </row>
    <row r="304" spans="1:27" x14ac:dyDescent="0.25">
      <c r="A304" s="40"/>
      <c r="B304" s="42"/>
      <c r="C304" s="9">
        <v>42182</v>
      </c>
      <c r="D304">
        <v>22.5</v>
      </c>
      <c r="E304">
        <v>19.5</v>
      </c>
      <c r="F304">
        <v>27.1</v>
      </c>
      <c r="G304">
        <f t="shared" si="46"/>
        <v>3901.2999999999988</v>
      </c>
      <c r="H304">
        <f t="shared" si="40"/>
        <v>317.39999999999998</v>
      </c>
      <c r="J304">
        <v>0</v>
      </c>
      <c r="K304">
        <f t="shared" si="47"/>
        <v>506.80000000000007</v>
      </c>
      <c r="L304">
        <v>6.3</v>
      </c>
      <c r="M304">
        <f t="shared" si="48"/>
        <v>723.29999999999961</v>
      </c>
      <c r="N304">
        <v>-6.3</v>
      </c>
      <c r="O304">
        <v>0</v>
      </c>
      <c r="P304" s="5">
        <v>299</v>
      </c>
      <c r="Q304" s="21">
        <f t="shared" si="42"/>
        <v>0.35</v>
      </c>
      <c r="R304" s="11">
        <f t="shared" si="44"/>
        <v>2.2049999999999996</v>
      </c>
      <c r="S304" s="11">
        <f t="shared" si="45"/>
        <v>-2.2049999999999996</v>
      </c>
      <c r="T304" s="14">
        <f t="shared" si="50"/>
        <v>33.527358490566051</v>
      </c>
      <c r="V304">
        <v>2606.3000000000002</v>
      </c>
      <c r="X304">
        <f t="shared" si="49"/>
        <v>362754.9000000002</v>
      </c>
      <c r="Y304">
        <f t="shared" si="41"/>
        <v>37270.5</v>
      </c>
      <c r="AA304">
        <v>15.446171301667301</v>
      </c>
    </row>
    <row r="305" spans="1:26" x14ac:dyDescent="0.25">
      <c r="A305" s="72" t="s">
        <v>40</v>
      </c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</sheetData>
  <mergeCells count="15">
    <mergeCell ref="A270:A289"/>
    <mergeCell ref="A305:Z305"/>
    <mergeCell ref="A5:Z5"/>
    <mergeCell ref="A6:A116"/>
    <mergeCell ref="A117:A170"/>
    <mergeCell ref="A171:A210"/>
    <mergeCell ref="A232:A251"/>
    <mergeCell ref="A252:A269"/>
    <mergeCell ref="G4:H4"/>
    <mergeCell ref="X4:Y4"/>
    <mergeCell ref="D1:I2"/>
    <mergeCell ref="J1:U2"/>
    <mergeCell ref="V1:Z2"/>
    <mergeCell ref="J3:O3"/>
    <mergeCell ref="P3:T3"/>
  </mergeCells>
  <conditionalFormatting sqref="V1:V4">
    <cfRule type="cellIs" dxfId="21" priority="11" operator="between">
      <formula>899.99</formula>
      <formula>0</formula>
    </cfRule>
  </conditionalFormatting>
  <conditionalFormatting sqref="T1:T4">
    <cfRule type="cellIs" dxfId="20" priority="9" operator="equal">
      <formula>0</formula>
    </cfRule>
    <cfRule type="cellIs" dxfId="19" priority="10" operator="lessThanOrEqual">
      <formula>40.7</formula>
    </cfRule>
  </conditionalFormatting>
  <conditionalFormatting sqref="D6:F304 I13 I15 I17 I19 I124 I126 I128 I130 I178 I180 I182 I184 I218 I220 I222 I224 I239 I241 I243 I245 I259 I261 I263 I265 I279 I277 I281 I283">
    <cfRule type="cellIs" dxfId="18" priority="6" operator="between">
      <formula>25</formula>
      <formula>40</formula>
    </cfRule>
    <cfRule type="cellIs" dxfId="17" priority="7" operator="between">
      <formula>0.1</formula>
      <formula>5</formula>
    </cfRule>
    <cfRule type="cellIs" dxfId="16" priority="8" operator="between">
      <formula>0</formula>
      <formula>-20</formula>
    </cfRule>
  </conditionalFormatting>
  <conditionalFormatting sqref="N6:N304">
    <cfRule type="cellIs" dxfId="15" priority="5" operator="between">
      <formula>0.0001</formula>
      <formula>-50</formula>
    </cfRule>
  </conditionalFormatting>
  <conditionalFormatting sqref="V5:V305">
    <cfRule type="cellIs" dxfId="14" priority="4" operator="between">
      <formula>899.99</formula>
      <formula>0</formula>
    </cfRule>
  </conditionalFormatting>
  <conditionalFormatting sqref="S6:S304">
    <cfRule type="cellIs" dxfId="13" priority="3" operator="lessThanOrEqual">
      <formula>0</formula>
    </cfRule>
  </conditionalFormatting>
  <conditionalFormatting sqref="U7 T5:T305">
    <cfRule type="cellIs" dxfId="12" priority="1" operator="equal">
      <formula>0</formula>
    </cfRule>
    <cfRule type="cellIs" dxfId="11" priority="2" operator="lessThanOrEqual">
      <formula>40.7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05"/>
  <sheetViews>
    <sheetView topLeftCell="A172" zoomScale="80" zoomScaleNormal="80" workbookViewId="0">
      <selection activeCell="AB186" sqref="AB186"/>
    </sheetView>
  </sheetViews>
  <sheetFormatPr baseColWidth="10" defaultRowHeight="15" x14ac:dyDescent="0.25"/>
  <cols>
    <col min="21" max="21" width="17.140625" customWidth="1"/>
  </cols>
  <sheetData>
    <row r="1" spans="1:27" x14ac:dyDescent="0.25">
      <c r="B1" s="1"/>
      <c r="D1" s="67" t="s">
        <v>0</v>
      </c>
      <c r="E1" s="67"/>
      <c r="F1" s="67"/>
      <c r="G1" s="67"/>
      <c r="H1" s="67"/>
      <c r="I1" s="67"/>
      <c r="J1" s="67" t="s">
        <v>1</v>
      </c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 t="s">
        <v>2</v>
      </c>
      <c r="W1" s="66"/>
      <c r="X1" s="66"/>
      <c r="Y1" s="66"/>
      <c r="Z1" s="66"/>
    </row>
    <row r="2" spans="1:27" x14ac:dyDescent="0.25">
      <c r="B2" s="1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6"/>
      <c r="W2" s="66"/>
      <c r="X2" s="66"/>
      <c r="Y2" s="66"/>
      <c r="Z2" s="66"/>
    </row>
    <row r="3" spans="1:27" x14ac:dyDescent="0.25">
      <c r="B3" s="1"/>
      <c r="D3" s="2"/>
      <c r="E3" s="2"/>
      <c r="F3" s="2"/>
      <c r="G3" s="2"/>
      <c r="H3" s="2"/>
      <c r="I3" s="2"/>
      <c r="J3" s="67"/>
      <c r="K3" s="67"/>
      <c r="L3" s="67"/>
      <c r="M3" s="67"/>
      <c r="N3" s="67"/>
      <c r="O3" s="67"/>
      <c r="P3" s="68" t="s">
        <v>3</v>
      </c>
      <c r="Q3" s="69"/>
      <c r="R3" s="69"/>
      <c r="S3" s="69"/>
      <c r="T3" s="70"/>
      <c r="U3" s="2"/>
      <c r="V3" s="3"/>
      <c r="W3" s="3"/>
      <c r="X3" s="3"/>
      <c r="Y3" s="3"/>
      <c r="Z3" s="3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65" t="s">
        <v>9</v>
      </c>
      <c r="H4" s="65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s="4" t="s">
        <v>16</v>
      </c>
      <c r="P4" s="5" t="s">
        <v>17</v>
      </c>
      <c r="Q4" s="6" t="s">
        <v>18</v>
      </c>
      <c r="R4" s="6" t="s">
        <v>19</v>
      </c>
      <c r="S4" s="6" t="s">
        <v>20</v>
      </c>
      <c r="T4" s="7" t="s">
        <v>21</v>
      </c>
      <c r="U4" t="s">
        <v>10</v>
      </c>
      <c r="V4" t="s">
        <v>22</v>
      </c>
      <c r="W4" t="s">
        <v>23</v>
      </c>
      <c r="X4" s="66" t="s">
        <v>24</v>
      </c>
      <c r="Y4" s="66"/>
      <c r="Z4" t="s">
        <v>10</v>
      </c>
      <c r="AA4" t="s">
        <v>25</v>
      </c>
    </row>
    <row r="5" spans="1:27" x14ac:dyDescent="0.25">
      <c r="A5" s="73" t="s">
        <v>26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7" x14ac:dyDescent="0.25">
      <c r="A6" s="74" t="s">
        <v>27</v>
      </c>
      <c r="B6" s="8"/>
      <c r="C6" s="9">
        <v>41884</v>
      </c>
      <c r="D6">
        <v>19.7</v>
      </c>
      <c r="E6">
        <v>13.3</v>
      </c>
      <c r="F6">
        <v>24.9</v>
      </c>
      <c r="G6">
        <f>D6</f>
        <v>19.7</v>
      </c>
      <c r="I6" s="10" t="s">
        <v>41</v>
      </c>
      <c r="J6">
        <v>0</v>
      </c>
      <c r="K6">
        <f>J6</f>
        <v>0</v>
      </c>
      <c r="L6">
        <v>5</v>
      </c>
      <c r="M6">
        <f>L6</f>
        <v>5</v>
      </c>
      <c r="N6">
        <v>-5</v>
      </c>
      <c r="O6">
        <v>0</v>
      </c>
      <c r="P6" s="5">
        <v>1</v>
      </c>
      <c r="Q6" s="6">
        <v>0.35</v>
      </c>
      <c r="R6" s="11">
        <f>Q6*L6</f>
        <v>1.75</v>
      </c>
      <c r="S6" s="11">
        <f>J6-R6</f>
        <v>-1.75</v>
      </c>
      <c r="T6" s="7">
        <v>0</v>
      </c>
      <c r="U6" s="10" t="s">
        <v>28</v>
      </c>
      <c r="V6">
        <v>2383.6999999999998</v>
      </c>
      <c r="X6">
        <f>V6</f>
        <v>2383.6999999999998</v>
      </c>
      <c r="Z6" s="10" t="s">
        <v>51</v>
      </c>
      <c r="AA6">
        <v>13.2192025815938</v>
      </c>
    </row>
    <row r="7" spans="1:27" x14ac:dyDescent="0.25">
      <c r="A7" s="74"/>
      <c r="B7" s="8"/>
      <c r="C7" s="9">
        <v>41885</v>
      </c>
      <c r="D7">
        <v>19.8</v>
      </c>
      <c r="E7">
        <v>11.8</v>
      </c>
      <c r="F7">
        <v>25.5</v>
      </c>
      <c r="G7">
        <f>G6+D7</f>
        <v>39.5</v>
      </c>
      <c r="I7">
        <f>MIN(E6:E116)</f>
        <v>-0.1</v>
      </c>
      <c r="J7">
        <v>0</v>
      </c>
      <c r="K7">
        <f>K6+J7</f>
        <v>0</v>
      </c>
      <c r="L7">
        <v>4.9000000000000004</v>
      </c>
      <c r="M7">
        <f>M6+L7</f>
        <v>9.9</v>
      </c>
      <c r="N7">
        <v>-4.9000000000000004</v>
      </c>
      <c r="O7">
        <v>0</v>
      </c>
      <c r="P7" s="5">
        <v>2</v>
      </c>
      <c r="Q7" s="6">
        <v>0.35</v>
      </c>
      <c r="R7" s="11">
        <f t="shared" ref="R7:R70" si="0">Q7*L7</f>
        <v>1.7150000000000001</v>
      </c>
      <c r="S7" s="11">
        <f t="shared" ref="S7:S70" si="1">J7-R7</f>
        <v>-1.7150000000000001</v>
      </c>
      <c r="T7" s="7">
        <v>0</v>
      </c>
      <c r="U7" s="12">
        <v>84</v>
      </c>
      <c r="V7">
        <v>2412.6</v>
      </c>
      <c r="X7">
        <f>X6+V7</f>
        <v>4796.2999999999993</v>
      </c>
      <c r="Z7" s="13">
        <v>102739.1</v>
      </c>
      <c r="AA7">
        <v>13.1710016789782</v>
      </c>
    </row>
    <row r="8" spans="1:27" x14ac:dyDescent="0.25">
      <c r="A8" s="74"/>
      <c r="B8" s="8"/>
      <c r="C8" s="9">
        <v>41886</v>
      </c>
      <c r="D8">
        <v>20.100000000000001</v>
      </c>
      <c r="E8">
        <v>13.3</v>
      </c>
      <c r="F8">
        <v>26.2</v>
      </c>
      <c r="G8">
        <f t="shared" ref="G8:G71" si="2">G7+D8</f>
        <v>59.6</v>
      </c>
      <c r="I8" s="10" t="s">
        <v>42</v>
      </c>
      <c r="J8">
        <v>1.5</v>
      </c>
      <c r="K8">
        <f t="shared" ref="K8:K71" si="3">K7+J8</f>
        <v>1.5</v>
      </c>
      <c r="L8">
        <v>3.5</v>
      </c>
      <c r="M8">
        <f t="shared" ref="M8:M71" si="4">M7+L8</f>
        <v>13.4</v>
      </c>
      <c r="N8">
        <v>-2</v>
      </c>
      <c r="O8">
        <v>0</v>
      </c>
      <c r="P8" s="5">
        <v>3</v>
      </c>
      <c r="Q8" s="6">
        <v>0.35</v>
      </c>
      <c r="R8" s="11">
        <f t="shared" si="0"/>
        <v>1.2249999999999999</v>
      </c>
      <c r="S8" s="11">
        <f t="shared" si="1"/>
        <v>0.27500000000000013</v>
      </c>
      <c r="T8" s="14">
        <f>MIN(122.1,(T7+S8))</f>
        <v>0.27500000000000013</v>
      </c>
      <c r="U8" s="10" t="s">
        <v>48</v>
      </c>
      <c r="V8">
        <v>1777.1</v>
      </c>
      <c r="X8">
        <f t="shared" ref="X8:X71" si="5">X7+V8</f>
        <v>6573.4</v>
      </c>
      <c r="Z8" s="10" t="s">
        <v>29</v>
      </c>
      <c r="AA8">
        <v>13.1226597233241</v>
      </c>
    </row>
    <row r="9" spans="1:27" x14ac:dyDescent="0.25">
      <c r="A9" s="74"/>
      <c r="B9" s="8"/>
      <c r="C9" s="9">
        <v>41887</v>
      </c>
      <c r="D9">
        <v>21.6</v>
      </c>
      <c r="E9">
        <v>18.3</v>
      </c>
      <c r="F9">
        <v>25.2</v>
      </c>
      <c r="G9">
        <f t="shared" si="2"/>
        <v>81.2</v>
      </c>
      <c r="I9">
        <f>MAX(F6:F116)</f>
        <v>29.6</v>
      </c>
      <c r="J9">
        <v>0</v>
      </c>
      <c r="K9">
        <f t="shared" si="3"/>
        <v>1.5</v>
      </c>
      <c r="L9">
        <v>4</v>
      </c>
      <c r="M9">
        <f t="shared" si="4"/>
        <v>17.399999999999999</v>
      </c>
      <c r="N9">
        <v>-4</v>
      </c>
      <c r="O9">
        <v>0</v>
      </c>
      <c r="P9" s="5">
        <v>4</v>
      </c>
      <c r="Q9" s="6">
        <v>0.35</v>
      </c>
      <c r="R9" s="11">
        <f t="shared" si="0"/>
        <v>1.4</v>
      </c>
      <c r="S9" s="11">
        <f t="shared" si="1"/>
        <v>-1.4</v>
      </c>
      <c r="T9" s="14">
        <v>0</v>
      </c>
      <c r="U9">
        <v>16</v>
      </c>
      <c r="V9">
        <v>1890.4</v>
      </c>
      <c r="X9">
        <f t="shared" si="5"/>
        <v>8463.7999999999993</v>
      </c>
      <c r="Z9" s="15">
        <f>(Z7/100)/I19</f>
        <v>0.61653324531925113</v>
      </c>
      <c r="AA9">
        <v>13.0741843703721</v>
      </c>
    </row>
    <row r="10" spans="1:27" x14ac:dyDescent="0.25">
      <c r="A10" s="74"/>
      <c r="B10" s="8"/>
      <c r="C10" s="9">
        <v>41888</v>
      </c>
      <c r="D10">
        <v>21.2</v>
      </c>
      <c r="E10">
        <v>14.8</v>
      </c>
      <c r="F10">
        <v>25.9</v>
      </c>
      <c r="G10">
        <f t="shared" si="2"/>
        <v>102.4</v>
      </c>
      <c r="I10" s="10" t="s">
        <v>43</v>
      </c>
      <c r="J10">
        <v>0.1</v>
      </c>
      <c r="K10">
        <f t="shared" si="3"/>
        <v>1.6</v>
      </c>
      <c r="L10">
        <v>2.8</v>
      </c>
      <c r="M10">
        <f t="shared" si="4"/>
        <v>20.2</v>
      </c>
      <c r="N10">
        <v>-2.6999999999999997</v>
      </c>
      <c r="O10">
        <v>0</v>
      </c>
      <c r="P10" s="5">
        <v>5</v>
      </c>
      <c r="Q10" s="6">
        <v>0.35</v>
      </c>
      <c r="R10" s="11">
        <f t="shared" si="0"/>
        <v>0.97999999999999987</v>
      </c>
      <c r="S10" s="11">
        <f t="shared" si="1"/>
        <v>-0.87999999999999989</v>
      </c>
      <c r="T10" s="14">
        <v>0</v>
      </c>
      <c r="U10" s="10" t="s">
        <v>49</v>
      </c>
      <c r="V10">
        <v>1488.7</v>
      </c>
      <c r="X10">
        <f t="shared" si="5"/>
        <v>9952.5</v>
      </c>
      <c r="Z10" s="10" t="s">
        <v>52</v>
      </c>
      <c r="AA10">
        <v>13.0255830444497</v>
      </c>
    </row>
    <row r="11" spans="1:27" x14ac:dyDescent="0.25">
      <c r="A11" s="74"/>
      <c r="B11" s="8"/>
      <c r="C11" s="9">
        <v>41889</v>
      </c>
      <c r="D11">
        <v>24.2</v>
      </c>
      <c r="E11">
        <v>17.3</v>
      </c>
      <c r="F11">
        <v>29.6</v>
      </c>
      <c r="G11">
        <f t="shared" si="2"/>
        <v>126.60000000000001</v>
      </c>
      <c r="I11" s="16">
        <f>AVERAGE(D6:D116)</f>
        <v>15.012612612612607</v>
      </c>
      <c r="J11">
        <v>0</v>
      </c>
      <c r="K11">
        <f t="shared" si="3"/>
        <v>1.6</v>
      </c>
      <c r="L11">
        <v>3.2</v>
      </c>
      <c r="M11">
        <f t="shared" si="4"/>
        <v>23.4</v>
      </c>
      <c r="N11">
        <v>-3.2</v>
      </c>
      <c r="O11">
        <v>0</v>
      </c>
      <c r="P11" s="5">
        <v>6</v>
      </c>
      <c r="Q11" s="6">
        <v>0.35</v>
      </c>
      <c r="R11" s="11">
        <f t="shared" si="0"/>
        <v>1.1199999999999999</v>
      </c>
      <c r="S11" s="11">
        <f t="shared" si="1"/>
        <v>-1.1199999999999999</v>
      </c>
      <c r="T11" s="14">
        <v>0</v>
      </c>
      <c r="U11">
        <v>65</v>
      </c>
      <c r="V11">
        <v>1468.2</v>
      </c>
      <c r="X11">
        <f t="shared" si="5"/>
        <v>11420.7</v>
      </c>
      <c r="Z11">
        <v>60</v>
      </c>
      <c r="AA11">
        <v>12.9768629502276</v>
      </c>
    </row>
    <row r="12" spans="1:27" x14ac:dyDescent="0.25">
      <c r="A12" s="74"/>
      <c r="B12" s="8"/>
      <c r="C12" s="9">
        <v>41890</v>
      </c>
      <c r="D12">
        <v>22.4</v>
      </c>
      <c r="E12">
        <v>18.8</v>
      </c>
      <c r="F12">
        <v>26.7</v>
      </c>
      <c r="G12">
        <f t="shared" si="2"/>
        <v>149</v>
      </c>
      <c r="I12" s="10" t="s">
        <v>44</v>
      </c>
      <c r="J12">
        <v>0</v>
      </c>
      <c r="K12">
        <f t="shared" si="3"/>
        <v>1.6</v>
      </c>
      <c r="L12">
        <v>2.4</v>
      </c>
      <c r="M12">
        <f t="shared" si="4"/>
        <v>25.799999999999997</v>
      </c>
      <c r="N12">
        <v>-2.4</v>
      </c>
      <c r="O12">
        <v>0</v>
      </c>
      <c r="P12" s="5">
        <v>7</v>
      </c>
      <c r="Q12" s="6">
        <v>0.35</v>
      </c>
      <c r="R12" s="11">
        <f t="shared" si="0"/>
        <v>0.84</v>
      </c>
      <c r="S12" s="11">
        <f t="shared" si="1"/>
        <v>-0.84</v>
      </c>
      <c r="T12" s="14">
        <v>0</v>
      </c>
      <c r="U12" s="10" t="s">
        <v>30</v>
      </c>
      <c r="V12">
        <v>881.9</v>
      </c>
      <c r="X12">
        <f t="shared" si="5"/>
        <v>12302.6</v>
      </c>
      <c r="AA12">
        <v>12.9280310846554</v>
      </c>
    </row>
    <row r="13" spans="1:27" x14ac:dyDescent="0.25">
      <c r="A13" s="74"/>
      <c r="B13" s="8"/>
      <c r="C13" s="9">
        <v>41891</v>
      </c>
      <c r="D13">
        <v>22.5</v>
      </c>
      <c r="E13">
        <v>17.100000000000001</v>
      </c>
      <c r="F13">
        <v>27.4</v>
      </c>
      <c r="G13">
        <f t="shared" si="2"/>
        <v>171.5</v>
      </c>
      <c r="I13">
        <v>1</v>
      </c>
      <c r="J13">
        <v>0</v>
      </c>
      <c r="K13">
        <f t="shared" si="3"/>
        <v>1.6</v>
      </c>
      <c r="L13">
        <v>3.4</v>
      </c>
      <c r="M13">
        <f t="shared" si="4"/>
        <v>29.199999999999996</v>
      </c>
      <c r="N13">
        <v>-3.4</v>
      </c>
      <c r="O13">
        <v>0</v>
      </c>
      <c r="P13" s="5">
        <v>8</v>
      </c>
      <c r="Q13" s="6">
        <f>0.35+((P13-7)/104)*(1-0.35)</f>
        <v>0.35624999999999996</v>
      </c>
      <c r="R13" s="11">
        <f t="shared" si="0"/>
        <v>1.2112499999999997</v>
      </c>
      <c r="S13" s="11">
        <f t="shared" si="1"/>
        <v>-1.2112499999999997</v>
      </c>
      <c r="T13" s="14">
        <v>0</v>
      </c>
      <c r="U13">
        <v>0</v>
      </c>
      <c r="V13">
        <v>1679.5</v>
      </c>
      <c r="X13">
        <f t="shared" si="5"/>
        <v>13982.1</v>
      </c>
      <c r="AA13">
        <v>12.8790942490585</v>
      </c>
    </row>
    <row r="14" spans="1:27" x14ac:dyDescent="0.25">
      <c r="A14" s="74"/>
      <c r="B14" s="8"/>
      <c r="C14" s="9">
        <v>41892</v>
      </c>
      <c r="D14">
        <v>23</v>
      </c>
      <c r="E14">
        <v>16.899999999999999</v>
      </c>
      <c r="F14">
        <v>28.3</v>
      </c>
      <c r="G14">
        <f t="shared" si="2"/>
        <v>194.5</v>
      </c>
      <c r="I14" s="10" t="s">
        <v>45</v>
      </c>
      <c r="J14">
        <v>0</v>
      </c>
      <c r="K14">
        <f t="shared" si="3"/>
        <v>1.6</v>
      </c>
      <c r="L14">
        <v>4.0999999999999996</v>
      </c>
      <c r="M14">
        <f t="shared" si="4"/>
        <v>33.299999999999997</v>
      </c>
      <c r="N14">
        <v>-4.0999999999999996</v>
      </c>
      <c r="O14">
        <v>0</v>
      </c>
      <c r="P14" s="5">
        <v>9</v>
      </c>
      <c r="Q14" s="6">
        <f t="shared" ref="Q14:Q77" si="6">0.35+((P14-7)/104)*(1-0.35)</f>
        <v>0.36249999999999999</v>
      </c>
      <c r="R14" s="11">
        <f t="shared" si="0"/>
        <v>1.4862499999999998</v>
      </c>
      <c r="S14" s="11">
        <f t="shared" si="1"/>
        <v>-1.4862499999999998</v>
      </c>
      <c r="T14" s="14">
        <v>0</v>
      </c>
      <c r="U14" s="10" t="s">
        <v>31</v>
      </c>
      <c r="V14">
        <v>1906.7</v>
      </c>
      <c r="X14">
        <f t="shared" si="5"/>
        <v>15888.800000000001</v>
      </c>
      <c r="AA14">
        <v>12.8300590613851</v>
      </c>
    </row>
    <row r="15" spans="1:27" x14ac:dyDescent="0.25">
      <c r="A15" s="74"/>
      <c r="B15" s="8"/>
      <c r="C15" s="9">
        <v>41893</v>
      </c>
      <c r="D15">
        <v>22.4</v>
      </c>
      <c r="E15">
        <v>16.5</v>
      </c>
      <c r="F15">
        <v>28.8</v>
      </c>
      <c r="G15">
        <f t="shared" si="2"/>
        <v>216.9</v>
      </c>
      <c r="I15">
        <v>25</v>
      </c>
      <c r="J15">
        <v>0</v>
      </c>
      <c r="K15">
        <f t="shared" si="3"/>
        <v>1.6</v>
      </c>
      <c r="L15">
        <v>5.7</v>
      </c>
      <c r="M15">
        <f t="shared" si="4"/>
        <v>39</v>
      </c>
      <c r="N15">
        <v>-5.7</v>
      </c>
      <c r="O15">
        <v>0</v>
      </c>
      <c r="P15" s="5">
        <v>10</v>
      </c>
      <c r="Q15" s="6">
        <f t="shared" si="6"/>
        <v>0.36874999999999997</v>
      </c>
      <c r="R15" s="11">
        <f t="shared" si="0"/>
        <v>2.1018749999999997</v>
      </c>
      <c r="S15" s="11">
        <f t="shared" si="1"/>
        <v>-2.1018749999999997</v>
      </c>
      <c r="T15" s="14">
        <v>0</v>
      </c>
      <c r="U15" s="16">
        <f>MAX(T6:T116)</f>
        <v>61.990000000000009</v>
      </c>
      <c r="V15">
        <v>2265.8000000000002</v>
      </c>
      <c r="X15">
        <f t="shared" si="5"/>
        <v>18154.600000000002</v>
      </c>
      <c r="AA15">
        <v>12.780931968586099</v>
      </c>
    </row>
    <row r="16" spans="1:27" x14ac:dyDescent="0.25">
      <c r="A16" s="74"/>
      <c r="B16" s="8"/>
      <c r="C16" s="9">
        <v>41894</v>
      </c>
      <c r="D16">
        <v>20.8</v>
      </c>
      <c r="E16">
        <v>16</v>
      </c>
      <c r="F16">
        <v>26.1</v>
      </c>
      <c r="G16">
        <f t="shared" si="2"/>
        <v>237.70000000000002</v>
      </c>
      <c r="I16" s="10" t="s">
        <v>46</v>
      </c>
      <c r="J16">
        <v>0</v>
      </c>
      <c r="K16">
        <f t="shared" si="3"/>
        <v>1.6</v>
      </c>
      <c r="L16">
        <v>4.5999999999999996</v>
      </c>
      <c r="M16">
        <f t="shared" si="4"/>
        <v>43.6</v>
      </c>
      <c r="N16">
        <v>-4.5999999999999996</v>
      </c>
      <c r="O16">
        <v>0</v>
      </c>
      <c r="P16" s="5">
        <v>11</v>
      </c>
      <c r="Q16" s="6">
        <f t="shared" si="6"/>
        <v>0.375</v>
      </c>
      <c r="R16" s="11">
        <f t="shared" si="0"/>
        <v>1.7249999999999999</v>
      </c>
      <c r="S16" s="11">
        <f t="shared" si="1"/>
        <v>-1.7249999999999999</v>
      </c>
      <c r="T16" s="14">
        <v>0</v>
      </c>
      <c r="U16" s="10" t="s">
        <v>32</v>
      </c>
      <c r="V16">
        <v>2020.4</v>
      </c>
      <c r="X16">
        <f t="shared" si="5"/>
        <v>20175.000000000004</v>
      </c>
      <c r="AA16">
        <v>12.731719259121499</v>
      </c>
    </row>
    <row r="17" spans="1:27" x14ac:dyDescent="0.25">
      <c r="A17" s="74"/>
      <c r="B17" s="8"/>
      <c r="C17" s="9">
        <v>41895</v>
      </c>
      <c r="D17">
        <v>19.2</v>
      </c>
      <c r="E17">
        <v>11.4</v>
      </c>
      <c r="F17">
        <v>25.3</v>
      </c>
      <c r="G17">
        <f t="shared" si="2"/>
        <v>256.90000000000003</v>
      </c>
      <c r="I17">
        <v>15</v>
      </c>
      <c r="J17">
        <v>0</v>
      </c>
      <c r="K17">
        <f t="shared" si="3"/>
        <v>1.6</v>
      </c>
      <c r="L17">
        <v>4.0999999999999996</v>
      </c>
      <c r="M17">
        <f t="shared" si="4"/>
        <v>47.7</v>
      </c>
      <c r="N17">
        <v>-4.0999999999999996</v>
      </c>
      <c r="O17">
        <v>0</v>
      </c>
      <c r="P17" s="5">
        <v>12</v>
      </c>
      <c r="Q17" s="6">
        <f t="shared" si="6"/>
        <v>0.38124999999999998</v>
      </c>
      <c r="R17" s="11">
        <f t="shared" si="0"/>
        <v>1.5631249999999999</v>
      </c>
      <c r="S17" s="11">
        <f t="shared" si="1"/>
        <v>-1.5631249999999999</v>
      </c>
      <c r="T17" s="14">
        <v>0</v>
      </c>
      <c r="U17" s="15">
        <f>AVERAGE(T6:T116)</f>
        <v>28.055101351351357</v>
      </c>
      <c r="V17">
        <v>1982.5</v>
      </c>
      <c r="X17">
        <f t="shared" si="5"/>
        <v>22157.500000000004</v>
      </c>
      <c r="AA17">
        <v>12.6824270755802</v>
      </c>
    </row>
    <row r="18" spans="1:27" x14ac:dyDescent="0.25">
      <c r="A18" s="74"/>
      <c r="B18" s="8"/>
      <c r="C18" s="9">
        <v>41896</v>
      </c>
      <c r="D18">
        <v>19.600000000000001</v>
      </c>
      <c r="E18">
        <v>10.9</v>
      </c>
      <c r="F18">
        <v>26.7</v>
      </c>
      <c r="G18">
        <f t="shared" si="2"/>
        <v>276.50000000000006</v>
      </c>
      <c r="I18" s="10" t="s">
        <v>47</v>
      </c>
      <c r="J18">
        <v>0</v>
      </c>
      <c r="K18">
        <f t="shared" si="3"/>
        <v>1.6</v>
      </c>
      <c r="L18">
        <v>2.9</v>
      </c>
      <c r="M18">
        <f t="shared" si="4"/>
        <v>50.6</v>
      </c>
      <c r="N18">
        <v>-2.9</v>
      </c>
      <c r="O18">
        <v>0</v>
      </c>
      <c r="P18" s="5">
        <v>13</v>
      </c>
      <c r="Q18" s="6">
        <f t="shared" si="6"/>
        <v>0.38749999999999996</v>
      </c>
      <c r="R18" s="11">
        <f t="shared" si="0"/>
        <v>1.1237499999999998</v>
      </c>
      <c r="S18" s="11">
        <f t="shared" si="1"/>
        <v>-1.1237499999999998</v>
      </c>
      <c r="T18" s="14">
        <v>0</v>
      </c>
      <c r="U18" t="s">
        <v>50</v>
      </c>
      <c r="V18">
        <v>1288.7</v>
      </c>
      <c r="X18">
        <f t="shared" si="5"/>
        <v>23446.200000000004</v>
      </c>
      <c r="AA18">
        <v>12.6330614274066</v>
      </c>
    </row>
    <row r="19" spans="1:27" x14ac:dyDescent="0.25">
      <c r="A19" s="74"/>
      <c r="B19" s="8"/>
      <c r="C19" s="9">
        <v>41897</v>
      </c>
      <c r="D19">
        <v>21</v>
      </c>
      <c r="E19">
        <v>15.9</v>
      </c>
      <c r="F19">
        <v>25.3</v>
      </c>
      <c r="G19">
        <f t="shared" si="2"/>
        <v>297.50000000000006</v>
      </c>
      <c r="I19">
        <v>1666.4</v>
      </c>
      <c r="J19">
        <v>0</v>
      </c>
      <c r="K19">
        <f t="shared" si="3"/>
        <v>1.6</v>
      </c>
      <c r="L19">
        <v>2.2000000000000002</v>
      </c>
      <c r="M19">
        <f t="shared" si="4"/>
        <v>52.800000000000004</v>
      </c>
      <c r="N19">
        <v>-2.2000000000000002</v>
      </c>
      <c r="O19">
        <v>0</v>
      </c>
      <c r="P19" s="5">
        <v>14</v>
      </c>
      <c r="Q19" s="6">
        <f t="shared" si="6"/>
        <v>0.39374999999999999</v>
      </c>
      <c r="R19" s="11">
        <f t="shared" si="0"/>
        <v>0.86625000000000008</v>
      </c>
      <c r="S19" s="11">
        <f t="shared" si="1"/>
        <v>-0.86625000000000008</v>
      </c>
      <c r="T19" s="14">
        <v>0</v>
      </c>
      <c r="U19" s="16">
        <f>(U17*100)/122.1</f>
        <v>22.977150983907748</v>
      </c>
      <c r="V19">
        <v>909</v>
      </c>
      <c r="X19">
        <f t="shared" si="5"/>
        <v>24355.200000000004</v>
      </c>
      <c r="AA19">
        <v>12.5836282037275</v>
      </c>
    </row>
    <row r="20" spans="1:27" x14ac:dyDescent="0.25">
      <c r="A20" s="74"/>
      <c r="B20" s="8"/>
      <c r="C20" s="9">
        <v>41898</v>
      </c>
      <c r="D20">
        <v>21.5</v>
      </c>
      <c r="E20">
        <v>17.600000000000001</v>
      </c>
      <c r="F20">
        <v>25</v>
      </c>
      <c r="G20">
        <f t="shared" si="2"/>
        <v>319.00000000000006</v>
      </c>
      <c r="J20">
        <v>0.2</v>
      </c>
      <c r="K20">
        <f t="shared" si="3"/>
        <v>1.8</v>
      </c>
      <c r="L20">
        <v>3.5</v>
      </c>
      <c r="M20">
        <f t="shared" si="4"/>
        <v>56.300000000000004</v>
      </c>
      <c r="N20">
        <v>-3.3</v>
      </c>
      <c r="O20">
        <v>0</v>
      </c>
      <c r="P20" s="5">
        <v>15</v>
      </c>
      <c r="Q20" s="6">
        <f t="shared" si="6"/>
        <v>0.39999999999999997</v>
      </c>
      <c r="R20" s="11">
        <f t="shared" si="0"/>
        <v>1.4</v>
      </c>
      <c r="S20" s="11">
        <f t="shared" si="1"/>
        <v>-1.2</v>
      </c>
      <c r="T20" s="14">
        <v>0</v>
      </c>
      <c r="V20">
        <v>1581.9</v>
      </c>
      <c r="X20">
        <f t="shared" si="5"/>
        <v>25937.100000000006</v>
      </c>
      <c r="AA20">
        <v>12.534133186272699</v>
      </c>
    </row>
    <row r="21" spans="1:27" x14ac:dyDescent="0.25">
      <c r="A21" s="74"/>
      <c r="B21" s="8"/>
      <c r="C21" s="9">
        <v>41899</v>
      </c>
      <c r="D21">
        <v>23.3</v>
      </c>
      <c r="E21">
        <v>17.5</v>
      </c>
      <c r="F21">
        <v>29</v>
      </c>
      <c r="G21">
        <f t="shared" si="2"/>
        <v>342.30000000000007</v>
      </c>
      <c r="J21">
        <v>0</v>
      </c>
      <c r="K21">
        <f t="shared" si="3"/>
        <v>1.8</v>
      </c>
      <c r="L21">
        <v>3.7</v>
      </c>
      <c r="M21">
        <f t="shared" si="4"/>
        <v>60.000000000000007</v>
      </c>
      <c r="N21">
        <v>-3.7</v>
      </c>
      <c r="O21">
        <v>0</v>
      </c>
      <c r="P21" s="5">
        <v>16</v>
      </c>
      <c r="Q21" s="6">
        <f t="shared" si="6"/>
        <v>0.40625</v>
      </c>
      <c r="R21" s="11">
        <f t="shared" si="0"/>
        <v>1.503125</v>
      </c>
      <c r="S21" s="11">
        <f t="shared" si="1"/>
        <v>-1.503125</v>
      </c>
      <c r="T21" s="14">
        <v>0</v>
      </c>
      <c r="V21">
        <v>1307.9000000000001</v>
      </c>
      <c r="X21">
        <f t="shared" si="5"/>
        <v>27245.000000000007</v>
      </c>
      <c r="AA21">
        <v>12.4845820623847</v>
      </c>
    </row>
    <row r="22" spans="1:27" x14ac:dyDescent="0.25">
      <c r="A22" s="74"/>
      <c r="B22" s="8"/>
      <c r="C22" s="9">
        <v>41900</v>
      </c>
      <c r="D22">
        <v>23.3</v>
      </c>
      <c r="E22">
        <v>19.399999999999999</v>
      </c>
      <c r="F22">
        <v>27</v>
      </c>
      <c r="G22">
        <f t="shared" si="2"/>
        <v>365.60000000000008</v>
      </c>
      <c r="J22">
        <v>0</v>
      </c>
      <c r="K22">
        <f t="shared" si="3"/>
        <v>1.8</v>
      </c>
      <c r="L22">
        <v>2.9</v>
      </c>
      <c r="M22">
        <f t="shared" si="4"/>
        <v>62.900000000000006</v>
      </c>
      <c r="N22">
        <v>-2.9</v>
      </c>
      <c r="O22">
        <v>0</v>
      </c>
      <c r="P22" s="5">
        <v>17</v>
      </c>
      <c r="Q22" s="6">
        <f t="shared" si="6"/>
        <v>0.41249999999999998</v>
      </c>
      <c r="R22" s="11">
        <f t="shared" si="0"/>
        <v>1.1962499999999998</v>
      </c>
      <c r="S22" s="11">
        <f t="shared" si="1"/>
        <v>-1.1962499999999998</v>
      </c>
      <c r="T22" s="14">
        <v>0</v>
      </c>
      <c r="V22">
        <v>1155.5</v>
      </c>
      <c r="X22">
        <f t="shared" si="5"/>
        <v>28400.500000000007</v>
      </c>
      <c r="AA22">
        <v>12.434980438115399</v>
      </c>
    </row>
    <row r="23" spans="1:27" x14ac:dyDescent="0.25">
      <c r="A23" s="74"/>
      <c r="B23" s="8"/>
      <c r="C23" s="9">
        <v>41901</v>
      </c>
      <c r="D23">
        <v>23.9</v>
      </c>
      <c r="E23">
        <v>20.8</v>
      </c>
      <c r="F23">
        <v>28.5</v>
      </c>
      <c r="G23">
        <f t="shared" si="2"/>
        <v>389.50000000000006</v>
      </c>
      <c r="J23">
        <v>5.4</v>
      </c>
      <c r="K23">
        <f t="shared" si="3"/>
        <v>7.2</v>
      </c>
      <c r="L23">
        <v>3.6</v>
      </c>
      <c r="M23">
        <f t="shared" si="4"/>
        <v>66.5</v>
      </c>
      <c r="N23">
        <v>1.8000000000000003</v>
      </c>
      <c r="O23">
        <f t="shared" ref="O23:O28" si="7">O22+N23</f>
        <v>1.8000000000000003</v>
      </c>
      <c r="P23" s="5">
        <v>18</v>
      </c>
      <c r="Q23" s="6">
        <f t="shared" si="6"/>
        <v>0.41874999999999996</v>
      </c>
      <c r="R23" s="11">
        <f t="shared" si="0"/>
        <v>1.5074999999999998</v>
      </c>
      <c r="S23" s="11">
        <f t="shared" si="1"/>
        <v>3.8925000000000005</v>
      </c>
      <c r="T23" s="14">
        <f t="shared" ref="T23:T86" si="8">MIN(122.1,(T22+S23))</f>
        <v>3.8925000000000005</v>
      </c>
      <c r="V23">
        <v>1193</v>
      </c>
      <c r="X23">
        <f t="shared" si="5"/>
        <v>29593.500000000007</v>
      </c>
      <c r="AA23">
        <v>12.3853338514052</v>
      </c>
    </row>
    <row r="24" spans="1:27" x14ac:dyDescent="0.25">
      <c r="A24" s="74"/>
      <c r="B24" s="8"/>
      <c r="C24" s="9">
        <v>41902</v>
      </c>
      <c r="D24">
        <v>22.3</v>
      </c>
      <c r="E24">
        <v>17</v>
      </c>
      <c r="F24">
        <v>27.9</v>
      </c>
      <c r="G24">
        <f t="shared" si="2"/>
        <v>411.80000000000007</v>
      </c>
      <c r="J24">
        <v>11.8</v>
      </c>
      <c r="K24">
        <f t="shared" si="3"/>
        <v>19</v>
      </c>
      <c r="L24">
        <v>1.7</v>
      </c>
      <c r="M24">
        <f t="shared" si="4"/>
        <v>68.2</v>
      </c>
      <c r="N24">
        <v>10.100000000000001</v>
      </c>
      <c r="O24">
        <f t="shared" si="7"/>
        <v>11.900000000000002</v>
      </c>
      <c r="P24" s="5">
        <v>19</v>
      </c>
      <c r="Q24" s="6">
        <f t="shared" si="6"/>
        <v>0.42499999999999999</v>
      </c>
      <c r="R24" s="11">
        <f t="shared" si="0"/>
        <v>0.72249999999999992</v>
      </c>
      <c r="S24" s="11">
        <f t="shared" si="1"/>
        <v>11.077500000000001</v>
      </c>
      <c r="T24" s="14">
        <f t="shared" si="8"/>
        <v>14.97</v>
      </c>
      <c r="V24">
        <v>767.2</v>
      </c>
      <c r="X24">
        <f t="shared" si="5"/>
        <v>30360.700000000008</v>
      </c>
      <c r="AA24">
        <v>12.335647785343101</v>
      </c>
    </row>
    <row r="25" spans="1:27" x14ac:dyDescent="0.25">
      <c r="A25" s="74"/>
      <c r="B25" s="8"/>
      <c r="C25" s="9">
        <v>41903</v>
      </c>
      <c r="D25">
        <v>21.1</v>
      </c>
      <c r="E25">
        <v>17</v>
      </c>
      <c r="F25">
        <v>25.4</v>
      </c>
      <c r="G25">
        <f t="shared" si="2"/>
        <v>432.90000000000009</v>
      </c>
      <c r="J25">
        <v>0.1</v>
      </c>
      <c r="K25">
        <f t="shared" si="3"/>
        <v>19.100000000000001</v>
      </c>
      <c r="L25">
        <v>2.2999999999999998</v>
      </c>
      <c r="M25">
        <f t="shared" si="4"/>
        <v>70.5</v>
      </c>
      <c r="N25">
        <v>-2.1999999999999997</v>
      </c>
      <c r="O25">
        <f t="shared" si="7"/>
        <v>9.7000000000000028</v>
      </c>
      <c r="P25" s="5">
        <v>20</v>
      </c>
      <c r="Q25" s="6">
        <f t="shared" si="6"/>
        <v>0.43124999999999997</v>
      </c>
      <c r="R25" s="11">
        <f t="shared" si="0"/>
        <v>0.99187499999999984</v>
      </c>
      <c r="S25" s="11">
        <f t="shared" si="1"/>
        <v>-0.89187499999999986</v>
      </c>
      <c r="T25" s="14">
        <f t="shared" si="8"/>
        <v>14.078125</v>
      </c>
      <c r="V25">
        <v>929.1</v>
      </c>
      <c r="X25">
        <f t="shared" si="5"/>
        <v>31289.800000000007</v>
      </c>
      <c r="AA25">
        <v>12.2859276815076</v>
      </c>
    </row>
    <row r="26" spans="1:27" x14ac:dyDescent="0.25">
      <c r="A26" s="74"/>
      <c r="B26" s="8"/>
      <c r="C26" s="9">
        <v>41904</v>
      </c>
      <c r="D26">
        <v>18.3</v>
      </c>
      <c r="E26">
        <v>15.8</v>
      </c>
      <c r="F26">
        <v>20.5</v>
      </c>
      <c r="G26">
        <f t="shared" si="2"/>
        <v>451.2000000000001</v>
      </c>
      <c r="J26">
        <v>0</v>
      </c>
      <c r="K26">
        <f t="shared" si="3"/>
        <v>19.100000000000001</v>
      </c>
      <c r="L26">
        <v>1.9</v>
      </c>
      <c r="M26">
        <f t="shared" si="4"/>
        <v>72.400000000000006</v>
      </c>
      <c r="N26">
        <v>-1.9</v>
      </c>
      <c r="O26">
        <f t="shared" si="7"/>
        <v>7.8000000000000025</v>
      </c>
      <c r="P26" s="5">
        <v>21</v>
      </c>
      <c r="Q26" s="6">
        <f t="shared" si="6"/>
        <v>0.4375</v>
      </c>
      <c r="R26" s="11">
        <f t="shared" si="0"/>
        <v>0.83124999999999993</v>
      </c>
      <c r="S26" s="11">
        <f t="shared" si="1"/>
        <v>-0.83124999999999993</v>
      </c>
      <c r="T26" s="14">
        <f t="shared" si="8"/>
        <v>13.246874999999999</v>
      </c>
      <c r="V26">
        <v>1166.2</v>
      </c>
      <c r="X26">
        <f t="shared" si="5"/>
        <v>32456.000000000007</v>
      </c>
      <c r="AA26">
        <v>12.2361789533854</v>
      </c>
    </row>
    <row r="27" spans="1:27" x14ac:dyDescent="0.25">
      <c r="A27" s="74"/>
      <c r="B27" s="8"/>
      <c r="C27" s="9">
        <v>41905</v>
      </c>
      <c r="D27">
        <v>16.2</v>
      </c>
      <c r="E27">
        <v>12</v>
      </c>
      <c r="F27">
        <v>18.600000000000001</v>
      </c>
      <c r="G27">
        <f t="shared" si="2"/>
        <v>467.40000000000009</v>
      </c>
      <c r="J27">
        <v>0</v>
      </c>
      <c r="K27">
        <f t="shared" si="3"/>
        <v>19.100000000000001</v>
      </c>
      <c r="L27">
        <v>2.1</v>
      </c>
      <c r="M27">
        <f t="shared" si="4"/>
        <v>74.5</v>
      </c>
      <c r="N27">
        <v>-2.1</v>
      </c>
      <c r="O27">
        <f t="shared" si="7"/>
        <v>5.7000000000000028</v>
      </c>
      <c r="P27" s="5">
        <v>22</v>
      </c>
      <c r="Q27" s="6">
        <f t="shared" si="6"/>
        <v>0.44374999999999998</v>
      </c>
      <c r="R27" s="11">
        <f t="shared" si="0"/>
        <v>0.93187500000000001</v>
      </c>
      <c r="S27" s="11">
        <f t="shared" si="1"/>
        <v>-0.93187500000000001</v>
      </c>
      <c r="T27" s="14">
        <f t="shared" si="8"/>
        <v>12.315</v>
      </c>
      <c r="V27">
        <v>1361.7</v>
      </c>
      <c r="X27">
        <f t="shared" si="5"/>
        <v>33817.700000000004</v>
      </c>
      <c r="AA27">
        <v>12.1864069998693</v>
      </c>
    </row>
    <row r="28" spans="1:27" x14ac:dyDescent="0.25">
      <c r="A28" s="74"/>
      <c r="B28" s="8"/>
      <c r="C28" s="9">
        <v>41906</v>
      </c>
      <c r="D28">
        <v>17.399999999999999</v>
      </c>
      <c r="E28">
        <v>15.2</v>
      </c>
      <c r="F28">
        <v>20.9</v>
      </c>
      <c r="G28">
        <f t="shared" si="2"/>
        <v>484.80000000000007</v>
      </c>
      <c r="J28">
        <v>0</v>
      </c>
      <c r="K28">
        <f t="shared" si="3"/>
        <v>19.100000000000001</v>
      </c>
      <c r="L28">
        <v>4</v>
      </c>
      <c r="M28">
        <f t="shared" si="4"/>
        <v>78.5</v>
      </c>
      <c r="N28">
        <v>-4</v>
      </c>
      <c r="O28">
        <f t="shared" si="7"/>
        <v>1.7000000000000028</v>
      </c>
      <c r="P28" s="5">
        <v>23</v>
      </c>
      <c r="Q28" s="6">
        <f t="shared" si="6"/>
        <v>0.44999999999999996</v>
      </c>
      <c r="R28" s="11">
        <f t="shared" si="0"/>
        <v>1.7999999999999998</v>
      </c>
      <c r="S28" s="11">
        <f t="shared" si="1"/>
        <v>-1.7999999999999998</v>
      </c>
      <c r="T28" s="14">
        <f t="shared" si="8"/>
        <v>10.515000000000001</v>
      </c>
      <c r="V28">
        <v>1635.4</v>
      </c>
      <c r="X28">
        <f t="shared" si="5"/>
        <v>35453.100000000006</v>
      </c>
      <c r="AA28">
        <v>12.1366172188345</v>
      </c>
    </row>
    <row r="29" spans="1:27" x14ac:dyDescent="0.25">
      <c r="A29" s="74"/>
      <c r="B29" s="8"/>
      <c r="C29" s="9">
        <v>41907</v>
      </c>
      <c r="D29">
        <v>16.399999999999999</v>
      </c>
      <c r="E29">
        <v>12.5</v>
      </c>
      <c r="F29">
        <v>21.5</v>
      </c>
      <c r="G29">
        <f t="shared" si="2"/>
        <v>501.20000000000005</v>
      </c>
      <c r="J29">
        <v>0</v>
      </c>
      <c r="K29">
        <f t="shared" si="3"/>
        <v>19.100000000000001</v>
      </c>
      <c r="L29">
        <v>3.2</v>
      </c>
      <c r="M29">
        <f t="shared" si="4"/>
        <v>81.7</v>
      </c>
      <c r="N29">
        <v>-3.2</v>
      </c>
      <c r="O29">
        <v>0</v>
      </c>
      <c r="P29" s="5">
        <v>24</v>
      </c>
      <c r="Q29" s="6">
        <f t="shared" si="6"/>
        <v>0.45624999999999999</v>
      </c>
      <c r="R29" s="11">
        <f t="shared" si="0"/>
        <v>1.46</v>
      </c>
      <c r="S29" s="11">
        <f t="shared" si="1"/>
        <v>-1.46</v>
      </c>
      <c r="T29" s="14">
        <f t="shared" si="8"/>
        <v>9.0549999999999997</v>
      </c>
      <c r="V29">
        <v>1615.5</v>
      </c>
      <c r="X29">
        <f t="shared" si="5"/>
        <v>37068.600000000006</v>
      </c>
      <c r="AA29">
        <v>12.0868150207924</v>
      </c>
    </row>
    <row r="30" spans="1:27" x14ac:dyDescent="0.25">
      <c r="A30" s="74"/>
      <c r="B30" s="8"/>
      <c r="C30" s="9">
        <v>41908</v>
      </c>
      <c r="D30">
        <v>16.100000000000001</v>
      </c>
      <c r="E30">
        <v>9.8000000000000007</v>
      </c>
      <c r="F30">
        <v>21.8</v>
      </c>
      <c r="G30">
        <f t="shared" si="2"/>
        <v>517.30000000000007</v>
      </c>
      <c r="J30">
        <v>0</v>
      </c>
      <c r="K30">
        <f t="shared" si="3"/>
        <v>19.100000000000001</v>
      </c>
      <c r="L30">
        <v>3.2</v>
      </c>
      <c r="M30">
        <f t="shared" si="4"/>
        <v>84.9</v>
      </c>
      <c r="N30">
        <v>-3.2</v>
      </c>
      <c r="O30">
        <v>0</v>
      </c>
      <c r="P30" s="5">
        <v>25</v>
      </c>
      <c r="Q30" s="6">
        <f t="shared" si="6"/>
        <v>0.46249999999999997</v>
      </c>
      <c r="R30" s="11">
        <f t="shared" si="0"/>
        <v>1.48</v>
      </c>
      <c r="S30" s="11">
        <f t="shared" si="1"/>
        <v>-1.48</v>
      </c>
      <c r="T30" s="14">
        <f t="shared" si="8"/>
        <v>7.5749999999999993</v>
      </c>
      <c r="V30">
        <v>1685.6</v>
      </c>
      <c r="X30">
        <f t="shared" si="5"/>
        <v>38754.200000000004</v>
      </c>
      <c r="AA30">
        <v>12.037005842623801</v>
      </c>
    </row>
    <row r="31" spans="1:27" x14ac:dyDescent="0.25">
      <c r="A31" s="74"/>
      <c r="B31" s="8"/>
      <c r="C31" s="9">
        <v>41909</v>
      </c>
      <c r="D31">
        <v>17.5</v>
      </c>
      <c r="E31">
        <v>9</v>
      </c>
      <c r="F31">
        <v>24.1</v>
      </c>
      <c r="G31">
        <f t="shared" si="2"/>
        <v>534.80000000000007</v>
      </c>
      <c r="J31">
        <v>0</v>
      </c>
      <c r="K31">
        <f t="shared" si="3"/>
        <v>19.100000000000001</v>
      </c>
      <c r="L31">
        <v>3.9</v>
      </c>
      <c r="M31">
        <f t="shared" si="4"/>
        <v>88.800000000000011</v>
      </c>
      <c r="N31">
        <v>-3.9</v>
      </c>
      <c r="O31">
        <v>0</v>
      </c>
      <c r="P31" s="5">
        <v>26</v>
      </c>
      <c r="Q31" s="6">
        <f t="shared" si="6"/>
        <v>0.46875</v>
      </c>
      <c r="R31" s="11">
        <f t="shared" si="0"/>
        <v>1.828125</v>
      </c>
      <c r="S31" s="11">
        <f t="shared" si="1"/>
        <v>-1.828125</v>
      </c>
      <c r="T31" s="14">
        <f t="shared" si="8"/>
        <v>5.7468749999999993</v>
      </c>
      <c r="V31">
        <v>1908.7</v>
      </c>
      <c r="X31">
        <f t="shared" si="5"/>
        <v>40662.9</v>
      </c>
      <c r="AA31">
        <v>11.9871951613899</v>
      </c>
    </row>
    <row r="32" spans="1:27" x14ac:dyDescent="0.25">
      <c r="A32" s="74"/>
      <c r="B32" s="8"/>
      <c r="C32" s="9">
        <v>41910</v>
      </c>
      <c r="D32">
        <v>19.2</v>
      </c>
      <c r="E32">
        <v>14.2</v>
      </c>
      <c r="F32">
        <v>25.8</v>
      </c>
      <c r="G32">
        <f t="shared" si="2"/>
        <v>554.00000000000011</v>
      </c>
      <c r="J32">
        <v>2.2000000000000002</v>
      </c>
      <c r="K32">
        <f t="shared" si="3"/>
        <v>21.3</v>
      </c>
      <c r="L32">
        <v>2.7</v>
      </c>
      <c r="M32">
        <f t="shared" si="4"/>
        <v>91.500000000000014</v>
      </c>
      <c r="N32">
        <v>-0.5</v>
      </c>
      <c r="O32">
        <v>0</v>
      </c>
      <c r="P32" s="5">
        <v>27</v>
      </c>
      <c r="Q32" s="6">
        <f t="shared" si="6"/>
        <v>0.47499999999999998</v>
      </c>
      <c r="R32" s="11">
        <f t="shared" si="0"/>
        <v>1.2825</v>
      </c>
      <c r="S32" s="11">
        <f t="shared" si="1"/>
        <v>0.9175000000000002</v>
      </c>
      <c r="T32" s="14">
        <f t="shared" si="8"/>
        <v>6.6643749999999997</v>
      </c>
      <c r="V32">
        <v>982.2</v>
      </c>
      <c r="X32">
        <f t="shared" si="5"/>
        <v>41645.1</v>
      </c>
      <c r="AA32">
        <v>11.937388508221201</v>
      </c>
    </row>
    <row r="33" spans="1:27" x14ac:dyDescent="0.25">
      <c r="A33" s="74"/>
      <c r="B33" s="8"/>
      <c r="C33" s="9">
        <v>41911</v>
      </c>
      <c r="D33">
        <v>20.9</v>
      </c>
      <c r="E33">
        <v>16.899999999999999</v>
      </c>
      <c r="F33">
        <v>23.6</v>
      </c>
      <c r="G33">
        <f t="shared" si="2"/>
        <v>574.90000000000009</v>
      </c>
      <c r="J33">
        <v>18.5</v>
      </c>
      <c r="K33">
        <f t="shared" si="3"/>
        <v>39.799999999999997</v>
      </c>
      <c r="L33">
        <v>2.2999999999999998</v>
      </c>
      <c r="M33">
        <f t="shared" si="4"/>
        <v>93.800000000000011</v>
      </c>
      <c r="N33">
        <v>16.2</v>
      </c>
      <c r="O33">
        <f t="shared" ref="O33:O53" si="9">O32+N33</f>
        <v>16.2</v>
      </c>
      <c r="P33" s="5">
        <v>28</v>
      </c>
      <c r="Q33" s="6">
        <f t="shared" si="6"/>
        <v>0.48124999999999996</v>
      </c>
      <c r="R33" s="11">
        <f t="shared" si="0"/>
        <v>1.1068749999999998</v>
      </c>
      <c r="S33" s="11">
        <f t="shared" si="1"/>
        <v>17.393125000000001</v>
      </c>
      <c r="T33" s="14">
        <f t="shared" si="8"/>
        <v>24.057500000000001</v>
      </c>
      <c r="V33">
        <v>1159.5</v>
      </c>
      <c r="X33">
        <f t="shared" si="5"/>
        <v>42804.6</v>
      </c>
      <c r="AA33">
        <v>11.887591482284099</v>
      </c>
    </row>
    <row r="34" spans="1:27" x14ac:dyDescent="0.25">
      <c r="A34" s="74"/>
      <c r="B34" s="8"/>
      <c r="C34" s="9">
        <v>41912</v>
      </c>
      <c r="D34">
        <v>19.600000000000001</v>
      </c>
      <c r="E34">
        <v>18.600000000000001</v>
      </c>
      <c r="F34">
        <v>21.8</v>
      </c>
      <c r="G34">
        <f t="shared" si="2"/>
        <v>594.50000000000011</v>
      </c>
      <c r="J34">
        <v>12.8</v>
      </c>
      <c r="K34">
        <f t="shared" si="3"/>
        <v>52.599999999999994</v>
      </c>
      <c r="L34">
        <v>1.3</v>
      </c>
      <c r="M34">
        <f t="shared" si="4"/>
        <v>95.100000000000009</v>
      </c>
      <c r="N34">
        <v>11.5</v>
      </c>
      <c r="O34">
        <f t="shared" si="9"/>
        <v>27.7</v>
      </c>
      <c r="P34" s="5">
        <v>29</v>
      </c>
      <c r="Q34" s="6">
        <f t="shared" si="6"/>
        <v>0.48749999999999999</v>
      </c>
      <c r="R34" s="11">
        <f t="shared" si="0"/>
        <v>0.63375000000000004</v>
      </c>
      <c r="S34" s="11">
        <f t="shared" si="1"/>
        <v>12.166250000000002</v>
      </c>
      <c r="T34" s="14">
        <f t="shared" si="8"/>
        <v>36.223750000000003</v>
      </c>
      <c r="V34">
        <v>477.5</v>
      </c>
      <c r="X34">
        <f t="shared" si="5"/>
        <v>43282.1</v>
      </c>
      <c r="AA34">
        <v>11.8378097648246</v>
      </c>
    </row>
    <row r="35" spans="1:27" x14ac:dyDescent="0.25">
      <c r="A35" s="74"/>
      <c r="B35" s="8"/>
      <c r="C35" s="9">
        <v>41913</v>
      </c>
      <c r="D35">
        <v>18.399999999999999</v>
      </c>
      <c r="E35">
        <v>17.3</v>
      </c>
      <c r="F35">
        <v>19.899999999999999</v>
      </c>
      <c r="G35">
        <f t="shared" si="2"/>
        <v>612.90000000000009</v>
      </c>
      <c r="J35">
        <v>0.2</v>
      </c>
      <c r="K35">
        <f t="shared" si="3"/>
        <v>52.8</v>
      </c>
      <c r="L35">
        <v>2.2000000000000002</v>
      </c>
      <c r="M35">
        <f t="shared" si="4"/>
        <v>97.300000000000011</v>
      </c>
      <c r="N35">
        <v>-2</v>
      </c>
      <c r="O35">
        <f t="shared" si="9"/>
        <v>25.7</v>
      </c>
      <c r="P35" s="5">
        <v>30</v>
      </c>
      <c r="Q35" s="6">
        <f t="shared" si="6"/>
        <v>0.49374999999999997</v>
      </c>
      <c r="R35" s="11">
        <f t="shared" si="0"/>
        <v>1.0862499999999999</v>
      </c>
      <c r="S35" s="11">
        <f t="shared" si="1"/>
        <v>-0.88624999999999998</v>
      </c>
      <c r="T35" s="14">
        <f t="shared" si="8"/>
        <v>35.337500000000006</v>
      </c>
      <c r="V35">
        <v>1119.0999999999999</v>
      </c>
      <c r="X35">
        <f t="shared" si="5"/>
        <v>44401.2</v>
      </c>
      <c r="AA35">
        <v>11.788049133285501</v>
      </c>
    </row>
    <row r="36" spans="1:27" x14ac:dyDescent="0.25">
      <c r="A36" s="74"/>
      <c r="B36" s="8"/>
      <c r="C36" s="9">
        <v>41914</v>
      </c>
      <c r="D36">
        <v>18.399999999999999</v>
      </c>
      <c r="E36">
        <v>13.3</v>
      </c>
      <c r="F36">
        <v>23.6</v>
      </c>
      <c r="G36">
        <f t="shared" si="2"/>
        <v>631.30000000000007</v>
      </c>
      <c r="J36">
        <v>0.1</v>
      </c>
      <c r="K36">
        <f t="shared" si="3"/>
        <v>52.9</v>
      </c>
      <c r="L36">
        <v>3.1</v>
      </c>
      <c r="M36">
        <f t="shared" si="4"/>
        <v>100.4</v>
      </c>
      <c r="N36">
        <v>-3</v>
      </c>
      <c r="O36">
        <f t="shared" si="9"/>
        <v>22.7</v>
      </c>
      <c r="P36" s="5">
        <v>31</v>
      </c>
      <c r="Q36" s="6">
        <f t="shared" si="6"/>
        <v>0.5</v>
      </c>
      <c r="R36" s="11">
        <f t="shared" si="0"/>
        <v>1.55</v>
      </c>
      <c r="S36" s="11">
        <f t="shared" si="1"/>
        <v>-1.45</v>
      </c>
      <c r="T36" s="14">
        <f t="shared" si="8"/>
        <v>33.887500000000003</v>
      </c>
      <c r="V36">
        <v>1673.5</v>
      </c>
      <c r="X36">
        <f t="shared" si="5"/>
        <v>46074.7</v>
      </c>
      <c r="AA36">
        <v>11.738315475497499</v>
      </c>
    </row>
    <row r="37" spans="1:27" x14ac:dyDescent="0.25">
      <c r="A37" s="74"/>
      <c r="B37" s="8"/>
      <c r="C37" s="9">
        <v>41915</v>
      </c>
      <c r="D37">
        <v>18.399999999999999</v>
      </c>
      <c r="E37">
        <v>12.6</v>
      </c>
      <c r="F37">
        <v>24.1</v>
      </c>
      <c r="G37">
        <f t="shared" si="2"/>
        <v>649.70000000000005</v>
      </c>
      <c r="J37">
        <v>0.1</v>
      </c>
      <c r="K37">
        <f t="shared" si="3"/>
        <v>53</v>
      </c>
      <c r="L37">
        <v>3.1</v>
      </c>
      <c r="M37">
        <f t="shared" si="4"/>
        <v>103.5</v>
      </c>
      <c r="N37">
        <v>-3</v>
      </c>
      <c r="O37">
        <f t="shared" si="9"/>
        <v>19.7</v>
      </c>
      <c r="P37" s="5">
        <v>32</v>
      </c>
      <c r="Q37" s="6">
        <f t="shared" si="6"/>
        <v>0.50624999999999998</v>
      </c>
      <c r="R37" s="11">
        <f t="shared" si="0"/>
        <v>1.569375</v>
      </c>
      <c r="S37" s="11">
        <f t="shared" si="1"/>
        <v>-1.4693749999999999</v>
      </c>
      <c r="T37" s="14">
        <f t="shared" si="8"/>
        <v>32.418125000000003</v>
      </c>
      <c r="V37">
        <v>1659.6</v>
      </c>
      <c r="X37">
        <f t="shared" si="5"/>
        <v>47734.299999999996</v>
      </c>
      <c r="AA37">
        <v>11.688614803938799</v>
      </c>
    </row>
    <row r="38" spans="1:27" x14ac:dyDescent="0.25">
      <c r="A38" s="74"/>
      <c r="B38" s="8"/>
      <c r="C38" s="9">
        <v>41916</v>
      </c>
      <c r="D38">
        <v>18.5</v>
      </c>
      <c r="E38">
        <v>11.7</v>
      </c>
      <c r="F38">
        <v>24.1</v>
      </c>
      <c r="G38">
        <f t="shared" si="2"/>
        <v>668.2</v>
      </c>
      <c r="J38">
        <v>0</v>
      </c>
      <c r="K38">
        <f t="shared" si="3"/>
        <v>53</v>
      </c>
      <c r="L38">
        <v>2.6</v>
      </c>
      <c r="M38">
        <f t="shared" si="4"/>
        <v>106.1</v>
      </c>
      <c r="N38">
        <v>-2.6</v>
      </c>
      <c r="O38">
        <f t="shared" si="9"/>
        <v>17.099999999999998</v>
      </c>
      <c r="P38" s="5">
        <v>33</v>
      </c>
      <c r="Q38" s="6">
        <f t="shared" si="6"/>
        <v>0.51249999999999996</v>
      </c>
      <c r="R38" s="11">
        <f t="shared" si="0"/>
        <v>1.3325</v>
      </c>
      <c r="S38" s="11">
        <f t="shared" si="1"/>
        <v>-1.3325</v>
      </c>
      <c r="T38" s="14">
        <f t="shared" si="8"/>
        <v>31.085625000000004</v>
      </c>
      <c r="V38">
        <v>1444.7</v>
      </c>
      <c r="X38">
        <f t="shared" si="5"/>
        <v>49178.999999999993</v>
      </c>
      <c r="AA38">
        <v>11.63895327006</v>
      </c>
    </row>
    <row r="39" spans="1:27" x14ac:dyDescent="0.25">
      <c r="A39" s="74"/>
      <c r="B39" s="8"/>
      <c r="C39" s="9">
        <v>41917</v>
      </c>
      <c r="D39">
        <v>14.3</v>
      </c>
      <c r="E39">
        <v>11.7</v>
      </c>
      <c r="F39">
        <v>17.3</v>
      </c>
      <c r="G39">
        <f t="shared" si="2"/>
        <v>682.5</v>
      </c>
      <c r="J39">
        <v>0</v>
      </c>
      <c r="K39">
        <f t="shared" si="3"/>
        <v>53</v>
      </c>
      <c r="L39">
        <v>2.8</v>
      </c>
      <c r="M39">
        <f t="shared" si="4"/>
        <v>108.89999999999999</v>
      </c>
      <c r="N39">
        <v>-2.8</v>
      </c>
      <c r="O39">
        <f t="shared" si="9"/>
        <v>14.299999999999997</v>
      </c>
      <c r="P39" s="5">
        <v>34</v>
      </c>
      <c r="Q39" s="6">
        <f t="shared" si="6"/>
        <v>0.51875000000000004</v>
      </c>
      <c r="R39" s="11">
        <f t="shared" si="0"/>
        <v>1.4525000000000001</v>
      </c>
      <c r="S39" s="11">
        <f t="shared" si="1"/>
        <v>-1.4525000000000001</v>
      </c>
      <c r="T39" s="14">
        <f t="shared" si="8"/>
        <v>29.633125000000003</v>
      </c>
      <c r="V39">
        <v>1541.1</v>
      </c>
      <c r="X39">
        <f t="shared" si="5"/>
        <v>50720.099999999991</v>
      </c>
      <c r="AA39">
        <v>11.589337178668901</v>
      </c>
    </row>
    <row r="40" spans="1:27" x14ac:dyDescent="0.25">
      <c r="A40" s="74"/>
      <c r="B40" s="8"/>
      <c r="C40" s="9">
        <v>41918</v>
      </c>
      <c r="D40">
        <v>16.3</v>
      </c>
      <c r="E40">
        <v>9.8000000000000007</v>
      </c>
      <c r="F40">
        <v>22.6</v>
      </c>
      <c r="G40">
        <f t="shared" si="2"/>
        <v>698.8</v>
      </c>
      <c r="J40">
        <v>0</v>
      </c>
      <c r="K40">
        <f t="shared" si="3"/>
        <v>53</v>
      </c>
      <c r="L40">
        <v>2.7</v>
      </c>
      <c r="M40">
        <f t="shared" si="4"/>
        <v>111.6</v>
      </c>
      <c r="N40">
        <v>-2.7</v>
      </c>
      <c r="O40">
        <f t="shared" si="9"/>
        <v>11.599999999999998</v>
      </c>
      <c r="P40" s="5">
        <v>35</v>
      </c>
      <c r="Q40" s="6">
        <f t="shared" si="6"/>
        <v>0.52499999999999991</v>
      </c>
      <c r="R40" s="11">
        <f t="shared" si="0"/>
        <v>1.4174999999999998</v>
      </c>
      <c r="S40" s="11">
        <f t="shared" si="1"/>
        <v>-1.4174999999999998</v>
      </c>
      <c r="T40" s="14">
        <f t="shared" si="8"/>
        <v>28.215625000000003</v>
      </c>
      <c r="V40">
        <v>1373.9</v>
      </c>
      <c r="X40">
        <f t="shared" si="5"/>
        <v>52093.999999999993</v>
      </c>
      <c r="AA40">
        <v>11.539773002367999</v>
      </c>
    </row>
    <row r="41" spans="1:27" x14ac:dyDescent="0.25">
      <c r="A41" s="74"/>
      <c r="B41" s="8"/>
      <c r="C41" s="9">
        <v>41919</v>
      </c>
      <c r="D41">
        <v>18.600000000000001</v>
      </c>
      <c r="E41">
        <v>14</v>
      </c>
      <c r="F41">
        <v>22.6</v>
      </c>
      <c r="G41">
        <f t="shared" si="2"/>
        <v>717.4</v>
      </c>
      <c r="J41">
        <v>0</v>
      </c>
      <c r="K41">
        <f t="shared" si="3"/>
        <v>53</v>
      </c>
      <c r="L41">
        <v>2.2999999999999998</v>
      </c>
      <c r="M41">
        <f t="shared" si="4"/>
        <v>113.89999999999999</v>
      </c>
      <c r="N41">
        <v>-2.2999999999999998</v>
      </c>
      <c r="O41">
        <f t="shared" si="9"/>
        <v>9.2999999999999972</v>
      </c>
      <c r="P41" s="5">
        <v>36</v>
      </c>
      <c r="Q41" s="6">
        <f t="shared" si="6"/>
        <v>0.53125</v>
      </c>
      <c r="R41" s="11">
        <f t="shared" si="0"/>
        <v>1.2218749999999998</v>
      </c>
      <c r="S41" s="11">
        <f t="shared" si="1"/>
        <v>-1.2218749999999998</v>
      </c>
      <c r="T41" s="14">
        <f t="shared" si="8"/>
        <v>26.993750000000002</v>
      </c>
      <c r="V41">
        <v>1205</v>
      </c>
      <c r="X41">
        <f t="shared" si="5"/>
        <v>53298.999999999993</v>
      </c>
      <c r="AA41">
        <v>11.490267396036799</v>
      </c>
    </row>
    <row r="42" spans="1:27" x14ac:dyDescent="0.25">
      <c r="A42" s="74"/>
      <c r="B42" s="8"/>
      <c r="C42" s="9">
        <v>41920</v>
      </c>
      <c r="D42">
        <v>20.8</v>
      </c>
      <c r="E42">
        <v>16.3</v>
      </c>
      <c r="F42">
        <v>25.8</v>
      </c>
      <c r="G42">
        <f t="shared" si="2"/>
        <v>738.19999999999993</v>
      </c>
      <c r="J42">
        <v>0.2</v>
      </c>
      <c r="K42">
        <f t="shared" si="3"/>
        <v>53.2</v>
      </c>
      <c r="L42">
        <v>2.6</v>
      </c>
      <c r="M42">
        <f t="shared" si="4"/>
        <v>116.49999999999999</v>
      </c>
      <c r="N42">
        <v>-2.4</v>
      </c>
      <c r="O42">
        <f t="shared" si="9"/>
        <v>6.8999999999999968</v>
      </c>
      <c r="P42" s="5">
        <v>37</v>
      </c>
      <c r="Q42" s="6">
        <f t="shared" si="6"/>
        <v>0.53749999999999998</v>
      </c>
      <c r="R42" s="11">
        <f t="shared" si="0"/>
        <v>1.3975</v>
      </c>
      <c r="S42" s="11">
        <f t="shared" si="1"/>
        <v>-1.1975</v>
      </c>
      <c r="T42" s="14">
        <f t="shared" si="8"/>
        <v>25.796250000000001</v>
      </c>
      <c r="V42">
        <v>818.3</v>
      </c>
      <c r="X42">
        <f t="shared" si="5"/>
        <v>54117.299999999996</v>
      </c>
      <c r="AA42">
        <v>11.4408272113498</v>
      </c>
    </row>
    <row r="43" spans="1:27" x14ac:dyDescent="0.25">
      <c r="A43" s="74"/>
      <c r="B43" s="8"/>
      <c r="C43" s="9">
        <v>41921</v>
      </c>
      <c r="D43">
        <v>19.600000000000001</v>
      </c>
      <c r="E43">
        <v>17.399999999999999</v>
      </c>
      <c r="F43">
        <v>24.4</v>
      </c>
      <c r="G43">
        <f t="shared" si="2"/>
        <v>757.8</v>
      </c>
      <c r="J43">
        <v>15.2</v>
      </c>
      <c r="K43">
        <f t="shared" si="3"/>
        <v>68.400000000000006</v>
      </c>
      <c r="L43">
        <v>1.9</v>
      </c>
      <c r="M43">
        <f t="shared" si="4"/>
        <v>118.39999999999999</v>
      </c>
      <c r="N43">
        <v>13.299999999999999</v>
      </c>
      <c r="O43">
        <f t="shared" si="9"/>
        <v>20.199999999999996</v>
      </c>
      <c r="P43" s="5">
        <v>38</v>
      </c>
      <c r="Q43" s="6">
        <f t="shared" si="6"/>
        <v>0.54374999999999996</v>
      </c>
      <c r="R43" s="11">
        <f t="shared" si="0"/>
        <v>1.0331249999999998</v>
      </c>
      <c r="S43" s="11">
        <f t="shared" si="1"/>
        <v>14.166874999999999</v>
      </c>
      <c r="T43" s="14">
        <f t="shared" si="8"/>
        <v>39.963124999999998</v>
      </c>
      <c r="V43">
        <v>811</v>
      </c>
      <c r="X43">
        <f t="shared" si="5"/>
        <v>54928.299999999996</v>
      </c>
      <c r="AA43">
        <v>11.391459511317199</v>
      </c>
    </row>
    <row r="44" spans="1:27" x14ac:dyDescent="0.25">
      <c r="A44" s="74"/>
      <c r="B44" s="8"/>
      <c r="C44" s="9">
        <v>41922</v>
      </c>
      <c r="D44">
        <v>17.399999999999999</v>
      </c>
      <c r="E44">
        <v>16.2</v>
      </c>
      <c r="F44">
        <v>20</v>
      </c>
      <c r="G44">
        <f t="shared" si="2"/>
        <v>775.19999999999993</v>
      </c>
      <c r="J44">
        <v>0.4</v>
      </c>
      <c r="K44">
        <f t="shared" si="3"/>
        <v>68.800000000000011</v>
      </c>
      <c r="L44">
        <v>1.3</v>
      </c>
      <c r="M44">
        <f t="shared" si="4"/>
        <v>119.69999999999999</v>
      </c>
      <c r="N44">
        <v>-0.9</v>
      </c>
      <c r="O44">
        <f t="shared" si="9"/>
        <v>19.299999999999997</v>
      </c>
      <c r="P44" s="5">
        <v>39</v>
      </c>
      <c r="Q44" s="6">
        <f t="shared" si="6"/>
        <v>0.55000000000000004</v>
      </c>
      <c r="R44" s="11">
        <f t="shared" si="0"/>
        <v>0.71500000000000008</v>
      </c>
      <c r="S44" s="11">
        <f t="shared" si="1"/>
        <v>-0.31500000000000006</v>
      </c>
      <c r="T44" s="14">
        <f t="shared" si="8"/>
        <v>39.648125</v>
      </c>
      <c r="V44">
        <v>567.4</v>
      </c>
      <c r="X44">
        <f t="shared" si="5"/>
        <v>55495.7</v>
      </c>
      <c r="AA44">
        <v>11.342171584836001</v>
      </c>
    </row>
    <row r="45" spans="1:27" x14ac:dyDescent="0.25">
      <c r="A45" s="74"/>
      <c r="B45" s="8"/>
      <c r="C45" s="9">
        <v>41923</v>
      </c>
      <c r="D45">
        <v>17.5</v>
      </c>
      <c r="E45">
        <v>14.7</v>
      </c>
      <c r="F45">
        <v>20.3</v>
      </c>
      <c r="G45">
        <f t="shared" si="2"/>
        <v>792.69999999999993</v>
      </c>
      <c r="J45">
        <v>0</v>
      </c>
      <c r="K45">
        <f t="shared" si="3"/>
        <v>68.800000000000011</v>
      </c>
      <c r="L45">
        <v>1.7</v>
      </c>
      <c r="M45">
        <f t="shared" si="4"/>
        <v>121.39999999999999</v>
      </c>
      <c r="N45">
        <v>-1.7</v>
      </c>
      <c r="O45">
        <f t="shared" si="9"/>
        <v>17.599999999999998</v>
      </c>
      <c r="P45" s="5">
        <v>40</v>
      </c>
      <c r="Q45" s="6">
        <f t="shared" si="6"/>
        <v>0.55624999999999991</v>
      </c>
      <c r="R45" s="11">
        <f t="shared" si="0"/>
        <v>0.94562499999999983</v>
      </c>
      <c r="S45" s="11">
        <f t="shared" si="1"/>
        <v>-0.94562499999999983</v>
      </c>
      <c r="T45" s="14">
        <f t="shared" si="8"/>
        <v>38.702500000000001</v>
      </c>
      <c r="V45">
        <v>891</v>
      </c>
      <c r="X45">
        <f t="shared" si="5"/>
        <v>56386.7</v>
      </c>
      <c r="AA45">
        <v>11.292970961235399</v>
      </c>
    </row>
    <row r="46" spans="1:27" x14ac:dyDescent="0.25">
      <c r="A46" s="74"/>
      <c r="B46" s="8"/>
      <c r="C46" s="9">
        <v>41924</v>
      </c>
      <c r="D46">
        <v>21.5</v>
      </c>
      <c r="E46">
        <v>17.7</v>
      </c>
      <c r="F46">
        <v>26.2</v>
      </c>
      <c r="G46">
        <f t="shared" si="2"/>
        <v>814.19999999999993</v>
      </c>
      <c r="J46">
        <v>0.1</v>
      </c>
      <c r="K46">
        <f t="shared" si="3"/>
        <v>68.900000000000006</v>
      </c>
      <c r="L46">
        <v>2.6</v>
      </c>
      <c r="M46">
        <f t="shared" si="4"/>
        <v>123.99999999999999</v>
      </c>
      <c r="N46">
        <v>-2.5</v>
      </c>
      <c r="O46">
        <f t="shared" si="9"/>
        <v>15.099999999999998</v>
      </c>
      <c r="P46" s="5">
        <v>41</v>
      </c>
      <c r="Q46" s="6">
        <f t="shared" si="6"/>
        <v>0.5625</v>
      </c>
      <c r="R46" s="11">
        <f t="shared" si="0"/>
        <v>1.4625000000000001</v>
      </c>
      <c r="S46" s="11">
        <f t="shared" si="1"/>
        <v>-1.3625</v>
      </c>
      <c r="T46" s="14">
        <f t="shared" si="8"/>
        <v>37.340000000000003</v>
      </c>
      <c r="V46">
        <v>899.4</v>
      </c>
      <c r="X46">
        <f t="shared" si="5"/>
        <v>57286.1</v>
      </c>
      <c r="AA46">
        <v>11.2438654247982</v>
      </c>
    </row>
    <row r="47" spans="1:27" x14ac:dyDescent="0.25">
      <c r="A47" s="74"/>
      <c r="B47" s="8"/>
      <c r="C47" s="9">
        <v>41925</v>
      </c>
      <c r="D47">
        <v>16.5</v>
      </c>
      <c r="E47">
        <v>11.4</v>
      </c>
      <c r="F47">
        <v>22.1</v>
      </c>
      <c r="G47">
        <f t="shared" si="2"/>
        <v>830.69999999999993</v>
      </c>
      <c r="J47">
        <v>0</v>
      </c>
      <c r="K47">
        <f t="shared" si="3"/>
        <v>68.900000000000006</v>
      </c>
      <c r="L47">
        <v>2.2999999999999998</v>
      </c>
      <c r="M47">
        <f t="shared" si="4"/>
        <v>126.29999999999998</v>
      </c>
      <c r="N47">
        <v>-2.2999999999999998</v>
      </c>
      <c r="O47">
        <f t="shared" si="9"/>
        <v>12.799999999999997</v>
      </c>
      <c r="P47" s="5">
        <v>42</v>
      </c>
      <c r="Q47" s="6">
        <f t="shared" si="6"/>
        <v>0.56874999999999998</v>
      </c>
      <c r="R47" s="11">
        <f t="shared" si="0"/>
        <v>1.3081249999999998</v>
      </c>
      <c r="S47" s="11">
        <f t="shared" si="1"/>
        <v>-1.3081249999999998</v>
      </c>
      <c r="T47" s="14">
        <f t="shared" si="8"/>
        <v>36.031875000000007</v>
      </c>
      <c r="V47">
        <v>1205.9000000000001</v>
      </c>
      <c r="X47">
        <f t="shared" si="5"/>
        <v>58492</v>
      </c>
      <c r="AA47">
        <v>11.1948630292391</v>
      </c>
    </row>
    <row r="48" spans="1:27" x14ac:dyDescent="0.25">
      <c r="A48" s="74"/>
      <c r="B48" s="8"/>
      <c r="C48" s="9">
        <v>41926</v>
      </c>
      <c r="D48">
        <v>16.7</v>
      </c>
      <c r="E48">
        <v>11.4</v>
      </c>
      <c r="F48">
        <v>21.3</v>
      </c>
      <c r="G48">
        <f t="shared" si="2"/>
        <v>847.4</v>
      </c>
      <c r="J48">
        <v>0.2</v>
      </c>
      <c r="K48">
        <f t="shared" si="3"/>
        <v>69.100000000000009</v>
      </c>
      <c r="L48">
        <v>1.4</v>
      </c>
      <c r="M48">
        <f t="shared" si="4"/>
        <v>127.69999999999999</v>
      </c>
      <c r="N48">
        <v>-1.2</v>
      </c>
      <c r="O48">
        <f t="shared" si="9"/>
        <v>11.599999999999998</v>
      </c>
      <c r="P48" s="5">
        <v>43</v>
      </c>
      <c r="Q48" s="6">
        <f t="shared" si="6"/>
        <v>0.57499999999999996</v>
      </c>
      <c r="R48" s="11">
        <f t="shared" si="0"/>
        <v>0.80499999999999994</v>
      </c>
      <c r="S48" s="11">
        <f t="shared" si="1"/>
        <v>-0.60499999999999998</v>
      </c>
      <c r="T48" s="14">
        <f t="shared" si="8"/>
        <v>35.42687500000001</v>
      </c>
      <c r="V48">
        <v>797.3</v>
      </c>
      <c r="X48">
        <f t="shared" si="5"/>
        <v>59289.3</v>
      </c>
      <c r="AA48">
        <v>11.145972112114601</v>
      </c>
    </row>
    <row r="49" spans="1:27" x14ac:dyDescent="0.25">
      <c r="A49" s="74"/>
      <c r="B49" s="8"/>
      <c r="C49" s="9">
        <v>41927</v>
      </c>
      <c r="D49">
        <v>17.3</v>
      </c>
      <c r="E49">
        <v>12</v>
      </c>
      <c r="F49">
        <v>21.3</v>
      </c>
      <c r="G49">
        <f t="shared" si="2"/>
        <v>864.69999999999993</v>
      </c>
      <c r="J49">
        <v>0.5</v>
      </c>
      <c r="K49">
        <f t="shared" si="3"/>
        <v>69.600000000000009</v>
      </c>
      <c r="L49">
        <v>1</v>
      </c>
      <c r="M49">
        <f t="shared" si="4"/>
        <v>128.69999999999999</v>
      </c>
      <c r="N49">
        <v>-0.5</v>
      </c>
      <c r="O49">
        <f t="shared" si="9"/>
        <v>11.099999999999998</v>
      </c>
      <c r="P49" s="5">
        <v>44</v>
      </c>
      <c r="Q49" s="6">
        <f t="shared" si="6"/>
        <v>0.58125000000000004</v>
      </c>
      <c r="R49" s="11">
        <f t="shared" si="0"/>
        <v>0.58125000000000004</v>
      </c>
      <c r="S49" s="11">
        <f t="shared" si="1"/>
        <v>-8.1250000000000044E-2</v>
      </c>
      <c r="T49" s="14">
        <f t="shared" si="8"/>
        <v>35.345625000000013</v>
      </c>
      <c r="V49">
        <v>807.7</v>
      </c>
      <c r="X49">
        <f t="shared" si="5"/>
        <v>60097</v>
      </c>
      <c r="AA49">
        <v>11.0972013091412</v>
      </c>
    </row>
    <row r="50" spans="1:27" x14ac:dyDescent="0.25">
      <c r="A50" s="74"/>
      <c r="B50" s="8"/>
      <c r="C50" s="9">
        <v>41928</v>
      </c>
      <c r="D50">
        <v>19.899999999999999</v>
      </c>
      <c r="E50">
        <v>15.5</v>
      </c>
      <c r="F50">
        <v>24.8</v>
      </c>
      <c r="G50">
        <f t="shared" si="2"/>
        <v>884.59999999999991</v>
      </c>
      <c r="J50">
        <v>0</v>
      </c>
      <c r="K50">
        <f t="shared" si="3"/>
        <v>69.600000000000009</v>
      </c>
      <c r="L50">
        <v>2</v>
      </c>
      <c r="M50">
        <f t="shared" si="4"/>
        <v>130.69999999999999</v>
      </c>
      <c r="N50">
        <v>-2</v>
      </c>
      <c r="O50">
        <f t="shared" si="9"/>
        <v>9.0999999999999979</v>
      </c>
      <c r="P50" s="5">
        <v>45</v>
      </c>
      <c r="Q50" s="6">
        <f t="shared" si="6"/>
        <v>0.58749999999999991</v>
      </c>
      <c r="R50" s="11">
        <f t="shared" si="0"/>
        <v>1.1749999999999998</v>
      </c>
      <c r="S50" s="11">
        <f t="shared" si="1"/>
        <v>-1.1749999999999998</v>
      </c>
      <c r="T50" s="14">
        <f t="shared" si="8"/>
        <v>34.170625000000015</v>
      </c>
      <c r="V50">
        <v>710.7</v>
      </c>
      <c r="X50">
        <f t="shared" si="5"/>
        <v>60807.7</v>
      </c>
      <c r="AA50">
        <v>11.048559568390701</v>
      </c>
    </row>
    <row r="51" spans="1:27" x14ac:dyDescent="0.25">
      <c r="A51" s="74"/>
      <c r="B51" s="8"/>
      <c r="C51" s="9">
        <v>41929</v>
      </c>
      <c r="D51">
        <v>20</v>
      </c>
      <c r="E51">
        <v>14</v>
      </c>
      <c r="F51">
        <v>26.1</v>
      </c>
      <c r="G51">
        <f t="shared" si="2"/>
        <v>904.59999999999991</v>
      </c>
      <c r="J51">
        <v>0</v>
      </c>
      <c r="K51">
        <f t="shared" si="3"/>
        <v>69.600000000000009</v>
      </c>
      <c r="L51">
        <v>2.9</v>
      </c>
      <c r="M51">
        <f t="shared" si="4"/>
        <v>133.6</v>
      </c>
      <c r="N51">
        <v>-2.9</v>
      </c>
      <c r="O51">
        <f t="shared" si="9"/>
        <v>6.1999999999999975</v>
      </c>
      <c r="P51" s="5">
        <v>46</v>
      </c>
      <c r="Q51" s="6">
        <f t="shared" si="6"/>
        <v>0.59375</v>
      </c>
      <c r="R51" s="11">
        <f t="shared" si="0"/>
        <v>1.721875</v>
      </c>
      <c r="S51" s="11">
        <f t="shared" si="1"/>
        <v>-1.721875</v>
      </c>
      <c r="T51" s="14">
        <f t="shared" si="8"/>
        <v>32.448750000000018</v>
      </c>
      <c r="V51">
        <v>1283.5999999999999</v>
      </c>
      <c r="X51">
        <f t="shared" si="5"/>
        <v>62091.299999999996</v>
      </c>
      <c r="AA51">
        <v>11.0000561643326</v>
      </c>
    </row>
    <row r="52" spans="1:27" x14ac:dyDescent="0.25">
      <c r="A52" s="74"/>
      <c r="B52" s="8"/>
      <c r="C52" s="9">
        <v>41930</v>
      </c>
      <c r="D52">
        <v>18.8</v>
      </c>
      <c r="E52">
        <v>14.1</v>
      </c>
      <c r="F52">
        <v>21.7</v>
      </c>
      <c r="G52">
        <f t="shared" si="2"/>
        <v>923.39999999999986</v>
      </c>
      <c r="J52">
        <v>0.2</v>
      </c>
      <c r="K52">
        <f t="shared" si="3"/>
        <v>69.800000000000011</v>
      </c>
      <c r="L52">
        <v>2.2999999999999998</v>
      </c>
      <c r="M52">
        <f t="shared" si="4"/>
        <v>135.9</v>
      </c>
      <c r="N52">
        <v>-2.0999999999999996</v>
      </c>
      <c r="O52">
        <f t="shared" si="9"/>
        <v>4.0999999999999979</v>
      </c>
      <c r="P52" s="5">
        <v>47</v>
      </c>
      <c r="Q52" s="6">
        <f t="shared" si="6"/>
        <v>0.6</v>
      </c>
      <c r="R52" s="11">
        <f t="shared" si="0"/>
        <v>1.38</v>
      </c>
      <c r="S52" s="11">
        <f t="shared" si="1"/>
        <v>-1.18</v>
      </c>
      <c r="T52" s="14">
        <f t="shared" si="8"/>
        <v>31.268750000000018</v>
      </c>
      <c r="V52">
        <v>1203.7</v>
      </c>
      <c r="X52">
        <f t="shared" si="5"/>
        <v>63294.999999999993</v>
      </c>
      <c r="AA52">
        <v>10.9517007116862</v>
      </c>
    </row>
    <row r="53" spans="1:27" x14ac:dyDescent="0.25">
      <c r="A53" s="74"/>
      <c r="B53" s="8"/>
      <c r="C53" s="9">
        <v>41931</v>
      </c>
      <c r="D53">
        <v>21.7</v>
      </c>
      <c r="E53">
        <v>18.8</v>
      </c>
      <c r="F53">
        <v>25.5</v>
      </c>
      <c r="G53">
        <f t="shared" si="2"/>
        <v>945.09999999999991</v>
      </c>
      <c r="J53">
        <v>0</v>
      </c>
      <c r="K53">
        <f t="shared" si="3"/>
        <v>69.800000000000011</v>
      </c>
      <c r="L53">
        <v>2.9</v>
      </c>
      <c r="M53">
        <f t="shared" si="4"/>
        <v>138.80000000000001</v>
      </c>
      <c r="N53">
        <v>-2.9</v>
      </c>
      <c r="O53">
        <f t="shared" si="9"/>
        <v>1.199999999999998</v>
      </c>
      <c r="P53" s="5">
        <v>48</v>
      </c>
      <c r="Q53" s="6">
        <f t="shared" si="6"/>
        <v>0.60624999999999996</v>
      </c>
      <c r="R53" s="11">
        <f t="shared" si="0"/>
        <v>1.7581249999999997</v>
      </c>
      <c r="S53" s="11">
        <f t="shared" si="1"/>
        <v>-1.7581249999999997</v>
      </c>
      <c r="T53" s="14">
        <f t="shared" si="8"/>
        <v>29.510625000000019</v>
      </c>
      <c r="V53">
        <v>1031.3</v>
      </c>
      <c r="X53">
        <f t="shared" si="5"/>
        <v>64326.299999999996</v>
      </c>
      <c r="AA53">
        <v>10.9035031790459</v>
      </c>
    </row>
    <row r="54" spans="1:27" x14ac:dyDescent="0.25">
      <c r="A54" s="74"/>
      <c r="B54" s="8"/>
      <c r="C54" s="9">
        <v>41932</v>
      </c>
      <c r="D54">
        <v>21</v>
      </c>
      <c r="E54">
        <v>15.8</v>
      </c>
      <c r="F54">
        <v>26.8</v>
      </c>
      <c r="G54">
        <f t="shared" si="2"/>
        <v>966.09999999999991</v>
      </c>
      <c r="J54">
        <v>0</v>
      </c>
      <c r="K54">
        <f t="shared" si="3"/>
        <v>69.800000000000011</v>
      </c>
      <c r="L54">
        <v>2.1</v>
      </c>
      <c r="M54">
        <f t="shared" si="4"/>
        <v>140.9</v>
      </c>
      <c r="N54">
        <v>-2.1</v>
      </c>
      <c r="O54">
        <v>0</v>
      </c>
      <c r="P54" s="5">
        <v>49</v>
      </c>
      <c r="Q54" s="6">
        <f t="shared" si="6"/>
        <v>0.61250000000000004</v>
      </c>
      <c r="R54" s="11">
        <f t="shared" si="0"/>
        <v>1.2862500000000001</v>
      </c>
      <c r="S54" s="11">
        <f t="shared" si="1"/>
        <v>-1.2862500000000001</v>
      </c>
      <c r="T54" s="14">
        <f t="shared" si="8"/>
        <v>28.22437500000002</v>
      </c>
      <c r="V54">
        <v>1003.4</v>
      </c>
      <c r="X54">
        <f t="shared" si="5"/>
        <v>65329.7</v>
      </c>
      <c r="AA54">
        <v>10.8554739022345</v>
      </c>
    </row>
    <row r="55" spans="1:27" x14ac:dyDescent="0.25">
      <c r="A55" s="74"/>
      <c r="B55" s="8"/>
      <c r="C55" s="9">
        <v>41933</v>
      </c>
      <c r="D55">
        <v>19.2</v>
      </c>
      <c r="E55">
        <v>17.899999999999999</v>
      </c>
      <c r="F55">
        <v>22.2</v>
      </c>
      <c r="G55">
        <f t="shared" si="2"/>
        <v>985.3</v>
      </c>
      <c r="J55">
        <v>0</v>
      </c>
      <c r="K55">
        <f t="shared" si="3"/>
        <v>69.800000000000011</v>
      </c>
      <c r="L55">
        <v>3.5</v>
      </c>
      <c r="M55">
        <f t="shared" si="4"/>
        <v>144.4</v>
      </c>
      <c r="N55">
        <v>-3.5</v>
      </c>
      <c r="O55">
        <v>0</v>
      </c>
      <c r="P55" s="5">
        <v>50</v>
      </c>
      <c r="Q55" s="6">
        <f t="shared" si="6"/>
        <v>0.61874999999999991</v>
      </c>
      <c r="R55" s="11">
        <f t="shared" si="0"/>
        <v>2.1656249999999995</v>
      </c>
      <c r="S55" s="11">
        <f t="shared" si="1"/>
        <v>-2.1656249999999995</v>
      </c>
      <c r="T55" s="14">
        <f t="shared" si="8"/>
        <v>26.058750000000021</v>
      </c>
      <c r="V55">
        <v>1105.3</v>
      </c>
      <c r="X55">
        <f t="shared" si="5"/>
        <v>66435</v>
      </c>
      <c r="AA55">
        <v>10.8076235973406</v>
      </c>
    </row>
    <row r="56" spans="1:27" x14ac:dyDescent="0.25">
      <c r="A56" s="74"/>
      <c r="B56" s="8"/>
      <c r="C56" s="9">
        <v>41934</v>
      </c>
      <c r="D56">
        <v>12.6</v>
      </c>
      <c r="E56">
        <v>10.4</v>
      </c>
      <c r="F56">
        <v>16.100000000000001</v>
      </c>
      <c r="G56">
        <f t="shared" si="2"/>
        <v>997.9</v>
      </c>
      <c r="J56">
        <v>0</v>
      </c>
      <c r="K56">
        <f t="shared" si="3"/>
        <v>69.800000000000011</v>
      </c>
      <c r="L56">
        <v>2.8</v>
      </c>
      <c r="M56">
        <f t="shared" si="4"/>
        <v>147.20000000000002</v>
      </c>
      <c r="N56">
        <v>-2.8</v>
      </c>
      <c r="O56">
        <v>0</v>
      </c>
      <c r="P56" s="5">
        <v>51</v>
      </c>
      <c r="Q56" s="6">
        <f t="shared" si="6"/>
        <v>0.625</v>
      </c>
      <c r="R56" s="11">
        <f t="shared" si="0"/>
        <v>1.75</v>
      </c>
      <c r="S56" s="11">
        <f t="shared" si="1"/>
        <v>-1.75</v>
      </c>
      <c r="T56" s="14">
        <f t="shared" si="8"/>
        <v>24.308750000000021</v>
      </c>
      <c r="V56">
        <v>1191.8</v>
      </c>
      <c r="X56">
        <f t="shared" si="5"/>
        <v>67626.8</v>
      </c>
      <c r="AA56">
        <v>10.759963373388301</v>
      </c>
    </row>
    <row r="57" spans="1:27" x14ac:dyDescent="0.25">
      <c r="A57" s="74"/>
      <c r="B57" s="8"/>
      <c r="C57" s="9">
        <v>41935</v>
      </c>
      <c r="D57">
        <v>10.9</v>
      </c>
      <c r="E57">
        <v>6.1</v>
      </c>
      <c r="F57">
        <v>16</v>
      </c>
      <c r="G57">
        <f t="shared" si="2"/>
        <v>1008.8</v>
      </c>
      <c r="J57">
        <v>0</v>
      </c>
      <c r="K57">
        <f t="shared" si="3"/>
        <v>69.800000000000011</v>
      </c>
      <c r="L57">
        <v>2.2000000000000002</v>
      </c>
      <c r="M57">
        <f t="shared" si="4"/>
        <v>149.4</v>
      </c>
      <c r="N57">
        <v>-2.2000000000000002</v>
      </c>
      <c r="O57">
        <v>0</v>
      </c>
      <c r="P57" s="5">
        <v>52</v>
      </c>
      <c r="Q57" s="6">
        <f t="shared" si="6"/>
        <v>0.63124999999999998</v>
      </c>
      <c r="R57" s="11">
        <f t="shared" si="0"/>
        <v>1.3887500000000002</v>
      </c>
      <c r="S57" s="11">
        <f t="shared" si="1"/>
        <v>-1.3887500000000002</v>
      </c>
      <c r="T57" s="14">
        <f t="shared" si="8"/>
        <v>22.920000000000019</v>
      </c>
      <c r="V57">
        <v>1308.3</v>
      </c>
      <c r="X57">
        <f t="shared" si="5"/>
        <v>68935.100000000006</v>
      </c>
      <c r="AA57">
        <v>10.7125047445855</v>
      </c>
    </row>
    <row r="58" spans="1:27" x14ac:dyDescent="0.25">
      <c r="A58" s="74"/>
      <c r="B58" s="8"/>
      <c r="C58" s="9">
        <v>41936</v>
      </c>
      <c r="D58">
        <v>12.8</v>
      </c>
      <c r="E58">
        <v>6.1</v>
      </c>
      <c r="F58">
        <v>18.600000000000001</v>
      </c>
      <c r="G58">
        <f t="shared" si="2"/>
        <v>1021.5999999999999</v>
      </c>
      <c r="J58">
        <v>0</v>
      </c>
      <c r="K58">
        <f t="shared" si="3"/>
        <v>69.800000000000011</v>
      </c>
      <c r="L58">
        <v>2</v>
      </c>
      <c r="M58">
        <f t="shared" si="4"/>
        <v>151.4</v>
      </c>
      <c r="N58">
        <v>-2</v>
      </c>
      <c r="O58">
        <v>0</v>
      </c>
      <c r="P58" s="5">
        <v>53</v>
      </c>
      <c r="Q58" s="6">
        <f t="shared" si="6"/>
        <v>0.63749999999999996</v>
      </c>
      <c r="R58" s="11">
        <f t="shared" si="0"/>
        <v>1.2749999999999999</v>
      </c>
      <c r="S58" s="11">
        <f t="shared" si="1"/>
        <v>-1.2749999999999999</v>
      </c>
      <c r="T58" s="14">
        <f t="shared" si="8"/>
        <v>21.645000000000021</v>
      </c>
      <c r="V58">
        <v>1068.7</v>
      </c>
      <c r="X58">
        <f t="shared" si="5"/>
        <v>70003.8</v>
      </c>
      <c r="AA58">
        <v>10.6652596420924</v>
      </c>
    </row>
    <row r="59" spans="1:27" x14ac:dyDescent="0.25">
      <c r="A59" s="74"/>
      <c r="B59" s="8"/>
      <c r="C59" s="9">
        <v>41937</v>
      </c>
      <c r="D59">
        <v>15</v>
      </c>
      <c r="E59">
        <v>9.6</v>
      </c>
      <c r="F59">
        <v>21.5</v>
      </c>
      <c r="G59">
        <f t="shared" si="2"/>
        <v>1036.5999999999999</v>
      </c>
      <c r="J59">
        <v>0</v>
      </c>
      <c r="K59">
        <f t="shared" si="3"/>
        <v>69.800000000000011</v>
      </c>
      <c r="L59">
        <v>1.4</v>
      </c>
      <c r="M59">
        <f t="shared" si="4"/>
        <v>152.80000000000001</v>
      </c>
      <c r="N59">
        <v>-1.4</v>
      </c>
      <c r="O59">
        <v>0</v>
      </c>
      <c r="P59" s="5">
        <v>54</v>
      </c>
      <c r="Q59" s="6">
        <f t="shared" si="6"/>
        <v>0.64375000000000004</v>
      </c>
      <c r="R59" s="11">
        <f t="shared" si="0"/>
        <v>0.90125</v>
      </c>
      <c r="S59" s="11">
        <f t="shared" si="1"/>
        <v>-0.90125</v>
      </c>
      <c r="T59" s="14">
        <f t="shared" si="8"/>
        <v>20.74375000000002</v>
      </c>
      <c r="V59">
        <v>826.1</v>
      </c>
      <c r="X59">
        <f t="shared" si="5"/>
        <v>70829.900000000009</v>
      </c>
      <c r="AA59">
        <v>10.618240425247</v>
      </c>
    </row>
    <row r="60" spans="1:27" x14ac:dyDescent="0.25">
      <c r="A60" s="74"/>
      <c r="B60" s="8"/>
      <c r="C60" s="9">
        <v>41938</v>
      </c>
      <c r="D60">
        <v>14.7</v>
      </c>
      <c r="E60">
        <v>9.4</v>
      </c>
      <c r="F60">
        <v>20</v>
      </c>
      <c r="G60">
        <f t="shared" si="2"/>
        <v>1051.3</v>
      </c>
      <c r="J60">
        <v>0</v>
      </c>
      <c r="K60">
        <f t="shared" si="3"/>
        <v>69.800000000000011</v>
      </c>
      <c r="L60">
        <v>2.2999999999999998</v>
      </c>
      <c r="M60">
        <f t="shared" si="4"/>
        <v>155.10000000000002</v>
      </c>
      <c r="N60">
        <v>-2.2999999999999998</v>
      </c>
      <c r="O60">
        <v>0</v>
      </c>
      <c r="P60" s="5">
        <v>55</v>
      </c>
      <c r="Q60" s="6">
        <f t="shared" si="6"/>
        <v>0.65</v>
      </c>
      <c r="R60" s="11">
        <f t="shared" si="0"/>
        <v>1.4949999999999999</v>
      </c>
      <c r="S60" s="11">
        <f t="shared" si="1"/>
        <v>-1.4949999999999999</v>
      </c>
      <c r="T60" s="14">
        <f t="shared" si="8"/>
        <v>19.248750000000019</v>
      </c>
      <c r="V60">
        <v>1361.9</v>
      </c>
      <c r="X60">
        <f t="shared" si="5"/>
        <v>72191.8</v>
      </c>
      <c r="AA60">
        <v>10.571459892181601</v>
      </c>
    </row>
    <row r="61" spans="1:27" x14ac:dyDescent="0.25">
      <c r="A61" s="74"/>
      <c r="B61" s="8"/>
      <c r="C61" s="9">
        <v>41939</v>
      </c>
      <c r="D61">
        <v>15.3</v>
      </c>
      <c r="E61">
        <v>10</v>
      </c>
      <c r="F61">
        <v>20.7</v>
      </c>
      <c r="G61">
        <f t="shared" si="2"/>
        <v>1066.5999999999999</v>
      </c>
      <c r="J61">
        <v>0</v>
      </c>
      <c r="K61">
        <f t="shared" si="3"/>
        <v>69.800000000000011</v>
      </c>
      <c r="L61">
        <v>2.1</v>
      </c>
      <c r="M61">
        <f t="shared" si="4"/>
        <v>157.20000000000002</v>
      </c>
      <c r="N61">
        <v>-2.1</v>
      </c>
      <c r="O61">
        <v>0</v>
      </c>
      <c r="P61" s="5">
        <v>56</v>
      </c>
      <c r="Q61" s="6">
        <f t="shared" si="6"/>
        <v>0.65625</v>
      </c>
      <c r="R61" s="11">
        <f t="shared" si="0"/>
        <v>1.378125</v>
      </c>
      <c r="S61" s="11">
        <f t="shared" si="1"/>
        <v>-1.378125</v>
      </c>
      <c r="T61" s="14">
        <f t="shared" si="8"/>
        <v>17.870625000000018</v>
      </c>
      <c r="V61">
        <v>1116.2</v>
      </c>
      <c r="X61">
        <f t="shared" si="5"/>
        <v>73308</v>
      </c>
      <c r="AA61">
        <v>10.5249312897583</v>
      </c>
    </row>
    <row r="62" spans="1:27" x14ac:dyDescent="0.25">
      <c r="A62" s="74"/>
      <c r="B62" s="8"/>
      <c r="C62" s="9">
        <v>41940</v>
      </c>
      <c r="D62">
        <v>15.5</v>
      </c>
      <c r="E62">
        <v>11</v>
      </c>
      <c r="F62">
        <v>21.4</v>
      </c>
      <c r="G62">
        <f t="shared" si="2"/>
        <v>1082.0999999999999</v>
      </c>
      <c r="J62">
        <v>0</v>
      </c>
      <c r="K62">
        <f t="shared" si="3"/>
        <v>69.800000000000011</v>
      </c>
      <c r="L62">
        <v>2.7</v>
      </c>
      <c r="M62">
        <f t="shared" si="4"/>
        <v>159.9</v>
      </c>
      <c r="N62">
        <v>-2.7</v>
      </c>
      <c r="O62">
        <v>0</v>
      </c>
      <c r="P62" s="5">
        <v>57</v>
      </c>
      <c r="Q62" s="6">
        <f t="shared" si="6"/>
        <v>0.66249999999999998</v>
      </c>
      <c r="R62" s="11">
        <f t="shared" si="0"/>
        <v>1.7887500000000001</v>
      </c>
      <c r="S62" s="11">
        <f t="shared" si="1"/>
        <v>-1.7887500000000001</v>
      </c>
      <c r="T62" s="14">
        <f t="shared" si="8"/>
        <v>16.081875000000018</v>
      </c>
      <c r="V62">
        <v>1188.3</v>
      </c>
      <c r="X62">
        <f t="shared" si="5"/>
        <v>74496.3</v>
      </c>
      <c r="AA62">
        <v>10.478668322747399</v>
      </c>
    </row>
    <row r="63" spans="1:27" x14ac:dyDescent="0.25">
      <c r="A63" s="74"/>
      <c r="B63" s="8"/>
      <c r="C63" s="9">
        <v>41941</v>
      </c>
      <c r="D63">
        <v>14.7</v>
      </c>
      <c r="E63">
        <v>9.9</v>
      </c>
      <c r="F63">
        <v>20.2</v>
      </c>
      <c r="G63">
        <f t="shared" si="2"/>
        <v>1096.8</v>
      </c>
      <c r="J63">
        <v>0.1</v>
      </c>
      <c r="K63">
        <f t="shared" si="3"/>
        <v>69.900000000000006</v>
      </c>
      <c r="L63">
        <v>2.2999999999999998</v>
      </c>
      <c r="M63">
        <f t="shared" si="4"/>
        <v>162.20000000000002</v>
      </c>
      <c r="N63">
        <v>-2.1999999999999997</v>
      </c>
      <c r="O63">
        <v>0</v>
      </c>
      <c r="P63" s="5">
        <v>58</v>
      </c>
      <c r="Q63" s="6">
        <f t="shared" si="6"/>
        <v>0.66874999999999996</v>
      </c>
      <c r="R63" s="11">
        <f t="shared" si="0"/>
        <v>1.5381249999999997</v>
      </c>
      <c r="S63" s="11">
        <f t="shared" si="1"/>
        <v>-1.4381249999999997</v>
      </c>
      <c r="T63" s="14">
        <f t="shared" si="8"/>
        <v>14.643750000000018</v>
      </c>
      <c r="V63">
        <v>1232.2</v>
      </c>
      <c r="X63">
        <f t="shared" si="5"/>
        <v>75728.5</v>
      </c>
      <c r="AA63">
        <v>10.432685162171101</v>
      </c>
    </row>
    <row r="64" spans="1:27" x14ac:dyDescent="0.25">
      <c r="A64" s="74"/>
      <c r="B64" s="8"/>
      <c r="C64" s="9">
        <v>41942</v>
      </c>
      <c r="D64">
        <v>14.6</v>
      </c>
      <c r="E64">
        <v>8.6999999999999993</v>
      </c>
      <c r="F64">
        <v>20.5</v>
      </c>
      <c r="G64">
        <f t="shared" si="2"/>
        <v>1111.3999999999999</v>
      </c>
      <c r="J64">
        <v>0.1</v>
      </c>
      <c r="K64">
        <f t="shared" si="3"/>
        <v>70</v>
      </c>
      <c r="L64">
        <v>2</v>
      </c>
      <c r="M64">
        <f t="shared" si="4"/>
        <v>164.20000000000002</v>
      </c>
      <c r="N64">
        <v>-1.9</v>
      </c>
      <c r="O64">
        <v>0</v>
      </c>
      <c r="P64" s="5">
        <v>59</v>
      </c>
      <c r="Q64" s="6">
        <f t="shared" si="6"/>
        <v>0.67500000000000004</v>
      </c>
      <c r="R64" s="11">
        <f t="shared" si="0"/>
        <v>1.35</v>
      </c>
      <c r="S64" s="11">
        <f t="shared" si="1"/>
        <v>-1.25</v>
      </c>
      <c r="T64" s="14">
        <f t="shared" si="8"/>
        <v>13.393750000000018</v>
      </c>
      <c r="V64">
        <v>948</v>
      </c>
      <c r="X64">
        <f t="shared" si="5"/>
        <v>76676.5</v>
      </c>
      <c r="AA64">
        <v>10.386996452725599</v>
      </c>
    </row>
    <row r="65" spans="1:27" x14ac:dyDescent="0.25">
      <c r="A65" s="74"/>
      <c r="B65" s="8"/>
      <c r="C65" s="9">
        <v>41943</v>
      </c>
      <c r="D65">
        <v>15.1</v>
      </c>
      <c r="E65">
        <v>8.5</v>
      </c>
      <c r="F65">
        <v>21.9</v>
      </c>
      <c r="G65">
        <f t="shared" si="2"/>
        <v>1126.4999999999998</v>
      </c>
      <c r="J65">
        <v>0.2</v>
      </c>
      <c r="K65">
        <f t="shared" si="3"/>
        <v>70.2</v>
      </c>
      <c r="L65">
        <v>2.9</v>
      </c>
      <c r="M65">
        <f t="shared" si="4"/>
        <v>167.10000000000002</v>
      </c>
      <c r="N65">
        <v>-2.6999999999999997</v>
      </c>
      <c r="O65">
        <v>0</v>
      </c>
      <c r="P65" s="5">
        <v>60</v>
      </c>
      <c r="Q65" s="6">
        <f t="shared" si="6"/>
        <v>0.68124999999999991</v>
      </c>
      <c r="R65" s="11">
        <f t="shared" si="0"/>
        <v>1.9756249999999997</v>
      </c>
      <c r="S65" s="11">
        <f t="shared" si="1"/>
        <v>-1.7756249999999998</v>
      </c>
      <c r="T65" s="14">
        <f t="shared" si="8"/>
        <v>11.618125000000019</v>
      </c>
      <c r="V65">
        <v>1268.5</v>
      </c>
      <c r="X65">
        <f t="shared" si="5"/>
        <v>77945</v>
      </c>
      <c r="AA65">
        <v>10.3416173191965</v>
      </c>
    </row>
    <row r="66" spans="1:27" x14ac:dyDescent="0.25">
      <c r="A66" s="74"/>
      <c r="B66" s="8"/>
      <c r="C66" s="9">
        <v>41944</v>
      </c>
      <c r="D66">
        <v>16.5</v>
      </c>
      <c r="E66">
        <v>14</v>
      </c>
      <c r="F66">
        <v>21.7</v>
      </c>
      <c r="G66">
        <f t="shared" si="2"/>
        <v>1142.9999999999998</v>
      </c>
      <c r="J66">
        <v>0.1</v>
      </c>
      <c r="K66">
        <f t="shared" si="3"/>
        <v>70.3</v>
      </c>
      <c r="L66">
        <v>2.9</v>
      </c>
      <c r="M66">
        <f t="shared" si="4"/>
        <v>170.00000000000003</v>
      </c>
      <c r="N66">
        <v>-2.8</v>
      </c>
      <c r="O66">
        <v>0</v>
      </c>
      <c r="P66" s="5">
        <v>61</v>
      </c>
      <c r="Q66" s="6">
        <f t="shared" si="6"/>
        <v>0.6875</v>
      </c>
      <c r="R66" s="11">
        <f t="shared" si="0"/>
        <v>1.9937499999999999</v>
      </c>
      <c r="S66" s="11">
        <f t="shared" si="1"/>
        <v>-1.8937499999999998</v>
      </c>
      <c r="T66" s="14">
        <f t="shared" si="8"/>
        <v>9.7243750000000198</v>
      </c>
      <c r="V66">
        <v>1243.5</v>
      </c>
      <c r="X66">
        <f t="shared" si="5"/>
        <v>79188.5</v>
      </c>
      <c r="AA66">
        <v>10.296563371773701</v>
      </c>
    </row>
    <row r="67" spans="1:27" x14ac:dyDescent="0.25">
      <c r="A67" s="74"/>
      <c r="B67" s="8"/>
      <c r="C67" s="9">
        <v>41945</v>
      </c>
      <c r="D67">
        <v>17.100000000000001</v>
      </c>
      <c r="E67">
        <v>12.9</v>
      </c>
      <c r="F67">
        <v>20.7</v>
      </c>
      <c r="G67">
        <f t="shared" si="2"/>
        <v>1160.0999999999997</v>
      </c>
      <c r="J67">
        <v>0.4</v>
      </c>
      <c r="K67">
        <f t="shared" si="3"/>
        <v>70.7</v>
      </c>
      <c r="L67">
        <v>1.7</v>
      </c>
      <c r="M67">
        <f t="shared" si="4"/>
        <v>171.70000000000002</v>
      </c>
      <c r="N67">
        <v>-1.2999999999999998</v>
      </c>
      <c r="O67">
        <v>0</v>
      </c>
      <c r="P67" s="5">
        <v>62</v>
      </c>
      <c r="Q67" s="6">
        <f t="shared" si="6"/>
        <v>0.69374999999999998</v>
      </c>
      <c r="R67" s="11">
        <f t="shared" si="0"/>
        <v>1.1793749999999998</v>
      </c>
      <c r="S67" s="11">
        <f t="shared" si="1"/>
        <v>-0.77937499999999982</v>
      </c>
      <c r="T67" s="14">
        <f t="shared" si="8"/>
        <v>8.9450000000000198</v>
      </c>
      <c r="V67">
        <v>791.6</v>
      </c>
      <c r="X67">
        <f t="shared" si="5"/>
        <v>79980.100000000006</v>
      </c>
      <c r="AA67">
        <v>10.2518507101715</v>
      </c>
    </row>
    <row r="68" spans="1:27" x14ac:dyDescent="0.25">
      <c r="A68" s="74"/>
      <c r="B68" s="8"/>
      <c r="C68" s="9">
        <v>41946</v>
      </c>
      <c r="D68">
        <v>16.100000000000001</v>
      </c>
      <c r="E68">
        <v>13.2</v>
      </c>
      <c r="F68">
        <v>19.2</v>
      </c>
      <c r="G68">
        <f t="shared" si="2"/>
        <v>1176.1999999999996</v>
      </c>
      <c r="J68">
        <v>4.8</v>
      </c>
      <c r="K68">
        <f t="shared" si="3"/>
        <v>75.5</v>
      </c>
      <c r="L68">
        <v>1.2</v>
      </c>
      <c r="M68">
        <f t="shared" si="4"/>
        <v>172.9</v>
      </c>
      <c r="N68">
        <v>3.5999999999999996</v>
      </c>
      <c r="O68">
        <f t="shared" ref="O68:O131" si="10">O67+N68</f>
        <v>3.5999999999999996</v>
      </c>
      <c r="P68" s="5">
        <v>63</v>
      </c>
      <c r="Q68" s="6">
        <f t="shared" si="6"/>
        <v>0.7</v>
      </c>
      <c r="R68" s="11">
        <f t="shared" si="0"/>
        <v>0.84</v>
      </c>
      <c r="S68" s="11">
        <f t="shared" si="1"/>
        <v>3.96</v>
      </c>
      <c r="T68" s="14">
        <f t="shared" si="8"/>
        <v>12.905000000000019</v>
      </c>
      <c r="V68">
        <v>624.70000000000005</v>
      </c>
      <c r="X68">
        <f t="shared" si="5"/>
        <v>80604.800000000003</v>
      </c>
      <c r="AA68">
        <v>10.207495926455399</v>
      </c>
    </row>
    <row r="69" spans="1:27" x14ac:dyDescent="0.25">
      <c r="A69" s="74"/>
      <c r="B69" s="8"/>
      <c r="C69" s="9">
        <v>41947</v>
      </c>
      <c r="D69">
        <v>10.4</v>
      </c>
      <c r="E69">
        <v>9.6</v>
      </c>
      <c r="F69">
        <v>11.3</v>
      </c>
      <c r="G69">
        <f t="shared" si="2"/>
        <v>1186.5999999999997</v>
      </c>
      <c r="J69">
        <v>6.7</v>
      </c>
      <c r="K69">
        <f t="shared" si="3"/>
        <v>82.2</v>
      </c>
      <c r="L69">
        <v>0.6</v>
      </c>
      <c r="M69">
        <f t="shared" si="4"/>
        <v>173.5</v>
      </c>
      <c r="N69">
        <v>6.1000000000000005</v>
      </c>
      <c r="O69">
        <f t="shared" si="10"/>
        <v>9.6999999999999993</v>
      </c>
      <c r="P69" s="5">
        <v>64</v>
      </c>
      <c r="Q69" s="6">
        <f t="shared" si="6"/>
        <v>0.70625000000000004</v>
      </c>
      <c r="R69" s="11">
        <f t="shared" si="0"/>
        <v>0.42375000000000002</v>
      </c>
      <c r="S69" s="11">
        <f t="shared" si="1"/>
        <v>6.2762500000000001</v>
      </c>
      <c r="T69" s="14">
        <f t="shared" si="8"/>
        <v>19.18125000000002</v>
      </c>
      <c r="V69">
        <v>261.2</v>
      </c>
      <c r="X69">
        <f t="shared" si="5"/>
        <v>80866</v>
      </c>
      <c r="AA69">
        <v>10.163516106473599</v>
      </c>
    </row>
    <row r="70" spans="1:27" x14ac:dyDescent="0.25">
      <c r="A70" s="74"/>
      <c r="B70" s="8"/>
      <c r="C70" s="9">
        <v>41948</v>
      </c>
      <c r="D70">
        <v>10.3</v>
      </c>
      <c r="E70">
        <v>8.5</v>
      </c>
      <c r="F70">
        <v>14</v>
      </c>
      <c r="G70">
        <f t="shared" si="2"/>
        <v>1196.8999999999996</v>
      </c>
      <c r="J70">
        <v>2.4</v>
      </c>
      <c r="K70">
        <f t="shared" si="3"/>
        <v>84.600000000000009</v>
      </c>
      <c r="L70">
        <v>1.8</v>
      </c>
      <c r="M70">
        <f t="shared" si="4"/>
        <v>175.3</v>
      </c>
      <c r="N70">
        <v>0.59999999999999987</v>
      </c>
      <c r="O70">
        <f t="shared" si="10"/>
        <v>10.299999999999999</v>
      </c>
      <c r="P70" s="5">
        <v>65</v>
      </c>
      <c r="Q70" s="6">
        <f t="shared" si="6"/>
        <v>0.71250000000000002</v>
      </c>
      <c r="R70" s="11">
        <f t="shared" si="0"/>
        <v>1.2825</v>
      </c>
      <c r="S70" s="11">
        <f t="shared" si="1"/>
        <v>1.1174999999999999</v>
      </c>
      <c r="T70" s="14">
        <f t="shared" si="8"/>
        <v>20.29875000000002</v>
      </c>
      <c r="V70">
        <v>943.2</v>
      </c>
      <c r="X70">
        <f t="shared" si="5"/>
        <v>81809.2</v>
      </c>
      <c r="AA70">
        <v>10.1199288297901</v>
      </c>
    </row>
    <row r="71" spans="1:27" x14ac:dyDescent="0.25">
      <c r="A71" s="74"/>
      <c r="B71" s="8"/>
      <c r="C71" s="9">
        <v>41949</v>
      </c>
      <c r="D71">
        <v>9.6999999999999993</v>
      </c>
      <c r="E71">
        <v>5.7</v>
      </c>
      <c r="F71">
        <v>15.1</v>
      </c>
      <c r="G71">
        <f t="shared" si="2"/>
        <v>1206.5999999999997</v>
      </c>
      <c r="J71">
        <v>0.3</v>
      </c>
      <c r="K71">
        <f t="shared" si="3"/>
        <v>84.9</v>
      </c>
      <c r="L71">
        <v>1.2</v>
      </c>
      <c r="M71">
        <f t="shared" si="4"/>
        <v>176.5</v>
      </c>
      <c r="N71">
        <v>-0.89999999999999991</v>
      </c>
      <c r="O71">
        <f t="shared" si="10"/>
        <v>9.3999999999999986</v>
      </c>
      <c r="P71" s="5">
        <v>66</v>
      </c>
      <c r="Q71" s="6">
        <f t="shared" si="6"/>
        <v>0.71875</v>
      </c>
      <c r="R71" s="11">
        <f t="shared" ref="R71:R134" si="11">Q71*L71</f>
        <v>0.86249999999999993</v>
      </c>
      <c r="S71" s="11">
        <f t="shared" ref="S71:S134" si="12">J71-R71</f>
        <v>-0.5625</v>
      </c>
      <c r="T71" s="14">
        <f t="shared" si="8"/>
        <v>19.73625000000002</v>
      </c>
      <c r="V71">
        <v>781.6</v>
      </c>
      <c r="X71">
        <f t="shared" si="5"/>
        <v>82590.8</v>
      </c>
      <c r="AA71">
        <v>10.0767521680136</v>
      </c>
    </row>
    <row r="72" spans="1:27" x14ac:dyDescent="0.25">
      <c r="A72" s="74"/>
      <c r="B72" s="8"/>
      <c r="C72" s="9">
        <v>41950</v>
      </c>
      <c r="D72">
        <v>10.1</v>
      </c>
      <c r="E72">
        <v>5.8</v>
      </c>
      <c r="F72">
        <v>13.4</v>
      </c>
      <c r="G72">
        <f t="shared" ref="G72:G135" si="13">G71+D72</f>
        <v>1216.6999999999996</v>
      </c>
      <c r="J72">
        <v>1.2</v>
      </c>
      <c r="K72">
        <f t="shared" ref="K72:K135" si="14">K71+J72</f>
        <v>86.100000000000009</v>
      </c>
      <c r="L72">
        <v>0.3</v>
      </c>
      <c r="M72">
        <f t="shared" ref="M72:M135" si="15">M71+L72</f>
        <v>176.8</v>
      </c>
      <c r="N72">
        <v>0.89999999999999991</v>
      </c>
      <c r="O72">
        <f t="shared" si="10"/>
        <v>10.299999999999999</v>
      </c>
      <c r="P72" s="5">
        <v>67</v>
      </c>
      <c r="Q72" s="6">
        <f t="shared" si="6"/>
        <v>0.72499999999999998</v>
      </c>
      <c r="R72" s="11">
        <f t="shared" si="11"/>
        <v>0.2175</v>
      </c>
      <c r="S72" s="11">
        <f t="shared" si="12"/>
        <v>0.98249999999999993</v>
      </c>
      <c r="T72" s="14">
        <f t="shared" si="8"/>
        <v>20.718750000000021</v>
      </c>
      <c r="V72">
        <v>240</v>
      </c>
      <c r="X72">
        <f t="shared" ref="X72:X135" si="16">X71+V72</f>
        <v>82830.8</v>
      </c>
      <c r="AA72">
        <v>10.034004681415199</v>
      </c>
    </row>
    <row r="73" spans="1:27" x14ac:dyDescent="0.25">
      <c r="A73" s="74"/>
      <c r="B73" s="8"/>
      <c r="C73" s="9">
        <v>41951</v>
      </c>
      <c r="D73">
        <v>9.9</v>
      </c>
      <c r="E73">
        <v>4.9000000000000004</v>
      </c>
      <c r="F73">
        <v>15.8</v>
      </c>
      <c r="G73">
        <f t="shared" si="13"/>
        <v>1226.5999999999997</v>
      </c>
      <c r="J73">
        <v>0.1</v>
      </c>
      <c r="K73">
        <f t="shared" si="14"/>
        <v>86.2</v>
      </c>
      <c r="L73">
        <v>0.9</v>
      </c>
      <c r="M73">
        <f t="shared" si="15"/>
        <v>177.70000000000002</v>
      </c>
      <c r="N73">
        <v>-0.8</v>
      </c>
      <c r="O73">
        <f t="shared" si="10"/>
        <v>9.4999999999999982</v>
      </c>
      <c r="P73" s="5">
        <v>68</v>
      </c>
      <c r="Q73" s="6">
        <f t="shared" si="6"/>
        <v>0.73124999999999996</v>
      </c>
      <c r="R73" s="11">
        <f t="shared" si="11"/>
        <v>0.65812499999999996</v>
      </c>
      <c r="S73" s="11">
        <f t="shared" si="12"/>
        <v>-0.55812499999999998</v>
      </c>
      <c r="T73" s="14">
        <f t="shared" si="8"/>
        <v>20.160625000000021</v>
      </c>
      <c r="V73">
        <v>630.6</v>
      </c>
      <c r="X73">
        <f t="shared" si="16"/>
        <v>83461.400000000009</v>
      </c>
      <c r="AA73">
        <v>9.9917054137274892</v>
      </c>
    </row>
    <row r="74" spans="1:27" x14ac:dyDescent="0.25">
      <c r="A74" s="74"/>
      <c r="B74" s="8"/>
      <c r="C74" s="9">
        <v>41952</v>
      </c>
      <c r="D74">
        <v>8.9</v>
      </c>
      <c r="E74">
        <v>6.5</v>
      </c>
      <c r="F74">
        <v>11.9</v>
      </c>
      <c r="G74">
        <f t="shared" si="13"/>
        <v>1235.4999999999998</v>
      </c>
      <c r="J74">
        <v>1.8</v>
      </c>
      <c r="K74">
        <f t="shared" si="14"/>
        <v>88</v>
      </c>
      <c r="L74">
        <v>0.5</v>
      </c>
      <c r="M74">
        <f t="shared" si="15"/>
        <v>178.20000000000002</v>
      </c>
      <c r="N74">
        <v>1.3</v>
      </c>
      <c r="O74">
        <f t="shared" si="10"/>
        <v>10.799999999999999</v>
      </c>
      <c r="P74" s="5">
        <v>69</v>
      </c>
      <c r="Q74" s="6">
        <f t="shared" si="6"/>
        <v>0.73750000000000004</v>
      </c>
      <c r="R74" s="11">
        <f t="shared" si="11"/>
        <v>0.36875000000000002</v>
      </c>
      <c r="S74" s="11">
        <f t="shared" si="12"/>
        <v>1.4312499999999999</v>
      </c>
      <c r="T74" s="14">
        <f t="shared" si="8"/>
        <v>21.591875000000019</v>
      </c>
      <c r="V74">
        <v>188.9</v>
      </c>
      <c r="X74">
        <f t="shared" si="16"/>
        <v>83650.3</v>
      </c>
      <c r="AA74">
        <v>9.9498738850186097</v>
      </c>
    </row>
    <row r="75" spans="1:27" x14ac:dyDescent="0.25">
      <c r="A75" s="74"/>
      <c r="B75" s="8"/>
      <c r="C75" s="9">
        <v>41953</v>
      </c>
      <c r="D75">
        <v>9.6999999999999993</v>
      </c>
      <c r="E75">
        <v>5.7</v>
      </c>
      <c r="F75">
        <v>14.6</v>
      </c>
      <c r="G75">
        <f t="shared" si="13"/>
        <v>1245.1999999999998</v>
      </c>
      <c r="J75">
        <v>0.1</v>
      </c>
      <c r="K75">
        <f t="shared" si="14"/>
        <v>88.1</v>
      </c>
      <c r="L75">
        <v>1.6</v>
      </c>
      <c r="M75">
        <f t="shared" si="15"/>
        <v>179.8</v>
      </c>
      <c r="N75">
        <v>-1.5</v>
      </c>
      <c r="O75">
        <f t="shared" si="10"/>
        <v>9.2999999999999989</v>
      </c>
      <c r="P75" s="5">
        <v>70</v>
      </c>
      <c r="Q75" s="6">
        <f t="shared" si="6"/>
        <v>0.74374999999999991</v>
      </c>
      <c r="R75" s="11">
        <f t="shared" si="11"/>
        <v>1.19</v>
      </c>
      <c r="S75" s="11">
        <f t="shared" si="12"/>
        <v>-1.0899999999999999</v>
      </c>
      <c r="T75" s="14">
        <f t="shared" si="8"/>
        <v>20.50187500000002</v>
      </c>
      <c r="V75">
        <v>1002.2</v>
      </c>
      <c r="X75">
        <f t="shared" si="16"/>
        <v>84652.5</v>
      </c>
      <c r="AA75">
        <v>9.9085300825343392</v>
      </c>
    </row>
    <row r="76" spans="1:27" x14ac:dyDescent="0.25">
      <c r="A76" s="74"/>
      <c r="B76" s="8"/>
      <c r="C76" s="9">
        <v>41954</v>
      </c>
      <c r="D76">
        <v>9.4</v>
      </c>
      <c r="E76">
        <v>3.5</v>
      </c>
      <c r="F76">
        <v>14.4</v>
      </c>
      <c r="G76">
        <f t="shared" si="13"/>
        <v>1254.5999999999999</v>
      </c>
      <c r="J76">
        <v>0.1</v>
      </c>
      <c r="K76">
        <f t="shared" si="14"/>
        <v>88.199999999999989</v>
      </c>
      <c r="L76">
        <v>0.8</v>
      </c>
      <c r="M76">
        <f t="shared" si="15"/>
        <v>180.60000000000002</v>
      </c>
      <c r="N76">
        <v>-0.70000000000000007</v>
      </c>
      <c r="O76">
        <f t="shared" si="10"/>
        <v>8.6</v>
      </c>
      <c r="P76" s="5">
        <v>71</v>
      </c>
      <c r="Q76" s="6">
        <f t="shared" si="6"/>
        <v>0.75</v>
      </c>
      <c r="R76" s="11">
        <f t="shared" si="11"/>
        <v>0.60000000000000009</v>
      </c>
      <c r="S76" s="11">
        <f t="shared" si="12"/>
        <v>-0.50000000000000011</v>
      </c>
      <c r="T76" s="14">
        <f t="shared" si="8"/>
        <v>20.00187500000002</v>
      </c>
      <c r="V76">
        <v>411.7</v>
      </c>
      <c r="X76">
        <f t="shared" si="16"/>
        <v>85064.2</v>
      </c>
      <c r="AA76">
        <v>9.8676944494053895</v>
      </c>
    </row>
    <row r="77" spans="1:27" x14ac:dyDescent="0.25">
      <c r="A77" s="74"/>
      <c r="B77" s="8"/>
      <c r="C77" s="9">
        <v>41955</v>
      </c>
      <c r="D77">
        <v>9.5</v>
      </c>
      <c r="E77">
        <v>3.9</v>
      </c>
      <c r="F77">
        <v>15.5</v>
      </c>
      <c r="G77">
        <f t="shared" si="13"/>
        <v>1264.0999999999999</v>
      </c>
      <c r="J77">
        <v>0</v>
      </c>
      <c r="K77">
        <f t="shared" si="14"/>
        <v>88.199999999999989</v>
      </c>
      <c r="L77">
        <v>1.1000000000000001</v>
      </c>
      <c r="M77">
        <f t="shared" si="15"/>
        <v>181.70000000000002</v>
      </c>
      <c r="N77">
        <v>-1.1000000000000001</v>
      </c>
      <c r="O77">
        <f t="shared" si="10"/>
        <v>7.5</v>
      </c>
      <c r="P77" s="5">
        <v>72</v>
      </c>
      <c r="Q77" s="6">
        <f t="shared" si="6"/>
        <v>0.75624999999999998</v>
      </c>
      <c r="R77" s="11">
        <f t="shared" si="11"/>
        <v>0.83187500000000003</v>
      </c>
      <c r="S77" s="11">
        <f t="shared" si="12"/>
        <v>-0.83187500000000003</v>
      </c>
      <c r="T77" s="14">
        <f t="shared" si="8"/>
        <v>19.170000000000019</v>
      </c>
      <c r="V77">
        <v>586.70000000000005</v>
      </c>
      <c r="X77">
        <f t="shared" si="16"/>
        <v>85650.9</v>
      </c>
      <c r="AA77">
        <v>9.8273878711190008</v>
      </c>
    </row>
    <row r="78" spans="1:27" x14ac:dyDescent="0.25">
      <c r="A78" s="74"/>
      <c r="B78" s="8"/>
      <c r="C78" s="9">
        <v>41956</v>
      </c>
      <c r="D78">
        <v>11.8</v>
      </c>
      <c r="E78">
        <v>4.0999999999999996</v>
      </c>
      <c r="F78">
        <v>17.399999999999999</v>
      </c>
      <c r="G78">
        <f t="shared" si="13"/>
        <v>1275.8999999999999</v>
      </c>
      <c r="J78">
        <v>0</v>
      </c>
      <c r="K78">
        <f t="shared" si="14"/>
        <v>88.199999999999989</v>
      </c>
      <c r="L78">
        <v>1.5</v>
      </c>
      <c r="M78">
        <f t="shared" si="15"/>
        <v>183.20000000000002</v>
      </c>
      <c r="N78">
        <v>-1.5</v>
      </c>
      <c r="O78">
        <f t="shared" si="10"/>
        <v>6</v>
      </c>
      <c r="P78" s="5">
        <v>73</v>
      </c>
      <c r="Q78" s="6">
        <f t="shared" ref="Q78:Q116" si="17">0.35+((P78-7)/104)*(1-0.35)</f>
        <v>0.76249999999999996</v>
      </c>
      <c r="R78" s="11">
        <f t="shared" si="11"/>
        <v>1.1437499999999998</v>
      </c>
      <c r="S78" s="11">
        <f t="shared" si="12"/>
        <v>-1.1437499999999998</v>
      </c>
      <c r="T78" s="14">
        <f t="shared" si="8"/>
        <v>18.026250000000019</v>
      </c>
      <c r="V78">
        <v>743.5</v>
      </c>
      <c r="X78">
        <f t="shared" si="16"/>
        <v>86394.4</v>
      </c>
      <c r="AA78">
        <v>9.7876316596586008</v>
      </c>
    </row>
    <row r="79" spans="1:27" x14ac:dyDescent="0.25">
      <c r="A79" s="74"/>
      <c r="B79" s="8"/>
      <c r="C79" s="9">
        <v>41957</v>
      </c>
      <c r="D79">
        <v>12.8</v>
      </c>
      <c r="E79">
        <v>11.3</v>
      </c>
      <c r="F79">
        <v>15.6</v>
      </c>
      <c r="G79">
        <f t="shared" si="13"/>
        <v>1288.6999999999998</v>
      </c>
      <c r="J79">
        <v>11.1</v>
      </c>
      <c r="K79">
        <f t="shared" si="14"/>
        <v>99.299999999999983</v>
      </c>
      <c r="L79">
        <v>0.9</v>
      </c>
      <c r="M79">
        <f t="shared" si="15"/>
        <v>184.10000000000002</v>
      </c>
      <c r="N79">
        <v>10.199999999999999</v>
      </c>
      <c r="O79">
        <f t="shared" si="10"/>
        <v>16.2</v>
      </c>
      <c r="P79" s="5">
        <v>74</v>
      </c>
      <c r="Q79" s="6">
        <f t="shared" si="17"/>
        <v>0.76875000000000004</v>
      </c>
      <c r="R79" s="11">
        <f t="shared" si="11"/>
        <v>0.69187500000000002</v>
      </c>
      <c r="S79" s="11">
        <f t="shared" si="12"/>
        <v>10.408125</v>
      </c>
      <c r="T79" s="14">
        <f t="shared" si="8"/>
        <v>28.434375000000017</v>
      </c>
      <c r="V79">
        <v>400.4</v>
      </c>
      <c r="X79">
        <f t="shared" si="16"/>
        <v>86794.799999999988</v>
      </c>
      <c r="AA79">
        <v>9.7484475352214695</v>
      </c>
    </row>
    <row r="80" spans="1:27" x14ac:dyDescent="0.25">
      <c r="A80" s="74"/>
      <c r="B80" s="8"/>
      <c r="C80" s="9">
        <v>41958</v>
      </c>
      <c r="D80">
        <v>10.199999999999999</v>
      </c>
      <c r="E80">
        <v>6</v>
      </c>
      <c r="F80">
        <v>14.9</v>
      </c>
      <c r="G80">
        <f t="shared" si="13"/>
        <v>1298.8999999999999</v>
      </c>
      <c r="J80">
        <v>1.6</v>
      </c>
      <c r="K80">
        <f t="shared" si="14"/>
        <v>100.89999999999998</v>
      </c>
      <c r="L80">
        <v>1.2</v>
      </c>
      <c r="M80">
        <f t="shared" si="15"/>
        <v>185.3</v>
      </c>
      <c r="N80">
        <v>0.40000000000000013</v>
      </c>
      <c r="O80">
        <f t="shared" si="10"/>
        <v>16.599999999999998</v>
      </c>
      <c r="P80" s="5">
        <v>75</v>
      </c>
      <c r="Q80" s="6">
        <f t="shared" si="17"/>
        <v>0.77500000000000002</v>
      </c>
      <c r="R80" s="11">
        <f t="shared" si="11"/>
        <v>0.92999999999999994</v>
      </c>
      <c r="S80" s="11">
        <f t="shared" si="12"/>
        <v>0.67000000000000015</v>
      </c>
      <c r="T80" s="14">
        <f t="shared" si="8"/>
        <v>29.104375000000019</v>
      </c>
      <c r="V80">
        <v>828.5</v>
      </c>
      <c r="X80">
        <f t="shared" si="16"/>
        <v>87623.299999999988</v>
      </c>
      <c r="AA80">
        <v>9.7098576054304893</v>
      </c>
    </row>
    <row r="81" spans="1:27" x14ac:dyDescent="0.25">
      <c r="A81" s="74"/>
      <c r="B81" s="8"/>
      <c r="C81" s="9">
        <v>41959</v>
      </c>
      <c r="D81">
        <v>9.6</v>
      </c>
      <c r="E81">
        <v>7</v>
      </c>
      <c r="F81">
        <v>13</v>
      </c>
      <c r="G81">
        <f t="shared" si="13"/>
        <v>1308.4999999999998</v>
      </c>
      <c r="J81">
        <v>13.6</v>
      </c>
      <c r="K81">
        <f t="shared" si="14"/>
        <v>114.49999999999997</v>
      </c>
      <c r="L81">
        <v>0.8</v>
      </c>
      <c r="M81">
        <f t="shared" si="15"/>
        <v>186.10000000000002</v>
      </c>
      <c r="N81">
        <v>12.799999999999999</v>
      </c>
      <c r="O81">
        <f t="shared" si="10"/>
        <v>29.4</v>
      </c>
      <c r="P81" s="5">
        <v>76</v>
      </c>
      <c r="Q81" s="6">
        <f t="shared" si="17"/>
        <v>0.78125</v>
      </c>
      <c r="R81" s="11">
        <f t="shared" si="11"/>
        <v>0.625</v>
      </c>
      <c r="S81" s="11">
        <f t="shared" si="12"/>
        <v>12.975</v>
      </c>
      <c r="T81" s="14">
        <f t="shared" si="8"/>
        <v>42.07937500000002</v>
      </c>
      <c r="V81">
        <v>152.6</v>
      </c>
      <c r="X81">
        <f t="shared" si="16"/>
        <v>87775.9</v>
      </c>
      <c r="AA81">
        <v>9.6718843419651996</v>
      </c>
    </row>
    <row r="82" spans="1:27" x14ac:dyDescent="0.25">
      <c r="A82" s="74"/>
      <c r="B82" s="8"/>
      <c r="C82" s="9">
        <v>41960</v>
      </c>
      <c r="D82">
        <v>10</v>
      </c>
      <c r="E82">
        <v>9.3000000000000007</v>
      </c>
      <c r="F82">
        <v>10.3</v>
      </c>
      <c r="G82">
        <f t="shared" si="13"/>
        <v>1318.4999999999998</v>
      </c>
      <c r="J82">
        <v>2.2999999999999998</v>
      </c>
      <c r="K82">
        <f t="shared" si="14"/>
        <v>116.79999999999997</v>
      </c>
      <c r="L82">
        <v>1.1000000000000001</v>
      </c>
      <c r="M82">
        <f t="shared" si="15"/>
        <v>187.20000000000002</v>
      </c>
      <c r="N82">
        <v>1.1999999999999997</v>
      </c>
      <c r="O82">
        <f t="shared" si="10"/>
        <v>30.599999999999998</v>
      </c>
      <c r="P82" s="5">
        <v>77</v>
      </c>
      <c r="Q82" s="6">
        <f t="shared" si="17"/>
        <v>0.78750000000000009</v>
      </c>
      <c r="R82" s="11">
        <f t="shared" si="11"/>
        <v>0.86625000000000019</v>
      </c>
      <c r="S82" s="11">
        <f t="shared" si="12"/>
        <v>1.4337499999999996</v>
      </c>
      <c r="T82" s="14">
        <f t="shared" si="8"/>
        <v>43.513125000000016</v>
      </c>
      <c r="V82">
        <v>574</v>
      </c>
      <c r="X82">
        <f t="shared" si="16"/>
        <v>88349.9</v>
      </c>
      <c r="AA82">
        <v>9.6345505545468395</v>
      </c>
    </row>
    <row r="83" spans="1:27" x14ac:dyDescent="0.25">
      <c r="A83" s="74"/>
      <c r="B83" s="8"/>
      <c r="C83" s="9">
        <v>41961</v>
      </c>
      <c r="D83">
        <v>10.7</v>
      </c>
      <c r="E83">
        <v>9.9</v>
      </c>
      <c r="F83">
        <v>15.2</v>
      </c>
      <c r="G83">
        <f t="shared" si="13"/>
        <v>1329.1999999999998</v>
      </c>
      <c r="J83">
        <v>0.3</v>
      </c>
      <c r="K83">
        <f t="shared" si="14"/>
        <v>117.09999999999997</v>
      </c>
      <c r="L83">
        <v>1.8</v>
      </c>
      <c r="M83">
        <f t="shared" si="15"/>
        <v>189.00000000000003</v>
      </c>
      <c r="N83">
        <v>-1.5</v>
      </c>
      <c r="O83">
        <f t="shared" si="10"/>
        <v>29.099999999999998</v>
      </c>
      <c r="P83" s="5">
        <v>78</v>
      </c>
      <c r="Q83" s="6">
        <f t="shared" si="17"/>
        <v>0.79374999999999996</v>
      </c>
      <c r="R83" s="11">
        <f t="shared" si="11"/>
        <v>1.42875</v>
      </c>
      <c r="S83" s="11">
        <f t="shared" si="12"/>
        <v>-1.1287499999999999</v>
      </c>
      <c r="T83" s="14">
        <f t="shared" si="8"/>
        <v>42.38437500000002</v>
      </c>
      <c r="V83">
        <v>765.2</v>
      </c>
      <c r="X83">
        <f t="shared" si="16"/>
        <v>89115.099999999991</v>
      </c>
      <c r="AA83">
        <v>9.5978793622234999</v>
      </c>
    </row>
    <row r="84" spans="1:27" x14ac:dyDescent="0.25">
      <c r="A84" s="74"/>
      <c r="B84" s="8"/>
      <c r="C84" s="9">
        <v>41962</v>
      </c>
      <c r="D84">
        <v>10.5</v>
      </c>
      <c r="E84">
        <v>6</v>
      </c>
      <c r="F84">
        <v>14.7</v>
      </c>
      <c r="G84">
        <f t="shared" si="13"/>
        <v>1339.6999999999998</v>
      </c>
      <c r="J84">
        <v>0</v>
      </c>
      <c r="K84">
        <f t="shared" si="14"/>
        <v>117.09999999999997</v>
      </c>
      <c r="L84">
        <v>1.1000000000000001</v>
      </c>
      <c r="M84">
        <f t="shared" si="15"/>
        <v>190.10000000000002</v>
      </c>
      <c r="N84">
        <v>-1.1000000000000001</v>
      </c>
      <c r="O84">
        <f t="shared" si="10"/>
        <v>27.999999999999996</v>
      </c>
      <c r="P84" s="5">
        <v>79</v>
      </c>
      <c r="Q84" s="6">
        <f t="shared" si="17"/>
        <v>0.8</v>
      </c>
      <c r="R84" s="11">
        <f t="shared" si="11"/>
        <v>0.88000000000000012</v>
      </c>
      <c r="S84" s="11">
        <f t="shared" si="12"/>
        <v>-0.88000000000000012</v>
      </c>
      <c r="T84" s="14">
        <f t="shared" si="8"/>
        <v>41.504375000000017</v>
      </c>
      <c r="V84">
        <v>719.1</v>
      </c>
      <c r="X84">
        <f t="shared" si="16"/>
        <v>89834.2</v>
      </c>
      <c r="AA84">
        <v>9.5618941619146405</v>
      </c>
    </row>
    <row r="85" spans="1:27" x14ac:dyDescent="0.25">
      <c r="A85" s="74"/>
      <c r="B85" s="8"/>
      <c r="C85" s="9">
        <v>41963</v>
      </c>
      <c r="D85">
        <v>12.8</v>
      </c>
      <c r="E85">
        <v>9.1</v>
      </c>
      <c r="F85">
        <v>15.9</v>
      </c>
      <c r="G85">
        <f t="shared" si="13"/>
        <v>1352.4999999999998</v>
      </c>
      <c r="J85">
        <v>0.1</v>
      </c>
      <c r="K85">
        <f t="shared" si="14"/>
        <v>117.19999999999996</v>
      </c>
      <c r="L85">
        <v>1.7</v>
      </c>
      <c r="M85">
        <f t="shared" si="15"/>
        <v>191.8</v>
      </c>
      <c r="N85">
        <v>-1.5999999999999999</v>
      </c>
      <c r="O85">
        <f t="shared" si="10"/>
        <v>26.399999999999995</v>
      </c>
      <c r="P85" s="5">
        <v>80</v>
      </c>
      <c r="Q85" s="6">
        <f t="shared" si="17"/>
        <v>0.80624999999999991</v>
      </c>
      <c r="R85" s="11">
        <f t="shared" si="11"/>
        <v>1.3706249999999998</v>
      </c>
      <c r="S85" s="11">
        <f t="shared" si="12"/>
        <v>-1.2706249999999997</v>
      </c>
      <c r="T85" s="14">
        <f t="shared" si="8"/>
        <v>40.233750000000015</v>
      </c>
      <c r="V85">
        <v>732</v>
      </c>
      <c r="X85">
        <f t="shared" si="16"/>
        <v>90566.2</v>
      </c>
      <c r="AA85">
        <v>9.5266185941885198</v>
      </c>
    </row>
    <row r="86" spans="1:27" x14ac:dyDescent="0.25">
      <c r="A86" s="74"/>
      <c r="B86" s="8"/>
      <c r="C86" s="9">
        <v>41964</v>
      </c>
      <c r="D86">
        <v>14.9</v>
      </c>
      <c r="E86">
        <v>12.6</v>
      </c>
      <c r="F86">
        <v>18.100000000000001</v>
      </c>
      <c r="G86">
        <f t="shared" si="13"/>
        <v>1367.3999999999999</v>
      </c>
      <c r="J86">
        <v>0.2</v>
      </c>
      <c r="K86">
        <f t="shared" si="14"/>
        <v>117.39999999999996</v>
      </c>
      <c r="L86">
        <v>2.1</v>
      </c>
      <c r="M86">
        <f t="shared" si="15"/>
        <v>193.9</v>
      </c>
      <c r="N86">
        <v>-1.9000000000000001</v>
      </c>
      <c r="O86">
        <f t="shared" si="10"/>
        <v>24.499999999999996</v>
      </c>
      <c r="P86" s="5">
        <v>81</v>
      </c>
      <c r="Q86" s="6">
        <f t="shared" si="17"/>
        <v>0.8125</v>
      </c>
      <c r="R86" s="11">
        <f t="shared" si="11"/>
        <v>1.70625</v>
      </c>
      <c r="S86" s="11">
        <f t="shared" si="12"/>
        <v>-1.5062500000000001</v>
      </c>
      <c r="T86" s="14">
        <f t="shared" si="8"/>
        <v>38.727500000000013</v>
      </c>
      <c r="V86">
        <v>833</v>
      </c>
      <c r="X86">
        <f t="shared" si="16"/>
        <v>91399.2</v>
      </c>
      <c r="AA86">
        <v>9.4920765062624106</v>
      </c>
    </row>
    <row r="87" spans="1:27" x14ac:dyDescent="0.25">
      <c r="A87" s="74"/>
      <c r="B87" s="8"/>
      <c r="C87" s="9">
        <v>41965</v>
      </c>
      <c r="D87">
        <v>16.2</v>
      </c>
      <c r="E87">
        <v>14.4</v>
      </c>
      <c r="F87">
        <v>19.2</v>
      </c>
      <c r="G87">
        <f t="shared" si="13"/>
        <v>1383.6</v>
      </c>
      <c r="J87">
        <v>0</v>
      </c>
      <c r="K87">
        <f t="shared" si="14"/>
        <v>117.39999999999996</v>
      </c>
      <c r="L87">
        <v>1.6</v>
      </c>
      <c r="M87">
        <f t="shared" si="15"/>
        <v>195.5</v>
      </c>
      <c r="N87">
        <v>-1.6</v>
      </c>
      <c r="O87">
        <f t="shared" si="10"/>
        <v>22.899999999999995</v>
      </c>
      <c r="P87" s="5">
        <v>82</v>
      </c>
      <c r="Q87" s="6">
        <f t="shared" si="17"/>
        <v>0.81874999999999998</v>
      </c>
      <c r="R87" s="11">
        <f t="shared" si="11"/>
        <v>1.31</v>
      </c>
      <c r="S87" s="11">
        <f t="shared" si="12"/>
        <v>-1.31</v>
      </c>
      <c r="T87" s="14">
        <f t="shared" ref="T87:T150" si="18">MIN(122.1,(T86+S87))</f>
        <v>37.417500000000011</v>
      </c>
      <c r="V87">
        <v>480.4</v>
      </c>
      <c r="X87">
        <f t="shared" si="16"/>
        <v>91879.599999999991</v>
      </c>
      <c r="AA87">
        <v>9.4582919122330207</v>
      </c>
    </row>
    <row r="88" spans="1:27" x14ac:dyDescent="0.25">
      <c r="A88" s="74"/>
      <c r="B88" s="8"/>
      <c r="C88" s="9">
        <v>41966</v>
      </c>
      <c r="D88">
        <v>16.899999999999999</v>
      </c>
      <c r="E88">
        <v>15.4</v>
      </c>
      <c r="F88">
        <v>18.399999999999999</v>
      </c>
      <c r="G88">
        <f t="shared" si="13"/>
        <v>1400.5</v>
      </c>
      <c r="J88">
        <v>0</v>
      </c>
      <c r="K88">
        <f t="shared" si="14"/>
        <v>117.39999999999996</v>
      </c>
      <c r="L88">
        <v>1.7</v>
      </c>
      <c r="M88">
        <f t="shared" si="15"/>
        <v>197.2</v>
      </c>
      <c r="N88">
        <v>-1.7</v>
      </c>
      <c r="O88">
        <f t="shared" si="10"/>
        <v>21.199999999999996</v>
      </c>
      <c r="P88" s="5">
        <v>83</v>
      </c>
      <c r="Q88" s="6">
        <f t="shared" si="17"/>
        <v>0.82499999999999996</v>
      </c>
      <c r="R88" s="11">
        <f t="shared" si="11"/>
        <v>1.4024999999999999</v>
      </c>
      <c r="S88" s="11">
        <f t="shared" si="12"/>
        <v>-1.4024999999999999</v>
      </c>
      <c r="T88" s="14">
        <f t="shared" si="18"/>
        <v>36.015000000000015</v>
      </c>
      <c r="V88">
        <v>340.9</v>
      </c>
      <c r="X88">
        <f t="shared" si="16"/>
        <v>92220.499999999985</v>
      </c>
      <c r="AA88">
        <v>9.4252889505638695</v>
      </c>
    </row>
    <row r="89" spans="1:27" x14ac:dyDescent="0.25">
      <c r="A89" s="74"/>
      <c r="B89" s="8"/>
      <c r="C89" s="9">
        <v>41967</v>
      </c>
      <c r="D89">
        <v>15.7</v>
      </c>
      <c r="E89">
        <v>14.7</v>
      </c>
      <c r="F89">
        <v>17.2</v>
      </c>
      <c r="G89">
        <f t="shared" si="13"/>
        <v>1416.2</v>
      </c>
      <c r="J89">
        <v>0.1</v>
      </c>
      <c r="K89">
        <f t="shared" si="14"/>
        <v>117.49999999999996</v>
      </c>
      <c r="L89">
        <v>0.9</v>
      </c>
      <c r="M89">
        <f t="shared" si="15"/>
        <v>198.1</v>
      </c>
      <c r="N89">
        <v>-0.8</v>
      </c>
      <c r="O89">
        <f t="shared" si="10"/>
        <v>20.399999999999995</v>
      </c>
      <c r="P89" s="5">
        <v>84</v>
      </c>
      <c r="Q89" s="6">
        <f t="shared" si="17"/>
        <v>0.83125000000000004</v>
      </c>
      <c r="R89" s="11">
        <f t="shared" si="11"/>
        <v>0.74812500000000004</v>
      </c>
      <c r="S89" s="11">
        <f t="shared" si="12"/>
        <v>-0.64812500000000006</v>
      </c>
      <c r="T89" s="14">
        <f t="shared" si="18"/>
        <v>35.366875000000014</v>
      </c>
      <c r="V89">
        <v>312.8</v>
      </c>
      <c r="X89">
        <f t="shared" si="16"/>
        <v>92533.299999999988</v>
      </c>
      <c r="AA89">
        <v>9.3930918388768099</v>
      </c>
    </row>
    <row r="90" spans="1:27" x14ac:dyDescent="0.25">
      <c r="A90" s="74"/>
      <c r="B90" s="8"/>
      <c r="C90" s="9">
        <v>41968</v>
      </c>
      <c r="D90">
        <v>13.7</v>
      </c>
      <c r="E90">
        <v>13</v>
      </c>
      <c r="F90">
        <v>14.7</v>
      </c>
      <c r="G90">
        <f t="shared" si="13"/>
        <v>1429.9</v>
      </c>
      <c r="J90">
        <v>4.2</v>
      </c>
      <c r="K90">
        <f t="shared" si="14"/>
        <v>121.69999999999996</v>
      </c>
      <c r="L90">
        <v>0.5</v>
      </c>
      <c r="M90">
        <f t="shared" si="15"/>
        <v>198.6</v>
      </c>
      <c r="N90">
        <v>3.7</v>
      </c>
      <c r="O90">
        <f t="shared" si="10"/>
        <v>24.099999999999994</v>
      </c>
      <c r="P90" s="5">
        <v>85</v>
      </c>
      <c r="Q90" s="6">
        <f t="shared" si="17"/>
        <v>0.83750000000000002</v>
      </c>
      <c r="R90" s="11">
        <f t="shared" si="11"/>
        <v>0.41875000000000001</v>
      </c>
      <c r="S90" s="11">
        <f t="shared" si="12"/>
        <v>3.78125</v>
      </c>
      <c r="T90" s="14">
        <f t="shared" si="18"/>
        <v>39.148125000000014</v>
      </c>
      <c r="V90">
        <v>143.9</v>
      </c>
      <c r="X90">
        <f t="shared" si="16"/>
        <v>92677.199999999983</v>
      </c>
      <c r="AA90">
        <v>9.3617248261170491</v>
      </c>
    </row>
    <row r="91" spans="1:27" x14ac:dyDescent="0.25">
      <c r="A91" s="74"/>
      <c r="B91" s="8"/>
      <c r="C91" s="9">
        <v>41969</v>
      </c>
      <c r="D91">
        <v>12.8</v>
      </c>
      <c r="E91">
        <v>11.5</v>
      </c>
      <c r="F91">
        <v>13.5</v>
      </c>
      <c r="G91">
        <f t="shared" si="13"/>
        <v>1442.7</v>
      </c>
      <c r="J91">
        <v>7</v>
      </c>
      <c r="K91">
        <f t="shared" si="14"/>
        <v>128.69999999999996</v>
      </c>
      <c r="L91">
        <v>0.2</v>
      </c>
      <c r="M91">
        <f t="shared" si="15"/>
        <v>198.79999999999998</v>
      </c>
      <c r="N91">
        <v>6.8</v>
      </c>
      <c r="O91">
        <f t="shared" si="10"/>
        <v>30.899999999999995</v>
      </c>
      <c r="P91" s="5">
        <v>86</v>
      </c>
      <c r="Q91" s="6">
        <f t="shared" si="17"/>
        <v>0.84375</v>
      </c>
      <c r="R91" s="11">
        <f t="shared" si="11"/>
        <v>0.16875000000000001</v>
      </c>
      <c r="S91" s="11">
        <f t="shared" si="12"/>
        <v>6.8312499999999998</v>
      </c>
      <c r="T91" s="14">
        <f t="shared" si="18"/>
        <v>45.979375000000012</v>
      </c>
      <c r="V91">
        <v>77.7</v>
      </c>
      <c r="X91">
        <f t="shared" si="16"/>
        <v>92754.89999999998</v>
      </c>
      <c r="AA91">
        <v>9.3312121421840395</v>
      </c>
    </row>
    <row r="92" spans="1:27" x14ac:dyDescent="0.25">
      <c r="A92" s="74"/>
      <c r="B92" s="8"/>
      <c r="C92" s="9">
        <v>41970</v>
      </c>
      <c r="D92">
        <v>13.1</v>
      </c>
      <c r="E92">
        <v>10.9</v>
      </c>
      <c r="F92">
        <v>16.2</v>
      </c>
      <c r="G92">
        <f t="shared" si="13"/>
        <v>1455.8</v>
      </c>
      <c r="J92">
        <v>0</v>
      </c>
      <c r="K92">
        <f t="shared" si="14"/>
        <v>128.69999999999996</v>
      </c>
      <c r="L92">
        <v>1.4</v>
      </c>
      <c r="M92">
        <f t="shared" si="15"/>
        <v>200.2</v>
      </c>
      <c r="N92">
        <v>-1.4</v>
      </c>
      <c r="O92">
        <f t="shared" si="10"/>
        <v>29.499999999999996</v>
      </c>
      <c r="P92" s="5">
        <v>87</v>
      </c>
      <c r="Q92" s="6">
        <f t="shared" si="17"/>
        <v>0.85</v>
      </c>
      <c r="R92" s="11">
        <f t="shared" si="11"/>
        <v>1.19</v>
      </c>
      <c r="S92" s="11">
        <f t="shared" si="12"/>
        <v>-1.19</v>
      </c>
      <c r="T92" s="14">
        <f t="shared" si="18"/>
        <v>44.789375000000014</v>
      </c>
      <c r="V92">
        <v>642.1</v>
      </c>
      <c r="X92">
        <f t="shared" si="16"/>
        <v>93396.999999999985</v>
      </c>
      <c r="AA92">
        <v>9.3015779451449401</v>
      </c>
    </row>
    <row r="93" spans="1:27" x14ac:dyDescent="0.25">
      <c r="A93" s="74"/>
      <c r="B93" s="8"/>
      <c r="C93" s="9">
        <v>41971</v>
      </c>
      <c r="D93">
        <v>17</v>
      </c>
      <c r="E93">
        <v>12.9</v>
      </c>
      <c r="F93">
        <v>19.100000000000001</v>
      </c>
      <c r="G93">
        <f t="shared" si="13"/>
        <v>1472.8</v>
      </c>
      <c r="J93">
        <v>0</v>
      </c>
      <c r="K93">
        <f t="shared" si="14"/>
        <v>128.69999999999996</v>
      </c>
      <c r="L93">
        <v>2.7</v>
      </c>
      <c r="M93">
        <f t="shared" si="15"/>
        <v>202.89999999999998</v>
      </c>
      <c r="N93">
        <v>-2.7</v>
      </c>
      <c r="O93">
        <f t="shared" si="10"/>
        <v>26.799999999999997</v>
      </c>
      <c r="P93" s="5">
        <v>88</v>
      </c>
      <c r="Q93" s="6">
        <f t="shared" si="17"/>
        <v>0.85624999999999996</v>
      </c>
      <c r="R93" s="11">
        <f t="shared" si="11"/>
        <v>2.3118750000000001</v>
      </c>
      <c r="S93" s="11">
        <f t="shared" si="12"/>
        <v>-2.3118750000000001</v>
      </c>
      <c r="T93" s="14">
        <f t="shared" si="18"/>
        <v>42.477500000000013</v>
      </c>
      <c r="V93">
        <v>406.1</v>
      </c>
      <c r="X93">
        <f t="shared" si="16"/>
        <v>93803.099999999991</v>
      </c>
      <c r="AA93">
        <v>9.2728462661720794</v>
      </c>
    </row>
    <row r="94" spans="1:27" x14ac:dyDescent="0.25">
      <c r="A94" s="74"/>
      <c r="B94" s="8"/>
      <c r="C94" s="9">
        <v>41972</v>
      </c>
      <c r="D94">
        <v>16.600000000000001</v>
      </c>
      <c r="E94">
        <v>15.7</v>
      </c>
      <c r="F94">
        <v>18</v>
      </c>
      <c r="G94">
        <f t="shared" si="13"/>
        <v>1489.3999999999999</v>
      </c>
      <c r="J94">
        <v>6.3</v>
      </c>
      <c r="K94">
        <f t="shared" si="14"/>
        <v>134.99999999999997</v>
      </c>
      <c r="L94">
        <v>2.2000000000000002</v>
      </c>
      <c r="M94">
        <f t="shared" si="15"/>
        <v>205.09999999999997</v>
      </c>
      <c r="N94">
        <v>4.0999999999999996</v>
      </c>
      <c r="O94">
        <f t="shared" si="10"/>
        <v>30.9</v>
      </c>
      <c r="P94" s="5">
        <v>89</v>
      </c>
      <c r="Q94" s="6">
        <f t="shared" si="17"/>
        <v>0.86249999999999993</v>
      </c>
      <c r="R94" s="11">
        <f t="shared" si="11"/>
        <v>1.8975</v>
      </c>
      <c r="S94" s="11">
        <f t="shared" si="12"/>
        <v>4.4024999999999999</v>
      </c>
      <c r="T94" s="14">
        <f t="shared" si="18"/>
        <v>46.88000000000001</v>
      </c>
      <c r="V94">
        <v>314.89999999999998</v>
      </c>
      <c r="X94">
        <f t="shared" si="16"/>
        <v>94117.999999999985</v>
      </c>
      <c r="AA94">
        <v>9.2450409523719106</v>
      </c>
    </row>
    <row r="95" spans="1:27" x14ac:dyDescent="0.25">
      <c r="A95" s="74"/>
      <c r="B95" s="8"/>
      <c r="C95" s="9">
        <v>41973</v>
      </c>
      <c r="D95">
        <v>14.1</v>
      </c>
      <c r="E95">
        <v>12.3</v>
      </c>
      <c r="F95">
        <v>16.399999999999999</v>
      </c>
      <c r="G95">
        <f t="shared" si="13"/>
        <v>1503.4999999999998</v>
      </c>
      <c r="J95">
        <v>4.8</v>
      </c>
      <c r="K95">
        <f t="shared" si="14"/>
        <v>139.79999999999998</v>
      </c>
      <c r="L95">
        <v>0.8</v>
      </c>
      <c r="M95">
        <f t="shared" si="15"/>
        <v>205.89999999999998</v>
      </c>
      <c r="N95">
        <v>4</v>
      </c>
      <c r="O95">
        <f t="shared" si="10"/>
        <v>34.9</v>
      </c>
      <c r="P95" s="5">
        <v>90</v>
      </c>
      <c r="Q95" s="6">
        <f t="shared" si="17"/>
        <v>0.86875000000000002</v>
      </c>
      <c r="R95" s="11">
        <f t="shared" si="11"/>
        <v>0.69500000000000006</v>
      </c>
      <c r="S95" s="11">
        <f t="shared" si="12"/>
        <v>4.1049999999999995</v>
      </c>
      <c r="T95" s="14">
        <f t="shared" si="18"/>
        <v>50.985000000000007</v>
      </c>
      <c r="V95">
        <v>248.6</v>
      </c>
      <c r="X95">
        <f t="shared" si="16"/>
        <v>94366.599999999991</v>
      </c>
      <c r="AA95">
        <v>9.2181856076983308</v>
      </c>
    </row>
    <row r="96" spans="1:27" x14ac:dyDescent="0.25">
      <c r="A96" s="74"/>
      <c r="B96" s="8"/>
      <c r="C96" s="9">
        <v>41974</v>
      </c>
      <c r="D96">
        <v>8.3000000000000007</v>
      </c>
      <c r="E96">
        <v>5.8</v>
      </c>
      <c r="F96">
        <v>9.8000000000000007</v>
      </c>
      <c r="G96">
        <f t="shared" si="13"/>
        <v>1511.7999999999997</v>
      </c>
      <c r="J96">
        <v>0.2</v>
      </c>
      <c r="K96">
        <f t="shared" si="14"/>
        <v>139.99999999999997</v>
      </c>
      <c r="L96">
        <v>0.6</v>
      </c>
      <c r="M96">
        <f t="shared" si="15"/>
        <v>206.49999999999997</v>
      </c>
      <c r="N96">
        <v>-0.39999999999999997</v>
      </c>
      <c r="O96">
        <f t="shared" si="10"/>
        <v>34.5</v>
      </c>
      <c r="P96" s="5">
        <v>91</v>
      </c>
      <c r="Q96" s="6">
        <f t="shared" si="17"/>
        <v>0.875</v>
      </c>
      <c r="R96" s="11">
        <f t="shared" si="11"/>
        <v>0.52500000000000002</v>
      </c>
      <c r="S96" s="11">
        <f t="shared" si="12"/>
        <v>-0.32500000000000001</v>
      </c>
      <c r="T96" s="14">
        <f t="shared" si="18"/>
        <v>50.660000000000004</v>
      </c>
      <c r="V96">
        <v>440.7</v>
      </c>
      <c r="X96">
        <f t="shared" si="16"/>
        <v>94807.299999999988</v>
      </c>
      <c r="AA96">
        <v>9.1923035321696798</v>
      </c>
    </row>
    <row r="97" spans="1:27" x14ac:dyDescent="0.25">
      <c r="A97" s="74"/>
      <c r="B97" s="8"/>
      <c r="C97" s="9">
        <v>41975</v>
      </c>
      <c r="D97">
        <v>5.7</v>
      </c>
      <c r="E97">
        <v>4.5</v>
      </c>
      <c r="F97">
        <v>6.1</v>
      </c>
      <c r="G97">
        <f t="shared" si="13"/>
        <v>1517.4999999999998</v>
      </c>
      <c r="J97">
        <v>1.1000000000000001</v>
      </c>
      <c r="K97">
        <f t="shared" si="14"/>
        <v>141.09999999999997</v>
      </c>
      <c r="L97">
        <v>0.4</v>
      </c>
      <c r="M97">
        <f t="shared" si="15"/>
        <v>206.89999999999998</v>
      </c>
      <c r="N97">
        <v>0.70000000000000007</v>
      </c>
      <c r="O97">
        <f t="shared" si="10"/>
        <v>35.200000000000003</v>
      </c>
      <c r="P97" s="5">
        <v>92</v>
      </c>
      <c r="Q97" s="6">
        <f t="shared" si="17"/>
        <v>0.88124999999999998</v>
      </c>
      <c r="R97" s="11">
        <f t="shared" si="11"/>
        <v>0.35250000000000004</v>
      </c>
      <c r="S97" s="11">
        <f t="shared" si="12"/>
        <v>0.74750000000000005</v>
      </c>
      <c r="T97" s="14">
        <f t="shared" si="18"/>
        <v>51.407500000000006</v>
      </c>
      <c r="V97">
        <v>245.1</v>
      </c>
      <c r="X97">
        <f t="shared" si="16"/>
        <v>95052.4</v>
      </c>
      <c r="AA97">
        <v>9.1674176596340509</v>
      </c>
    </row>
    <row r="98" spans="1:27" x14ac:dyDescent="0.25">
      <c r="A98" s="74"/>
      <c r="B98" s="8"/>
      <c r="C98" s="9">
        <v>41976</v>
      </c>
      <c r="D98">
        <v>5.3</v>
      </c>
      <c r="E98">
        <v>4.7</v>
      </c>
      <c r="F98">
        <v>5.8</v>
      </c>
      <c r="G98">
        <f t="shared" si="13"/>
        <v>1522.7999999999997</v>
      </c>
      <c r="J98">
        <v>0</v>
      </c>
      <c r="K98">
        <f t="shared" si="14"/>
        <v>141.09999999999997</v>
      </c>
      <c r="L98">
        <v>0.6</v>
      </c>
      <c r="M98">
        <f t="shared" si="15"/>
        <v>207.49999999999997</v>
      </c>
      <c r="N98">
        <v>-0.6</v>
      </c>
      <c r="O98">
        <f t="shared" si="10"/>
        <v>34.6</v>
      </c>
      <c r="P98" s="5">
        <v>93</v>
      </c>
      <c r="Q98" s="6">
        <f t="shared" si="17"/>
        <v>0.88749999999999996</v>
      </c>
      <c r="R98" s="11">
        <f t="shared" si="11"/>
        <v>0.53249999999999997</v>
      </c>
      <c r="S98" s="11">
        <f t="shared" si="12"/>
        <v>-0.53249999999999997</v>
      </c>
      <c r="T98" s="14">
        <f t="shared" si="18"/>
        <v>50.875000000000007</v>
      </c>
      <c r="V98">
        <v>422.8</v>
      </c>
      <c r="X98">
        <f t="shared" si="16"/>
        <v>95475.199999999997</v>
      </c>
      <c r="AA98">
        <v>9.1435504943525494</v>
      </c>
    </row>
    <row r="99" spans="1:27" x14ac:dyDescent="0.25">
      <c r="A99" s="74"/>
      <c r="B99" s="8"/>
      <c r="C99" s="9">
        <v>41977</v>
      </c>
      <c r="D99">
        <v>6.1</v>
      </c>
      <c r="E99">
        <v>4.5999999999999996</v>
      </c>
      <c r="F99">
        <v>8.1999999999999993</v>
      </c>
      <c r="G99">
        <f t="shared" si="13"/>
        <v>1528.8999999999996</v>
      </c>
      <c r="J99">
        <v>0</v>
      </c>
      <c r="K99">
        <f t="shared" si="14"/>
        <v>141.09999999999997</v>
      </c>
      <c r="L99">
        <v>0.5</v>
      </c>
      <c r="M99">
        <f t="shared" si="15"/>
        <v>207.99999999999997</v>
      </c>
      <c r="N99">
        <v>-0.5</v>
      </c>
      <c r="O99">
        <f t="shared" si="10"/>
        <v>34.1</v>
      </c>
      <c r="P99" s="5">
        <v>94</v>
      </c>
      <c r="Q99" s="6">
        <f t="shared" si="17"/>
        <v>0.89375000000000004</v>
      </c>
      <c r="R99" s="11">
        <f t="shared" si="11"/>
        <v>0.44687500000000002</v>
      </c>
      <c r="S99" s="11">
        <f t="shared" si="12"/>
        <v>-0.44687500000000002</v>
      </c>
      <c r="T99" s="14">
        <f t="shared" si="18"/>
        <v>50.428125000000009</v>
      </c>
      <c r="V99">
        <v>329.7</v>
      </c>
      <c r="X99">
        <f t="shared" si="16"/>
        <v>95804.9</v>
      </c>
      <c r="AA99">
        <v>9.1207240466944004</v>
      </c>
    </row>
    <row r="100" spans="1:27" x14ac:dyDescent="0.25">
      <c r="A100" s="74"/>
      <c r="B100" s="8"/>
      <c r="C100" s="9">
        <v>41978</v>
      </c>
      <c r="D100">
        <v>6.1</v>
      </c>
      <c r="E100">
        <v>2</v>
      </c>
      <c r="F100">
        <v>8.6</v>
      </c>
      <c r="G100">
        <f t="shared" si="13"/>
        <v>1534.9999999999995</v>
      </c>
      <c r="J100">
        <v>1.9</v>
      </c>
      <c r="K100">
        <f t="shared" si="14"/>
        <v>142.99999999999997</v>
      </c>
      <c r="L100">
        <v>0.4</v>
      </c>
      <c r="M100">
        <f t="shared" si="15"/>
        <v>208.39999999999998</v>
      </c>
      <c r="N100">
        <v>1.5</v>
      </c>
      <c r="O100">
        <f t="shared" si="10"/>
        <v>35.6</v>
      </c>
      <c r="P100" s="5">
        <v>95</v>
      </c>
      <c r="Q100" s="6">
        <f t="shared" si="17"/>
        <v>0.9</v>
      </c>
      <c r="R100" s="11">
        <f t="shared" si="11"/>
        <v>0.36000000000000004</v>
      </c>
      <c r="S100" s="11">
        <f t="shared" si="12"/>
        <v>1.5399999999999998</v>
      </c>
      <c r="T100" s="14">
        <f t="shared" si="18"/>
        <v>51.968125000000008</v>
      </c>
      <c r="V100">
        <v>391.8</v>
      </c>
      <c r="X100">
        <f t="shared" si="16"/>
        <v>96196.7</v>
      </c>
      <c r="AA100">
        <v>9.0989597682599204</v>
      </c>
    </row>
    <row r="101" spans="1:27" x14ac:dyDescent="0.25">
      <c r="A101" s="74"/>
      <c r="B101" s="8"/>
      <c r="C101" s="9">
        <v>41979</v>
      </c>
      <c r="D101">
        <v>5.5</v>
      </c>
      <c r="E101">
        <v>4.5999999999999996</v>
      </c>
      <c r="F101">
        <v>6</v>
      </c>
      <c r="G101">
        <f t="shared" si="13"/>
        <v>1540.4999999999995</v>
      </c>
      <c r="J101">
        <v>3</v>
      </c>
      <c r="K101">
        <f t="shared" si="14"/>
        <v>145.99999999999997</v>
      </c>
      <c r="L101">
        <v>0.5</v>
      </c>
      <c r="M101">
        <f t="shared" si="15"/>
        <v>208.89999999999998</v>
      </c>
      <c r="N101">
        <v>2.5</v>
      </c>
      <c r="O101">
        <f t="shared" si="10"/>
        <v>38.1</v>
      </c>
      <c r="P101" s="5">
        <v>96</v>
      </c>
      <c r="Q101" s="6">
        <f t="shared" si="17"/>
        <v>0.90625</v>
      </c>
      <c r="R101" s="11">
        <f t="shared" si="11"/>
        <v>0.453125</v>
      </c>
      <c r="S101" s="11">
        <f t="shared" si="12"/>
        <v>2.546875</v>
      </c>
      <c r="T101" s="14">
        <f t="shared" si="18"/>
        <v>54.515000000000008</v>
      </c>
      <c r="V101">
        <v>134.69999999999999</v>
      </c>
      <c r="X101">
        <f t="shared" si="16"/>
        <v>96331.4</v>
      </c>
      <c r="AA101">
        <v>9.0782784867684505</v>
      </c>
    </row>
    <row r="102" spans="1:27" x14ac:dyDescent="0.25">
      <c r="A102" s="74"/>
      <c r="B102" s="8"/>
      <c r="C102" s="9">
        <v>41980</v>
      </c>
      <c r="D102">
        <v>6.6</v>
      </c>
      <c r="E102">
        <v>4.4000000000000004</v>
      </c>
      <c r="F102">
        <v>10.6</v>
      </c>
      <c r="G102">
        <f t="shared" si="13"/>
        <v>1547.0999999999995</v>
      </c>
      <c r="J102">
        <v>0.4</v>
      </c>
      <c r="K102">
        <f t="shared" si="14"/>
        <v>146.39999999999998</v>
      </c>
      <c r="L102">
        <v>1.6</v>
      </c>
      <c r="M102">
        <f t="shared" si="15"/>
        <v>210.49999999999997</v>
      </c>
      <c r="N102">
        <v>-1.2000000000000002</v>
      </c>
      <c r="O102">
        <f t="shared" si="10"/>
        <v>36.9</v>
      </c>
      <c r="P102" s="5">
        <v>97</v>
      </c>
      <c r="Q102" s="6">
        <f t="shared" si="17"/>
        <v>0.91249999999999998</v>
      </c>
      <c r="R102" s="11">
        <f t="shared" si="11"/>
        <v>1.46</v>
      </c>
      <c r="S102" s="11">
        <f t="shared" si="12"/>
        <v>-1.06</v>
      </c>
      <c r="T102" s="14">
        <f t="shared" si="18"/>
        <v>53.455000000000005</v>
      </c>
      <c r="V102">
        <v>703.5</v>
      </c>
      <c r="X102">
        <f t="shared" si="16"/>
        <v>97034.9</v>
      </c>
      <c r="AA102">
        <v>9.0587003410666203</v>
      </c>
    </row>
    <row r="103" spans="1:27" x14ac:dyDescent="0.25">
      <c r="A103" s="74"/>
      <c r="B103" s="8"/>
      <c r="C103" s="9">
        <v>41981</v>
      </c>
      <c r="D103">
        <v>9.8000000000000007</v>
      </c>
      <c r="E103">
        <v>7.4</v>
      </c>
      <c r="F103">
        <v>12.5</v>
      </c>
      <c r="G103">
        <f t="shared" si="13"/>
        <v>1556.8999999999994</v>
      </c>
      <c r="J103">
        <v>2.6</v>
      </c>
      <c r="K103">
        <f t="shared" si="14"/>
        <v>148.99999999999997</v>
      </c>
      <c r="L103">
        <v>1.2</v>
      </c>
      <c r="M103">
        <f t="shared" si="15"/>
        <v>211.69999999999996</v>
      </c>
      <c r="N103">
        <v>1.4000000000000001</v>
      </c>
      <c r="O103">
        <f t="shared" si="10"/>
        <v>38.299999999999997</v>
      </c>
      <c r="P103" s="5">
        <v>98</v>
      </c>
      <c r="Q103" s="6">
        <f t="shared" si="17"/>
        <v>0.91874999999999996</v>
      </c>
      <c r="R103" s="11">
        <f t="shared" si="11"/>
        <v>1.1024999999999998</v>
      </c>
      <c r="S103" s="11">
        <f t="shared" si="12"/>
        <v>1.4975000000000003</v>
      </c>
      <c r="T103" s="14">
        <f t="shared" si="18"/>
        <v>54.952500000000008</v>
      </c>
      <c r="V103">
        <v>492</v>
      </c>
      <c r="X103">
        <f t="shared" si="16"/>
        <v>97526.9</v>
      </c>
      <c r="AA103">
        <v>9.0402447166284698</v>
      </c>
    </row>
    <row r="104" spans="1:27" x14ac:dyDescent="0.25">
      <c r="A104" s="74"/>
      <c r="B104" s="8"/>
      <c r="C104" s="9">
        <v>41982</v>
      </c>
      <c r="D104">
        <v>4.5</v>
      </c>
      <c r="E104">
        <v>2.7</v>
      </c>
      <c r="F104">
        <v>7.1</v>
      </c>
      <c r="G104">
        <f t="shared" si="13"/>
        <v>1561.3999999999994</v>
      </c>
      <c r="J104">
        <v>0</v>
      </c>
      <c r="K104">
        <f t="shared" si="14"/>
        <v>148.99999999999997</v>
      </c>
      <c r="L104">
        <v>0.9</v>
      </c>
      <c r="M104">
        <f t="shared" si="15"/>
        <v>212.59999999999997</v>
      </c>
      <c r="N104">
        <v>-0.9</v>
      </c>
      <c r="O104">
        <f t="shared" si="10"/>
        <v>37.4</v>
      </c>
      <c r="P104" s="5">
        <v>99</v>
      </c>
      <c r="Q104" s="6">
        <f t="shared" si="17"/>
        <v>0.92499999999999993</v>
      </c>
      <c r="R104" s="11">
        <f t="shared" si="11"/>
        <v>0.83249999999999991</v>
      </c>
      <c r="S104" s="11">
        <f t="shared" si="12"/>
        <v>-0.83249999999999991</v>
      </c>
      <c r="T104" s="14">
        <f t="shared" si="18"/>
        <v>54.120000000000005</v>
      </c>
      <c r="V104">
        <v>624.6</v>
      </c>
      <c r="X104">
        <f t="shared" si="16"/>
        <v>98151.5</v>
      </c>
      <c r="AA104">
        <v>9.0229301819317502</v>
      </c>
    </row>
    <row r="105" spans="1:27" x14ac:dyDescent="0.25">
      <c r="A105" s="74"/>
      <c r="B105" s="8"/>
      <c r="C105" s="9">
        <v>41983</v>
      </c>
      <c r="D105">
        <v>8</v>
      </c>
      <c r="E105">
        <v>1.8</v>
      </c>
      <c r="F105">
        <v>12.4</v>
      </c>
      <c r="G105">
        <f t="shared" si="13"/>
        <v>1569.3999999999994</v>
      </c>
      <c r="J105">
        <v>3.3</v>
      </c>
      <c r="K105">
        <f t="shared" si="14"/>
        <v>152.29999999999998</v>
      </c>
      <c r="L105">
        <v>0.8</v>
      </c>
      <c r="M105">
        <f t="shared" si="15"/>
        <v>213.39999999999998</v>
      </c>
      <c r="N105">
        <v>2.5</v>
      </c>
      <c r="O105">
        <f t="shared" si="10"/>
        <v>39.9</v>
      </c>
      <c r="P105" s="5">
        <v>100</v>
      </c>
      <c r="Q105" s="6">
        <f t="shared" si="17"/>
        <v>0.93125000000000002</v>
      </c>
      <c r="R105" s="11">
        <f t="shared" si="11"/>
        <v>0.74500000000000011</v>
      </c>
      <c r="S105" s="11">
        <f t="shared" si="12"/>
        <v>2.5549999999999997</v>
      </c>
      <c r="T105" s="14">
        <f t="shared" si="18"/>
        <v>56.675000000000004</v>
      </c>
      <c r="V105">
        <v>539.79999999999995</v>
      </c>
      <c r="X105">
        <f t="shared" si="16"/>
        <v>98691.3</v>
      </c>
      <c r="AA105">
        <v>9.0067744261043305</v>
      </c>
    </row>
    <row r="106" spans="1:27" x14ac:dyDescent="0.25">
      <c r="A106" s="74"/>
      <c r="B106" s="8"/>
      <c r="C106" s="9">
        <v>41984</v>
      </c>
      <c r="D106">
        <v>9.6999999999999993</v>
      </c>
      <c r="E106">
        <v>10.199999999999999</v>
      </c>
      <c r="F106">
        <v>11.6</v>
      </c>
      <c r="G106">
        <f t="shared" si="13"/>
        <v>1579.0999999999995</v>
      </c>
      <c r="J106">
        <v>0.9</v>
      </c>
      <c r="K106">
        <f t="shared" si="14"/>
        <v>153.19999999999999</v>
      </c>
      <c r="L106">
        <v>1.3</v>
      </c>
      <c r="M106">
        <f t="shared" si="15"/>
        <v>214.7</v>
      </c>
      <c r="N106">
        <v>-0.4</v>
      </c>
      <c r="O106">
        <f t="shared" si="10"/>
        <v>39.5</v>
      </c>
      <c r="P106" s="5">
        <v>101</v>
      </c>
      <c r="Q106" s="6">
        <f t="shared" si="17"/>
        <v>0.9375</v>
      </c>
      <c r="R106" s="11">
        <f t="shared" si="11"/>
        <v>1.21875</v>
      </c>
      <c r="S106" s="11">
        <f t="shared" si="12"/>
        <v>-0.31874999999999998</v>
      </c>
      <c r="T106" s="14">
        <f t="shared" si="18"/>
        <v>56.356250000000003</v>
      </c>
      <c r="V106">
        <v>599.5</v>
      </c>
      <c r="X106">
        <f t="shared" si="16"/>
        <v>99290.8</v>
      </c>
      <c r="AA106" s="17">
        <v>8.9917941982407594</v>
      </c>
    </row>
    <row r="107" spans="1:27" x14ac:dyDescent="0.25">
      <c r="A107" s="74"/>
      <c r="B107" s="8"/>
      <c r="C107" s="9">
        <v>41985</v>
      </c>
      <c r="D107">
        <v>6.4</v>
      </c>
      <c r="E107">
        <v>-0.1</v>
      </c>
      <c r="F107">
        <v>10.6</v>
      </c>
      <c r="G107">
        <f t="shared" si="13"/>
        <v>1585.4999999999995</v>
      </c>
      <c r="J107">
        <v>0.2</v>
      </c>
      <c r="K107">
        <f t="shared" si="14"/>
        <v>153.39999999999998</v>
      </c>
      <c r="L107">
        <v>0.6</v>
      </c>
      <c r="M107">
        <f t="shared" si="15"/>
        <v>215.29999999999998</v>
      </c>
      <c r="N107">
        <v>-0.39999999999999997</v>
      </c>
      <c r="O107">
        <f t="shared" si="10"/>
        <v>39.1</v>
      </c>
      <c r="P107" s="5">
        <v>102</v>
      </c>
      <c r="Q107" s="6">
        <f t="shared" si="17"/>
        <v>0.94374999999999998</v>
      </c>
      <c r="R107" s="11">
        <f t="shared" si="11"/>
        <v>0.56624999999999992</v>
      </c>
      <c r="S107" s="11">
        <f t="shared" si="12"/>
        <v>-0.36624999999999991</v>
      </c>
      <c r="T107" s="14">
        <f t="shared" si="18"/>
        <v>55.99</v>
      </c>
      <c r="V107">
        <v>518.70000000000005</v>
      </c>
      <c r="X107">
        <f t="shared" si="16"/>
        <v>99809.5</v>
      </c>
      <c r="AA107" s="17">
        <v>8.9780052487909998</v>
      </c>
    </row>
    <row r="108" spans="1:27" x14ac:dyDescent="0.25">
      <c r="A108" s="74"/>
      <c r="B108" s="8"/>
      <c r="C108" s="9">
        <v>41986</v>
      </c>
      <c r="D108">
        <v>8.3000000000000007</v>
      </c>
      <c r="E108">
        <v>5.9</v>
      </c>
      <c r="F108">
        <v>12.3</v>
      </c>
      <c r="G108">
        <f t="shared" si="13"/>
        <v>1593.7999999999995</v>
      </c>
      <c r="J108">
        <v>0.2</v>
      </c>
      <c r="K108">
        <f t="shared" si="14"/>
        <v>153.59999999999997</v>
      </c>
      <c r="L108">
        <v>0.6</v>
      </c>
      <c r="M108">
        <f t="shared" si="15"/>
        <v>215.89999999999998</v>
      </c>
      <c r="N108">
        <v>-0.39999999999999997</v>
      </c>
      <c r="O108">
        <f t="shared" si="10"/>
        <v>38.700000000000003</v>
      </c>
      <c r="P108" s="5">
        <v>103</v>
      </c>
      <c r="Q108" s="6">
        <f t="shared" si="17"/>
        <v>0.95000000000000007</v>
      </c>
      <c r="R108" s="11">
        <f t="shared" si="11"/>
        <v>0.57000000000000006</v>
      </c>
      <c r="S108" s="11">
        <f t="shared" si="12"/>
        <v>-0.37000000000000005</v>
      </c>
      <c r="T108" s="14">
        <f t="shared" si="18"/>
        <v>55.620000000000005</v>
      </c>
      <c r="V108">
        <v>228.3</v>
      </c>
      <c r="X108">
        <f t="shared" si="16"/>
        <v>100037.8</v>
      </c>
      <c r="AA108" s="17">
        <v>8.9654222734210904</v>
      </c>
    </row>
    <row r="109" spans="1:27" x14ac:dyDescent="0.25">
      <c r="A109" s="74"/>
      <c r="B109" s="8"/>
      <c r="C109" s="9">
        <v>41987</v>
      </c>
      <c r="D109">
        <v>6.7</v>
      </c>
      <c r="E109">
        <v>3.7</v>
      </c>
      <c r="F109">
        <v>8.8000000000000007</v>
      </c>
      <c r="G109">
        <f t="shared" si="13"/>
        <v>1600.4999999999995</v>
      </c>
      <c r="J109">
        <v>0</v>
      </c>
      <c r="K109">
        <f t="shared" si="14"/>
        <v>153.59999999999997</v>
      </c>
      <c r="L109">
        <v>0.1</v>
      </c>
      <c r="M109">
        <f t="shared" si="15"/>
        <v>215.99999999999997</v>
      </c>
      <c r="N109">
        <v>-0.1</v>
      </c>
      <c r="O109">
        <f t="shared" si="10"/>
        <v>38.6</v>
      </c>
      <c r="P109" s="5">
        <v>104</v>
      </c>
      <c r="Q109" s="6">
        <f t="shared" si="17"/>
        <v>0.95625000000000004</v>
      </c>
      <c r="R109" s="11">
        <f t="shared" si="11"/>
        <v>9.5625000000000016E-2</v>
      </c>
      <c r="S109" s="11">
        <f t="shared" si="12"/>
        <v>-9.5625000000000016E-2</v>
      </c>
      <c r="T109" s="14">
        <f t="shared" si="18"/>
        <v>55.524375000000006</v>
      </c>
      <c r="V109">
        <v>67.599999999999994</v>
      </c>
      <c r="X109">
        <f t="shared" si="16"/>
        <v>100105.40000000001</v>
      </c>
      <c r="AA109" s="17">
        <v>8.9540588597394901</v>
      </c>
    </row>
    <row r="110" spans="1:27" x14ac:dyDescent="0.25">
      <c r="A110" s="74"/>
      <c r="B110" s="8"/>
      <c r="C110" s="9">
        <v>41988</v>
      </c>
      <c r="D110">
        <v>8.1</v>
      </c>
      <c r="E110">
        <v>7.7</v>
      </c>
      <c r="F110">
        <v>8.6999999999999993</v>
      </c>
      <c r="G110">
        <f t="shared" si="13"/>
        <v>1608.5999999999995</v>
      </c>
      <c r="J110">
        <v>0.1</v>
      </c>
      <c r="K110">
        <f t="shared" si="14"/>
        <v>153.69999999999996</v>
      </c>
      <c r="L110">
        <v>0.3</v>
      </c>
      <c r="M110">
        <f t="shared" si="15"/>
        <v>216.29999999999998</v>
      </c>
      <c r="N110">
        <v>-0.19999999999999998</v>
      </c>
      <c r="O110">
        <f t="shared" si="10"/>
        <v>38.4</v>
      </c>
      <c r="P110" s="5">
        <v>105</v>
      </c>
      <c r="Q110" s="6">
        <f t="shared" si="17"/>
        <v>0.96250000000000002</v>
      </c>
      <c r="R110" s="11">
        <f t="shared" si="11"/>
        <v>0.28875000000000001</v>
      </c>
      <c r="S110" s="11">
        <f t="shared" si="12"/>
        <v>-0.18875</v>
      </c>
      <c r="T110" s="14">
        <f t="shared" si="18"/>
        <v>55.335625000000007</v>
      </c>
      <c r="V110">
        <v>151.19999999999999</v>
      </c>
      <c r="X110">
        <f t="shared" si="16"/>
        <v>100256.6</v>
      </c>
      <c r="AA110" s="17">
        <v>8.9439274372714106</v>
      </c>
    </row>
    <row r="111" spans="1:27" x14ac:dyDescent="0.25">
      <c r="A111" s="74"/>
      <c r="B111" s="8"/>
      <c r="C111" s="9">
        <v>41989</v>
      </c>
      <c r="D111">
        <v>8.1</v>
      </c>
      <c r="E111">
        <v>4.9000000000000004</v>
      </c>
      <c r="F111">
        <v>9.9</v>
      </c>
      <c r="G111">
        <f t="shared" si="13"/>
        <v>1616.6999999999994</v>
      </c>
      <c r="J111">
        <v>0</v>
      </c>
      <c r="K111">
        <f t="shared" si="14"/>
        <v>153.69999999999996</v>
      </c>
      <c r="L111">
        <v>0.7</v>
      </c>
      <c r="M111">
        <f t="shared" si="15"/>
        <v>216.99999999999997</v>
      </c>
      <c r="N111">
        <v>-0.7</v>
      </c>
      <c r="O111">
        <f t="shared" si="10"/>
        <v>37.699999999999996</v>
      </c>
      <c r="P111" s="5">
        <v>106</v>
      </c>
      <c r="Q111" s="6">
        <f t="shared" si="17"/>
        <v>0.96875</v>
      </c>
      <c r="R111" s="11">
        <f t="shared" si="11"/>
        <v>0.67812499999999998</v>
      </c>
      <c r="S111" s="11">
        <f t="shared" si="12"/>
        <v>-0.67812499999999998</v>
      </c>
      <c r="T111" s="14">
        <f t="shared" si="18"/>
        <v>54.657500000000006</v>
      </c>
      <c r="V111">
        <v>421.1</v>
      </c>
      <c r="X111">
        <f t="shared" si="16"/>
        <v>100677.70000000001</v>
      </c>
      <c r="AA111" s="17">
        <v>8.9350392310487798</v>
      </c>
    </row>
    <row r="112" spans="1:27" x14ac:dyDescent="0.25">
      <c r="A112" s="74"/>
      <c r="B112" s="8"/>
      <c r="C112" s="9">
        <v>41990</v>
      </c>
      <c r="D112">
        <v>10.5</v>
      </c>
      <c r="E112">
        <v>8.9</v>
      </c>
      <c r="F112">
        <v>11.9</v>
      </c>
      <c r="G112">
        <f t="shared" si="13"/>
        <v>1627.1999999999994</v>
      </c>
      <c r="J112">
        <v>8</v>
      </c>
      <c r="K112">
        <f t="shared" si="14"/>
        <v>161.69999999999996</v>
      </c>
      <c r="L112">
        <v>0.7</v>
      </c>
      <c r="M112">
        <f t="shared" si="15"/>
        <v>217.69999999999996</v>
      </c>
      <c r="N112">
        <v>7.3</v>
      </c>
      <c r="O112">
        <f t="shared" si="10"/>
        <v>44.999999999999993</v>
      </c>
      <c r="P112" s="5">
        <v>107</v>
      </c>
      <c r="Q112" s="6">
        <f t="shared" si="17"/>
        <v>0.97499999999999998</v>
      </c>
      <c r="R112" s="11">
        <f t="shared" si="11"/>
        <v>0.6825</v>
      </c>
      <c r="S112" s="11">
        <f t="shared" si="12"/>
        <v>7.3174999999999999</v>
      </c>
      <c r="T112" s="14">
        <f t="shared" si="18"/>
        <v>61.975000000000009</v>
      </c>
      <c r="V112">
        <v>265</v>
      </c>
      <c r="X112">
        <f t="shared" si="16"/>
        <v>100942.70000000001</v>
      </c>
      <c r="AA112" s="17">
        <v>8.9274042191631295</v>
      </c>
    </row>
    <row r="113" spans="1:27" x14ac:dyDescent="0.25">
      <c r="A113" s="74"/>
      <c r="B113" s="8"/>
      <c r="C113" s="9">
        <v>41991</v>
      </c>
      <c r="D113">
        <v>12</v>
      </c>
      <c r="E113">
        <v>10.8</v>
      </c>
      <c r="F113">
        <v>13.2</v>
      </c>
      <c r="G113">
        <f t="shared" si="13"/>
        <v>1639.1999999999994</v>
      </c>
      <c r="J113">
        <v>0.8</v>
      </c>
      <c r="K113">
        <f t="shared" si="14"/>
        <v>162.49999999999997</v>
      </c>
      <c r="L113">
        <v>0.8</v>
      </c>
      <c r="M113">
        <f t="shared" si="15"/>
        <v>218.49999999999997</v>
      </c>
      <c r="N113">
        <v>0</v>
      </c>
      <c r="O113">
        <f t="shared" si="10"/>
        <v>44.999999999999993</v>
      </c>
      <c r="P113" s="5">
        <v>108</v>
      </c>
      <c r="Q113" s="6">
        <f t="shared" si="17"/>
        <v>0.98124999999999996</v>
      </c>
      <c r="R113" s="11">
        <f t="shared" si="11"/>
        <v>0.78500000000000003</v>
      </c>
      <c r="S113" s="11">
        <f t="shared" si="12"/>
        <v>1.5000000000000013E-2</v>
      </c>
      <c r="T113" s="14">
        <f t="shared" si="18"/>
        <v>61.990000000000009</v>
      </c>
      <c r="V113">
        <v>272.5</v>
      </c>
      <c r="X113">
        <f t="shared" si="16"/>
        <v>101215.20000000001</v>
      </c>
      <c r="AA113" s="17">
        <v>8.9210310946051994</v>
      </c>
    </row>
    <row r="114" spans="1:27" x14ac:dyDescent="0.25">
      <c r="A114" s="74"/>
      <c r="B114" s="8"/>
      <c r="C114" s="9">
        <v>41992</v>
      </c>
      <c r="D114">
        <v>11.3</v>
      </c>
      <c r="E114">
        <v>10.7</v>
      </c>
      <c r="F114">
        <v>12</v>
      </c>
      <c r="G114">
        <f t="shared" si="13"/>
        <v>1650.4999999999993</v>
      </c>
      <c r="J114">
        <v>0.4</v>
      </c>
      <c r="K114">
        <f t="shared" si="14"/>
        <v>162.89999999999998</v>
      </c>
      <c r="L114">
        <v>0.7</v>
      </c>
      <c r="M114">
        <f t="shared" si="15"/>
        <v>219.19999999999996</v>
      </c>
      <c r="N114">
        <v>-0.29999999999999993</v>
      </c>
      <c r="O114">
        <f t="shared" si="10"/>
        <v>44.699999999999996</v>
      </c>
      <c r="P114" s="5">
        <v>109</v>
      </c>
      <c r="Q114" s="6">
        <f t="shared" si="17"/>
        <v>0.98749999999999993</v>
      </c>
      <c r="R114" s="11">
        <f t="shared" si="11"/>
        <v>0.69124999999999992</v>
      </c>
      <c r="S114" s="11">
        <f t="shared" si="12"/>
        <v>-0.2912499999999999</v>
      </c>
      <c r="T114" s="14">
        <f t="shared" si="18"/>
        <v>61.698750000000011</v>
      </c>
      <c r="V114">
        <v>245.4</v>
      </c>
      <c r="X114">
        <f t="shared" si="16"/>
        <v>101460.6</v>
      </c>
      <c r="AA114" s="17">
        <v>8.9159272316865401</v>
      </c>
    </row>
    <row r="115" spans="1:27" x14ac:dyDescent="0.25">
      <c r="A115" s="74"/>
      <c r="B115" s="8"/>
      <c r="C115" s="9">
        <v>41993</v>
      </c>
      <c r="D115">
        <v>10.5</v>
      </c>
      <c r="E115">
        <v>10.7</v>
      </c>
      <c r="F115">
        <v>12</v>
      </c>
      <c r="G115">
        <f t="shared" si="13"/>
        <v>1660.9999999999993</v>
      </c>
      <c r="J115">
        <v>0.9</v>
      </c>
      <c r="K115">
        <f t="shared" si="14"/>
        <v>163.79999999999998</v>
      </c>
      <c r="L115">
        <v>1.3</v>
      </c>
      <c r="M115">
        <f t="shared" si="15"/>
        <v>220.49999999999997</v>
      </c>
      <c r="N115">
        <v>-0.4</v>
      </c>
      <c r="O115">
        <f t="shared" si="10"/>
        <v>44.3</v>
      </c>
      <c r="P115" s="5">
        <v>110</v>
      </c>
      <c r="Q115" s="6">
        <f t="shared" si="17"/>
        <v>0.99375000000000002</v>
      </c>
      <c r="R115" s="11">
        <f t="shared" si="11"/>
        <v>1.2918750000000001</v>
      </c>
      <c r="S115" s="11">
        <f t="shared" si="12"/>
        <v>-0.39187500000000008</v>
      </c>
      <c r="T115" s="14">
        <f t="shared" si="18"/>
        <v>61.306875000000012</v>
      </c>
      <c r="V115">
        <v>496.1</v>
      </c>
      <c r="X115">
        <f t="shared" si="16"/>
        <v>101956.70000000001</v>
      </c>
      <c r="AA115" s="17">
        <v>8.9120986573066894</v>
      </c>
    </row>
    <row r="116" spans="1:27" s="51" customFormat="1" ht="15.75" thickBot="1" x14ac:dyDescent="0.3">
      <c r="A116" s="74"/>
      <c r="B116" s="49"/>
      <c r="C116" s="50">
        <v>41994</v>
      </c>
      <c r="D116" s="51">
        <v>5.4</v>
      </c>
      <c r="E116" s="51">
        <v>3.1</v>
      </c>
      <c r="F116" s="51">
        <v>10.3</v>
      </c>
      <c r="G116" s="51">
        <f t="shared" si="13"/>
        <v>1666.3999999999994</v>
      </c>
      <c r="I116" s="52"/>
      <c r="J116" s="51">
        <v>0</v>
      </c>
      <c r="K116" s="51">
        <f t="shared" si="14"/>
        <v>163.79999999999998</v>
      </c>
      <c r="L116" s="51">
        <v>1.3</v>
      </c>
      <c r="M116" s="51">
        <f t="shared" si="15"/>
        <v>221.79999999999998</v>
      </c>
      <c r="N116" s="51">
        <v>-1.3</v>
      </c>
      <c r="O116" s="51">
        <f t="shared" si="10"/>
        <v>43</v>
      </c>
      <c r="P116" s="53">
        <v>111</v>
      </c>
      <c r="Q116" s="54">
        <f t="shared" si="17"/>
        <v>1</v>
      </c>
      <c r="R116" s="55">
        <f t="shared" si="11"/>
        <v>1.3</v>
      </c>
      <c r="S116" s="55">
        <f t="shared" si="12"/>
        <v>-1.3</v>
      </c>
      <c r="T116" s="56">
        <f t="shared" si="18"/>
        <v>60.006875000000015</v>
      </c>
      <c r="V116" s="51">
        <v>782.4</v>
      </c>
      <c r="W116" s="51">
        <f>(X116/100)/I19</f>
        <v>0.61653324531925113</v>
      </c>
      <c r="X116" s="51">
        <f t="shared" si="16"/>
        <v>102739.1</v>
      </c>
      <c r="Z116" s="52"/>
      <c r="AA116" s="57">
        <v>8.9095500272939407</v>
      </c>
    </row>
    <row r="117" spans="1:27" x14ac:dyDescent="0.25">
      <c r="A117" s="75" t="s">
        <v>34</v>
      </c>
      <c r="B117" s="18"/>
      <c r="C117" s="9">
        <v>41995</v>
      </c>
      <c r="D117">
        <v>1.3</v>
      </c>
      <c r="E117">
        <v>-1.7</v>
      </c>
      <c r="F117">
        <v>6</v>
      </c>
      <c r="G117">
        <f t="shared" si="13"/>
        <v>1667.6999999999994</v>
      </c>
      <c r="H117">
        <f>D117</f>
        <v>1.3</v>
      </c>
      <c r="I117" s="19" t="s">
        <v>41</v>
      </c>
      <c r="J117">
        <v>0.1</v>
      </c>
      <c r="K117">
        <f t="shared" si="14"/>
        <v>163.89999999999998</v>
      </c>
      <c r="L117">
        <v>1.1000000000000001</v>
      </c>
      <c r="M117">
        <f t="shared" si="15"/>
        <v>222.89999999999998</v>
      </c>
      <c r="N117">
        <v>-1</v>
      </c>
      <c r="O117">
        <f t="shared" si="10"/>
        <v>42</v>
      </c>
      <c r="P117" s="5">
        <v>112</v>
      </c>
      <c r="Q117" s="6">
        <v>1</v>
      </c>
      <c r="R117" s="11">
        <f t="shared" si="11"/>
        <v>1.1000000000000001</v>
      </c>
      <c r="S117" s="11">
        <f t="shared" si="12"/>
        <v>-1</v>
      </c>
      <c r="T117" s="14">
        <f t="shared" si="18"/>
        <v>59.006875000000015</v>
      </c>
      <c r="U117" s="19" t="s">
        <v>28</v>
      </c>
      <c r="V117">
        <v>509</v>
      </c>
      <c r="X117">
        <f t="shared" si="16"/>
        <v>103248.1</v>
      </c>
      <c r="Y117">
        <f>V117</f>
        <v>509</v>
      </c>
      <c r="Z117" s="19" t="s">
        <v>51</v>
      </c>
      <c r="AA117" s="17">
        <v>8.9082846080093994</v>
      </c>
    </row>
    <row r="118" spans="1:27" x14ac:dyDescent="0.25">
      <c r="A118" s="75"/>
      <c r="B118" s="18"/>
      <c r="C118" s="9">
        <v>41996</v>
      </c>
      <c r="D118">
        <v>2.9</v>
      </c>
      <c r="E118">
        <v>-2.5</v>
      </c>
      <c r="F118">
        <v>6.7</v>
      </c>
      <c r="G118">
        <f t="shared" si="13"/>
        <v>1670.5999999999995</v>
      </c>
      <c r="H118">
        <f>H117+D118</f>
        <v>4.2</v>
      </c>
      <c r="I118">
        <f>MIN(E117:E170)</f>
        <v>-4.8</v>
      </c>
      <c r="J118">
        <v>0.1</v>
      </c>
      <c r="K118">
        <f t="shared" si="14"/>
        <v>163.99999999999997</v>
      </c>
      <c r="L118">
        <v>0.7</v>
      </c>
      <c r="M118">
        <f t="shared" si="15"/>
        <v>223.59999999999997</v>
      </c>
      <c r="N118">
        <v>-0.6</v>
      </c>
      <c r="O118">
        <f t="shared" si="10"/>
        <v>41.4</v>
      </c>
      <c r="P118" s="5">
        <v>113</v>
      </c>
      <c r="Q118" s="6">
        <v>1</v>
      </c>
      <c r="R118" s="11">
        <f t="shared" si="11"/>
        <v>0.7</v>
      </c>
      <c r="S118" s="11">
        <f t="shared" si="12"/>
        <v>-0.6</v>
      </c>
      <c r="T118" s="14">
        <f t="shared" si="18"/>
        <v>58.406875000000014</v>
      </c>
      <c r="U118">
        <v>39</v>
      </c>
      <c r="V118">
        <v>424.1</v>
      </c>
      <c r="X118">
        <f t="shared" si="16"/>
        <v>103672.20000000001</v>
      </c>
      <c r="Y118">
        <f>Y117+V118</f>
        <v>933.1</v>
      </c>
      <c r="Z118">
        <v>31464.499999999996</v>
      </c>
      <c r="AA118" s="17">
        <v>8.90830426336281</v>
      </c>
    </row>
    <row r="119" spans="1:27" x14ac:dyDescent="0.25">
      <c r="A119" s="75"/>
      <c r="B119" s="18"/>
      <c r="C119" s="9">
        <v>41997</v>
      </c>
      <c r="D119">
        <v>1.9</v>
      </c>
      <c r="E119">
        <v>1.5</v>
      </c>
      <c r="F119">
        <v>2.6</v>
      </c>
      <c r="G119">
        <f t="shared" si="13"/>
        <v>1672.4999999999995</v>
      </c>
      <c r="H119">
        <f t="shared" ref="H119:H182" si="19">H118+D119</f>
        <v>6.1</v>
      </c>
      <c r="I119" s="19" t="s">
        <v>42</v>
      </c>
      <c r="J119">
        <v>0</v>
      </c>
      <c r="K119">
        <f t="shared" si="14"/>
        <v>163.99999999999997</v>
      </c>
      <c r="L119">
        <v>0.4</v>
      </c>
      <c r="M119">
        <f t="shared" si="15"/>
        <v>223.99999999999997</v>
      </c>
      <c r="N119">
        <v>-0.4</v>
      </c>
      <c r="O119">
        <f t="shared" si="10"/>
        <v>41</v>
      </c>
      <c r="P119" s="5">
        <v>114</v>
      </c>
      <c r="Q119" s="6">
        <v>1</v>
      </c>
      <c r="R119" s="11">
        <f t="shared" si="11"/>
        <v>0.4</v>
      </c>
      <c r="S119" s="11">
        <f t="shared" si="12"/>
        <v>-0.4</v>
      </c>
      <c r="T119" s="14">
        <f t="shared" si="18"/>
        <v>58.006875000000015</v>
      </c>
      <c r="U119" s="19" t="s">
        <v>48</v>
      </c>
      <c r="V119">
        <v>241.2</v>
      </c>
      <c r="X119">
        <f t="shared" si="16"/>
        <v>103913.40000000001</v>
      </c>
      <c r="Y119">
        <f t="shared" ref="Y119:Y182" si="20">Y118+V119</f>
        <v>1174.3</v>
      </c>
      <c r="Z119" s="19" t="s">
        <v>29</v>
      </c>
      <c r="AA119" s="17">
        <v>8.9096094473457796</v>
      </c>
    </row>
    <row r="120" spans="1:27" x14ac:dyDescent="0.25">
      <c r="A120" s="75"/>
      <c r="B120" s="8"/>
      <c r="C120" s="9">
        <v>41998</v>
      </c>
      <c r="D120">
        <v>7.7</v>
      </c>
      <c r="E120">
        <v>1.5</v>
      </c>
      <c r="F120">
        <v>14.3</v>
      </c>
      <c r="G120">
        <f t="shared" si="13"/>
        <v>1680.1999999999996</v>
      </c>
      <c r="H120">
        <f t="shared" si="19"/>
        <v>13.8</v>
      </c>
      <c r="I120">
        <f>MAX(F117:F170)</f>
        <v>15.7</v>
      </c>
      <c r="J120">
        <v>0</v>
      </c>
      <c r="K120">
        <f t="shared" si="14"/>
        <v>163.99999999999997</v>
      </c>
      <c r="L120">
        <v>1.1000000000000001</v>
      </c>
      <c r="M120">
        <f t="shared" si="15"/>
        <v>225.09999999999997</v>
      </c>
      <c r="N120">
        <v>-1.1000000000000001</v>
      </c>
      <c r="O120">
        <f t="shared" si="10"/>
        <v>39.9</v>
      </c>
      <c r="P120" s="5">
        <v>115</v>
      </c>
      <c r="Q120" s="6">
        <v>1</v>
      </c>
      <c r="R120" s="11">
        <f t="shared" si="11"/>
        <v>1.1000000000000001</v>
      </c>
      <c r="S120" s="11">
        <f t="shared" si="12"/>
        <v>-1.1000000000000001</v>
      </c>
      <c r="T120" s="14">
        <f t="shared" si="18"/>
        <v>56.906875000000014</v>
      </c>
      <c r="U120">
        <v>0</v>
      </c>
      <c r="V120">
        <v>593.79999999999995</v>
      </c>
      <c r="X120">
        <f t="shared" si="16"/>
        <v>104507.20000000001</v>
      </c>
      <c r="Y120">
        <f t="shared" si="20"/>
        <v>1768.1</v>
      </c>
      <c r="Z120" s="15">
        <f>(Z118/100)/I130</f>
        <v>1.1846573795180722</v>
      </c>
      <c r="AA120" s="17">
        <v>8.9121992021433307</v>
      </c>
    </row>
    <row r="121" spans="1:27" x14ac:dyDescent="0.25">
      <c r="A121" s="75"/>
      <c r="B121" s="8"/>
      <c r="C121" s="9">
        <v>41999</v>
      </c>
      <c r="D121">
        <v>8.9</v>
      </c>
      <c r="E121">
        <v>7</v>
      </c>
      <c r="F121">
        <v>11.4</v>
      </c>
      <c r="G121">
        <f t="shared" si="13"/>
        <v>1689.0999999999997</v>
      </c>
      <c r="H121">
        <f t="shared" si="19"/>
        <v>22.700000000000003</v>
      </c>
      <c r="I121" s="19" t="s">
        <v>43</v>
      </c>
      <c r="J121">
        <v>1.4</v>
      </c>
      <c r="K121">
        <f t="shared" si="14"/>
        <v>165.39999999999998</v>
      </c>
      <c r="L121">
        <v>1.1000000000000001</v>
      </c>
      <c r="M121">
        <f t="shared" si="15"/>
        <v>226.19999999999996</v>
      </c>
      <c r="N121">
        <v>0.29999999999999982</v>
      </c>
      <c r="O121">
        <f t="shared" si="10"/>
        <v>40.199999999999996</v>
      </c>
      <c r="P121" s="5">
        <v>116</v>
      </c>
      <c r="Q121" s="6">
        <v>1</v>
      </c>
      <c r="R121" s="11">
        <f t="shared" si="11"/>
        <v>1.1000000000000001</v>
      </c>
      <c r="S121" s="11">
        <f t="shared" si="12"/>
        <v>0.29999999999999982</v>
      </c>
      <c r="T121" s="14">
        <f t="shared" si="18"/>
        <v>57.206875000000011</v>
      </c>
      <c r="U121" s="19" t="s">
        <v>49</v>
      </c>
      <c r="V121">
        <v>575.6</v>
      </c>
      <c r="X121">
        <f t="shared" si="16"/>
        <v>105082.80000000002</v>
      </c>
      <c r="Y121">
        <f t="shared" si="20"/>
        <v>2343.6999999999998</v>
      </c>
      <c r="Z121" s="19" t="s">
        <v>52</v>
      </c>
      <c r="AA121" s="17">
        <v>8.9160711618395396</v>
      </c>
    </row>
    <row r="122" spans="1:27" x14ac:dyDescent="0.25">
      <c r="A122" s="75"/>
      <c r="B122" s="8"/>
      <c r="C122" s="9">
        <v>42000</v>
      </c>
      <c r="D122">
        <v>8.8000000000000007</v>
      </c>
      <c r="E122">
        <v>7.1</v>
      </c>
      <c r="F122">
        <v>10.5</v>
      </c>
      <c r="G122">
        <f t="shared" si="13"/>
        <v>1697.8999999999996</v>
      </c>
      <c r="H122">
        <f t="shared" si="19"/>
        <v>31.500000000000004</v>
      </c>
      <c r="I122" s="16">
        <f>AVERAGE(D117:D170)</f>
        <v>4.8759259259259249</v>
      </c>
      <c r="J122">
        <v>16.8</v>
      </c>
      <c r="K122">
        <f t="shared" si="14"/>
        <v>182.2</v>
      </c>
      <c r="L122">
        <v>0.7</v>
      </c>
      <c r="M122">
        <f t="shared" si="15"/>
        <v>226.89999999999995</v>
      </c>
      <c r="N122">
        <v>16.100000000000001</v>
      </c>
      <c r="O122">
        <f t="shared" si="10"/>
        <v>56.3</v>
      </c>
      <c r="P122" s="5">
        <v>117</v>
      </c>
      <c r="Q122" s="6">
        <v>1</v>
      </c>
      <c r="R122" s="11">
        <f t="shared" si="11"/>
        <v>0.7</v>
      </c>
      <c r="S122" s="11">
        <f t="shared" si="12"/>
        <v>16.100000000000001</v>
      </c>
      <c r="T122" s="14">
        <f t="shared" si="18"/>
        <v>73.306875000000019</v>
      </c>
      <c r="U122">
        <v>0</v>
      </c>
      <c r="V122">
        <v>137.69999999999999</v>
      </c>
      <c r="X122">
        <f t="shared" si="16"/>
        <v>105220.50000000001</v>
      </c>
      <c r="Y122">
        <f t="shared" si="20"/>
        <v>2481.3999999999996</v>
      </c>
      <c r="Z122">
        <v>47</v>
      </c>
      <c r="AA122" s="17">
        <v>8.9212215616872008</v>
      </c>
    </row>
    <row r="123" spans="1:27" x14ac:dyDescent="0.25">
      <c r="A123" s="75"/>
      <c r="B123" s="18"/>
      <c r="C123" s="9">
        <v>42001</v>
      </c>
      <c r="D123">
        <v>4.3</v>
      </c>
      <c r="E123">
        <v>2.7</v>
      </c>
      <c r="F123">
        <v>5.4</v>
      </c>
      <c r="G123">
        <f t="shared" si="13"/>
        <v>1702.1999999999996</v>
      </c>
      <c r="H123">
        <f t="shared" si="19"/>
        <v>35.800000000000004</v>
      </c>
      <c r="I123" s="19" t="s">
        <v>44</v>
      </c>
      <c r="J123">
        <v>0</v>
      </c>
      <c r="K123">
        <f t="shared" si="14"/>
        <v>182.2</v>
      </c>
      <c r="L123">
        <v>1</v>
      </c>
      <c r="M123">
        <f t="shared" si="15"/>
        <v>227.89999999999995</v>
      </c>
      <c r="N123">
        <v>-1</v>
      </c>
      <c r="O123">
        <f t="shared" si="10"/>
        <v>55.3</v>
      </c>
      <c r="P123" s="5">
        <v>118</v>
      </c>
      <c r="Q123" s="6">
        <v>1</v>
      </c>
      <c r="R123" s="11">
        <f t="shared" si="11"/>
        <v>1</v>
      </c>
      <c r="S123" s="11">
        <f t="shared" si="12"/>
        <v>-1</v>
      </c>
      <c r="T123" s="14">
        <f t="shared" si="18"/>
        <v>72.306875000000019</v>
      </c>
      <c r="U123" s="19" t="s">
        <v>30</v>
      </c>
      <c r="V123">
        <v>702.1</v>
      </c>
      <c r="X123">
        <f t="shared" si="16"/>
        <v>105922.60000000002</v>
      </c>
      <c r="Y123">
        <f t="shared" si="20"/>
        <v>3183.4999999999995</v>
      </c>
      <c r="AA123" s="17">
        <v>8.9276452528666006</v>
      </c>
    </row>
    <row r="124" spans="1:27" x14ac:dyDescent="0.25">
      <c r="A124" s="75"/>
      <c r="B124" s="18"/>
      <c r="C124" s="9">
        <v>42002</v>
      </c>
      <c r="D124">
        <v>0.2</v>
      </c>
      <c r="E124">
        <v>-1.8</v>
      </c>
      <c r="F124">
        <v>1</v>
      </c>
      <c r="G124">
        <f t="shared" si="13"/>
        <v>1702.3999999999996</v>
      </c>
      <c r="H124">
        <f t="shared" si="19"/>
        <v>36.000000000000007</v>
      </c>
      <c r="I124">
        <v>19</v>
      </c>
      <c r="J124">
        <v>0</v>
      </c>
      <c r="K124">
        <f t="shared" si="14"/>
        <v>182.2</v>
      </c>
      <c r="L124">
        <v>0.8</v>
      </c>
      <c r="M124">
        <f t="shared" si="15"/>
        <v>228.69999999999996</v>
      </c>
      <c r="N124">
        <v>-0.8</v>
      </c>
      <c r="O124">
        <f t="shared" si="10"/>
        <v>54.5</v>
      </c>
      <c r="P124" s="5">
        <v>119</v>
      </c>
      <c r="Q124" s="6">
        <v>1</v>
      </c>
      <c r="R124" s="11">
        <f t="shared" si="11"/>
        <v>0.8</v>
      </c>
      <c r="S124" s="11">
        <f t="shared" si="12"/>
        <v>-0.8</v>
      </c>
      <c r="T124" s="14">
        <f t="shared" si="18"/>
        <v>71.506875000000022</v>
      </c>
      <c r="U124" s="16">
        <f>MIN(T117:T170)</f>
        <v>56.906875000000014</v>
      </c>
      <c r="V124">
        <v>835.2</v>
      </c>
      <c r="X124">
        <f t="shared" si="16"/>
        <v>106757.80000000002</v>
      </c>
      <c r="Y124">
        <f t="shared" si="20"/>
        <v>4018.7</v>
      </c>
      <c r="AA124" s="17">
        <v>8.9353357226140204</v>
      </c>
    </row>
    <row r="125" spans="1:27" x14ac:dyDescent="0.25">
      <c r="A125" s="75"/>
      <c r="B125" s="18"/>
      <c r="C125" s="9">
        <v>42003</v>
      </c>
      <c r="D125">
        <v>1.4</v>
      </c>
      <c r="E125">
        <v>-0.1</v>
      </c>
      <c r="F125">
        <v>4.5</v>
      </c>
      <c r="G125">
        <f t="shared" si="13"/>
        <v>1703.7999999999997</v>
      </c>
      <c r="H125">
        <f t="shared" si="19"/>
        <v>37.400000000000006</v>
      </c>
      <c r="I125" s="19" t="s">
        <v>45</v>
      </c>
      <c r="J125">
        <v>0</v>
      </c>
      <c r="K125">
        <f t="shared" si="14"/>
        <v>182.2</v>
      </c>
      <c r="L125">
        <v>0.9</v>
      </c>
      <c r="M125">
        <f t="shared" si="15"/>
        <v>229.59999999999997</v>
      </c>
      <c r="N125">
        <v>-0.9</v>
      </c>
      <c r="O125">
        <f t="shared" si="10"/>
        <v>53.6</v>
      </c>
      <c r="P125" s="5">
        <v>120</v>
      </c>
      <c r="Q125" s="6">
        <v>1</v>
      </c>
      <c r="R125" s="11">
        <f t="shared" si="11"/>
        <v>0.9</v>
      </c>
      <c r="S125" s="11">
        <f t="shared" si="12"/>
        <v>-0.9</v>
      </c>
      <c r="T125" s="14">
        <f t="shared" si="18"/>
        <v>70.606875000000016</v>
      </c>
      <c r="U125" s="19" t="s">
        <v>31</v>
      </c>
      <c r="V125">
        <v>735.3</v>
      </c>
      <c r="X125">
        <f t="shared" si="16"/>
        <v>107493.10000000002</v>
      </c>
      <c r="Y125">
        <f t="shared" si="20"/>
        <v>4754</v>
      </c>
      <c r="AA125" s="17">
        <v>8.9442851195584403</v>
      </c>
    </row>
    <row r="126" spans="1:27" x14ac:dyDescent="0.25">
      <c r="A126" s="75"/>
      <c r="B126" s="18"/>
      <c r="C126" s="9">
        <v>42004</v>
      </c>
      <c r="D126">
        <v>0.7</v>
      </c>
      <c r="E126">
        <v>-2</v>
      </c>
      <c r="F126">
        <v>3.8</v>
      </c>
      <c r="G126">
        <f t="shared" si="13"/>
        <v>1704.4999999999998</v>
      </c>
      <c r="H126">
        <f t="shared" si="19"/>
        <v>38.100000000000009</v>
      </c>
      <c r="I126">
        <v>0</v>
      </c>
      <c r="J126">
        <v>0</v>
      </c>
      <c r="K126">
        <f t="shared" si="14"/>
        <v>182.2</v>
      </c>
      <c r="L126">
        <v>0.8</v>
      </c>
      <c r="M126">
        <f t="shared" si="15"/>
        <v>230.39999999999998</v>
      </c>
      <c r="N126">
        <v>-0.8</v>
      </c>
      <c r="O126">
        <f t="shared" si="10"/>
        <v>52.800000000000004</v>
      </c>
      <c r="P126" s="5">
        <v>121</v>
      </c>
      <c r="Q126" s="6">
        <v>1</v>
      </c>
      <c r="R126" s="11">
        <f t="shared" si="11"/>
        <v>0.8</v>
      </c>
      <c r="S126" s="11">
        <f t="shared" si="12"/>
        <v>-0.8</v>
      </c>
      <c r="T126" s="14">
        <f t="shared" si="18"/>
        <v>69.806875000000019</v>
      </c>
      <c r="U126" s="16">
        <f>MAX(T117:T170)</f>
        <v>86.90687500000007</v>
      </c>
      <c r="V126">
        <v>729.9</v>
      </c>
      <c r="X126">
        <f t="shared" si="16"/>
        <v>108223.00000000001</v>
      </c>
      <c r="Y126">
        <f t="shared" si="20"/>
        <v>5483.9</v>
      </c>
      <c r="AA126" s="17">
        <v>8.95448428406422</v>
      </c>
    </row>
    <row r="127" spans="1:27" x14ac:dyDescent="0.25">
      <c r="A127" s="75"/>
      <c r="B127" s="18"/>
      <c r="C127" s="9">
        <v>42005</v>
      </c>
      <c r="D127">
        <v>-1.6</v>
      </c>
      <c r="E127">
        <v>-4.8</v>
      </c>
      <c r="F127">
        <v>0.5</v>
      </c>
      <c r="G127">
        <v>1704.5</v>
      </c>
      <c r="H127">
        <v>38.1</v>
      </c>
      <c r="I127" s="19" t="s">
        <v>46</v>
      </c>
      <c r="J127">
        <v>0</v>
      </c>
      <c r="K127">
        <f t="shared" si="14"/>
        <v>182.2</v>
      </c>
      <c r="L127">
        <v>0.4</v>
      </c>
      <c r="M127">
        <f t="shared" si="15"/>
        <v>230.79999999999998</v>
      </c>
      <c r="N127">
        <v>-0.4</v>
      </c>
      <c r="O127">
        <f t="shared" si="10"/>
        <v>52.400000000000006</v>
      </c>
      <c r="P127" s="5">
        <v>122</v>
      </c>
      <c r="Q127" s="6">
        <v>1</v>
      </c>
      <c r="R127" s="11">
        <f t="shared" si="11"/>
        <v>0.4</v>
      </c>
      <c r="S127" s="11">
        <f t="shared" si="12"/>
        <v>-0.4</v>
      </c>
      <c r="T127" s="14">
        <f t="shared" si="18"/>
        <v>69.406875000000014</v>
      </c>
      <c r="U127" s="19" t="s">
        <v>32</v>
      </c>
      <c r="V127">
        <v>358</v>
      </c>
      <c r="X127">
        <f t="shared" si="16"/>
        <v>108581.00000000001</v>
      </c>
      <c r="Y127">
        <f t="shared" si="20"/>
        <v>5841.9</v>
      </c>
      <c r="AA127" s="17">
        <v>8.9696125694491506</v>
      </c>
    </row>
    <row r="128" spans="1:27" x14ac:dyDescent="0.25">
      <c r="A128" s="75"/>
      <c r="B128" s="18"/>
      <c r="C128" s="9">
        <v>42006</v>
      </c>
      <c r="D128">
        <v>-0.6</v>
      </c>
      <c r="E128">
        <v>-2.5</v>
      </c>
      <c r="F128">
        <v>2.2999999999999998</v>
      </c>
      <c r="G128">
        <v>1704.5</v>
      </c>
      <c r="H128">
        <v>38.1</v>
      </c>
      <c r="I128">
        <v>23</v>
      </c>
      <c r="J128">
        <v>0</v>
      </c>
      <c r="K128">
        <f t="shared" si="14"/>
        <v>182.2</v>
      </c>
      <c r="L128">
        <v>0.6</v>
      </c>
      <c r="M128">
        <f t="shared" si="15"/>
        <v>231.39999999999998</v>
      </c>
      <c r="N128">
        <v>-0.6</v>
      </c>
      <c r="O128">
        <f t="shared" si="10"/>
        <v>51.800000000000004</v>
      </c>
      <c r="P128" s="5">
        <v>123</v>
      </c>
      <c r="Q128" s="6">
        <v>1</v>
      </c>
      <c r="R128" s="11">
        <f t="shared" si="11"/>
        <v>0.6</v>
      </c>
      <c r="S128" s="11">
        <f t="shared" si="12"/>
        <v>-0.6</v>
      </c>
      <c r="T128" s="14">
        <f t="shared" si="18"/>
        <v>68.806875000000019</v>
      </c>
      <c r="U128" s="15">
        <f>AVERAGE(T117:T170)</f>
        <v>72.284652777777808</v>
      </c>
      <c r="V128">
        <v>242.8</v>
      </c>
      <c r="X128">
        <f t="shared" si="16"/>
        <v>108823.80000000002</v>
      </c>
      <c r="Y128">
        <f t="shared" si="20"/>
        <v>6084.7</v>
      </c>
      <c r="AA128" s="17">
        <v>8.98264637504559</v>
      </c>
    </row>
    <row r="129" spans="1:27" x14ac:dyDescent="0.25">
      <c r="A129" s="75"/>
      <c r="B129" s="8"/>
      <c r="C129" s="9">
        <v>42007</v>
      </c>
      <c r="D129">
        <v>6.8</v>
      </c>
      <c r="E129">
        <v>0.9</v>
      </c>
      <c r="F129">
        <v>10.8</v>
      </c>
      <c r="G129">
        <f t="shared" si="13"/>
        <v>1711.3</v>
      </c>
      <c r="H129">
        <f t="shared" si="19"/>
        <v>44.9</v>
      </c>
      <c r="I129" s="19" t="s">
        <v>47</v>
      </c>
      <c r="J129">
        <v>1.1000000000000001</v>
      </c>
      <c r="K129">
        <f t="shared" si="14"/>
        <v>183.29999999999998</v>
      </c>
      <c r="L129">
        <v>0.6</v>
      </c>
      <c r="M129">
        <f t="shared" si="15"/>
        <v>231.99999999999997</v>
      </c>
      <c r="N129">
        <v>0.50000000000000011</v>
      </c>
      <c r="O129">
        <f t="shared" si="10"/>
        <v>52.300000000000004</v>
      </c>
      <c r="P129" s="5">
        <v>124</v>
      </c>
      <c r="Q129" s="6">
        <v>1</v>
      </c>
      <c r="R129" s="11">
        <f t="shared" si="11"/>
        <v>0.6</v>
      </c>
      <c r="S129" s="11">
        <f t="shared" si="12"/>
        <v>0.50000000000000011</v>
      </c>
      <c r="T129" s="14">
        <f t="shared" si="18"/>
        <v>69.306875000000019</v>
      </c>
      <c r="U129" s="19" t="s">
        <v>53</v>
      </c>
      <c r="V129">
        <v>378.6</v>
      </c>
      <c r="X129">
        <f t="shared" si="16"/>
        <v>109202.40000000002</v>
      </c>
      <c r="Y129">
        <f t="shared" si="20"/>
        <v>6463.3</v>
      </c>
      <c r="AA129" s="17">
        <v>8.9968908908804792</v>
      </c>
    </row>
    <row r="130" spans="1:27" x14ac:dyDescent="0.25">
      <c r="A130" s="75"/>
      <c r="B130" s="8"/>
      <c r="C130" s="9">
        <v>42008</v>
      </c>
      <c r="D130">
        <v>10.199999999999999</v>
      </c>
      <c r="E130">
        <v>10.1</v>
      </c>
      <c r="F130">
        <v>12.9</v>
      </c>
      <c r="G130">
        <f t="shared" si="13"/>
        <v>1721.5</v>
      </c>
      <c r="H130">
        <f t="shared" si="19"/>
        <v>55.099999999999994</v>
      </c>
      <c r="I130">
        <v>265.60000000000002</v>
      </c>
      <c r="J130">
        <v>1.3</v>
      </c>
      <c r="K130">
        <f t="shared" si="14"/>
        <v>184.6</v>
      </c>
      <c r="L130">
        <v>1</v>
      </c>
      <c r="M130">
        <f t="shared" si="15"/>
        <v>232.99999999999997</v>
      </c>
      <c r="N130">
        <v>0.30000000000000004</v>
      </c>
      <c r="O130">
        <f t="shared" si="10"/>
        <v>52.6</v>
      </c>
      <c r="P130" s="5">
        <v>125</v>
      </c>
      <c r="Q130" s="6">
        <v>1</v>
      </c>
      <c r="R130" s="11">
        <f t="shared" si="11"/>
        <v>1</v>
      </c>
      <c r="S130" s="11">
        <f t="shared" si="12"/>
        <v>0.30000000000000004</v>
      </c>
      <c r="T130" s="14">
        <f t="shared" si="18"/>
        <v>69.606875000000016</v>
      </c>
      <c r="U130" s="16">
        <v>9</v>
      </c>
      <c r="V130">
        <v>309.8</v>
      </c>
      <c r="X130">
        <f t="shared" si="16"/>
        <v>109512.20000000003</v>
      </c>
      <c r="Y130">
        <f t="shared" si="20"/>
        <v>6773.1</v>
      </c>
      <c r="AA130">
        <v>9.0123317842943393</v>
      </c>
    </row>
    <row r="131" spans="1:27" x14ac:dyDescent="0.25">
      <c r="A131" s="75"/>
      <c r="B131" s="8"/>
      <c r="C131" s="9">
        <v>42009</v>
      </c>
      <c r="D131">
        <v>3.8</v>
      </c>
      <c r="E131">
        <v>4.2</v>
      </c>
      <c r="F131">
        <v>4.9000000000000004</v>
      </c>
      <c r="G131">
        <f t="shared" si="13"/>
        <v>1725.3</v>
      </c>
      <c r="H131">
        <f t="shared" si="19"/>
        <v>58.899999999999991</v>
      </c>
      <c r="J131">
        <v>0.2</v>
      </c>
      <c r="K131">
        <f t="shared" si="14"/>
        <v>184.79999999999998</v>
      </c>
      <c r="L131">
        <v>0.6</v>
      </c>
      <c r="M131">
        <f t="shared" si="15"/>
        <v>233.59999999999997</v>
      </c>
      <c r="N131">
        <v>-0.39999999999999997</v>
      </c>
      <c r="O131">
        <f t="shared" si="10"/>
        <v>52.2</v>
      </c>
      <c r="P131" s="5">
        <v>126</v>
      </c>
      <c r="Q131" s="6">
        <v>1</v>
      </c>
      <c r="R131" s="11">
        <f t="shared" si="11"/>
        <v>0.6</v>
      </c>
      <c r="S131" s="11">
        <f t="shared" si="12"/>
        <v>-0.39999999999999997</v>
      </c>
      <c r="T131" s="14">
        <f t="shared" si="18"/>
        <v>69.206875000000011</v>
      </c>
      <c r="V131">
        <v>322.7</v>
      </c>
      <c r="X131">
        <f t="shared" si="16"/>
        <v>109834.90000000002</v>
      </c>
      <c r="Y131">
        <f t="shared" si="20"/>
        <v>7095.8</v>
      </c>
      <c r="AA131">
        <v>9.0289536477070094</v>
      </c>
    </row>
    <row r="132" spans="1:27" x14ac:dyDescent="0.25">
      <c r="A132" s="75"/>
      <c r="B132" s="8"/>
      <c r="C132" s="9">
        <v>42010</v>
      </c>
      <c r="D132">
        <v>5.0999999999999996</v>
      </c>
      <c r="E132">
        <v>-1.3</v>
      </c>
      <c r="F132">
        <v>7.5</v>
      </c>
      <c r="G132">
        <f t="shared" si="13"/>
        <v>1730.3999999999999</v>
      </c>
      <c r="H132">
        <f t="shared" si="19"/>
        <v>63.999999999999993</v>
      </c>
      <c r="J132">
        <v>0.1</v>
      </c>
      <c r="K132">
        <f t="shared" si="14"/>
        <v>184.89999999999998</v>
      </c>
      <c r="L132">
        <v>0.4</v>
      </c>
      <c r="M132">
        <f t="shared" si="15"/>
        <v>233.99999999999997</v>
      </c>
      <c r="N132">
        <v>-0.30000000000000004</v>
      </c>
      <c r="O132">
        <f t="shared" ref="O132:O195" si="21">O131+N132</f>
        <v>51.900000000000006</v>
      </c>
      <c r="P132" s="5">
        <v>127</v>
      </c>
      <c r="Q132" s="6">
        <v>1</v>
      </c>
      <c r="R132" s="11">
        <f t="shared" si="11"/>
        <v>0.4</v>
      </c>
      <c r="S132" s="11">
        <f t="shared" si="12"/>
        <v>-0.30000000000000004</v>
      </c>
      <c r="T132" s="14">
        <f t="shared" si="18"/>
        <v>68.906875000000014</v>
      </c>
      <c r="U132">
        <f>(U128*100)/122.1</f>
        <v>59.201189826189854</v>
      </c>
      <c r="V132">
        <v>249.1</v>
      </c>
      <c r="X132">
        <f t="shared" si="16"/>
        <v>110084.00000000003</v>
      </c>
      <c r="Y132">
        <f t="shared" si="20"/>
        <v>7344.9000000000005</v>
      </c>
      <c r="AA132">
        <v>9.0467400537614999</v>
      </c>
    </row>
    <row r="133" spans="1:27" x14ac:dyDescent="0.25">
      <c r="A133" s="75"/>
      <c r="B133" s="8"/>
      <c r="C133" s="9">
        <v>42011</v>
      </c>
      <c r="D133">
        <v>6.9</v>
      </c>
      <c r="E133">
        <v>6.3</v>
      </c>
      <c r="F133">
        <v>11.5</v>
      </c>
      <c r="G133">
        <f t="shared" si="13"/>
        <v>1737.3</v>
      </c>
      <c r="H133">
        <f t="shared" si="19"/>
        <v>70.899999999999991</v>
      </c>
      <c r="J133">
        <v>0.2</v>
      </c>
      <c r="K133">
        <f t="shared" si="14"/>
        <v>185.09999999999997</v>
      </c>
      <c r="L133">
        <v>1</v>
      </c>
      <c r="M133">
        <f t="shared" si="15"/>
        <v>234.99999999999997</v>
      </c>
      <c r="N133">
        <v>-0.8</v>
      </c>
      <c r="O133">
        <f t="shared" si="21"/>
        <v>51.100000000000009</v>
      </c>
      <c r="P133" s="5">
        <v>128</v>
      </c>
      <c r="Q133" s="6">
        <v>1</v>
      </c>
      <c r="R133" s="11">
        <f t="shared" si="11"/>
        <v>1</v>
      </c>
      <c r="S133" s="11">
        <f t="shared" si="12"/>
        <v>-0.8</v>
      </c>
      <c r="T133" s="14">
        <f t="shared" si="18"/>
        <v>68.106875000000016</v>
      </c>
      <c r="V133">
        <v>518.5</v>
      </c>
      <c r="X133">
        <f t="shared" si="16"/>
        <v>110602.50000000003</v>
      </c>
      <c r="Y133">
        <f t="shared" si="20"/>
        <v>7863.4000000000005</v>
      </c>
      <c r="AA133">
        <v>9.0656736130913007</v>
      </c>
    </row>
    <row r="134" spans="1:27" x14ac:dyDescent="0.25">
      <c r="A134" s="75"/>
      <c r="B134" s="8"/>
      <c r="C134" s="9">
        <v>42012</v>
      </c>
      <c r="D134">
        <v>6.3</v>
      </c>
      <c r="E134">
        <v>-0.1</v>
      </c>
      <c r="F134">
        <v>11.3</v>
      </c>
      <c r="G134">
        <f t="shared" si="13"/>
        <v>1743.6</v>
      </c>
      <c r="H134">
        <f t="shared" si="19"/>
        <v>77.199999999999989</v>
      </c>
      <c r="J134">
        <v>0.3</v>
      </c>
      <c r="K134">
        <f t="shared" si="14"/>
        <v>185.39999999999998</v>
      </c>
      <c r="L134">
        <v>0.8</v>
      </c>
      <c r="M134">
        <f t="shared" si="15"/>
        <v>235.79999999999998</v>
      </c>
      <c r="N134">
        <v>-0.5</v>
      </c>
      <c r="O134">
        <f t="shared" si="21"/>
        <v>50.600000000000009</v>
      </c>
      <c r="P134" s="5">
        <v>129</v>
      </c>
      <c r="Q134" s="6">
        <v>1</v>
      </c>
      <c r="R134" s="11">
        <f t="shared" si="11"/>
        <v>0.8</v>
      </c>
      <c r="S134" s="11">
        <f t="shared" si="12"/>
        <v>-0.5</v>
      </c>
      <c r="T134" s="14">
        <f t="shared" si="18"/>
        <v>67.606875000000016</v>
      </c>
      <c r="V134">
        <v>506.9</v>
      </c>
      <c r="X134">
        <f t="shared" si="16"/>
        <v>111109.40000000002</v>
      </c>
      <c r="Y134">
        <f t="shared" si="20"/>
        <v>8370.3000000000011</v>
      </c>
      <c r="AA134">
        <v>9.0857360343126992</v>
      </c>
    </row>
    <row r="135" spans="1:27" x14ac:dyDescent="0.25">
      <c r="A135" s="75"/>
      <c r="B135" s="8"/>
      <c r="C135" s="9">
        <v>42013</v>
      </c>
      <c r="D135">
        <v>12.9</v>
      </c>
      <c r="E135">
        <v>9.3000000000000007</v>
      </c>
      <c r="F135">
        <v>15.7</v>
      </c>
      <c r="G135">
        <f t="shared" si="13"/>
        <v>1756.5</v>
      </c>
      <c r="H135">
        <f t="shared" si="19"/>
        <v>90.1</v>
      </c>
      <c r="J135">
        <v>0.1</v>
      </c>
      <c r="K135">
        <f t="shared" si="14"/>
        <v>185.49999999999997</v>
      </c>
      <c r="L135">
        <v>1.2</v>
      </c>
      <c r="M135">
        <f t="shared" si="15"/>
        <v>236.99999999999997</v>
      </c>
      <c r="N135">
        <v>-1.0999999999999999</v>
      </c>
      <c r="O135">
        <f t="shared" si="21"/>
        <v>49.500000000000007</v>
      </c>
      <c r="P135" s="5">
        <v>130</v>
      </c>
      <c r="Q135" s="6">
        <v>1</v>
      </c>
      <c r="R135" s="11">
        <f t="shared" ref="R135:R198" si="22">Q135*L135</f>
        <v>1.2</v>
      </c>
      <c r="S135" s="11">
        <f t="shared" ref="S135:S198" si="23">J135-R135</f>
        <v>-1.0999999999999999</v>
      </c>
      <c r="T135" s="14">
        <f t="shared" si="18"/>
        <v>66.506875000000022</v>
      </c>
      <c r="V135">
        <v>501.2</v>
      </c>
      <c r="X135">
        <f t="shared" si="16"/>
        <v>111610.60000000002</v>
      </c>
      <c r="Y135">
        <f t="shared" si="20"/>
        <v>8871.5000000000018</v>
      </c>
      <c r="AA135">
        <v>9.1069081858402594</v>
      </c>
    </row>
    <row r="136" spans="1:27" x14ac:dyDescent="0.25">
      <c r="A136" s="75"/>
      <c r="B136" s="8"/>
      <c r="C136" s="9">
        <v>42014</v>
      </c>
      <c r="D136">
        <v>10.6</v>
      </c>
      <c r="E136">
        <v>8.6999999999999993</v>
      </c>
      <c r="F136">
        <v>11.4</v>
      </c>
      <c r="G136">
        <f t="shared" ref="G136:G199" si="24">G135+D136</f>
        <v>1767.1</v>
      </c>
      <c r="H136">
        <f t="shared" si="19"/>
        <v>100.69999999999999</v>
      </c>
      <c r="J136">
        <v>0.2</v>
      </c>
      <c r="K136">
        <f t="shared" ref="K136:K199" si="25">K135+J136</f>
        <v>185.69999999999996</v>
      </c>
      <c r="L136">
        <v>0.6</v>
      </c>
      <c r="M136">
        <f t="shared" ref="M136:M199" si="26">M135+L136</f>
        <v>237.59999999999997</v>
      </c>
      <c r="N136">
        <v>-0.39999999999999997</v>
      </c>
      <c r="O136">
        <f t="shared" si="21"/>
        <v>49.100000000000009</v>
      </c>
      <c r="P136" s="5">
        <v>131</v>
      </c>
      <c r="Q136" s="6">
        <v>1</v>
      </c>
      <c r="R136" s="11">
        <f t="shared" si="22"/>
        <v>0.6</v>
      </c>
      <c r="S136" s="11">
        <f t="shared" si="23"/>
        <v>-0.39999999999999997</v>
      </c>
      <c r="T136" s="14">
        <f t="shared" si="18"/>
        <v>66.106875000000016</v>
      </c>
      <c r="V136">
        <v>310.39999999999998</v>
      </c>
      <c r="X136">
        <f t="shared" ref="X136:X199" si="27">X135+V136</f>
        <v>111921.00000000001</v>
      </c>
      <c r="Y136">
        <f t="shared" si="20"/>
        <v>9181.9000000000015</v>
      </c>
      <c r="AA136">
        <v>9.1291701591237508</v>
      </c>
    </row>
    <row r="137" spans="1:27" x14ac:dyDescent="0.25">
      <c r="A137" s="75"/>
      <c r="B137" s="8"/>
      <c r="C137" s="9">
        <v>42015</v>
      </c>
      <c r="D137">
        <v>8</v>
      </c>
      <c r="E137">
        <v>5.7</v>
      </c>
      <c r="F137">
        <v>11</v>
      </c>
      <c r="G137">
        <f t="shared" si="24"/>
        <v>1775.1</v>
      </c>
      <c r="H137">
        <f t="shared" si="19"/>
        <v>108.69999999999999</v>
      </c>
      <c r="J137">
        <v>1.4</v>
      </c>
      <c r="K137">
        <f t="shared" si="25"/>
        <v>187.09999999999997</v>
      </c>
      <c r="L137">
        <v>1</v>
      </c>
      <c r="M137">
        <f t="shared" si="26"/>
        <v>238.59999999999997</v>
      </c>
      <c r="N137">
        <v>0.39999999999999991</v>
      </c>
      <c r="O137">
        <f t="shared" si="21"/>
        <v>49.500000000000007</v>
      </c>
      <c r="P137" s="5">
        <v>132</v>
      </c>
      <c r="Q137" s="6">
        <v>1</v>
      </c>
      <c r="R137" s="11">
        <f t="shared" si="22"/>
        <v>1</v>
      </c>
      <c r="S137" s="11">
        <f t="shared" si="23"/>
        <v>0.39999999999999991</v>
      </c>
      <c r="T137" s="14">
        <f t="shared" si="18"/>
        <v>66.506875000000022</v>
      </c>
      <c r="V137">
        <v>547</v>
      </c>
      <c r="X137">
        <f t="shared" si="27"/>
        <v>112468.00000000001</v>
      </c>
      <c r="Y137">
        <f t="shared" si="20"/>
        <v>9728.9000000000015</v>
      </c>
      <c r="AA137">
        <v>9.1525013329092904</v>
      </c>
    </row>
    <row r="138" spans="1:27" x14ac:dyDescent="0.25">
      <c r="A138" s="75"/>
      <c r="B138" s="8"/>
      <c r="C138" s="9">
        <v>42016</v>
      </c>
      <c r="D138">
        <v>4.2</v>
      </c>
      <c r="E138">
        <v>-1.6</v>
      </c>
      <c r="F138">
        <v>8.6</v>
      </c>
      <c r="G138">
        <f t="shared" si="24"/>
        <v>1779.3</v>
      </c>
      <c r="H138">
        <f t="shared" si="19"/>
        <v>112.89999999999999</v>
      </c>
      <c r="J138">
        <v>0.1</v>
      </c>
      <c r="K138">
        <f t="shared" si="25"/>
        <v>187.19999999999996</v>
      </c>
      <c r="L138">
        <v>1.1000000000000001</v>
      </c>
      <c r="M138">
        <f t="shared" si="26"/>
        <v>239.69999999999996</v>
      </c>
      <c r="N138">
        <v>-1</v>
      </c>
      <c r="O138">
        <f t="shared" si="21"/>
        <v>48.500000000000007</v>
      </c>
      <c r="P138" s="5">
        <v>133</v>
      </c>
      <c r="Q138" s="6">
        <v>1</v>
      </c>
      <c r="R138" s="11">
        <f t="shared" si="22"/>
        <v>1.1000000000000001</v>
      </c>
      <c r="S138" s="11">
        <f t="shared" si="23"/>
        <v>-1</v>
      </c>
      <c r="T138" s="14">
        <f t="shared" si="18"/>
        <v>65.506875000000022</v>
      </c>
      <c r="V138">
        <v>864.2</v>
      </c>
      <c r="X138">
        <f t="shared" si="27"/>
        <v>113332.20000000001</v>
      </c>
      <c r="Y138">
        <f t="shared" si="20"/>
        <v>10593.100000000002</v>
      </c>
      <c r="AA138">
        <v>9.1768804381359708</v>
      </c>
    </row>
    <row r="139" spans="1:27" x14ac:dyDescent="0.25">
      <c r="A139" s="75"/>
      <c r="B139" s="8"/>
      <c r="C139" s="9">
        <v>42017</v>
      </c>
      <c r="D139">
        <v>8.6</v>
      </c>
      <c r="E139">
        <v>2.2000000000000002</v>
      </c>
      <c r="F139">
        <v>14.2</v>
      </c>
      <c r="G139">
        <f t="shared" si="24"/>
        <v>1787.8999999999999</v>
      </c>
      <c r="H139">
        <f t="shared" si="19"/>
        <v>121.49999999999999</v>
      </c>
      <c r="J139">
        <v>0</v>
      </c>
      <c r="K139">
        <f t="shared" si="25"/>
        <v>187.19999999999996</v>
      </c>
      <c r="L139">
        <v>1</v>
      </c>
      <c r="M139">
        <f t="shared" si="26"/>
        <v>240.69999999999996</v>
      </c>
      <c r="N139">
        <v>-1</v>
      </c>
      <c r="O139">
        <f t="shared" si="21"/>
        <v>47.500000000000007</v>
      </c>
      <c r="P139" s="5">
        <v>134</v>
      </c>
      <c r="Q139" s="6">
        <v>1</v>
      </c>
      <c r="R139" s="11">
        <f t="shared" si="22"/>
        <v>1</v>
      </c>
      <c r="S139" s="11">
        <f t="shared" si="23"/>
        <v>-1</v>
      </c>
      <c r="T139" s="14">
        <f t="shared" si="18"/>
        <v>64.506875000000022</v>
      </c>
      <c r="V139">
        <v>769.1</v>
      </c>
      <c r="X139">
        <f t="shared" si="27"/>
        <v>114101.30000000002</v>
      </c>
      <c r="Y139">
        <f t="shared" si="20"/>
        <v>11362.200000000003</v>
      </c>
      <c r="AA139">
        <v>9.2022856230905408</v>
      </c>
    </row>
    <row r="140" spans="1:27" x14ac:dyDescent="0.25">
      <c r="A140" s="75"/>
      <c r="B140" s="8"/>
      <c r="C140" s="9">
        <v>42018</v>
      </c>
      <c r="D140">
        <v>9.1999999999999993</v>
      </c>
      <c r="E140">
        <v>8.1999999999999993</v>
      </c>
      <c r="F140">
        <v>13.8</v>
      </c>
      <c r="G140">
        <f t="shared" si="24"/>
        <v>1797.1</v>
      </c>
      <c r="H140">
        <f t="shared" si="19"/>
        <v>130.69999999999999</v>
      </c>
      <c r="J140">
        <v>0</v>
      </c>
      <c r="K140">
        <f t="shared" si="25"/>
        <v>187.19999999999996</v>
      </c>
      <c r="L140">
        <v>1.4</v>
      </c>
      <c r="M140">
        <f t="shared" si="26"/>
        <v>242.09999999999997</v>
      </c>
      <c r="N140">
        <v>-1.4</v>
      </c>
      <c r="O140">
        <f t="shared" si="21"/>
        <v>46.100000000000009</v>
      </c>
      <c r="P140" s="5">
        <v>135</v>
      </c>
      <c r="Q140" s="6">
        <v>1</v>
      </c>
      <c r="R140" s="11">
        <f t="shared" si="22"/>
        <v>1.4</v>
      </c>
      <c r="S140" s="11">
        <f t="shared" si="23"/>
        <v>-1.4</v>
      </c>
      <c r="T140" s="14">
        <f t="shared" si="18"/>
        <v>63.106875000000024</v>
      </c>
      <c r="V140">
        <v>532.9</v>
      </c>
      <c r="X140">
        <f t="shared" si="27"/>
        <v>114634.20000000001</v>
      </c>
      <c r="Y140">
        <f t="shared" si="20"/>
        <v>11895.100000000002</v>
      </c>
      <c r="AA140">
        <v>9.2286945184577291</v>
      </c>
    </row>
    <row r="141" spans="1:27" x14ac:dyDescent="0.25">
      <c r="A141" s="75"/>
      <c r="B141" s="8"/>
      <c r="C141" s="9">
        <v>42019</v>
      </c>
      <c r="D141">
        <v>8.6999999999999993</v>
      </c>
      <c r="E141">
        <v>4</v>
      </c>
      <c r="F141">
        <v>13.8</v>
      </c>
      <c r="G141">
        <f t="shared" si="24"/>
        <v>1805.8</v>
      </c>
      <c r="H141">
        <f t="shared" si="19"/>
        <v>139.39999999999998</v>
      </c>
      <c r="J141">
        <v>1.1000000000000001</v>
      </c>
      <c r="K141">
        <f t="shared" si="25"/>
        <v>188.29999999999995</v>
      </c>
      <c r="L141">
        <v>1.1000000000000001</v>
      </c>
      <c r="M141">
        <f t="shared" si="26"/>
        <v>243.19999999999996</v>
      </c>
      <c r="N141">
        <v>0</v>
      </c>
      <c r="O141">
        <f t="shared" si="21"/>
        <v>46.100000000000009</v>
      </c>
      <c r="P141" s="5">
        <v>136</v>
      </c>
      <c r="Q141" s="6">
        <v>1</v>
      </c>
      <c r="R141" s="11">
        <f t="shared" si="22"/>
        <v>1.1000000000000001</v>
      </c>
      <c r="S141" s="11">
        <f t="shared" si="23"/>
        <v>0</v>
      </c>
      <c r="T141" s="14">
        <f t="shared" si="18"/>
        <v>63.106875000000024</v>
      </c>
      <c r="V141">
        <v>718.5</v>
      </c>
      <c r="X141">
        <f t="shared" si="27"/>
        <v>115352.70000000001</v>
      </c>
      <c r="Y141">
        <f t="shared" si="20"/>
        <v>12613.600000000002</v>
      </c>
      <c r="AA141">
        <v>9.2560843019213195</v>
      </c>
    </row>
    <row r="142" spans="1:27" x14ac:dyDescent="0.25">
      <c r="A142" s="75"/>
      <c r="B142" s="8"/>
      <c r="C142" s="9">
        <v>42020</v>
      </c>
      <c r="D142">
        <v>7.6</v>
      </c>
      <c r="E142">
        <v>5.8</v>
      </c>
      <c r="F142">
        <v>9.1</v>
      </c>
      <c r="G142">
        <f t="shared" si="24"/>
        <v>1813.3999999999999</v>
      </c>
      <c r="H142">
        <f t="shared" si="19"/>
        <v>146.99999999999997</v>
      </c>
      <c r="J142">
        <v>9.8000000000000007</v>
      </c>
      <c r="K142">
        <f t="shared" si="25"/>
        <v>198.09999999999997</v>
      </c>
      <c r="L142">
        <v>0.5</v>
      </c>
      <c r="M142">
        <f t="shared" si="26"/>
        <v>243.69999999999996</v>
      </c>
      <c r="N142">
        <v>9.3000000000000007</v>
      </c>
      <c r="O142">
        <f t="shared" si="21"/>
        <v>55.400000000000006</v>
      </c>
      <c r="P142" s="5">
        <v>137</v>
      </c>
      <c r="Q142" s="6">
        <v>1</v>
      </c>
      <c r="R142" s="11">
        <f t="shared" si="22"/>
        <v>0.5</v>
      </c>
      <c r="S142" s="11">
        <f t="shared" si="23"/>
        <v>9.3000000000000007</v>
      </c>
      <c r="T142" s="14">
        <f t="shared" si="18"/>
        <v>72.406875000000028</v>
      </c>
      <c r="V142">
        <v>149.80000000000001</v>
      </c>
      <c r="X142">
        <f t="shared" si="27"/>
        <v>115502.50000000001</v>
      </c>
      <c r="Y142">
        <f t="shared" si="20"/>
        <v>12763.400000000001</v>
      </c>
      <c r="AA142">
        <v>9.2844317619909909</v>
      </c>
    </row>
    <row r="143" spans="1:27" x14ac:dyDescent="0.25">
      <c r="A143" s="75"/>
      <c r="B143" s="8"/>
      <c r="C143" s="9">
        <v>42021</v>
      </c>
      <c r="D143">
        <v>5.5</v>
      </c>
      <c r="E143">
        <v>4</v>
      </c>
      <c r="F143">
        <v>7.6</v>
      </c>
      <c r="G143">
        <f t="shared" si="24"/>
        <v>1818.8999999999999</v>
      </c>
      <c r="H143">
        <f t="shared" si="19"/>
        <v>152.49999999999997</v>
      </c>
      <c r="J143">
        <v>1.1000000000000001</v>
      </c>
      <c r="K143">
        <f t="shared" si="25"/>
        <v>199.19999999999996</v>
      </c>
      <c r="L143">
        <v>0.7</v>
      </c>
      <c r="M143">
        <f t="shared" si="26"/>
        <v>244.39999999999995</v>
      </c>
      <c r="N143">
        <v>0.40000000000000013</v>
      </c>
      <c r="O143">
        <f t="shared" si="21"/>
        <v>55.800000000000004</v>
      </c>
      <c r="P143" s="5">
        <v>138</v>
      </c>
      <c r="Q143" s="6">
        <v>1</v>
      </c>
      <c r="R143" s="11">
        <f t="shared" si="22"/>
        <v>0.7</v>
      </c>
      <c r="S143" s="11">
        <f t="shared" si="23"/>
        <v>0.40000000000000013</v>
      </c>
      <c r="T143" s="14">
        <f t="shared" si="18"/>
        <v>72.806875000000034</v>
      </c>
      <c r="V143">
        <v>398</v>
      </c>
      <c r="X143">
        <f t="shared" si="27"/>
        <v>115900.50000000001</v>
      </c>
      <c r="Y143">
        <f t="shared" si="20"/>
        <v>13161.400000000001</v>
      </c>
      <c r="AA143">
        <v>9.3137133607517306</v>
      </c>
    </row>
    <row r="144" spans="1:27" x14ac:dyDescent="0.25">
      <c r="A144" s="75"/>
      <c r="B144" s="8"/>
      <c r="C144" s="9">
        <v>42022</v>
      </c>
      <c r="D144">
        <v>4.0999999999999996</v>
      </c>
      <c r="E144">
        <v>0.3</v>
      </c>
      <c r="F144">
        <v>6.9</v>
      </c>
      <c r="G144">
        <f t="shared" si="24"/>
        <v>1822.9999999999998</v>
      </c>
      <c r="H144">
        <f t="shared" si="19"/>
        <v>156.59999999999997</v>
      </c>
      <c r="J144">
        <v>0.1</v>
      </c>
      <c r="K144">
        <f t="shared" si="25"/>
        <v>199.29999999999995</v>
      </c>
      <c r="L144">
        <v>0.7</v>
      </c>
      <c r="M144">
        <f t="shared" si="26"/>
        <v>245.09999999999994</v>
      </c>
      <c r="N144">
        <v>-0.6</v>
      </c>
      <c r="O144">
        <f t="shared" si="21"/>
        <v>55.2</v>
      </c>
      <c r="P144" s="5">
        <v>139</v>
      </c>
      <c r="Q144" s="6">
        <v>1</v>
      </c>
      <c r="R144" s="11">
        <f t="shared" si="22"/>
        <v>0.7</v>
      </c>
      <c r="S144" s="11">
        <f t="shared" si="23"/>
        <v>-0.6</v>
      </c>
      <c r="T144" s="14">
        <f t="shared" si="18"/>
        <v>72.206875000000039</v>
      </c>
      <c r="V144">
        <v>765.7</v>
      </c>
      <c r="X144">
        <f t="shared" si="27"/>
        <v>116666.20000000001</v>
      </c>
      <c r="Y144">
        <f t="shared" si="20"/>
        <v>13927.100000000002</v>
      </c>
      <c r="AA144">
        <v>9.3439052952562403</v>
      </c>
    </row>
    <row r="145" spans="1:27" x14ac:dyDescent="0.25">
      <c r="A145" s="75"/>
      <c r="B145" s="8"/>
      <c r="C145" s="9">
        <v>42023</v>
      </c>
      <c r="D145">
        <v>5.5</v>
      </c>
      <c r="E145">
        <v>4.7</v>
      </c>
      <c r="F145">
        <v>6.9</v>
      </c>
      <c r="G145">
        <f t="shared" si="24"/>
        <v>1828.4999999999998</v>
      </c>
      <c r="H145">
        <f t="shared" si="19"/>
        <v>162.09999999999997</v>
      </c>
      <c r="J145">
        <v>1.6</v>
      </c>
      <c r="K145">
        <f t="shared" si="25"/>
        <v>200.89999999999995</v>
      </c>
      <c r="L145">
        <v>0.5</v>
      </c>
      <c r="M145">
        <f t="shared" si="26"/>
        <v>245.59999999999994</v>
      </c>
      <c r="N145">
        <v>1.1000000000000001</v>
      </c>
      <c r="O145">
        <f t="shared" si="21"/>
        <v>56.300000000000004</v>
      </c>
      <c r="P145" s="5">
        <v>140</v>
      </c>
      <c r="Q145" s="6">
        <v>1</v>
      </c>
      <c r="R145" s="11">
        <f t="shared" si="22"/>
        <v>0.5</v>
      </c>
      <c r="S145" s="11">
        <f t="shared" si="23"/>
        <v>1.1000000000000001</v>
      </c>
      <c r="T145" s="14">
        <f t="shared" si="18"/>
        <v>73.306875000000034</v>
      </c>
      <c r="V145">
        <v>266.39999999999998</v>
      </c>
      <c r="X145">
        <f t="shared" si="27"/>
        <v>116932.6</v>
      </c>
      <c r="Y145">
        <f t="shared" si="20"/>
        <v>14193.500000000002</v>
      </c>
      <c r="AA145">
        <v>9.3749835573052707</v>
      </c>
    </row>
    <row r="146" spans="1:27" x14ac:dyDescent="0.25">
      <c r="A146" s="75"/>
      <c r="B146" s="8"/>
      <c r="C146" s="9">
        <v>42024</v>
      </c>
      <c r="D146">
        <v>2.2999999999999998</v>
      </c>
      <c r="E146">
        <v>1.3</v>
      </c>
      <c r="F146">
        <v>4.9000000000000004</v>
      </c>
      <c r="G146">
        <f t="shared" si="24"/>
        <v>1830.7999999999997</v>
      </c>
      <c r="H146">
        <f t="shared" si="19"/>
        <v>164.39999999999998</v>
      </c>
      <c r="J146">
        <v>0</v>
      </c>
      <c r="K146">
        <f t="shared" si="25"/>
        <v>200.89999999999995</v>
      </c>
      <c r="L146">
        <v>0.6</v>
      </c>
      <c r="M146">
        <f t="shared" si="26"/>
        <v>246.19999999999993</v>
      </c>
      <c r="N146">
        <v>-0.6</v>
      </c>
      <c r="O146">
        <f t="shared" si="21"/>
        <v>55.7</v>
      </c>
      <c r="P146" s="5">
        <v>141</v>
      </c>
      <c r="Q146" s="6">
        <v>1</v>
      </c>
      <c r="R146" s="11">
        <f t="shared" si="22"/>
        <v>0.6</v>
      </c>
      <c r="S146" s="11">
        <f t="shared" si="23"/>
        <v>-0.6</v>
      </c>
      <c r="T146" s="14">
        <f t="shared" si="18"/>
        <v>72.706875000000039</v>
      </c>
      <c r="V146">
        <v>577.20000000000005</v>
      </c>
      <c r="X146">
        <f t="shared" si="27"/>
        <v>117509.8</v>
      </c>
      <c r="Y146">
        <f t="shared" si="20"/>
        <v>14770.700000000003</v>
      </c>
      <c r="AA146">
        <v>9.4069239913861793</v>
      </c>
    </row>
    <row r="147" spans="1:27" x14ac:dyDescent="0.25">
      <c r="A147" s="75"/>
      <c r="B147" s="8"/>
      <c r="C147" s="9">
        <v>42025</v>
      </c>
      <c r="D147">
        <v>1.8</v>
      </c>
      <c r="E147">
        <v>-1.7</v>
      </c>
      <c r="F147">
        <v>4.7</v>
      </c>
      <c r="G147">
        <f t="shared" si="24"/>
        <v>1832.5999999999997</v>
      </c>
      <c r="H147">
        <f t="shared" si="19"/>
        <v>166.2</v>
      </c>
      <c r="J147">
        <v>0.3</v>
      </c>
      <c r="K147">
        <f t="shared" si="25"/>
        <v>201.19999999999996</v>
      </c>
      <c r="L147">
        <v>0.6</v>
      </c>
      <c r="M147">
        <f t="shared" si="26"/>
        <v>246.79999999999993</v>
      </c>
      <c r="N147">
        <v>-0.3</v>
      </c>
      <c r="O147">
        <f t="shared" si="21"/>
        <v>55.400000000000006</v>
      </c>
      <c r="P147" s="5">
        <v>142</v>
      </c>
      <c r="Q147" s="6">
        <v>1</v>
      </c>
      <c r="R147" s="11">
        <f t="shared" si="22"/>
        <v>0.6</v>
      </c>
      <c r="S147" s="11">
        <f t="shared" si="23"/>
        <v>-0.3</v>
      </c>
      <c r="T147" s="14">
        <f t="shared" si="18"/>
        <v>72.406875000000042</v>
      </c>
      <c r="V147">
        <v>365</v>
      </c>
      <c r="X147">
        <f t="shared" si="27"/>
        <v>117874.8</v>
      </c>
      <c r="Y147">
        <f t="shared" si="20"/>
        <v>15135.700000000003</v>
      </c>
      <c r="AA147">
        <v>9.4397023505662503</v>
      </c>
    </row>
    <row r="148" spans="1:27" x14ac:dyDescent="0.25">
      <c r="A148" s="75"/>
      <c r="B148" s="8">
        <v>4</v>
      </c>
      <c r="C148" s="9">
        <v>42026</v>
      </c>
      <c r="D148">
        <v>3.7</v>
      </c>
      <c r="E148">
        <v>1.4</v>
      </c>
      <c r="F148">
        <v>5.5</v>
      </c>
      <c r="G148">
        <f t="shared" si="24"/>
        <v>1836.2999999999997</v>
      </c>
      <c r="H148">
        <f t="shared" si="19"/>
        <v>169.89999999999998</v>
      </c>
      <c r="J148">
        <v>0.3</v>
      </c>
      <c r="K148">
        <f t="shared" si="25"/>
        <v>201.49999999999997</v>
      </c>
      <c r="L148">
        <v>0.6</v>
      </c>
      <c r="M148">
        <f t="shared" si="26"/>
        <v>247.39999999999992</v>
      </c>
      <c r="N148">
        <v>-0.3</v>
      </c>
      <c r="O148">
        <f t="shared" si="21"/>
        <v>55.100000000000009</v>
      </c>
      <c r="P148" s="5">
        <v>143</v>
      </c>
      <c r="Q148" s="6">
        <v>1</v>
      </c>
      <c r="R148" s="11">
        <f t="shared" si="22"/>
        <v>0.6</v>
      </c>
      <c r="S148" s="11">
        <f t="shared" si="23"/>
        <v>-0.3</v>
      </c>
      <c r="T148" s="14">
        <f t="shared" si="18"/>
        <v>72.106875000000045</v>
      </c>
      <c r="V148">
        <v>457.4</v>
      </c>
      <c r="X148">
        <f t="shared" si="27"/>
        <v>118332.2</v>
      </c>
      <c r="Y148">
        <f t="shared" si="20"/>
        <v>15593.100000000002</v>
      </c>
      <c r="AA148">
        <v>9.4732943501627194</v>
      </c>
    </row>
    <row r="149" spans="1:27" x14ac:dyDescent="0.25">
      <c r="A149" s="75"/>
      <c r="B149" s="8"/>
      <c r="C149" s="9">
        <v>42027</v>
      </c>
      <c r="D149">
        <v>1.8</v>
      </c>
      <c r="E149">
        <v>0.2</v>
      </c>
      <c r="F149">
        <v>3.9</v>
      </c>
      <c r="G149">
        <f t="shared" si="24"/>
        <v>1838.0999999999997</v>
      </c>
      <c r="H149">
        <f t="shared" si="19"/>
        <v>171.7</v>
      </c>
      <c r="J149">
        <v>0</v>
      </c>
      <c r="K149">
        <f t="shared" si="25"/>
        <v>201.49999999999997</v>
      </c>
      <c r="L149">
        <v>1.1000000000000001</v>
      </c>
      <c r="M149">
        <f t="shared" si="26"/>
        <v>248.49999999999991</v>
      </c>
      <c r="N149">
        <v>-1.1000000000000001</v>
      </c>
      <c r="O149">
        <f t="shared" si="21"/>
        <v>54.000000000000007</v>
      </c>
      <c r="P149" s="5">
        <v>144</v>
      </c>
      <c r="Q149" s="6">
        <v>1</v>
      </c>
      <c r="R149" s="11">
        <f t="shared" si="22"/>
        <v>1.1000000000000001</v>
      </c>
      <c r="S149" s="11">
        <f t="shared" si="23"/>
        <v>-1.1000000000000001</v>
      </c>
      <c r="T149" s="14">
        <f t="shared" si="18"/>
        <v>71.006875000000051</v>
      </c>
      <c r="V149">
        <v>751.5</v>
      </c>
      <c r="X149">
        <f t="shared" si="27"/>
        <v>119083.7</v>
      </c>
      <c r="Y149">
        <f t="shared" si="20"/>
        <v>16344.600000000002</v>
      </c>
      <c r="AA149">
        <v>9.5076757190377794</v>
      </c>
    </row>
    <row r="150" spans="1:27" x14ac:dyDescent="0.25">
      <c r="A150" s="75"/>
      <c r="B150" s="8"/>
      <c r="C150" s="9">
        <v>42028</v>
      </c>
      <c r="D150">
        <v>4.0999999999999996</v>
      </c>
      <c r="E150">
        <v>0.3</v>
      </c>
      <c r="F150">
        <v>7.3</v>
      </c>
      <c r="G150">
        <f t="shared" si="24"/>
        <v>1842.1999999999996</v>
      </c>
      <c r="H150">
        <f t="shared" si="19"/>
        <v>175.79999999999998</v>
      </c>
      <c r="J150">
        <v>2.4</v>
      </c>
      <c r="K150">
        <f t="shared" si="25"/>
        <v>203.89999999999998</v>
      </c>
      <c r="L150">
        <v>0.9</v>
      </c>
      <c r="M150">
        <f t="shared" si="26"/>
        <v>249.39999999999992</v>
      </c>
      <c r="N150">
        <v>1.5</v>
      </c>
      <c r="O150">
        <f t="shared" si="21"/>
        <v>55.500000000000007</v>
      </c>
      <c r="P150" s="5">
        <v>145</v>
      </c>
      <c r="Q150" s="6">
        <v>1</v>
      </c>
      <c r="R150" s="11">
        <f t="shared" si="22"/>
        <v>0.9</v>
      </c>
      <c r="S150" s="11">
        <f t="shared" si="23"/>
        <v>1.5</v>
      </c>
      <c r="T150" s="14">
        <f t="shared" si="18"/>
        <v>72.506875000000051</v>
      </c>
      <c r="V150">
        <v>581</v>
      </c>
      <c r="X150">
        <f t="shared" si="27"/>
        <v>119664.7</v>
      </c>
      <c r="Y150">
        <f t="shared" si="20"/>
        <v>16925.600000000002</v>
      </c>
      <c r="AA150">
        <v>9.5428222483918006</v>
      </c>
    </row>
    <row r="151" spans="1:27" x14ac:dyDescent="0.25">
      <c r="A151" s="75"/>
      <c r="B151" s="8"/>
      <c r="C151" s="9">
        <v>42029</v>
      </c>
      <c r="D151">
        <v>3.8</v>
      </c>
      <c r="E151">
        <v>1.2</v>
      </c>
      <c r="F151">
        <v>6.3</v>
      </c>
      <c r="G151">
        <f t="shared" si="24"/>
        <v>1845.9999999999995</v>
      </c>
      <c r="H151">
        <f t="shared" si="19"/>
        <v>179.6</v>
      </c>
      <c r="J151">
        <v>0</v>
      </c>
      <c r="K151">
        <f t="shared" si="25"/>
        <v>203.89999999999998</v>
      </c>
      <c r="L151">
        <v>1.2</v>
      </c>
      <c r="M151">
        <f t="shared" si="26"/>
        <v>250.59999999999991</v>
      </c>
      <c r="N151">
        <v>-1.2</v>
      </c>
      <c r="O151">
        <f t="shared" si="21"/>
        <v>54.300000000000004</v>
      </c>
      <c r="P151" s="5">
        <v>146</v>
      </c>
      <c r="Q151" s="6">
        <v>1</v>
      </c>
      <c r="R151" s="11">
        <f t="shared" si="22"/>
        <v>1.2</v>
      </c>
      <c r="S151" s="11">
        <f t="shared" si="23"/>
        <v>-1.2</v>
      </c>
      <c r="T151" s="14">
        <f t="shared" ref="T151:T214" si="28">MIN(122.1,(T150+S151))</f>
        <v>71.306875000000048</v>
      </c>
      <c r="V151">
        <v>747.8</v>
      </c>
      <c r="X151">
        <f t="shared" si="27"/>
        <v>120412.5</v>
      </c>
      <c r="Y151">
        <f t="shared" si="20"/>
        <v>17673.400000000001</v>
      </c>
      <c r="AA151">
        <v>9.5787098379526103</v>
      </c>
    </row>
    <row r="152" spans="1:27" x14ac:dyDescent="0.25">
      <c r="A152" s="75"/>
      <c r="B152" s="8"/>
      <c r="C152" s="9">
        <v>42030</v>
      </c>
      <c r="D152">
        <v>5.4</v>
      </c>
      <c r="E152">
        <v>3</v>
      </c>
      <c r="F152">
        <v>8.3000000000000007</v>
      </c>
      <c r="G152">
        <f t="shared" si="24"/>
        <v>1851.3999999999996</v>
      </c>
      <c r="H152">
        <f t="shared" si="19"/>
        <v>185</v>
      </c>
      <c r="J152">
        <v>1.5</v>
      </c>
      <c r="K152">
        <f t="shared" si="25"/>
        <v>205.39999999999998</v>
      </c>
      <c r="L152">
        <v>1.1000000000000001</v>
      </c>
      <c r="M152">
        <f t="shared" si="26"/>
        <v>251.6999999999999</v>
      </c>
      <c r="N152">
        <v>0.39999999999999991</v>
      </c>
      <c r="O152">
        <f t="shared" si="21"/>
        <v>54.7</v>
      </c>
      <c r="P152" s="5">
        <v>147</v>
      </c>
      <c r="Q152" s="6">
        <v>1</v>
      </c>
      <c r="R152" s="11">
        <f t="shared" si="22"/>
        <v>1.1000000000000001</v>
      </c>
      <c r="S152" s="11">
        <f t="shared" si="23"/>
        <v>0.39999999999999991</v>
      </c>
      <c r="T152" s="14">
        <f t="shared" si="28"/>
        <v>71.706875000000053</v>
      </c>
      <c r="V152">
        <v>426.6</v>
      </c>
      <c r="X152">
        <f t="shared" si="27"/>
        <v>120839.1</v>
      </c>
      <c r="Y152">
        <f t="shared" si="20"/>
        <v>18100</v>
      </c>
      <c r="AA152">
        <v>9.6153145394824406</v>
      </c>
    </row>
    <row r="153" spans="1:27" x14ac:dyDescent="0.25">
      <c r="A153" s="75"/>
      <c r="B153" s="8"/>
      <c r="C153" s="9">
        <v>42031</v>
      </c>
      <c r="D153">
        <v>6.7</v>
      </c>
      <c r="E153">
        <v>6</v>
      </c>
      <c r="F153">
        <v>7.9</v>
      </c>
      <c r="G153">
        <f t="shared" si="24"/>
        <v>1858.0999999999997</v>
      </c>
      <c r="H153">
        <f t="shared" si="19"/>
        <v>191.7</v>
      </c>
      <c r="J153">
        <v>0</v>
      </c>
      <c r="K153">
        <f t="shared" si="25"/>
        <v>205.39999999999998</v>
      </c>
      <c r="L153">
        <v>1</v>
      </c>
      <c r="M153">
        <f t="shared" si="26"/>
        <v>252.6999999999999</v>
      </c>
      <c r="N153">
        <v>-1</v>
      </c>
      <c r="O153">
        <f t="shared" si="21"/>
        <v>53.7</v>
      </c>
      <c r="P153" s="5">
        <v>148</v>
      </c>
      <c r="Q153" s="6">
        <v>1</v>
      </c>
      <c r="R153" s="11">
        <f t="shared" si="22"/>
        <v>1</v>
      </c>
      <c r="S153" s="11">
        <f t="shared" si="23"/>
        <v>-1</v>
      </c>
      <c r="T153" s="14">
        <f t="shared" si="28"/>
        <v>70.706875000000053</v>
      </c>
      <c r="V153">
        <v>535.70000000000005</v>
      </c>
      <c r="X153">
        <f t="shared" si="27"/>
        <v>121374.8</v>
      </c>
      <c r="Y153">
        <f t="shared" si="20"/>
        <v>18635.7</v>
      </c>
      <c r="AA153">
        <v>9.6526125975464208</v>
      </c>
    </row>
    <row r="154" spans="1:27" x14ac:dyDescent="0.25">
      <c r="A154" s="75"/>
      <c r="B154" s="8"/>
      <c r="C154" s="9">
        <v>42032</v>
      </c>
      <c r="D154">
        <v>8.1</v>
      </c>
      <c r="E154">
        <v>4.9000000000000004</v>
      </c>
      <c r="F154">
        <v>10.199999999999999</v>
      </c>
      <c r="G154">
        <f t="shared" si="24"/>
        <v>1866.1999999999996</v>
      </c>
      <c r="H154">
        <f t="shared" si="19"/>
        <v>199.79999999999998</v>
      </c>
      <c r="J154">
        <v>2</v>
      </c>
      <c r="K154">
        <f t="shared" si="25"/>
        <v>207.39999999999998</v>
      </c>
      <c r="L154">
        <v>1.3</v>
      </c>
      <c r="M154">
        <f t="shared" si="26"/>
        <v>253.99999999999991</v>
      </c>
      <c r="N154">
        <v>0.7</v>
      </c>
      <c r="O154">
        <f t="shared" si="21"/>
        <v>54.400000000000006</v>
      </c>
      <c r="P154" s="5">
        <v>149</v>
      </c>
      <c r="Q154" s="6">
        <v>1</v>
      </c>
      <c r="R154" s="11">
        <f t="shared" si="22"/>
        <v>1.3</v>
      </c>
      <c r="S154" s="11">
        <f t="shared" si="23"/>
        <v>0.7</v>
      </c>
      <c r="T154" s="14">
        <f t="shared" si="28"/>
        <v>71.406875000000056</v>
      </c>
      <c r="V154">
        <v>744.1</v>
      </c>
      <c r="X154">
        <f t="shared" si="27"/>
        <v>122118.90000000001</v>
      </c>
      <c r="Y154">
        <f t="shared" si="20"/>
        <v>19379.8</v>
      </c>
      <c r="AA154">
        <v>9.6905804875077397</v>
      </c>
    </row>
    <row r="155" spans="1:27" x14ac:dyDescent="0.25">
      <c r="A155" s="75"/>
      <c r="B155" s="8">
        <v>5</v>
      </c>
      <c r="C155" s="9">
        <v>42033</v>
      </c>
      <c r="D155">
        <v>10.5</v>
      </c>
      <c r="E155">
        <v>9.1</v>
      </c>
      <c r="F155">
        <v>11.8</v>
      </c>
      <c r="G155">
        <f t="shared" si="24"/>
        <v>1876.6999999999996</v>
      </c>
      <c r="H155">
        <f t="shared" si="19"/>
        <v>210.29999999999998</v>
      </c>
      <c r="J155">
        <v>8.9</v>
      </c>
      <c r="K155">
        <f t="shared" si="25"/>
        <v>216.29999999999998</v>
      </c>
      <c r="L155">
        <v>1.2</v>
      </c>
      <c r="M155">
        <f t="shared" si="26"/>
        <v>255.1999999999999</v>
      </c>
      <c r="N155">
        <v>7.7</v>
      </c>
      <c r="O155">
        <f t="shared" si="21"/>
        <v>62.100000000000009</v>
      </c>
      <c r="P155" s="5">
        <v>150</v>
      </c>
      <c r="Q155" s="6">
        <v>1</v>
      </c>
      <c r="R155" s="11">
        <f t="shared" si="22"/>
        <v>1.2</v>
      </c>
      <c r="S155" s="11">
        <f t="shared" si="23"/>
        <v>7.7</v>
      </c>
      <c r="T155" s="14">
        <f t="shared" si="28"/>
        <v>79.106875000000059</v>
      </c>
      <c r="V155">
        <v>220.9</v>
      </c>
      <c r="X155">
        <f t="shared" si="27"/>
        <v>122339.8</v>
      </c>
      <c r="Y155">
        <f t="shared" si="20"/>
        <v>19600.7</v>
      </c>
      <c r="AA155">
        <v>9.7291949507346693</v>
      </c>
    </row>
    <row r="156" spans="1:27" x14ac:dyDescent="0.25">
      <c r="A156" s="75"/>
      <c r="B156" s="8"/>
      <c r="C156" s="9">
        <v>42034</v>
      </c>
      <c r="D156">
        <v>6.4</v>
      </c>
      <c r="E156">
        <v>4.8</v>
      </c>
      <c r="F156">
        <v>7.5</v>
      </c>
      <c r="G156">
        <f t="shared" si="24"/>
        <v>1883.0999999999997</v>
      </c>
      <c r="H156">
        <f t="shared" si="19"/>
        <v>216.7</v>
      </c>
      <c r="J156">
        <v>4</v>
      </c>
      <c r="K156">
        <f t="shared" si="25"/>
        <v>220.29999999999998</v>
      </c>
      <c r="L156">
        <v>0.7</v>
      </c>
      <c r="M156">
        <f t="shared" si="26"/>
        <v>255.89999999999989</v>
      </c>
      <c r="N156">
        <v>3.3</v>
      </c>
      <c r="O156">
        <f t="shared" si="21"/>
        <v>65.400000000000006</v>
      </c>
      <c r="P156" s="5">
        <v>151</v>
      </c>
      <c r="Q156" s="6">
        <v>1</v>
      </c>
      <c r="R156" s="11">
        <f t="shared" si="22"/>
        <v>0.7</v>
      </c>
      <c r="S156" s="11">
        <f t="shared" si="23"/>
        <v>3.3</v>
      </c>
      <c r="T156" s="14">
        <f t="shared" si="28"/>
        <v>82.406875000000056</v>
      </c>
      <c r="V156">
        <v>415.5</v>
      </c>
      <c r="X156">
        <f t="shared" si="27"/>
        <v>122755.3</v>
      </c>
      <c r="Y156">
        <f t="shared" si="20"/>
        <v>20016.2</v>
      </c>
      <c r="AA156">
        <v>9.7684330270224002</v>
      </c>
    </row>
    <row r="157" spans="1:27" x14ac:dyDescent="0.25">
      <c r="A157" s="75"/>
      <c r="B157" s="8"/>
      <c r="C157" s="9">
        <v>42035</v>
      </c>
      <c r="D157">
        <v>5.3</v>
      </c>
      <c r="E157">
        <v>4.2</v>
      </c>
      <c r="F157">
        <v>7.5</v>
      </c>
      <c r="G157">
        <f t="shared" si="24"/>
        <v>1888.3999999999996</v>
      </c>
      <c r="H157">
        <f t="shared" si="19"/>
        <v>222</v>
      </c>
      <c r="J157">
        <v>2.2999999999999998</v>
      </c>
      <c r="K157">
        <f t="shared" si="25"/>
        <v>222.6</v>
      </c>
      <c r="L157">
        <v>0.9</v>
      </c>
      <c r="M157">
        <f t="shared" si="26"/>
        <v>256.7999999999999</v>
      </c>
      <c r="N157">
        <v>1.4</v>
      </c>
      <c r="O157">
        <f t="shared" si="21"/>
        <v>66.800000000000011</v>
      </c>
      <c r="P157" s="5">
        <v>152</v>
      </c>
      <c r="Q157" s="6">
        <v>1</v>
      </c>
      <c r="R157" s="11">
        <f t="shared" si="22"/>
        <v>0.9</v>
      </c>
      <c r="S157" s="11">
        <f t="shared" si="23"/>
        <v>1.4</v>
      </c>
      <c r="T157" s="14">
        <f t="shared" si="28"/>
        <v>83.806875000000062</v>
      </c>
      <c r="V157">
        <v>331</v>
      </c>
      <c r="X157">
        <f t="shared" si="27"/>
        <v>123086.3</v>
      </c>
      <c r="Y157">
        <f t="shared" si="20"/>
        <v>20347.2</v>
      </c>
      <c r="AA157">
        <v>9.8082720842499906</v>
      </c>
    </row>
    <row r="158" spans="1:27" x14ac:dyDescent="0.25">
      <c r="A158" s="75"/>
      <c r="B158" s="8"/>
      <c r="C158" s="9">
        <v>42036</v>
      </c>
      <c r="D158">
        <v>3.7</v>
      </c>
      <c r="E158">
        <v>2.7</v>
      </c>
      <c r="F158">
        <v>6</v>
      </c>
      <c r="G158">
        <f t="shared" si="24"/>
        <v>1892.0999999999997</v>
      </c>
      <c r="H158">
        <f t="shared" si="19"/>
        <v>225.7</v>
      </c>
      <c r="J158">
        <v>0.7</v>
      </c>
      <c r="K158">
        <f t="shared" si="25"/>
        <v>223.29999999999998</v>
      </c>
      <c r="L158">
        <v>1.3</v>
      </c>
      <c r="M158">
        <f t="shared" si="26"/>
        <v>258.09999999999991</v>
      </c>
      <c r="N158">
        <v>-0.60000000000000009</v>
      </c>
      <c r="O158">
        <f t="shared" si="21"/>
        <v>66.200000000000017</v>
      </c>
      <c r="P158" s="5">
        <v>153</v>
      </c>
      <c r="Q158" s="6">
        <v>1</v>
      </c>
      <c r="R158" s="11">
        <f t="shared" si="22"/>
        <v>1.3</v>
      </c>
      <c r="S158" s="11">
        <f t="shared" si="23"/>
        <v>-0.60000000000000009</v>
      </c>
      <c r="T158" s="14">
        <f t="shared" si="28"/>
        <v>83.206875000000068</v>
      </c>
      <c r="V158">
        <v>808.1</v>
      </c>
      <c r="X158">
        <f t="shared" si="27"/>
        <v>123894.40000000001</v>
      </c>
      <c r="Y158">
        <f t="shared" si="20"/>
        <v>21155.3</v>
      </c>
      <c r="AA158">
        <v>9.8486898453075806</v>
      </c>
    </row>
    <row r="159" spans="1:27" x14ac:dyDescent="0.25">
      <c r="A159" s="75"/>
      <c r="B159" s="8"/>
      <c r="C159" s="9">
        <v>42037</v>
      </c>
      <c r="D159">
        <v>3.7</v>
      </c>
      <c r="E159">
        <v>1.9</v>
      </c>
      <c r="F159">
        <v>5.5</v>
      </c>
      <c r="G159">
        <f t="shared" si="24"/>
        <v>1895.7999999999997</v>
      </c>
      <c r="H159">
        <f t="shared" si="19"/>
        <v>229.39999999999998</v>
      </c>
      <c r="J159">
        <v>0.1</v>
      </c>
      <c r="K159">
        <f t="shared" si="25"/>
        <v>223.39999999999998</v>
      </c>
      <c r="L159">
        <v>0.7</v>
      </c>
      <c r="M159">
        <f t="shared" si="26"/>
        <v>258.7999999999999</v>
      </c>
      <c r="N159">
        <v>-0.6</v>
      </c>
      <c r="O159">
        <f t="shared" si="21"/>
        <v>65.600000000000023</v>
      </c>
      <c r="P159" s="5">
        <v>154</v>
      </c>
      <c r="Q159" s="6">
        <v>1</v>
      </c>
      <c r="R159" s="11">
        <f t="shared" si="22"/>
        <v>0.7</v>
      </c>
      <c r="S159" s="11">
        <f t="shared" si="23"/>
        <v>-0.6</v>
      </c>
      <c r="T159" s="14">
        <f t="shared" si="28"/>
        <v>82.606875000000073</v>
      </c>
      <c r="V159">
        <v>634.6</v>
      </c>
      <c r="X159">
        <f t="shared" si="27"/>
        <v>124529.00000000001</v>
      </c>
      <c r="Y159">
        <f t="shared" si="20"/>
        <v>21789.899999999998</v>
      </c>
      <c r="AA159">
        <v>9.8896644123426807</v>
      </c>
    </row>
    <row r="160" spans="1:27" x14ac:dyDescent="0.25">
      <c r="A160" s="75"/>
      <c r="B160" s="8"/>
      <c r="C160" s="9">
        <v>42038</v>
      </c>
      <c r="D160">
        <v>0.4</v>
      </c>
      <c r="E160">
        <v>-0.1</v>
      </c>
      <c r="F160">
        <v>1.1000000000000001</v>
      </c>
      <c r="G160">
        <f t="shared" si="24"/>
        <v>1896.1999999999998</v>
      </c>
      <c r="H160">
        <f t="shared" si="19"/>
        <v>229.79999999999998</v>
      </c>
      <c r="J160">
        <v>4.5</v>
      </c>
      <c r="K160">
        <f t="shared" si="25"/>
        <v>227.89999999999998</v>
      </c>
      <c r="L160">
        <v>0.2</v>
      </c>
      <c r="M160">
        <f t="shared" si="26"/>
        <v>258.99999999999989</v>
      </c>
      <c r="N160">
        <v>4.3</v>
      </c>
      <c r="O160">
        <f t="shared" si="21"/>
        <v>69.90000000000002</v>
      </c>
      <c r="P160" s="5">
        <v>155</v>
      </c>
      <c r="Q160" s="6">
        <v>1</v>
      </c>
      <c r="R160" s="11">
        <f t="shared" si="22"/>
        <v>0.2</v>
      </c>
      <c r="S160" s="11">
        <f t="shared" si="23"/>
        <v>4.3</v>
      </c>
      <c r="T160" s="14">
        <f t="shared" si="28"/>
        <v>86.90687500000007</v>
      </c>
      <c r="V160">
        <v>170.9</v>
      </c>
      <c r="X160">
        <f t="shared" si="27"/>
        <v>124699.90000000001</v>
      </c>
      <c r="Y160">
        <f t="shared" si="20"/>
        <v>21960.799999999999</v>
      </c>
      <c r="AA160">
        <v>9.93117428838646</v>
      </c>
    </row>
    <row r="161" spans="1:27" x14ac:dyDescent="0.25">
      <c r="A161" s="75"/>
      <c r="B161" s="8"/>
      <c r="C161" s="9">
        <v>42039</v>
      </c>
      <c r="D161">
        <v>-0.1</v>
      </c>
      <c r="E161">
        <v>-2.6</v>
      </c>
      <c r="F161">
        <v>1.3</v>
      </c>
      <c r="G161">
        <v>1896.2</v>
      </c>
      <c r="H161">
        <v>229.8</v>
      </c>
      <c r="J161">
        <v>0.1</v>
      </c>
      <c r="K161">
        <f t="shared" si="25"/>
        <v>227.99999999999997</v>
      </c>
      <c r="L161">
        <v>0.6</v>
      </c>
      <c r="M161">
        <f t="shared" si="26"/>
        <v>259.59999999999991</v>
      </c>
      <c r="N161">
        <v>-0.5</v>
      </c>
      <c r="O161">
        <f t="shared" si="21"/>
        <v>69.40000000000002</v>
      </c>
      <c r="P161" s="5">
        <v>156</v>
      </c>
      <c r="Q161" s="6">
        <v>1</v>
      </c>
      <c r="R161" s="11">
        <f t="shared" si="22"/>
        <v>0.6</v>
      </c>
      <c r="S161" s="11">
        <f t="shared" si="23"/>
        <v>-0.5</v>
      </c>
      <c r="T161" s="14">
        <f t="shared" si="28"/>
        <v>86.40687500000007</v>
      </c>
      <c r="V161">
        <v>602.79999999999995</v>
      </c>
      <c r="X161">
        <f t="shared" si="27"/>
        <v>125302.70000000001</v>
      </c>
      <c r="Y161">
        <f t="shared" si="20"/>
        <v>22563.599999999999</v>
      </c>
      <c r="AA161">
        <v>9.9731983964313997</v>
      </c>
    </row>
    <row r="162" spans="1:27" x14ac:dyDescent="0.25">
      <c r="A162" s="75"/>
      <c r="B162" s="8">
        <v>6</v>
      </c>
      <c r="C162" s="9">
        <v>42040</v>
      </c>
      <c r="D162">
        <v>0.3</v>
      </c>
      <c r="E162">
        <v>-1.5</v>
      </c>
      <c r="F162">
        <v>2</v>
      </c>
      <c r="G162">
        <f t="shared" si="24"/>
        <v>1896.5</v>
      </c>
      <c r="H162">
        <f t="shared" si="19"/>
        <v>230.10000000000002</v>
      </c>
      <c r="J162">
        <v>0.1</v>
      </c>
      <c r="K162">
        <f t="shared" si="25"/>
        <v>228.09999999999997</v>
      </c>
      <c r="L162">
        <v>1</v>
      </c>
      <c r="M162">
        <f t="shared" si="26"/>
        <v>260.59999999999991</v>
      </c>
      <c r="N162">
        <v>-0.9</v>
      </c>
      <c r="O162">
        <f t="shared" si="21"/>
        <v>68.500000000000014</v>
      </c>
      <c r="P162" s="5">
        <v>157</v>
      </c>
      <c r="Q162" s="6">
        <v>1</v>
      </c>
      <c r="R162" s="11">
        <f t="shared" si="22"/>
        <v>1</v>
      </c>
      <c r="S162" s="11">
        <f t="shared" si="23"/>
        <v>-0.9</v>
      </c>
      <c r="T162" s="14">
        <f t="shared" si="28"/>
        <v>85.506875000000065</v>
      </c>
      <c r="V162">
        <v>988.3</v>
      </c>
      <c r="X162">
        <f t="shared" si="27"/>
        <v>126291.00000000001</v>
      </c>
      <c r="Y162">
        <f t="shared" si="20"/>
        <v>23551.899999999998</v>
      </c>
      <c r="AA162">
        <v>10.015716096040601</v>
      </c>
    </row>
    <row r="163" spans="1:27" x14ac:dyDescent="0.25">
      <c r="A163" s="75"/>
      <c r="B163" s="8"/>
      <c r="C163" s="9">
        <v>42041</v>
      </c>
      <c r="D163">
        <v>0.2</v>
      </c>
      <c r="E163">
        <v>-0.5</v>
      </c>
      <c r="F163">
        <v>1</v>
      </c>
      <c r="G163">
        <f t="shared" si="24"/>
        <v>1896.7</v>
      </c>
      <c r="H163">
        <f t="shared" si="19"/>
        <v>230.3</v>
      </c>
      <c r="J163">
        <v>0.1</v>
      </c>
      <c r="K163">
        <f t="shared" si="25"/>
        <v>228.19999999999996</v>
      </c>
      <c r="L163">
        <v>0.5</v>
      </c>
      <c r="M163">
        <f t="shared" si="26"/>
        <v>261.09999999999991</v>
      </c>
      <c r="N163">
        <v>-0.4</v>
      </c>
      <c r="O163">
        <f t="shared" si="21"/>
        <v>68.100000000000009</v>
      </c>
      <c r="P163" s="5">
        <v>158</v>
      </c>
      <c r="Q163" s="6">
        <v>1</v>
      </c>
      <c r="R163" s="11">
        <f t="shared" si="22"/>
        <v>0.5</v>
      </c>
      <c r="S163" s="11">
        <f t="shared" si="23"/>
        <v>-0.4</v>
      </c>
      <c r="T163" s="14">
        <f t="shared" si="28"/>
        <v>85.106875000000059</v>
      </c>
      <c r="V163">
        <v>280.89999999999998</v>
      </c>
      <c r="X163">
        <f t="shared" si="27"/>
        <v>126571.90000000001</v>
      </c>
      <c r="Y163">
        <f t="shared" si="20"/>
        <v>23832.799999999999</v>
      </c>
      <c r="AA163">
        <v>10.058707197576799</v>
      </c>
    </row>
    <row r="164" spans="1:27" x14ac:dyDescent="0.25">
      <c r="A164" s="75"/>
      <c r="B164" s="8"/>
      <c r="C164" s="9">
        <v>42042</v>
      </c>
      <c r="D164">
        <v>1.7</v>
      </c>
      <c r="E164">
        <v>-0.2</v>
      </c>
      <c r="F164">
        <v>4.2</v>
      </c>
      <c r="G164">
        <f t="shared" si="24"/>
        <v>1898.4</v>
      </c>
      <c r="H164">
        <f t="shared" si="19"/>
        <v>232</v>
      </c>
      <c r="J164">
        <v>0</v>
      </c>
      <c r="K164">
        <f t="shared" si="25"/>
        <v>228.19999999999996</v>
      </c>
      <c r="L164">
        <v>1.3</v>
      </c>
      <c r="M164">
        <f t="shared" si="26"/>
        <v>262.39999999999992</v>
      </c>
      <c r="N164">
        <v>-1.3</v>
      </c>
      <c r="O164">
        <f t="shared" si="21"/>
        <v>66.800000000000011</v>
      </c>
      <c r="P164" s="5">
        <v>159</v>
      </c>
      <c r="Q164" s="6">
        <v>1</v>
      </c>
      <c r="R164" s="11">
        <f t="shared" si="22"/>
        <v>1.3</v>
      </c>
      <c r="S164" s="11">
        <f t="shared" si="23"/>
        <v>-1.3</v>
      </c>
      <c r="T164" s="14">
        <f t="shared" si="28"/>
        <v>83.806875000000062</v>
      </c>
      <c r="V164">
        <v>1110.8</v>
      </c>
      <c r="X164">
        <f t="shared" si="27"/>
        <v>127682.70000000001</v>
      </c>
      <c r="Y164">
        <f t="shared" si="20"/>
        <v>24943.599999999999</v>
      </c>
      <c r="AA164">
        <v>10.1021519741451</v>
      </c>
    </row>
    <row r="165" spans="1:27" x14ac:dyDescent="0.25">
      <c r="A165" s="75"/>
      <c r="B165" s="8"/>
      <c r="C165" s="9">
        <v>42043</v>
      </c>
      <c r="D165">
        <v>2.7</v>
      </c>
      <c r="E165">
        <v>0.8</v>
      </c>
      <c r="F165">
        <v>4.8</v>
      </c>
      <c r="G165">
        <f t="shared" si="24"/>
        <v>1901.1000000000001</v>
      </c>
      <c r="H165">
        <f t="shared" si="19"/>
        <v>234.7</v>
      </c>
      <c r="J165">
        <v>0</v>
      </c>
      <c r="K165">
        <f t="shared" si="25"/>
        <v>228.19999999999996</v>
      </c>
      <c r="L165">
        <v>1.3</v>
      </c>
      <c r="M165">
        <f t="shared" si="26"/>
        <v>263.69999999999993</v>
      </c>
      <c r="N165">
        <v>-1.3</v>
      </c>
      <c r="O165">
        <f t="shared" si="21"/>
        <v>65.500000000000014</v>
      </c>
      <c r="P165" s="5">
        <v>160</v>
      </c>
      <c r="Q165" s="6">
        <v>1</v>
      </c>
      <c r="R165" s="11">
        <f t="shared" si="22"/>
        <v>1.3</v>
      </c>
      <c r="S165" s="11">
        <f t="shared" si="23"/>
        <v>-1.3</v>
      </c>
      <c r="T165" s="14">
        <f t="shared" si="28"/>
        <v>82.506875000000065</v>
      </c>
      <c r="V165">
        <v>1115.3</v>
      </c>
      <c r="X165">
        <f t="shared" si="27"/>
        <v>128798.00000000001</v>
      </c>
      <c r="Y165">
        <f t="shared" si="20"/>
        <v>26058.899999999998</v>
      </c>
      <c r="AA165">
        <v>10.146031171348</v>
      </c>
    </row>
    <row r="166" spans="1:27" x14ac:dyDescent="0.25">
      <c r="A166" s="75"/>
      <c r="B166" s="8"/>
      <c r="C166" s="9">
        <v>42044</v>
      </c>
      <c r="D166">
        <v>3.5</v>
      </c>
      <c r="E166">
        <v>-0.1</v>
      </c>
      <c r="F166">
        <v>6.4</v>
      </c>
      <c r="G166">
        <f t="shared" si="24"/>
        <v>1904.6000000000001</v>
      </c>
      <c r="H166">
        <f t="shared" si="19"/>
        <v>238.2</v>
      </c>
      <c r="J166">
        <v>0</v>
      </c>
      <c r="K166">
        <f t="shared" si="25"/>
        <v>228.19999999999996</v>
      </c>
      <c r="L166">
        <v>1.5</v>
      </c>
      <c r="M166">
        <f t="shared" si="26"/>
        <v>265.19999999999993</v>
      </c>
      <c r="N166">
        <v>-1.5</v>
      </c>
      <c r="O166">
        <f t="shared" si="21"/>
        <v>64.000000000000014</v>
      </c>
      <c r="P166" s="5">
        <v>161</v>
      </c>
      <c r="Q166" s="6">
        <v>1</v>
      </c>
      <c r="R166" s="11">
        <f t="shared" si="22"/>
        <v>1.5</v>
      </c>
      <c r="S166" s="11">
        <f t="shared" si="23"/>
        <v>-1.5</v>
      </c>
      <c r="T166" s="14">
        <f t="shared" si="28"/>
        <v>81.006875000000065</v>
      </c>
      <c r="V166">
        <v>1328.8</v>
      </c>
      <c r="X166">
        <f t="shared" si="27"/>
        <v>130126.80000000002</v>
      </c>
      <c r="Y166">
        <f t="shared" si="20"/>
        <v>27387.699999999997</v>
      </c>
      <c r="AA166">
        <v>10.1903260149566</v>
      </c>
    </row>
    <row r="167" spans="1:27" x14ac:dyDescent="0.25">
      <c r="A167" s="75"/>
      <c r="B167" s="8"/>
      <c r="C167" s="9">
        <v>42045</v>
      </c>
      <c r="D167">
        <v>4.2</v>
      </c>
      <c r="E167">
        <v>-0.7</v>
      </c>
      <c r="F167">
        <v>9.9</v>
      </c>
      <c r="G167">
        <f t="shared" si="24"/>
        <v>1908.8000000000002</v>
      </c>
      <c r="H167">
        <f t="shared" si="19"/>
        <v>242.39999999999998</v>
      </c>
      <c r="J167">
        <v>0</v>
      </c>
      <c r="K167">
        <f t="shared" si="25"/>
        <v>228.19999999999996</v>
      </c>
      <c r="L167">
        <v>1.7</v>
      </c>
      <c r="M167">
        <f t="shared" si="26"/>
        <v>266.89999999999992</v>
      </c>
      <c r="N167">
        <v>-1.7</v>
      </c>
      <c r="O167">
        <f t="shared" si="21"/>
        <v>62.300000000000011</v>
      </c>
      <c r="P167" s="5">
        <v>162</v>
      </c>
      <c r="Q167" s="6">
        <v>1</v>
      </c>
      <c r="R167" s="11">
        <f t="shared" si="22"/>
        <v>1.7</v>
      </c>
      <c r="S167" s="11">
        <f t="shared" si="23"/>
        <v>-1.7</v>
      </c>
      <c r="T167" s="14">
        <f t="shared" si="28"/>
        <v>79.306875000000062</v>
      </c>
      <c r="V167">
        <v>1280.8</v>
      </c>
      <c r="X167">
        <f t="shared" si="27"/>
        <v>131407.6</v>
      </c>
      <c r="Y167">
        <f t="shared" si="20"/>
        <v>28668.499999999996</v>
      </c>
      <c r="AA167">
        <v>10.235018216601899</v>
      </c>
    </row>
    <row r="168" spans="1:27" x14ac:dyDescent="0.25">
      <c r="A168" s="75"/>
      <c r="B168" s="8"/>
      <c r="C168" s="9">
        <v>42046</v>
      </c>
      <c r="D168">
        <v>5.3</v>
      </c>
      <c r="E168">
        <v>-1.6</v>
      </c>
      <c r="F168">
        <v>10.9</v>
      </c>
      <c r="G168">
        <f t="shared" si="24"/>
        <v>1914.1000000000001</v>
      </c>
      <c r="H168">
        <f t="shared" si="19"/>
        <v>247.7</v>
      </c>
      <c r="J168">
        <v>0</v>
      </c>
      <c r="K168">
        <f t="shared" si="25"/>
        <v>228.19999999999996</v>
      </c>
      <c r="L168">
        <v>1.4</v>
      </c>
      <c r="M168">
        <f t="shared" si="26"/>
        <v>268.2999999999999</v>
      </c>
      <c r="N168">
        <v>-1.4</v>
      </c>
      <c r="O168">
        <f t="shared" si="21"/>
        <v>60.900000000000013</v>
      </c>
      <c r="P168" s="5">
        <v>163</v>
      </c>
      <c r="Q168" s="6">
        <v>1</v>
      </c>
      <c r="R168" s="11">
        <f t="shared" si="22"/>
        <v>1.4</v>
      </c>
      <c r="S168" s="11">
        <f t="shared" si="23"/>
        <v>-1.4</v>
      </c>
      <c r="T168" s="14">
        <f t="shared" si="28"/>
        <v>77.906875000000056</v>
      </c>
      <c r="V168">
        <v>1099.3</v>
      </c>
      <c r="X168">
        <f t="shared" si="27"/>
        <v>132506.9</v>
      </c>
      <c r="Y168">
        <f t="shared" si="20"/>
        <v>29767.799999999996</v>
      </c>
      <c r="AA168">
        <v>10.2800899775938</v>
      </c>
    </row>
    <row r="169" spans="1:27" x14ac:dyDescent="0.25">
      <c r="A169" s="75"/>
      <c r="B169" s="8">
        <v>7</v>
      </c>
      <c r="C169" s="9">
        <v>42047</v>
      </c>
      <c r="D169">
        <v>8</v>
      </c>
      <c r="E169">
        <v>5</v>
      </c>
      <c r="F169">
        <v>10</v>
      </c>
      <c r="G169">
        <f t="shared" si="24"/>
        <v>1922.1000000000001</v>
      </c>
      <c r="H169">
        <f t="shared" si="19"/>
        <v>255.7</v>
      </c>
      <c r="J169">
        <v>0</v>
      </c>
      <c r="K169">
        <f t="shared" si="25"/>
        <v>228.19999999999996</v>
      </c>
      <c r="L169">
        <v>1</v>
      </c>
      <c r="M169">
        <f t="shared" si="26"/>
        <v>269.2999999999999</v>
      </c>
      <c r="N169">
        <v>-1</v>
      </c>
      <c r="O169">
        <f t="shared" si="21"/>
        <v>59.900000000000013</v>
      </c>
      <c r="P169" s="5">
        <v>164</v>
      </c>
      <c r="Q169" s="6">
        <v>1</v>
      </c>
      <c r="R169" s="11">
        <f t="shared" si="22"/>
        <v>1</v>
      </c>
      <c r="S169" s="11">
        <f t="shared" si="23"/>
        <v>-1</v>
      </c>
      <c r="T169" s="14">
        <f t="shared" si="28"/>
        <v>76.906875000000056</v>
      </c>
      <c r="V169">
        <v>663.4</v>
      </c>
      <c r="X169">
        <f t="shared" si="27"/>
        <v>133170.29999999999</v>
      </c>
      <c r="Y169">
        <f t="shared" si="20"/>
        <v>30431.199999999997</v>
      </c>
      <c r="AA169">
        <v>10.325523990975</v>
      </c>
    </row>
    <row r="170" spans="1:27" s="51" customFormat="1" ht="15.75" thickBot="1" x14ac:dyDescent="0.3">
      <c r="A170" s="75"/>
      <c r="B170" s="58"/>
      <c r="C170" s="50">
        <v>42048</v>
      </c>
      <c r="D170" s="51">
        <v>9.9</v>
      </c>
      <c r="E170" s="51">
        <v>5.7</v>
      </c>
      <c r="F170" s="51">
        <v>13.3</v>
      </c>
      <c r="G170" s="51">
        <f t="shared" si="24"/>
        <v>1932.0000000000002</v>
      </c>
      <c r="H170" s="51">
        <f t="shared" si="19"/>
        <v>265.59999999999997</v>
      </c>
      <c r="I170" s="52"/>
      <c r="J170" s="51">
        <v>1.6</v>
      </c>
      <c r="K170" s="51">
        <f t="shared" si="25"/>
        <v>229.79999999999995</v>
      </c>
      <c r="L170" s="51">
        <v>1.6</v>
      </c>
      <c r="M170" s="51">
        <f t="shared" si="26"/>
        <v>270.89999999999992</v>
      </c>
      <c r="N170" s="51">
        <v>0</v>
      </c>
      <c r="O170" s="51">
        <f t="shared" si="21"/>
        <v>59.900000000000013</v>
      </c>
      <c r="P170" s="53">
        <v>165</v>
      </c>
      <c r="Q170" s="51">
        <v>1</v>
      </c>
      <c r="R170" s="55">
        <f t="shared" si="22"/>
        <v>1.6</v>
      </c>
      <c r="S170" s="55">
        <f t="shared" si="23"/>
        <v>0</v>
      </c>
      <c r="T170" s="56">
        <f t="shared" si="28"/>
        <v>76.906875000000056</v>
      </c>
      <c r="V170" s="51">
        <v>1033.3</v>
      </c>
      <c r="X170" s="51">
        <f t="shared" si="27"/>
        <v>134203.59999999998</v>
      </c>
      <c r="Y170" s="54">
        <f t="shared" si="20"/>
        <v>31464.499999999996</v>
      </c>
      <c r="Z170" s="52"/>
      <c r="AA170" s="51">
        <v>10.3713034419173</v>
      </c>
    </row>
    <row r="171" spans="1:27" ht="15" customHeight="1" x14ac:dyDescent="0.25">
      <c r="A171" s="76" t="s">
        <v>35</v>
      </c>
      <c r="B171" s="8"/>
      <c r="C171" s="9">
        <v>42049</v>
      </c>
      <c r="D171">
        <v>8.4</v>
      </c>
      <c r="E171">
        <v>8.1999999999999993</v>
      </c>
      <c r="F171">
        <v>8.5</v>
      </c>
      <c r="G171">
        <f t="shared" si="24"/>
        <v>1940.4000000000003</v>
      </c>
      <c r="H171">
        <v>8.4</v>
      </c>
      <c r="I171" s="20" t="s">
        <v>41</v>
      </c>
      <c r="J171">
        <v>12.1</v>
      </c>
      <c r="K171">
        <f t="shared" si="25"/>
        <v>241.89999999999995</v>
      </c>
      <c r="L171">
        <v>0.9</v>
      </c>
      <c r="M171">
        <f t="shared" si="26"/>
        <v>271.7999999999999</v>
      </c>
      <c r="N171">
        <v>11.2</v>
      </c>
      <c r="O171">
        <f t="shared" si="21"/>
        <v>71.100000000000009</v>
      </c>
      <c r="P171" s="5">
        <v>166</v>
      </c>
      <c r="Q171" s="21">
        <f>1+((P171-165)/39)*(1.15-1)</f>
        <v>1.0038461538461538</v>
      </c>
      <c r="R171" s="11">
        <f t="shared" si="22"/>
        <v>0.90346153846153843</v>
      </c>
      <c r="S171" s="11">
        <f t="shared" si="23"/>
        <v>11.196538461538461</v>
      </c>
      <c r="T171" s="14">
        <f t="shared" si="28"/>
        <v>88.103413461538523</v>
      </c>
      <c r="U171" s="20" t="s">
        <v>28</v>
      </c>
      <c r="V171">
        <v>411.9</v>
      </c>
      <c r="X171">
        <f t="shared" si="27"/>
        <v>134615.49999999997</v>
      </c>
      <c r="Y171">
        <v>411.9</v>
      </c>
      <c r="Z171" s="20" t="s">
        <v>51</v>
      </c>
      <c r="AA171">
        <v>10.417412006566201</v>
      </c>
    </row>
    <row r="172" spans="1:27" x14ac:dyDescent="0.25">
      <c r="A172" s="76"/>
      <c r="B172" s="8"/>
      <c r="C172" s="9">
        <v>42050</v>
      </c>
      <c r="D172">
        <v>8.1999999999999993</v>
      </c>
      <c r="E172">
        <v>7.7</v>
      </c>
      <c r="F172">
        <v>10.3</v>
      </c>
      <c r="G172">
        <f t="shared" si="24"/>
        <v>1948.6000000000004</v>
      </c>
      <c r="H172">
        <f t="shared" si="19"/>
        <v>16.600000000000001</v>
      </c>
      <c r="I172">
        <f>MIN(E171:E209)</f>
        <v>0.4</v>
      </c>
      <c r="J172">
        <v>1.1000000000000001</v>
      </c>
      <c r="K172">
        <f t="shared" si="25"/>
        <v>242.99999999999994</v>
      </c>
      <c r="L172">
        <v>1.6</v>
      </c>
      <c r="M172">
        <f t="shared" si="26"/>
        <v>273.39999999999992</v>
      </c>
      <c r="N172">
        <v>-0.5</v>
      </c>
      <c r="O172">
        <f t="shared" si="21"/>
        <v>70.600000000000009</v>
      </c>
      <c r="P172" s="5">
        <v>167</v>
      </c>
      <c r="Q172" s="21">
        <f t="shared" ref="Q172:Q209" si="29">1+((P172-165)/39)*(1.15-1)</f>
        <v>1.0076923076923077</v>
      </c>
      <c r="R172" s="11">
        <f t="shared" si="22"/>
        <v>1.6123076923076924</v>
      </c>
      <c r="S172" s="11">
        <f t="shared" si="23"/>
        <v>-0.51230769230769235</v>
      </c>
      <c r="T172" s="14">
        <f t="shared" si="28"/>
        <v>87.591105769230836</v>
      </c>
      <c r="U172">
        <v>22</v>
      </c>
      <c r="V172">
        <v>966.5</v>
      </c>
      <c r="X172">
        <f t="shared" si="27"/>
        <v>135581.99999999997</v>
      </c>
      <c r="Y172">
        <f t="shared" si="20"/>
        <v>1378.4</v>
      </c>
      <c r="Z172">
        <v>39160.400000000001</v>
      </c>
      <c r="AA172">
        <v>10.4638338494391</v>
      </c>
    </row>
    <row r="173" spans="1:27" x14ac:dyDescent="0.25">
      <c r="A173" s="76"/>
      <c r="B173" s="8" t="s">
        <v>36</v>
      </c>
      <c r="C173" s="9">
        <v>42051</v>
      </c>
      <c r="D173">
        <v>7.5</v>
      </c>
      <c r="E173">
        <v>3.5</v>
      </c>
      <c r="F173">
        <v>11.3</v>
      </c>
      <c r="G173">
        <f t="shared" si="24"/>
        <v>1956.1000000000004</v>
      </c>
      <c r="H173">
        <f t="shared" si="19"/>
        <v>24.1</v>
      </c>
      <c r="I173" s="20" t="s">
        <v>42</v>
      </c>
      <c r="J173">
        <v>1.9</v>
      </c>
      <c r="K173">
        <f t="shared" si="25"/>
        <v>244.89999999999995</v>
      </c>
      <c r="L173">
        <v>1.2</v>
      </c>
      <c r="M173">
        <f t="shared" si="26"/>
        <v>274.59999999999991</v>
      </c>
      <c r="N173">
        <v>0.7</v>
      </c>
      <c r="O173">
        <f t="shared" si="21"/>
        <v>71.300000000000011</v>
      </c>
      <c r="P173" s="5">
        <v>168</v>
      </c>
      <c r="Q173" s="21">
        <f t="shared" si="29"/>
        <v>1.0115384615384615</v>
      </c>
      <c r="R173" s="11">
        <f t="shared" si="22"/>
        <v>1.2138461538461538</v>
      </c>
      <c r="S173" s="11">
        <f t="shared" si="23"/>
        <v>0.68615384615384611</v>
      </c>
      <c r="T173" s="14">
        <f t="shared" si="28"/>
        <v>88.277259615384679</v>
      </c>
      <c r="U173" s="20" t="s">
        <v>48</v>
      </c>
      <c r="V173">
        <v>929.2</v>
      </c>
      <c r="X173">
        <f t="shared" si="27"/>
        <v>136511.19999999998</v>
      </c>
      <c r="Y173">
        <f t="shared" si="20"/>
        <v>2307.6000000000004</v>
      </c>
      <c r="Z173" s="20" t="s">
        <v>29</v>
      </c>
      <c r="AA173">
        <v>10.5105536194789</v>
      </c>
    </row>
    <row r="174" spans="1:27" x14ac:dyDescent="0.25">
      <c r="A174" s="76"/>
      <c r="B174" s="8"/>
      <c r="C174" s="9">
        <v>42052</v>
      </c>
      <c r="D174">
        <v>8.6</v>
      </c>
      <c r="E174">
        <v>7.6</v>
      </c>
      <c r="F174">
        <v>10.6</v>
      </c>
      <c r="G174">
        <f t="shared" si="24"/>
        <v>1964.7000000000003</v>
      </c>
      <c r="H174">
        <f t="shared" si="19"/>
        <v>32.700000000000003</v>
      </c>
      <c r="I174">
        <f>MAX(F171:F209)</f>
        <v>18.899999999999999</v>
      </c>
      <c r="J174">
        <v>0.4</v>
      </c>
      <c r="K174">
        <f t="shared" si="25"/>
        <v>245.29999999999995</v>
      </c>
      <c r="L174">
        <v>1.5</v>
      </c>
      <c r="M174">
        <f t="shared" si="26"/>
        <v>276.09999999999991</v>
      </c>
      <c r="N174">
        <v>-1.1000000000000001</v>
      </c>
      <c r="O174">
        <f t="shared" si="21"/>
        <v>70.200000000000017</v>
      </c>
      <c r="P174" s="5">
        <v>169</v>
      </c>
      <c r="Q174" s="21">
        <f t="shared" si="29"/>
        <v>1.0153846153846153</v>
      </c>
      <c r="R174" s="11">
        <f t="shared" si="22"/>
        <v>1.523076923076923</v>
      </c>
      <c r="S174" s="11">
        <f t="shared" si="23"/>
        <v>-1.1230769230769231</v>
      </c>
      <c r="T174" s="14">
        <f t="shared" si="28"/>
        <v>87.154182692307756</v>
      </c>
      <c r="U174">
        <v>0</v>
      </c>
      <c r="V174">
        <v>813.5</v>
      </c>
      <c r="X174">
        <f t="shared" si="27"/>
        <v>137324.69999999998</v>
      </c>
      <c r="Y174">
        <f t="shared" si="20"/>
        <v>3121.1000000000004</v>
      </c>
      <c r="Z174" s="15">
        <f>(Z172/100)/I184</f>
        <v>1.1090455961484</v>
      </c>
      <c r="AA174">
        <v>10.557556444863501</v>
      </c>
    </row>
    <row r="175" spans="1:27" x14ac:dyDescent="0.25">
      <c r="A175" s="76"/>
      <c r="B175" s="8"/>
      <c r="C175" s="9">
        <v>42053</v>
      </c>
      <c r="D175">
        <v>7.2</v>
      </c>
      <c r="E175">
        <v>6.1</v>
      </c>
      <c r="F175">
        <v>9.6</v>
      </c>
      <c r="G175">
        <f t="shared" si="24"/>
        <v>1971.9000000000003</v>
      </c>
      <c r="H175">
        <f t="shared" si="19"/>
        <v>39.900000000000006</v>
      </c>
      <c r="I175" s="20" t="s">
        <v>43</v>
      </c>
      <c r="J175">
        <v>0</v>
      </c>
      <c r="K175">
        <f t="shared" si="25"/>
        <v>245.29999999999995</v>
      </c>
      <c r="L175">
        <v>2</v>
      </c>
      <c r="M175">
        <f t="shared" si="26"/>
        <v>278.09999999999991</v>
      </c>
      <c r="N175">
        <v>-2</v>
      </c>
      <c r="O175">
        <f t="shared" si="21"/>
        <v>68.200000000000017</v>
      </c>
      <c r="P175" s="5">
        <v>170</v>
      </c>
      <c r="Q175" s="21">
        <f t="shared" si="29"/>
        <v>1.0192307692307692</v>
      </c>
      <c r="R175" s="11">
        <f t="shared" si="22"/>
        <v>2.0384615384615383</v>
      </c>
      <c r="S175" s="11">
        <f t="shared" si="23"/>
        <v>-2.0384615384615383</v>
      </c>
      <c r="T175" s="14">
        <f t="shared" si="28"/>
        <v>85.115721153846224</v>
      </c>
      <c r="U175" s="20" t="s">
        <v>49</v>
      </c>
      <c r="V175">
        <v>1240.9000000000001</v>
      </c>
      <c r="X175">
        <f t="shared" si="27"/>
        <v>138565.59999999998</v>
      </c>
      <c r="Y175">
        <f t="shared" si="20"/>
        <v>4362</v>
      </c>
      <c r="Z175" s="20" t="s">
        <v>52</v>
      </c>
      <c r="AA175">
        <v>10.604827926667101</v>
      </c>
    </row>
    <row r="176" spans="1:27" x14ac:dyDescent="0.25">
      <c r="A176" s="76"/>
      <c r="B176" s="8"/>
      <c r="C176" s="9">
        <v>42054</v>
      </c>
      <c r="D176">
        <v>6.2</v>
      </c>
      <c r="E176">
        <v>0.4</v>
      </c>
      <c r="F176">
        <v>10.7</v>
      </c>
      <c r="G176">
        <f t="shared" si="24"/>
        <v>1978.1000000000004</v>
      </c>
      <c r="H176">
        <f t="shared" si="19"/>
        <v>46.100000000000009</v>
      </c>
      <c r="I176" s="16">
        <f>AVERAGE(D171:D209)</f>
        <v>9.0538461538461554</v>
      </c>
      <c r="J176">
        <v>0</v>
      </c>
      <c r="K176">
        <f t="shared" si="25"/>
        <v>245.29999999999995</v>
      </c>
      <c r="L176">
        <v>1.7</v>
      </c>
      <c r="M176">
        <f t="shared" si="26"/>
        <v>279.7999999999999</v>
      </c>
      <c r="N176">
        <v>-1.7</v>
      </c>
      <c r="O176">
        <f t="shared" si="21"/>
        <v>66.500000000000014</v>
      </c>
      <c r="P176" s="5">
        <v>171</v>
      </c>
      <c r="Q176" s="21">
        <f t="shared" si="29"/>
        <v>1.023076923076923</v>
      </c>
      <c r="R176" s="11">
        <f t="shared" si="22"/>
        <v>1.7392307692307691</v>
      </c>
      <c r="S176" s="11">
        <f t="shared" si="23"/>
        <v>-1.7392307692307691</v>
      </c>
      <c r="T176" s="14">
        <f t="shared" si="28"/>
        <v>83.376490384615451</v>
      </c>
      <c r="U176">
        <v>0</v>
      </c>
      <c r="V176">
        <v>1429.9</v>
      </c>
      <c r="X176">
        <f t="shared" si="27"/>
        <v>139995.49999999997</v>
      </c>
      <c r="Y176">
        <f t="shared" si="20"/>
        <v>5791.9</v>
      </c>
      <c r="Z176">
        <v>14</v>
      </c>
      <c r="AA176">
        <v>10.652354131468099</v>
      </c>
    </row>
    <row r="177" spans="1:28" x14ac:dyDescent="0.25">
      <c r="A177" s="76"/>
      <c r="B177" s="8">
        <v>8</v>
      </c>
      <c r="C177" s="9">
        <v>42055</v>
      </c>
      <c r="D177">
        <v>8.1999999999999993</v>
      </c>
      <c r="E177">
        <v>2.7</v>
      </c>
      <c r="F177">
        <v>12.8</v>
      </c>
      <c r="G177">
        <f t="shared" si="24"/>
        <v>1986.3000000000004</v>
      </c>
      <c r="H177">
        <f t="shared" si="19"/>
        <v>54.300000000000011</v>
      </c>
      <c r="I177" s="20" t="s">
        <v>44</v>
      </c>
      <c r="J177">
        <v>9.6999999999999993</v>
      </c>
      <c r="K177">
        <f t="shared" si="25"/>
        <v>254.99999999999994</v>
      </c>
      <c r="L177">
        <v>1.8</v>
      </c>
      <c r="M177">
        <f t="shared" si="26"/>
        <v>281.59999999999991</v>
      </c>
      <c r="N177">
        <v>7.8999999999999995</v>
      </c>
      <c r="O177">
        <f t="shared" si="21"/>
        <v>74.40000000000002</v>
      </c>
      <c r="P177" s="5">
        <v>172</v>
      </c>
      <c r="Q177" s="21">
        <f t="shared" si="29"/>
        <v>1.0269230769230768</v>
      </c>
      <c r="R177" s="11">
        <f t="shared" si="22"/>
        <v>1.8484615384615384</v>
      </c>
      <c r="S177" s="11">
        <f t="shared" si="23"/>
        <v>7.8515384615384605</v>
      </c>
      <c r="T177" s="14">
        <f t="shared" si="28"/>
        <v>91.228028846153904</v>
      </c>
      <c r="U177" s="20" t="s">
        <v>30</v>
      </c>
      <c r="V177">
        <v>1169.2</v>
      </c>
      <c r="X177">
        <f t="shared" si="27"/>
        <v>141164.69999999998</v>
      </c>
      <c r="Y177">
        <f t="shared" si="20"/>
        <v>6961.0999999999995</v>
      </c>
      <c r="AA177">
        <v>10.7001215829912</v>
      </c>
    </row>
    <row r="178" spans="1:28" x14ac:dyDescent="0.25">
      <c r="A178" s="76"/>
      <c r="B178" s="8"/>
      <c r="C178" s="9">
        <v>42056</v>
      </c>
      <c r="D178">
        <v>6.7</v>
      </c>
      <c r="E178">
        <v>4.8</v>
      </c>
      <c r="F178">
        <v>9.5</v>
      </c>
      <c r="G178">
        <f t="shared" si="24"/>
        <v>1993.0000000000005</v>
      </c>
      <c r="H178">
        <f t="shared" si="19"/>
        <v>61.000000000000014</v>
      </c>
      <c r="I178">
        <v>0</v>
      </c>
      <c r="J178">
        <v>5.8</v>
      </c>
      <c r="K178">
        <f t="shared" si="25"/>
        <v>260.79999999999995</v>
      </c>
      <c r="L178">
        <v>1.1000000000000001</v>
      </c>
      <c r="M178">
        <f t="shared" si="26"/>
        <v>282.69999999999993</v>
      </c>
      <c r="N178">
        <v>4.6999999999999993</v>
      </c>
      <c r="O178">
        <f t="shared" si="21"/>
        <v>79.100000000000023</v>
      </c>
      <c r="P178" s="5">
        <v>173</v>
      </c>
      <c r="Q178" s="21">
        <f t="shared" si="29"/>
        <v>1.0307692307692307</v>
      </c>
      <c r="R178" s="11">
        <f t="shared" si="22"/>
        <v>1.1338461538461537</v>
      </c>
      <c r="S178" s="11">
        <f t="shared" si="23"/>
        <v>4.6661538461538461</v>
      </c>
      <c r="T178" s="14">
        <f t="shared" si="28"/>
        <v>95.894182692307751</v>
      </c>
      <c r="U178" s="16">
        <f>MIN(T171:T209)</f>
        <v>83.376490384615451</v>
      </c>
      <c r="V178">
        <v>563.70000000000005</v>
      </c>
      <c r="X178">
        <f t="shared" si="27"/>
        <v>141728.4</v>
      </c>
      <c r="Y178">
        <f t="shared" si="20"/>
        <v>7524.7999999999993</v>
      </c>
      <c r="AA178">
        <v>10.7481172528709</v>
      </c>
    </row>
    <row r="179" spans="1:28" x14ac:dyDescent="0.25">
      <c r="A179" s="76"/>
      <c r="B179" s="8"/>
      <c r="C179" s="9">
        <v>42057</v>
      </c>
      <c r="D179">
        <v>5.2</v>
      </c>
      <c r="E179">
        <v>1.6</v>
      </c>
      <c r="F179">
        <v>10.3</v>
      </c>
      <c r="G179">
        <f t="shared" si="24"/>
        <v>1998.2000000000005</v>
      </c>
      <c r="H179">
        <f t="shared" si="19"/>
        <v>66.200000000000017</v>
      </c>
      <c r="I179" s="20" t="s">
        <v>45</v>
      </c>
      <c r="J179">
        <v>2.8</v>
      </c>
      <c r="K179">
        <f t="shared" si="25"/>
        <v>263.59999999999997</v>
      </c>
      <c r="L179">
        <v>1.9</v>
      </c>
      <c r="M179">
        <f t="shared" si="26"/>
        <v>284.59999999999991</v>
      </c>
      <c r="N179">
        <v>0.89999999999999991</v>
      </c>
      <c r="O179">
        <f t="shared" si="21"/>
        <v>80.000000000000028</v>
      </c>
      <c r="P179" s="5">
        <v>174</v>
      </c>
      <c r="Q179" s="21">
        <f t="shared" si="29"/>
        <v>1.0346153846153845</v>
      </c>
      <c r="R179" s="11">
        <f t="shared" si="22"/>
        <v>1.9657692307692305</v>
      </c>
      <c r="S179" s="11">
        <f t="shared" si="23"/>
        <v>0.83423076923076933</v>
      </c>
      <c r="T179" s="14">
        <f t="shared" si="28"/>
        <v>96.728413461538523</v>
      </c>
      <c r="U179" s="20" t="s">
        <v>31</v>
      </c>
      <c r="V179">
        <v>1270.0999999999999</v>
      </c>
      <c r="X179">
        <f t="shared" si="27"/>
        <v>142998.5</v>
      </c>
      <c r="Y179">
        <f t="shared" si="20"/>
        <v>8794.9</v>
      </c>
      <c r="AA179">
        <v>10.796328550617201</v>
      </c>
    </row>
    <row r="180" spans="1:28" x14ac:dyDescent="0.25">
      <c r="A180" s="76"/>
      <c r="B180" s="8"/>
      <c r="C180" s="9">
        <v>42058</v>
      </c>
      <c r="D180">
        <v>9.5</v>
      </c>
      <c r="E180">
        <v>5.2</v>
      </c>
      <c r="F180">
        <v>12.7</v>
      </c>
      <c r="G180">
        <f t="shared" si="24"/>
        <v>2007.7000000000005</v>
      </c>
      <c r="H180">
        <f t="shared" si="19"/>
        <v>75.700000000000017</v>
      </c>
      <c r="I180">
        <v>0</v>
      </c>
      <c r="J180">
        <v>8.1</v>
      </c>
      <c r="K180">
        <f t="shared" si="25"/>
        <v>271.7</v>
      </c>
      <c r="L180">
        <v>0.9</v>
      </c>
      <c r="M180">
        <f t="shared" si="26"/>
        <v>285.49999999999989</v>
      </c>
      <c r="N180">
        <v>7.1999999999999993</v>
      </c>
      <c r="O180">
        <f t="shared" si="21"/>
        <v>87.200000000000031</v>
      </c>
      <c r="P180" s="5">
        <v>175</v>
      </c>
      <c r="Q180" s="21">
        <f t="shared" si="29"/>
        <v>1.0384615384615383</v>
      </c>
      <c r="R180" s="11">
        <f t="shared" si="22"/>
        <v>0.93461538461538451</v>
      </c>
      <c r="S180" s="11">
        <f t="shared" si="23"/>
        <v>7.1653846153846148</v>
      </c>
      <c r="T180" s="14">
        <f t="shared" si="28"/>
        <v>103.89379807692313</v>
      </c>
      <c r="U180" s="16">
        <f>MAX(T171:T209)</f>
        <v>122.1</v>
      </c>
      <c r="V180">
        <v>416.4</v>
      </c>
      <c r="X180">
        <f t="shared" si="27"/>
        <v>143414.9</v>
      </c>
      <c r="Y180">
        <f t="shared" si="20"/>
        <v>9211.2999999999993</v>
      </c>
      <c r="AA180">
        <v>10.844743312861301</v>
      </c>
    </row>
    <row r="181" spans="1:28" x14ac:dyDescent="0.25">
      <c r="A181" s="76"/>
      <c r="B181" s="8"/>
      <c r="C181" s="9">
        <v>42059</v>
      </c>
      <c r="D181">
        <v>5.9</v>
      </c>
      <c r="E181">
        <v>4.7</v>
      </c>
      <c r="F181">
        <v>7.5</v>
      </c>
      <c r="G181">
        <f t="shared" si="24"/>
        <v>2013.6000000000006</v>
      </c>
      <c r="H181">
        <f t="shared" si="19"/>
        <v>81.600000000000023</v>
      </c>
      <c r="I181" s="20" t="s">
        <v>46</v>
      </c>
      <c r="J181">
        <v>2.2999999999999998</v>
      </c>
      <c r="K181">
        <f t="shared" si="25"/>
        <v>274</v>
      </c>
      <c r="L181">
        <v>1.1000000000000001</v>
      </c>
      <c r="M181">
        <f t="shared" si="26"/>
        <v>286.59999999999991</v>
      </c>
      <c r="N181">
        <v>1.1999999999999997</v>
      </c>
      <c r="O181">
        <f t="shared" si="21"/>
        <v>88.400000000000034</v>
      </c>
      <c r="P181" s="5">
        <v>176</v>
      </c>
      <c r="Q181" s="21">
        <f t="shared" si="29"/>
        <v>1.0423076923076924</v>
      </c>
      <c r="R181" s="11">
        <f t="shared" si="22"/>
        <v>1.1465384615384617</v>
      </c>
      <c r="S181" s="11">
        <f t="shared" si="23"/>
        <v>1.1534615384615381</v>
      </c>
      <c r="T181" s="14">
        <f t="shared" si="28"/>
        <v>105.04725961538468</v>
      </c>
      <c r="U181" s="20" t="s">
        <v>32</v>
      </c>
      <c r="V181">
        <v>705.9</v>
      </c>
      <c r="X181">
        <f t="shared" si="27"/>
        <v>144120.79999999999</v>
      </c>
      <c r="Y181">
        <f t="shared" si="20"/>
        <v>9917.1999999999989</v>
      </c>
      <c r="AA181">
        <v>10.8933497919536</v>
      </c>
    </row>
    <row r="182" spans="1:28" x14ac:dyDescent="0.25">
      <c r="A182" s="76"/>
      <c r="B182" s="8"/>
      <c r="C182" s="9">
        <v>42060</v>
      </c>
      <c r="D182">
        <v>8.1999999999999993</v>
      </c>
      <c r="E182">
        <v>5</v>
      </c>
      <c r="F182">
        <v>10.3</v>
      </c>
      <c r="G182">
        <f t="shared" si="24"/>
        <v>2021.8000000000006</v>
      </c>
      <c r="H182">
        <f t="shared" si="19"/>
        <v>89.800000000000026</v>
      </c>
      <c r="I182">
        <v>16</v>
      </c>
      <c r="J182">
        <v>5.9</v>
      </c>
      <c r="K182">
        <f t="shared" si="25"/>
        <v>279.89999999999998</v>
      </c>
      <c r="L182">
        <v>0.5</v>
      </c>
      <c r="M182">
        <f t="shared" si="26"/>
        <v>287.09999999999991</v>
      </c>
      <c r="N182">
        <v>5.4</v>
      </c>
      <c r="O182">
        <f t="shared" si="21"/>
        <v>93.80000000000004</v>
      </c>
      <c r="P182" s="5">
        <v>177</v>
      </c>
      <c r="Q182" s="21">
        <f t="shared" si="29"/>
        <v>1.0461538461538462</v>
      </c>
      <c r="R182" s="11">
        <f t="shared" si="22"/>
        <v>0.52307692307692311</v>
      </c>
      <c r="S182" s="11">
        <f t="shared" si="23"/>
        <v>5.3769230769230774</v>
      </c>
      <c r="T182" s="14">
        <f t="shared" si="28"/>
        <v>110.42418269230775</v>
      </c>
      <c r="U182" s="15">
        <f>AVERAGE(T171:T209)</f>
        <v>104.78442061143987</v>
      </c>
      <c r="V182">
        <v>298.7</v>
      </c>
      <c r="X182">
        <f t="shared" si="27"/>
        <v>144419.5</v>
      </c>
      <c r="Y182">
        <f t="shared" si="20"/>
        <v>10215.9</v>
      </c>
      <c r="AA182">
        <v>10.942136643984</v>
      </c>
    </row>
    <row r="183" spans="1:28" x14ac:dyDescent="0.25">
      <c r="A183" s="76"/>
      <c r="B183" s="8"/>
      <c r="C183" s="9">
        <v>42061</v>
      </c>
      <c r="D183">
        <v>10.6</v>
      </c>
      <c r="E183">
        <v>9.5</v>
      </c>
      <c r="F183">
        <v>11.5</v>
      </c>
      <c r="G183">
        <f t="shared" si="24"/>
        <v>2032.4000000000005</v>
      </c>
      <c r="H183">
        <f t="shared" ref="H183:H246" si="30">H182+D183</f>
        <v>100.40000000000002</v>
      </c>
      <c r="I183" s="20" t="s">
        <v>47</v>
      </c>
      <c r="J183">
        <v>8.6999999999999993</v>
      </c>
      <c r="K183">
        <f t="shared" si="25"/>
        <v>288.59999999999997</v>
      </c>
      <c r="L183">
        <v>0.8</v>
      </c>
      <c r="M183">
        <f t="shared" si="26"/>
        <v>287.89999999999992</v>
      </c>
      <c r="N183">
        <v>7.8999999999999995</v>
      </c>
      <c r="O183">
        <f t="shared" si="21"/>
        <v>101.70000000000005</v>
      </c>
      <c r="P183" s="5">
        <v>178</v>
      </c>
      <c r="Q183" s="21">
        <f t="shared" si="29"/>
        <v>1.05</v>
      </c>
      <c r="R183" s="11">
        <f t="shared" si="22"/>
        <v>0.84000000000000008</v>
      </c>
      <c r="S183" s="11">
        <f t="shared" si="23"/>
        <v>7.8599999999999994</v>
      </c>
      <c r="T183" s="14">
        <f t="shared" si="28"/>
        <v>118.28418269230775</v>
      </c>
      <c r="U183">
        <f>(U182*100)/122.1</f>
        <v>85.818526299295556</v>
      </c>
      <c r="V183">
        <v>435.2</v>
      </c>
      <c r="X183">
        <f t="shared" si="27"/>
        <v>144854.70000000001</v>
      </c>
      <c r="Y183">
        <f t="shared" ref="Y183:Y246" si="31">Y182+V183</f>
        <v>10651.1</v>
      </c>
      <c r="AA183">
        <v>10.9910929162871</v>
      </c>
    </row>
    <row r="184" spans="1:28" x14ac:dyDescent="0.25">
      <c r="A184" s="76"/>
      <c r="B184" s="8"/>
      <c r="C184" s="9">
        <v>42062</v>
      </c>
      <c r="D184">
        <v>7.4</v>
      </c>
      <c r="E184">
        <v>7.1</v>
      </c>
      <c r="F184">
        <v>8.1</v>
      </c>
      <c r="G184">
        <f t="shared" si="24"/>
        <v>2039.8000000000006</v>
      </c>
      <c r="H184">
        <f t="shared" si="30"/>
        <v>107.80000000000003</v>
      </c>
      <c r="I184">
        <v>353.1</v>
      </c>
      <c r="J184">
        <v>0.5</v>
      </c>
      <c r="K184">
        <f t="shared" si="25"/>
        <v>289.09999999999997</v>
      </c>
      <c r="L184">
        <v>2.1</v>
      </c>
      <c r="M184">
        <f t="shared" si="26"/>
        <v>289.99999999999994</v>
      </c>
      <c r="N184">
        <v>-1.6</v>
      </c>
      <c r="O184">
        <f t="shared" si="21"/>
        <v>100.10000000000005</v>
      </c>
      <c r="P184" s="5">
        <v>179</v>
      </c>
      <c r="Q184" s="21">
        <f t="shared" si="29"/>
        <v>1.0538461538461539</v>
      </c>
      <c r="R184" s="11">
        <f t="shared" si="22"/>
        <v>2.2130769230769234</v>
      </c>
      <c r="S184" s="11">
        <f t="shared" si="23"/>
        <v>-1.7130769230769234</v>
      </c>
      <c r="T184" s="14">
        <f t="shared" si="28"/>
        <v>116.57110576923083</v>
      </c>
      <c r="U184" s="16"/>
      <c r="V184">
        <v>1270.4000000000001</v>
      </c>
      <c r="X184">
        <f t="shared" si="27"/>
        <v>146125.1</v>
      </c>
      <c r="Y184">
        <f t="shared" si="31"/>
        <v>11921.5</v>
      </c>
      <c r="AA184">
        <v>11.040208034494601</v>
      </c>
    </row>
    <row r="185" spans="1:28" x14ac:dyDescent="0.25">
      <c r="A185" s="76"/>
      <c r="B185" s="8"/>
      <c r="C185" s="9">
        <v>42063</v>
      </c>
      <c r="D185">
        <v>7.8</v>
      </c>
      <c r="E185">
        <v>2.4</v>
      </c>
      <c r="F185">
        <v>11.6</v>
      </c>
      <c r="G185">
        <f t="shared" si="24"/>
        <v>2047.6000000000006</v>
      </c>
      <c r="H185">
        <f t="shared" si="30"/>
        <v>115.60000000000002</v>
      </c>
      <c r="J185" s="86">
        <v>6.7</v>
      </c>
      <c r="K185">
        <f t="shared" si="25"/>
        <v>295.79999999999995</v>
      </c>
      <c r="L185">
        <v>0.9</v>
      </c>
      <c r="M185">
        <f t="shared" si="26"/>
        <v>290.89999999999992</v>
      </c>
      <c r="N185">
        <v>5.8</v>
      </c>
      <c r="O185">
        <f t="shared" si="21"/>
        <v>105.90000000000005</v>
      </c>
      <c r="P185" s="5">
        <v>180</v>
      </c>
      <c r="Q185" s="21">
        <f t="shared" si="29"/>
        <v>1.0576923076923077</v>
      </c>
      <c r="R185" s="11">
        <f t="shared" si="22"/>
        <v>0.95192307692307698</v>
      </c>
      <c r="S185" s="11">
        <f t="shared" si="23"/>
        <v>5.7480769230769235</v>
      </c>
      <c r="T185" s="14">
        <f t="shared" si="28"/>
        <v>122.1</v>
      </c>
      <c r="V185">
        <v>518.1</v>
      </c>
      <c r="X185">
        <f t="shared" si="27"/>
        <v>146643.20000000001</v>
      </c>
      <c r="Y185">
        <f t="shared" si="31"/>
        <v>12439.6</v>
      </c>
      <c r="AA185">
        <v>11.089471789189499</v>
      </c>
      <c r="AB185" s="88" t="s">
        <v>59</v>
      </c>
    </row>
    <row r="186" spans="1:28" x14ac:dyDescent="0.25">
      <c r="A186" s="76"/>
      <c r="B186" s="8"/>
      <c r="C186" s="9">
        <v>42064</v>
      </c>
      <c r="D186">
        <v>12.8</v>
      </c>
      <c r="E186">
        <v>9.4</v>
      </c>
      <c r="F186">
        <v>13.7</v>
      </c>
      <c r="G186">
        <f t="shared" si="24"/>
        <v>2060.4000000000005</v>
      </c>
      <c r="H186">
        <f t="shared" si="30"/>
        <v>128.40000000000003</v>
      </c>
      <c r="J186" s="86">
        <v>5.2</v>
      </c>
      <c r="K186">
        <f t="shared" si="25"/>
        <v>300.99999999999994</v>
      </c>
      <c r="L186">
        <v>0.7</v>
      </c>
      <c r="M186">
        <f t="shared" si="26"/>
        <v>291.59999999999991</v>
      </c>
      <c r="N186">
        <v>4.5</v>
      </c>
      <c r="O186">
        <f t="shared" si="21"/>
        <v>110.40000000000005</v>
      </c>
      <c r="P186" s="5">
        <v>181</v>
      </c>
      <c r="Q186" s="21">
        <f t="shared" si="29"/>
        <v>1.0615384615384615</v>
      </c>
      <c r="R186" s="11">
        <f t="shared" si="22"/>
        <v>0.74307692307692308</v>
      </c>
      <c r="S186" s="11">
        <f t="shared" si="23"/>
        <v>4.4569230769230774</v>
      </c>
      <c r="T186" s="14">
        <f t="shared" si="28"/>
        <v>122.1</v>
      </c>
      <c r="V186">
        <v>393.4</v>
      </c>
      <c r="X186">
        <f t="shared" si="27"/>
        <v>147036.6</v>
      </c>
      <c r="Y186">
        <f t="shared" si="31"/>
        <v>12833</v>
      </c>
      <c r="AA186">
        <v>11.1388743222142</v>
      </c>
      <c r="AB186" s="15">
        <f>AVERAGE(T192:T205)</f>
        <v>104.57728021978019</v>
      </c>
    </row>
    <row r="187" spans="1:28" x14ac:dyDescent="0.25">
      <c r="A187" s="76"/>
      <c r="B187" s="8"/>
      <c r="C187" s="9">
        <v>42065</v>
      </c>
      <c r="D187">
        <v>12</v>
      </c>
      <c r="E187">
        <v>11.6</v>
      </c>
      <c r="F187">
        <v>12.9</v>
      </c>
      <c r="G187">
        <f t="shared" si="24"/>
        <v>2072.4000000000005</v>
      </c>
      <c r="H187">
        <f t="shared" si="30"/>
        <v>140.40000000000003</v>
      </c>
      <c r="J187" s="86">
        <v>3.6</v>
      </c>
      <c r="K187">
        <f t="shared" si="25"/>
        <v>304.59999999999997</v>
      </c>
      <c r="L187">
        <v>0.9</v>
      </c>
      <c r="M187">
        <f t="shared" si="26"/>
        <v>292.49999999999989</v>
      </c>
      <c r="N187">
        <v>2.7</v>
      </c>
      <c r="O187">
        <f t="shared" si="21"/>
        <v>113.10000000000005</v>
      </c>
      <c r="P187" s="5">
        <v>182</v>
      </c>
      <c r="Q187" s="21">
        <f t="shared" si="29"/>
        <v>1.0653846153846154</v>
      </c>
      <c r="R187" s="11">
        <f t="shared" si="22"/>
        <v>0.9588461538461539</v>
      </c>
      <c r="S187" s="11">
        <f t="shared" si="23"/>
        <v>2.6411538461538462</v>
      </c>
      <c r="T187" s="14">
        <f t="shared" si="28"/>
        <v>122.1</v>
      </c>
      <c r="V187">
        <v>421.4</v>
      </c>
      <c r="X187">
        <f t="shared" si="27"/>
        <v>147458</v>
      </c>
      <c r="Y187">
        <f t="shared" si="31"/>
        <v>13254.4</v>
      </c>
      <c r="AA187">
        <v>11.188406112681101</v>
      </c>
      <c r="AB187" s="88" t="s">
        <v>58</v>
      </c>
    </row>
    <row r="188" spans="1:28" x14ac:dyDescent="0.25">
      <c r="A188" s="76"/>
      <c r="B188" s="8"/>
      <c r="C188" s="9">
        <v>42066</v>
      </c>
      <c r="D188">
        <v>10.5</v>
      </c>
      <c r="E188">
        <v>9.6</v>
      </c>
      <c r="F188">
        <v>12.5</v>
      </c>
      <c r="G188">
        <f t="shared" si="24"/>
        <v>2082.9000000000005</v>
      </c>
      <c r="H188">
        <f t="shared" si="30"/>
        <v>150.90000000000003</v>
      </c>
      <c r="J188" s="86">
        <v>8.6999999999999993</v>
      </c>
      <c r="K188">
        <f t="shared" si="25"/>
        <v>313.29999999999995</v>
      </c>
      <c r="L188">
        <v>1.1000000000000001</v>
      </c>
      <c r="M188">
        <f t="shared" si="26"/>
        <v>293.59999999999991</v>
      </c>
      <c r="N188">
        <v>7.6</v>
      </c>
      <c r="O188">
        <f t="shared" si="21"/>
        <v>120.70000000000005</v>
      </c>
      <c r="P188" s="5">
        <v>183</v>
      </c>
      <c r="Q188" s="21">
        <f t="shared" si="29"/>
        <v>1.0692307692307692</v>
      </c>
      <c r="R188" s="11">
        <f t="shared" si="22"/>
        <v>1.1761538461538463</v>
      </c>
      <c r="S188" s="11">
        <f t="shared" si="23"/>
        <v>7.5238461538461525</v>
      </c>
      <c r="T188" s="14">
        <f t="shared" si="28"/>
        <v>122.1</v>
      </c>
      <c r="V188">
        <v>556.4</v>
      </c>
      <c r="X188">
        <f t="shared" si="27"/>
        <v>148014.39999999999</v>
      </c>
      <c r="Y188">
        <f t="shared" si="31"/>
        <v>13810.8</v>
      </c>
      <c r="AA188">
        <v>11.2380579627293</v>
      </c>
      <c r="AB188">
        <v>5</v>
      </c>
    </row>
    <row r="189" spans="1:28" x14ac:dyDescent="0.25">
      <c r="A189" s="76"/>
      <c r="B189" s="8"/>
      <c r="C189" s="9">
        <v>42067</v>
      </c>
      <c r="D189">
        <v>7.7</v>
      </c>
      <c r="E189">
        <v>7</v>
      </c>
      <c r="F189">
        <v>9</v>
      </c>
      <c r="G189">
        <f t="shared" si="24"/>
        <v>2090.6000000000004</v>
      </c>
      <c r="H189">
        <f t="shared" si="30"/>
        <v>158.60000000000002</v>
      </c>
      <c r="J189" s="86">
        <v>0.8</v>
      </c>
      <c r="K189">
        <f t="shared" si="25"/>
        <v>314.09999999999997</v>
      </c>
      <c r="L189">
        <v>1.9</v>
      </c>
      <c r="M189">
        <f t="shared" si="26"/>
        <v>295.49999999999989</v>
      </c>
      <c r="N189">
        <v>-1.0999999999999999</v>
      </c>
      <c r="O189">
        <f t="shared" si="21"/>
        <v>119.60000000000005</v>
      </c>
      <c r="P189" s="5">
        <v>184</v>
      </c>
      <c r="Q189" s="21">
        <f t="shared" si="29"/>
        <v>1.073076923076923</v>
      </c>
      <c r="R189" s="11">
        <f t="shared" si="22"/>
        <v>2.0388461538461535</v>
      </c>
      <c r="S189" s="11">
        <f t="shared" si="23"/>
        <v>-1.2388461538461535</v>
      </c>
      <c r="T189" s="14">
        <f t="shared" si="28"/>
        <v>120.86115384615384</v>
      </c>
      <c r="V189">
        <v>1086.7</v>
      </c>
      <c r="X189">
        <f t="shared" si="27"/>
        <v>149101.1</v>
      </c>
      <c r="Y189">
        <f t="shared" si="31"/>
        <v>14897.5</v>
      </c>
      <c r="AA189">
        <v>11.287820983067601</v>
      </c>
      <c r="AB189" s="88" t="s">
        <v>57</v>
      </c>
    </row>
    <row r="190" spans="1:28" x14ac:dyDescent="0.25">
      <c r="A190" s="76"/>
      <c r="B190" s="8"/>
      <c r="C190" s="9">
        <v>42068</v>
      </c>
      <c r="D190">
        <v>6.5</v>
      </c>
      <c r="E190">
        <v>2.4</v>
      </c>
      <c r="F190">
        <v>9.9</v>
      </c>
      <c r="G190">
        <f t="shared" si="24"/>
        <v>2097.1000000000004</v>
      </c>
      <c r="H190">
        <f t="shared" si="30"/>
        <v>165.10000000000002</v>
      </c>
      <c r="J190" s="86">
        <v>0</v>
      </c>
      <c r="K190">
        <f t="shared" si="25"/>
        <v>314.09999999999997</v>
      </c>
      <c r="L190">
        <v>2.4</v>
      </c>
      <c r="M190">
        <f t="shared" si="26"/>
        <v>297.89999999999986</v>
      </c>
      <c r="N190">
        <v>-2.4</v>
      </c>
      <c r="O190">
        <f t="shared" si="21"/>
        <v>117.20000000000005</v>
      </c>
      <c r="P190" s="5">
        <v>185</v>
      </c>
      <c r="Q190" s="21">
        <f t="shared" si="29"/>
        <v>1.0769230769230769</v>
      </c>
      <c r="R190" s="11">
        <f t="shared" si="22"/>
        <v>2.5846153846153843</v>
      </c>
      <c r="S190" s="11">
        <f t="shared" si="23"/>
        <v>-2.5846153846153843</v>
      </c>
      <c r="T190" s="14">
        <f t="shared" si="28"/>
        <v>118.27653846153845</v>
      </c>
      <c r="V190">
        <v>1662.9</v>
      </c>
      <c r="X190">
        <f t="shared" si="27"/>
        <v>150764</v>
      </c>
      <c r="Y190">
        <f t="shared" si="31"/>
        <v>16560.400000000001</v>
      </c>
      <c r="AA190">
        <v>11.3376865783416</v>
      </c>
      <c r="AB190">
        <v>5</v>
      </c>
    </row>
    <row r="191" spans="1:28" x14ac:dyDescent="0.25">
      <c r="A191" s="76"/>
      <c r="B191" s="8"/>
      <c r="C191" s="9">
        <v>42069</v>
      </c>
      <c r="D191">
        <v>8</v>
      </c>
      <c r="E191">
        <v>2</v>
      </c>
      <c r="F191">
        <v>12.6</v>
      </c>
      <c r="G191">
        <f t="shared" si="24"/>
        <v>2105.1000000000004</v>
      </c>
      <c r="H191">
        <f t="shared" si="30"/>
        <v>173.10000000000002</v>
      </c>
      <c r="J191" s="86">
        <v>0</v>
      </c>
      <c r="K191">
        <f t="shared" si="25"/>
        <v>314.09999999999997</v>
      </c>
      <c r="L191">
        <v>2.5</v>
      </c>
      <c r="M191">
        <f t="shared" si="26"/>
        <v>300.39999999999986</v>
      </c>
      <c r="N191">
        <v>-2.5</v>
      </c>
      <c r="O191">
        <f t="shared" si="21"/>
        <v>114.70000000000005</v>
      </c>
      <c r="P191" s="5">
        <v>186</v>
      </c>
      <c r="Q191" s="21">
        <f t="shared" si="29"/>
        <v>1.0807692307692307</v>
      </c>
      <c r="R191" s="11">
        <f t="shared" si="22"/>
        <v>2.7019230769230766</v>
      </c>
      <c r="S191" s="11">
        <f t="shared" si="23"/>
        <v>-2.7019230769230766</v>
      </c>
      <c r="T191" s="14">
        <f t="shared" si="28"/>
        <v>115.57461538461537</v>
      </c>
      <c r="V191">
        <v>1697.3</v>
      </c>
      <c r="X191">
        <f t="shared" si="27"/>
        <v>152461.29999999999</v>
      </c>
      <c r="Y191">
        <f t="shared" si="31"/>
        <v>18257.7</v>
      </c>
      <c r="AA191">
        <v>11.387646432357201</v>
      </c>
      <c r="AB191" s="88" t="s">
        <v>56</v>
      </c>
    </row>
    <row r="192" spans="1:28" x14ac:dyDescent="0.25">
      <c r="A192" s="76"/>
      <c r="B192" s="8"/>
      <c r="C192" s="9">
        <v>42070</v>
      </c>
      <c r="D192">
        <v>10.4</v>
      </c>
      <c r="E192">
        <v>0.8</v>
      </c>
      <c r="F192">
        <v>18.8</v>
      </c>
      <c r="G192">
        <f t="shared" si="24"/>
        <v>2115.5000000000005</v>
      </c>
      <c r="H192">
        <f t="shared" si="30"/>
        <v>183.50000000000003</v>
      </c>
      <c r="J192" s="86">
        <v>0</v>
      </c>
      <c r="K192">
        <f t="shared" si="25"/>
        <v>314.09999999999997</v>
      </c>
      <c r="L192">
        <v>2.2999999999999998</v>
      </c>
      <c r="M192">
        <f t="shared" si="26"/>
        <v>302.69999999999987</v>
      </c>
      <c r="N192">
        <v>-2.2999999999999998</v>
      </c>
      <c r="O192">
        <f t="shared" si="21"/>
        <v>112.40000000000005</v>
      </c>
      <c r="P192" s="5">
        <v>187</v>
      </c>
      <c r="Q192" s="21">
        <f t="shared" si="29"/>
        <v>1.0846153846153845</v>
      </c>
      <c r="R192" s="11">
        <f t="shared" si="22"/>
        <v>2.4946153846153845</v>
      </c>
      <c r="S192" s="11">
        <f t="shared" si="23"/>
        <v>-2.4946153846153845</v>
      </c>
      <c r="T192" s="87">
        <f t="shared" si="28"/>
        <v>113.07999999999998</v>
      </c>
      <c r="V192">
        <v>1317.1</v>
      </c>
      <c r="X192">
        <f t="shared" si="27"/>
        <v>153778.4</v>
      </c>
      <c r="Y192">
        <f t="shared" si="31"/>
        <v>19574.8</v>
      </c>
      <c r="AA192">
        <v>11.4376924931915</v>
      </c>
      <c r="AB192">
        <v>0</v>
      </c>
    </row>
    <row r="193" spans="1:28" x14ac:dyDescent="0.25">
      <c r="A193" s="76"/>
      <c r="B193" s="8"/>
      <c r="C193" s="9">
        <v>42071</v>
      </c>
      <c r="D193">
        <v>11.1</v>
      </c>
      <c r="E193">
        <v>4.3</v>
      </c>
      <c r="F193">
        <v>17.100000000000001</v>
      </c>
      <c r="G193">
        <f t="shared" si="24"/>
        <v>2126.6000000000004</v>
      </c>
      <c r="H193">
        <f t="shared" si="30"/>
        <v>194.60000000000002</v>
      </c>
      <c r="J193" s="86">
        <v>0</v>
      </c>
      <c r="K193">
        <f t="shared" si="25"/>
        <v>314.09999999999997</v>
      </c>
      <c r="L193">
        <v>2.4</v>
      </c>
      <c r="M193">
        <f t="shared" si="26"/>
        <v>305.09999999999985</v>
      </c>
      <c r="N193">
        <v>-2.4</v>
      </c>
      <c r="O193">
        <f t="shared" si="21"/>
        <v>110.00000000000004</v>
      </c>
      <c r="P193" s="5">
        <v>188</v>
      </c>
      <c r="Q193" s="21">
        <f t="shared" si="29"/>
        <v>1.0884615384615384</v>
      </c>
      <c r="R193" s="11">
        <f t="shared" si="22"/>
        <v>2.612307692307692</v>
      </c>
      <c r="S193" s="11">
        <f t="shared" si="23"/>
        <v>-2.612307692307692</v>
      </c>
      <c r="T193" s="87">
        <f t="shared" si="28"/>
        <v>110.46769230769229</v>
      </c>
      <c r="V193">
        <v>1276.4000000000001</v>
      </c>
      <c r="X193">
        <f t="shared" si="27"/>
        <v>155054.79999999999</v>
      </c>
      <c r="Y193">
        <f t="shared" si="31"/>
        <v>20851.2</v>
      </c>
      <c r="AA193">
        <v>11.4878169582182</v>
      </c>
      <c r="AB193" s="88" t="s">
        <v>55</v>
      </c>
    </row>
    <row r="194" spans="1:28" x14ac:dyDescent="0.25">
      <c r="A194" s="76"/>
      <c r="B194" s="8"/>
      <c r="C194" s="9">
        <v>42072</v>
      </c>
      <c r="D194">
        <v>9.6999999999999993</v>
      </c>
      <c r="E194">
        <v>8.5</v>
      </c>
      <c r="F194">
        <v>12.3</v>
      </c>
      <c r="G194">
        <f t="shared" si="24"/>
        <v>2136.3000000000002</v>
      </c>
      <c r="H194">
        <f t="shared" si="30"/>
        <v>204.3</v>
      </c>
      <c r="J194" s="86">
        <v>0</v>
      </c>
      <c r="K194">
        <f t="shared" si="25"/>
        <v>314.09999999999997</v>
      </c>
      <c r="L194">
        <v>1.7</v>
      </c>
      <c r="M194">
        <f t="shared" si="26"/>
        <v>306.79999999999984</v>
      </c>
      <c r="N194">
        <v>-1.7</v>
      </c>
      <c r="O194">
        <f t="shared" si="21"/>
        <v>108.30000000000004</v>
      </c>
      <c r="P194" s="5">
        <v>189</v>
      </c>
      <c r="Q194" s="21">
        <f t="shared" si="29"/>
        <v>1.0923076923076922</v>
      </c>
      <c r="R194" s="11">
        <f t="shared" si="22"/>
        <v>1.8569230769230767</v>
      </c>
      <c r="S194" s="11">
        <f t="shared" si="23"/>
        <v>-1.8569230769230767</v>
      </c>
      <c r="T194" s="87">
        <f t="shared" si="28"/>
        <v>108.61076923076921</v>
      </c>
      <c r="V194">
        <v>1067.3</v>
      </c>
      <c r="X194">
        <f t="shared" si="27"/>
        <v>156122.09999999998</v>
      </c>
      <c r="Y194">
        <f t="shared" si="31"/>
        <v>21918.5</v>
      </c>
      <c r="AA194">
        <v>11.5380122590723</v>
      </c>
      <c r="AB194">
        <f>SUM(J196:J205)</f>
        <v>11.2</v>
      </c>
    </row>
    <row r="195" spans="1:28" s="81" customFormat="1" x14ac:dyDescent="0.25">
      <c r="A195" s="76"/>
      <c r="B195" s="79" t="s">
        <v>60</v>
      </c>
      <c r="C195" s="80">
        <v>42073</v>
      </c>
      <c r="D195" s="81">
        <v>10.7</v>
      </c>
      <c r="E195" s="81">
        <v>4.7</v>
      </c>
      <c r="F195" s="81">
        <v>16</v>
      </c>
      <c r="G195" s="81">
        <f t="shared" si="24"/>
        <v>2147</v>
      </c>
      <c r="H195" s="81">
        <f t="shared" si="30"/>
        <v>215</v>
      </c>
      <c r="J195" s="81">
        <v>0</v>
      </c>
      <c r="K195" s="81">
        <f t="shared" si="25"/>
        <v>314.09999999999997</v>
      </c>
      <c r="L195" s="81">
        <v>2.2000000000000002</v>
      </c>
      <c r="M195" s="81">
        <f t="shared" si="26"/>
        <v>308.99999999999983</v>
      </c>
      <c r="N195" s="81">
        <v>-2.2000000000000002</v>
      </c>
      <c r="O195" s="81">
        <f t="shared" si="21"/>
        <v>106.10000000000004</v>
      </c>
      <c r="P195" s="82">
        <v>190</v>
      </c>
      <c r="Q195" s="83">
        <f t="shared" si="29"/>
        <v>1.096153846153846</v>
      </c>
      <c r="R195" s="84">
        <f t="shared" si="22"/>
        <v>2.4115384615384614</v>
      </c>
      <c r="S195" s="84">
        <f t="shared" si="23"/>
        <v>-2.4115384615384614</v>
      </c>
      <c r="T195" s="85">
        <f t="shared" si="28"/>
        <v>106.19923076923075</v>
      </c>
      <c r="V195" s="81">
        <v>1539.2</v>
      </c>
      <c r="X195" s="81">
        <f t="shared" si="27"/>
        <v>157661.29999999999</v>
      </c>
      <c r="Y195" s="81">
        <f t="shared" si="31"/>
        <v>23457.7</v>
      </c>
      <c r="AA195" s="81">
        <v>11.588271046574199</v>
      </c>
    </row>
    <row r="196" spans="1:28" x14ac:dyDescent="0.25">
      <c r="A196" s="76"/>
      <c r="B196" s="8"/>
      <c r="C196" s="9">
        <v>42074</v>
      </c>
      <c r="D196">
        <v>12.4</v>
      </c>
      <c r="E196">
        <v>7.5</v>
      </c>
      <c r="F196">
        <v>18.899999999999999</v>
      </c>
      <c r="G196">
        <f t="shared" si="24"/>
        <v>2159.4</v>
      </c>
      <c r="H196">
        <f t="shared" si="30"/>
        <v>227.4</v>
      </c>
      <c r="J196" s="86">
        <v>0</v>
      </c>
      <c r="K196">
        <f t="shared" si="25"/>
        <v>314.09999999999997</v>
      </c>
      <c r="L196">
        <v>2.5</v>
      </c>
      <c r="M196">
        <f t="shared" si="26"/>
        <v>311.49999999999983</v>
      </c>
      <c r="N196">
        <v>-2.5</v>
      </c>
      <c r="O196">
        <f t="shared" ref="O196:O259" si="32">O195+N196</f>
        <v>103.60000000000004</v>
      </c>
      <c r="P196" s="5">
        <v>191</v>
      </c>
      <c r="Q196" s="21">
        <f t="shared" si="29"/>
        <v>1.0999999999999999</v>
      </c>
      <c r="R196" s="11">
        <f t="shared" si="22"/>
        <v>2.7499999999999996</v>
      </c>
      <c r="S196" s="11">
        <f t="shared" si="23"/>
        <v>-2.7499999999999996</v>
      </c>
      <c r="T196" s="87">
        <f t="shared" si="28"/>
        <v>103.44923076923075</v>
      </c>
      <c r="V196">
        <v>1223.5999999999999</v>
      </c>
      <c r="X196">
        <f t="shared" si="27"/>
        <v>158884.9</v>
      </c>
      <c r="Y196">
        <f t="shared" si="31"/>
        <v>24681.3</v>
      </c>
      <c r="AA196">
        <v>11.638586175635</v>
      </c>
    </row>
    <row r="197" spans="1:28" x14ac:dyDescent="0.25">
      <c r="A197" s="76"/>
      <c r="B197" s="8"/>
      <c r="C197" s="9">
        <v>42075</v>
      </c>
      <c r="D197">
        <v>11.1</v>
      </c>
      <c r="E197">
        <v>8.9</v>
      </c>
      <c r="F197">
        <v>12.5</v>
      </c>
      <c r="G197">
        <f t="shared" si="24"/>
        <v>2170.5</v>
      </c>
      <c r="H197">
        <f t="shared" si="30"/>
        <v>238.5</v>
      </c>
      <c r="J197" s="86">
        <v>0.2</v>
      </c>
      <c r="K197">
        <f t="shared" si="25"/>
        <v>314.29999999999995</v>
      </c>
      <c r="L197">
        <v>2.1</v>
      </c>
      <c r="M197">
        <f t="shared" si="26"/>
        <v>313.59999999999985</v>
      </c>
      <c r="N197">
        <v>-1.9000000000000001</v>
      </c>
      <c r="O197">
        <f t="shared" si="32"/>
        <v>101.70000000000003</v>
      </c>
      <c r="P197" s="5">
        <v>192</v>
      </c>
      <c r="Q197" s="21">
        <f t="shared" si="29"/>
        <v>1.1038461538461537</v>
      </c>
      <c r="R197" s="11">
        <f t="shared" si="22"/>
        <v>2.3180769230769229</v>
      </c>
      <c r="S197" s="11">
        <f t="shared" si="23"/>
        <v>-2.1180769230769227</v>
      </c>
      <c r="T197" s="87">
        <f t="shared" si="28"/>
        <v>101.33115384615382</v>
      </c>
      <c r="V197">
        <v>1613.9</v>
      </c>
      <c r="X197">
        <f t="shared" si="27"/>
        <v>160498.79999999999</v>
      </c>
      <c r="Y197">
        <f t="shared" si="31"/>
        <v>26295.200000000001</v>
      </c>
      <c r="AA197">
        <v>11.6889506901574</v>
      </c>
    </row>
    <row r="198" spans="1:28" x14ac:dyDescent="0.25">
      <c r="A198" s="76"/>
      <c r="B198" s="8"/>
      <c r="C198" s="9">
        <v>42076</v>
      </c>
      <c r="D198">
        <v>8.8000000000000007</v>
      </c>
      <c r="E198">
        <v>8.6</v>
      </c>
      <c r="F198">
        <v>9.6</v>
      </c>
      <c r="G198">
        <f t="shared" si="24"/>
        <v>2179.3000000000002</v>
      </c>
      <c r="H198">
        <f t="shared" si="30"/>
        <v>247.3</v>
      </c>
      <c r="J198" s="86">
        <v>2.2999999999999998</v>
      </c>
      <c r="K198">
        <f t="shared" si="25"/>
        <v>316.59999999999997</v>
      </c>
      <c r="L198">
        <v>1.2</v>
      </c>
      <c r="M198">
        <f t="shared" si="26"/>
        <v>314.79999999999984</v>
      </c>
      <c r="N198">
        <v>1.0999999999999999</v>
      </c>
      <c r="O198">
        <f t="shared" si="32"/>
        <v>102.80000000000003</v>
      </c>
      <c r="P198" s="5">
        <v>193</v>
      </c>
      <c r="Q198" s="21">
        <f t="shared" si="29"/>
        <v>1.1076923076923075</v>
      </c>
      <c r="R198" s="11">
        <f t="shared" si="22"/>
        <v>1.329230769230769</v>
      </c>
      <c r="S198" s="11">
        <f t="shared" si="23"/>
        <v>0.97076923076923083</v>
      </c>
      <c r="T198" s="87">
        <f t="shared" si="28"/>
        <v>102.30192307692306</v>
      </c>
      <c r="V198">
        <v>497.3</v>
      </c>
      <c r="X198">
        <f t="shared" si="27"/>
        <v>160996.09999999998</v>
      </c>
      <c r="Y198">
        <f t="shared" si="31"/>
        <v>26792.5</v>
      </c>
      <c r="AA198">
        <v>11.7393578079484</v>
      </c>
    </row>
    <row r="199" spans="1:28" x14ac:dyDescent="0.25">
      <c r="A199" s="76"/>
      <c r="B199" s="8"/>
      <c r="C199" s="9">
        <v>42077</v>
      </c>
      <c r="D199">
        <v>6.4</v>
      </c>
      <c r="E199">
        <v>4.4000000000000004</v>
      </c>
      <c r="F199">
        <v>8.4</v>
      </c>
      <c r="G199">
        <f t="shared" si="24"/>
        <v>2185.7000000000003</v>
      </c>
      <c r="H199">
        <f t="shared" si="30"/>
        <v>253.70000000000002</v>
      </c>
      <c r="J199" s="86">
        <v>0.8</v>
      </c>
      <c r="K199">
        <f t="shared" si="25"/>
        <v>317.39999999999998</v>
      </c>
      <c r="L199">
        <v>1.5</v>
      </c>
      <c r="M199">
        <f t="shared" si="26"/>
        <v>316.29999999999984</v>
      </c>
      <c r="N199">
        <v>-0.7</v>
      </c>
      <c r="O199">
        <f t="shared" si="32"/>
        <v>102.10000000000002</v>
      </c>
      <c r="P199" s="5">
        <v>194</v>
      </c>
      <c r="Q199" s="21">
        <f t="shared" si="29"/>
        <v>1.1115384615384616</v>
      </c>
      <c r="R199" s="11">
        <f t="shared" ref="R199:R262" si="33">Q199*L199</f>
        <v>1.6673076923076924</v>
      </c>
      <c r="S199" s="11">
        <f t="shared" ref="S199:S262" si="34">J199-R199</f>
        <v>-0.86730769230769234</v>
      </c>
      <c r="T199" s="87">
        <f t="shared" si="28"/>
        <v>101.43461538461537</v>
      </c>
      <c r="V199">
        <v>1211.5999999999999</v>
      </c>
      <c r="X199">
        <f t="shared" si="27"/>
        <v>162207.69999999998</v>
      </c>
      <c r="Y199">
        <f t="shared" si="31"/>
        <v>28004.1</v>
      </c>
      <c r="AA199">
        <v>11.7898009056566</v>
      </c>
    </row>
    <row r="200" spans="1:28" x14ac:dyDescent="0.25">
      <c r="A200" s="76"/>
      <c r="B200" s="8"/>
      <c r="C200" s="9">
        <v>42078</v>
      </c>
      <c r="D200">
        <v>6.7</v>
      </c>
      <c r="E200">
        <v>4.7</v>
      </c>
      <c r="F200">
        <v>9.1</v>
      </c>
      <c r="G200">
        <f t="shared" ref="G200:G263" si="35">G199+D200</f>
        <v>2192.4</v>
      </c>
      <c r="H200">
        <f t="shared" si="30"/>
        <v>260.40000000000003</v>
      </c>
      <c r="J200" s="86">
        <v>7.4</v>
      </c>
      <c r="K200">
        <f t="shared" ref="K200:K263" si="36">K199+J200</f>
        <v>324.79999999999995</v>
      </c>
      <c r="L200">
        <v>0.9</v>
      </c>
      <c r="M200">
        <f t="shared" ref="M200:M263" si="37">M199+L200</f>
        <v>317.19999999999982</v>
      </c>
      <c r="N200">
        <v>6.5</v>
      </c>
      <c r="O200">
        <f t="shared" si="32"/>
        <v>108.60000000000002</v>
      </c>
      <c r="P200" s="5">
        <v>195</v>
      </c>
      <c r="Q200" s="21">
        <f t="shared" si="29"/>
        <v>1.1153846153846154</v>
      </c>
      <c r="R200" s="11">
        <f t="shared" si="33"/>
        <v>1.0038461538461538</v>
      </c>
      <c r="S200" s="11">
        <f t="shared" si="34"/>
        <v>6.3961538461538465</v>
      </c>
      <c r="T200" s="87">
        <f t="shared" si="28"/>
        <v>107.83076923076922</v>
      </c>
      <c r="V200">
        <v>816.3</v>
      </c>
      <c r="X200">
        <f t="shared" ref="X200:X263" si="38">X199+V200</f>
        <v>163023.99999999997</v>
      </c>
      <c r="Y200">
        <f t="shared" si="31"/>
        <v>28820.399999999998</v>
      </c>
      <c r="AA200">
        <v>11.840273503743701</v>
      </c>
    </row>
    <row r="201" spans="1:28" x14ac:dyDescent="0.25">
      <c r="A201" s="76"/>
      <c r="B201" s="8"/>
      <c r="C201" s="9">
        <v>42079</v>
      </c>
      <c r="D201">
        <v>7.6</v>
      </c>
      <c r="E201">
        <v>6.1</v>
      </c>
      <c r="F201">
        <v>9.4</v>
      </c>
      <c r="G201">
        <f t="shared" si="35"/>
        <v>2200</v>
      </c>
      <c r="H201">
        <f t="shared" si="30"/>
        <v>268.00000000000006</v>
      </c>
      <c r="J201" s="86">
        <v>0.5</v>
      </c>
      <c r="K201">
        <f t="shared" si="36"/>
        <v>325.29999999999995</v>
      </c>
      <c r="L201">
        <v>1.4</v>
      </c>
      <c r="M201">
        <f t="shared" si="37"/>
        <v>318.5999999999998</v>
      </c>
      <c r="N201">
        <v>-0.89999999999999991</v>
      </c>
      <c r="O201">
        <f t="shared" si="32"/>
        <v>107.70000000000002</v>
      </c>
      <c r="P201" s="5">
        <v>196</v>
      </c>
      <c r="Q201" s="21">
        <f t="shared" si="29"/>
        <v>1.1192307692307693</v>
      </c>
      <c r="R201" s="11">
        <f t="shared" si="33"/>
        <v>1.5669230769230769</v>
      </c>
      <c r="S201" s="11">
        <f t="shared" si="34"/>
        <v>-1.0669230769230769</v>
      </c>
      <c r="T201" s="87">
        <f t="shared" si="28"/>
        <v>106.76384615384615</v>
      </c>
      <c r="V201">
        <v>936</v>
      </c>
      <c r="X201">
        <f t="shared" si="38"/>
        <v>163959.99999999997</v>
      </c>
      <c r="Y201">
        <f t="shared" si="31"/>
        <v>29756.399999999998</v>
      </c>
      <c r="AA201">
        <v>11.890769251502199</v>
      </c>
    </row>
    <row r="202" spans="1:28" x14ac:dyDescent="0.25">
      <c r="A202" s="76"/>
      <c r="B202" s="8"/>
      <c r="C202" s="9">
        <v>42080</v>
      </c>
      <c r="D202">
        <v>9.4</v>
      </c>
      <c r="E202">
        <v>2.2999999999999998</v>
      </c>
      <c r="F202">
        <v>15.3</v>
      </c>
      <c r="G202">
        <f t="shared" si="35"/>
        <v>2209.4</v>
      </c>
      <c r="H202">
        <f t="shared" si="30"/>
        <v>277.40000000000003</v>
      </c>
      <c r="J202" s="86">
        <v>0</v>
      </c>
      <c r="K202">
        <f t="shared" si="36"/>
        <v>325.29999999999995</v>
      </c>
      <c r="L202">
        <v>2.2999999999999998</v>
      </c>
      <c r="M202">
        <f t="shared" si="37"/>
        <v>320.89999999999981</v>
      </c>
      <c r="N202">
        <v>-2.2999999999999998</v>
      </c>
      <c r="O202">
        <f t="shared" si="32"/>
        <v>105.40000000000002</v>
      </c>
      <c r="P202" s="5">
        <v>197</v>
      </c>
      <c r="Q202" s="21">
        <f t="shared" si="29"/>
        <v>1.1230769230769231</v>
      </c>
      <c r="R202" s="11">
        <f t="shared" si="33"/>
        <v>2.583076923076923</v>
      </c>
      <c r="S202" s="11">
        <f t="shared" si="34"/>
        <v>-2.583076923076923</v>
      </c>
      <c r="T202" s="87">
        <f t="shared" si="28"/>
        <v>104.18076923076923</v>
      </c>
      <c r="V202">
        <v>1618.9</v>
      </c>
      <c r="X202">
        <f t="shared" si="38"/>
        <v>165578.89999999997</v>
      </c>
      <c r="Y202">
        <f t="shared" si="31"/>
        <v>31375.3</v>
      </c>
      <c r="AA202">
        <v>11.9412819121242</v>
      </c>
    </row>
    <row r="203" spans="1:28" x14ac:dyDescent="0.25">
      <c r="A203" s="76"/>
      <c r="B203" s="8"/>
      <c r="C203" s="9">
        <v>42081</v>
      </c>
      <c r="D203">
        <v>12.1</v>
      </c>
      <c r="E203">
        <v>9.4</v>
      </c>
      <c r="F203">
        <v>15.3</v>
      </c>
      <c r="G203">
        <f t="shared" si="35"/>
        <v>2221.5</v>
      </c>
      <c r="H203">
        <f t="shared" si="30"/>
        <v>289.50000000000006</v>
      </c>
      <c r="J203" s="86">
        <v>0</v>
      </c>
      <c r="K203">
        <f t="shared" si="36"/>
        <v>325.29999999999995</v>
      </c>
      <c r="L203">
        <v>2.5</v>
      </c>
      <c r="M203">
        <f t="shared" si="37"/>
        <v>323.39999999999981</v>
      </c>
      <c r="N203">
        <v>-2.5</v>
      </c>
      <c r="O203">
        <f t="shared" si="32"/>
        <v>102.90000000000002</v>
      </c>
      <c r="P203" s="5">
        <v>198</v>
      </c>
      <c r="Q203" s="21">
        <f t="shared" si="29"/>
        <v>1.1269230769230769</v>
      </c>
      <c r="R203" s="11">
        <f t="shared" si="33"/>
        <v>2.8173076923076925</v>
      </c>
      <c r="S203" s="11">
        <f t="shared" si="34"/>
        <v>-2.8173076923076925</v>
      </c>
      <c r="T203" s="87">
        <f t="shared" si="28"/>
        <v>101.36346153846154</v>
      </c>
      <c r="V203">
        <v>1478.2</v>
      </c>
      <c r="X203">
        <f t="shared" si="38"/>
        <v>167057.09999999998</v>
      </c>
      <c r="Y203">
        <f t="shared" si="31"/>
        <v>32853.5</v>
      </c>
      <c r="AA203">
        <v>11.9918053478304</v>
      </c>
    </row>
    <row r="204" spans="1:28" x14ac:dyDescent="0.25">
      <c r="A204" s="76"/>
      <c r="B204" s="8"/>
      <c r="C204" s="9">
        <v>42082</v>
      </c>
      <c r="D204">
        <v>12.6</v>
      </c>
      <c r="E204">
        <v>7.3</v>
      </c>
      <c r="F204">
        <v>17</v>
      </c>
      <c r="G204">
        <f t="shared" si="35"/>
        <v>2234.1</v>
      </c>
      <c r="H204">
        <f t="shared" si="30"/>
        <v>302.10000000000008</v>
      </c>
      <c r="J204" s="86">
        <v>0</v>
      </c>
      <c r="K204">
        <f t="shared" si="36"/>
        <v>325.29999999999995</v>
      </c>
      <c r="L204">
        <v>1.9</v>
      </c>
      <c r="M204">
        <f t="shared" si="37"/>
        <v>325.29999999999978</v>
      </c>
      <c r="N204">
        <v>-1.9</v>
      </c>
      <c r="O204">
        <f t="shared" si="32"/>
        <v>101.00000000000001</v>
      </c>
      <c r="P204" s="5">
        <v>199</v>
      </c>
      <c r="Q204" s="21">
        <f t="shared" si="29"/>
        <v>1.1307692307692307</v>
      </c>
      <c r="R204" s="11">
        <f t="shared" si="33"/>
        <v>2.1484615384615382</v>
      </c>
      <c r="S204" s="11">
        <f t="shared" si="34"/>
        <v>-2.1484615384615382</v>
      </c>
      <c r="T204" s="87">
        <f t="shared" si="28"/>
        <v>99.215000000000003</v>
      </c>
      <c r="V204">
        <v>1059.5</v>
      </c>
      <c r="X204">
        <f t="shared" si="38"/>
        <v>168116.59999999998</v>
      </c>
      <c r="Y204">
        <f t="shared" si="31"/>
        <v>33913</v>
      </c>
      <c r="AA204">
        <v>12.042333505063899</v>
      </c>
    </row>
    <row r="205" spans="1:28" x14ac:dyDescent="0.25">
      <c r="A205" s="76"/>
      <c r="B205" s="8"/>
      <c r="C205" s="9">
        <v>42083</v>
      </c>
      <c r="D205">
        <v>11.1</v>
      </c>
      <c r="E205">
        <v>9.4</v>
      </c>
      <c r="F205">
        <v>13.7</v>
      </c>
      <c r="G205">
        <f t="shared" si="35"/>
        <v>2245.1999999999998</v>
      </c>
      <c r="H205">
        <f t="shared" si="30"/>
        <v>313.2000000000001</v>
      </c>
      <c r="J205" s="86">
        <v>0</v>
      </c>
      <c r="K205">
        <f t="shared" si="36"/>
        <v>325.29999999999995</v>
      </c>
      <c r="L205">
        <v>1.2</v>
      </c>
      <c r="M205">
        <f t="shared" si="37"/>
        <v>326.49999999999977</v>
      </c>
      <c r="N205">
        <v>-1.2</v>
      </c>
      <c r="O205">
        <f t="shared" si="32"/>
        <v>99.800000000000011</v>
      </c>
      <c r="P205" s="5">
        <v>200</v>
      </c>
      <c r="Q205" s="21">
        <f t="shared" si="29"/>
        <v>1.1346153846153846</v>
      </c>
      <c r="R205" s="11">
        <f t="shared" si="33"/>
        <v>1.3615384615384614</v>
      </c>
      <c r="S205" s="11">
        <f t="shared" si="34"/>
        <v>-1.3615384615384614</v>
      </c>
      <c r="T205" s="87">
        <f t="shared" si="28"/>
        <v>97.853461538461545</v>
      </c>
      <c r="V205">
        <v>782.6</v>
      </c>
      <c r="X205">
        <f t="shared" si="38"/>
        <v>168899.19999999998</v>
      </c>
      <c r="Y205">
        <f t="shared" si="31"/>
        <v>34695.599999999999</v>
      </c>
      <c r="AA205">
        <v>12.092860399753</v>
      </c>
    </row>
    <row r="206" spans="1:28" x14ac:dyDescent="0.25">
      <c r="A206" s="76"/>
      <c r="B206" s="8"/>
      <c r="C206" s="9">
        <v>42084</v>
      </c>
      <c r="D206">
        <v>10.7</v>
      </c>
      <c r="E206">
        <v>8</v>
      </c>
      <c r="F206">
        <v>15.4</v>
      </c>
      <c r="G206">
        <f t="shared" si="35"/>
        <v>2255.8999999999996</v>
      </c>
      <c r="H206">
        <f t="shared" si="30"/>
        <v>323.90000000000009</v>
      </c>
      <c r="J206">
        <v>10.1</v>
      </c>
      <c r="K206">
        <f t="shared" si="36"/>
        <v>335.4</v>
      </c>
      <c r="L206">
        <v>1.9</v>
      </c>
      <c r="M206">
        <f t="shared" si="37"/>
        <v>328.39999999999975</v>
      </c>
      <c r="N206">
        <v>8.1999999999999993</v>
      </c>
      <c r="O206">
        <f t="shared" si="32"/>
        <v>108.00000000000001</v>
      </c>
      <c r="P206" s="5">
        <v>201</v>
      </c>
      <c r="Q206" s="21">
        <f t="shared" si="29"/>
        <v>1.1384615384615384</v>
      </c>
      <c r="R206" s="11">
        <f t="shared" si="33"/>
        <v>2.1630769230769227</v>
      </c>
      <c r="S206" s="11">
        <f t="shared" si="34"/>
        <v>7.936923076923077</v>
      </c>
      <c r="T206" s="14">
        <f t="shared" si="28"/>
        <v>105.79038461538462</v>
      </c>
      <c r="V206">
        <v>987.6</v>
      </c>
      <c r="X206">
        <f t="shared" si="38"/>
        <v>169886.8</v>
      </c>
      <c r="Y206">
        <f t="shared" si="31"/>
        <v>35683.199999999997</v>
      </c>
      <c r="AA206">
        <v>12.1433801026478</v>
      </c>
    </row>
    <row r="207" spans="1:28" x14ac:dyDescent="0.25">
      <c r="A207" s="76"/>
      <c r="B207" s="8"/>
      <c r="C207" s="9">
        <v>42085</v>
      </c>
      <c r="D207">
        <v>8.6</v>
      </c>
      <c r="E207">
        <v>7.9</v>
      </c>
      <c r="F207">
        <v>9.8000000000000007</v>
      </c>
      <c r="G207">
        <f t="shared" si="35"/>
        <v>2264.4999999999995</v>
      </c>
      <c r="H207">
        <f t="shared" si="30"/>
        <v>332.50000000000011</v>
      </c>
      <c r="J207">
        <v>2.4</v>
      </c>
      <c r="K207">
        <f t="shared" si="36"/>
        <v>337.79999999999995</v>
      </c>
      <c r="L207">
        <v>1.5</v>
      </c>
      <c r="M207">
        <f t="shared" si="37"/>
        <v>329.89999999999975</v>
      </c>
      <c r="N207">
        <v>0.89999999999999991</v>
      </c>
      <c r="O207">
        <f t="shared" si="32"/>
        <v>108.90000000000002</v>
      </c>
      <c r="P207" s="5">
        <v>202</v>
      </c>
      <c r="Q207" s="21">
        <f t="shared" si="29"/>
        <v>1.1423076923076922</v>
      </c>
      <c r="R207" s="11">
        <f t="shared" si="33"/>
        <v>1.7134615384615384</v>
      </c>
      <c r="S207" s="11">
        <f t="shared" si="34"/>
        <v>0.68653846153846154</v>
      </c>
      <c r="T207" s="14">
        <f t="shared" si="28"/>
        <v>106.47692307692309</v>
      </c>
      <c r="V207">
        <v>1011.5</v>
      </c>
      <c r="X207">
        <f t="shared" si="38"/>
        <v>170898.3</v>
      </c>
      <c r="Y207">
        <f t="shared" si="31"/>
        <v>36694.699999999997</v>
      </c>
      <c r="AA207">
        <v>12.193886724733</v>
      </c>
    </row>
    <row r="208" spans="1:28" s="24" customFormat="1" x14ac:dyDescent="0.25">
      <c r="A208" s="76"/>
      <c r="B208" s="22"/>
      <c r="C208" s="23">
        <v>42086</v>
      </c>
      <c r="D208" s="24">
        <v>10.9</v>
      </c>
      <c r="E208" s="24">
        <v>7.3</v>
      </c>
      <c r="F208" s="24">
        <v>14.6</v>
      </c>
      <c r="G208" s="24">
        <f t="shared" si="35"/>
        <v>2275.3999999999996</v>
      </c>
      <c r="H208" s="24">
        <f t="shared" si="30"/>
        <v>343.40000000000009</v>
      </c>
      <c r="J208" s="24">
        <v>0</v>
      </c>
      <c r="K208" s="24">
        <f t="shared" si="36"/>
        <v>337.79999999999995</v>
      </c>
      <c r="L208" s="24">
        <v>2.2999999999999998</v>
      </c>
      <c r="M208" s="24">
        <f t="shared" si="37"/>
        <v>332.19999999999976</v>
      </c>
      <c r="N208" s="24">
        <v>-2.2999999999999998</v>
      </c>
      <c r="O208" s="24">
        <f t="shared" si="32"/>
        <v>106.60000000000002</v>
      </c>
      <c r="P208" s="25">
        <v>203</v>
      </c>
      <c r="Q208" s="21">
        <f t="shared" si="29"/>
        <v>1.1461538461538461</v>
      </c>
      <c r="R208" s="26">
        <f t="shared" si="33"/>
        <v>2.6361538461538458</v>
      </c>
      <c r="S208" s="26">
        <f t="shared" si="34"/>
        <v>-2.6361538461538458</v>
      </c>
      <c r="T208" s="14">
        <f t="shared" si="28"/>
        <v>103.84076923076924</v>
      </c>
      <c r="V208" s="24">
        <v>1546.6</v>
      </c>
      <c r="X208" s="24">
        <f t="shared" si="38"/>
        <v>172444.9</v>
      </c>
      <c r="Y208">
        <f t="shared" si="31"/>
        <v>38241.299999999996</v>
      </c>
      <c r="AA208" s="24">
        <v>12.244374402719799</v>
      </c>
    </row>
    <row r="209" spans="1:27" s="51" customFormat="1" ht="15" customHeight="1" thickBot="1" x14ac:dyDescent="0.3">
      <c r="A209" s="76"/>
      <c r="B209" s="59"/>
      <c r="C209" s="50">
        <v>42087</v>
      </c>
      <c r="D209" s="51">
        <v>9.6999999999999993</v>
      </c>
      <c r="E209" s="51">
        <v>8.6</v>
      </c>
      <c r="F209" s="51">
        <v>12.2</v>
      </c>
      <c r="G209" s="51">
        <f t="shared" si="35"/>
        <v>2285.0999999999995</v>
      </c>
      <c r="H209" s="51">
        <f t="shared" si="30"/>
        <v>353.10000000000008</v>
      </c>
      <c r="J209" s="51">
        <v>3.6</v>
      </c>
      <c r="K209" s="51">
        <f t="shared" si="36"/>
        <v>341.4</v>
      </c>
      <c r="L209" s="51">
        <v>1.6</v>
      </c>
      <c r="M209" s="51">
        <f t="shared" si="37"/>
        <v>333.79999999999978</v>
      </c>
      <c r="N209" s="51">
        <v>2</v>
      </c>
      <c r="O209" s="51">
        <f t="shared" si="32"/>
        <v>108.60000000000002</v>
      </c>
      <c r="P209" s="53">
        <v>204</v>
      </c>
      <c r="Q209" s="60">
        <f t="shared" si="29"/>
        <v>1.1499999999999999</v>
      </c>
      <c r="R209" s="55">
        <f t="shared" si="33"/>
        <v>1.8399999999999999</v>
      </c>
      <c r="S209" s="55">
        <f t="shared" si="34"/>
        <v>1.7600000000000002</v>
      </c>
      <c r="T209" s="61">
        <f t="shared" si="28"/>
        <v>105.60076923076925</v>
      </c>
      <c r="V209" s="51">
        <v>919.1</v>
      </c>
      <c r="X209" s="51">
        <f t="shared" si="38"/>
        <v>173364</v>
      </c>
      <c r="Y209" s="51">
        <f t="shared" si="31"/>
        <v>39160.399999999994</v>
      </c>
      <c r="AA209" s="51">
        <v>12.294837284619099</v>
      </c>
    </row>
    <row r="210" spans="1:27" s="24" customFormat="1" x14ac:dyDescent="0.25">
      <c r="A210" s="44" t="s">
        <v>37</v>
      </c>
      <c r="B210" s="32"/>
      <c r="C210" s="23">
        <v>42088</v>
      </c>
      <c r="D210" s="24">
        <v>6.2</v>
      </c>
      <c r="E210" s="24">
        <v>5</v>
      </c>
      <c r="F210" s="24">
        <v>7.5</v>
      </c>
      <c r="G210" s="24">
        <f t="shared" si="35"/>
        <v>2291.2999999999993</v>
      </c>
      <c r="H210" s="24">
        <v>6.2</v>
      </c>
      <c r="J210" s="24">
        <v>0.3</v>
      </c>
      <c r="K210" s="24">
        <f t="shared" si="36"/>
        <v>341.7</v>
      </c>
      <c r="L210" s="24">
        <v>1.8</v>
      </c>
      <c r="M210" s="24">
        <f t="shared" si="37"/>
        <v>335.5999999999998</v>
      </c>
      <c r="N210" s="24">
        <v>-1.5</v>
      </c>
      <c r="O210" s="24">
        <f t="shared" si="32"/>
        <v>107.10000000000002</v>
      </c>
      <c r="P210" s="25">
        <v>205</v>
      </c>
      <c r="Q210" s="45">
        <f t="shared" ref="Q210" si="39">1+((P210-165)/40)*(1.15-1)</f>
        <v>1.1499999999999999</v>
      </c>
      <c r="R210" s="26">
        <f t="shared" si="33"/>
        <v>2.0699999999999998</v>
      </c>
      <c r="S210" s="26">
        <f t="shared" si="34"/>
        <v>-1.7699999999999998</v>
      </c>
      <c r="T210" s="43">
        <f t="shared" si="28"/>
        <v>103.83076923076925</v>
      </c>
      <c r="V210" s="24">
        <v>1553.2</v>
      </c>
      <c r="X210" s="24">
        <f t="shared" si="38"/>
        <v>174917.2</v>
      </c>
      <c r="Y210" s="24">
        <f>V210</f>
        <v>1553.2</v>
      </c>
      <c r="AA210" s="24">
        <v>12.345269515398</v>
      </c>
    </row>
    <row r="211" spans="1:27" x14ac:dyDescent="0.25">
      <c r="A211" s="28"/>
      <c r="B211" s="1"/>
      <c r="C211" s="9">
        <v>42089</v>
      </c>
      <c r="D211">
        <v>8.6</v>
      </c>
      <c r="E211">
        <v>3</v>
      </c>
      <c r="F211">
        <v>13</v>
      </c>
      <c r="G211">
        <f t="shared" si="35"/>
        <v>2299.8999999999992</v>
      </c>
      <c r="H211">
        <f>H210+D211</f>
        <v>14.8</v>
      </c>
      <c r="I211" s="29" t="s">
        <v>41</v>
      </c>
      <c r="J211">
        <v>0</v>
      </c>
      <c r="K211">
        <f t="shared" si="36"/>
        <v>341.7</v>
      </c>
      <c r="L211">
        <v>2</v>
      </c>
      <c r="M211">
        <f t="shared" si="37"/>
        <v>337.5999999999998</v>
      </c>
      <c r="N211">
        <v>-2</v>
      </c>
      <c r="O211">
        <f t="shared" si="32"/>
        <v>105.10000000000002</v>
      </c>
      <c r="P211" s="5">
        <v>206</v>
      </c>
      <c r="Q211" s="6">
        <v>1.1499999999999999</v>
      </c>
      <c r="R211" s="11">
        <f t="shared" si="33"/>
        <v>2.2999999999999998</v>
      </c>
      <c r="S211" s="11">
        <f t="shared" si="34"/>
        <v>-2.2999999999999998</v>
      </c>
      <c r="T211" s="14">
        <f t="shared" si="28"/>
        <v>101.53076923076925</v>
      </c>
      <c r="U211" s="29" t="s">
        <v>28</v>
      </c>
      <c r="V211">
        <v>1246.9000000000001</v>
      </c>
      <c r="X211">
        <f t="shared" si="38"/>
        <v>176164.1</v>
      </c>
      <c r="Y211">
        <f>Y210+V211</f>
        <v>2800.1000000000004</v>
      </c>
      <c r="Z211" s="29" t="s">
        <v>51</v>
      </c>
      <c r="AA211">
        <v>12.395665222721901</v>
      </c>
    </row>
    <row r="212" spans="1:27" x14ac:dyDescent="0.25">
      <c r="A212" s="28"/>
      <c r="B212" s="1"/>
      <c r="C212" s="9">
        <v>42090</v>
      </c>
      <c r="D212">
        <v>11.5</v>
      </c>
      <c r="E212">
        <v>8.1999999999999993</v>
      </c>
      <c r="F212">
        <v>14.2</v>
      </c>
      <c r="G212">
        <f t="shared" si="35"/>
        <v>2311.3999999999992</v>
      </c>
      <c r="H212">
        <f t="shared" ref="H212:H229" si="40">H211+D212</f>
        <v>26.3</v>
      </c>
      <c r="I212">
        <f>MIN(E210:E230)</f>
        <v>1</v>
      </c>
      <c r="J212">
        <v>4.7</v>
      </c>
      <c r="K212">
        <f t="shared" si="36"/>
        <v>346.4</v>
      </c>
      <c r="L212">
        <v>2.9</v>
      </c>
      <c r="M212">
        <f t="shared" si="37"/>
        <v>340.49999999999977</v>
      </c>
      <c r="N212">
        <v>1.8000000000000003</v>
      </c>
      <c r="O212">
        <f t="shared" si="32"/>
        <v>106.90000000000002</v>
      </c>
      <c r="P212" s="5">
        <v>207</v>
      </c>
      <c r="Q212" s="6">
        <v>1.1499999999999999</v>
      </c>
      <c r="R212" s="11">
        <f t="shared" si="33"/>
        <v>3.3349999999999995</v>
      </c>
      <c r="S212" s="11">
        <f t="shared" si="34"/>
        <v>1.3650000000000007</v>
      </c>
      <c r="T212" s="14">
        <f t="shared" si="28"/>
        <v>102.89576923076925</v>
      </c>
      <c r="V212">
        <v>1661.8</v>
      </c>
      <c r="X212">
        <f t="shared" si="38"/>
        <v>177825.9</v>
      </c>
      <c r="Y212">
        <f t="shared" si="31"/>
        <v>4461.9000000000005</v>
      </c>
      <c r="Z212">
        <v>38112.1</v>
      </c>
      <c r="AA212">
        <v>12.446018502784201</v>
      </c>
    </row>
    <row r="213" spans="1:27" x14ac:dyDescent="0.25">
      <c r="A213" s="28"/>
      <c r="B213" s="1"/>
      <c r="C213" s="9">
        <v>42091</v>
      </c>
      <c r="D213">
        <v>12.2</v>
      </c>
      <c r="E213">
        <v>10.5</v>
      </c>
      <c r="F213">
        <v>14.5</v>
      </c>
      <c r="G213">
        <f t="shared" si="35"/>
        <v>2323.599999999999</v>
      </c>
      <c r="H213">
        <f t="shared" si="40"/>
        <v>38.5</v>
      </c>
      <c r="I213" s="29" t="s">
        <v>42</v>
      </c>
      <c r="J213">
        <v>1.5</v>
      </c>
      <c r="K213">
        <f t="shared" si="36"/>
        <v>347.9</v>
      </c>
      <c r="L213">
        <v>2.2999999999999998</v>
      </c>
      <c r="M213">
        <f t="shared" si="37"/>
        <v>342.79999999999978</v>
      </c>
      <c r="N213">
        <v>-0.79999999999999982</v>
      </c>
      <c r="O213">
        <f t="shared" si="32"/>
        <v>106.10000000000002</v>
      </c>
      <c r="P213" s="5">
        <v>208</v>
      </c>
      <c r="Q213" s="6">
        <v>1.1499999999999999</v>
      </c>
      <c r="R213" s="11">
        <f t="shared" si="33"/>
        <v>2.6449999999999996</v>
      </c>
      <c r="S213" s="11">
        <f t="shared" si="34"/>
        <v>-1.1449999999999996</v>
      </c>
      <c r="T213" s="14">
        <f t="shared" si="28"/>
        <v>101.75076923076925</v>
      </c>
      <c r="U213" s="29" t="s">
        <v>48</v>
      </c>
      <c r="V213">
        <v>1402.6</v>
      </c>
      <c r="X213">
        <f t="shared" si="38"/>
        <v>179228.5</v>
      </c>
      <c r="Y213">
        <f t="shared" si="31"/>
        <v>5864.5</v>
      </c>
      <c r="Z213" s="29" t="s">
        <v>54</v>
      </c>
      <c r="AA213">
        <v>12.4963234062244</v>
      </c>
    </row>
    <row r="214" spans="1:27" x14ac:dyDescent="0.25">
      <c r="A214" s="28"/>
      <c r="B214" s="1"/>
      <c r="C214" s="9">
        <v>42092</v>
      </c>
      <c r="D214">
        <v>12.5</v>
      </c>
      <c r="E214">
        <v>10.9</v>
      </c>
      <c r="F214">
        <v>14.2</v>
      </c>
      <c r="G214">
        <f t="shared" si="35"/>
        <v>2336.099999999999</v>
      </c>
      <c r="H214">
        <f t="shared" si="40"/>
        <v>51</v>
      </c>
      <c r="I214">
        <f>MAX(F210:F230)</f>
        <v>26.4</v>
      </c>
      <c r="J214">
        <v>0.6</v>
      </c>
      <c r="K214">
        <f t="shared" si="36"/>
        <v>348.5</v>
      </c>
      <c r="L214">
        <v>2.5</v>
      </c>
      <c r="M214">
        <f t="shared" si="37"/>
        <v>345.29999999999978</v>
      </c>
      <c r="N214">
        <v>-1.9</v>
      </c>
      <c r="O214">
        <f t="shared" si="32"/>
        <v>104.20000000000002</v>
      </c>
      <c r="P214" s="5">
        <v>209</v>
      </c>
      <c r="Q214" s="6">
        <v>1.1499999999999999</v>
      </c>
      <c r="R214" s="11">
        <f t="shared" si="33"/>
        <v>2.875</v>
      </c>
      <c r="S214" s="11">
        <f t="shared" si="34"/>
        <v>-2.2749999999999999</v>
      </c>
      <c r="T214" s="14">
        <f t="shared" si="28"/>
        <v>99.475769230769245</v>
      </c>
      <c r="U214">
        <v>0</v>
      </c>
      <c r="V214">
        <v>1197.2</v>
      </c>
      <c r="X214">
        <f t="shared" si="38"/>
        <v>180425.7</v>
      </c>
      <c r="Y214">
        <f t="shared" si="31"/>
        <v>7061.7</v>
      </c>
      <c r="Z214" s="15">
        <f>(Z212/100)/I224</f>
        <v>1.5016587864460202</v>
      </c>
      <c r="AA214">
        <v>12.546573924140199</v>
      </c>
    </row>
    <row r="215" spans="1:27" x14ac:dyDescent="0.25">
      <c r="A215" s="28" t="s">
        <v>38</v>
      </c>
      <c r="B215" s="1"/>
      <c r="C215" s="9">
        <v>42093</v>
      </c>
      <c r="D215">
        <v>12.7</v>
      </c>
      <c r="E215">
        <v>11.7</v>
      </c>
      <c r="F215">
        <v>14</v>
      </c>
      <c r="G215">
        <f t="shared" si="35"/>
        <v>2348.7999999999988</v>
      </c>
      <c r="H215">
        <f t="shared" si="40"/>
        <v>63.7</v>
      </c>
      <c r="I215" s="29" t="s">
        <v>43</v>
      </c>
      <c r="J215">
        <v>3</v>
      </c>
      <c r="K215">
        <f t="shared" si="36"/>
        <v>351.5</v>
      </c>
      <c r="L215">
        <v>2.1</v>
      </c>
      <c r="M215">
        <f t="shared" si="37"/>
        <v>347.39999999999981</v>
      </c>
      <c r="N215">
        <v>0.89999999999999991</v>
      </c>
      <c r="O215">
        <f t="shared" si="32"/>
        <v>105.10000000000002</v>
      </c>
      <c r="P215" s="5">
        <v>210</v>
      </c>
      <c r="Q215" s="6">
        <v>1.1499999999999999</v>
      </c>
      <c r="R215" s="11">
        <f t="shared" si="33"/>
        <v>2.415</v>
      </c>
      <c r="S215" s="11">
        <f t="shared" si="34"/>
        <v>0.58499999999999996</v>
      </c>
      <c r="T215" s="14">
        <f t="shared" ref="T215:T266" si="41">MIN(122.1,(T214+S215))</f>
        <v>100.06076923076924</v>
      </c>
      <c r="U215" s="29" t="s">
        <v>49</v>
      </c>
      <c r="V215">
        <v>557.70000000000005</v>
      </c>
      <c r="X215">
        <f t="shared" si="38"/>
        <v>180983.40000000002</v>
      </c>
      <c r="Y215">
        <f t="shared" si="31"/>
        <v>7619.4</v>
      </c>
      <c r="Z215" s="29" t="s">
        <v>52</v>
      </c>
      <c r="AA215">
        <v>12.5967639741929</v>
      </c>
    </row>
    <row r="216" spans="1:27" x14ac:dyDescent="0.25">
      <c r="A216" s="28"/>
      <c r="B216" s="1"/>
      <c r="C216" s="9">
        <v>42094</v>
      </c>
      <c r="D216">
        <v>12.3</v>
      </c>
      <c r="E216">
        <v>11.7</v>
      </c>
      <c r="F216">
        <v>13.9</v>
      </c>
      <c r="G216">
        <f t="shared" si="35"/>
        <v>2361.099999999999</v>
      </c>
      <c r="H216">
        <f t="shared" si="40"/>
        <v>76</v>
      </c>
      <c r="I216" s="16">
        <f>AVERAGE(D210:D230)</f>
        <v>12.085714285714285</v>
      </c>
      <c r="J216">
        <v>0.9</v>
      </c>
      <c r="K216">
        <f t="shared" si="36"/>
        <v>352.4</v>
      </c>
      <c r="L216">
        <v>2.6</v>
      </c>
      <c r="M216">
        <f t="shared" si="37"/>
        <v>349.99999999999983</v>
      </c>
      <c r="N216">
        <v>-1.7000000000000002</v>
      </c>
      <c r="O216">
        <f t="shared" si="32"/>
        <v>103.40000000000002</v>
      </c>
      <c r="P216" s="5">
        <v>211</v>
      </c>
      <c r="Q216" s="6">
        <v>1.1499999999999999</v>
      </c>
      <c r="R216" s="11">
        <f t="shared" si="33"/>
        <v>2.9899999999999998</v>
      </c>
      <c r="S216" s="11">
        <f t="shared" si="34"/>
        <v>-2.09</v>
      </c>
      <c r="T216" s="14">
        <f t="shared" si="41"/>
        <v>97.970769230769235</v>
      </c>
      <c r="U216">
        <v>0</v>
      </c>
      <c r="V216">
        <v>1588.6</v>
      </c>
      <c r="X216">
        <f t="shared" si="38"/>
        <v>182572.00000000003</v>
      </c>
      <c r="Y216">
        <f t="shared" si="31"/>
        <v>9208</v>
      </c>
      <c r="Z216">
        <v>1</v>
      </c>
      <c r="AA216">
        <v>12.646887386812599</v>
      </c>
    </row>
    <row r="217" spans="1:27" x14ac:dyDescent="0.25">
      <c r="A217" s="28"/>
      <c r="B217" s="1"/>
      <c r="C217" s="9">
        <v>42095</v>
      </c>
      <c r="D217">
        <v>10.199999999999999</v>
      </c>
      <c r="E217">
        <v>7.8</v>
      </c>
      <c r="F217">
        <v>12.6</v>
      </c>
      <c r="G217">
        <f t="shared" si="35"/>
        <v>2371.2999999999988</v>
      </c>
      <c r="H217">
        <f t="shared" si="40"/>
        <v>86.2</v>
      </c>
      <c r="I217" s="29" t="s">
        <v>44</v>
      </c>
      <c r="J217">
        <v>0</v>
      </c>
      <c r="K217">
        <f t="shared" si="36"/>
        <v>352.4</v>
      </c>
      <c r="L217">
        <v>3</v>
      </c>
      <c r="M217">
        <f t="shared" si="37"/>
        <v>352.99999999999983</v>
      </c>
      <c r="N217">
        <v>-3</v>
      </c>
      <c r="O217">
        <f t="shared" si="32"/>
        <v>100.40000000000002</v>
      </c>
      <c r="P217" s="5">
        <v>212</v>
      </c>
      <c r="Q217" s="6">
        <v>1.1499999999999999</v>
      </c>
      <c r="R217" s="11">
        <f t="shared" si="33"/>
        <v>3.4499999999999997</v>
      </c>
      <c r="S217" s="11">
        <f t="shared" si="34"/>
        <v>-3.4499999999999997</v>
      </c>
      <c r="T217" s="14">
        <f t="shared" si="41"/>
        <v>94.520769230769233</v>
      </c>
      <c r="U217" s="29" t="s">
        <v>30</v>
      </c>
      <c r="V217">
        <v>1736.8</v>
      </c>
      <c r="X217">
        <f t="shared" si="38"/>
        <v>184308.80000000002</v>
      </c>
      <c r="Y217">
        <f t="shared" si="31"/>
        <v>10944.8</v>
      </c>
      <c r="AA217">
        <v>12.6969378915059</v>
      </c>
    </row>
    <row r="218" spans="1:27" x14ac:dyDescent="0.25">
      <c r="A218" s="28"/>
      <c r="B218" s="1"/>
      <c r="C218" s="9">
        <v>42096</v>
      </c>
      <c r="D218">
        <v>10.4</v>
      </c>
      <c r="E218">
        <v>4.5999999999999996</v>
      </c>
      <c r="F218">
        <v>14.4</v>
      </c>
      <c r="G218">
        <f t="shared" si="35"/>
        <v>2381.6999999999989</v>
      </c>
      <c r="H218">
        <f t="shared" si="40"/>
        <v>96.600000000000009</v>
      </c>
      <c r="I218">
        <v>0</v>
      </c>
      <c r="J218">
        <v>0</v>
      </c>
      <c r="K218">
        <f t="shared" si="36"/>
        <v>352.4</v>
      </c>
      <c r="L218">
        <v>2.2999999999999998</v>
      </c>
      <c r="M218">
        <f t="shared" si="37"/>
        <v>355.29999999999984</v>
      </c>
      <c r="N218">
        <v>-2.2999999999999998</v>
      </c>
      <c r="O218">
        <f t="shared" si="32"/>
        <v>98.100000000000023</v>
      </c>
      <c r="P218" s="5">
        <v>213</v>
      </c>
      <c r="Q218" s="6">
        <v>1.1499999999999999</v>
      </c>
      <c r="R218" s="11">
        <f t="shared" si="33"/>
        <v>2.6449999999999996</v>
      </c>
      <c r="S218" s="11">
        <f t="shared" si="34"/>
        <v>-2.6449999999999996</v>
      </c>
      <c r="T218" s="14">
        <f t="shared" si="41"/>
        <v>91.875769230769237</v>
      </c>
      <c r="U218" s="16">
        <f>MIN(T210:T230)</f>
        <v>42.545769230769238</v>
      </c>
      <c r="V218">
        <v>1540.6</v>
      </c>
      <c r="X218">
        <f t="shared" si="38"/>
        <v>185849.40000000002</v>
      </c>
      <c r="Y218">
        <f t="shared" si="31"/>
        <v>12485.4</v>
      </c>
      <c r="AA218">
        <v>12.7469091032715</v>
      </c>
    </row>
    <row r="219" spans="1:27" x14ac:dyDescent="0.25">
      <c r="A219" s="28"/>
      <c r="B219" s="1"/>
      <c r="C219" s="9">
        <v>42097</v>
      </c>
      <c r="D219">
        <v>12.5</v>
      </c>
      <c r="E219">
        <v>9</v>
      </c>
      <c r="F219">
        <v>16.5</v>
      </c>
      <c r="G219">
        <f t="shared" si="35"/>
        <v>2394.1999999999989</v>
      </c>
      <c r="H219">
        <f t="shared" si="40"/>
        <v>109.10000000000001</v>
      </c>
      <c r="I219" s="29" t="s">
        <v>45</v>
      </c>
      <c r="J219">
        <v>0.7</v>
      </c>
      <c r="K219">
        <f t="shared" si="36"/>
        <v>353.09999999999997</v>
      </c>
      <c r="L219">
        <v>2.5</v>
      </c>
      <c r="M219">
        <f t="shared" si="37"/>
        <v>357.79999999999984</v>
      </c>
      <c r="N219">
        <v>-1.8</v>
      </c>
      <c r="O219">
        <f t="shared" si="32"/>
        <v>96.300000000000026</v>
      </c>
      <c r="P219" s="5">
        <v>214</v>
      </c>
      <c r="Q219" s="6">
        <v>1.1499999999999999</v>
      </c>
      <c r="R219" s="11">
        <f t="shared" si="33"/>
        <v>2.875</v>
      </c>
      <c r="S219" s="11">
        <f t="shared" si="34"/>
        <v>-2.1749999999999998</v>
      </c>
      <c r="T219" s="14">
        <f t="shared" si="41"/>
        <v>89.700769230769239</v>
      </c>
      <c r="U219" s="29" t="s">
        <v>31</v>
      </c>
      <c r="V219">
        <v>1558.9</v>
      </c>
      <c r="X219">
        <f t="shared" si="38"/>
        <v>187408.30000000002</v>
      </c>
      <c r="Y219">
        <f t="shared" si="31"/>
        <v>14044.3</v>
      </c>
      <c r="AA219">
        <v>12.7967945091298</v>
      </c>
    </row>
    <row r="220" spans="1:27" x14ac:dyDescent="0.25">
      <c r="A220" s="28"/>
      <c r="B220" s="1"/>
      <c r="C220" s="9">
        <v>42098</v>
      </c>
      <c r="D220">
        <v>10.7</v>
      </c>
      <c r="E220">
        <v>8.1</v>
      </c>
      <c r="F220">
        <v>13.1</v>
      </c>
      <c r="G220">
        <f t="shared" si="35"/>
        <v>2404.8999999999987</v>
      </c>
      <c r="H220">
        <f t="shared" si="40"/>
        <v>119.80000000000001</v>
      </c>
      <c r="I220">
        <v>1</v>
      </c>
      <c r="J220">
        <v>0.8</v>
      </c>
      <c r="K220">
        <f t="shared" si="36"/>
        <v>353.9</v>
      </c>
      <c r="L220">
        <v>2.5</v>
      </c>
      <c r="M220">
        <f t="shared" si="37"/>
        <v>360.29999999999984</v>
      </c>
      <c r="N220">
        <v>-1.7</v>
      </c>
      <c r="O220">
        <f t="shared" si="32"/>
        <v>94.600000000000023</v>
      </c>
      <c r="P220" s="5">
        <v>215</v>
      </c>
      <c r="Q220" s="6">
        <v>1.1499999999999999</v>
      </c>
      <c r="R220" s="11">
        <f t="shared" si="33"/>
        <v>2.875</v>
      </c>
      <c r="S220" s="11">
        <f t="shared" si="34"/>
        <v>-2.0750000000000002</v>
      </c>
      <c r="T220" s="14">
        <f t="shared" si="41"/>
        <v>87.625769230769237</v>
      </c>
      <c r="U220" s="16">
        <f>MAX(T210:T230)</f>
        <v>103.83076923076925</v>
      </c>
      <c r="V220">
        <v>1725.9</v>
      </c>
      <c r="X220">
        <f t="shared" si="38"/>
        <v>189134.2</v>
      </c>
      <c r="Y220">
        <f t="shared" si="31"/>
        <v>15770.199999999999</v>
      </c>
      <c r="AA220">
        <v>12.8465874547739</v>
      </c>
    </row>
    <row r="221" spans="1:27" x14ac:dyDescent="0.25">
      <c r="A221" s="28"/>
      <c r="B221" s="1"/>
      <c r="C221" s="9">
        <v>42099</v>
      </c>
      <c r="D221">
        <v>9.6999999999999993</v>
      </c>
      <c r="E221">
        <v>5.8</v>
      </c>
      <c r="F221">
        <v>13.3</v>
      </c>
      <c r="G221">
        <f t="shared" si="35"/>
        <v>2414.5999999999985</v>
      </c>
      <c r="H221">
        <f t="shared" si="40"/>
        <v>129.5</v>
      </c>
      <c r="I221" s="29" t="s">
        <v>46</v>
      </c>
      <c r="J221">
        <v>0</v>
      </c>
      <c r="K221">
        <f t="shared" si="36"/>
        <v>353.9</v>
      </c>
      <c r="L221">
        <v>3.3</v>
      </c>
      <c r="M221">
        <f t="shared" si="37"/>
        <v>363.59999999999985</v>
      </c>
      <c r="N221">
        <v>-3.3</v>
      </c>
      <c r="O221">
        <f t="shared" si="32"/>
        <v>91.300000000000026</v>
      </c>
      <c r="P221" s="5">
        <v>216</v>
      </c>
      <c r="Q221" s="6">
        <v>1.1499999999999999</v>
      </c>
      <c r="R221" s="11">
        <f t="shared" si="33"/>
        <v>3.7949999999999995</v>
      </c>
      <c r="S221" s="11">
        <f t="shared" si="34"/>
        <v>-3.7949999999999995</v>
      </c>
      <c r="T221" s="14">
        <f t="shared" si="41"/>
        <v>83.830769230769235</v>
      </c>
      <c r="U221" s="29" t="s">
        <v>32</v>
      </c>
      <c r="V221">
        <v>2327.9</v>
      </c>
      <c r="X221">
        <f t="shared" si="38"/>
        <v>191462.1</v>
      </c>
      <c r="Y221">
        <f t="shared" si="31"/>
        <v>18098.099999999999</v>
      </c>
      <c r="AA221">
        <v>12.896281131349699</v>
      </c>
    </row>
    <row r="222" spans="1:27" x14ac:dyDescent="0.25">
      <c r="A222" s="28"/>
      <c r="B222" s="1"/>
      <c r="C222" s="9">
        <v>42100</v>
      </c>
      <c r="D222">
        <v>9.6999999999999993</v>
      </c>
      <c r="E222">
        <v>1</v>
      </c>
      <c r="F222">
        <v>17.100000000000001</v>
      </c>
      <c r="G222">
        <f t="shared" si="35"/>
        <v>2424.2999999999984</v>
      </c>
      <c r="H222">
        <f t="shared" si="40"/>
        <v>139.19999999999999</v>
      </c>
      <c r="I222">
        <v>6</v>
      </c>
      <c r="J222">
        <v>0</v>
      </c>
      <c r="K222">
        <f t="shared" si="36"/>
        <v>353.9</v>
      </c>
      <c r="L222">
        <v>3.7</v>
      </c>
      <c r="M222">
        <f t="shared" si="37"/>
        <v>367.29999999999984</v>
      </c>
      <c r="N222">
        <v>-3.7</v>
      </c>
      <c r="O222">
        <f t="shared" si="32"/>
        <v>87.600000000000023</v>
      </c>
      <c r="P222" s="5">
        <v>217</v>
      </c>
      <c r="Q222" s="6">
        <v>1.1499999999999999</v>
      </c>
      <c r="R222" s="11">
        <f t="shared" si="33"/>
        <v>4.2549999999999999</v>
      </c>
      <c r="S222" s="11">
        <f t="shared" si="34"/>
        <v>-4.2549999999999999</v>
      </c>
      <c r="T222" s="14">
        <f t="shared" si="41"/>
        <v>79.575769230769239</v>
      </c>
      <c r="U222" s="15">
        <f>AVERAGE(T210:T230)</f>
        <v>81.632197802197808</v>
      </c>
      <c r="V222">
        <v>2498</v>
      </c>
      <c r="X222">
        <f t="shared" si="38"/>
        <v>193960.1</v>
      </c>
      <c r="Y222">
        <f t="shared" si="31"/>
        <v>20596.099999999999</v>
      </c>
      <c r="AA222">
        <v>12.9458685623751</v>
      </c>
    </row>
    <row r="223" spans="1:27" x14ac:dyDescent="0.25">
      <c r="A223" s="28"/>
      <c r="B223" s="1"/>
      <c r="C223" s="9">
        <v>42101</v>
      </c>
      <c r="D223">
        <v>11</v>
      </c>
      <c r="E223">
        <v>4.0999999999999996</v>
      </c>
      <c r="F223">
        <v>16.600000000000001</v>
      </c>
      <c r="G223">
        <f t="shared" si="35"/>
        <v>2435.2999999999984</v>
      </c>
      <c r="H223">
        <f t="shared" si="40"/>
        <v>150.19999999999999</v>
      </c>
      <c r="I223" s="29" t="s">
        <v>47</v>
      </c>
      <c r="J223">
        <v>0</v>
      </c>
      <c r="K223">
        <f t="shared" si="36"/>
        <v>353.9</v>
      </c>
      <c r="L223">
        <v>4.2</v>
      </c>
      <c r="M223">
        <f t="shared" si="37"/>
        <v>371.49999999999983</v>
      </c>
      <c r="N223">
        <v>-4.2</v>
      </c>
      <c r="O223">
        <f t="shared" si="32"/>
        <v>83.40000000000002</v>
      </c>
      <c r="P223" s="5">
        <v>218</v>
      </c>
      <c r="Q223" s="6">
        <v>1.1499999999999999</v>
      </c>
      <c r="R223" s="11">
        <f t="shared" si="33"/>
        <v>4.83</v>
      </c>
      <c r="S223" s="11">
        <f t="shared" si="34"/>
        <v>-4.83</v>
      </c>
      <c r="T223" s="14">
        <f t="shared" si="41"/>
        <v>74.745769230769241</v>
      </c>
      <c r="U223">
        <f>(U222*100)/122.1</f>
        <v>66.856836856836864</v>
      </c>
      <c r="V223">
        <v>2536.8000000000002</v>
      </c>
      <c r="X223">
        <f t="shared" si="38"/>
        <v>196496.9</v>
      </c>
      <c r="Y223">
        <f t="shared" si="31"/>
        <v>23132.899999999998</v>
      </c>
      <c r="AA223">
        <v>12.9953425908089</v>
      </c>
    </row>
    <row r="224" spans="1:27" x14ac:dyDescent="0.25">
      <c r="A224" s="28"/>
      <c r="B224" s="1"/>
      <c r="C224" s="9">
        <v>42102</v>
      </c>
      <c r="D224">
        <v>11.6</v>
      </c>
      <c r="E224">
        <v>3.1</v>
      </c>
      <c r="F224">
        <v>17.8</v>
      </c>
      <c r="G224">
        <f t="shared" si="35"/>
        <v>2446.8999999999983</v>
      </c>
      <c r="H224">
        <f t="shared" si="40"/>
        <v>161.79999999999998</v>
      </c>
      <c r="I224">
        <v>253.8</v>
      </c>
      <c r="J224">
        <v>0</v>
      </c>
      <c r="K224">
        <f t="shared" si="36"/>
        <v>353.9</v>
      </c>
      <c r="L224">
        <v>3.8</v>
      </c>
      <c r="M224">
        <f t="shared" si="37"/>
        <v>375.29999999999984</v>
      </c>
      <c r="N224">
        <v>-3.8</v>
      </c>
      <c r="O224">
        <f t="shared" si="32"/>
        <v>79.600000000000023</v>
      </c>
      <c r="P224" s="5">
        <v>219</v>
      </c>
      <c r="Q224" s="6">
        <v>1.1499999999999999</v>
      </c>
      <c r="R224" s="11">
        <f t="shared" si="33"/>
        <v>4.3699999999999992</v>
      </c>
      <c r="S224" s="11">
        <f t="shared" si="34"/>
        <v>-4.3699999999999992</v>
      </c>
      <c r="T224" s="14">
        <f t="shared" si="41"/>
        <v>70.375769230769237</v>
      </c>
      <c r="V224">
        <v>2423.5</v>
      </c>
      <c r="X224">
        <f t="shared" si="38"/>
        <v>198920.4</v>
      </c>
      <c r="Y224">
        <f t="shared" si="31"/>
        <v>25556.399999999998</v>
      </c>
      <c r="AA224">
        <v>13.044695866283099</v>
      </c>
    </row>
    <row r="225" spans="1:27" x14ac:dyDescent="0.25">
      <c r="A225" s="28"/>
      <c r="B225" s="1"/>
      <c r="C225" s="9">
        <v>42103</v>
      </c>
      <c r="D225">
        <v>12.6</v>
      </c>
      <c r="E225">
        <v>6.6</v>
      </c>
      <c r="F225">
        <v>18.3</v>
      </c>
      <c r="G225">
        <f t="shared" si="35"/>
        <v>2459.4999999999982</v>
      </c>
      <c r="H225">
        <f t="shared" si="40"/>
        <v>174.39999999999998</v>
      </c>
      <c r="J225">
        <v>0</v>
      </c>
      <c r="K225">
        <f t="shared" si="36"/>
        <v>353.9</v>
      </c>
      <c r="L225">
        <v>4.0999999999999996</v>
      </c>
      <c r="M225">
        <f t="shared" si="37"/>
        <v>379.39999999999986</v>
      </c>
      <c r="N225">
        <v>-4.0999999999999996</v>
      </c>
      <c r="O225">
        <f t="shared" si="32"/>
        <v>75.500000000000028</v>
      </c>
      <c r="P225" s="5">
        <v>220</v>
      </c>
      <c r="Q225" s="6">
        <v>1.1499999999999999</v>
      </c>
      <c r="R225" s="11">
        <f t="shared" si="33"/>
        <v>4.714999999999999</v>
      </c>
      <c r="S225" s="11">
        <f t="shared" si="34"/>
        <v>-4.714999999999999</v>
      </c>
      <c r="T225" s="14">
        <f t="shared" si="41"/>
        <v>65.660769230769233</v>
      </c>
      <c r="V225">
        <v>2298.1</v>
      </c>
      <c r="X225">
        <f t="shared" si="38"/>
        <v>201218.5</v>
      </c>
      <c r="Y225">
        <f t="shared" si="31"/>
        <v>27854.499999999996</v>
      </c>
      <c r="AA225">
        <v>13.0939208325112</v>
      </c>
    </row>
    <row r="226" spans="1:27" x14ac:dyDescent="0.25">
      <c r="A226" s="28"/>
      <c r="B226" s="1"/>
      <c r="C226" s="9">
        <v>42104</v>
      </c>
      <c r="D226">
        <v>13.5</v>
      </c>
      <c r="E226">
        <v>9.6</v>
      </c>
      <c r="F226">
        <v>17.2</v>
      </c>
      <c r="G226">
        <f t="shared" si="35"/>
        <v>2472.9999999999982</v>
      </c>
      <c r="H226">
        <f t="shared" si="40"/>
        <v>187.89999999999998</v>
      </c>
      <c r="J226">
        <v>0</v>
      </c>
      <c r="K226">
        <f t="shared" si="36"/>
        <v>353.9</v>
      </c>
      <c r="L226">
        <v>2.5</v>
      </c>
      <c r="M226">
        <f t="shared" si="37"/>
        <v>381.89999999999986</v>
      </c>
      <c r="N226">
        <v>-2.5</v>
      </c>
      <c r="O226">
        <f t="shared" si="32"/>
        <v>73.000000000000028</v>
      </c>
      <c r="P226" s="5">
        <v>221</v>
      </c>
      <c r="Q226" s="6">
        <v>1.1499999999999999</v>
      </c>
      <c r="R226" s="11">
        <f t="shared" si="33"/>
        <v>2.875</v>
      </c>
      <c r="S226" s="11">
        <f t="shared" si="34"/>
        <v>-2.875</v>
      </c>
      <c r="T226" s="14">
        <f t="shared" si="41"/>
        <v>62.785769230769233</v>
      </c>
      <c r="V226">
        <v>1191.5999999999999</v>
      </c>
      <c r="X226">
        <f t="shared" si="38"/>
        <v>202410.1</v>
      </c>
      <c r="Y226">
        <f t="shared" si="31"/>
        <v>29046.099999999995</v>
      </c>
      <c r="AA226">
        <v>13.143009714889599</v>
      </c>
    </row>
    <row r="227" spans="1:27" x14ac:dyDescent="0.25">
      <c r="A227" s="28"/>
      <c r="B227" s="1"/>
      <c r="C227" s="9">
        <v>42105</v>
      </c>
      <c r="D227">
        <v>14</v>
      </c>
      <c r="E227">
        <v>9.6</v>
      </c>
      <c r="F227">
        <v>17.8</v>
      </c>
      <c r="G227">
        <f t="shared" si="35"/>
        <v>2486.9999999999982</v>
      </c>
      <c r="H227">
        <f t="shared" si="40"/>
        <v>201.89999999999998</v>
      </c>
      <c r="J227">
        <v>0</v>
      </c>
      <c r="K227">
        <f t="shared" si="36"/>
        <v>353.9</v>
      </c>
      <c r="L227">
        <v>2.8</v>
      </c>
      <c r="M227">
        <f t="shared" si="37"/>
        <v>384.69999999999987</v>
      </c>
      <c r="N227">
        <v>-2.8</v>
      </c>
      <c r="O227">
        <f t="shared" si="32"/>
        <v>70.200000000000031</v>
      </c>
      <c r="P227" s="5">
        <v>222</v>
      </c>
      <c r="Q227" s="6">
        <v>1.1499999999999999</v>
      </c>
      <c r="R227" s="11">
        <f t="shared" si="33"/>
        <v>3.2199999999999998</v>
      </c>
      <c r="S227" s="11">
        <f t="shared" si="34"/>
        <v>-3.2199999999999998</v>
      </c>
      <c r="T227" s="14">
        <f t="shared" si="41"/>
        <v>59.565769230769234</v>
      </c>
      <c r="V227">
        <v>1904.3</v>
      </c>
      <c r="X227">
        <f t="shared" si="38"/>
        <v>204314.4</v>
      </c>
      <c r="Y227">
        <f t="shared" si="31"/>
        <v>30950.399999999994</v>
      </c>
      <c r="AA227">
        <v>13.1919545083099</v>
      </c>
    </row>
    <row r="228" spans="1:27" x14ac:dyDescent="0.25">
      <c r="A228" s="28"/>
      <c r="B228" s="1"/>
      <c r="C228" s="9">
        <v>42106</v>
      </c>
      <c r="D228">
        <v>15.9</v>
      </c>
      <c r="E228">
        <v>8</v>
      </c>
      <c r="F228">
        <v>21.6</v>
      </c>
      <c r="G228">
        <f t="shared" si="35"/>
        <v>2502.8999999999983</v>
      </c>
      <c r="H228">
        <f t="shared" si="40"/>
        <v>217.79999999999998</v>
      </c>
      <c r="J228">
        <v>0</v>
      </c>
      <c r="K228">
        <f t="shared" si="36"/>
        <v>353.9</v>
      </c>
      <c r="L228">
        <v>4</v>
      </c>
      <c r="M228">
        <f t="shared" si="37"/>
        <v>388.69999999999987</v>
      </c>
      <c r="N228">
        <v>-4</v>
      </c>
      <c r="O228">
        <f t="shared" si="32"/>
        <v>66.200000000000031</v>
      </c>
      <c r="P228" s="5">
        <v>223</v>
      </c>
      <c r="Q228" s="6">
        <v>1.1499999999999999</v>
      </c>
      <c r="R228" s="11">
        <f t="shared" si="33"/>
        <v>4.5999999999999996</v>
      </c>
      <c r="S228" s="11">
        <f t="shared" si="34"/>
        <v>-4.5999999999999996</v>
      </c>
      <c r="T228" s="14">
        <f t="shared" si="41"/>
        <v>54.965769230769233</v>
      </c>
      <c r="V228">
        <v>2175.8000000000002</v>
      </c>
      <c r="X228">
        <f t="shared" si="38"/>
        <v>206490.19999999998</v>
      </c>
      <c r="Y228">
        <f t="shared" si="31"/>
        <v>33126.199999999997</v>
      </c>
      <c r="AA228">
        <v>13.2407469652017</v>
      </c>
    </row>
    <row r="229" spans="1:27" x14ac:dyDescent="0.25">
      <c r="A229" s="28"/>
      <c r="B229" s="1"/>
      <c r="C229" s="9">
        <v>42107</v>
      </c>
      <c r="D229">
        <v>17.8</v>
      </c>
      <c r="E229">
        <v>9.6</v>
      </c>
      <c r="F229">
        <v>24.6</v>
      </c>
      <c r="G229">
        <f t="shared" si="35"/>
        <v>2520.6999999999985</v>
      </c>
      <c r="H229">
        <f t="shared" si="40"/>
        <v>235.6</v>
      </c>
      <c r="J229">
        <v>0</v>
      </c>
      <c r="K229">
        <f t="shared" si="36"/>
        <v>353.9</v>
      </c>
      <c r="L229">
        <v>5.2</v>
      </c>
      <c r="M229">
        <f t="shared" si="37"/>
        <v>393.89999999999986</v>
      </c>
      <c r="N229">
        <v>-5.2</v>
      </c>
      <c r="O229">
        <f t="shared" si="32"/>
        <v>61.000000000000028</v>
      </c>
      <c r="P229" s="5">
        <v>224</v>
      </c>
      <c r="Q229" s="6">
        <v>1.1499999999999999</v>
      </c>
      <c r="R229" s="11">
        <f t="shared" si="33"/>
        <v>5.9799999999999995</v>
      </c>
      <c r="S229" s="11">
        <f t="shared" si="34"/>
        <v>-5.9799999999999995</v>
      </c>
      <c r="T229" s="14">
        <f t="shared" si="41"/>
        <v>48.985769230769236</v>
      </c>
      <c r="V229">
        <v>2491.9</v>
      </c>
      <c r="X229">
        <f t="shared" si="38"/>
        <v>208982.09999999998</v>
      </c>
      <c r="Y229">
        <f t="shared" si="31"/>
        <v>35618.1</v>
      </c>
      <c r="AA229">
        <v>13.289378583827499</v>
      </c>
    </row>
    <row r="230" spans="1:27" s="51" customFormat="1" ht="15.75" thickBot="1" x14ac:dyDescent="0.3">
      <c r="A230" s="62" t="s">
        <v>39</v>
      </c>
      <c r="B230" s="63"/>
      <c r="C230" s="50">
        <v>42108</v>
      </c>
      <c r="D230" s="51">
        <v>18.2</v>
      </c>
      <c r="E230" s="51">
        <v>8.1</v>
      </c>
      <c r="F230" s="51">
        <v>26.4</v>
      </c>
      <c r="G230" s="51">
        <f t="shared" si="35"/>
        <v>2538.8999999999983</v>
      </c>
      <c r="H230" s="51">
        <f>H229+D230</f>
        <v>253.79999999999998</v>
      </c>
      <c r="J230" s="51">
        <v>0</v>
      </c>
      <c r="K230" s="51">
        <f t="shared" si="36"/>
        <v>353.9</v>
      </c>
      <c r="L230" s="51">
        <v>5.6</v>
      </c>
      <c r="M230" s="51">
        <f t="shared" si="37"/>
        <v>399.49999999999989</v>
      </c>
      <c r="N230" s="51">
        <v>-5.6</v>
      </c>
      <c r="O230" s="51">
        <f t="shared" si="32"/>
        <v>55.400000000000027</v>
      </c>
      <c r="P230" s="53">
        <v>225</v>
      </c>
      <c r="Q230" s="51">
        <v>1.1499999999999999</v>
      </c>
      <c r="R230" s="55">
        <f t="shared" si="33"/>
        <v>6.4399999999999995</v>
      </c>
      <c r="S230" s="55">
        <f t="shared" si="34"/>
        <v>-6.4399999999999995</v>
      </c>
      <c r="T230" s="61">
        <f t="shared" si="41"/>
        <v>42.545769230769238</v>
      </c>
      <c r="V230" s="51">
        <v>2494</v>
      </c>
      <c r="X230" s="51">
        <f t="shared" si="38"/>
        <v>211476.09999999998</v>
      </c>
      <c r="Y230" s="51">
        <f t="shared" si="31"/>
        <v>38112.1</v>
      </c>
      <c r="AA230" s="51">
        <v>13.3378405968548</v>
      </c>
    </row>
    <row r="231" spans="1:27" s="24" customFormat="1" x14ac:dyDescent="0.25">
      <c r="A231" s="77">
        <v>300</v>
      </c>
      <c r="B231" s="46"/>
      <c r="C231" s="23">
        <v>42109</v>
      </c>
      <c r="D231" s="24">
        <v>17.100000000000001</v>
      </c>
      <c r="E231" s="24">
        <v>11.8</v>
      </c>
      <c r="F231" s="24">
        <v>23.1</v>
      </c>
      <c r="G231" s="24">
        <f t="shared" si="35"/>
        <v>2555.9999999999982</v>
      </c>
      <c r="H231" s="24">
        <v>17.100000000000001</v>
      </c>
      <c r="J231" s="24">
        <v>0</v>
      </c>
      <c r="K231" s="24">
        <f t="shared" si="36"/>
        <v>353.9</v>
      </c>
      <c r="L231" s="24">
        <v>5.9</v>
      </c>
      <c r="M231" s="24">
        <f t="shared" si="37"/>
        <v>405.39999999999986</v>
      </c>
      <c r="N231" s="24">
        <v>-5.9</v>
      </c>
      <c r="O231" s="24">
        <f t="shared" si="32"/>
        <v>49.500000000000028</v>
      </c>
      <c r="P231" s="25">
        <v>226</v>
      </c>
      <c r="Q231" s="34">
        <v>1.1499999999999999</v>
      </c>
      <c r="R231" s="26">
        <f t="shared" si="33"/>
        <v>6.7850000000000001</v>
      </c>
      <c r="S231" s="26">
        <f t="shared" si="34"/>
        <v>-6.7850000000000001</v>
      </c>
      <c r="T231" s="43">
        <f t="shared" si="41"/>
        <v>35.760769230769242</v>
      </c>
      <c r="V231" s="24">
        <v>2049</v>
      </c>
      <c r="X231" s="24">
        <f t="shared" si="38"/>
        <v>213525.09999999998</v>
      </c>
      <c r="Y231" s="24">
        <f>V231</f>
        <v>2049</v>
      </c>
      <c r="AA231" s="24">
        <v>13.386123960230501</v>
      </c>
    </row>
    <row r="232" spans="1:27" ht="15" customHeight="1" x14ac:dyDescent="0.25">
      <c r="A232" s="77"/>
      <c r="B232" s="27"/>
      <c r="C232" s="9">
        <v>42110</v>
      </c>
      <c r="D232">
        <v>16.5</v>
      </c>
      <c r="E232">
        <v>13.2</v>
      </c>
      <c r="F232">
        <v>21.6</v>
      </c>
      <c r="G232">
        <f t="shared" si="35"/>
        <v>2572.4999999999982</v>
      </c>
      <c r="H232">
        <f>H231+D232</f>
        <v>33.6</v>
      </c>
      <c r="I232" s="30" t="s">
        <v>41</v>
      </c>
      <c r="J232">
        <v>0.7</v>
      </c>
      <c r="K232">
        <f t="shared" si="36"/>
        <v>354.59999999999997</v>
      </c>
      <c r="L232">
        <v>2.7</v>
      </c>
      <c r="M232">
        <f t="shared" si="37"/>
        <v>408.09999999999985</v>
      </c>
      <c r="N232">
        <v>-2</v>
      </c>
      <c r="O232">
        <f t="shared" si="32"/>
        <v>47.500000000000028</v>
      </c>
      <c r="P232" s="5">
        <v>227</v>
      </c>
      <c r="Q232" s="6">
        <v>1.1499999999999999</v>
      </c>
      <c r="R232" s="11">
        <f t="shared" si="33"/>
        <v>3.105</v>
      </c>
      <c r="S232" s="11">
        <f t="shared" si="34"/>
        <v>-2.4050000000000002</v>
      </c>
      <c r="T232" s="14">
        <f t="shared" si="41"/>
        <v>33.355769230769241</v>
      </c>
      <c r="U232" s="30" t="s">
        <v>28</v>
      </c>
      <c r="V232">
        <v>1182</v>
      </c>
      <c r="X232">
        <f t="shared" si="38"/>
        <v>214707.09999999998</v>
      </c>
      <c r="Y232">
        <f>Y231+V232</f>
        <v>3231</v>
      </c>
      <c r="Z232" s="30" t="s">
        <v>51</v>
      </c>
      <c r="AA232">
        <v>13.4342193423876</v>
      </c>
    </row>
    <row r="233" spans="1:27" x14ac:dyDescent="0.25">
      <c r="A233" s="77"/>
      <c r="B233" s="27"/>
      <c r="C233" s="9">
        <v>42111</v>
      </c>
      <c r="D233">
        <v>14.9</v>
      </c>
      <c r="E233">
        <v>12.9</v>
      </c>
      <c r="F233">
        <v>17.399999999999999</v>
      </c>
      <c r="G233">
        <f t="shared" si="35"/>
        <v>2587.3999999999983</v>
      </c>
      <c r="H233">
        <f t="shared" si="30"/>
        <v>48.5</v>
      </c>
      <c r="I233">
        <f>MIN(E231:E250)</f>
        <v>6.6</v>
      </c>
      <c r="J233">
        <v>0</v>
      </c>
      <c r="K233">
        <f t="shared" si="36"/>
        <v>354.59999999999997</v>
      </c>
      <c r="L233">
        <v>1.8</v>
      </c>
      <c r="M233">
        <f t="shared" si="37"/>
        <v>409.89999999999986</v>
      </c>
      <c r="N233">
        <v>-1.8</v>
      </c>
      <c r="O233">
        <f t="shared" si="32"/>
        <v>45.700000000000031</v>
      </c>
      <c r="P233" s="5">
        <v>228</v>
      </c>
      <c r="Q233" s="6">
        <v>1.1499999999999999</v>
      </c>
      <c r="R233" s="11">
        <f t="shared" si="33"/>
        <v>2.0699999999999998</v>
      </c>
      <c r="S233" s="11">
        <f t="shared" si="34"/>
        <v>-2.0699999999999998</v>
      </c>
      <c r="T233" s="14">
        <f t="shared" si="41"/>
        <v>31.28576923076924</v>
      </c>
      <c r="V233">
        <v>1063.7</v>
      </c>
      <c r="X233">
        <f t="shared" si="38"/>
        <v>215770.8</v>
      </c>
      <c r="Y233">
        <f t="shared" si="31"/>
        <v>4294.7</v>
      </c>
      <c r="Z233">
        <v>27356.799999999999</v>
      </c>
      <c r="AA233">
        <v>13.4821171138138</v>
      </c>
    </row>
    <row r="234" spans="1:27" x14ac:dyDescent="0.25">
      <c r="A234" s="77"/>
      <c r="B234" s="27"/>
      <c r="C234" s="9">
        <v>42112</v>
      </c>
      <c r="D234">
        <v>15.1</v>
      </c>
      <c r="E234">
        <v>8.9</v>
      </c>
      <c r="F234">
        <v>21.1</v>
      </c>
      <c r="G234">
        <f t="shared" si="35"/>
        <v>2602.4999999999982</v>
      </c>
      <c r="H234">
        <f t="shared" si="30"/>
        <v>63.6</v>
      </c>
      <c r="I234" s="30" t="s">
        <v>42</v>
      </c>
      <c r="J234">
        <v>21.3</v>
      </c>
      <c r="K234">
        <f t="shared" si="36"/>
        <v>375.9</v>
      </c>
      <c r="L234">
        <v>3.2</v>
      </c>
      <c r="M234">
        <f t="shared" si="37"/>
        <v>413.09999999999985</v>
      </c>
      <c r="N234">
        <v>18.100000000000001</v>
      </c>
      <c r="O234">
        <f t="shared" si="32"/>
        <v>63.800000000000033</v>
      </c>
      <c r="P234" s="5">
        <v>229</v>
      </c>
      <c r="Q234" s="6">
        <v>1.1499999999999999</v>
      </c>
      <c r="R234" s="11">
        <f t="shared" si="33"/>
        <v>3.6799999999999997</v>
      </c>
      <c r="S234" s="11">
        <f t="shared" si="34"/>
        <v>17.62</v>
      </c>
      <c r="T234" s="14">
        <f t="shared" si="41"/>
        <v>48.905769230769238</v>
      </c>
      <c r="U234" s="31" t="s">
        <v>48</v>
      </c>
      <c r="V234">
        <v>1669.3</v>
      </c>
      <c r="X234">
        <f t="shared" si="38"/>
        <v>217440.09999999998</v>
      </c>
      <c r="Y234">
        <f t="shared" si="31"/>
        <v>5964</v>
      </c>
      <c r="Z234" s="30" t="s">
        <v>29</v>
      </c>
      <c r="AA234">
        <v>13.529807337016999</v>
      </c>
    </row>
    <row r="235" spans="1:27" x14ac:dyDescent="0.25">
      <c r="A235" s="77"/>
      <c r="B235" s="27"/>
      <c r="C235" s="9">
        <v>42113</v>
      </c>
      <c r="D235">
        <v>12.5</v>
      </c>
      <c r="E235">
        <v>12.1</v>
      </c>
      <c r="F235">
        <v>13</v>
      </c>
      <c r="G235">
        <f t="shared" si="35"/>
        <v>2614.9999999999982</v>
      </c>
      <c r="H235">
        <f t="shared" si="30"/>
        <v>76.099999999999994</v>
      </c>
      <c r="I235">
        <f>MAX(F231:F250)</f>
        <v>23.7</v>
      </c>
      <c r="J235">
        <v>6.7</v>
      </c>
      <c r="K235">
        <f t="shared" si="36"/>
        <v>382.59999999999997</v>
      </c>
      <c r="L235">
        <v>1</v>
      </c>
      <c r="M235">
        <f t="shared" si="37"/>
        <v>414.09999999999985</v>
      </c>
      <c r="N235">
        <v>5.7</v>
      </c>
      <c r="O235">
        <f t="shared" si="32"/>
        <v>69.500000000000028</v>
      </c>
      <c r="P235" s="5">
        <v>230</v>
      </c>
      <c r="Q235" s="6">
        <v>1.1499999999999999</v>
      </c>
      <c r="R235" s="11">
        <f t="shared" si="33"/>
        <v>1.1499999999999999</v>
      </c>
      <c r="S235" s="11">
        <f t="shared" si="34"/>
        <v>5.5500000000000007</v>
      </c>
      <c r="T235" s="14">
        <f t="shared" si="41"/>
        <v>54.455769230769235</v>
      </c>
      <c r="U235">
        <v>0</v>
      </c>
      <c r="V235">
        <v>492.6</v>
      </c>
      <c r="X235">
        <f t="shared" si="38"/>
        <v>217932.69999999998</v>
      </c>
      <c r="Y235">
        <f t="shared" si="31"/>
        <v>6456.6</v>
      </c>
      <c r="Z235" s="15">
        <f>(Z233/100)/I245</f>
        <v>0.87290363752393108</v>
      </c>
      <c r="AA235">
        <v>13.577279756923399</v>
      </c>
    </row>
    <row r="236" spans="1:27" s="24" customFormat="1" x14ac:dyDescent="0.25">
      <c r="A236" s="77"/>
      <c r="B236" s="32"/>
      <c r="C236" s="23">
        <v>42114</v>
      </c>
      <c r="D236" s="24">
        <v>13.9</v>
      </c>
      <c r="E236" s="24">
        <v>8.8000000000000007</v>
      </c>
      <c r="F236" s="24">
        <v>18.399999999999999</v>
      </c>
      <c r="G236" s="24">
        <f t="shared" si="35"/>
        <v>2628.8999999999983</v>
      </c>
      <c r="H236" s="24">
        <f t="shared" si="30"/>
        <v>90</v>
      </c>
      <c r="I236" s="33" t="s">
        <v>43</v>
      </c>
      <c r="J236" s="24">
        <v>0</v>
      </c>
      <c r="K236" s="24">
        <f t="shared" si="36"/>
        <v>382.59999999999997</v>
      </c>
      <c r="L236" s="24">
        <v>3.4</v>
      </c>
      <c r="M236" s="24">
        <f t="shared" si="37"/>
        <v>417.49999999999983</v>
      </c>
      <c r="N236" s="24">
        <v>-3.4</v>
      </c>
      <c r="O236" s="24">
        <f t="shared" si="32"/>
        <v>66.100000000000023</v>
      </c>
      <c r="P236" s="25">
        <v>231</v>
      </c>
      <c r="Q236" s="34">
        <v>1.1499999999999999</v>
      </c>
      <c r="R236" s="26">
        <f t="shared" si="33"/>
        <v>3.9099999999999997</v>
      </c>
      <c r="S236" s="26">
        <f t="shared" si="34"/>
        <v>-3.9099999999999997</v>
      </c>
      <c r="T236" s="14">
        <f t="shared" si="41"/>
        <v>50.545769230769238</v>
      </c>
      <c r="U236" s="30" t="s">
        <v>49</v>
      </c>
      <c r="V236" s="24">
        <v>2103.4</v>
      </c>
      <c r="X236" s="24">
        <f t="shared" si="38"/>
        <v>220036.09999999998</v>
      </c>
      <c r="Y236">
        <f t="shared" si="31"/>
        <v>8560</v>
      </c>
      <c r="Z236" s="31" t="s">
        <v>52</v>
      </c>
      <c r="AA236" s="24">
        <v>13.624523791745199</v>
      </c>
    </row>
    <row r="237" spans="1:27" ht="15" customHeight="1" x14ac:dyDescent="0.25">
      <c r="A237" s="77"/>
      <c r="B237" s="8"/>
      <c r="C237" s="9">
        <v>42115</v>
      </c>
      <c r="D237">
        <v>16.2</v>
      </c>
      <c r="E237">
        <v>9.6999999999999993</v>
      </c>
      <c r="F237">
        <v>22</v>
      </c>
      <c r="G237">
        <f t="shared" si="35"/>
        <v>2645.0999999999981</v>
      </c>
      <c r="H237">
        <f t="shared" si="30"/>
        <v>106.2</v>
      </c>
      <c r="I237" s="16">
        <f>AVERAGE(D231:D250)</f>
        <v>15.670000000000002</v>
      </c>
      <c r="J237">
        <v>0</v>
      </c>
      <c r="K237">
        <f t="shared" si="36"/>
        <v>382.59999999999997</v>
      </c>
      <c r="L237">
        <v>4.5</v>
      </c>
      <c r="M237">
        <f t="shared" si="37"/>
        <v>421.99999999999983</v>
      </c>
      <c r="N237">
        <v>-4.5</v>
      </c>
      <c r="O237">
        <f t="shared" si="32"/>
        <v>61.600000000000023</v>
      </c>
      <c r="P237" s="5">
        <v>232</v>
      </c>
      <c r="Q237" s="6">
        <v>1.1499999999999999</v>
      </c>
      <c r="R237" s="11">
        <f t="shared" si="33"/>
        <v>5.1749999999999998</v>
      </c>
      <c r="S237" s="11">
        <f t="shared" si="34"/>
        <v>-5.1749999999999998</v>
      </c>
      <c r="T237" s="14">
        <f t="shared" si="41"/>
        <v>45.370769230769241</v>
      </c>
      <c r="U237">
        <v>5</v>
      </c>
      <c r="V237">
        <v>2442.4</v>
      </c>
      <c r="X237">
        <f t="shared" si="38"/>
        <v>222478.49999999997</v>
      </c>
      <c r="Y237">
        <f t="shared" si="31"/>
        <v>11002.4</v>
      </c>
      <c r="Z237">
        <v>3</v>
      </c>
      <c r="AA237">
        <v>13.6715285243625</v>
      </c>
    </row>
    <row r="238" spans="1:27" x14ac:dyDescent="0.25">
      <c r="A238" s="77"/>
      <c r="B238" s="8"/>
      <c r="C238" s="9">
        <v>42116</v>
      </c>
      <c r="D238">
        <v>15.3</v>
      </c>
      <c r="E238">
        <v>11.1</v>
      </c>
      <c r="F238">
        <v>19.899999999999999</v>
      </c>
      <c r="G238">
        <f t="shared" si="35"/>
        <v>2660.3999999999983</v>
      </c>
      <c r="H238">
        <f t="shared" si="30"/>
        <v>121.5</v>
      </c>
      <c r="I238" s="30" t="s">
        <v>44</v>
      </c>
      <c r="J238">
        <v>1.4</v>
      </c>
      <c r="K238">
        <f t="shared" si="36"/>
        <v>383.99999999999994</v>
      </c>
      <c r="L238">
        <v>2.8</v>
      </c>
      <c r="M238">
        <f t="shared" si="37"/>
        <v>424.79999999999984</v>
      </c>
      <c r="N238">
        <v>-1.4</v>
      </c>
      <c r="O238">
        <f t="shared" si="32"/>
        <v>60.200000000000024</v>
      </c>
      <c r="P238" s="5">
        <v>233</v>
      </c>
      <c r="Q238" s="6">
        <v>1.1499999999999999</v>
      </c>
      <c r="R238" s="11">
        <f t="shared" si="33"/>
        <v>3.2199999999999998</v>
      </c>
      <c r="S238" s="11">
        <f t="shared" si="34"/>
        <v>-1.8199999999999998</v>
      </c>
      <c r="T238" s="14">
        <f t="shared" si="41"/>
        <v>43.550769230769241</v>
      </c>
      <c r="U238" s="30" t="s">
        <v>30</v>
      </c>
      <c r="V238">
        <v>1422.3</v>
      </c>
      <c r="X238">
        <f t="shared" si="38"/>
        <v>223900.79999999996</v>
      </c>
      <c r="Y238">
        <f t="shared" si="31"/>
        <v>12424.699999999999</v>
      </c>
      <c r="AA238">
        <v>13.7182826942591</v>
      </c>
    </row>
    <row r="239" spans="1:27" x14ac:dyDescent="0.25">
      <c r="A239" s="77"/>
      <c r="B239" s="8"/>
      <c r="C239" s="9">
        <v>42117</v>
      </c>
      <c r="D239">
        <v>14.9</v>
      </c>
      <c r="E239">
        <v>13.9</v>
      </c>
      <c r="F239">
        <v>17.100000000000001</v>
      </c>
      <c r="G239">
        <f t="shared" si="35"/>
        <v>2675.2999999999984</v>
      </c>
      <c r="H239">
        <f t="shared" si="30"/>
        <v>136.4</v>
      </c>
      <c r="I239">
        <v>0</v>
      </c>
      <c r="J239">
        <v>0.3</v>
      </c>
      <c r="K239">
        <f t="shared" si="36"/>
        <v>384.29999999999995</v>
      </c>
      <c r="L239">
        <v>2.5</v>
      </c>
      <c r="M239">
        <f t="shared" si="37"/>
        <v>427.29999999999984</v>
      </c>
      <c r="N239">
        <v>-2.2000000000000002</v>
      </c>
      <c r="O239">
        <f t="shared" si="32"/>
        <v>58.000000000000021</v>
      </c>
      <c r="P239" s="5">
        <v>234</v>
      </c>
      <c r="Q239" s="6">
        <v>1.1499999999999999</v>
      </c>
      <c r="R239" s="11">
        <f t="shared" si="33"/>
        <v>2.875</v>
      </c>
      <c r="S239" s="11">
        <f t="shared" si="34"/>
        <v>-2.5750000000000002</v>
      </c>
      <c r="T239" s="14">
        <f t="shared" si="41"/>
        <v>40.975769230769238</v>
      </c>
      <c r="U239" s="16">
        <f>MIN(T231:T250)</f>
        <v>31.28576923076924</v>
      </c>
      <c r="V239">
        <v>1243</v>
      </c>
      <c r="X239">
        <f t="shared" si="38"/>
        <v>225143.79999999996</v>
      </c>
      <c r="Y239">
        <f t="shared" si="31"/>
        <v>13667.699999999999</v>
      </c>
      <c r="AA239">
        <v>13.7647746900623</v>
      </c>
    </row>
    <row r="240" spans="1:27" x14ac:dyDescent="0.25">
      <c r="A240" s="77"/>
      <c r="B240" s="8"/>
      <c r="C240" s="9">
        <v>42118</v>
      </c>
      <c r="D240">
        <v>16</v>
      </c>
      <c r="E240">
        <v>9.1999999999999993</v>
      </c>
      <c r="F240">
        <v>20.6</v>
      </c>
      <c r="G240">
        <f t="shared" si="35"/>
        <v>2691.2999999999984</v>
      </c>
      <c r="H240">
        <f t="shared" si="30"/>
        <v>152.4</v>
      </c>
      <c r="I240" s="30" t="s">
        <v>45</v>
      </c>
      <c r="J240">
        <v>0.1</v>
      </c>
      <c r="K240">
        <f t="shared" si="36"/>
        <v>384.4</v>
      </c>
      <c r="L240">
        <v>2.6</v>
      </c>
      <c r="M240">
        <f t="shared" si="37"/>
        <v>429.89999999999986</v>
      </c>
      <c r="N240">
        <v>-2.5</v>
      </c>
      <c r="O240">
        <f t="shared" si="32"/>
        <v>55.500000000000021</v>
      </c>
      <c r="P240" s="5">
        <v>235</v>
      </c>
      <c r="Q240" s="6">
        <v>1.1499999999999999</v>
      </c>
      <c r="R240" s="11">
        <f t="shared" si="33"/>
        <v>2.9899999999999998</v>
      </c>
      <c r="S240" s="11">
        <f t="shared" si="34"/>
        <v>-2.8899999999999997</v>
      </c>
      <c r="T240" s="14">
        <f t="shared" si="41"/>
        <v>38.085769230769237</v>
      </c>
      <c r="U240" s="30" t="s">
        <v>31</v>
      </c>
      <c r="V240">
        <v>1736.8</v>
      </c>
      <c r="X240">
        <f t="shared" si="38"/>
        <v>226880.59999999995</v>
      </c>
      <c r="Y240">
        <f t="shared" si="31"/>
        <v>15404.499999999998</v>
      </c>
      <c r="AA240">
        <v>13.8109925427327</v>
      </c>
    </row>
    <row r="241" spans="1:27" x14ac:dyDescent="0.25">
      <c r="A241" s="77"/>
      <c r="B241" s="8"/>
      <c r="C241" s="9">
        <v>42119</v>
      </c>
      <c r="D241">
        <v>18.3</v>
      </c>
      <c r="E241">
        <v>14.3</v>
      </c>
      <c r="F241">
        <v>22.5</v>
      </c>
      <c r="G241">
        <f t="shared" si="35"/>
        <v>2709.5999999999985</v>
      </c>
      <c r="H241">
        <f t="shared" si="30"/>
        <v>170.70000000000002</v>
      </c>
      <c r="I241">
        <v>0</v>
      </c>
      <c r="J241">
        <v>0</v>
      </c>
      <c r="K241">
        <f t="shared" si="36"/>
        <v>384.4</v>
      </c>
      <c r="L241">
        <v>2.2000000000000002</v>
      </c>
      <c r="M241">
        <f t="shared" si="37"/>
        <v>432.09999999999985</v>
      </c>
      <c r="N241">
        <v>-2.2000000000000002</v>
      </c>
      <c r="O241">
        <f t="shared" si="32"/>
        <v>53.300000000000018</v>
      </c>
      <c r="P241" s="5">
        <v>236</v>
      </c>
      <c r="Q241" s="6">
        <v>1.1499999999999999</v>
      </c>
      <c r="R241" s="11">
        <f t="shared" si="33"/>
        <v>2.5299999999999998</v>
      </c>
      <c r="S241" s="11">
        <f t="shared" si="34"/>
        <v>-2.5299999999999998</v>
      </c>
      <c r="T241" s="14">
        <f t="shared" si="41"/>
        <v>35.555769230769236</v>
      </c>
      <c r="U241" s="16">
        <f>MAX(T231:T250)</f>
        <v>55.265769230769237</v>
      </c>
      <c r="V241">
        <v>1101.5</v>
      </c>
      <c r="X241">
        <f t="shared" si="38"/>
        <v>227982.09999999995</v>
      </c>
      <c r="Y241">
        <f t="shared" si="31"/>
        <v>16506</v>
      </c>
      <c r="AA241">
        <v>13.856923919457101</v>
      </c>
    </row>
    <row r="242" spans="1:27" x14ac:dyDescent="0.25">
      <c r="A242" s="77"/>
      <c r="B242" s="8"/>
      <c r="C242" s="9">
        <v>42120</v>
      </c>
      <c r="D242">
        <v>15.5</v>
      </c>
      <c r="E242">
        <v>14.4</v>
      </c>
      <c r="F242">
        <v>19.2</v>
      </c>
      <c r="G242">
        <f t="shared" si="35"/>
        <v>2725.0999999999985</v>
      </c>
      <c r="H242">
        <f t="shared" si="30"/>
        <v>186.20000000000002</v>
      </c>
      <c r="I242" s="30" t="s">
        <v>46</v>
      </c>
      <c r="J242">
        <v>19.600000000000001</v>
      </c>
      <c r="K242">
        <f t="shared" si="36"/>
        <v>404</v>
      </c>
      <c r="L242">
        <v>2.5</v>
      </c>
      <c r="M242">
        <f t="shared" si="37"/>
        <v>434.59999999999985</v>
      </c>
      <c r="N242">
        <v>17.100000000000001</v>
      </c>
      <c r="O242">
        <f t="shared" si="32"/>
        <v>70.40000000000002</v>
      </c>
      <c r="P242" s="5">
        <v>237</v>
      </c>
      <c r="Q242" s="6">
        <v>1.1499999999999999</v>
      </c>
      <c r="R242" s="11">
        <f t="shared" si="33"/>
        <v>2.875</v>
      </c>
      <c r="S242" s="11">
        <f t="shared" si="34"/>
        <v>16.725000000000001</v>
      </c>
      <c r="T242" s="14">
        <f t="shared" si="41"/>
        <v>52.280769230769238</v>
      </c>
      <c r="U242" s="30" t="s">
        <v>32</v>
      </c>
      <c r="V242">
        <v>1061.7</v>
      </c>
      <c r="X242">
        <f t="shared" si="38"/>
        <v>229043.79999999996</v>
      </c>
      <c r="Y242">
        <f t="shared" si="31"/>
        <v>17567.7</v>
      </c>
      <c r="AA242">
        <v>13.902556118297101</v>
      </c>
    </row>
    <row r="243" spans="1:27" x14ac:dyDescent="0.25">
      <c r="A243" s="77"/>
      <c r="B243" s="8"/>
      <c r="C243" s="9">
        <v>42121</v>
      </c>
      <c r="D243">
        <v>13.3</v>
      </c>
      <c r="E243">
        <v>12.4</v>
      </c>
      <c r="F243">
        <v>15.9</v>
      </c>
      <c r="G243">
        <f t="shared" si="35"/>
        <v>2738.3999999999987</v>
      </c>
      <c r="H243">
        <f t="shared" si="30"/>
        <v>199.50000000000003</v>
      </c>
      <c r="I243">
        <v>0</v>
      </c>
      <c r="J243">
        <v>5.4</v>
      </c>
      <c r="K243">
        <f t="shared" si="36"/>
        <v>409.4</v>
      </c>
      <c r="L243">
        <v>2.1</v>
      </c>
      <c r="M243">
        <f t="shared" si="37"/>
        <v>436.69999999999987</v>
      </c>
      <c r="N243">
        <v>3.3000000000000003</v>
      </c>
      <c r="O243">
        <f t="shared" si="32"/>
        <v>73.700000000000017</v>
      </c>
      <c r="P243" s="5">
        <v>238</v>
      </c>
      <c r="Q243" s="6">
        <v>1.1499999999999999</v>
      </c>
      <c r="R243" s="11">
        <f t="shared" si="33"/>
        <v>2.415</v>
      </c>
      <c r="S243" s="11">
        <f t="shared" si="34"/>
        <v>2.9850000000000003</v>
      </c>
      <c r="T243" s="14">
        <f t="shared" si="41"/>
        <v>55.265769230769237</v>
      </c>
      <c r="U243" s="48">
        <f>AVERAGE(T231:T250)</f>
        <v>44.646269230769235</v>
      </c>
      <c r="V243">
        <v>955.1</v>
      </c>
      <c r="X243">
        <f t="shared" si="38"/>
        <v>229998.89999999997</v>
      </c>
      <c r="Y243">
        <f t="shared" si="31"/>
        <v>18522.8</v>
      </c>
      <c r="AA243">
        <v>13.9478760636504</v>
      </c>
    </row>
    <row r="244" spans="1:27" x14ac:dyDescent="0.25">
      <c r="A244" s="77"/>
      <c r="B244" s="8"/>
      <c r="C244" s="9">
        <v>42122</v>
      </c>
      <c r="D244">
        <v>11.9</v>
      </c>
      <c r="E244">
        <v>9.4</v>
      </c>
      <c r="F244">
        <v>14.7</v>
      </c>
      <c r="G244">
        <f t="shared" si="35"/>
        <v>2750.2999999999988</v>
      </c>
      <c r="H244">
        <f t="shared" si="30"/>
        <v>211.40000000000003</v>
      </c>
      <c r="I244" s="30" t="s">
        <v>33</v>
      </c>
      <c r="J244">
        <v>0</v>
      </c>
      <c r="K244">
        <f t="shared" si="36"/>
        <v>409.4</v>
      </c>
      <c r="L244">
        <v>3.3</v>
      </c>
      <c r="M244">
        <f t="shared" si="37"/>
        <v>439.99999999999989</v>
      </c>
      <c r="N244">
        <v>-3.3</v>
      </c>
      <c r="O244">
        <f t="shared" si="32"/>
        <v>70.40000000000002</v>
      </c>
      <c r="P244" s="5">
        <v>239</v>
      </c>
      <c r="Q244" s="6">
        <v>1.1499999999999999</v>
      </c>
      <c r="R244" s="11">
        <f t="shared" si="33"/>
        <v>3.7949999999999995</v>
      </c>
      <c r="S244" s="11">
        <f t="shared" si="34"/>
        <v>-3.7949999999999995</v>
      </c>
      <c r="T244" s="14">
        <f t="shared" si="41"/>
        <v>51.470769230769235</v>
      </c>
      <c r="U244">
        <f>(U243*100)/122.1</f>
        <v>36.565331065331065</v>
      </c>
      <c r="V244">
        <v>2112.6</v>
      </c>
      <c r="X244">
        <f t="shared" si="38"/>
        <v>232111.49999999997</v>
      </c>
      <c r="Y244">
        <f t="shared" si="31"/>
        <v>20635.399999999998</v>
      </c>
      <c r="AA244">
        <v>13.992870302581499</v>
      </c>
    </row>
    <row r="245" spans="1:27" x14ac:dyDescent="0.25">
      <c r="A245" s="77"/>
      <c r="B245" s="8"/>
      <c r="C245" s="9">
        <v>42123</v>
      </c>
      <c r="D245">
        <v>12.8</v>
      </c>
      <c r="E245">
        <v>6.6</v>
      </c>
      <c r="F245">
        <v>17</v>
      </c>
      <c r="G245">
        <f t="shared" si="35"/>
        <v>2763.099999999999</v>
      </c>
      <c r="H245">
        <f t="shared" si="30"/>
        <v>224.20000000000005</v>
      </c>
      <c r="I245">
        <v>313.39999999999998</v>
      </c>
      <c r="J245">
        <v>0</v>
      </c>
      <c r="K245">
        <f t="shared" si="36"/>
        <v>409.4</v>
      </c>
      <c r="L245">
        <v>2.4</v>
      </c>
      <c r="M245">
        <f t="shared" si="37"/>
        <v>442.39999999999986</v>
      </c>
      <c r="N245">
        <v>-2.4</v>
      </c>
      <c r="O245">
        <f t="shared" si="32"/>
        <v>68.000000000000014</v>
      </c>
      <c r="P245" s="5">
        <v>240</v>
      </c>
      <c r="Q245" s="6">
        <v>1.1499999999999999</v>
      </c>
      <c r="R245" s="11">
        <f t="shared" si="33"/>
        <v>2.76</v>
      </c>
      <c r="S245" s="11">
        <f t="shared" si="34"/>
        <v>-2.76</v>
      </c>
      <c r="T245" s="14">
        <f t="shared" si="41"/>
        <v>48.710769230769237</v>
      </c>
      <c r="V245">
        <v>1551.1</v>
      </c>
      <c r="X245">
        <f t="shared" si="38"/>
        <v>233662.59999999998</v>
      </c>
      <c r="Y245">
        <f t="shared" si="31"/>
        <v>22186.499999999996</v>
      </c>
      <c r="AA245">
        <v>14.0375250020838</v>
      </c>
    </row>
    <row r="246" spans="1:27" x14ac:dyDescent="0.25">
      <c r="A246" s="77"/>
      <c r="B246" s="8"/>
      <c r="C246" s="9">
        <v>42124</v>
      </c>
      <c r="D246">
        <v>16.399999999999999</v>
      </c>
      <c r="E246">
        <v>9.6999999999999993</v>
      </c>
      <c r="F246">
        <v>21.5</v>
      </c>
      <c r="G246">
        <f t="shared" si="35"/>
        <v>2779.4999999999991</v>
      </c>
      <c r="H246">
        <f t="shared" si="30"/>
        <v>240.60000000000005</v>
      </c>
      <c r="J246">
        <v>0</v>
      </c>
      <c r="K246">
        <f t="shared" si="36"/>
        <v>409.4</v>
      </c>
      <c r="L246">
        <v>3.3</v>
      </c>
      <c r="M246">
        <f t="shared" si="37"/>
        <v>445.69999999999987</v>
      </c>
      <c r="N246">
        <v>-3.3</v>
      </c>
      <c r="O246">
        <f t="shared" si="32"/>
        <v>64.700000000000017</v>
      </c>
      <c r="P246" s="5">
        <v>241</v>
      </c>
      <c r="Q246" s="6">
        <v>1.1499999999999999</v>
      </c>
      <c r="R246" s="11">
        <f t="shared" si="33"/>
        <v>3.7949999999999995</v>
      </c>
      <c r="S246" s="11">
        <f t="shared" si="34"/>
        <v>-3.7949999999999995</v>
      </c>
      <c r="T246" s="14">
        <f t="shared" si="41"/>
        <v>44.915769230769236</v>
      </c>
      <c r="V246">
        <v>1942.3</v>
      </c>
      <c r="X246">
        <f t="shared" si="38"/>
        <v>235604.89999999997</v>
      </c>
      <c r="Y246">
        <f t="shared" si="31"/>
        <v>24128.799999999996</v>
      </c>
      <c r="AA246">
        <v>14.0818259473327</v>
      </c>
    </row>
    <row r="247" spans="1:27" x14ac:dyDescent="0.25">
      <c r="A247" s="77"/>
      <c r="B247" s="8"/>
      <c r="C247" s="9">
        <v>42125</v>
      </c>
      <c r="D247">
        <v>16.5</v>
      </c>
      <c r="E247">
        <v>14.6</v>
      </c>
      <c r="F247">
        <v>18.399999999999999</v>
      </c>
      <c r="G247">
        <f t="shared" si="35"/>
        <v>2795.9999999999991</v>
      </c>
      <c r="H247">
        <f t="shared" ref="H247:H304" si="42">H246+D247</f>
        <v>257.10000000000002</v>
      </c>
      <c r="J247">
        <v>4.7</v>
      </c>
      <c r="K247">
        <f t="shared" si="36"/>
        <v>414.09999999999997</v>
      </c>
      <c r="L247">
        <v>1.3</v>
      </c>
      <c r="M247">
        <f t="shared" si="37"/>
        <v>446.99999999999989</v>
      </c>
      <c r="N247">
        <v>3.4000000000000004</v>
      </c>
      <c r="O247">
        <f t="shared" si="32"/>
        <v>68.100000000000023</v>
      </c>
      <c r="P247" s="5">
        <v>242</v>
      </c>
      <c r="Q247" s="6">
        <v>1.1499999999999999</v>
      </c>
      <c r="R247" s="11">
        <f t="shared" si="33"/>
        <v>1.4949999999999999</v>
      </c>
      <c r="S247" s="11">
        <f t="shared" si="34"/>
        <v>3.2050000000000001</v>
      </c>
      <c r="T247" s="14">
        <f t="shared" si="41"/>
        <v>48.120769230769234</v>
      </c>
      <c r="V247">
        <v>417.8</v>
      </c>
      <c r="X247">
        <f t="shared" si="38"/>
        <v>236022.69999999995</v>
      </c>
      <c r="Y247">
        <f t="shared" ref="Y247:Y304" si="43">Y246+V247</f>
        <v>24546.599999999995</v>
      </c>
      <c r="AA247">
        <v>14.1257585409945</v>
      </c>
    </row>
    <row r="248" spans="1:27" x14ac:dyDescent="0.25">
      <c r="A248" s="77"/>
      <c r="B248" s="8"/>
      <c r="C248" s="9">
        <v>42126</v>
      </c>
      <c r="D248">
        <v>18.100000000000001</v>
      </c>
      <c r="E248">
        <v>13.9</v>
      </c>
      <c r="F248">
        <v>21.4</v>
      </c>
      <c r="G248">
        <f t="shared" si="35"/>
        <v>2814.099999999999</v>
      </c>
      <c r="H248">
        <f t="shared" si="42"/>
        <v>275.20000000000005</v>
      </c>
      <c r="J248">
        <v>0</v>
      </c>
      <c r="K248">
        <f t="shared" si="36"/>
        <v>414.09999999999997</v>
      </c>
      <c r="L248">
        <v>1.8</v>
      </c>
      <c r="M248">
        <f t="shared" si="37"/>
        <v>448.7999999999999</v>
      </c>
      <c r="N248">
        <v>-1.8</v>
      </c>
      <c r="O248">
        <f t="shared" si="32"/>
        <v>66.300000000000026</v>
      </c>
      <c r="P248" s="5">
        <v>243</v>
      </c>
      <c r="Q248" s="6">
        <v>1.1499999999999999</v>
      </c>
      <c r="R248" s="11">
        <f t="shared" si="33"/>
        <v>2.0699999999999998</v>
      </c>
      <c r="S248" s="11">
        <f t="shared" si="34"/>
        <v>-2.0699999999999998</v>
      </c>
      <c r="T248" s="14">
        <f t="shared" si="41"/>
        <v>46.050769230769234</v>
      </c>
      <c r="V248">
        <v>960.3</v>
      </c>
      <c r="X248">
        <f t="shared" si="38"/>
        <v>236982.99999999994</v>
      </c>
      <c r="Y248">
        <f t="shared" si="43"/>
        <v>25506.899999999994</v>
      </c>
      <c r="AA248">
        <v>14.169307803654799</v>
      </c>
    </row>
    <row r="249" spans="1:27" x14ac:dyDescent="0.25">
      <c r="A249" s="77"/>
      <c r="B249" s="8"/>
      <c r="C249" s="9">
        <v>42127</v>
      </c>
      <c r="D249">
        <v>20.399999999999999</v>
      </c>
      <c r="E249">
        <v>17</v>
      </c>
      <c r="F249">
        <v>23.7</v>
      </c>
      <c r="G249">
        <f t="shared" si="35"/>
        <v>2834.4999999999991</v>
      </c>
      <c r="H249">
        <f t="shared" si="42"/>
        <v>295.60000000000002</v>
      </c>
      <c r="J249">
        <v>1.3</v>
      </c>
      <c r="K249">
        <f t="shared" si="36"/>
        <v>415.4</v>
      </c>
      <c r="L249">
        <v>1.7</v>
      </c>
      <c r="M249">
        <f t="shared" si="37"/>
        <v>450.49999999999989</v>
      </c>
      <c r="N249">
        <v>-0.39999999999999991</v>
      </c>
      <c r="O249">
        <f t="shared" si="32"/>
        <v>65.90000000000002</v>
      </c>
      <c r="P249" s="5">
        <v>244</v>
      </c>
      <c r="Q249" s="6">
        <v>1.1499999999999999</v>
      </c>
      <c r="R249" s="11">
        <f t="shared" si="33"/>
        <v>1.9549999999999998</v>
      </c>
      <c r="S249" s="11">
        <f t="shared" si="34"/>
        <v>-0.6549999999999998</v>
      </c>
      <c r="T249" s="14">
        <f t="shared" si="41"/>
        <v>45.395769230769233</v>
      </c>
      <c r="V249">
        <v>827.9</v>
      </c>
      <c r="X249">
        <f t="shared" si="38"/>
        <v>237810.89999999994</v>
      </c>
      <c r="Y249">
        <f t="shared" si="43"/>
        <v>26334.799999999996</v>
      </c>
      <c r="AA249">
        <v>14.212458375432499</v>
      </c>
    </row>
    <row r="250" spans="1:27" s="51" customFormat="1" ht="15.75" thickBot="1" x14ac:dyDescent="0.3">
      <c r="A250" s="77"/>
      <c r="B250" s="58"/>
      <c r="C250" s="50">
        <v>42128</v>
      </c>
      <c r="D250" s="51">
        <v>17.8</v>
      </c>
      <c r="E250" s="51">
        <v>16.399999999999999</v>
      </c>
      <c r="F250" s="51">
        <v>19.5</v>
      </c>
      <c r="G250" s="51">
        <f t="shared" si="35"/>
        <v>2852.2999999999993</v>
      </c>
      <c r="H250" s="51">
        <f>H249+D250</f>
        <v>313.40000000000003</v>
      </c>
      <c r="J250" s="51">
        <v>0</v>
      </c>
      <c r="K250" s="51">
        <f t="shared" si="36"/>
        <v>415.4</v>
      </c>
      <c r="L250" s="51">
        <v>2.2000000000000002</v>
      </c>
      <c r="M250" s="51">
        <f t="shared" si="37"/>
        <v>452.69999999999987</v>
      </c>
      <c r="N250" s="51">
        <v>-2.2000000000000002</v>
      </c>
      <c r="O250" s="51">
        <f t="shared" si="32"/>
        <v>63.700000000000017</v>
      </c>
      <c r="P250" s="53">
        <v>245</v>
      </c>
      <c r="Q250" s="51">
        <v>1.1499999999999999</v>
      </c>
      <c r="R250" s="55">
        <f t="shared" si="33"/>
        <v>2.5299999999999998</v>
      </c>
      <c r="S250" s="55">
        <f t="shared" si="34"/>
        <v>-2.5299999999999998</v>
      </c>
      <c r="T250" s="61">
        <f t="shared" si="41"/>
        <v>42.865769230769232</v>
      </c>
      <c r="U250" s="55"/>
      <c r="V250" s="51">
        <v>1022</v>
      </c>
      <c r="X250" s="51">
        <f t="shared" si="38"/>
        <v>238832.89999999994</v>
      </c>
      <c r="Y250" s="51">
        <f t="shared" si="43"/>
        <v>27356.799999999996</v>
      </c>
      <c r="AA250" s="51">
        <v>14.255194518843499</v>
      </c>
    </row>
    <row r="251" spans="1:27" s="24" customFormat="1" x14ac:dyDescent="0.25">
      <c r="A251" s="78">
        <v>600</v>
      </c>
      <c r="B251" s="22"/>
      <c r="C251" s="23">
        <v>42129</v>
      </c>
      <c r="D251" s="24">
        <v>16.899999999999999</v>
      </c>
      <c r="E251" s="24">
        <v>15.9</v>
      </c>
      <c r="F251" s="24">
        <v>18.399999999999999</v>
      </c>
      <c r="G251" s="24">
        <f t="shared" si="35"/>
        <v>2869.1999999999994</v>
      </c>
      <c r="H251" s="24">
        <v>16.899999999999999</v>
      </c>
      <c r="J251" s="24">
        <v>0</v>
      </c>
      <c r="K251" s="24">
        <f t="shared" si="36"/>
        <v>415.4</v>
      </c>
      <c r="L251" s="24">
        <v>2.2000000000000002</v>
      </c>
      <c r="M251" s="24">
        <f t="shared" si="37"/>
        <v>454.89999999999986</v>
      </c>
      <c r="N251" s="24">
        <v>-2.2000000000000002</v>
      </c>
      <c r="O251" s="24">
        <f t="shared" si="32"/>
        <v>61.500000000000014</v>
      </c>
      <c r="P251" s="25">
        <v>246</v>
      </c>
      <c r="Q251" s="21">
        <f>1.15+((P251-245)/54)*(0.35-1.15)</f>
        <v>1.1351851851851851</v>
      </c>
      <c r="R251" s="26">
        <f t="shared" si="33"/>
        <v>2.4974074074074073</v>
      </c>
      <c r="S251" s="26">
        <f t="shared" si="34"/>
        <v>-2.4974074074074073</v>
      </c>
      <c r="T251" s="43">
        <f t="shared" si="41"/>
        <v>40.368361823361823</v>
      </c>
      <c r="V251" s="24">
        <v>868.3</v>
      </c>
      <c r="X251" s="24">
        <f t="shared" si="38"/>
        <v>239701.19999999992</v>
      </c>
      <c r="Y251" s="24">
        <v>868.3</v>
      </c>
      <c r="AA251" s="24">
        <v>14.297500122982701</v>
      </c>
    </row>
    <row r="252" spans="1:27" ht="15" customHeight="1" x14ac:dyDescent="0.25">
      <c r="A252" s="78"/>
      <c r="B252" s="8"/>
      <c r="C252" s="9">
        <v>42130</v>
      </c>
      <c r="D252">
        <v>15.4</v>
      </c>
      <c r="E252">
        <v>12.5</v>
      </c>
      <c r="F252">
        <v>18.5</v>
      </c>
      <c r="G252">
        <f t="shared" si="35"/>
        <v>2884.5999999999995</v>
      </c>
      <c r="H252">
        <f>H251+D252</f>
        <v>32.299999999999997</v>
      </c>
      <c r="I252" s="35" t="s">
        <v>41</v>
      </c>
      <c r="J252">
        <v>0</v>
      </c>
      <c r="K252">
        <f t="shared" si="36"/>
        <v>415.4</v>
      </c>
      <c r="L252">
        <v>3.8</v>
      </c>
      <c r="M252">
        <f t="shared" si="37"/>
        <v>458.69999999999987</v>
      </c>
      <c r="N252">
        <v>-3.8</v>
      </c>
      <c r="O252">
        <f t="shared" si="32"/>
        <v>57.700000000000017</v>
      </c>
      <c r="P252" s="5">
        <v>247</v>
      </c>
      <c r="Q252" s="21">
        <f t="shared" ref="Q252:Q304" si="44">1.15+((P252-245)/54)*(0.35-1.15)</f>
        <v>1.1203703703703702</v>
      </c>
      <c r="R252" s="11">
        <f t="shared" si="33"/>
        <v>4.2574074074074071</v>
      </c>
      <c r="S252" s="11">
        <f t="shared" si="34"/>
        <v>-4.2574074074074071</v>
      </c>
      <c r="T252" s="14">
        <f t="shared" si="41"/>
        <v>36.110954415954417</v>
      </c>
      <c r="U252" s="35" t="s">
        <v>28</v>
      </c>
      <c r="V252">
        <v>2009.5</v>
      </c>
      <c r="X252">
        <f t="shared" si="38"/>
        <v>241710.69999999992</v>
      </c>
      <c r="Y252">
        <f>Y251+V252</f>
        <v>2877.8</v>
      </c>
      <c r="Z252" s="35" t="s">
        <v>51</v>
      </c>
      <c r="AA252">
        <v>14.3393587090866</v>
      </c>
    </row>
    <row r="253" spans="1:27" x14ac:dyDescent="0.25">
      <c r="A253" s="78"/>
      <c r="B253" s="8"/>
      <c r="C253" s="9">
        <v>42131</v>
      </c>
      <c r="D253">
        <v>17.3</v>
      </c>
      <c r="E253">
        <v>9.9</v>
      </c>
      <c r="F253">
        <v>23.6</v>
      </c>
      <c r="G253">
        <f t="shared" si="35"/>
        <v>2901.8999999999996</v>
      </c>
      <c r="H253">
        <f t="shared" si="42"/>
        <v>49.599999999999994</v>
      </c>
      <c r="I253">
        <f>MIN(E251:E268)</f>
        <v>9.9</v>
      </c>
      <c r="J253">
        <v>0.5</v>
      </c>
      <c r="K253">
        <f t="shared" si="36"/>
        <v>415.9</v>
      </c>
      <c r="L253">
        <v>4.5999999999999996</v>
      </c>
      <c r="M253">
        <f t="shared" si="37"/>
        <v>463.2999999999999</v>
      </c>
      <c r="N253">
        <v>-4.0999999999999996</v>
      </c>
      <c r="O253">
        <f t="shared" si="32"/>
        <v>53.600000000000016</v>
      </c>
      <c r="P253" s="5">
        <v>248</v>
      </c>
      <c r="Q253" s="21">
        <f t="shared" si="44"/>
        <v>1.1055555555555554</v>
      </c>
      <c r="R253" s="11">
        <f t="shared" si="33"/>
        <v>5.0855555555555547</v>
      </c>
      <c r="S253" s="11">
        <f t="shared" si="34"/>
        <v>-4.5855555555555547</v>
      </c>
      <c r="T253" s="14">
        <f t="shared" si="41"/>
        <v>31.525398860398862</v>
      </c>
      <c r="U253" s="24"/>
      <c r="V253">
        <v>2162.6</v>
      </c>
      <c r="X253">
        <f t="shared" si="38"/>
        <v>243873.29999999993</v>
      </c>
      <c r="Y253">
        <f t="shared" si="43"/>
        <v>5040.3999999999996</v>
      </c>
      <c r="Z253">
        <v>38146.5</v>
      </c>
      <c r="AA253">
        <v>14.380753437543699</v>
      </c>
    </row>
    <row r="254" spans="1:27" x14ac:dyDescent="0.25">
      <c r="A254" s="78"/>
      <c r="B254" s="8"/>
      <c r="C254" s="9">
        <v>42132</v>
      </c>
      <c r="D254">
        <v>18.7</v>
      </c>
      <c r="E254">
        <v>15.2</v>
      </c>
      <c r="F254">
        <v>23.1</v>
      </c>
      <c r="G254">
        <f t="shared" si="35"/>
        <v>2920.5999999999995</v>
      </c>
      <c r="H254">
        <f t="shared" si="42"/>
        <v>68.3</v>
      </c>
      <c r="I254" s="35" t="s">
        <v>42</v>
      </c>
      <c r="J254">
        <v>0</v>
      </c>
      <c r="K254">
        <f t="shared" si="36"/>
        <v>415.9</v>
      </c>
      <c r="L254">
        <v>4.7</v>
      </c>
      <c r="M254">
        <f t="shared" si="37"/>
        <v>467.99999999999989</v>
      </c>
      <c r="N254">
        <v>-4.7</v>
      </c>
      <c r="O254">
        <f t="shared" si="32"/>
        <v>48.900000000000013</v>
      </c>
      <c r="P254" s="5">
        <v>249</v>
      </c>
      <c r="Q254" s="21">
        <f t="shared" si="44"/>
        <v>1.0907407407407406</v>
      </c>
      <c r="R254" s="11">
        <f t="shared" si="33"/>
        <v>5.1264814814814805</v>
      </c>
      <c r="S254" s="11">
        <f t="shared" si="34"/>
        <v>-5.1264814814814805</v>
      </c>
      <c r="T254" s="14">
        <f t="shared" si="41"/>
        <v>26.398917378917382</v>
      </c>
      <c r="U254" s="35" t="s">
        <v>48</v>
      </c>
      <c r="V254">
        <v>1588.9</v>
      </c>
      <c r="X254">
        <f t="shared" si="38"/>
        <v>245462.19999999992</v>
      </c>
      <c r="Y254">
        <f t="shared" si="43"/>
        <v>6629.2999999999993</v>
      </c>
      <c r="Z254" s="35" t="s">
        <v>29</v>
      </c>
      <c r="AA254">
        <v>14.421667116414101</v>
      </c>
    </row>
    <row r="255" spans="1:27" s="24" customFormat="1" x14ac:dyDescent="0.25">
      <c r="A255" s="78"/>
      <c r="B255" s="22"/>
      <c r="C255" s="23">
        <v>42133</v>
      </c>
      <c r="D255" s="24">
        <v>17.8</v>
      </c>
      <c r="E255" s="24">
        <v>15.5</v>
      </c>
      <c r="F255" s="24">
        <v>20.7</v>
      </c>
      <c r="G255" s="24">
        <f t="shared" si="35"/>
        <v>2938.3999999999996</v>
      </c>
      <c r="H255" s="24">
        <f t="shared" si="42"/>
        <v>86.1</v>
      </c>
      <c r="I255" s="24">
        <f>MAX(F251:F268)</f>
        <v>27.6</v>
      </c>
      <c r="J255" s="24">
        <v>0</v>
      </c>
      <c r="K255" s="24">
        <f t="shared" si="36"/>
        <v>415.9</v>
      </c>
      <c r="L255" s="24">
        <v>4.4000000000000004</v>
      </c>
      <c r="M255" s="24">
        <f t="shared" si="37"/>
        <v>472.39999999999986</v>
      </c>
      <c r="N255" s="24">
        <v>-4.4000000000000004</v>
      </c>
      <c r="O255" s="24">
        <f t="shared" si="32"/>
        <v>44.500000000000014</v>
      </c>
      <c r="P255" s="25">
        <v>250</v>
      </c>
      <c r="Q255" s="21">
        <f t="shared" si="44"/>
        <v>1.075925925925926</v>
      </c>
      <c r="R255" s="26">
        <f t="shared" si="33"/>
        <v>4.7340740740740745</v>
      </c>
      <c r="S255" s="26">
        <f t="shared" si="34"/>
        <v>-4.7340740740740745</v>
      </c>
      <c r="T255" s="14">
        <f t="shared" si="41"/>
        <v>21.664843304843309</v>
      </c>
      <c r="U255">
        <v>9</v>
      </c>
      <c r="V255" s="24">
        <v>2164.1</v>
      </c>
      <c r="X255" s="24">
        <f t="shared" si="38"/>
        <v>247626.29999999993</v>
      </c>
      <c r="Y255">
        <f t="shared" si="43"/>
        <v>8793.4</v>
      </c>
      <c r="Z255" s="36">
        <f>(Z253/100)/I265</f>
        <v>1.2652238805970148</v>
      </c>
      <c r="AA255" s="24">
        <v>14.462082211520199</v>
      </c>
    </row>
    <row r="256" spans="1:27" ht="15" customHeight="1" x14ac:dyDescent="0.25">
      <c r="A256" s="78"/>
      <c r="B256" s="8"/>
      <c r="C256" s="9">
        <v>42134</v>
      </c>
      <c r="D256">
        <v>20.6</v>
      </c>
      <c r="E256">
        <v>13.6</v>
      </c>
      <c r="F256">
        <v>27.6</v>
      </c>
      <c r="G256">
        <f t="shared" si="35"/>
        <v>2958.9999999999995</v>
      </c>
      <c r="H256">
        <f t="shared" si="42"/>
        <v>106.69999999999999</v>
      </c>
      <c r="I256" s="35" t="s">
        <v>43</v>
      </c>
      <c r="J256">
        <v>0</v>
      </c>
      <c r="K256">
        <f t="shared" si="36"/>
        <v>415.9</v>
      </c>
      <c r="L256">
        <v>6.5</v>
      </c>
      <c r="M256">
        <f t="shared" si="37"/>
        <v>478.89999999999986</v>
      </c>
      <c r="N256">
        <v>-6.5</v>
      </c>
      <c r="O256">
        <f t="shared" si="32"/>
        <v>38.000000000000014</v>
      </c>
      <c r="P256" s="5">
        <v>251</v>
      </c>
      <c r="Q256" s="21">
        <f t="shared" si="44"/>
        <v>1.0611111111111111</v>
      </c>
      <c r="R256" s="11">
        <f t="shared" si="33"/>
        <v>6.8972222222222221</v>
      </c>
      <c r="S256" s="11">
        <f t="shared" si="34"/>
        <v>-6.8972222222222221</v>
      </c>
      <c r="T256" s="14">
        <f t="shared" si="41"/>
        <v>14.767621082621087</v>
      </c>
      <c r="U256" s="35" t="s">
        <v>49</v>
      </c>
      <c r="V256">
        <v>2811.8</v>
      </c>
      <c r="X256">
        <f t="shared" si="38"/>
        <v>250438.09999999992</v>
      </c>
      <c r="Y256">
        <f t="shared" si="43"/>
        <v>11605.2</v>
      </c>
      <c r="Z256" s="35" t="s">
        <v>52</v>
      </c>
      <c r="AA256">
        <v>14.5019808581661</v>
      </c>
    </row>
    <row r="257" spans="1:27" x14ac:dyDescent="0.25">
      <c r="A257" s="78"/>
      <c r="B257" s="8"/>
      <c r="C257" s="9">
        <v>42135</v>
      </c>
      <c r="D257">
        <v>21.6</v>
      </c>
      <c r="E257">
        <v>16.2</v>
      </c>
      <c r="F257">
        <v>27.5</v>
      </c>
      <c r="G257">
        <f t="shared" si="35"/>
        <v>2980.5999999999995</v>
      </c>
      <c r="H257">
        <f t="shared" si="42"/>
        <v>128.29999999999998</v>
      </c>
      <c r="I257" s="16">
        <f>AVERAGE(D251:D268)</f>
        <v>16.749999999999996</v>
      </c>
      <c r="J257">
        <v>0</v>
      </c>
      <c r="K257">
        <f t="shared" si="36"/>
        <v>415.9</v>
      </c>
      <c r="L257">
        <v>6.7</v>
      </c>
      <c r="M257">
        <f t="shared" si="37"/>
        <v>485.59999999999985</v>
      </c>
      <c r="N257">
        <v>-6.7</v>
      </c>
      <c r="O257">
        <f t="shared" si="32"/>
        <v>31.300000000000015</v>
      </c>
      <c r="P257" s="5">
        <v>252</v>
      </c>
      <c r="Q257" s="21">
        <f t="shared" si="44"/>
        <v>1.0462962962962963</v>
      </c>
      <c r="R257" s="11">
        <f t="shared" si="33"/>
        <v>7.0101851851851853</v>
      </c>
      <c r="S257" s="11">
        <f t="shared" si="34"/>
        <v>-7.0101851851851853</v>
      </c>
      <c r="T257" s="14">
        <f t="shared" si="41"/>
        <v>7.7574358974359017</v>
      </c>
      <c r="U257">
        <v>9</v>
      </c>
      <c r="V257">
        <v>2243.1</v>
      </c>
      <c r="X257">
        <f t="shared" si="38"/>
        <v>252681.19999999992</v>
      </c>
      <c r="Y257">
        <f t="shared" si="43"/>
        <v>13848.300000000001</v>
      </c>
      <c r="Z257">
        <v>1</v>
      </c>
      <c r="AA257">
        <v>14.541344874540799</v>
      </c>
    </row>
    <row r="258" spans="1:27" x14ac:dyDescent="0.25">
      <c r="A258" s="78"/>
      <c r="B258" s="8"/>
      <c r="C258" s="9">
        <v>42136</v>
      </c>
      <c r="D258">
        <v>20.7</v>
      </c>
      <c r="E258">
        <v>14.9</v>
      </c>
      <c r="F258">
        <v>25.9</v>
      </c>
      <c r="G258">
        <f t="shared" si="35"/>
        <v>3001.2999999999993</v>
      </c>
      <c r="H258">
        <f t="shared" si="42"/>
        <v>148.99999999999997</v>
      </c>
      <c r="I258" s="35" t="s">
        <v>44</v>
      </c>
      <c r="J258">
        <v>0</v>
      </c>
      <c r="K258">
        <f t="shared" si="36"/>
        <v>415.9</v>
      </c>
      <c r="L258">
        <v>5.0999999999999996</v>
      </c>
      <c r="M258">
        <f t="shared" si="37"/>
        <v>490.69999999999987</v>
      </c>
      <c r="N258">
        <v>-5.0999999999999996</v>
      </c>
      <c r="O258">
        <f t="shared" si="32"/>
        <v>26.200000000000017</v>
      </c>
      <c r="P258" s="5">
        <v>253</v>
      </c>
      <c r="Q258" s="21">
        <f t="shared" si="44"/>
        <v>1.0314814814814814</v>
      </c>
      <c r="R258" s="11">
        <f t="shared" si="33"/>
        <v>5.2605555555555554</v>
      </c>
      <c r="S258" s="11">
        <f t="shared" si="34"/>
        <v>-5.2605555555555554</v>
      </c>
      <c r="T258" s="14">
        <f t="shared" si="41"/>
        <v>2.4968803418803462</v>
      </c>
      <c r="U258" s="35" t="s">
        <v>30</v>
      </c>
      <c r="V258">
        <v>2494.1</v>
      </c>
      <c r="X258">
        <f t="shared" si="38"/>
        <v>255175.29999999993</v>
      </c>
      <c r="Y258">
        <f t="shared" si="43"/>
        <v>16342.400000000001</v>
      </c>
      <c r="AA258">
        <v>14.580155776856</v>
      </c>
    </row>
    <row r="259" spans="1:27" x14ac:dyDescent="0.25">
      <c r="A259" s="78"/>
      <c r="B259" s="8"/>
      <c r="C259" s="9">
        <v>42137</v>
      </c>
      <c r="D259">
        <v>20.100000000000001</v>
      </c>
      <c r="E259">
        <v>16.3</v>
      </c>
      <c r="F259">
        <v>25.5</v>
      </c>
      <c r="G259">
        <f t="shared" si="35"/>
        <v>3021.3999999999992</v>
      </c>
      <c r="H259">
        <f t="shared" si="42"/>
        <v>169.09999999999997</v>
      </c>
      <c r="I259">
        <v>0</v>
      </c>
      <c r="J259">
        <v>0</v>
      </c>
      <c r="K259">
        <f t="shared" si="36"/>
        <v>415.9</v>
      </c>
      <c r="L259">
        <v>3.9</v>
      </c>
      <c r="M259">
        <f t="shared" si="37"/>
        <v>494.59999999999985</v>
      </c>
      <c r="N259">
        <v>-3.9</v>
      </c>
      <c r="O259">
        <f t="shared" si="32"/>
        <v>22.300000000000018</v>
      </c>
      <c r="P259" s="5">
        <v>254</v>
      </c>
      <c r="Q259" s="21">
        <f t="shared" si="44"/>
        <v>1.0166666666666666</v>
      </c>
      <c r="R259" s="11">
        <f t="shared" si="33"/>
        <v>3.9649999999999999</v>
      </c>
      <c r="S259" s="11">
        <f t="shared" si="34"/>
        <v>-3.9649999999999999</v>
      </c>
      <c r="T259" s="14">
        <v>0</v>
      </c>
      <c r="U259">
        <v>0</v>
      </c>
      <c r="V259">
        <v>1802.7</v>
      </c>
      <c r="X259">
        <f t="shared" si="38"/>
        <v>256977.99999999994</v>
      </c>
      <c r="Y259">
        <f t="shared" si="43"/>
        <v>18145.100000000002</v>
      </c>
      <c r="AA259">
        <v>14.6183947962635</v>
      </c>
    </row>
    <row r="260" spans="1:27" x14ac:dyDescent="0.25">
      <c r="A260" s="78"/>
      <c r="B260" s="8"/>
      <c r="C260" s="9">
        <v>42138</v>
      </c>
      <c r="D260">
        <v>15.7</v>
      </c>
      <c r="E260">
        <v>14.6</v>
      </c>
      <c r="F260">
        <v>18.7</v>
      </c>
      <c r="G260">
        <f t="shared" si="35"/>
        <v>3037.099999999999</v>
      </c>
      <c r="H260">
        <f t="shared" si="42"/>
        <v>184.79999999999995</v>
      </c>
      <c r="I260" s="35" t="s">
        <v>45</v>
      </c>
      <c r="J260">
        <v>3.3</v>
      </c>
      <c r="K260">
        <f t="shared" si="36"/>
        <v>419.2</v>
      </c>
      <c r="L260">
        <v>4</v>
      </c>
      <c r="M260">
        <f t="shared" si="37"/>
        <v>498.59999999999985</v>
      </c>
      <c r="N260">
        <v>-0.70000000000000018</v>
      </c>
      <c r="O260">
        <f t="shared" ref="O260:O267" si="45">O259+N260</f>
        <v>21.600000000000019</v>
      </c>
      <c r="P260" s="5">
        <v>255</v>
      </c>
      <c r="Q260" s="21">
        <f t="shared" si="44"/>
        <v>1.0018518518518518</v>
      </c>
      <c r="R260" s="11">
        <f t="shared" si="33"/>
        <v>4.0074074074074071</v>
      </c>
      <c r="S260" s="11">
        <f t="shared" si="34"/>
        <v>-0.70740740740740726</v>
      </c>
      <c r="T260" s="14">
        <v>0</v>
      </c>
      <c r="U260" s="35" t="s">
        <v>31</v>
      </c>
      <c r="V260">
        <v>2070.8000000000002</v>
      </c>
      <c r="X260">
        <f t="shared" si="38"/>
        <v>259048.79999999993</v>
      </c>
      <c r="Y260">
        <f t="shared" si="43"/>
        <v>20215.900000000001</v>
      </c>
      <c r="AA260">
        <v>14.6560428975923</v>
      </c>
    </row>
    <row r="261" spans="1:27" x14ac:dyDescent="0.25">
      <c r="A261" s="78"/>
      <c r="B261" s="8"/>
      <c r="C261" s="9">
        <v>42139</v>
      </c>
      <c r="D261">
        <v>13.3</v>
      </c>
      <c r="E261">
        <v>11.1</v>
      </c>
      <c r="F261">
        <v>16.100000000000001</v>
      </c>
      <c r="G261">
        <f t="shared" si="35"/>
        <v>3050.3999999999992</v>
      </c>
      <c r="H261">
        <f t="shared" si="42"/>
        <v>198.09999999999997</v>
      </c>
      <c r="I261">
        <v>4</v>
      </c>
      <c r="J261">
        <v>1.8</v>
      </c>
      <c r="K261">
        <f t="shared" si="36"/>
        <v>421</v>
      </c>
      <c r="L261">
        <v>3.6</v>
      </c>
      <c r="M261">
        <f t="shared" si="37"/>
        <v>502.19999999999987</v>
      </c>
      <c r="N261">
        <v>-1.8</v>
      </c>
      <c r="O261">
        <f t="shared" si="45"/>
        <v>19.800000000000018</v>
      </c>
      <c r="P261" s="5">
        <v>256</v>
      </c>
      <c r="Q261" s="21">
        <f t="shared" si="44"/>
        <v>0.98703703703703694</v>
      </c>
      <c r="R261" s="11">
        <f t="shared" si="33"/>
        <v>3.5533333333333332</v>
      </c>
      <c r="S261" s="11">
        <f t="shared" si="34"/>
        <v>-1.7533333333333332</v>
      </c>
      <c r="T261" s="14">
        <v>0</v>
      </c>
      <c r="U261" s="16">
        <f>MAX(T251:T268)</f>
        <v>40.368361823361823</v>
      </c>
      <c r="V261">
        <v>1857.1</v>
      </c>
      <c r="X261">
        <f t="shared" si="38"/>
        <v>260905.89999999994</v>
      </c>
      <c r="Y261">
        <f t="shared" si="43"/>
        <v>22073</v>
      </c>
      <c r="AA261">
        <v>14.693080799939301</v>
      </c>
    </row>
    <row r="262" spans="1:27" x14ac:dyDescent="0.25">
      <c r="A262" s="78"/>
      <c r="B262" s="8"/>
      <c r="C262" s="9">
        <v>42140</v>
      </c>
      <c r="D262">
        <v>14.6</v>
      </c>
      <c r="E262">
        <v>11.9</v>
      </c>
      <c r="F262">
        <v>17</v>
      </c>
      <c r="G262">
        <f t="shared" si="35"/>
        <v>3064.9999999999991</v>
      </c>
      <c r="H262">
        <f t="shared" si="42"/>
        <v>212.69999999999996</v>
      </c>
      <c r="I262" s="35" t="s">
        <v>46</v>
      </c>
      <c r="J262">
        <v>0</v>
      </c>
      <c r="K262">
        <f t="shared" si="36"/>
        <v>421</v>
      </c>
      <c r="L262">
        <v>3.8</v>
      </c>
      <c r="M262">
        <f t="shared" si="37"/>
        <v>505.99999999999989</v>
      </c>
      <c r="N262">
        <v>-3.8</v>
      </c>
      <c r="O262">
        <f t="shared" si="45"/>
        <v>16.000000000000018</v>
      </c>
      <c r="P262" s="5">
        <v>257</v>
      </c>
      <c r="Q262" s="21">
        <f t="shared" si="44"/>
        <v>0.9722222222222221</v>
      </c>
      <c r="R262" s="11">
        <f t="shared" si="33"/>
        <v>3.6944444444444438</v>
      </c>
      <c r="S262" s="11">
        <f t="shared" si="34"/>
        <v>-3.6944444444444438</v>
      </c>
      <c r="T262" s="14">
        <v>0</v>
      </c>
      <c r="U262" s="35" t="s">
        <v>32</v>
      </c>
      <c r="V262">
        <v>2285.3000000000002</v>
      </c>
      <c r="X262">
        <f t="shared" si="38"/>
        <v>263191.19999999995</v>
      </c>
      <c r="Y262">
        <f t="shared" si="43"/>
        <v>24358.3</v>
      </c>
      <c r="AA262">
        <v>14.7294889991378</v>
      </c>
    </row>
    <row r="263" spans="1:27" x14ac:dyDescent="0.25">
      <c r="A263" s="78"/>
      <c r="B263" s="8"/>
      <c r="C263" s="9">
        <v>42141</v>
      </c>
      <c r="D263">
        <v>17.600000000000001</v>
      </c>
      <c r="E263">
        <v>14.3</v>
      </c>
      <c r="F263">
        <v>21.8</v>
      </c>
      <c r="G263">
        <f t="shared" si="35"/>
        <v>3082.599999999999</v>
      </c>
      <c r="H263">
        <f t="shared" si="42"/>
        <v>230.29999999999995</v>
      </c>
      <c r="I263">
        <v>0</v>
      </c>
      <c r="J263">
        <v>0</v>
      </c>
      <c r="K263">
        <f t="shared" si="36"/>
        <v>421</v>
      </c>
      <c r="L263">
        <v>4.5999999999999996</v>
      </c>
      <c r="M263">
        <f t="shared" si="37"/>
        <v>510.59999999999991</v>
      </c>
      <c r="N263">
        <v>-4.5999999999999996</v>
      </c>
      <c r="O263">
        <f t="shared" si="45"/>
        <v>11.400000000000018</v>
      </c>
      <c r="P263" s="5">
        <v>258</v>
      </c>
      <c r="Q263" s="21">
        <f t="shared" si="44"/>
        <v>0.95740740740740737</v>
      </c>
      <c r="R263" s="11">
        <f t="shared" ref="R263:R304" si="46">Q263*L263</f>
        <v>4.4040740740740736</v>
      </c>
      <c r="S263" s="11">
        <f t="shared" ref="S263:S304" si="47">J263-R263</f>
        <v>-4.4040740740740736</v>
      </c>
      <c r="T263" s="14">
        <v>0</v>
      </c>
      <c r="U263" s="15">
        <f>AVERAGE(T251:T268)</f>
        <v>10.117841880341881</v>
      </c>
      <c r="V263">
        <v>2335.4</v>
      </c>
      <c r="X263">
        <f t="shared" si="38"/>
        <v>265526.59999999998</v>
      </c>
      <c r="Y263">
        <f t="shared" si="43"/>
        <v>26693.7</v>
      </c>
      <c r="AA263">
        <v>14.765247792122301</v>
      </c>
    </row>
    <row r="264" spans="1:27" x14ac:dyDescent="0.25">
      <c r="A264" s="78"/>
      <c r="B264" s="8"/>
      <c r="C264" s="9">
        <v>42142</v>
      </c>
      <c r="D264">
        <v>17.8</v>
      </c>
      <c r="E264">
        <v>12.1</v>
      </c>
      <c r="F264">
        <v>23</v>
      </c>
      <c r="G264">
        <f t="shared" ref="G264:G304" si="48">G263+D264</f>
        <v>3100.3999999999992</v>
      </c>
      <c r="H264">
        <f t="shared" si="42"/>
        <v>248.09999999999997</v>
      </c>
      <c r="I264" s="35" t="s">
        <v>33</v>
      </c>
      <c r="J264">
        <v>2.1</v>
      </c>
      <c r="K264">
        <f t="shared" ref="K264:K304" si="49">K263+J264</f>
        <v>423.1</v>
      </c>
      <c r="L264">
        <v>4.5999999999999996</v>
      </c>
      <c r="M264">
        <f t="shared" ref="M264:M304" si="50">M263+L264</f>
        <v>515.19999999999993</v>
      </c>
      <c r="N264">
        <v>-2.4999999999999996</v>
      </c>
      <c r="O264">
        <f t="shared" si="45"/>
        <v>8.9000000000000181</v>
      </c>
      <c r="P264" s="5">
        <v>259</v>
      </c>
      <c r="Q264" s="21">
        <f t="shared" si="44"/>
        <v>0.94259259259259254</v>
      </c>
      <c r="R264" s="11">
        <f t="shared" si="46"/>
        <v>4.3359259259259257</v>
      </c>
      <c r="S264" s="11">
        <f t="shared" si="47"/>
        <v>-2.2359259259259257</v>
      </c>
      <c r="T264" s="14">
        <v>0</v>
      </c>
      <c r="U264">
        <f>(U263*100)/122.1</f>
        <v>8.2865207865207875</v>
      </c>
      <c r="V264">
        <v>2487.4</v>
      </c>
      <c r="X264">
        <f t="shared" ref="X264:X304" si="51">X263+V264</f>
        <v>268014</v>
      </c>
      <c r="Y264">
        <f t="shared" si="43"/>
        <v>29181.100000000002</v>
      </c>
      <c r="AA264">
        <v>14.800337303197701</v>
      </c>
    </row>
    <row r="265" spans="1:27" x14ac:dyDescent="0.25">
      <c r="A265" s="78"/>
      <c r="B265" s="8"/>
      <c r="C265" s="9">
        <v>42143</v>
      </c>
      <c r="D265">
        <v>12.5</v>
      </c>
      <c r="E265">
        <v>11.7</v>
      </c>
      <c r="F265">
        <v>13.7</v>
      </c>
      <c r="G265">
        <f t="shared" si="48"/>
        <v>3112.8999999999992</v>
      </c>
      <c r="H265">
        <f t="shared" si="42"/>
        <v>260.59999999999997</v>
      </c>
      <c r="I265">
        <v>301.5</v>
      </c>
      <c r="J265">
        <v>2.4</v>
      </c>
      <c r="K265">
        <f t="shared" si="49"/>
        <v>425.5</v>
      </c>
      <c r="L265">
        <v>2.9</v>
      </c>
      <c r="M265">
        <f t="shared" si="50"/>
        <v>518.09999999999991</v>
      </c>
      <c r="N265">
        <v>-0.5</v>
      </c>
      <c r="O265">
        <f t="shared" si="45"/>
        <v>8.4000000000000181</v>
      </c>
      <c r="P265" s="5">
        <v>260</v>
      </c>
      <c r="Q265" s="21">
        <f t="shared" si="44"/>
        <v>0.9277777777777777</v>
      </c>
      <c r="R265" s="11">
        <f t="shared" si="46"/>
        <v>2.6905555555555551</v>
      </c>
      <c r="S265" s="11">
        <f t="shared" si="47"/>
        <v>-0.29055555555555523</v>
      </c>
      <c r="T265" s="14">
        <v>0</v>
      </c>
      <c r="V265">
        <v>1833.4</v>
      </c>
      <c r="X265">
        <f t="shared" si="51"/>
        <v>269847.40000000002</v>
      </c>
      <c r="Y265">
        <f t="shared" si="43"/>
        <v>31014.500000000004</v>
      </c>
      <c r="AA265">
        <v>14.834737512209999</v>
      </c>
    </row>
    <row r="266" spans="1:27" x14ac:dyDescent="0.25">
      <c r="A266" s="78"/>
      <c r="B266" s="8"/>
      <c r="C266" s="9">
        <v>42144</v>
      </c>
      <c r="D266">
        <v>12.4</v>
      </c>
      <c r="E266">
        <v>10.4</v>
      </c>
      <c r="F266">
        <v>16.100000000000001</v>
      </c>
      <c r="G266">
        <f t="shared" si="48"/>
        <v>3125.2999999999993</v>
      </c>
      <c r="H266">
        <f t="shared" si="42"/>
        <v>272.99999999999994</v>
      </c>
      <c r="J266">
        <v>4.5</v>
      </c>
      <c r="K266">
        <f t="shared" si="49"/>
        <v>430</v>
      </c>
      <c r="L266">
        <v>3.8</v>
      </c>
      <c r="M266">
        <f t="shared" si="50"/>
        <v>521.89999999999986</v>
      </c>
      <c r="N266">
        <v>0.70000000000000018</v>
      </c>
      <c r="O266">
        <f t="shared" si="45"/>
        <v>9.1000000000000192</v>
      </c>
      <c r="P266" s="5">
        <v>261</v>
      </c>
      <c r="Q266" s="21">
        <f t="shared" si="44"/>
        <v>0.91296296296296298</v>
      </c>
      <c r="R266" s="11">
        <f t="shared" si="46"/>
        <v>3.469259259259259</v>
      </c>
      <c r="S266" s="11">
        <f t="shared" si="47"/>
        <v>1.030740740740741</v>
      </c>
      <c r="T266" s="14">
        <f t="shared" si="41"/>
        <v>1.030740740740741</v>
      </c>
      <c r="V266">
        <v>2133.6</v>
      </c>
      <c r="X266">
        <f t="shared" si="51"/>
        <v>271981</v>
      </c>
      <c r="Y266">
        <f t="shared" si="43"/>
        <v>33148.100000000006</v>
      </c>
      <c r="AA266">
        <v>14.868428284606299</v>
      </c>
    </row>
    <row r="267" spans="1:27" x14ac:dyDescent="0.25">
      <c r="A267" s="78"/>
      <c r="B267" s="8"/>
      <c r="C267" s="9">
        <v>42145</v>
      </c>
      <c r="D267">
        <v>13.5</v>
      </c>
      <c r="E267">
        <v>10</v>
      </c>
      <c r="F267">
        <v>16.7</v>
      </c>
      <c r="G267">
        <f t="shared" si="48"/>
        <v>3138.7999999999993</v>
      </c>
      <c r="H267">
        <f t="shared" si="42"/>
        <v>286.49999999999994</v>
      </c>
      <c r="J267">
        <v>0</v>
      </c>
      <c r="K267">
        <f t="shared" si="49"/>
        <v>430</v>
      </c>
      <c r="L267">
        <v>4.7</v>
      </c>
      <c r="M267">
        <f t="shared" si="50"/>
        <v>526.59999999999991</v>
      </c>
      <c r="N267">
        <v>-4.7</v>
      </c>
      <c r="O267">
        <f t="shared" si="45"/>
        <v>4.400000000000019</v>
      </c>
      <c r="P267" s="5">
        <v>262</v>
      </c>
      <c r="Q267" s="21">
        <f t="shared" si="44"/>
        <v>0.89814814814814814</v>
      </c>
      <c r="R267" s="11">
        <f t="shared" si="46"/>
        <v>4.2212962962962965</v>
      </c>
      <c r="S267" s="11">
        <f t="shared" si="47"/>
        <v>-4.2212962962962965</v>
      </c>
      <c r="T267" s="14">
        <v>0</v>
      </c>
      <c r="V267">
        <v>2499.8000000000002</v>
      </c>
      <c r="X267">
        <f t="shared" si="51"/>
        <v>274480.8</v>
      </c>
      <c r="Y267">
        <f t="shared" si="43"/>
        <v>35647.900000000009</v>
      </c>
      <c r="AA267">
        <v>14.9013894033589</v>
      </c>
    </row>
    <row r="268" spans="1:27" s="51" customFormat="1" ht="15.75" thickBot="1" x14ac:dyDescent="0.3">
      <c r="A268" s="78"/>
      <c r="B268" s="58"/>
      <c r="C268" s="50">
        <v>42146</v>
      </c>
      <c r="D268" s="51">
        <v>15</v>
      </c>
      <c r="E268" s="51">
        <v>10.1</v>
      </c>
      <c r="F268" s="51">
        <v>19</v>
      </c>
      <c r="G268" s="51">
        <f t="shared" si="48"/>
        <v>3153.7999999999993</v>
      </c>
      <c r="H268" s="51">
        <f t="shared" si="42"/>
        <v>301.49999999999994</v>
      </c>
      <c r="J268" s="51">
        <v>0</v>
      </c>
      <c r="K268" s="51">
        <f t="shared" si="49"/>
        <v>430</v>
      </c>
      <c r="L268" s="51">
        <v>4.8</v>
      </c>
      <c r="M268" s="51">
        <f t="shared" si="50"/>
        <v>531.39999999999986</v>
      </c>
      <c r="N268" s="51">
        <v>-4.8</v>
      </c>
      <c r="O268" s="51">
        <v>0</v>
      </c>
      <c r="P268" s="53">
        <v>263</v>
      </c>
      <c r="Q268" s="60">
        <f t="shared" si="44"/>
        <v>0.8833333333333333</v>
      </c>
      <c r="R268" s="55">
        <f t="shared" si="46"/>
        <v>4.2399999999999993</v>
      </c>
      <c r="S268" s="55">
        <f t="shared" si="47"/>
        <v>-4.2399999999999993</v>
      </c>
      <c r="T268" s="56">
        <v>0</v>
      </c>
      <c r="V268" s="51">
        <v>2498.6</v>
      </c>
      <c r="X268" s="51">
        <f t="shared" si="51"/>
        <v>276979.39999999997</v>
      </c>
      <c r="Y268" s="51">
        <f t="shared" si="43"/>
        <v>38146.500000000007</v>
      </c>
      <c r="AA268" s="51">
        <v>14.933600602715901</v>
      </c>
    </row>
    <row r="269" spans="1:27" s="24" customFormat="1" x14ac:dyDescent="0.25">
      <c r="A269" s="71">
        <v>1000</v>
      </c>
      <c r="B269" s="22"/>
      <c r="C269" s="23">
        <v>42147</v>
      </c>
      <c r="D269" s="24">
        <v>15.7</v>
      </c>
      <c r="E269" s="24">
        <v>11.3</v>
      </c>
      <c r="F269" s="24">
        <v>19.399999999999999</v>
      </c>
      <c r="G269" s="24">
        <f t="shared" si="48"/>
        <v>3169.4999999999991</v>
      </c>
      <c r="H269" s="24">
        <v>15.7</v>
      </c>
      <c r="J269" s="24">
        <v>0</v>
      </c>
      <c r="K269" s="24">
        <f t="shared" si="49"/>
        <v>430</v>
      </c>
      <c r="L269" s="24">
        <v>4.3</v>
      </c>
      <c r="M269" s="24">
        <f t="shared" si="50"/>
        <v>535.69999999999982</v>
      </c>
      <c r="N269" s="24">
        <v>-4.3</v>
      </c>
      <c r="O269" s="24">
        <v>0</v>
      </c>
      <c r="P269" s="25">
        <v>264</v>
      </c>
      <c r="Q269" s="21">
        <f t="shared" si="44"/>
        <v>0.86851851851851847</v>
      </c>
      <c r="R269" s="26">
        <f t="shared" si="46"/>
        <v>3.7346296296296293</v>
      </c>
      <c r="S269" s="26">
        <f t="shared" si="47"/>
        <v>-3.7346296296296293</v>
      </c>
      <c r="T269" s="14">
        <v>0</v>
      </c>
      <c r="U269" s="47"/>
      <c r="V269" s="24">
        <v>2218.9</v>
      </c>
      <c r="X269" s="24">
        <f t="shared" si="51"/>
        <v>279198.3</v>
      </c>
      <c r="Y269" s="24">
        <f>V269</f>
        <v>2218.9</v>
      </c>
      <c r="AA269" s="24">
        <v>14.965041603728499</v>
      </c>
    </row>
    <row r="270" spans="1:27" ht="15" customHeight="1" x14ac:dyDescent="0.25">
      <c r="A270" s="71"/>
      <c r="B270" s="8"/>
      <c r="C270" s="9">
        <v>42148</v>
      </c>
      <c r="D270">
        <v>18</v>
      </c>
      <c r="E270">
        <v>14.1</v>
      </c>
      <c r="F270">
        <v>21.5</v>
      </c>
      <c r="G270">
        <f t="shared" si="48"/>
        <v>3187.4999999999991</v>
      </c>
      <c r="H270">
        <f>H269+D270</f>
        <v>33.700000000000003</v>
      </c>
      <c r="I270" s="37" t="s">
        <v>41</v>
      </c>
      <c r="J270">
        <v>0</v>
      </c>
      <c r="K270">
        <f t="shared" si="49"/>
        <v>430</v>
      </c>
      <c r="L270">
        <v>4.0999999999999996</v>
      </c>
      <c r="M270">
        <f t="shared" si="50"/>
        <v>539.79999999999984</v>
      </c>
      <c r="N270">
        <v>-4.0999999999999996</v>
      </c>
      <c r="O270">
        <v>0</v>
      </c>
      <c r="P270" s="5">
        <v>265</v>
      </c>
      <c r="Q270" s="21">
        <f t="shared" si="44"/>
        <v>0.85370370370370363</v>
      </c>
      <c r="R270" s="11">
        <f t="shared" si="46"/>
        <v>3.5001851851851846</v>
      </c>
      <c r="S270" s="11">
        <f t="shared" si="47"/>
        <v>-3.5001851851851846</v>
      </c>
      <c r="T270" s="14">
        <v>0</v>
      </c>
      <c r="U270" s="37" t="s">
        <v>28</v>
      </c>
      <c r="V270">
        <v>1864.2</v>
      </c>
      <c r="X270">
        <f t="shared" si="51"/>
        <v>281062.5</v>
      </c>
      <c r="Y270">
        <f>Y269+V270</f>
        <v>4083.1000000000004</v>
      </c>
      <c r="Z270" s="37" t="s">
        <v>51</v>
      </c>
      <c r="AA270">
        <v>14.995692151489401</v>
      </c>
    </row>
    <row r="271" spans="1:27" x14ac:dyDescent="0.25">
      <c r="A271" s="71"/>
      <c r="B271" s="8"/>
      <c r="C271" s="9">
        <v>42149</v>
      </c>
      <c r="D271">
        <v>16.8</v>
      </c>
      <c r="E271">
        <v>13.9</v>
      </c>
      <c r="F271">
        <v>19.899999999999999</v>
      </c>
      <c r="G271">
        <f t="shared" si="48"/>
        <v>3204.2999999999993</v>
      </c>
      <c r="H271">
        <f t="shared" si="42"/>
        <v>50.5</v>
      </c>
      <c r="I271">
        <f>MIN(E269:E288)</f>
        <v>11.3</v>
      </c>
      <c r="J271">
        <v>0</v>
      </c>
      <c r="K271">
        <f t="shared" si="49"/>
        <v>430</v>
      </c>
      <c r="L271">
        <v>3.5</v>
      </c>
      <c r="M271">
        <f t="shared" si="50"/>
        <v>543.29999999999984</v>
      </c>
      <c r="N271">
        <v>-3.5</v>
      </c>
      <c r="O271">
        <v>0</v>
      </c>
      <c r="P271" s="5">
        <v>266</v>
      </c>
      <c r="Q271" s="21">
        <f t="shared" si="44"/>
        <v>0.8388888888888888</v>
      </c>
      <c r="R271" s="11">
        <f t="shared" si="46"/>
        <v>2.9361111111111109</v>
      </c>
      <c r="S271" s="11">
        <f t="shared" si="47"/>
        <v>-2.9361111111111109</v>
      </c>
      <c r="T271" s="14">
        <v>0</v>
      </c>
      <c r="V271">
        <v>1554.9</v>
      </c>
      <c r="X271">
        <f t="shared" si="51"/>
        <v>282617.40000000002</v>
      </c>
      <c r="Y271">
        <f t="shared" si="43"/>
        <v>5638</v>
      </c>
      <c r="Z271">
        <v>46713.1</v>
      </c>
      <c r="AA271">
        <v>15.0255320540036</v>
      </c>
    </row>
    <row r="272" spans="1:27" x14ac:dyDescent="0.25">
      <c r="A272" s="71"/>
      <c r="B272" s="8"/>
      <c r="C272" s="9">
        <v>42150</v>
      </c>
      <c r="D272">
        <v>15.8</v>
      </c>
      <c r="E272">
        <v>12.4</v>
      </c>
      <c r="F272">
        <v>19.899999999999999</v>
      </c>
      <c r="G272">
        <f t="shared" si="48"/>
        <v>3220.0999999999995</v>
      </c>
      <c r="H272">
        <f t="shared" si="42"/>
        <v>66.3</v>
      </c>
      <c r="I272" s="37" t="s">
        <v>42</v>
      </c>
      <c r="J272">
        <v>0</v>
      </c>
      <c r="K272">
        <f t="shared" si="49"/>
        <v>430</v>
      </c>
      <c r="L272">
        <v>4.7</v>
      </c>
      <c r="M272">
        <f t="shared" si="50"/>
        <v>547.99999999999989</v>
      </c>
      <c r="N272">
        <v>-4.7</v>
      </c>
      <c r="O272">
        <v>0</v>
      </c>
      <c r="P272" s="5">
        <v>267</v>
      </c>
      <c r="Q272" s="21">
        <f t="shared" si="44"/>
        <v>0.82407407407407396</v>
      </c>
      <c r="R272" s="11">
        <f t="shared" si="46"/>
        <v>3.8731481481481476</v>
      </c>
      <c r="S272" s="11">
        <f t="shared" si="47"/>
        <v>-3.8731481481481476</v>
      </c>
      <c r="T272" s="14">
        <v>0</v>
      </c>
      <c r="U272" s="38" t="s">
        <v>48</v>
      </c>
      <c r="V272">
        <v>2358.1999999999998</v>
      </c>
      <c r="X272">
        <f t="shared" si="51"/>
        <v>284975.60000000003</v>
      </c>
      <c r="Y272">
        <f t="shared" si="43"/>
        <v>7996.2</v>
      </c>
      <c r="Z272" s="37" t="s">
        <v>29</v>
      </c>
      <c r="AA272">
        <v>15.0545412225981</v>
      </c>
    </row>
    <row r="273" spans="1:27" x14ac:dyDescent="0.25">
      <c r="A273" s="71"/>
      <c r="B273" s="8"/>
      <c r="C273" s="9">
        <v>42151</v>
      </c>
      <c r="D273">
        <v>17.899999999999999</v>
      </c>
      <c r="E273">
        <v>12.8</v>
      </c>
      <c r="F273">
        <v>22.2</v>
      </c>
      <c r="G273">
        <f t="shared" si="48"/>
        <v>3237.9999999999995</v>
      </c>
      <c r="H273">
        <f t="shared" si="42"/>
        <v>84.199999999999989</v>
      </c>
      <c r="I273">
        <f>MAX(F269:F288)</f>
        <v>32.799999999999997</v>
      </c>
      <c r="J273">
        <v>0</v>
      </c>
      <c r="K273">
        <f t="shared" si="49"/>
        <v>430</v>
      </c>
      <c r="L273">
        <v>6.2</v>
      </c>
      <c r="M273">
        <f t="shared" si="50"/>
        <v>554.19999999999993</v>
      </c>
      <c r="N273">
        <v>-6.2</v>
      </c>
      <c r="O273">
        <v>0</v>
      </c>
      <c r="P273" s="5">
        <v>268</v>
      </c>
      <c r="Q273" s="21">
        <f t="shared" si="44"/>
        <v>0.80925925925925912</v>
      </c>
      <c r="R273" s="11">
        <f t="shared" si="46"/>
        <v>5.0174074074074069</v>
      </c>
      <c r="S273" s="11">
        <f t="shared" si="47"/>
        <v>-5.0174074074074069</v>
      </c>
      <c r="T273" s="14">
        <v>0</v>
      </c>
      <c r="U273">
        <v>19</v>
      </c>
      <c r="V273">
        <v>2905.4</v>
      </c>
      <c r="X273">
        <f t="shared" si="51"/>
        <v>287881.00000000006</v>
      </c>
      <c r="Y273">
        <f t="shared" si="43"/>
        <v>10901.6</v>
      </c>
      <c r="Z273" s="15">
        <f>(Z271/100)/I283</f>
        <v>1.1368483816013628</v>
      </c>
      <c r="AA273">
        <v>15.082699713760499</v>
      </c>
    </row>
    <row r="274" spans="1:27" s="24" customFormat="1" x14ac:dyDescent="0.25">
      <c r="A274" s="71"/>
      <c r="B274" s="22"/>
      <c r="C274" s="23">
        <v>42152</v>
      </c>
      <c r="D274" s="24">
        <v>19.399999999999999</v>
      </c>
      <c r="E274" s="24">
        <v>13.6</v>
      </c>
      <c r="F274" s="24">
        <v>25.1</v>
      </c>
      <c r="G274" s="24">
        <f t="shared" si="48"/>
        <v>3257.3999999999996</v>
      </c>
      <c r="H274" s="24">
        <f t="shared" si="42"/>
        <v>103.6</v>
      </c>
      <c r="I274" s="39" t="s">
        <v>43</v>
      </c>
      <c r="J274" s="24">
        <v>0</v>
      </c>
      <c r="K274" s="24">
        <f t="shared" si="49"/>
        <v>430</v>
      </c>
      <c r="L274" s="24">
        <v>4.8</v>
      </c>
      <c r="M274" s="24">
        <f t="shared" si="50"/>
        <v>558.99999999999989</v>
      </c>
      <c r="N274" s="24">
        <v>-4.8</v>
      </c>
      <c r="O274" s="24">
        <v>0</v>
      </c>
      <c r="P274" s="25">
        <v>269</v>
      </c>
      <c r="Q274" s="21">
        <f t="shared" si="44"/>
        <v>0.7944444444444444</v>
      </c>
      <c r="R274" s="26">
        <f t="shared" si="46"/>
        <v>3.813333333333333</v>
      </c>
      <c r="S274" s="26">
        <f t="shared" si="47"/>
        <v>-3.813333333333333</v>
      </c>
      <c r="T274" s="14">
        <v>0</v>
      </c>
      <c r="U274" s="37" t="s">
        <v>49</v>
      </c>
      <c r="V274" s="24">
        <v>2457.9</v>
      </c>
      <c r="X274" s="24">
        <f t="shared" si="51"/>
        <v>290338.90000000008</v>
      </c>
      <c r="Y274">
        <f t="shared" si="43"/>
        <v>13359.5</v>
      </c>
      <c r="Z274" s="39" t="s">
        <v>52</v>
      </c>
      <c r="AA274" s="24">
        <v>15.109987772282</v>
      </c>
    </row>
    <row r="275" spans="1:27" ht="15" customHeight="1" x14ac:dyDescent="0.25">
      <c r="A275" s="71"/>
      <c r="B275" s="8"/>
      <c r="C275" s="9">
        <v>42153</v>
      </c>
      <c r="D275">
        <v>17.8</v>
      </c>
      <c r="E275">
        <v>12.7</v>
      </c>
      <c r="F275">
        <v>22.7</v>
      </c>
      <c r="G275">
        <f t="shared" si="48"/>
        <v>3275.2</v>
      </c>
      <c r="H275">
        <f t="shared" si="42"/>
        <v>121.39999999999999</v>
      </c>
      <c r="I275" s="16">
        <f>AVERAGE(D269:D288)</f>
        <v>20.544999999999998</v>
      </c>
      <c r="J275">
        <v>0.1</v>
      </c>
      <c r="K275">
        <f t="shared" si="49"/>
        <v>430.1</v>
      </c>
      <c r="L275">
        <v>4.8</v>
      </c>
      <c r="M275">
        <f t="shared" si="50"/>
        <v>563.79999999999984</v>
      </c>
      <c r="N275">
        <v>-4.7</v>
      </c>
      <c r="O275">
        <v>0</v>
      </c>
      <c r="P275" s="5">
        <v>270</v>
      </c>
      <c r="Q275" s="21">
        <f t="shared" si="44"/>
        <v>0.77962962962962956</v>
      </c>
      <c r="R275" s="11">
        <f t="shared" si="46"/>
        <v>3.7422222222222219</v>
      </c>
      <c r="S275" s="11">
        <f t="shared" si="47"/>
        <v>-3.6422222222222218</v>
      </c>
      <c r="T275" s="14">
        <v>0</v>
      </c>
      <c r="U275">
        <v>1</v>
      </c>
      <c r="V275">
        <v>2156.1999999999998</v>
      </c>
      <c r="X275">
        <f t="shared" si="51"/>
        <v>292495.10000000009</v>
      </c>
      <c r="Y275">
        <f t="shared" si="43"/>
        <v>15515.7</v>
      </c>
      <c r="Z275">
        <v>0</v>
      </c>
      <c r="AA275">
        <v>15.136385875566001</v>
      </c>
    </row>
    <row r="276" spans="1:27" x14ac:dyDescent="0.25">
      <c r="A276" s="71"/>
      <c r="B276" s="8"/>
      <c r="C276" s="9">
        <v>42154</v>
      </c>
      <c r="D276">
        <v>17</v>
      </c>
      <c r="E276">
        <v>14.6</v>
      </c>
      <c r="F276">
        <v>20.3</v>
      </c>
      <c r="G276">
        <f t="shared" si="48"/>
        <v>3292.2</v>
      </c>
      <c r="H276">
        <f t="shared" si="42"/>
        <v>138.39999999999998</v>
      </c>
      <c r="I276" s="37" t="s">
        <v>44</v>
      </c>
      <c r="J276">
        <v>0</v>
      </c>
      <c r="K276">
        <f t="shared" si="49"/>
        <v>430.1</v>
      </c>
      <c r="L276">
        <v>4.5999999999999996</v>
      </c>
      <c r="M276">
        <f t="shared" si="50"/>
        <v>568.39999999999986</v>
      </c>
      <c r="N276">
        <v>-4.5999999999999996</v>
      </c>
      <c r="O276">
        <v>0</v>
      </c>
      <c r="P276" s="5">
        <v>271</v>
      </c>
      <c r="Q276" s="21">
        <f t="shared" si="44"/>
        <v>0.76481481481481484</v>
      </c>
      <c r="R276" s="11">
        <f t="shared" si="46"/>
        <v>3.518148148148148</v>
      </c>
      <c r="S276" s="11">
        <f t="shared" si="47"/>
        <v>-3.518148148148148</v>
      </c>
      <c r="T276" s="14">
        <v>0</v>
      </c>
      <c r="U276" s="37" t="s">
        <v>30</v>
      </c>
      <c r="V276">
        <v>2355.6</v>
      </c>
      <c r="X276">
        <f t="shared" si="51"/>
        <v>294850.70000000007</v>
      </c>
      <c r="Y276">
        <f t="shared" si="43"/>
        <v>17871.3</v>
      </c>
      <c r="AA276">
        <v>15.1618747789451</v>
      </c>
    </row>
    <row r="277" spans="1:27" x14ac:dyDescent="0.25">
      <c r="A277" s="71"/>
      <c r="B277" s="8"/>
      <c r="C277" s="9">
        <v>42155</v>
      </c>
      <c r="D277">
        <v>19.7</v>
      </c>
      <c r="E277">
        <v>13.6</v>
      </c>
      <c r="F277">
        <v>24.7</v>
      </c>
      <c r="G277">
        <f t="shared" si="48"/>
        <v>3311.8999999999996</v>
      </c>
      <c r="H277">
        <f t="shared" si="42"/>
        <v>158.09999999999997</v>
      </c>
      <c r="I277">
        <v>0</v>
      </c>
      <c r="J277">
        <v>0</v>
      </c>
      <c r="K277">
        <f t="shared" si="49"/>
        <v>430.1</v>
      </c>
      <c r="L277">
        <v>5.3</v>
      </c>
      <c r="M277">
        <f t="shared" si="50"/>
        <v>573.69999999999982</v>
      </c>
      <c r="N277">
        <v>-5.3</v>
      </c>
      <c r="O277">
        <v>0</v>
      </c>
      <c r="P277" s="5">
        <v>272</v>
      </c>
      <c r="Q277" s="21">
        <f t="shared" si="44"/>
        <v>0.75</v>
      </c>
      <c r="R277" s="11">
        <f t="shared" si="46"/>
        <v>3.9749999999999996</v>
      </c>
      <c r="S277" s="11">
        <f t="shared" si="47"/>
        <v>-3.9749999999999996</v>
      </c>
      <c r="T277" s="14">
        <v>0</v>
      </c>
      <c r="U277">
        <v>0</v>
      </c>
      <c r="V277">
        <v>2593.6999999999998</v>
      </c>
      <c r="X277">
        <f t="shared" si="51"/>
        <v>297444.40000000008</v>
      </c>
      <c r="Y277">
        <f t="shared" si="43"/>
        <v>20465</v>
      </c>
      <c r="AA277">
        <v>15.186435561837699</v>
      </c>
    </row>
    <row r="278" spans="1:27" x14ac:dyDescent="0.25">
      <c r="A278" s="71"/>
      <c r="B278" s="8"/>
      <c r="C278" s="9">
        <v>42156</v>
      </c>
      <c r="D278">
        <v>19.600000000000001</v>
      </c>
      <c r="E278">
        <v>16.7</v>
      </c>
      <c r="F278">
        <v>23.2</v>
      </c>
      <c r="G278">
        <f t="shared" si="48"/>
        <v>3331.4999999999995</v>
      </c>
      <c r="H278">
        <f t="shared" si="42"/>
        <v>177.69999999999996</v>
      </c>
      <c r="I278" s="37" t="s">
        <v>45</v>
      </c>
      <c r="J278">
        <v>0.1</v>
      </c>
      <c r="K278">
        <f t="shared" si="49"/>
        <v>430.20000000000005</v>
      </c>
      <c r="L278">
        <v>3.2</v>
      </c>
      <c r="M278">
        <f t="shared" si="50"/>
        <v>576.89999999999986</v>
      </c>
      <c r="N278">
        <v>-3.1</v>
      </c>
      <c r="O278">
        <v>0</v>
      </c>
      <c r="P278" s="5">
        <v>273</v>
      </c>
      <c r="Q278" s="21">
        <f t="shared" si="44"/>
        <v>0.73518518518518516</v>
      </c>
      <c r="R278" s="11">
        <f t="shared" si="46"/>
        <v>2.3525925925925928</v>
      </c>
      <c r="S278" s="11">
        <f t="shared" si="47"/>
        <v>-2.2525925925925927</v>
      </c>
      <c r="T278" s="14">
        <v>0</v>
      </c>
      <c r="U278" s="37" t="s">
        <v>31</v>
      </c>
      <c r="V278">
        <v>1551.4</v>
      </c>
      <c r="X278">
        <f t="shared" si="51"/>
        <v>298995.8000000001</v>
      </c>
      <c r="Y278">
        <f t="shared" si="43"/>
        <v>22016.400000000001</v>
      </c>
      <c r="AA278">
        <v>15.2100496745591</v>
      </c>
    </row>
    <row r="279" spans="1:27" x14ac:dyDescent="0.25">
      <c r="A279" s="71"/>
      <c r="B279" s="8"/>
      <c r="C279" s="9">
        <v>42157</v>
      </c>
      <c r="D279">
        <v>22.8</v>
      </c>
      <c r="E279">
        <v>17.100000000000001</v>
      </c>
      <c r="F279">
        <v>28.3</v>
      </c>
      <c r="G279">
        <f t="shared" si="48"/>
        <v>3354.2999999999997</v>
      </c>
      <c r="H279">
        <f t="shared" si="42"/>
        <v>200.49999999999997</v>
      </c>
      <c r="I279">
        <v>10</v>
      </c>
      <c r="J279">
        <v>0</v>
      </c>
      <c r="K279">
        <f t="shared" si="49"/>
        <v>430.20000000000005</v>
      </c>
      <c r="L279">
        <v>6.4</v>
      </c>
      <c r="M279">
        <f t="shared" si="50"/>
        <v>583.29999999999984</v>
      </c>
      <c r="N279">
        <v>-6.4</v>
      </c>
      <c r="O279">
        <v>0</v>
      </c>
      <c r="P279" s="5">
        <v>274</v>
      </c>
      <c r="Q279" s="21">
        <f t="shared" si="44"/>
        <v>0.72037037037037033</v>
      </c>
      <c r="R279" s="11">
        <f t="shared" si="46"/>
        <v>4.6103703703703705</v>
      </c>
      <c r="S279" s="11">
        <f t="shared" si="47"/>
        <v>-4.6103703703703705</v>
      </c>
      <c r="T279" s="14">
        <v>0</v>
      </c>
      <c r="U279" s="16">
        <v>19.100000000000001</v>
      </c>
      <c r="V279">
        <v>3134.2</v>
      </c>
      <c r="X279">
        <f t="shared" si="51"/>
        <v>302130.00000000012</v>
      </c>
      <c r="Y279">
        <f t="shared" si="43"/>
        <v>25150.600000000002</v>
      </c>
      <c r="AA279">
        <v>15.232698985588801</v>
      </c>
    </row>
    <row r="280" spans="1:27" x14ac:dyDescent="0.25">
      <c r="A280" s="71"/>
      <c r="B280" s="8"/>
      <c r="C280" s="9">
        <v>42158</v>
      </c>
      <c r="D280">
        <v>23.9</v>
      </c>
      <c r="E280">
        <v>18.3</v>
      </c>
      <c r="F280">
        <v>29.4</v>
      </c>
      <c r="G280">
        <f t="shared" si="48"/>
        <v>3378.2</v>
      </c>
      <c r="H280">
        <f t="shared" si="42"/>
        <v>224.39999999999998</v>
      </c>
      <c r="I280" s="37" t="s">
        <v>46</v>
      </c>
      <c r="J280">
        <v>0</v>
      </c>
      <c r="K280">
        <f t="shared" si="49"/>
        <v>430.20000000000005</v>
      </c>
      <c r="L280">
        <v>5.8</v>
      </c>
      <c r="M280">
        <f t="shared" si="50"/>
        <v>589.0999999999998</v>
      </c>
      <c r="N280">
        <v>-5.8</v>
      </c>
      <c r="O280">
        <v>0</v>
      </c>
      <c r="P280" s="5">
        <v>275</v>
      </c>
      <c r="Q280" s="21">
        <f t="shared" si="44"/>
        <v>0.70555555555555549</v>
      </c>
      <c r="R280" s="11">
        <f t="shared" si="46"/>
        <v>4.0922222222222215</v>
      </c>
      <c r="S280" s="11">
        <f t="shared" si="47"/>
        <v>-4.0922222222222215</v>
      </c>
      <c r="T280" s="14">
        <v>0</v>
      </c>
      <c r="U280" s="37" t="s">
        <v>32</v>
      </c>
      <c r="V280">
        <v>2704.4</v>
      </c>
      <c r="X280">
        <f t="shared" si="51"/>
        <v>304834.40000000014</v>
      </c>
      <c r="Y280">
        <f t="shared" si="43"/>
        <v>27855.000000000004</v>
      </c>
      <c r="AA280">
        <v>15.254365829083101</v>
      </c>
    </row>
    <row r="281" spans="1:27" x14ac:dyDescent="0.25">
      <c r="A281" s="71"/>
      <c r="B281" s="8"/>
      <c r="C281" s="9">
        <v>42159</v>
      </c>
      <c r="D281">
        <v>26.4</v>
      </c>
      <c r="E281">
        <v>20.8</v>
      </c>
      <c r="F281">
        <v>32.799999999999997</v>
      </c>
      <c r="G281">
        <f t="shared" si="48"/>
        <v>3404.6</v>
      </c>
      <c r="H281">
        <f t="shared" si="42"/>
        <v>250.79999999999998</v>
      </c>
      <c r="I281">
        <v>0</v>
      </c>
      <c r="J281">
        <v>0</v>
      </c>
      <c r="K281">
        <f t="shared" si="49"/>
        <v>430.20000000000005</v>
      </c>
      <c r="L281">
        <v>9</v>
      </c>
      <c r="M281">
        <f t="shared" si="50"/>
        <v>598.0999999999998</v>
      </c>
      <c r="N281">
        <v>-9</v>
      </c>
      <c r="O281">
        <v>0</v>
      </c>
      <c r="P281" s="5">
        <v>276</v>
      </c>
      <c r="Q281" s="21">
        <f t="shared" si="44"/>
        <v>0.69074074074074066</v>
      </c>
      <c r="R281" s="11">
        <f t="shared" si="46"/>
        <v>6.2166666666666659</v>
      </c>
      <c r="S281" s="11">
        <f t="shared" si="47"/>
        <v>-6.2166666666666659</v>
      </c>
      <c r="T281" s="14">
        <v>0</v>
      </c>
      <c r="U281" s="15">
        <f>AVERAGE(T269:T288)</f>
        <v>0.95411111111111102</v>
      </c>
      <c r="V281">
        <v>3260.2</v>
      </c>
      <c r="X281">
        <f t="shared" si="51"/>
        <v>308094.60000000015</v>
      </c>
      <c r="Y281">
        <f t="shared" si="43"/>
        <v>31115.200000000004</v>
      </c>
      <c r="AA281">
        <v>15.2750330524105</v>
      </c>
    </row>
    <row r="282" spans="1:27" x14ac:dyDescent="0.25">
      <c r="A282" s="71"/>
      <c r="B282" s="8"/>
      <c r="C282" s="9">
        <v>42160</v>
      </c>
      <c r="D282">
        <v>25.1</v>
      </c>
      <c r="E282">
        <v>19.899999999999999</v>
      </c>
      <c r="F282">
        <v>31</v>
      </c>
      <c r="G282">
        <f t="shared" si="48"/>
        <v>3429.7</v>
      </c>
      <c r="H282">
        <f t="shared" si="42"/>
        <v>275.89999999999998</v>
      </c>
      <c r="I282" s="37" t="s">
        <v>47</v>
      </c>
      <c r="J282">
        <v>0</v>
      </c>
      <c r="K282">
        <f t="shared" si="49"/>
        <v>430.20000000000005</v>
      </c>
      <c r="L282">
        <v>7.3</v>
      </c>
      <c r="M282">
        <f t="shared" si="50"/>
        <v>605.39999999999975</v>
      </c>
      <c r="N282">
        <v>-7.3</v>
      </c>
      <c r="O282">
        <v>0</v>
      </c>
      <c r="P282" s="5">
        <v>277</v>
      </c>
      <c r="Q282" s="21">
        <f t="shared" si="44"/>
        <v>0.67592592592592593</v>
      </c>
      <c r="R282" s="11">
        <f t="shared" si="46"/>
        <v>4.9342592592592593</v>
      </c>
      <c r="S282" s="11">
        <f t="shared" si="47"/>
        <v>-4.9342592592592593</v>
      </c>
      <c r="T282" s="14">
        <v>0</v>
      </c>
      <c r="V282">
        <v>3154.1</v>
      </c>
      <c r="X282">
        <f t="shared" si="51"/>
        <v>311248.70000000013</v>
      </c>
      <c r="Y282">
        <f t="shared" si="43"/>
        <v>34269.300000000003</v>
      </c>
      <c r="AA282">
        <v>15.2946840634769</v>
      </c>
    </row>
    <row r="283" spans="1:27" x14ac:dyDescent="0.25">
      <c r="A283" s="71"/>
      <c r="B283" s="8"/>
      <c r="C283" s="9">
        <v>42161</v>
      </c>
      <c r="D283">
        <v>22.3</v>
      </c>
      <c r="E283">
        <v>16.8</v>
      </c>
      <c r="F283">
        <v>26.8</v>
      </c>
      <c r="G283">
        <f t="shared" si="48"/>
        <v>3452</v>
      </c>
      <c r="H283">
        <f t="shared" si="42"/>
        <v>298.2</v>
      </c>
      <c r="I283">
        <v>410.9</v>
      </c>
      <c r="J283">
        <v>0</v>
      </c>
      <c r="K283">
        <f t="shared" si="49"/>
        <v>430.20000000000005</v>
      </c>
      <c r="L283">
        <v>5.8</v>
      </c>
      <c r="M283">
        <f t="shared" si="50"/>
        <v>611.1999999999997</v>
      </c>
      <c r="N283">
        <v>-5.8</v>
      </c>
      <c r="O283">
        <v>0</v>
      </c>
      <c r="P283" s="5">
        <v>278</v>
      </c>
      <c r="Q283" s="21">
        <f t="shared" si="44"/>
        <v>0.66111111111111098</v>
      </c>
      <c r="R283" s="11">
        <f t="shared" si="46"/>
        <v>3.8344444444444434</v>
      </c>
      <c r="S283" s="11">
        <f t="shared" si="47"/>
        <v>-3.8344444444444434</v>
      </c>
      <c r="T283" s="14">
        <v>0</v>
      </c>
      <c r="U283">
        <f>(U281*100)/122.1</f>
        <v>0.78141778141778129</v>
      </c>
      <c r="V283">
        <v>2487.6</v>
      </c>
      <c r="X283">
        <f t="shared" si="51"/>
        <v>313736.3000000001</v>
      </c>
      <c r="Y283">
        <f t="shared" si="43"/>
        <v>36756.9</v>
      </c>
      <c r="AA283">
        <v>15.313302877599099</v>
      </c>
    </row>
    <row r="284" spans="1:27" x14ac:dyDescent="0.25">
      <c r="A284" s="71"/>
      <c r="B284" s="8"/>
      <c r="C284" s="9">
        <v>42162</v>
      </c>
      <c r="D284">
        <v>23.8</v>
      </c>
      <c r="E284">
        <v>17.600000000000001</v>
      </c>
      <c r="F284">
        <v>28.8</v>
      </c>
      <c r="G284">
        <f t="shared" si="48"/>
        <v>3475.8</v>
      </c>
      <c r="H284">
        <f t="shared" si="42"/>
        <v>322</v>
      </c>
      <c r="J284">
        <v>0</v>
      </c>
      <c r="K284">
        <f t="shared" si="49"/>
        <v>430.20000000000005</v>
      </c>
      <c r="L284">
        <v>5.7</v>
      </c>
      <c r="M284">
        <f t="shared" si="50"/>
        <v>616.89999999999975</v>
      </c>
      <c r="N284">
        <v>-5.7</v>
      </c>
      <c r="O284">
        <v>0</v>
      </c>
      <c r="P284" s="5">
        <v>279</v>
      </c>
      <c r="Q284" s="21">
        <f t="shared" si="44"/>
        <v>0.64629629629629626</v>
      </c>
      <c r="R284" s="11">
        <f t="shared" si="46"/>
        <v>3.6838888888888888</v>
      </c>
      <c r="S284" s="11">
        <f t="shared" si="47"/>
        <v>-3.6838888888888888</v>
      </c>
      <c r="T284" s="14">
        <v>0</v>
      </c>
      <c r="V284">
        <v>2601.6</v>
      </c>
      <c r="X284">
        <f t="shared" si="51"/>
        <v>316337.90000000008</v>
      </c>
      <c r="Y284">
        <f t="shared" si="43"/>
        <v>39358.5</v>
      </c>
      <c r="AA284">
        <v>15.3308741636784</v>
      </c>
    </row>
    <row r="285" spans="1:27" x14ac:dyDescent="0.25">
      <c r="A285" s="71"/>
      <c r="B285" s="8"/>
      <c r="C285" s="9">
        <v>42163</v>
      </c>
      <c r="D285">
        <v>24.7</v>
      </c>
      <c r="E285">
        <v>19.7</v>
      </c>
      <c r="F285">
        <v>29.9</v>
      </c>
      <c r="G285">
        <f t="shared" si="48"/>
        <v>3500.5</v>
      </c>
      <c r="H285">
        <f t="shared" si="42"/>
        <v>346.7</v>
      </c>
      <c r="J285">
        <v>1</v>
      </c>
      <c r="K285">
        <f t="shared" si="49"/>
        <v>431.20000000000005</v>
      </c>
      <c r="L285">
        <v>5.3</v>
      </c>
      <c r="M285">
        <f t="shared" si="50"/>
        <v>622.1999999999997</v>
      </c>
      <c r="N285">
        <v>-4.3</v>
      </c>
      <c r="O285">
        <v>0</v>
      </c>
      <c r="P285" s="5">
        <v>280</v>
      </c>
      <c r="Q285" s="21">
        <f t="shared" si="44"/>
        <v>0.63148148148148142</v>
      </c>
      <c r="R285" s="11">
        <f t="shared" si="46"/>
        <v>3.3468518518518513</v>
      </c>
      <c r="S285" s="11">
        <f t="shared" si="47"/>
        <v>-2.3468518518518513</v>
      </c>
      <c r="T285" s="14">
        <v>0</v>
      </c>
      <c r="V285">
        <v>1836.4</v>
      </c>
      <c r="X285">
        <f t="shared" si="51"/>
        <v>318174.3000000001</v>
      </c>
      <c r="Y285">
        <f t="shared" si="43"/>
        <v>41194.9</v>
      </c>
      <c r="AA285">
        <v>15.3473832894206</v>
      </c>
    </row>
    <row r="286" spans="1:27" x14ac:dyDescent="0.25">
      <c r="A286" s="71"/>
      <c r="B286" s="8"/>
      <c r="C286" s="9">
        <v>42164</v>
      </c>
      <c r="D286">
        <v>22.2</v>
      </c>
      <c r="E286">
        <v>17.8</v>
      </c>
      <c r="F286">
        <v>26.7</v>
      </c>
      <c r="G286">
        <f t="shared" si="48"/>
        <v>3522.7</v>
      </c>
      <c r="H286">
        <f t="shared" si="42"/>
        <v>368.9</v>
      </c>
      <c r="J286">
        <v>0.1</v>
      </c>
      <c r="K286">
        <f t="shared" si="49"/>
        <v>431.30000000000007</v>
      </c>
      <c r="L286">
        <v>5.6</v>
      </c>
      <c r="M286">
        <f t="shared" si="50"/>
        <v>627.79999999999973</v>
      </c>
      <c r="N286">
        <v>-5.5</v>
      </c>
      <c r="O286">
        <v>0</v>
      </c>
      <c r="P286" s="5">
        <v>281</v>
      </c>
      <c r="Q286" s="21">
        <f t="shared" si="44"/>
        <v>0.6166666666666667</v>
      </c>
      <c r="R286" s="11">
        <f t="shared" si="46"/>
        <v>3.4533333333333331</v>
      </c>
      <c r="S286" s="11">
        <f t="shared" si="47"/>
        <v>-3.3533333333333331</v>
      </c>
      <c r="T286" s="14">
        <v>0</v>
      </c>
      <c r="V286">
        <v>2222.6</v>
      </c>
      <c r="X286">
        <f t="shared" si="51"/>
        <v>320396.90000000008</v>
      </c>
      <c r="Y286">
        <f t="shared" si="43"/>
        <v>43417.5</v>
      </c>
      <c r="AA286">
        <v>15.3628163653462</v>
      </c>
    </row>
    <row r="287" spans="1:27" x14ac:dyDescent="0.25">
      <c r="A287" s="71"/>
      <c r="B287" s="8"/>
      <c r="C287" s="9">
        <v>42165</v>
      </c>
      <c r="D287">
        <v>19.100000000000001</v>
      </c>
      <c r="E287">
        <v>16.3</v>
      </c>
      <c r="F287">
        <v>23.2</v>
      </c>
      <c r="G287">
        <f t="shared" si="48"/>
        <v>3541.7999999999997</v>
      </c>
      <c r="H287">
        <f t="shared" si="42"/>
        <v>388</v>
      </c>
      <c r="J287">
        <v>0</v>
      </c>
      <c r="K287">
        <f t="shared" si="49"/>
        <v>431.30000000000007</v>
      </c>
      <c r="L287">
        <v>3.3</v>
      </c>
      <c r="M287">
        <f t="shared" si="50"/>
        <v>631.09999999999968</v>
      </c>
      <c r="N287">
        <v>-3.3</v>
      </c>
      <c r="O287">
        <v>0</v>
      </c>
      <c r="P287" s="5">
        <v>282</v>
      </c>
      <c r="Q287" s="21">
        <f t="shared" si="44"/>
        <v>0.60185185185185175</v>
      </c>
      <c r="R287" s="11">
        <f t="shared" si="46"/>
        <v>1.9861111111111107</v>
      </c>
      <c r="S287" s="11">
        <f t="shared" si="47"/>
        <v>-1.9861111111111107</v>
      </c>
      <c r="T287" s="14">
        <v>0</v>
      </c>
      <c r="V287">
        <v>1611.4</v>
      </c>
      <c r="X287">
        <f t="shared" si="51"/>
        <v>322008.3000000001</v>
      </c>
      <c r="Y287">
        <f t="shared" si="43"/>
        <v>45028.9</v>
      </c>
      <c r="AA287">
        <v>15.3771602873346</v>
      </c>
    </row>
    <row r="288" spans="1:27" s="51" customFormat="1" ht="15.75" thickBot="1" x14ac:dyDescent="0.3">
      <c r="A288" s="71"/>
      <c r="B288" s="58"/>
      <c r="C288" s="50">
        <v>42166</v>
      </c>
      <c r="D288" s="51">
        <v>22.9</v>
      </c>
      <c r="E288" s="51">
        <v>19.2</v>
      </c>
      <c r="F288" s="51">
        <v>28.3</v>
      </c>
      <c r="G288" s="51">
        <f t="shared" si="48"/>
        <v>3564.7</v>
      </c>
      <c r="H288" s="51">
        <f t="shared" si="42"/>
        <v>410.9</v>
      </c>
      <c r="J288" s="51">
        <v>21.9</v>
      </c>
      <c r="K288" s="51">
        <f t="shared" si="49"/>
        <v>453.20000000000005</v>
      </c>
      <c r="L288" s="51">
        <v>4.8</v>
      </c>
      <c r="M288" s="51">
        <f t="shared" si="50"/>
        <v>635.89999999999964</v>
      </c>
      <c r="N288" s="51">
        <v>17.099999999999998</v>
      </c>
      <c r="O288" s="51">
        <f t="shared" ref="O288:O301" si="52">O287+N288</f>
        <v>17.099999999999998</v>
      </c>
      <c r="P288" s="53">
        <v>283</v>
      </c>
      <c r="Q288" s="60">
        <f t="shared" si="44"/>
        <v>0.58703703703703702</v>
      </c>
      <c r="R288" s="55">
        <f t="shared" si="46"/>
        <v>2.8177777777777777</v>
      </c>
      <c r="S288" s="55">
        <f t="shared" si="47"/>
        <v>19.082222222222221</v>
      </c>
      <c r="T288" s="56">
        <f t="shared" ref="T288:T289" si="53">MIN(122.1,(T287+S288))</f>
        <v>19.082222222222221</v>
      </c>
      <c r="U288" s="55"/>
      <c r="V288" s="51">
        <v>1684.2</v>
      </c>
      <c r="X288" s="51">
        <f t="shared" si="51"/>
        <v>323692.50000000012</v>
      </c>
      <c r="Y288" s="51">
        <f t="shared" si="43"/>
        <v>46713.1</v>
      </c>
      <c r="AA288" s="51">
        <v>15.390402777444899</v>
      </c>
    </row>
    <row r="289" spans="1:27" s="24" customFormat="1" x14ac:dyDescent="0.25">
      <c r="B289" s="22"/>
      <c r="C289" s="23">
        <v>42167</v>
      </c>
      <c r="D289" s="24">
        <v>19.2</v>
      </c>
      <c r="E289" s="24">
        <v>16.7</v>
      </c>
      <c r="F289" s="24">
        <v>21.8</v>
      </c>
      <c r="G289" s="24">
        <f t="shared" si="48"/>
        <v>3583.8999999999996</v>
      </c>
      <c r="H289" s="24">
        <f t="shared" si="42"/>
        <v>430.09999999999997</v>
      </c>
      <c r="J289" s="24">
        <v>0.6</v>
      </c>
      <c r="K289" s="24">
        <f t="shared" si="49"/>
        <v>453.80000000000007</v>
      </c>
      <c r="L289" s="24">
        <v>3.6</v>
      </c>
      <c r="M289" s="24">
        <f t="shared" si="50"/>
        <v>639.49999999999966</v>
      </c>
      <c r="N289" s="24">
        <v>-3</v>
      </c>
      <c r="O289" s="24">
        <f t="shared" si="52"/>
        <v>14.099999999999998</v>
      </c>
      <c r="P289" s="25">
        <v>284</v>
      </c>
      <c r="Q289" s="21">
        <f t="shared" si="44"/>
        <v>0.57222222222222219</v>
      </c>
      <c r="R289" s="26">
        <f t="shared" si="46"/>
        <v>2.06</v>
      </c>
      <c r="S289" s="26">
        <f t="shared" si="47"/>
        <v>-1.46</v>
      </c>
      <c r="T289" s="14">
        <f t="shared" si="53"/>
        <v>17.62222222222222</v>
      </c>
      <c r="V289" s="24">
        <v>1791.9</v>
      </c>
      <c r="X289" s="24">
        <f t="shared" si="51"/>
        <v>325484.40000000014</v>
      </c>
      <c r="Y289" s="24">
        <f t="shared" si="43"/>
        <v>48505</v>
      </c>
      <c r="AA289" s="24">
        <v>15.4025324227652</v>
      </c>
    </row>
    <row r="290" spans="1:27" x14ac:dyDescent="0.25">
      <c r="A290" s="40"/>
      <c r="B290" s="8"/>
      <c r="C290" s="9">
        <v>42168</v>
      </c>
      <c r="D290">
        <v>19.399999999999999</v>
      </c>
      <c r="E290">
        <v>16.3</v>
      </c>
      <c r="F290">
        <v>26.4</v>
      </c>
      <c r="G290">
        <f t="shared" si="48"/>
        <v>3603.2999999999997</v>
      </c>
      <c r="H290">
        <v>19.399999999999999</v>
      </c>
      <c r="J290">
        <v>31</v>
      </c>
      <c r="K290">
        <f t="shared" si="49"/>
        <v>484.80000000000007</v>
      </c>
      <c r="L290">
        <v>4.2</v>
      </c>
      <c r="M290">
        <f t="shared" si="50"/>
        <v>643.6999999999997</v>
      </c>
      <c r="N290">
        <v>26.8</v>
      </c>
      <c r="O290">
        <f t="shared" si="52"/>
        <v>40.9</v>
      </c>
      <c r="P290" s="5">
        <v>285</v>
      </c>
      <c r="Q290" s="21">
        <f t="shared" si="44"/>
        <v>0.55740740740740735</v>
      </c>
      <c r="R290" s="11">
        <f t="shared" si="46"/>
        <v>2.3411111111111111</v>
      </c>
      <c r="S290" s="11">
        <f t="shared" si="47"/>
        <v>28.658888888888889</v>
      </c>
      <c r="T290" s="14">
        <f t="shared" ref="T290:T304" si="54">MIN(122.1,(T289+S290))</f>
        <v>46.281111111111109</v>
      </c>
      <c r="V290">
        <v>1744</v>
      </c>
      <c r="X290">
        <f t="shared" si="51"/>
        <v>327228.40000000014</v>
      </c>
      <c r="Y290">
        <v>1744</v>
      </c>
      <c r="AA290">
        <v>15.413538712043101</v>
      </c>
    </row>
    <row r="291" spans="1:27" x14ac:dyDescent="0.25">
      <c r="A291" s="40"/>
      <c r="B291" s="8"/>
      <c r="C291" s="9">
        <v>42169</v>
      </c>
      <c r="D291">
        <v>18.7</v>
      </c>
      <c r="E291">
        <v>14.3</v>
      </c>
      <c r="F291">
        <v>21.9</v>
      </c>
      <c r="G291">
        <f t="shared" si="48"/>
        <v>3621.9999999999995</v>
      </c>
      <c r="H291">
        <f t="shared" si="42"/>
        <v>38.099999999999994</v>
      </c>
      <c r="J291">
        <v>2.7</v>
      </c>
      <c r="K291">
        <f t="shared" si="49"/>
        <v>487.50000000000006</v>
      </c>
      <c r="L291">
        <v>2.6</v>
      </c>
      <c r="M291">
        <f t="shared" si="50"/>
        <v>646.29999999999973</v>
      </c>
      <c r="N291">
        <v>0.10000000000000009</v>
      </c>
      <c r="O291">
        <f t="shared" si="52"/>
        <v>41</v>
      </c>
      <c r="P291" s="5">
        <v>286</v>
      </c>
      <c r="Q291" s="21">
        <f t="shared" si="44"/>
        <v>0.54259259259259252</v>
      </c>
      <c r="R291" s="11">
        <f t="shared" si="46"/>
        <v>1.4107407407407406</v>
      </c>
      <c r="S291" s="11">
        <f t="shared" si="47"/>
        <v>1.2892592592592595</v>
      </c>
      <c r="T291" s="14">
        <f t="shared" si="54"/>
        <v>47.57037037037037</v>
      </c>
      <c r="V291">
        <v>1332.7</v>
      </c>
      <c r="X291">
        <f t="shared" si="51"/>
        <v>328561.10000000015</v>
      </c>
      <c r="Y291">
        <f t="shared" si="43"/>
        <v>3076.7</v>
      </c>
      <c r="AA291">
        <v>15.423412069863</v>
      </c>
    </row>
    <row r="292" spans="1:27" x14ac:dyDescent="0.25">
      <c r="A292" s="40"/>
      <c r="B292" s="8"/>
      <c r="C292" s="9">
        <v>42170</v>
      </c>
      <c r="D292">
        <v>19.7</v>
      </c>
      <c r="E292">
        <v>15.6</v>
      </c>
      <c r="F292">
        <v>23.5</v>
      </c>
      <c r="G292">
        <f t="shared" si="48"/>
        <v>3641.6999999999994</v>
      </c>
      <c r="H292">
        <f t="shared" si="42"/>
        <v>57.8</v>
      </c>
      <c r="J292">
        <v>3.3</v>
      </c>
      <c r="K292">
        <f t="shared" si="49"/>
        <v>490.80000000000007</v>
      </c>
      <c r="L292">
        <v>4.9000000000000004</v>
      </c>
      <c r="M292">
        <f t="shared" si="50"/>
        <v>651.1999999999997</v>
      </c>
      <c r="N292">
        <v>-1.6000000000000005</v>
      </c>
      <c r="O292">
        <f t="shared" si="52"/>
        <v>39.4</v>
      </c>
      <c r="P292" s="5">
        <v>287</v>
      </c>
      <c r="Q292" s="21">
        <f t="shared" si="44"/>
        <v>0.52777777777777768</v>
      </c>
      <c r="R292" s="11">
        <f t="shared" si="46"/>
        <v>2.5861111111111108</v>
      </c>
      <c r="S292" s="11">
        <f t="shared" si="47"/>
        <v>0.71388888888888902</v>
      </c>
      <c r="T292" s="14">
        <f t="shared" si="54"/>
        <v>48.284259259259258</v>
      </c>
      <c r="V292">
        <v>2408.6</v>
      </c>
      <c r="X292">
        <f t="shared" si="51"/>
        <v>330969.70000000013</v>
      </c>
      <c r="Y292">
        <f t="shared" si="43"/>
        <v>5485.2999999999993</v>
      </c>
      <c r="AA292">
        <v>15.4321438881475</v>
      </c>
    </row>
    <row r="293" spans="1:27" s="24" customFormat="1" x14ac:dyDescent="0.25">
      <c r="A293" s="41"/>
      <c r="B293" s="22"/>
      <c r="C293" s="23">
        <v>42171</v>
      </c>
      <c r="D293" s="24">
        <v>16.5</v>
      </c>
      <c r="E293" s="24">
        <v>15.8</v>
      </c>
      <c r="F293" s="24">
        <v>17.7</v>
      </c>
      <c r="G293" s="24">
        <f t="shared" si="48"/>
        <v>3658.1999999999994</v>
      </c>
      <c r="H293" s="24">
        <f t="shared" si="42"/>
        <v>74.3</v>
      </c>
      <c r="J293" s="24">
        <v>15.9</v>
      </c>
      <c r="K293" s="24">
        <f t="shared" si="49"/>
        <v>506.70000000000005</v>
      </c>
      <c r="L293" s="24">
        <v>1.6</v>
      </c>
      <c r="M293" s="24">
        <f t="shared" si="50"/>
        <v>652.79999999999973</v>
      </c>
      <c r="N293" s="24">
        <v>14.3</v>
      </c>
      <c r="O293" s="24">
        <f t="shared" si="52"/>
        <v>53.7</v>
      </c>
      <c r="P293" s="25">
        <v>288</v>
      </c>
      <c r="Q293" s="21">
        <f t="shared" si="44"/>
        <v>0.51296296296296295</v>
      </c>
      <c r="R293" s="26">
        <f t="shared" si="46"/>
        <v>0.82074074074074077</v>
      </c>
      <c r="S293" s="26">
        <f t="shared" si="47"/>
        <v>15.07925925925926</v>
      </c>
      <c r="T293" s="14">
        <f t="shared" si="54"/>
        <v>63.363518518518518</v>
      </c>
      <c r="V293" s="24">
        <v>734.7</v>
      </c>
      <c r="X293" s="24">
        <f t="shared" si="51"/>
        <v>331704.40000000014</v>
      </c>
      <c r="Y293">
        <f t="shared" si="43"/>
        <v>6219.9999999999991</v>
      </c>
      <c r="AA293" s="24">
        <v>15.439726554770701</v>
      </c>
    </row>
    <row r="294" spans="1:27" ht="15" customHeight="1" x14ac:dyDescent="0.25">
      <c r="A294" s="40"/>
      <c r="B294" s="42"/>
      <c r="C294" s="9">
        <v>42172</v>
      </c>
      <c r="D294">
        <v>19.3</v>
      </c>
      <c r="E294">
        <v>14.9</v>
      </c>
      <c r="F294">
        <v>23</v>
      </c>
      <c r="G294">
        <f t="shared" si="48"/>
        <v>3677.4999999999995</v>
      </c>
      <c r="H294">
        <f t="shared" si="42"/>
        <v>93.6</v>
      </c>
      <c r="J294">
        <v>0</v>
      </c>
      <c r="K294">
        <f t="shared" si="49"/>
        <v>506.70000000000005</v>
      </c>
      <c r="L294">
        <v>5.7</v>
      </c>
      <c r="M294">
        <f t="shared" si="50"/>
        <v>658.49999999999977</v>
      </c>
      <c r="N294">
        <v>-5.7</v>
      </c>
      <c r="O294">
        <f t="shared" si="52"/>
        <v>48</v>
      </c>
      <c r="P294" s="5">
        <v>289</v>
      </c>
      <c r="Q294" s="21">
        <f t="shared" si="44"/>
        <v>0.49814814814814812</v>
      </c>
      <c r="R294" s="11">
        <f t="shared" si="46"/>
        <v>2.8394444444444442</v>
      </c>
      <c r="S294" s="11">
        <f t="shared" si="47"/>
        <v>-2.8394444444444442</v>
      </c>
      <c r="T294" s="14">
        <f t="shared" si="54"/>
        <v>60.524074074074072</v>
      </c>
      <c r="V294">
        <v>2570.4</v>
      </c>
      <c r="X294">
        <f t="shared" si="51"/>
        <v>334274.80000000016</v>
      </c>
      <c r="Y294">
        <f t="shared" si="43"/>
        <v>8790.4</v>
      </c>
      <c r="AA294">
        <v>15.4461534790925</v>
      </c>
    </row>
    <row r="295" spans="1:27" x14ac:dyDescent="0.25">
      <c r="A295" s="40"/>
      <c r="B295" s="42"/>
      <c r="C295" s="9">
        <v>42173</v>
      </c>
      <c r="D295">
        <v>20.399999999999999</v>
      </c>
      <c r="E295">
        <v>15.9</v>
      </c>
      <c r="F295">
        <v>25</v>
      </c>
      <c r="G295">
        <f t="shared" si="48"/>
        <v>3697.8999999999996</v>
      </c>
      <c r="H295">
        <f t="shared" si="42"/>
        <v>114</v>
      </c>
      <c r="J295">
        <v>0</v>
      </c>
      <c r="K295">
        <f t="shared" si="49"/>
        <v>506.70000000000005</v>
      </c>
      <c r="L295">
        <v>6</v>
      </c>
      <c r="M295">
        <f t="shared" si="50"/>
        <v>664.49999999999977</v>
      </c>
      <c r="N295">
        <v>-6</v>
      </c>
      <c r="O295">
        <f t="shared" si="52"/>
        <v>42</v>
      </c>
      <c r="P295" s="5">
        <v>290</v>
      </c>
      <c r="Q295" s="21">
        <f t="shared" si="44"/>
        <v>0.48333333333333328</v>
      </c>
      <c r="R295" s="11">
        <f t="shared" si="46"/>
        <v>2.8999999999999995</v>
      </c>
      <c r="S295" s="11">
        <f t="shared" si="47"/>
        <v>-2.8999999999999995</v>
      </c>
      <c r="T295" s="14">
        <f t="shared" si="54"/>
        <v>57.624074074074073</v>
      </c>
      <c r="V295">
        <v>2457.8000000000002</v>
      </c>
      <c r="X295">
        <f t="shared" si="51"/>
        <v>336732.60000000015</v>
      </c>
      <c r="Y295">
        <f t="shared" si="43"/>
        <v>11248.2</v>
      </c>
      <c r="AA295">
        <v>15.4514191142367</v>
      </c>
    </row>
    <row r="296" spans="1:27" x14ac:dyDescent="0.25">
      <c r="A296" s="40"/>
      <c r="B296" s="42"/>
      <c r="C296" s="9">
        <v>42174</v>
      </c>
      <c r="D296">
        <v>19.5</v>
      </c>
      <c r="E296">
        <v>17</v>
      </c>
      <c r="F296">
        <v>23.5</v>
      </c>
      <c r="G296">
        <f t="shared" si="48"/>
        <v>3717.3999999999996</v>
      </c>
      <c r="H296">
        <f t="shared" si="42"/>
        <v>133.5</v>
      </c>
      <c r="J296">
        <v>0</v>
      </c>
      <c r="K296">
        <f t="shared" si="49"/>
        <v>506.70000000000005</v>
      </c>
      <c r="L296">
        <v>5.8</v>
      </c>
      <c r="M296">
        <f t="shared" si="50"/>
        <v>670.29999999999973</v>
      </c>
      <c r="N296">
        <v>-5.8</v>
      </c>
      <c r="O296">
        <f t="shared" si="52"/>
        <v>36.200000000000003</v>
      </c>
      <c r="P296" s="5">
        <v>291</v>
      </c>
      <c r="Q296" s="21">
        <f t="shared" si="44"/>
        <v>0.46851851851851845</v>
      </c>
      <c r="R296" s="11">
        <f t="shared" si="46"/>
        <v>2.717407407407407</v>
      </c>
      <c r="S296" s="11">
        <f t="shared" si="47"/>
        <v>-2.717407407407407</v>
      </c>
      <c r="T296" s="14">
        <f t="shared" si="54"/>
        <v>54.906666666666666</v>
      </c>
      <c r="V296">
        <v>2759.9</v>
      </c>
      <c r="X296">
        <f t="shared" si="51"/>
        <v>339492.50000000017</v>
      </c>
      <c r="Y296">
        <f t="shared" si="43"/>
        <v>14008.1</v>
      </c>
      <c r="AA296">
        <v>15.455518975960601</v>
      </c>
    </row>
    <row r="297" spans="1:27" x14ac:dyDescent="0.25">
      <c r="A297" s="40"/>
      <c r="B297" s="42"/>
      <c r="C297" s="9">
        <v>42175</v>
      </c>
      <c r="D297">
        <v>21</v>
      </c>
      <c r="E297">
        <v>15.8</v>
      </c>
      <c r="F297">
        <v>25.5</v>
      </c>
      <c r="G297">
        <f t="shared" si="48"/>
        <v>3738.3999999999996</v>
      </c>
      <c r="H297">
        <f t="shared" si="42"/>
        <v>154.5</v>
      </c>
      <c r="J297">
        <v>0</v>
      </c>
      <c r="K297">
        <f t="shared" si="49"/>
        <v>506.70000000000005</v>
      </c>
      <c r="L297">
        <v>6.7</v>
      </c>
      <c r="M297">
        <f t="shared" si="50"/>
        <v>676.99999999999977</v>
      </c>
      <c r="N297">
        <v>-6.7</v>
      </c>
      <c r="O297">
        <f t="shared" si="52"/>
        <v>29.500000000000004</v>
      </c>
      <c r="P297" s="5">
        <v>292</v>
      </c>
      <c r="Q297" s="21">
        <f t="shared" si="44"/>
        <v>0.45370370370370372</v>
      </c>
      <c r="R297" s="11">
        <f t="shared" si="46"/>
        <v>3.039814814814815</v>
      </c>
      <c r="S297" s="11">
        <f t="shared" si="47"/>
        <v>-3.039814814814815</v>
      </c>
      <c r="T297" s="14">
        <f t="shared" si="54"/>
        <v>51.866851851851848</v>
      </c>
      <c r="V297">
        <v>3162.5</v>
      </c>
      <c r="X297">
        <f t="shared" si="51"/>
        <v>342655.00000000017</v>
      </c>
      <c r="Y297">
        <f t="shared" si="43"/>
        <v>17170.599999999999</v>
      </c>
      <c r="AA297">
        <v>15.458449657982399</v>
      </c>
    </row>
    <row r="298" spans="1:27" x14ac:dyDescent="0.25">
      <c r="A298" s="40"/>
      <c r="B298" s="42"/>
      <c r="C298" s="9">
        <v>42176</v>
      </c>
      <c r="D298">
        <v>23</v>
      </c>
      <c r="E298">
        <v>17.3</v>
      </c>
      <c r="F298">
        <v>28.1</v>
      </c>
      <c r="G298">
        <f t="shared" si="48"/>
        <v>3761.3999999999996</v>
      </c>
      <c r="H298">
        <f t="shared" si="42"/>
        <v>177.5</v>
      </c>
      <c r="J298">
        <v>0</v>
      </c>
      <c r="K298">
        <f t="shared" si="49"/>
        <v>506.70000000000005</v>
      </c>
      <c r="L298">
        <v>5.8</v>
      </c>
      <c r="M298">
        <f t="shared" si="50"/>
        <v>682.79999999999973</v>
      </c>
      <c r="N298">
        <v>-5.8</v>
      </c>
      <c r="O298">
        <f t="shared" si="52"/>
        <v>23.700000000000003</v>
      </c>
      <c r="P298" s="5">
        <v>293</v>
      </c>
      <c r="Q298" s="21">
        <f t="shared" si="44"/>
        <v>0.43888888888888888</v>
      </c>
      <c r="R298" s="11">
        <f t="shared" si="46"/>
        <v>2.5455555555555556</v>
      </c>
      <c r="S298" s="11">
        <f t="shared" si="47"/>
        <v>-2.5455555555555556</v>
      </c>
      <c r="T298" s="14">
        <f t="shared" si="54"/>
        <v>49.321296296296296</v>
      </c>
      <c r="V298">
        <v>2794.6</v>
      </c>
      <c r="X298">
        <f t="shared" si="51"/>
        <v>345449.60000000015</v>
      </c>
      <c r="Y298">
        <f t="shared" si="43"/>
        <v>19965.199999999997</v>
      </c>
      <c r="AA298">
        <v>15.460208843660199</v>
      </c>
    </row>
    <row r="299" spans="1:27" x14ac:dyDescent="0.25">
      <c r="A299" s="40"/>
      <c r="B299" s="42"/>
      <c r="C299" s="9">
        <v>42177</v>
      </c>
      <c r="D299">
        <v>25.2</v>
      </c>
      <c r="E299">
        <v>19.2</v>
      </c>
      <c r="F299">
        <v>31</v>
      </c>
      <c r="G299">
        <f t="shared" si="48"/>
        <v>3786.5999999999995</v>
      </c>
      <c r="H299">
        <f t="shared" si="42"/>
        <v>202.7</v>
      </c>
      <c r="J299">
        <v>0</v>
      </c>
      <c r="K299">
        <f t="shared" si="49"/>
        <v>506.70000000000005</v>
      </c>
      <c r="L299">
        <v>7</v>
      </c>
      <c r="M299">
        <f t="shared" si="50"/>
        <v>689.79999999999973</v>
      </c>
      <c r="N299">
        <v>-7</v>
      </c>
      <c r="O299">
        <f t="shared" si="52"/>
        <v>16.700000000000003</v>
      </c>
      <c r="P299" s="5">
        <v>294</v>
      </c>
      <c r="Q299" s="21">
        <f t="shared" si="44"/>
        <v>0.42407407407407405</v>
      </c>
      <c r="R299" s="11">
        <f t="shared" si="46"/>
        <v>2.9685185185185183</v>
      </c>
      <c r="S299" s="11">
        <f t="shared" si="47"/>
        <v>-2.9685185185185183</v>
      </c>
      <c r="T299" s="14">
        <f t="shared" si="54"/>
        <v>46.352777777777774</v>
      </c>
      <c r="V299">
        <v>2861.4</v>
      </c>
      <c r="X299">
        <f t="shared" si="51"/>
        <v>348311.00000000017</v>
      </c>
      <c r="Y299">
        <f t="shared" si="43"/>
        <v>22826.6</v>
      </c>
      <c r="AA299">
        <v>15.460795313937799</v>
      </c>
    </row>
    <row r="300" spans="1:27" x14ac:dyDescent="0.25">
      <c r="A300" s="40"/>
      <c r="B300" s="42"/>
      <c r="C300" s="9">
        <v>42178</v>
      </c>
      <c r="D300">
        <v>21.7</v>
      </c>
      <c r="E300">
        <v>17.2</v>
      </c>
      <c r="F300">
        <v>26.4</v>
      </c>
      <c r="G300">
        <f t="shared" si="48"/>
        <v>3808.2999999999993</v>
      </c>
      <c r="H300">
        <f t="shared" si="42"/>
        <v>224.39999999999998</v>
      </c>
      <c r="J300">
        <v>0</v>
      </c>
      <c r="K300">
        <f t="shared" si="49"/>
        <v>506.70000000000005</v>
      </c>
      <c r="L300">
        <v>7.4</v>
      </c>
      <c r="M300">
        <f t="shared" si="50"/>
        <v>697.1999999999997</v>
      </c>
      <c r="N300">
        <v>-7.4</v>
      </c>
      <c r="O300">
        <f t="shared" si="52"/>
        <v>9.3000000000000025</v>
      </c>
      <c r="P300" s="5">
        <v>295</v>
      </c>
      <c r="Q300" s="21">
        <f t="shared" si="44"/>
        <v>0.40925925925925921</v>
      </c>
      <c r="R300" s="11">
        <f t="shared" si="46"/>
        <v>3.0285185185185184</v>
      </c>
      <c r="S300" s="11">
        <f t="shared" si="47"/>
        <v>-3.0285185185185184</v>
      </c>
      <c r="T300" s="14">
        <f t="shared" si="54"/>
        <v>43.324259259259257</v>
      </c>
      <c r="V300">
        <v>3053.6</v>
      </c>
      <c r="X300">
        <f t="shared" si="51"/>
        <v>351364.60000000015</v>
      </c>
      <c r="Y300">
        <f t="shared" si="43"/>
        <v>25880.199999999997</v>
      </c>
      <c r="AA300">
        <v>15.460208951502601</v>
      </c>
    </row>
    <row r="301" spans="1:27" x14ac:dyDescent="0.25">
      <c r="A301" s="40"/>
      <c r="B301" s="42"/>
      <c r="C301" s="9">
        <v>42179</v>
      </c>
      <c r="D301">
        <v>21.7</v>
      </c>
      <c r="E301">
        <v>16.600000000000001</v>
      </c>
      <c r="F301">
        <v>27</v>
      </c>
      <c r="G301">
        <f t="shared" si="48"/>
        <v>3829.9999999999991</v>
      </c>
      <c r="H301">
        <f t="shared" si="42"/>
        <v>246.09999999999997</v>
      </c>
      <c r="J301">
        <v>0.1</v>
      </c>
      <c r="K301">
        <f t="shared" si="49"/>
        <v>506.80000000000007</v>
      </c>
      <c r="L301">
        <v>6.8</v>
      </c>
      <c r="M301">
        <f t="shared" si="50"/>
        <v>703.99999999999966</v>
      </c>
      <c r="N301">
        <v>-6.7</v>
      </c>
      <c r="O301">
        <f t="shared" si="52"/>
        <v>2.6000000000000023</v>
      </c>
      <c r="P301" s="5">
        <v>296</v>
      </c>
      <c r="Q301" s="21">
        <f t="shared" si="44"/>
        <v>0.39444444444444449</v>
      </c>
      <c r="R301" s="11">
        <f t="shared" si="46"/>
        <v>2.6822222222222223</v>
      </c>
      <c r="S301" s="11">
        <f t="shared" si="47"/>
        <v>-2.5822222222222222</v>
      </c>
      <c r="T301" s="14">
        <f t="shared" si="54"/>
        <v>40.742037037037036</v>
      </c>
      <c r="V301">
        <v>3114.4</v>
      </c>
      <c r="X301">
        <f t="shared" si="51"/>
        <v>354479.00000000017</v>
      </c>
      <c r="Y301">
        <f t="shared" si="43"/>
        <v>28994.6</v>
      </c>
      <c r="AA301">
        <v>15.458450741125001</v>
      </c>
    </row>
    <row r="302" spans="1:27" x14ac:dyDescent="0.25">
      <c r="A302" s="40"/>
      <c r="B302" s="42"/>
      <c r="C302" s="9">
        <v>42180</v>
      </c>
      <c r="D302">
        <v>23.6</v>
      </c>
      <c r="E302">
        <v>17</v>
      </c>
      <c r="F302">
        <v>29.7</v>
      </c>
      <c r="G302">
        <f t="shared" si="48"/>
        <v>3853.599999999999</v>
      </c>
      <c r="H302">
        <f t="shared" si="42"/>
        <v>269.7</v>
      </c>
      <c r="J302">
        <v>0</v>
      </c>
      <c r="K302">
        <f t="shared" si="49"/>
        <v>506.80000000000007</v>
      </c>
      <c r="L302">
        <v>5.9</v>
      </c>
      <c r="M302">
        <f t="shared" si="50"/>
        <v>709.89999999999964</v>
      </c>
      <c r="N302">
        <v>-5.9</v>
      </c>
      <c r="O302">
        <v>0</v>
      </c>
      <c r="P302" s="5">
        <v>297</v>
      </c>
      <c r="Q302" s="21">
        <f t="shared" si="44"/>
        <v>0.37962962962962965</v>
      </c>
      <c r="R302" s="11">
        <f t="shared" si="46"/>
        <v>2.2398148148148151</v>
      </c>
      <c r="S302" s="11">
        <f t="shared" si="47"/>
        <v>-2.2398148148148151</v>
      </c>
      <c r="T302" s="14">
        <f t="shared" si="54"/>
        <v>38.502222222222223</v>
      </c>
      <c r="V302">
        <v>2807.2</v>
      </c>
      <c r="X302">
        <f t="shared" si="51"/>
        <v>357286.20000000019</v>
      </c>
      <c r="Y302">
        <f t="shared" si="43"/>
        <v>31801.8</v>
      </c>
      <c r="AA302">
        <v>15.455522766177401</v>
      </c>
    </row>
    <row r="303" spans="1:27" x14ac:dyDescent="0.25">
      <c r="A303" s="40"/>
      <c r="B303" s="42"/>
      <c r="C303" s="9">
        <v>42181</v>
      </c>
      <c r="D303">
        <v>25.2</v>
      </c>
      <c r="E303">
        <v>18.399999999999999</v>
      </c>
      <c r="F303">
        <v>32.1</v>
      </c>
      <c r="G303">
        <f t="shared" si="48"/>
        <v>3878.7999999999988</v>
      </c>
      <c r="H303">
        <f t="shared" si="42"/>
        <v>294.89999999999998</v>
      </c>
      <c r="J303">
        <v>0</v>
      </c>
      <c r="K303">
        <f t="shared" si="49"/>
        <v>506.80000000000007</v>
      </c>
      <c r="L303">
        <v>7.1</v>
      </c>
      <c r="M303">
        <f t="shared" si="50"/>
        <v>716.99999999999966</v>
      </c>
      <c r="N303">
        <v>-7.1</v>
      </c>
      <c r="O303">
        <v>0</v>
      </c>
      <c r="P303" s="5">
        <v>298</v>
      </c>
      <c r="Q303" s="21">
        <f t="shared" si="44"/>
        <v>0.36481481481481481</v>
      </c>
      <c r="R303" s="11">
        <f t="shared" si="46"/>
        <v>2.5901851851851849</v>
      </c>
      <c r="S303" s="11">
        <f t="shared" si="47"/>
        <v>-2.5901851851851849</v>
      </c>
      <c r="T303" s="14">
        <f t="shared" si="54"/>
        <v>35.912037037037038</v>
      </c>
      <c r="V303">
        <v>2862.4</v>
      </c>
      <c r="X303">
        <f t="shared" si="51"/>
        <v>360148.60000000021</v>
      </c>
      <c r="Y303">
        <f t="shared" si="43"/>
        <v>34664.199999999997</v>
      </c>
      <c r="AA303">
        <v>15.451428201357301</v>
      </c>
    </row>
    <row r="304" spans="1:27" x14ac:dyDescent="0.25">
      <c r="A304" s="40"/>
      <c r="B304" s="42"/>
      <c r="C304" s="9">
        <v>42182</v>
      </c>
      <c r="D304">
        <v>22.5</v>
      </c>
      <c r="E304">
        <v>19.5</v>
      </c>
      <c r="F304">
        <v>27.1</v>
      </c>
      <c r="G304">
        <f t="shared" si="48"/>
        <v>3901.2999999999988</v>
      </c>
      <c r="H304">
        <f t="shared" si="42"/>
        <v>317.39999999999998</v>
      </c>
      <c r="J304">
        <v>0</v>
      </c>
      <c r="K304">
        <f t="shared" si="49"/>
        <v>506.80000000000007</v>
      </c>
      <c r="L304">
        <v>6.3</v>
      </c>
      <c r="M304">
        <f t="shared" si="50"/>
        <v>723.29999999999961</v>
      </c>
      <c r="N304">
        <v>-6.3</v>
      </c>
      <c r="O304">
        <v>0</v>
      </c>
      <c r="P304" s="5">
        <v>299</v>
      </c>
      <c r="Q304" s="21">
        <f t="shared" si="44"/>
        <v>0.35</v>
      </c>
      <c r="R304" s="11">
        <f t="shared" si="46"/>
        <v>2.2049999999999996</v>
      </c>
      <c r="S304" s="11">
        <f t="shared" si="47"/>
        <v>-2.2049999999999996</v>
      </c>
      <c r="T304" s="14">
        <f t="shared" si="54"/>
        <v>33.70703703703704</v>
      </c>
      <c r="V304">
        <v>2606.3000000000002</v>
      </c>
      <c r="X304">
        <f t="shared" si="51"/>
        <v>362754.9000000002</v>
      </c>
      <c r="Y304">
        <f t="shared" si="43"/>
        <v>37270.5</v>
      </c>
      <c r="AA304">
        <v>15.446171301667301</v>
      </c>
    </row>
    <row r="305" spans="1:26" x14ac:dyDescent="0.25">
      <c r="A305" s="72" t="s">
        <v>40</v>
      </c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</sheetData>
  <mergeCells count="15">
    <mergeCell ref="A305:Z305"/>
    <mergeCell ref="A171:A209"/>
    <mergeCell ref="A231:A250"/>
    <mergeCell ref="A251:A268"/>
    <mergeCell ref="A269:A288"/>
    <mergeCell ref="A5:Z5"/>
    <mergeCell ref="A6:A116"/>
    <mergeCell ref="A117:A170"/>
    <mergeCell ref="D1:I2"/>
    <mergeCell ref="J1:U2"/>
    <mergeCell ref="V1:Z2"/>
    <mergeCell ref="J3:O3"/>
    <mergeCell ref="P3:T3"/>
    <mergeCell ref="G4:H4"/>
    <mergeCell ref="X4:Y4"/>
  </mergeCells>
  <conditionalFormatting sqref="V1:V4">
    <cfRule type="cellIs" dxfId="10" priority="11" operator="between">
      <formula>899.99</formula>
      <formula>0</formula>
    </cfRule>
  </conditionalFormatting>
  <conditionalFormatting sqref="T1:T4">
    <cfRule type="cellIs" dxfId="9" priority="9" operator="equal">
      <formula>0</formula>
    </cfRule>
    <cfRule type="cellIs" dxfId="8" priority="10" operator="lessThanOrEqual">
      <formula>40.7</formula>
    </cfRule>
  </conditionalFormatting>
  <conditionalFormatting sqref="D6:F304 I13 I15 I17 I19 I124 I126 I128 I130 I178 I180 I182 I184 I218 I220 I222 I224 I239 I241 I243 I245 I259 I261 I263 I265 I279 I277 I281 I283">
    <cfRule type="cellIs" dxfId="7" priority="6" operator="between">
      <formula>25</formula>
      <formula>40</formula>
    </cfRule>
    <cfRule type="cellIs" dxfId="6" priority="7" operator="between">
      <formula>0.1</formula>
      <formula>5</formula>
    </cfRule>
    <cfRule type="cellIs" dxfId="5" priority="8" operator="between">
      <formula>0</formula>
      <formula>-20</formula>
    </cfRule>
  </conditionalFormatting>
  <conditionalFormatting sqref="N6:N304">
    <cfRule type="cellIs" dxfId="4" priority="5" operator="between">
      <formula>0.0001</formula>
      <formula>-50</formula>
    </cfRule>
  </conditionalFormatting>
  <conditionalFormatting sqref="V5:V305">
    <cfRule type="cellIs" dxfId="3" priority="4" operator="between">
      <formula>899.99</formula>
      <formula>0</formula>
    </cfRule>
  </conditionalFormatting>
  <conditionalFormatting sqref="S6:S304">
    <cfRule type="cellIs" dxfId="2" priority="3" operator="lessThanOrEqual">
      <formula>0</formula>
    </cfRule>
  </conditionalFormatting>
  <conditionalFormatting sqref="U7 T5:T305">
    <cfRule type="cellIs" dxfId="1" priority="1" operator="equal">
      <formula>0</formula>
    </cfRule>
    <cfRule type="cellIs" dxfId="0" priority="2" operator="lessThanOrEqual">
      <formula>40.7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2019-10-18T09:09:00Z</dcterms:created>
  <dcterms:modified xsi:type="dcterms:W3CDTF">2019-11-27T08:49:43Z</dcterms:modified>
</cp:coreProperties>
</file>