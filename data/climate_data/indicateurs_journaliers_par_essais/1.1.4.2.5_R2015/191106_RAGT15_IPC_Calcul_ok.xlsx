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28800" windowHeight="1170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261" i="1" l="1"/>
  <c r="AB253" i="1"/>
  <c r="AB242" i="1"/>
  <c r="AD256" i="1" s="1"/>
  <c r="AB234" i="1"/>
  <c r="AD254" i="1"/>
  <c r="AD252" i="1"/>
  <c r="AD250" i="1"/>
  <c r="AB242" i="2"/>
  <c r="AB234" i="2"/>
  <c r="AD248" i="1" l="1"/>
  <c r="U338" i="2"/>
  <c r="U336" i="2"/>
  <c r="I332" i="2"/>
  <c r="I330" i="2"/>
  <c r="I328" i="2"/>
  <c r="U319" i="2"/>
  <c r="U317" i="2"/>
  <c r="I313" i="2"/>
  <c r="I311" i="2"/>
  <c r="I309" i="2"/>
  <c r="U296" i="2"/>
  <c r="U294" i="2"/>
  <c r="U292" i="2"/>
  <c r="I290" i="2"/>
  <c r="I288" i="2"/>
  <c r="I286" i="2"/>
  <c r="U275" i="2"/>
  <c r="U273" i="2"/>
  <c r="U271" i="2"/>
  <c r="I269" i="2"/>
  <c r="I267" i="2"/>
  <c r="I265" i="2"/>
  <c r="U234" i="2"/>
  <c r="U232" i="2"/>
  <c r="U230" i="2"/>
  <c r="I228" i="2"/>
  <c r="I226" i="2"/>
  <c r="I224" i="2"/>
  <c r="T224" i="2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T325" i="2" s="1"/>
  <c r="T328" i="2" s="1"/>
  <c r="T329" i="2" s="1"/>
  <c r="T330" i="2" s="1"/>
  <c r="T331" i="2" s="1"/>
  <c r="T332" i="2" s="1"/>
  <c r="T333" i="2" s="1"/>
  <c r="T334" i="2" s="1"/>
  <c r="T335" i="2" s="1"/>
  <c r="T336" i="2" s="1"/>
  <c r="T337" i="2" s="1"/>
  <c r="T343" i="2" s="1"/>
  <c r="T346" i="2" s="1"/>
  <c r="T347" i="2" s="1"/>
  <c r="T348" i="2" s="1"/>
  <c r="T349" i="2" s="1"/>
  <c r="T350" i="2" s="1"/>
  <c r="T351" i="2" s="1"/>
  <c r="T352" i="2" s="1"/>
  <c r="T353" i="2" s="1"/>
  <c r="T354" i="2" s="1"/>
  <c r="T355" i="2" s="1"/>
  <c r="T356" i="2" s="1"/>
  <c r="T357" i="2" s="1"/>
  <c r="T358" i="2" s="1"/>
  <c r="T359" i="2" s="1"/>
  <c r="T360" i="2" s="1"/>
  <c r="T361" i="2" s="1"/>
  <c r="Q224" i="2"/>
  <c r="Q225" i="2"/>
  <c r="Q226" i="2"/>
  <c r="Q227" i="2"/>
  <c r="R227" i="2" s="1"/>
  <c r="S227" i="2" s="1"/>
  <c r="Q228" i="2"/>
  <c r="Q229" i="2"/>
  <c r="Q230" i="2"/>
  <c r="Q231" i="2"/>
  <c r="R231" i="2" s="1"/>
  <c r="S231" i="2" s="1"/>
  <c r="Q232" i="2"/>
  <c r="Q233" i="2"/>
  <c r="R233" i="2" s="1"/>
  <c r="S233" i="2" s="1"/>
  <c r="Q234" i="2"/>
  <c r="Q235" i="2"/>
  <c r="Q236" i="2"/>
  <c r="Q237" i="2"/>
  <c r="Q238" i="2"/>
  <c r="Q239" i="2"/>
  <c r="R239" i="2" s="1"/>
  <c r="S239" i="2" s="1"/>
  <c r="Q240" i="2"/>
  <c r="Q241" i="2"/>
  <c r="R241" i="2" s="1"/>
  <c r="S241" i="2" s="1"/>
  <c r="Q242" i="2"/>
  <c r="Q243" i="2"/>
  <c r="R243" i="2" s="1"/>
  <c r="S243" i="2" s="1"/>
  <c r="Q244" i="2"/>
  <c r="Q245" i="2"/>
  <c r="Q246" i="2"/>
  <c r="Q247" i="2"/>
  <c r="R247" i="2" s="1"/>
  <c r="S247" i="2" s="1"/>
  <c r="Q248" i="2"/>
  <c r="Q249" i="2"/>
  <c r="R249" i="2" s="1"/>
  <c r="S249" i="2" s="1"/>
  <c r="Q250" i="2"/>
  <c r="Q251" i="2"/>
  <c r="R251" i="2" s="1"/>
  <c r="S251" i="2" s="1"/>
  <c r="Q252" i="2"/>
  <c r="Q253" i="2"/>
  <c r="Q254" i="2"/>
  <c r="Q255" i="2"/>
  <c r="R255" i="2" s="1"/>
  <c r="S255" i="2" s="1"/>
  <c r="Q256" i="2"/>
  <c r="Q257" i="2"/>
  <c r="Q258" i="2"/>
  <c r="Q259" i="2"/>
  <c r="R259" i="2" s="1"/>
  <c r="S259" i="2" s="1"/>
  <c r="Q260" i="2"/>
  <c r="Q261" i="2"/>
  <c r="Q262" i="2"/>
  <c r="Q263" i="2"/>
  <c r="R263" i="2" s="1"/>
  <c r="S263" i="2" s="1"/>
  <c r="Q223" i="2"/>
  <c r="Q309" i="2"/>
  <c r="Q310" i="2"/>
  <c r="R310" i="2" s="1"/>
  <c r="S310" i="2" s="1"/>
  <c r="Q311" i="2"/>
  <c r="Q312" i="2"/>
  <c r="Q313" i="2"/>
  <c r="Q314" i="2"/>
  <c r="Q315" i="2"/>
  <c r="Q316" i="2"/>
  <c r="R316" i="2" s="1"/>
  <c r="S316" i="2" s="1"/>
  <c r="Q317" i="2"/>
  <c r="Q318" i="2"/>
  <c r="Q319" i="2"/>
  <c r="Q320" i="2"/>
  <c r="Q321" i="2"/>
  <c r="Q322" i="2"/>
  <c r="Q323" i="2"/>
  <c r="Q324" i="2"/>
  <c r="R324" i="2" s="1"/>
  <c r="S324" i="2" s="1"/>
  <c r="Q325" i="2"/>
  <c r="Q326" i="2"/>
  <c r="Q327" i="2"/>
  <c r="Q328" i="2"/>
  <c r="Q329" i="2"/>
  <c r="Q330" i="2"/>
  <c r="Q331" i="2"/>
  <c r="Q332" i="2"/>
  <c r="R332" i="2" s="1"/>
  <c r="S332" i="2" s="1"/>
  <c r="Q333" i="2"/>
  <c r="Q334" i="2"/>
  <c r="R334" i="2" s="1"/>
  <c r="S334" i="2" s="1"/>
  <c r="Q335" i="2"/>
  <c r="Q336" i="2"/>
  <c r="Q337" i="2"/>
  <c r="Q338" i="2"/>
  <c r="Q339" i="2"/>
  <c r="Q340" i="2"/>
  <c r="R340" i="2" s="1"/>
  <c r="S340" i="2" s="1"/>
  <c r="Q341" i="2"/>
  <c r="Q342" i="2"/>
  <c r="Q343" i="2"/>
  <c r="Q344" i="2"/>
  <c r="Q345" i="2"/>
  <c r="Q346" i="2"/>
  <c r="Q347" i="2"/>
  <c r="Q348" i="2"/>
  <c r="R348" i="2" s="1"/>
  <c r="S348" i="2" s="1"/>
  <c r="Q349" i="2"/>
  <c r="Q350" i="2"/>
  <c r="R350" i="2" s="1"/>
  <c r="S350" i="2" s="1"/>
  <c r="Q351" i="2"/>
  <c r="R351" i="2" s="1"/>
  <c r="S351" i="2" s="1"/>
  <c r="Q352" i="2"/>
  <c r="Q353" i="2"/>
  <c r="Q354" i="2"/>
  <c r="Q355" i="2"/>
  <c r="Q356" i="2"/>
  <c r="R356" i="2" s="1"/>
  <c r="S356" i="2" s="1"/>
  <c r="Q357" i="2"/>
  <c r="Q358" i="2"/>
  <c r="Q359" i="2"/>
  <c r="R359" i="2" s="1"/>
  <c r="S359" i="2" s="1"/>
  <c r="Q360" i="2"/>
  <c r="Q361" i="2"/>
  <c r="Q308" i="2"/>
  <c r="R308" i="2" s="1"/>
  <c r="S308" i="2" s="1"/>
  <c r="Y327" i="2"/>
  <c r="H327" i="2"/>
  <c r="H308" i="2"/>
  <c r="Y308" i="2"/>
  <c r="Y285" i="2"/>
  <c r="H285" i="2"/>
  <c r="Y266" i="2"/>
  <c r="Y267" i="2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Y283" i="2" s="1"/>
  <c r="Y284" i="2" s="1"/>
  <c r="Y286" i="2" s="1"/>
  <c r="Y287" i="2" s="1"/>
  <c r="Y288" i="2" s="1"/>
  <c r="Y289" i="2" s="1"/>
  <c r="Y290" i="2" s="1"/>
  <c r="Y291" i="2" s="1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265" i="2"/>
  <c r="Y264" i="2"/>
  <c r="Y260" i="2"/>
  <c r="Y261" i="2" s="1"/>
  <c r="Y262" i="2" s="1"/>
  <c r="Y263" i="2" s="1"/>
  <c r="H266" i="2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H264" i="2"/>
  <c r="H262" i="2"/>
  <c r="H263" i="2" s="1"/>
  <c r="H265" i="2" s="1"/>
  <c r="R361" i="2"/>
  <c r="S361" i="2" s="1"/>
  <c r="R360" i="2"/>
  <c r="S360" i="2" s="1"/>
  <c r="R358" i="2"/>
  <c r="S358" i="2" s="1"/>
  <c r="O358" i="2"/>
  <c r="S357" i="2"/>
  <c r="R357" i="2"/>
  <c r="O357" i="2"/>
  <c r="O356" i="2"/>
  <c r="R355" i="2"/>
  <c r="S355" i="2" s="1"/>
  <c r="R354" i="2"/>
  <c r="S354" i="2" s="1"/>
  <c r="R353" i="2"/>
  <c r="S353" i="2" s="1"/>
  <c r="R352" i="2"/>
  <c r="S352" i="2" s="1"/>
  <c r="O351" i="2"/>
  <c r="R349" i="2"/>
  <c r="S349" i="2" s="1"/>
  <c r="R347" i="2"/>
  <c r="S347" i="2" s="1"/>
  <c r="R346" i="2"/>
  <c r="S346" i="2" s="1"/>
  <c r="O346" i="2"/>
  <c r="R345" i="2"/>
  <c r="S345" i="2" s="1"/>
  <c r="R344" i="2"/>
  <c r="S344" i="2" s="1"/>
  <c r="R343" i="2"/>
  <c r="S343" i="2" s="1"/>
  <c r="O343" i="2"/>
  <c r="R342" i="2"/>
  <c r="S342" i="2" s="1"/>
  <c r="R341" i="2"/>
  <c r="S341" i="2" s="1"/>
  <c r="R339" i="2"/>
  <c r="S339" i="2" s="1"/>
  <c r="R338" i="2"/>
  <c r="S338" i="2" s="1"/>
  <c r="R337" i="2"/>
  <c r="S337" i="2" s="1"/>
  <c r="R336" i="2"/>
  <c r="S336" i="2" s="1"/>
  <c r="R335" i="2"/>
  <c r="S335" i="2" s="1"/>
  <c r="R333" i="2"/>
  <c r="S333" i="2" s="1"/>
  <c r="R331" i="2"/>
  <c r="S331" i="2" s="1"/>
  <c r="R330" i="2"/>
  <c r="S330" i="2" s="1"/>
  <c r="Z330" i="2"/>
  <c r="R329" i="2"/>
  <c r="S329" i="2" s="1"/>
  <c r="R328" i="2"/>
  <c r="S328" i="2" s="1"/>
  <c r="O328" i="2"/>
  <c r="O329" i="2" s="1"/>
  <c r="O330" i="2" s="1"/>
  <c r="O331" i="2" s="1"/>
  <c r="O332" i="2" s="1"/>
  <c r="O333" i="2" s="1"/>
  <c r="O334" i="2" s="1"/>
  <c r="O335" i="2" s="1"/>
  <c r="R327" i="2"/>
  <c r="S327" i="2" s="1"/>
  <c r="R326" i="2"/>
  <c r="S326" i="2" s="1"/>
  <c r="R325" i="2"/>
  <c r="S325" i="2" s="1"/>
  <c r="R323" i="2"/>
  <c r="S323" i="2" s="1"/>
  <c r="R322" i="2"/>
  <c r="S322" i="2" s="1"/>
  <c r="R321" i="2"/>
  <c r="S321" i="2" s="1"/>
  <c r="R320" i="2"/>
  <c r="S320" i="2" s="1"/>
  <c r="R319" i="2"/>
  <c r="S319" i="2" s="1"/>
  <c r="R318" i="2"/>
  <c r="S318" i="2" s="1"/>
  <c r="R317" i="2"/>
  <c r="S317" i="2" s="1"/>
  <c r="R315" i="2"/>
  <c r="S315" i="2" s="1"/>
  <c r="R314" i="2"/>
  <c r="S314" i="2" s="1"/>
  <c r="R313" i="2"/>
  <c r="S313" i="2" s="1"/>
  <c r="R312" i="2"/>
  <c r="S312" i="2" s="1"/>
  <c r="R311" i="2"/>
  <c r="S311" i="2" s="1"/>
  <c r="Z311" i="2"/>
  <c r="R309" i="2"/>
  <c r="S309" i="2" s="1"/>
  <c r="R307" i="2"/>
  <c r="S307" i="2" s="1"/>
  <c r="S306" i="2"/>
  <c r="R306" i="2"/>
  <c r="R305" i="2"/>
  <c r="S305" i="2" s="1"/>
  <c r="R304" i="2"/>
  <c r="S304" i="2" s="1"/>
  <c r="R303" i="2"/>
  <c r="S303" i="2" s="1"/>
  <c r="S302" i="2"/>
  <c r="R302" i="2"/>
  <c r="R301" i="2"/>
  <c r="S301" i="2" s="1"/>
  <c r="R300" i="2"/>
  <c r="S300" i="2" s="1"/>
  <c r="R299" i="2"/>
  <c r="S299" i="2" s="1"/>
  <c r="S298" i="2"/>
  <c r="R298" i="2"/>
  <c r="R297" i="2"/>
  <c r="S297" i="2" s="1"/>
  <c r="S296" i="2"/>
  <c r="R296" i="2"/>
  <c r="R295" i="2"/>
  <c r="S295" i="2" s="1"/>
  <c r="R294" i="2"/>
  <c r="S294" i="2" s="1"/>
  <c r="S293" i="2"/>
  <c r="R293" i="2"/>
  <c r="R292" i="2"/>
  <c r="S292" i="2" s="1"/>
  <c r="S291" i="2"/>
  <c r="R291" i="2"/>
  <c r="R290" i="2"/>
  <c r="S290" i="2" s="1"/>
  <c r="R289" i="2"/>
  <c r="S289" i="2" s="1"/>
  <c r="S288" i="2"/>
  <c r="R288" i="2"/>
  <c r="R287" i="2"/>
  <c r="S287" i="2" s="1"/>
  <c r="Z288" i="2"/>
  <c r="S286" i="2"/>
  <c r="R286" i="2"/>
  <c r="S285" i="2"/>
  <c r="R285" i="2"/>
  <c r="R284" i="2"/>
  <c r="S284" i="2" s="1"/>
  <c r="S283" i="2"/>
  <c r="R283" i="2"/>
  <c r="S282" i="2"/>
  <c r="R282" i="2"/>
  <c r="R281" i="2"/>
  <c r="S281" i="2" s="1"/>
  <c r="R280" i="2"/>
  <c r="S280" i="2" s="1"/>
  <c r="S279" i="2"/>
  <c r="R279" i="2"/>
  <c r="S278" i="2"/>
  <c r="R278" i="2"/>
  <c r="R277" i="2"/>
  <c r="S277" i="2" s="1"/>
  <c r="R276" i="2"/>
  <c r="S276" i="2" s="1"/>
  <c r="S275" i="2"/>
  <c r="R275" i="2"/>
  <c r="R274" i="2"/>
  <c r="S274" i="2" s="1"/>
  <c r="S273" i="2"/>
  <c r="R273" i="2"/>
  <c r="R272" i="2"/>
  <c r="S272" i="2" s="1"/>
  <c r="R271" i="2"/>
  <c r="S271" i="2" s="1"/>
  <c r="S270" i="2"/>
  <c r="R270" i="2"/>
  <c r="S269" i="2"/>
  <c r="R269" i="2"/>
  <c r="S268" i="2"/>
  <c r="R268" i="2"/>
  <c r="R267" i="2"/>
  <c r="S267" i="2" s="1"/>
  <c r="R266" i="2"/>
  <c r="S266" i="2" s="1"/>
  <c r="Z267" i="2"/>
  <c r="R265" i="2"/>
  <c r="S265" i="2" s="1"/>
  <c r="S264" i="2"/>
  <c r="R264" i="2"/>
  <c r="S262" i="2"/>
  <c r="R262" i="2"/>
  <c r="R261" i="2"/>
  <c r="S261" i="2" s="1"/>
  <c r="O261" i="2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R260" i="2"/>
  <c r="S260" i="2" s="1"/>
  <c r="R258" i="2"/>
  <c r="S258" i="2" s="1"/>
  <c r="R257" i="2"/>
  <c r="S257" i="2" s="1"/>
  <c r="R256" i="2"/>
  <c r="S256" i="2" s="1"/>
  <c r="R254" i="2"/>
  <c r="S254" i="2" s="1"/>
  <c r="R253" i="2"/>
  <c r="S253" i="2" s="1"/>
  <c r="O253" i="2"/>
  <c r="O254" i="2" s="1"/>
  <c r="O255" i="2" s="1"/>
  <c r="O256" i="2" s="1"/>
  <c r="O257" i="2" s="1"/>
  <c r="O258" i="2" s="1"/>
  <c r="O259" i="2" s="1"/>
  <c r="O260" i="2" s="1"/>
  <c r="R252" i="2"/>
  <c r="S252" i="2" s="1"/>
  <c r="O252" i="2"/>
  <c r="R250" i="2"/>
  <c r="S250" i="2" s="1"/>
  <c r="O249" i="2"/>
  <c r="R248" i="2"/>
  <c r="S248" i="2" s="1"/>
  <c r="R246" i="2"/>
  <c r="S246" i="2" s="1"/>
  <c r="R245" i="2"/>
  <c r="S245" i="2" s="1"/>
  <c r="R244" i="2"/>
  <c r="S244" i="2" s="1"/>
  <c r="R242" i="2"/>
  <c r="S242" i="2" s="1"/>
  <c r="R240" i="2"/>
  <c r="S240" i="2" s="1"/>
  <c r="R238" i="2"/>
  <c r="S238" i="2" s="1"/>
  <c r="R237" i="2"/>
  <c r="S237" i="2" s="1"/>
  <c r="R236" i="2"/>
  <c r="S236" i="2" s="1"/>
  <c r="R235" i="2"/>
  <c r="S235" i="2" s="1"/>
  <c r="R234" i="2"/>
  <c r="S234" i="2" s="1"/>
  <c r="S232" i="2"/>
  <c r="R232" i="2"/>
  <c r="R230" i="2"/>
  <c r="S230" i="2" s="1"/>
  <c r="R229" i="2"/>
  <c r="S229" i="2" s="1"/>
  <c r="R228" i="2"/>
  <c r="S228" i="2" s="1"/>
  <c r="Z226" i="2"/>
  <c r="R226" i="2"/>
  <c r="S226" i="2" s="1"/>
  <c r="Y225" i="2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R225" i="2"/>
  <c r="S225" i="2" s="1"/>
  <c r="H225" i="2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H259" i="2" s="1"/>
  <c r="H260" i="2" s="1"/>
  <c r="H261" i="2" s="1"/>
  <c r="Y224" i="2"/>
  <c r="R224" i="2"/>
  <c r="S224" i="2" s="1"/>
  <c r="H224" i="2"/>
  <c r="R223" i="2"/>
  <c r="S223" i="2" s="1"/>
  <c r="R222" i="2"/>
  <c r="S222" i="2" s="1"/>
  <c r="R221" i="2"/>
  <c r="S221" i="2" s="1"/>
  <c r="O221" i="2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R220" i="2"/>
  <c r="S220" i="2" s="1"/>
  <c r="O220" i="2"/>
  <c r="R219" i="2"/>
  <c r="S219" i="2" s="1"/>
  <c r="R218" i="2"/>
  <c r="S218" i="2" s="1"/>
  <c r="R217" i="2"/>
  <c r="S217" i="2" s="1"/>
  <c r="S216" i="2"/>
  <c r="R216" i="2"/>
  <c r="R215" i="2"/>
  <c r="S215" i="2" s="1"/>
  <c r="O215" i="2"/>
  <c r="R214" i="2"/>
  <c r="S214" i="2" s="1"/>
  <c r="S213" i="2"/>
  <c r="R213" i="2"/>
  <c r="R212" i="2"/>
  <c r="S212" i="2" s="1"/>
  <c r="R211" i="2"/>
  <c r="S211" i="2" s="1"/>
  <c r="S210" i="2"/>
  <c r="R210" i="2"/>
  <c r="S209" i="2"/>
  <c r="R209" i="2"/>
  <c r="O209" i="2"/>
  <c r="R208" i="2"/>
  <c r="S208" i="2" s="1"/>
  <c r="S207" i="2"/>
  <c r="R207" i="2"/>
  <c r="R206" i="2"/>
  <c r="S206" i="2" s="1"/>
  <c r="R205" i="2"/>
  <c r="S205" i="2" s="1"/>
  <c r="R204" i="2"/>
  <c r="S204" i="2" s="1"/>
  <c r="S203" i="2"/>
  <c r="R203" i="2"/>
  <c r="R202" i="2"/>
  <c r="S202" i="2" s="1"/>
  <c r="R201" i="2"/>
  <c r="S201" i="2" s="1"/>
  <c r="R200" i="2"/>
  <c r="S200" i="2" s="1"/>
  <c r="R199" i="2"/>
  <c r="S199" i="2" s="1"/>
  <c r="R198" i="2"/>
  <c r="S198" i="2" s="1"/>
  <c r="R197" i="2"/>
  <c r="S197" i="2" s="1"/>
  <c r="R196" i="2"/>
  <c r="S196" i="2" s="1"/>
  <c r="H196" i="2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S195" i="2"/>
  <c r="R195" i="2"/>
  <c r="H195" i="2"/>
  <c r="R194" i="2"/>
  <c r="S194" i="2" s="1"/>
  <c r="O194" i="2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R193" i="2"/>
  <c r="S193" i="2" s="1"/>
  <c r="S192" i="2"/>
  <c r="R192" i="2"/>
  <c r="R191" i="2"/>
  <c r="S191" i="2" s="1"/>
  <c r="O191" i="2"/>
  <c r="O192" i="2" s="1"/>
  <c r="O193" i="2" s="1"/>
  <c r="R190" i="2"/>
  <c r="S190" i="2" s="1"/>
  <c r="O190" i="2"/>
  <c r="R189" i="2"/>
  <c r="S189" i="2" s="1"/>
  <c r="R188" i="2"/>
  <c r="S188" i="2" s="1"/>
  <c r="R187" i="2"/>
  <c r="S187" i="2" s="1"/>
  <c r="S186" i="2"/>
  <c r="R186" i="2"/>
  <c r="R185" i="2"/>
  <c r="S185" i="2" s="1"/>
  <c r="H185" i="2"/>
  <c r="H186" i="2" s="1"/>
  <c r="H187" i="2" s="1"/>
  <c r="H188" i="2" s="1"/>
  <c r="H189" i="2" s="1"/>
  <c r="H190" i="2" s="1"/>
  <c r="H191" i="2" s="1"/>
  <c r="H192" i="2" s="1"/>
  <c r="R184" i="2"/>
  <c r="S184" i="2" s="1"/>
  <c r="O184" i="2"/>
  <c r="S183" i="2"/>
  <c r="R183" i="2"/>
  <c r="R182" i="2"/>
  <c r="S182" i="2" s="1"/>
  <c r="O182" i="2"/>
  <c r="H182" i="2"/>
  <c r="H183" i="2" s="1"/>
  <c r="H184" i="2" s="1"/>
  <c r="R181" i="2"/>
  <c r="S181" i="2" s="1"/>
  <c r="O181" i="2"/>
  <c r="H181" i="2"/>
  <c r="R180" i="2"/>
  <c r="S180" i="2" s="1"/>
  <c r="H180" i="2"/>
  <c r="R179" i="2"/>
  <c r="S179" i="2" s="1"/>
  <c r="R178" i="2"/>
  <c r="S178" i="2" s="1"/>
  <c r="R177" i="2"/>
  <c r="S177" i="2" s="1"/>
  <c r="O177" i="2"/>
  <c r="O178" i="2" s="1"/>
  <c r="O179" i="2" s="1"/>
  <c r="S176" i="2"/>
  <c r="R176" i="2"/>
  <c r="S175" i="2"/>
  <c r="R175" i="2"/>
  <c r="R174" i="2"/>
  <c r="S174" i="2" s="1"/>
  <c r="O174" i="2"/>
  <c r="S173" i="2"/>
  <c r="R173" i="2"/>
  <c r="O173" i="2"/>
  <c r="R172" i="2"/>
  <c r="S172" i="2" s="1"/>
  <c r="R171" i="2"/>
  <c r="S171" i="2" s="1"/>
  <c r="S170" i="2"/>
  <c r="R170" i="2"/>
  <c r="R169" i="2"/>
  <c r="S169" i="2" s="1"/>
  <c r="R168" i="2"/>
  <c r="S168" i="2" s="1"/>
  <c r="R167" i="2"/>
  <c r="S167" i="2" s="1"/>
  <c r="S166" i="2"/>
  <c r="R166" i="2"/>
  <c r="R165" i="2"/>
  <c r="S165" i="2" s="1"/>
  <c r="R164" i="2"/>
  <c r="S164" i="2" s="1"/>
  <c r="R163" i="2"/>
  <c r="S163" i="2" s="1"/>
  <c r="S162" i="2"/>
  <c r="R162" i="2"/>
  <c r="R161" i="2"/>
  <c r="S161" i="2" s="1"/>
  <c r="R160" i="2"/>
  <c r="S160" i="2" s="1"/>
  <c r="R159" i="2"/>
  <c r="S159" i="2" s="1"/>
  <c r="R158" i="2"/>
  <c r="S158" i="2" s="1"/>
  <c r="R157" i="2"/>
  <c r="S157" i="2" s="1"/>
  <c r="R156" i="2"/>
  <c r="S156" i="2" s="1"/>
  <c r="R155" i="2"/>
  <c r="S155" i="2" s="1"/>
  <c r="H155" i="2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S154" i="2"/>
  <c r="R154" i="2"/>
  <c r="S153" i="2"/>
  <c r="R153" i="2"/>
  <c r="R152" i="2"/>
  <c r="S152" i="2" s="1"/>
  <c r="S151" i="2"/>
  <c r="R151" i="2"/>
  <c r="R150" i="2"/>
  <c r="S150" i="2" s="1"/>
  <c r="S149" i="2"/>
  <c r="R149" i="2"/>
  <c r="R148" i="2"/>
  <c r="S148" i="2" s="1"/>
  <c r="S147" i="2"/>
  <c r="R147" i="2"/>
  <c r="R146" i="2"/>
  <c r="S146" i="2" s="1"/>
  <c r="S145" i="2"/>
  <c r="R145" i="2"/>
  <c r="R144" i="2"/>
  <c r="S144" i="2" s="1"/>
  <c r="S143" i="2"/>
  <c r="R143" i="2"/>
  <c r="R142" i="2"/>
  <c r="S142" i="2" s="1"/>
  <c r="R141" i="2"/>
  <c r="S141" i="2" s="1"/>
  <c r="R140" i="2"/>
  <c r="S140" i="2" s="1"/>
  <c r="R139" i="2"/>
  <c r="S139" i="2" s="1"/>
  <c r="R138" i="2"/>
  <c r="S138" i="2" s="1"/>
  <c r="R137" i="2"/>
  <c r="S137" i="2" s="1"/>
  <c r="S136" i="2"/>
  <c r="R136" i="2"/>
  <c r="R135" i="2"/>
  <c r="S135" i="2" s="1"/>
  <c r="S134" i="2"/>
  <c r="R134" i="2"/>
  <c r="R133" i="2"/>
  <c r="S133" i="2" s="1"/>
  <c r="R132" i="2"/>
  <c r="S132" i="2" s="1"/>
  <c r="S131" i="2"/>
  <c r="R131" i="2"/>
  <c r="R130" i="2"/>
  <c r="S130" i="2" s="1"/>
  <c r="Z129" i="2"/>
  <c r="S129" i="2"/>
  <c r="R129" i="2"/>
  <c r="H129" i="2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Y128" i="2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R128" i="2"/>
  <c r="S128" i="2" s="1"/>
  <c r="S127" i="2"/>
  <c r="R127" i="2"/>
  <c r="H127" i="2"/>
  <c r="H128" i="2" s="1"/>
  <c r="Y126" i="2"/>
  <c r="Y127" i="2" s="1"/>
  <c r="R126" i="2"/>
  <c r="S126" i="2" s="1"/>
  <c r="Q125" i="2"/>
  <c r="R125" i="2" s="1"/>
  <c r="S125" i="2" s="1"/>
  <c r="S124" i="2"/>
  <c r="R124" i="2"/>
  <c r="Q124" i="2"/>
  <c r="S123" i="2"/>
  <c r="Q123" i="2"/>
  <c r="R123" i="2" s="1"/>
  <c r="Q122" i="2"/>
  <c r="R122" i="2" s="1"/>
  <c r="S122" i="2" s="1"/>
  <c r="Q121" i="2"/>
  <c r="R121" i="2" s="1"/>
  <c r="S121" i="2" s="1"/>
  <c r="S120" i="2"/>
  <c r="R120" i="2"/>
  <c r="Q120" i="2"/>
  <c r="S119" i="2"/>
  <c r="Q119" i="2"/>
  <c r="R119" i="2" s="1"/>
  <c r="Q118" i="2"/>
  <c r="R118" i="2" s="1"/>
  <c r="S118" i="2" s="1"/>
  <c r="R117" i="2"/>
  <c r="S117" i="2" s="1"/>
  <c r="Q117" i="2"/>
  <c r="S116" i="2"/>
  <c r="R116" i="2"/>
  <c r="Q116" i="2"/>
  <c r="Q115" i="2"/>
  <c r="R115" i="2" s="1"/>
  <c r="S115" i="2" s="1"/>
  <c r="Q114" i="2"/>
  <c r="R114" i="2" s="1"/>
  <c r="S114" i="2" s="1"/>
  <c r="R113" i="2"/>
  <c r="S113" i="2" s="1"/>
  <c r="Q113" i="2"/>
  <c r="S112" i="2"/>
  <c r="R112" i="2"/>
  <c r="Q112" i="2"/>
  <c r="S111" i="2"/>
  <c r="Q111" i="2"/>
  <c r="R111" i="2" s="1"/>
  <c r="R110" i="2"/>
  <c r="S110" i="2" s="1"/>
  <c r="Q110" i="2"/>
  <c r="R109" i="2"/>
  <c r="S109" i="2" s="1"/>
  <c r="Q109" i="2"/>
  <c r="S108" i="2"/>
  <c r="R108" i="2"/>
  <c r="Q108" i="2"/>
  <c r="Q107" i="2"/>
  <c r="R107" i="2" s="1"/>
  <c r="S107" i="2" s="1"/>
  <c r="Q106" i="2"/>
  <c r="R106" i="2" s="1"/>
  <c r="S106" i="2" s="1"/>
  <c r="S105" i="2"/>
  <c r="R105" i="2"/>
  <c r="Q105" i="2"/>
  <c r="S104" i="2"/>
  <c r="R104" i="2"/>
  <c r="Q104" i="2"/>
  <c r="Q103" i="2"/>
  <c r="R103" i="2" s="1"/>
  <c r="S103" i="2" s="1"/>
  <c r="R102" i="2"/>
  <c r="S102" i="2" s="1"/>
  <c r="Q102" i="2"/>
  <c r="R101" i="2"/>
  <c r="S101" i="2" s="1"/>
  <c r="Q101" i="2"/>
  <c r="S100" i="2"/>
  <c r="R100" i="2"/>
  <c r="Q100" i="2"/>
  <c r="Q99" i="2"/>
  <c r="R99" i="2" s="1"/>
  <c r="S99" i="2" s="1"/>
  <c r="Q98" i="2"/>
  <c r="R98" i="2" s="1"/>
  <c r="S98" i="2" s="1"/>
  <c r="S97" i="2"/>
  <c r="R97" i="2"/>
  <c r="Q97" i="2"/>
  <c r="S96" i="2"/>
  <c r="R96" i="2"/>
  <c r="Q96" i="2"/>
  <c r="Q95" i="2"/>
  <c r="R95" i="2" s="1"/>
  <c r="S95" i="2" s="1"/>
  <c r="R94" i="2"/>
  <c r="S94" i="2" s="1"/>
  <c r="Q94" i="2"/>
  <c r="R93" i="2"/>
  <c r="S93" i="2" s="1"/>
  <c r="Q93" i="2"/>
  <c r="S92" i="2"/>
  <c r="R92" i="2"/>
  <c r="Q92" i="2"/>
  <c r="Q91" i="2"/>
  <c r="R91" i="2" s="1"/>
  <c r="S91" i="2" s="1"/>
  <c r="Q90" i="2"/>
  <c r="R90" i="2" s="1"/>
  <c r="S90" i="2" s="1"/>
  <c r="S89" i="2"/>
  <c r="R89" i="2"/>
  <c r="Q89" i="2"/>
  <c r="S88" i="2"/>
  <c r="R88" i="2"/>
  <c r="Q88" i="2"/>
  <c r="Q87" i="2"/>
  <c r="R87" i="2" s="1"/>
  <c r="S87" i="2" s="1"/>
  <c r="R86" i="2"/>
  <c r="S86" i="2" s="1"/>
  <c r="Q86" i="2"/>
  <c r="R85" i="2"/>
  <c r="S85" i="2" s="1"/>
  <c r="Q85" i="2"/>
  <c r="S84" i="2"/>
  <c r="R84" i="2"/>
  <c r="Q84" i="2"/>
  <c r="Q83" i="2"/>
  <c r="R83" i="2" s="1"/>
  <c r="S83" i="2" s="1"/>
  <c r="Q82" i="2"/>
  <c r="R82" i="2" s="1"/>
  <c r="S82" i="2" s="1"/>
  <c r="S81" i="2"/>
  <c r="R81" i="2"/>
  <c r="Q81" i="2"/>
  <c r="S80" i="2"/>
  <c r="R80" i="2"/>
  <c r="Q80" i="2"/>
  <c r="Q79" i="2"/>
  <c r="R79" i="2" s="1"/>
  <c r="S79" i="2" s="1"/>
  <c r="R78" i="2"/>
  <c r="S78" i="2" s="1"/>
  <c r="Q78" i="2"/>
  <c r="R77" i="2"/>
  <c r="S77" i="2" s="1"/>
  <c r="Q77" i="2"/>
  <c r="S76" i="2"/>
  <c r="R76" i="2"/>
  <c r="Q76" i="2"/>
  <c r="Q75" i="2"/>
  <c r="R75" i="2" s="1"/>
  <c r="S75" i="2" s="1"/>
  <c r="Q74" i="2"/>
  <c r="R74" i="2" s="1"/>
  <c r="S74" i="2" s="1"/>
  <c r="S73" i="2"/>
  <c r="R73" i="2"/>
  <c r="Q73" i="2"/>
  <c r="S72" i="2"/>
  <c r="R72" i="2"/>
  <c r="Q72" i="2"/>
  <c r="Q71" i="2"/>
  <c r="R71" i="2" s="1"/>
  <c r="S71" i="2" s="1"/>
  <c r="R70" i="2"/>
  <c r="S70" i="2" s="1"/>
  <c r="Q70" i="2"/>
  <c r="R69" i="2"/>
  <c r="S69" i="2" s="1"/>
  <c r="Q69" i="2"/>
  <c r="S68" i="2"/>
  <c r="R68" i="2"/>
  <c r="Q68" i="2"/>
  <c r="Q67" i="2"/>
  <c r="R67" i="2" s="1"/>
  <c r="S67" i="2" s="1"/>
  <c r="Q66" i="2"/>
  <c r="R66" i="2" s="1"/>
  <c r="S66" i="2" s="1"/>
  <c r="S65" i="2"/>
  <c r="R65" i="2"/>
  <c r="Q65" i="2"/>
  <c r="S64" i="2"/>
  <c r="R64" i="2"/>
  <c r="Q64" i="2"/>
  <c r="Q63" i="2"/>
  <c r="R63" i="2" s="1"/>
  <c r="S63" i="2" s="1"/>
  <c r="R62" i="2"/>
  <c r="S62" i="2" s="1"/>
  <c r="Q62" i="2"/>
  <c r="R61" i="2"/>
  <c r="S61" i="2" s="1"/>
  <c r="Q61" i="2"/>
  <c r="S60" i="2"/>
  <c r="R60" i="2"/>
  <c r="Q60" i="2"/>
  <c r="Q59" i="2"/>
  <c r="R59" i="2" s="1"/>
  <c r="S59" i="2" s="1"/>
  <c r="R58" i="2"/>
  <c r="S58" i="2" s="1"/>
  <c r="Q58" i="2"/>
  <c r="S57" i="2"/>
  <c r="R57" i="2"/>
  <c r="Q57" i="2"/>
  <c r="R56" i="2"/>
  <c r="S56" i="2" s="1"/>
  <c r="Q56" i="2"/>
  <c r="R55" i="2"/>
  <c r="S55" i="2" s="1"/>
  <c r="Q55" i="2"/>
  <c r="Q54" i="2"/>
  <c r="R54" i="2" s="1"/>
  <c r="S54" i="2" s="1"/>
  <c r="R53" i="2"/>
  <c r="S53" i="2" s="1"/>
  <c r="Q53" i="2"/>
  <c r="S52" i="2"/>
  <c r="R52" i="2"/>
  <c r="S51" i="2"/>
  <c r="R51" i="2"/>
  <c r="S50" i="2"/>
  <c r="R50" i="2"/>
  <c r="S49" i="2"/>
  <c r="R49" i="2"/>
  <c r="Z48" i="2"/>
  <c r="S48" i="2"/>
  <c r="R48" i="2"/>
  <c r="S47" i="2"/>
  <c r="R47" i="2"/>
  <c r="T46" i="2"/>
  <c r="T47" i="2" s="1"/>
  <c r="S46" i="2"/>
  <c r="R46" i="2"/>
  <c r="T45" i="2"/>
  <c r="S45" i="2"/>
  <c r="R45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O11" i="2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N11" i="2"/>
  <c r="N10" i="2"/>
  <c r="O9" i="2"/>
  <c r="N9" i="2"/>
  <c r="N8" i="2"/>
  <c r="N7" i="2"/>
  <c r="N6" i="2"/>
  <c r="Y5" i="2"/>
  <c r="X5" i="2"/>
  <c r="W5" i="2"/>
  <c r="N5" i="2"/>
  <c r="M5" i="2"/>
  <c r="K5" i="2"/>
  <c r="H5" i="2"/>
  <c r="G5" i="2"/>
  <c r="U141" i="1"/>
  <c r="U339" i="1"/>
  <c r="U319" i="1"/>
  <c r="U296" i="1"/>
  <c r="U275" i="1"/>
  <c r="U236" i="1"/>
  <c r="U58" i="1"/>
  <c r="Q361" i="1"/>
  <c r="R361" i="1" s="1"/>
  <c r="S361" i="1" s="1"/>
  <c r="R360" i="1"/>
  <c r="S360" i="1" s="1"/>
  <c r="Q360" i="1"/>
  <c r="Q359" i="1"/>
  <c r="R359" i="1" s="1"/>
  <c r="S359" i="1" s="1"/>
  <c r="R358" i="1"/>
  <c r="S358" i="1" s="1"/>
  <c r="Q358" i="1"/>
  <c r="O358" i="1"/>
  <c r="Q357" i="1"/>
  <c r="R357" i="1" s="1"/>
  <c r="S357" i="1" s="1"/>
  <c r="Q356" i="1"/>
  <c r="R356" i="1" s="1"/>
  <c r="S356" i="1" s="1"/>
  <c r="T356" i="1" s="1"/>
  <c r="T357" i="1" s="1"/>
  <c r="O356" i="1"/>
  <c r="O357" i="1" s="1"/>
  <c r="Q355" i="1"/>
  <c r="R355" i="1" s="1"/>
  <c r="S355" i="1" s="1"/>
  <c r="Q354" i="1"/>
  <c r="R354" i="1" s="1"/>
  <c r="S354" i="1" s="1"/>
  <c r="Q353" i="1"/>
  <c r="R353" i="1" s="1"/>
  <c r="S353" i="1" s="1"/>
  <c r="Q352" i="1"/>
  <c r="R352" i="1" s="1"/>
  <c r="S352" i="1" s="1"/>
  <c r="Q351" i="1"/>
  <c r="R351" i="1" s="1"/>
  <c r="S351" i="1" s="1"/>
  <c r="T351" i="1" s="1"/>
  <c r="O351" i="1"/>
  <c r="Q350" i="1"/>
  <c r="R350" i="1" s="1"/>
  <c r="S350" i="1" s="1"/>
  <c r="Q349" i="1"/>
  <c r="R349" i="1" s="1"/>
  <c r="S349" i="1" s="1"/>
  <c r="Q348" i="1"/>
  <c r="R348" i="1" s="1"/>
  <c r="S348" i="1" s="1"/>
  <c r="H348" i="1"/>
  <c r="H349" i="1" s="1"/>
  <c r="H350" i="1" s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Q347" i="1"/>
  <c r="R347" i="1" s="1"/>
  <c r="S347" i="1" s="1"/>
  <c r="Q346" i="1"/>
  <c r="R346" i="1" s="1"/>
  <c r="S346" i="1" s="1"/>
  <c r="T346" i="1" s="1"/>
  <c r="O346" i="1"/>
  <c r="Q345" i="1"/>
  <c r="R345" i="1" s="1"/>
  <c r="S345" i="1" s="1"/>
  <c r="Q344" i="1"/>
  <c r="R344" i="1" s="1"/>
  <c r="S344" i="1" s="1"/>
  <c r="Q343" i="1"/>
  <c r="R343" i="1" s="1"/>
  <c r="S343" i="1" s="1"/>
  <c r="T343" i="1" s="1"/>
  <c r="O343" i="1"/>
  <c r="Q342" i="1"/>
  <c r="R342" i="1" s="1"/>
  <c r="S342" i="1" s="1"/>
  <c r="R341" i="1"/>
  <c r="S341" i="1" s="1"/>
  <c r="Q341" i="1"/>
  <c r="Q340" i="1"/>
  <c r="R340" i="1" s="1"/>
  <c r="S340" i="1" s="1"/>
  <c r="Q339" i="1"/>
  <c r="R339" i="1" s="1"/>
  <c r="S339" i="1" s="1"/>
  <c r="Q338" i="1"/>
  <c r="R338" i="1" s="1"/>
  <c r="S338" i="1" s="1"/>
  <c r="R337" i="1"/>
  <c r="S337" i="1" s="1"/>
  <c r="Q337" i="1"/>
  <c r="Q336" i="1"/>
  <c r="R336" i="1" s="1"/>
  <c r="S336" i="1" s="1"/>
  <c r="R335" i="1"/>
  <c r="S335" i="1" s="1"/>
  <c r="Q335" i="1"/>
  <c r="R334" i="1"/>
  <c r="S334" i="1" s="1"/>
  <c r="Q334" i="1"/>
  <c r="Q333" i="1"/>
  <c r="R333" i="1" s="1"/>
  <c r="S333" i="1" s="1"/>
  <c r="R332" i="1"/>
  <c r="S332" i="1" s="1"/>
  <c r="Q332" i="1"/>
  <c r="Q331" i="1"/>
  <c r="R331" i="1" s="1"/>
  <c r="S331" i="1" s="1"/>
  <c r="I331" i="1"/>
  <c r="Q330" i="1"/>
  <c r="R330" i="1" s="1"/>
  <c r="S330" i="1" s="1"/>
  <c r="Z329" i="1"/>
  <c r="Q329" i="1"/>
  <c r="R329" i="1" s="1"/>
  <c r="S329" i="1" s="1"/>
  <c r="I329" i="1"/>
  <c r="Q328" i="1"/>
  <c r="R328" i="1" s="1"/>
  <c r="S328" i="1" s="1"/>
  <c r="T328" i="1" s="1"/>
  <c r="O328" i="1"/>
  <c r="O329" i="1" s="1"/>
  <c r="O330" i="1" s="1"/>
  <c r="O331" i="1" s="1"/>
  <c r="O332" i="1" s="1"/>
  <c r="O333" i="1" s="1"/>
  <c r="O334" i="1" s="1"/>
  <c r="O335" i="1" s="1"/>
  <c r="Y327" i="1"/>
  <c r="Y328" i="1" s="1"/>
  <c r="Y329" i="1" s="1"/>
  <c r="Y330" i="1" s="1"/>
  <c r="Y331" i="1" s="1"/>
  <c r="Y332" i="1" s="1"/>
  <c r="Y333" i="1" s="1"/>
  <c r="Y334" i="1" s="1"/>
  <c r="Y335" i="1" s="1"/>
  <c r="Y336" i="1" s="1"/>
  <c r="Y337" i="1" s="1"/>
  <c r="Y338" i="1" s="1"/>
  <c r="Y339" i="1" s="1"/>
  <c r="Y340" i="1" s="1"/>
  <c r="Y341" i="1" s="1"/>
  <c r="Y342" i="1" s="1"/>
  <c r="Y343" i="1" s="1"/>
  <c r="Y344" i="1" s="1"/>
  <c r="Y345" i="1" s="1"/>
  <c r="Y346" i="1" s="1"/>
  <c r="Y347" i="1" s="1"/>
  <c r="Y348" i="1" s="1"/>
  <c r="Y349" i="1" s="1"/>
  <c r="Y350" i="1" s="1"/>
  <c r="Y351" i="1" s="1"/>
  <c r="Y352" i="1" s="1"/>
  <c r="Y353" i="1" s="1"/>
  <c r="Y354" i="1" s="1"/>
  <c r="Y355" i="1" s="1"/>
  <c r="Y356" i="1" s="1"/>
  <c r="Y357" i="1" s="1"/>
  <c r="Y358" i="1" s="1"/>
  <c r="Y359" i="1" s="1"/>
  <c r="Y360" i="1" s="1"/>
  <c r="Y361" i="1" s="1"/>
  <c r="Q327" i="1"/>
  <c r="R327" i="1" s="1"/>
  <c r="S327" i="1" s="1"/>
  <c r="I327" i="1"/>
  <c r="H327" i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R326" i="1"/>
  <c r="S326" i="1" s="1"/>
  <c r="Q326" i="1"/>
  <c r="Q325" i="1"/>
  <c r="R325" i="1" s="1"/>
  <c r="S325" i="1" s="1"/>
  <c r="T325" i="1" s="1"/>
  <c r="Q324" i="1"/>
  <c r="R324" i="1" s="1"/>
  <c r="S324" i="1" s="1"/>
  <c r="Q323" i="1"/>
  <c r="R323" i="1" s="1"/>
  <c r="S323" i="1" s="1"/>
  <c r="Q322" i="1"/>
  <c r="R322" i="1" s="1"/>
  <c r="S322" i="1" s="1"/>
  <c r="Q321" i="1"/>
  <c r="R321" i="1" s="1"/>
  <c r="S321" i="1" s="1"/>
  <c r="Q320" i="1"/>
  <c r="R320" i="1" s="1"/>
  <c r="S320" i="1" s="1"/>
  <c r="Q319" i="1"/>
  <c r="R319" i="1" s="1"/>
  <c r="S319" i="1" s="1"/>
  <c r="Q318" i="1"/>
  <c r="R318" i="1" s="1"/>
  <c r="S318" i="1" s="1"/>
  <c r="Q317" i="1"/>
  <c r="R317" i="1" s="1"/>
  <c r="S317" i="1" s="1"/>
  <c r="S316" i="1"/>
  <c r="Q316" i="1"/>
  <c r="R316" i="1" s="1"/>
  <c r="Q315" i="1"/>
  <c r="R315" i="1" s="1"/>
  <c r="S315" i="1" s="1"/>
  <c r="R314" i="1"/>
  <c r="S314" i="1" s="1"/>
  <c r="Q314" i="1"/>
  <c r="S313" i="1"/>
  <c r="Q313" i="1"/>
  <c r="R313" i="1" s="1"/>
  <c r="R312" i="1"/>
  <c r="S312" i="1" s="1"/>
  <c r="Q312" i="1"/>
  <c r="Q311" i="1"/>
  <c r="R311" i="1" s="1"/>
  <c r="S311" i="1" s="1"/>
  <c r="I311" i="1"/>
  <c r="Q310" i="1"/>
  <c r="R310" i="1" s="1"/>
  <c r="S310" i="1" s="1"/>
  <c r="Z309" i="1"/>
  <c r="Q309" i="1"/>
  <c r="R309" i="1" s="1"/>
  <c r="S309" i="1" s="1"/>
  <c r="I309" i="1"/>
  <c r="Q308" i="1"/>
  <c r="R308" i="1" s="1"/>
  <c r="S308" i="1" s="1"/>
  <c r="Y307" i="1"/>
  <c r="Y308" i="1" s="1"/>
  <c r="Y309" i="1" s="1"/>
  <c r="Y310" i="1" s="1"/>
  <c r="Y311" i="1" s="1"/>
  <c r="Y312" i="1" s="1"/>
  <c r="Y313" i="1" s="1"/>
  <c r="Y314" i="1" s="1"/>
  <c r="Y315" i="1" s="1"/>
  <c r="Y316" i="1" s="1"/>
  <c r="Y317" i="1" s="1"/>
  <c r="Y318" i="1" s="1"/>
  <c r="Y319" i="1" s="1"/>
  <c r="Y320" i="1" s="1"/>
  <c r="Y321" i="1" s="1"/>
  <c r="Y322" i="1" s="1"/>
  <c r="Y323" i="1" s="1"/>
  <c r="Y324" i="1" s="1"/>
  <c r="Y325" i="1" s="1"/>
  <c r="Q307" i="1"/>
  <c r="R307" i="1" s="1"/>
  <c r="S307" i="1" s="1"/>
  <c r="I307" i="1"/>
  <c r="H307" i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Q306" i="1"/>
  <c r="R306" i="1" s="1"/>
  <c r="S306" i="1" s="1"/>
  <c r="S305" i="1"/>
  <c r="R305" i="1"/>
  <c r="R304" i="1"/>
  <c r="S304" i="1" s="1"/>
  <c r="R303" i="1"/>
  <c r="S303" i="1" s="1"/>
  <c r="S302" i="1"/>
  <c r="R302" i="1"/>
  <c r="S301" i="1"/>
  <c r="R301" i="1"/>
  <c r="R300" i="1"/>
  <c r="S300" i="1" s="1"/>
  <c r="R299" i="1"/>
  <c r="S299" i="1" s="1"/>
  <c r="R298" i="1"/>
  <c r="S298" i="1" s="1"/>
  <c r="R297" i="1"/>
  <c r="S297" i="1" s="1"/>
  <c r="S296" i="1"/>
  <c r="R296" i="1"/>
  <c r="S295" i="1"/>
  <c r="R295" i="1"/>
  <c r="R294" i="1"/>
  <c r="S294" i="1" s="1"/>
  <c r="R293" i="1"/>
  <c r="S293" i="1" s="1"/>
  <c r="S292" i="1"/>
  <c r="R292" i="1"/>
  <c r="R291" i="1"/>
  <c r="S291" i="1" s="1"/>
  <c r="R290" i="1"/>
  <c r="S290" i="1" s="1"/>
  <c r="R289" i="1"/>
  <c r="S289" i="1" s="1"/>
  <c r="R288" i="1"/>
  <c r="S288" i="1" s="1"/>
  <c r="I288" i="1"/>
  <c r="S287" i="1"/>
  <c r="R287" i="1"/>
  <c r="Z286" i="1"/>
  <c r="R286" i="1"/>
  <c r="S286" i="1" s="1"/>
  <c r="I286" i="1"/>
  <c r="S285" i="1"/>
  <c r="R285" i="1"/>
  <c r="Y284" i="1"/>
  <c r="Y285" i="1" s="1"/>
  <c r="Y286" i="1" s="1"/>
  <c r="Y287" i="1" s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Y301" i="1" s="1"/>
  <c r="Y302" i="1" s="1"/>
  <c r="Y303" i="1" s="1"/>
  <c r="Y304" i="1" s="1"/>
  <c r="Y305" i="1" s="1"/>
  <c r="S284" i="1"/>
  <c r="R284" i="1"/>
  <c r="I284" i="1"/>
  <c r="H284" i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R283" i="1"/>
  <c r="S283" i="1" s="1"/>
  <c r="R282" i="1"/>
  <c r="S282" i="1" s="1"/>
  <c r="R281" i="1"/>
  <c r="S281" i="1" s="1"/>
  <c r="R280" i="1"/>
  <c r="S280" i="1" s="1"/>
  <c r="R279" i="1"/>
  <c r="S279" i="1" s="1"/>
  <c r="R278" i="1"/>
  <c r="S278" i="1" s="1"/>
  <c r="R277" i="1"/>
  <c r="S277" i="1" s="1"/>
  <c r="R276" i="1"/>
  <c r="S276" i="1" s="1"/>
  <c r="R275" i="1"/>
  <c r="S275" i="1" s="1"/>
  <c r="R274" i="1"/>
  <c r="S274" i="1" s="1"/>
  <c r="S273" i="1"/>
  <c r="R273" i="1"/>
  <c r="R272" i="1"/>
  <c r="S272" i="1" s="1"/>
  <c r="R271" i="1"/>
  <c r="S271" i="1" s="1"/>
  <c r="R270" i="1"/>
  <c r="S270" i="1" s="1"/>
  <c r="S269" i="1"/>
  <c r="R269" i="1"/>
  <c r="S268" i="1"/>
  <c r="R268" i="1"/>
  <c r="R267" i="1"/>
  <c r="S267" i="1" s="1"/>
  <c r="I267" i="1"/>
  <c r="R266" i="1"/>
  <c r="S266" i="1" s="1"/>
  <c r="Z265" i="1"/>
  <c r="S265" i="1"/>
  <c r="R265" i="1"/>
  <c r="I265" i="1"/>
  <c r="R264" i="1"/>
  <c r="S264" i="1" s="1"/>
  <c r="Y263" i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Y275" i="1" s="1"/>
  <c r="Y276" i="1" s="1"/>
  <c r="Y277" i="1" s="1"/>
  <c r="Y278" i="1" s="1"/>
  <c r="Y279" i="1" s="1"/>
  <c r="Y280" i="1" s="1"/>
  <c r="Y281" i="1" s="1"/>
  <c r="Y282" i="1" s="1"/>
  <c r="R263" i="1"/>
  <c r="S263" i="1" s="1"/>
  <c r="I263" i="1"/>
  <c r="H263" i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R262" i="1"/>
  <c r="S262" i="1" s="1"/>
  <c r="Q261" i="1"/>
  <c r="R261" i="1" s="1"/>
  <c r="S261" i="1" s="1"/>
  <c r="R260" i="1"/>
  <c r="S260" i="1" s="1"/>
  <c r="Q260" i="1"/>
  <c r="S259" i="1"/>
  <c r="Q259" i="1"/>
  <c r="R259" i="1" s="1"/>
  <c r="R258" i="1"/>
  <c r="S258" i="1" s="1"/>
  <c r="Q258" i="1"/>
  <c r="Q257" i="1"/>
  <c r="R257" i="1" s="1"/>
  <c r="S257" i="1" s="1"/>
  <c r="R256" i="1"/>
  <c r="S256" i="1" s="1"/>
  <c r="Q256" i="1"/>
  <c r="Q255" i="1"/>
  <c r="R255" i="1" s="1"/>
  <c r="S255" i="1" s="1"/>
  <c r="R254" i="1"/>
  <c r="S254" i="1" s="1"/>
  <c r="Q254" i="1"/>
  <c r="Q253" i="1"/>
  <c r="R253" i="1" s="1"/>
  <c r="S253" i="1" s="1"/>
  <c r="Q252" i="1"/>
  <c r="R252" i="1" s="1"/>
  <c r="S252" i="1" s="1"/>
  <c r="O252" i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Q251" i="1"/>
  <c r="R251" i="1" s="1"/>
  <c r="S251" i="1" s="1"/>
  <c r="S250" i="1"/>
  <c r="Q250" i="1"/>
  <c r="R250" i="1" s="1"/>
  <c r="Q249" i="1"/>
  <c r="R249" i="1" s="1"/>
  <c r="S249" i="1" s="1"/>
  <c r="O249" i="1"/>
  <c r="Q248" i="1"/>
  <c r="R248" i="1" s="1"/>
  <c r="S248" i="1" s="1"/>
  <c r="R247" i="1"/>
  <c r="S247" i="1" s="1"/>
  <c r="Q247" i="1"/>
  <c r="Q246" i="1"/>
  <c r="R246" i="1" s="1"/>
  <c r="S246" i="1" s="1"/>
  <c r="Q245" i="1"/>
  <c r="R245" i="1" s="1"/>
  <c r="S245" i="1" s="1"/>
  <c r="Q244" i="1"/>
  <c r="R244" i="1" s="1"/>
  <c r="S244" i="1" s="1"/>
  <c r="Q243" i="1"/>
  <c r="R243" i="1" s="1"/>
  <c r="S243" i="1" s="1"/>
  <c r="Q242" i="1"/>
  <c r="R242" i="1" s="1"/>
  <c r="S242" i="1" s="1"/>
  <c r="R241" i="1"/>
  <c r="S241" i="1" s="1"/>
  <c r="Q241" i="1"/>
  <c r="Q240" i="1"/>
  <c r="R240" i="1" s="1"/>
  <c r="S240" i="1" s="1"/>
  <c r="Q239" i="1"/>
  <c r="R239" i="1" s="1"/>
  <c r="S239" i="1" s="1"/>
  <c r="Q238" i="1"/>
  <c r="R238" i="1" s="1"/>
  <c r="S238" i="1" s="1"/>
  <c r="R237" i="1"/>
  <c r="S237" i="1" s="1"/>
  <c r="Q237" i="1"/>
  <c r="S236" i="1"/>
  <c r="Q236" i="1"/>
  <c r="R236" i="1" s="1"/>
  <c r="S235" i="1"/>
  <c r="Q235" i="1"/>
  <c r="R235" i="1" s="1"/>
  <c r="Q234" i="1"/>
  <c r="R234" i="1" s="1"/>
  <c r="S234" i="1" s="1"/>
  <c r="Q233" i="1"/>
  <c r="R233" i="1" s="1"/>
  <c r="S233" i="1" s="1"/>
  <c r="Q232" i="1"/>
  <c r="R232" i="1" s="1"/>
  <c r="S232" i="1" s="1"/>
  <c r="Q231" i="1"/>
  <c r="R231" i="1" s="1"/>
  <c r="S231" i="1" s="1"/>
  <c r="Q230" i="1"/>
  <c r="R230" i="1" s="1"/>
  <c r="S230" i="1" s="1"/>
  <c r="Q229" i="1"/>
  <c r="R229" i="1" s="1"/>
  <c r="S229" i="1" s="1"/>
  <c r="R228" i="1"/>
  <c r="S228" i="1" s="1"/>
  <c r="Q228" i="1"/>
  <c r="I228" i="1"/>
  <c r="Q227" i="1"/>
  <c r="R227" i="1" s="1"/>
  <c r="S227" i="1" s="1"/>
  <c r="Z226" i="1"/>
  <c r="Q226" i="1"/>
  <c r="R226" i="1" s="1"/>
  <c r="S226" i="1" s="1"/>
  <c r="I226" i="1"/>
  <c r="Y225" i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Y261" i="1" s="1"/>
  <c r="Q225" i="1"/>
  <c r="R225" i="1" s="1"/>
  <c r="S225" i="1" s="1"/>
  <c r="Y224" i="1"/>
  <c r="Q224" i="1"/>
  <c r="R224" i="1" s="1"/>
  <c r="S224" i="1" s="1"/>
  <c r="H224" i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Q223" i="1"/>
  <c r="R223" i="1" s="1"/>
  <c r="S223" i="1" s="1"/>
  <c r="R222" i="1"/>
  <c r="S222" i="1" s="1"/>
  <c r="R221" i="1"/>
  <c r="S221" i="1" s="1"/>
  <c r="R220" i="1"/>
  <c r="S220" i="1" s="1"/>
  <c r="O220" i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R219" i="1"/>
  <c r="S219" i="1" s="1"/>
  <c r="R218" i="1"/>
  <c r="S218" i="1" s="1"/>
  <c r="R217" i="1"/>
  <c r="S217" i="1" s="1"/>
  <c r="R216" i="1"/>
  <c r="S216" i="1" s="1"/>
  <c r="R215" i="1"/>
  <c r="S215" i="1" s="1"/>
  <c r="O215" i="1"/>
  <c r="S214" i="1"/>
  <c r="R214" i="1"/>
  <c r="S213" i="1"/>
  <c r="R213" i="1"/>
  <c r="R212" i="1"/>
  <c r="S212" i="1" s="1"/>
  <c r="S211" i="1"/>
  <c r="R211" i="1"/>
  <c r="R210" i="1"/>
  <c r="S210" i="1" s="1"/>
  <c r="R209" i="1"/>
  <c r="S209" i="1" s="1"/>
  <c r="O209" i="1"/>
  <c r="R208" i="1"/>
  <c r="S208" i="1" s="1"/>
  <c r="R207" i="1"/>
  <c r="S207" i="1" s="1"/>
  <c r="S206" i="1"/>
  <c r="R206" i="1"/>
  <c r="S205" i="1"/>
  <c r="R205" i="1"/>
  <c r="R204" i="1"/>
  <c r="S204" i="1" s="1"/>
  <c r="R203" i="1"/>
  <c r="S203" i="1" s="1"/>
  <c r="R202" i="1"/>
  <c r="S202" i="1" s="1"/>
  <c r="S201" i="1"/>
  <c r="R201" i="1"/>
  <c r="R200" i="1"/>
  <c r="S200" i="1" s="1"/>
  <c r="R199" i="1"/>
  <c r="S199" i="1" s="1"/>
  <c r="S198" i="1"/>
  <c r="R198" i="1"/>
  <c r="R197" i="1"/>
  <c r="S197" i="1" s="1"/>
  <c r="R196" i="1"/>
  <c r="S196" i="1" s="1"/>
  <c r="R195" i="1"/>
  <c r="S195" i="1" s="1"/>
  <c r="H195" i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S194" i="1"/>
  <c r="R194" i="1"/>
  <c r="R193" i="1"/>
  <c r="S193" i="1" s="1"/>
  <c r="R192" i="1"/>
  <c r="S192" i="1" s="1"/>
  <c r="R191" i="1"/>
  <c r="S191" i="1" s="1"/>
  <c r="S190" i="1"/>
  <c r="R190" i="1"/>
  <c r="O190" i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R189" i="1"/>
  <c r="S189" i="1" s="1"/>
  <c r="S188" i="1"/>
  <c r="R188" i="1"/>
  <c r="S187" i="1"/>
  <c r="R187" i="1"/>
  <c r="S186" i="1"/>
  <c r="R186" i="1"/>
  <c r="R185" i="1"/>
  <c r="S185" i="1" s="1"/>
  <c r="R184" i="1"/>
  <c r="S184" i="1" s="1"/>
  <c r="O184" i="1"/>
  <c r="S183" i="1"/>
  <c r="R183" i="1"/>
  <c r="R182" i="1"/>
  <c r="S182" i="1" s="1"/>
  <c r="S181" i="1"/>
  <c r="R181" i="1"/>
  <c r="O181" i="1"/>
  <c r="O182" i="1" s="1"/>
  <c r="R180" i="1"/>
  <c r="S180" i="1" s="1"/>
  <c r="H180" i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R179" i="1"/>
  <c r="S179" i="1" s="1"/>
  <c r="O179" i="1"/>
  <c r="S178" i="1"/>
  <c r="R178" i="1"/>
  <c r="R177" i="1"/>
  <c r="S177" i="1" s="1"/>
  <c r="O177" i="1"/>
  <c r="O178" i="1" s="1"/>
  <c r="R176" i="1"/>
  <c r="S176" i="1" s="1"/>
  <c r="R175" i="1"/>
  <c r="S175" i="1" s="1"/>
  <c r="R174" i="1"/>
  <c r="S174" i="1" s="1"/>
  <c r="O174" i="1"/>
  <c r="R173" i="1"/>
  <c r="S173" i="1" s="1"/>
  <c r="O173" i="1"/>
  <c r="S172" i="1"/>
  <c r="R172" i="1"/>
  <c r="S171" i="1"/>
  <c r="R171" i="1"/>
  <c r="R170" i="1"/>
  <c r="S170" i="1" s="1"/>
  <c r="R169" i="1"/>
  <c r="S169" i="1" s="1"/>
  <c r="R168" i="1"/>
  <c r="S168" i="1" s="1"/>
  <c r="R167" i="1"/>
  <c r="S167" i="1" s="1"/>
  <c r="R166" i="1"/>
  <c r="S166" i="1" s="1"/>
  <c r="R165" i="1"/>
  <c r="S165" i="1" s="1"/>
  <c r="R164" i="1"/>
  <c r="S164" i="1" s="1"/>
  <c r="R163" i="1"/>
  <c r="S163" i="1" s="1"/>
  <c r="R162" i="1"/>
  <c r="S162" i="1" s="1"/>
  <c r="R161" i="1"/>
  <c r="S161" i="1" s="1"/>
  <c r="R160" i="1"/>
  <c r="S160" i="1" s="1"/>
  <c r="R159" i="1"/>
  <c r="S159" i="1" s="1"/>
  <c r="R158" i="1"/>
  <c r="S158" i="1" s="1"/>
  <c r="S157" i="1"/>
  <c r="R157" i="1"/>
  <c r="R156" i="1"/>
  <c r="S156" i="1" s="1"/>
  <c r="R155" i="1"/>
  <c r="S155" i="1" s="1"/>
  <c r="H155" i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R154" i="1"/>
  <c r="S154" i="1" s="1"/>
  <c r="R153" i="1"/>
  <c r="S153" i="1" s="1"/>
  <c r="R152" i="1"/>
  <c r="S152" i="1" s="1"/>
  <c r="R151" i="1"/>
  <c r="S151" i="1" s="1"/>
  <c r="R150" i="1"/>
  <c r="S150" i="1" s="1"/>
  <c r="R149" i="1"/>
  <c r="S149" i="1" s="1"/>
  <c r="R148" i="1"/>
  <c r="S148" i="1" s="1"/>
  <c r="R147" i="1"/>
  <c r="S147" i="1" s="1"/>
  <c r="R146" i="1"/>
  <c r="S146" i="1" s="1"/>
  <c r="R145" i="1"/>
  <c r="S145" i="1" s="1"/>
  <c r="S144" i="1"/>
  <c r="R144" i="1"/>
  <c r="S143" i="1"/>
  <c r="R143" i="1"/>
  <c r="S142" i="1"/>
  <c r="R142" i="1"/>
  <c r="R141" i="1"/>
  <c r="S141" i="1" s="1"/>
  <c r="R140" i="1"/>
  <c r="S140" i="1" s="1"/>
  <c r="R139" i="1"/>
  <c r="S139" i="1" s="1"/>
  <c r="R138" i="1"/>
  <c r="S138" i="1" s="1"/>
  <c r="R137" i="1"/>
  <c r="S137" i="1" s="1"/>
  <c r="R136" i="1"/>
  <c r="S136" i="1" s="1"/>
  <c r="R135" i="1"/>
  <c r="S135" i="1" s="1"/>
  <c r="R134" i="1"/>
  <c r="S134" i="1" s="1"/>
  <c r="R133" i="1"/>
  <c r="S133" i="1" s="1"/>
  <c r="S132" i="1"/>
  <c r="R132" i="1"/>
  <c r="R131" i="1"/>
  <c r="S131" i="1" s="1"/>
  <c r="R130" i="1"/>
  <c r="S130" i="1" s="1"/>
  <c r="Z129" i="1"/>
  <c r="S129" i="1"/>
  <c r="R129" i="1"/>
  <c r="R128" i="1"/>
  <c r="S128" i="1" s="1"/>
  <c r="S127" i="1"/>
  <c r="R127" i="1"/>
  <c r="H127" i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Y126" i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R126" i="1"/>
  <c r="S126" i="1" s="1"/>
  <c r="R125" i="1"/>
  <c r="S125" i="1" s="1"/>
  <c r="Q125" i="1"/>
  <c r="R124" i="1"/>
  <c r="S124" i="1" s="1"/>
  <c r="Q124" i="1"/>
  <c r="Q123" i="1"/>
  <c r="R123" i="1" s="1"/>
  <c r="S123" i="1" s="1"/>
  <c r="Q122" i="1"/>
  <c r="R122" i="1" s="1"/>
  <c r="S122" i="1" s="1"/>
  <c r="Q121" i="1"/>
  <c r="R121" i="1" s="1"/>
  <c r="S121" i="1" s="1"/>
  <c r="Q120" i="1"/>
  <c r="R120" i="1" s="1"/>
  <c r="S120" i="1" s="1"/>
  <c r="Q119" i="1"/>
  <c r="R119" i="1" s="1"/>
  <c r="S119" i="1" s="1"/>
  <c r="Q118" i="1"/>
  <c r="R118" i="1" s="1"/>
  <c r="S118" i="1" s="1"/>
  <c r="Q117" i="1"/>
  <c r="R117" i="1" s="1"/>
  <c r="S117" i="1" s="1"/>
  <c r="R116" i="1"/>
  <c r="S116" i="1" s="1"/>
  <c r="Q116" i="1"/>
  <c r="Q115" i="1"/>
  <c r="R115" i="1" s="1"/>
  <c r="S115" i="1" s="1"/>
  <c r="Q114" i="1"/>
  <c r="R114" i="1" s="1"/>
  <c r="S114" i="1" s="1"/>
  <c r="Q113" i="1"/>
  <c r="R113" i="1" s="1"/>
  <c r="S113" i="1" s="1"/>
  <c r="Q112" i="1"/>
  <c r="R112" i="1" s="1"/>
  <c r="S112" i="1" s="1"/>
  <c r="Q111" i="1"/>
  <c r="R111" i="1" s="1"/>
  <c r="S111" i="1" s="1"/>
  <c r="Q110" i="1"/>
  <c r="R110" i="1" s="1"/>
  <c r="S110" i="1" s="1"/>
  <c r="Q109" i="1"/>
  <c r="R109" i="1" s="1"/>
  <c r="S109" i="1" s="1"/>
  <c r="Q108" i="1"/>
  <c r="R108" i="1" s="1"/>
  <c r="S108" i="1" s="1"/>
  <c r="Q107" i="1"/>
  <c r="R107" i="1" s="1"/>
  <c r="S107" i="1" s="1"/>
  <c r="Q106" i="1"/>
  <c r="R106" i="1" s="1"/>
  <c r="S106" i="1" s="1"/>
  <c r="Q105" i="1"/>
  <c r="R105" i="1" s="1"/>
  <c r="S105" i="1" s="1"/>
  <c r="Q104" i="1"/>
  <c r="R104" i="1" s="1"/>
  <c r="S104" i="1" s="1"/>
  <c r="Q103" i="1"/>
  <c r="R103" i="1" s="1"/>
  <c r="S103" i="1" s="1"/>
  <c r="Q102" i="1"/>
  <c r="R102" i="1" s="1"/>
  <c r="S102" i="1" s="1"/>
  <c r="Q101" i="1"/>
  <c r="R101" i="1" s="1"/>
  <c r="S101" i="1" s="1"/>
  <c r="Q100" i="1"/>
  <c r="R100" i="1" s="1"/>
  <c r="S100" i="1" s="1"/>
  <c r="Q99" i="1"/>
  <c r="R99" i="1" s="1"/>
  <c r="S99" i="1" s="1"/>
  <c r="Q98" i="1"/>
  <c r="R98" i="1" s="1"/>
  <c r="S98" i="1" s="1"/>
  <c r="Q97" i="1"/>
  <c r="R97" i="1" s="1"/>
  <c r="S97" i="1" s="1"/>
  <c r="R96" i="1"/>
  <c r="S96" i="1" s="1"/>
  <c r="Q96" i="1"/>
  <c r="R95" i="1"/>
  <c r="S95" i="1" s="1"/>
  <c r="Q95" i="1"/>
  <c r="Q94" i="1"/>
  <c r="R94" i="1" s="1"/>
  <c r="S94" i="1" s="1"/>
  <c r="Q93" i="1"/>
  <c r="R93" i="1" s="1"/>
  <c r="S93" i="1" s="1"/>
  <c r="Q92" i="1"/>
  <c r="R92" i="1" s="1"/>
  <c r="S92" i="1" s="1"/>
  <c r="R91" i="1"/>
  <c r="S91" i="1" s="1"/>
  <c r="Q91" i="1"/>
  <c r="S90" i="1"/>
  <c r="Q90" i="1"/>
  <c r="R90" i="1" s="1"/>
  <c r="Q89" i="1"/>
  <c r="R89" i="1" s="1"/>
  <c r="S89" i="1" s="1"/>
  <c r="Q88" i="1"/>
  <c r="R88" i="1" s="1"/>
  <c r="S88" i="1" s="1"/>
  <c r="R87" i="1"/>
  <c r="S87" i="1" s="1"/>
  <c r="Q87" i="1"/>
  <c r="S86" i="1"/>
  <c r="Q86" i="1"/>
  <c r="R86" i="1" s="1"/>
  <c r="Q85" i="1"/>
  <c r="R85" i="1" s="1"/>
  <c r="S85" i="1" s="1"/>
  <c r="Q84" i="1"/>
  <c r="R84" i="1" s="1"/>
  <c r="S84" i="1" s="1"/>
  <c r="Q83" i="1"/>
  <c r="R83" i="1" s="1"/>
  <c r="S83" i="1" s="1"/>
  <c r="Q82" i="1"/>
  <c r="R82" i="1" s="1"/>
  <c r="S82" i="1" s="1"/>
  <c r="Q81" i="1"/>
  <c r="R81" i="1" s="1"/>
  <c r="S81" i="1" s="1"/>
  <c r="R80" i="1"/>
  <c r="S80" i="1" s="1"/>
  <c r="Q80" i="1"/>
  <c r="Q79" i="1"/>
  <c r="R79" i="1" s="1"/>
  <c r="S79" i="1" s="1"/>
  <c r="Q78" i="1"/>
  <c r="R78" i="1" s="1"/>
  <c r="S78" i="1" s="1"/>
  <c r="Q77" i="1"/>
  <c r="R77" i="1" s="1"/>
  <c r="S77" i="1" s="1"/>
  <c r="Q76" i="1"/>
  <c r="R76" i="1" s="1"/>
  <c r="S76" i="1" s="1"/>
  <c r="Q75" i="1"/>
  <c r="R75" i="1" s="1"/>
  <c r="S75" i="1" s="1"/>
  <c r="Q74" i="1"/>
  <c r="R74" i="1" s="1"/>
  <c r="S74" i="1" s="1"/>
  <c r="Q73" i="1"/>
  <c r="R73" i="1" s="1"/>
  <c r="S73" i="1" s="1"/>
  <c r="Q72" i="1"/>
  <c r="R72" i="1" s="1"/>
  <c r="S72" i="1" s="1"/>
  <c r="Q71" i="1"/>
  <c r="R71" i="1" s="1"/>
  <c r="S71" i="1" s="1"/>
  <c r="Q70" i="1"/>
  <c r="R70" i="1" s="1"/>
  <c r="S70" i="1" s="1"/>
  <c r="Q69" i="1"/>
  <c r="R69" i="1" s="1"/>
  <c r="S69" i="1" s="1"/>
  <c r="Q68" i="1"/>
  <c r="R68" i="1" s="1"/>
  <c r="S68" i="1" s="1"/>
  <c r="R67" i="1"/>
  <c r="S67" i="1" s="1"/>
  <c r="Q67" i="1"/>
  <c r="S66" i="1"/>
  <c r="Q66" i="1"/>
  <c r="R66" i="1" s="1"/>
  <c r="Q65" i="1"/>
  <c r="R65" i="1" s="1"/>
  <c r="S65" i="1" s="1"/>
  <c r="Q64" i="1"/>
  <c r="R64" i="1" s="1"/>
  <c r="S64" i="1" s="1"/>
  <c r="Q63" i="1"/>
  <c r="R63" i="1" s="1"/>
  <c r="S63" i="1" s="1"/>
  <c r="Q62" i="1"/>
  <c r="R62" i="1" s="1"/>
  <c r="S62" i="1" s="1"/>
  <c r="R61" i="1"/>
  <c r="S61" i="1" s="1"/>
  <c r="Q61" i="1"/>
  <c r="Q60" i="1"/>
  <c r="R60" i="1" s="1"/>
  <c r="S60" i="1" s="1"/>
  <c r="R59" i="1"/>
  <c r="S59" i="1" s="1"/>
  <c r="Q59" i="1"/>
  <c r="S58" i="1"/>
  <c r="Q58" i="1"/>
  <c r="R58" i="1" s="1"/>
  <c r="Q57" i="1"/>
  <c r="R57" i="1" s="1"/>
  <c r="S57" i="1" s="1"/>
  <c r="Q56" i="1"/>
  <c r="R56" i="1" s="1"/>
  <c r="S56" i="1" s="1"/>
  <c r="Q55" i="1"/>
  <c r="R55" i="1" s="1"/>
  <c r="S55" i="1" s="1"/>
  <c r="Q54" i="1"/>
  <c r="R54" i="1" s="1"/>
  <c r="S54" i="1" s="1"/>
  <c r="R53" i="1"/>
  <c r="S53" i="1" s="1"/>
  <c r="Q53" i="1"/>
  <c r="R52" i="1"/>
  <c r="S52" i="1" s="1"/>
  <c r="R51" i="1"/>
  <c r="S51" i="1" s="1"/>
  <c r="R50" i="1"/>
  <c r="S50" i="1" s="1"/>
  <c r="R49" i="1"/>
  <c r="S49" i="1" s="1"/>
  <c r="Z48" i="1"/>
  <c r="R48" i="1"/>
  <c r="S48" i="1" s="1"/>
  <c r="R47" i="1"/>
  <c r="S47" i="1" s="1"/>
  <c r="S46" i="1"/>
  <c r="R46" i="1"/>
  <c r="R45" i="1"/>
  <c r="S45" i="1" s="1"/>
  <c r="T45" i="1" s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N10" i="1"/>
  <c r="O9" i="1"/>
  <c r="N9" i="1"/>
  <c r="N8" i="1"/>
  <c r="N7" i="1"/>
  <c r="N6" i="1"/>
  <c r="Y5" i="1"/>
  <c r="X5" i="1"/>
  <c r="W5" i="1"/>
  <c r="N5" i="1"/>
  <c r="M5" i="1"/>
  <c r="K5" i="1"/>
  <c r="H5" i="1"/>
  <c r="G5" i="1"/>
  <c r="Y309" i="2" l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0" i="2" s="1"/>
  <c r="Y321" i="2" s="1"/>
  <c r="Y322" i="2" s="1"/>
  <c r="Y323" i="2" s="1"/>
  <c r="Y324" i="2" s="1"/>
  <c r="Y325" i="2" s="1"/>
  <c r="Y326" i="2" s="1"/>
  <c r="Y328" i="2" s="1"/>
  <c r="Y329" i="2" s="1"/>
  <c r="Y330" i="2" s="1"/>
  <c r="Y331" i="2" s="1"/>
  <c r="Y332" i="2" s="1"/>
  <c r="Y333" i="2" s="1"/>
  <c r="Y334" i="2" s="1"/>
  <c r="Y335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Y346" i="2" s="1"/>
  <c r="Y347" i="2" s="1"/>
  <c r="Y348" i="2" s="1"/>
  <c r="Y349" i="2" s="1"/>
  <c r="Y350" i="2" s="1"/>
  <c r="Y351" i="2" s="1"/>
  <c r="Y352" i="2" s="1"/>
  <c r="Y353" i="2" s="1"/>
  <c r="Y354" i="2" s="1"/>
  <c r="Y355" i="2" s="1"/>
  <c r="Y356" i="2" s="1"/>
  <c r="Y357" i="2" s="1"/>
  <c r="Y358" i="2" s="1"/>
  <c r="Y359" i="2" s="1"/>
  <c r="Y360" i="2" s="1"/>
  <c r="Y361" i="2" s="1"/>
  <c r="H286" i="2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U52" i="2"/>
  <c r="T48" i="2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352" i="1"/>
  <c r="T353" i="1" s="1"/>
  <c r="T46" i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329" i="1"/>
  <c r="T358" i="1"/>
  <c r="T359" i="1" s="1"/>
  <c r="T360" i="1" s="1"/>
  <c r="T361" i="1" s="1"/>
  <c r="T347" i="1"/>
  <c r="U56" i="2" l="1"/>
  <c r="U58" i="2" s="1"/>
  <c r="U54" i="2"/>
  <c r="T127" i="2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U54" i="1"/>
  <c r="U52" i="1"/>
  <c r="T127" i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330" i="1"/>
  <c r="T331" i="1" s="1"/>
  <c r="T332" i="1" s="1"/>
  <c r="T333" i="1" s="1"/>
  <c r="T334" i="1" s="1"/>
  <c r="T335" i="1" s="1"/>
  <c r="T336" i="1" s="1"/>
  <c r="T337" i="1" s="1"/>
  <c r="U56" i="1"/>
  <c r="U137" i="2" l="1"/>
  <c r="U141" i="2" s="1"/>
  <c r="U133" i="2"/>
  <c r="U337" i="1"/>
  <c r="U137" i="1"/>
  <c r="U335" i="1"/>
  <c r="U133" i="1"/>
  <c r="T224" i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U236" i="2" l="1"/>
  <c r="T263" i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U234" i="1"/>
  <c r="U230" i="1"/>
  <c r="U232" i="1"/>
  <c r="U277" i="2" l="1"/>
  <c r="U271" i="1"/>
  <c r="U269" i="1"/>
  <c r="T284" i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U273" i="1"/>
  <c r="U298" i="2" l="1"/>
  <c r="U340" i="2"/>
  <c r="U292" i="1"/>
  <c r="T307" i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U290" i="1"/>
  <c r="U294" i="1"/>
  <c r="U321" i="2" l="1"/>
  <c r="U315" i="1"/>
  <c r="U317" i="1"/>
</calcChain>
</file>

<file path=xl/sharedStrings.xml><?xml version="1.0" encoding="utf-8"?>
<sst xmlns="http://schemas.openxmlformats.org/spreadsheetml/2006/main" count="319" uniqueCount="61">
  <si>
    <t>SEMIS RAGT15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</si>
  <si>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</si>
  <si>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</si>
  <si>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</si>
  <si>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</si>
  <si>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</si>
  <si>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</si>
  <si>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</si>
  <si>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</si>
  <si>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</si>
  <si>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</si>
  <si>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</si>
  <si>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</si>
  <si>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</si>
  <si>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</si>
  <si>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</si>
  <si>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</si>
  <si>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</si>
  <si>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</si>
  <si>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</si>
  <si>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</si>
  <si>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Montego</t>
  </si>
  <si>
    <t>Aviso</t>
  </si>
  <si>
    <t>Fin FLO</t>
  </si>
  <si>
    <t>RECOLTE RAGT15</t>
  </si>
  <si>
    <t>TEMPERATURE</t>
  </si>
  <si>
    <t>ETAT HYDRIQUE</t>
  </si>
  <si>
    <t>RAYONNEMENT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</si>
  <si>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</si>
  <si>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</si>
  <si>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</si>
  <si>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</si>
  <si>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</si>
  <si>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</si>
  <si>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</si>
  <si>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</si>
  <si>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</si>
  <si>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 (mm)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</si>
  <si>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</si>
  <si>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</si>
  <si>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</si>
  <si>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</si>
  <si>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</si>
  <si>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</si>
  <si>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</si>
  <si>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</si>
  <si>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</si>
  <si>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</si>
  <si>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Cumul_RG</t>
  </si>
  <si>
    <t>FLO</t>
  </si>
  <si>
    <t>Fin Flo</t>
  </si>
  <si>
    <t>P300</t>
  </si>
  <si>
    <t>P600</t>
  </si>
  <si>
    <t>P1000</t>
  </si>
  <si>
    <t>N75</t>
  </si>
  <si>
    <t>N100</t>
  </si>
  <si>
    <t>WSC_I</t>
  </si>
  <si>
    <t>BI</t>
  </si>
  <si>
    <t>DRF</t>
  </si>
  <si>
    <t>TS</t>
  </si>
  <si>
    <t>IRF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</si>
</sst>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u/>
      <sz val="11"/>
      <color rgb="FF0000FF"/>
      <name val="Calibri"/>
      <family val="2"/>
    </font>
    <font>
      <b/>
      <i/>
      <u/>
      <sz val="11"/>
      <color rgb="FFFFC000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60497A"/>
        <bgColor rgb="FF000000"/>
      </patternFill>
    </fill>
    <fill>
      <patternFill patternType="solid">
        <fgColor rgb="FFDDD9C4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CCECFF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0" xfId="0" applyFill="1" applyAlignment="1"/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center" vertical="center" wrapText="1"/>
    </xf>
    <xf numFmtId="14" fontId="3" fillId="2" borderId="0" xfId="0" applyNumberFormat="1" applyFont="1" applyFill="1" applyBorder="1"/>
    <xf numFmtId="0" fontId="3" fillId="0" borderId="0" xfId="0" applyFont="1" applyFill="1" applyBorder="1"/>
    <xf numFmtId="0" fontId="3" fillId="3" borderId="0" xfId="0" applyFont="1" applyFill="1" applyBorder="1"/>
    <xf numFmtId="0" fontId="3" fillId="4" borderId="0" xfId="0" applyFont="1" applyFill="1" applyBorder="1"/>
    <xf numFmtId="164" fontId="3" fillId="0" borderId="0" xfId="0" applyNumberFormat="1" applyFont="1" applyFill="1" applyBorder="1"/>
    <xf numFmtId="0" fontId="3" fillId="0" borderId="0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5" fillId="4" borderId="0" xfId="0" applyFont="1" applyFill="1" applyBorder="1"/>
    <xf numFmtId="0" fontId="3" fillId="6" borderId="0" xfId="0" applyFont="1" applyFill="1" applyBorder="1"/>
    <xf numFmtId="2" fontId="3" fillId="0" borderId="0" xfId="0" applyNumberFormat="1" applyFont="1" applyFill="1" applyBorder="1"/>
    <xf numFmtId="0" fontId="3" fillId="7" borderId="0" xfId="0" applyFont="1" applyFill="1" applyBorder="1"/>
    <xf numFmtId="0" fontId="3" fillId="8" borderId="0" xfId="0" applyFont="1" applyFill="1" applyBorder="1"/>
    <xf numFmtId="0" fontId="3" fillId="9" borderId="0" xfId="0" applyFont="1" applyFill="1" applyBorder="1"/>
    <xf numFmtId="0" fontId="3" fillId="10" borderId="0" xfId="0" applyFont="1" applyFill="1" applyBorder="1"/>
    <xf numFmtId="0" fontId="5" fillId="11" borderId="0" xfId="0" applyFont="1" applyFill="1" applyBorder="1" applyAlignment="1">
      <alignment horizontal="center" vertical="center"/>
    </xf>
    <xf numFmtId="0" fontId="5" fillId="13" borderId="0" xfId="0" applyFont="1" applyFill="1" applyBorder="1"/>
    <xf numFmtId="0" fontId="3" fillId="14" borderId="0" xfId="0" applyFont="1" applyFill="1" applyBorder="1"/>
    <xf numFmtId="0" fontId="5" fillId="15" borderId="0" xfId="0" applyFont="1" applyFill="1" applyBorder="1"/>
    <xf numFmtId="0" fontId="7" fillId="0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/>
    <xf numFmtId="0" fontId="8" fillId="0" borderId="0" xfId="0" applyFont="1" applyFill="1" applyBorder="1"/>
    <xf numFmtId="0" fontId="8" fillId="8" borderId="0" xfId="0" applyFont="1" applyFill="1" applyBorder="1"/>
    <xf numFmtId="0" fontId="8" fillId="3" borderId="0" xfId="0" applyFont="1" applyFill="1" applyBorder="1"/>
    <xf numFmtId="164" fontId="8" fillId="0" borderId="0" xfId="0" applyNumberFormat="1" applyFont="1" applyFill="1" applyBorder="1"/>
    <xf numFmtId="14" fontId="3" fillId="0" borderId="0" xfId="0" applyNumberFormat="1" applyFont="1" applyFill="1" applyBorder="1"/>
    <xf numFmtId="0" fontId="5" fillId="0" borderId="0" xfId="0" applyFont="1" applyFill="1" applyBorder="1"/>
    <xf numFmtId="0" fontId="5" fillId="16" borderId="0" xfId="0" applyFont="1" applyFill="1" applyBorder="1" applyAlignment="1">
      <alignment horizontal="center" vertical="center"/>
    </xf>
    <xf numFmtId="0" fontId="5" fillId="16" borderId="0" xfId="0" applyFont="1" applyFill="1" applyBorder="1"/>
    <xf numFmtId="0" fontId="6" fillId="16" borderId="0" xfId="0" applyFont="1" applyFill="1" applyBorder="1"/>
    <xf numFmtId="0" fontId="8" fillId="0" borderId="0" xfId="0" applyFont="1" applyFill="1" applyBorder="1" applyAlignment="1"/>
    <xf numFmtId="0" fontId="5" fillId="7" borderId="0" xfId="0" applyFont="1" applyFill="1" applyBorder="1"/>
    <xf numFmtId="0" fontId="5" fillId="17" borderId="0" xfId="0" applyFont="1" applyFill="1" applyBorder="1"/>
    <xf numFmtId="0" fontId="8" fillId="7" borderId="0" xfId="0" applyFont="1" applyFill="1" applyBorder="1"/>
    <xf numFmtId="0" fontId="5" fillId="18" borderId="0" xfId="0" applyFont="1" applyFill="1" applyBorder="1"/>
    <xf numFmtId="0" fontId="9" fillId="0" borderId="0" xfId="1" applyFont="1" applyFill="1" applyBorder="1"/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4" fontId="6" fillId="12" borderId="1" xfId="0" applyNumberFormat="1" applyFont="1" applyFill="1" applyBorder="1"/>
    <xf numFmtId="0" fontId="6" fillId="12" borderId="1" xfId="0" applyFont="1" applyFill="1" applyBorder="1"/>
    <xf numFmtId="0" fontId="6" fillId="0" borderId="1" xfId="0" applyFont="1" applyFill="1" applyBorder="1"/>
    <xf numFmtId="0" fontId="13" fillId="0" borderId="1" xfId="0" applyFont="1" applyFill="1" applyBorder="1"/>
    <xf numFmtId="164" fontId="6" fillId="0" borderId="1" xfId="0" applyNumberFormat="1" applyFont="1" applyFill="1" applyBorder="1"/>
    <xf numFmtId="164" fontId="13" fillId="0" borderId="1" xfId="0" applyNumberFormat="1" applyFont="1" applyFill="1" applyBorder="1"/>
    <xf numFmtId="0" fontId="6" fillId="6" borderId="1" xfId="0" applyFont="1" applyFill="1" applyBorder="1"/>
    <xf numFmtId="0" fontId="13" fillId="10" borderId="1" xfId="0" applyFont="1" applyFill="1" applyBorder="1"/>
    <xf numFmtId="0" fontId="6" fillId="0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/>
    <xf numFmtId="0" fontId="6" fillId="3" borderId="1" xfId="0" applyFont="1" applyFill="1" applyBorder="1"/>
    <xf numFmtId="2" fontId="13" fillId="0" borderId="1" xfId="0" applyNumberFormat="1" applyFont="1" applyFill="1" applyBorder="1"/>
    <xf numFmtId="0" fontId="6" fillId="16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/>
    <xf numFmtId="0" fontId="6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/>
    <xf numFmtId="14" fontId="13" fillId="2" borderId="1" xfId="0" applyNumberFormat="1" applyFont="1" applyFill="1" applyBorder="1"/>
    <xf numFmtId="0" fontId="13" fillId="3" borderId="1" xfId="0" applyFont="1" applyFill="1" applyBorder="1"/>
    <xf numFmtId="164" fontId="3" fillId="0" borderId="1" xfId="0" applyNumberFormat="1" applyFont="1" applyFill="1" applyBorder="1"/>
    <xf numFmtId="0" fontId="3" fillId="0" borderId="1" xfId="0" applyFont="1" applyFill="1" applyBorder="1"/>
    <xf numFmtId="0" fontId="8" fillId="0" borderId="0" xfId="0" applyFont="1" applyFill="1" applyBorder="1" applyAlignment="1">
      <alignment horizontal="center" vertical="center"/>
    </xf>
    <xf numFmtId="0" fontId="8" fillId="16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/>
    <xf numFmtId="0" fontId="3" fillId="3" borderId="1" xfId="0" applyFont="1" applyFill="1" applyBorder="1"/>
    <xf numFmtId="0" fontId="12" fillId="0" borderId="1" xfId="0" applyFont="1" applyFill="1" applyBorder="1" applyAlignment="1">
      <alignment horizontal="center" vertical="center"/>
    </xf>
    <xf numFmtId="0" fontId="7" fillId="0" borderId="1" xfId="0" applyFont="1" applyFill="1" applyBorder="1"/>
    <xf numFmtId="0" fontId="13" fillId="0" borderId="1" xfId="0" applyFont="1" applyFill="1" applyBorder="1" applyAlignment="1">
      <alignment horizontal="center" vertical="center" wrapText="1"/>
    </xf>
    <xf numFmtId="0" fontId="5" fillId="18" borderId="0" xfId="0" applyFont="1" applyFill="1" applyBorder="1" applyAlignment="1">
      <alignment horizontal="center" vertical="center" textRotation="255"/>
    </xf>
    <xf numFmtId="0" fontId="10" fillId="19" borderId="0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5" borderId="0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 textRotation="255"/>
    </xf>
    <xf numFmtId="0" fontId="5" fillId="13" borderId="0" xfId="0" applyFont="1" applyFill="1" applyBorder="1" applyAlignment="1">
      <alignment horizontal="center" vertical="center" textRotation="255"/>
    </xf>
    <xf numFmtId="0" fontId="5" fillId="15" borderId="0" xfId="0" applyFont="1" applyFill="1" applyBorder="1" applyAlignment="1">
      <alignment horizontal="center" vertical="center" textRotation="255"/>
    </xf>
    <xf numFmtId="0" fontId="5" fillId="7" borderId="0" xfId="0" applyFont="1" applyFill="1" applyBorder="1" applyAlignment="1">
      <alignment horizontal="center" vertical="center" textRotation="255"/>
    </xf>
    <xf numFmtId="0" fontId="5" fillId="17" borderId="0" xfId="0" applyFont="1" applyFill="1" applyBorder="1" applyAlignment="1">
      <alignment horizontal="center" vertical="center" textRotation="255"/>
    </xf>
    <xf numFmtId="0" fontId="5" fillId="7" borderId="2" xfId="0" applyFont="1" applyFill="1" applyBorder="1" applyAlignment="1">
      <alignment horizontal="center" vertical="center" textRotation="255"/>
    </xf>
    <xf numFmtId="0" fontId="5" fillId="17" borderId="1" xfId="0" applyFont="1" applyFill="1" applyBorder="1" applyAlignment="1">
      <alignment horizontal="center" vertical="center" textRotation="255"/>
    </xf>
    <xf numFmtId="0" fontId="5" fillId="18" borderId="2" xfId="0" applyFont="1" applyFill="1" applyBorder="1" applyAlignment="1">
      <alignment horizontal="center" vertical="center" textRotation="255"/>
    </xf>
    <xf numFmtId="0" fontId="5" fillId="20" borderId="0" xfId="0" applyFont="1" applyFill="1" applyBorder="1" applyAlignment="1">
      <alignment horizontal="center" vertical="center"/>
    </xf>
    <xf numFmtId="14" fontId="3" fillId="21" borderId="0" xfId="0" applyNumberFormat="1" applyFont="1" applyFill="1" applyBorder="1"/>
    <xf numFmtId="0" fontId="3" fillId="20" borderId="0" xfId="0" applyFont="1" applyFill="1" applyBorder="1"/>
    <xf numFmtId="0" fontId="3" fillId="21" borderId="0" xfId="0" applyFont="1" applyFill="1" applyBorder="1"/>
    <xf numFmtId="2" fontId="3" fillId="20" borderId="0" xfId="0" applyNumberFormat="1" applyFont="1" applyFill="1" applyBorder="1"/>
    <xf numFmtId="164" fontId="3" fillId="20" borderId="0" xfId="0" applyNumberFormat="1" applyFont="1" applyFill="1" applyBorder="1"/>
    <xf numFmtId="0" fontId="5" fillId="21" borderId="0" xfId="0" applyFont="1" applyFill="1" applyBorder="1" applyAlignment="1">
      <alignment horizontal="center" vertical="center"/>
    </xf>
    <xf numFmtId="0" fontId="5" fillId="21" borderId="0" xfId="0" applyFont="1" applyFill="1" applyBorder="1"/>
    <xf numFmtId="0" fontId="13" fillId="20" borderId="0" xfId="0" applyFont="1" applyFill="1" applyBorder="1" applyAlignment="1"/>
    <xf numFmtId="0" fontId="13" fillId="0" borderId="0" xfId="0" applyFont="1" applyFill="1" applyBorder="1"/>
    <xf numFmtId="0" fontId="3" fillId="22" borderId="0" xfId="0" applyFont="1" applyFill="1" applyBorder="1"/>
    <xf numFmtId="164" fontId="3" fillId="22" borderId="0" xfId="0" applyNumberFormat="1" applyFont="1" applyFill="1" applyBorder="1"/>
    <xf numFmtId="164" fontId="13" fillId="22" borderId="1" xfId="0" applyNumberFormat="1" applyFont="1" applyFill="1" applyBorder="1"/>
    <xf numFmtId="0" fontId="8" fillId="22" borderId="0" xfId="0" applyFont="1" applyFill="1" applyBorder="1"/>
    <xf numFmtId="0" fontId="6" fillId="22" borderId="1" xfId="0" applyFont="1" applyFill="1" applyBorder="1"/>
  </cellXfs>
  <cellStyles count="2">
    <cellStyle name="Lien hypertexte" xfId="1" builtinId="8"/>
    <cellStyle name="Normal" xfId="0" builtinId="0"/>
  </cellStyles>
  <dxfs count="12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62"/>
  <sheetViews>
    <sheetView tabSelected="1" zoomScale="70" zoomScaleNormal="70" workbookViewId="0">
      <pane xSplit="3" ySplit="4" topLeftCell="D233" activePane="bottomRight" state="frozen"/>
      <selection pane="topRight" activeCell="D1" sqref="D1"/>
      <selection pane="bottomLeft" activeCell="A5" sqref="A5"/>
      <selection pane="bottomRight" activeCell="L259" sqref="L259"/>
    </sheetView>
  </sheetViews>
  <sheetFormatPr baseColWidth="10" defaultRowHeight="15" x14ac:dyDescent="0.25"/>
  <sheetData>
    <row r="1" spans="1:26" x14ac:dyDescent="0.25">
      <c r="B1" s="1"/>
      <c r="D1" s="72" t="s">
        <v>25</v>
      </c>
      <c r="E1" s="72"/>
      <c r="F1" s="72"/>
      <c r="G1" s="72"/>
      <c r="H1" s="72"/>
      <c r="I1" s="72"/>
      <c r="J1" s="72" t="s">
        <v>26</v>
      </c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 t="s">
        <v>27</v>
      </c>
      <c r="W1" s="72"/>
      <c r="X1" s="72"/>
      <c r="Y1" s="72"/>
      <c r="Z1" s="72"/>
    </row>
    <row r="2" spans="1:26" x14ac:dyDescent="0.25">
      <c r="B2" s="1"/>
      <c r="C2" s="39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spans="1:26" x14ac:dyDescent="0.25">
      <c r="B3" s="1"/>
      <c r="C3" s="39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x14ac:dyDescent="0.25">
      <c r="A4" t="s">
        <v>28</v>
      </c>
      <c r="B4" s="1">
        <v>5</v>
      </c>
      <c r="C4" t="s">
        <v>29</v>
      </c>
      <c r="D4" t="s">
        <v>30</v>
      </c>
      <c r="E4" t="s">
        <v>31</v>
      </c>
      <c r="F4" t="s">
        <v>32</v>
      </c>
      <c r="G4" s="73" t="s">
        <v>33</v>
      </c>
      <c r="H4" s="73"/>
      <c r="I4" t="s">
        <v>34</v>
      </c>
      <c r="J4" t="s">
        <v>35</v>
      </c>
      <c r="K4" t="s">
        <v>36</v>
      </c>
      <c r="L4" t="s">
        <v>37</v>
      </c>
      <c r="M4" t="s">
        <v>38</v>
      </c>
      <c r="N4" t="s">
        <v>39</v>
      </c>
      <c r="O4" t="s">
        <v>40</v>
      </c>
      <c r="P4" t="s">
        <v>41</v>
      </c>
      <c r="Q4" t="s">
        <v>42</v>
      </c>
      <c r="R4" t="s">
        <v>43</v>
      </c>
      <c r="S4" t="s">
        <v>44</v>
      </c>
      <c r="T4" t="s">
        <v>45</v>
      </c>
      <c r="U4" t="s">
        <v>34</v>
      </c>
      <c r="V4" t="s">
        <v>46</v>
      </c>
      <c r="W4" t="s">
        <v>47</v>
      </c>
      <c r="X4" s="73" t="s">
        <v>48</v>
      </c>
      <c r="Y4" s="73"/>
      <c r="Z4" t="s">
        <v>34</v>
      </c>
    </row>
    <row r="5" spans="1:26" s="5" customFormat="1" x14ac:dyDescent="0.25">
      <c r="A5" s="2"/>
      <c r="B5" s="3"/>
      <c r="C5" s="4">
        <v>41853</v>
      </c>
      <c r="D5" s="5">
        <v>20.100000000000001</v>
      </c>
      <c r="E5" s="5">
        <v>18.899999999999999</v>
      </c>
      <c r="F5" s="5">
        <v>23.8</v>
      </c>
      <c r="G5" s="5" t="e">
        <f>#REF!+D5</f>
        <v>#REF!</v>
      </c>
      <c r="H5" s="5" t="e">
        <f>#REF!+D5</f>
        <v>#REF!</v>
      </c>
      <c r="J5" s="5">
        <v>1.6</v>
      </c>
      <c r="K5" s="5" t="e">
        <f>#REF!+J5</f>
        <v>#REF!</v>
      </c>
      <c r="L5" s="5">
        <v>4</v>
      </c>
      <c r="M5" s="5" t="e">
        <f>#REF!+L5</f>
        <v>#REF!</v>
      </c>
      <c r="N5" s="6">
        <f t="shared" ref="N5" si="0">J5-L5</f>
        <v>-2.4</v>
      </c>
      <c r="O5" s="7">
        <v>0</v>
      </c>
      <c r="R5" s="8"/>
      <c r="S5" s="8"/>
      <c r="T5" s="8"/>
      <c r="V5" s="5">
        <v>1460.2</v>
      </c>
      <c r="W5" s="5">
        <f>V5/D5</f>
        <v>72.646766169154219</v>
      </c>
      <c r="X5" s="5" t="e">
        <f>#REF!+V5</f>
        <v>#REF!</v>
      </c>
      <c r="Y5" s="5" t="e">
        <f>#REF!+V5</f>
        <v>#REF!</v>
      </c>
    </row>
    <row r="6" spans="1:26" s="5" customFormat="1" x14ac:dyDescent="0.25">
      <c r="B6" s="9"/>
      <c r="C6" s="4">
        <v>41854</v>
      </c>
      <c r="D6" s="5">
        <v>18.5</v>
      </c>
      <c r="E6" s="5">
        <v>16.100000000000001</v>
      </c>
      <c r="F6" s="5">
        <v>22.6</v>
      </c>
      <c r="J6" s="5">
        <v>0.1</v>
      </c>
      <c r="L6" s="5">
        <v>3.1</v>
      </c>
      <c r="N6" s="6">
        <f>J6-L6</f>
        <v>-3</v>
      </c>
      <c r="O6" s="5">
        <v>0</v>
      </c>
      <c r="T6" s="8"/>
      <c r="V6" s="5">
        <v>1303.3</v>
      </c>
    </row>
    <row r="7" spans="1:26" s="5" customFormat="1" x14ac:dyDescent="0.25">
      <c r="B7" s="9"/>
      <c r="C7" s="4">
        <v>41855</v>
      </c>
      <c r="D7" s="5">
        <v>18.3</v>
      </c>
      <c r="E7" s="5">
        <v>13.3</v>
      </c>
      <c r="F7" s="5">
        <v>23.2</v>
      </c>
      <c r="J7" s="5">
        <v>0.1</v>
      </c>
      <c r="L7" s="5">
        <v>3.1</v>
      </c>
      <c r="N7" s="6">
        <f t="shared" ref="N7:N43" si="1">J7-L7</f>
        <v>-3</v>
      </c>
      <c r="O7" s="5">
        <v>0</v>
      </c>
      <c r="T7" s="8"/>
      <c r="V7" s="5">
        <v>1469.6</v>
      </c>
    </row>
    <row r="8" spans="1:26" s="5" customFormat="1" x14ac:dyDescent="0.25">
      <c r="B8" s="9"/>
      <c r="C8" s="4">
        <v>41856</v>
      </c>
      <c r="D8" s="5">
        <v>18.7</v>
      </c>
      <c r="E8" s="5">
        <v>13.1</v>
      </c>
      <c r="F8" s="5">
        <v>23.2</v>
      </c>
      <c r="J8" s="5">
        <v>0.4</v>
      </c>
      <c r="L8" s="5">
        <v>4</v>
      </c>
      <c r="N8" s="6">
        <f t="shared" si="1"/>
        <v>-3.6</v>
      </c>
      <c r="O8" s="5">
        <v>0</v>
      </c>
      <c r="T8" s="8"/>
      <c r="V8" s="5">
        <v>2118.9</v>
      </c>
    </row>
    <row r="9" spans="1:26" s="5" customFormat="1" x14ac:dyDescent="0.25">
      <c r="B9" s="9"/>
      <c r="C9" s="4">
        <v>41857</v>
      </c>
      <c r="D9" s="5">
        <v>17.7</v>
      </c>
      <c r="E9" s="5">
        <v>16.7</v>
      </c>
      <c r="F9" s="5">
        <v>19.899999999999999</v>
      </c>
      <c r="J9" s="5">
        <v>2.7</v>
      </c>
      <c r="L9" s="5">
        <v>1.5</v>
      </c>
      <c r="N9" s="5">
        <f t="shared" si="1"/>
        <v>1.2000000000000002</v>
      </c>
      <c r="O9" s="5">
        <f>O8+N9</f>
        <v>1.2000000000000002</v>
      </c>
      <c r="T9" s="8"/>
      <c r="V9" s="5">
        <v>486.8</v>
      </c>
    </row>
    <row r="10" spans="1:26" s="5" customFormat="1" x14ac:dyDescent="0.25">
      <c r="B10" s="9"/>
      <c r="C10" s="4">
        <v>41858</v>
      </c>
      <c r="D10" s="5">
        <v>19.600000000000001</v>
      </c>
      <c r="E10" s="5">
        <v>14.8</v>
      </c>
      <c r="F10" s="5">
        <v>24.3</v>
      </c>
      <c r="J10" s="5">
        <v>0.7</v>
      </c>
      <c r="L10" s="5">
        <v>3.2</v>
      </c>
      <c r="N10" s="6">
        <f t="shared" si="1"/>
        <v>-2.5</v>
      </c>
      <c r="O10" s="5">
        <v>0</v>
      </c>
      <c r="T10" s="8"/>
      <c r="V10" s="5">
        <v>1423.5</v>
      </c>
    </row>
    <row r="11" spans="1:26" s="5" customFormat="1" x14ac:dyDescent="0.25">
      <c r="B11" s="9"/>
      <c r="C11" s="4">
        <v>41859</v>
      </c>
      <c r="D11" s="5">
        <v>19.100000000000001</v>
      </c>
      <c r="E11" s="5">
        <v>17.8</v>
      </c>
      <c r="F11" s="5">
        <v>20.100000000000001</v>
      </c>
      <c r="J11" s="5">
        <v>15.1</v>
      </c>
      <c r="L11" s="5">
        <v>1.4</v>
      </c>
      <c r="N11" s="5">
        <f t="shared" si="1"/>
        <v>13.7</v>
      </c>
      <c r="O11" s="5">
        <f t="shared" ref="O11:O43" si="2">O10+N11</f>
        <v>13.7</v>
      </c>
      <c r="T11" s="8"/>
      <c r="V11" s="5">
        <v>492.5</v>
      </c>
    </row>
    <row r="12" spans="1:26" s="5" customFormat="1" x14ac:dyDescent="0.25">
      <c r="B12" s="9"/>
      <c r="C12" s="4">
        <v>41860</v>
      </c>
      <c r="D12" s="5">
        <v>18.8</v>
      </c>
      <c r="E12" s="5">
        <v>16</v>
      </c>
      <c r="F12" s="5">
        <v>21.3</v>
      </c>
      <c r="J12" s="5">
        <v>0.1</v>
      </c>
      <c r="L12" s="5">
        <v>3.6</v>
      </c>
      <c r="N12" s="6">
        <f t="shared" si="1"/>
        <v>-3.5</v>
      </c>
      <c r="O12" s="5">
        <f t="shared" si="2"/>
        <v>10.199999999999999</v>
      </c>
      <c r="T12" s="8"/>
      <c r="V12" s="5">
        <v>1726.9</v>
      </c>
    </row>
    <row r="13" spans="1:26" s="5" customFormat="1" x14ac:dyDescent="0.25">
      <c r="B13" s="9"/>
      <c r="C13" s="4">
        <v>41861</v>
      </c>
      <c r="D13" s="5">
        <v>17.7</v>
      </c>
      <c r="E13" s="5">
        <v>15.9</v>
      </c>
      <c r="F13" s="5">
        <v>19.3</v>
      </c>
      <c r="J13" s="5">
        <v>16.600000000000001</v>
      </c>
      <c r="L13" s="5">
        <v>1.7</v>
      </c>
      <c r="N13" s="5">
        <f t="shared" si="1"/>
        <v>14.900000000000002</v>
      </c>
      <c r="O13" s="5">
        <f t="shared" si="2"/>
        <v>25.1</v>
      </c>
      <c r="T13" s="8"/>
      <c r="V13" s="5">
        <v>667.8</v>
      </c>
    </row>
    <row r="14" spans="1:26" s="5" customFormat="1" x14ac:dyDescent="0.25">
      <c r="B14" s="9"/>
      <c r="C14" s="4">
        <v>41862</v>
      </c>
      <c r="D14" s="5">
        <v>16.7</v>
      </c>
      <c r="E14" s="5">
        <v>14.2</v>
      </c>
      <c r="F14" s="5">
        <v>20</v>
      </c>
      <c r="J14" s="5">
        <v>1.6</v>
      </c>
      <c r="L14" s="5">
        <v>3.5</v>
      </c>
      <c r="N14" s="6">
        <f t="shared" si="1"/>
        <v>-1.9</v>
      </c>
      <c r="O14" s="5">
        <f t="shared" si="2"/>
        <v>23.200000000000003</v>
      </c>
      <c r="T14" s="8"/>
      <c r="V14" s="5">
        <v>1388.2</v>
      </c>
    </row>
    <row r="15" spans="1:26" s="5" customFormat="1" x14ac:dyDescent="0.25">
      <c r="B15" s="9"/>
      <c r="C15" s="4">
        <v>41863</v>
      </c>
      <c r="D15" s="5">
        <v>16.2</v>
      </c>
      <c r="E15" s="5">
        <v>14</v>
      </c>
      <c r="F15" s="5">
        <v>19</v>
      </c>
      <c r="J15" s="5">
        <v>4.4000000000000004</v>
      </c>
      <c r="L15" s="5">
        <v>3</v>
      </c>
      <c r="N15" s="5">
        <f t="shared" si="1"/>
        <v>1.4000000000000004</v>
      </c>
      <c r="O15" s="5">
        <f t="shared" si="2"/>
        <v>24.6</v>
      </c>
      <c r="T15" s="8"/>
      <c r="V15" s="5">
        <v>1299.5</v>
      </c>
    </row>
    <row r="16" spans="1:26" s="5" customFormat="1" x14ac:dyDescent="0.25">
      <c r="B16" s="9"/>
      <c r="C16" s="4">
        <v>41864</v>
      </c>
      <c r="D16" s="5">
        <v>16</v>
      </c>
      <c r="E16" s="5">
        <v>11.5</v>
      </c>
      <c r="F16" s="5">
        <v>20.100000000000001</v>
      </c>
      <c r="J16" s="5">
        <v>1.4</v>
      </c>
      <c r="L16" s="5">
        <v>3</v>
      </c>
      <c r="N16" s="6">
        <f t="shared" si="1"/>
        <v>-1.6</v>
      </c>
      <c r="O16" s="5">
        <f t="shared" si="2"/>
        <v>23</v>
      </c>
      <c r="T16" s="8"/>
      <c r="V16" s="5">
        <v>1615.4</v>
      </c>
    </row>
    <row r="17" spans="2:22" s="5" customFormat="1" x14ac:dyDescent="0.25">
      <c r="B17" s="9"/>
      <c r="C17" s="4">
        <v>41865</v>
      </c>
      <c r="D17" s="5">
        <v>15.8</v>
      </c>
      <c r="E17" s="5">
        <v>14.2</v>
      </c>
      <c r="F17" s="5">
        <v>18.5</v>
      </c>
      <c r="J17" s="5">
        <v>4</v>
      </c>
      <c r="L17" s="5">
        <v>2.4</v>
      </c>
      <c r="N17" s="5">
        <f t="shared" si="1"/>
        <v>1.6</v>
      </c>
      <c r="O17" s="5">
        <f t="shared" si="2"/>
        <v>24.6</v>
      </c>
      <c r="T17" s="8"/>
      <c r="V17" s="5">
        <v>1194.2</v>
      </c>
    </row>
    <row r="18" spans="2:22" s="5" customFormat="1" x14ac:dyDescent="0.25">
      <c r="B18" s="9"/>
      <c r="C18" s="4">
        <v>41866</v>
      </c>
      <c r="D18" s="5">
        <v>15.2</v>
      </c>
      <c r="E18" s="5">
        <v>13</v>
      </c>
      <c r="F18" s="5">
        <v>18.399999999999999</v>
      </c>
      <c r="J18" s="5">
        <v>6.1</v>
      </c>
      <c r="L18" s="5">
        <v>2</v>
      </c>
      <c r="N18" s="5">
        <f t="shared" si="1"/>
        <v>4.0999999999999996</v>
      </c>
      <c r="O18" s="5">
        <f t="shared" si="2"/>
        <v>28.700000000000003</v>
      </c>
      <c r="T18" s="8"/>
      <c r="V18" s="5">
        <v>885.9</v>
      </c>
    </row>
    <row r="19" spans="2:22" s="5" customFormat="1" x14ac:dyDescent="0.25">
      <c r="B19" s="9"/>
      <c r="C19" s="4">
        <v>41867</v>
      </c>
      <c r="D19" s="5">
        <v>16</v>
      </c>
      <c r="E19" s="5">
        <v>12.2</v>
      </c>
      <c r="F19" s="5">
        <v>19.3</v>
      </c>
      <c r="J19" s="5">
        <v>0.1</v>
      </c>
      <c r="L19" s="5">
        <v>2.8</v>
      </c>
      <c r="N19" s="6">
        <f t="shared" si="1"/>
        <v>-2.6999999999999997</v>
      </c>
      <c r="O19" s="5">
        <f t="shared" si="2"/>
        <v>26.000000000000004</v>
      </c>
      <c r="T19" s="8"/>
      <c r="V19" s="5">
        <v>1659.6</v>
      </c>
    </row>
    <row r="20" spans="2:22" s="5" customFormat="1" x14ac:dyDescent="0.25">
      <c r="B20" s="9"/>
      <c r="C20" s="4">
        <v>41868</v>
      </c>
      <c r="D20" s="5">
        <v>14.8</v>
      </c>
      <c r="E20" s="5">
        <v>12.6</v>
      </c>
      <c r="F20" s="5">
        <v>16.600000000000001</v>
      </c>
      <c r="J20" s="5">
        <v>3.6</v>
      </c>
      <c r="L20" s="5">
        <v>1.6</v>
      </c>
      <c r="N20" s="5">
        <f t="shared" si="1"/>
        <v>2</v>
      </c>
      <c r="O20" s="5">
        <f t="shared" si="2"/>
        <v>28.000000000000004</v>
      </c>
      <c r="T20" s="8"/>
      <c r="V20" s="5">
        <v>622.4</v>
      </c>
    </row>
    <row r="21" spans="2:22" s="5" customFormat="1" x14ac:dyDescent="0.25">
      <c r="B21" s="9"/>
      <c r="C21" s="4">
        <v>41869</v>
      </c>
      <c r="D21" s="5">
        <v>15.3</v>
      </c>
      <c r="E21" s="5">
        <v>12.8</v>
      </c>
      <c r="F21" s="5">
        <v>17.8</v>
      </c>
      <c r="J21" s="5">
        <v>1.9</v>
      </c>
      <c r="L21" s="5">
        <v>2.8</v>
      </c>
      <c r="N21" s="6">
        <f t="shared" si="1"/>
        <v>-0.89999999999999991</v>
      </c>
      <c r="O21" s="5">
        <f t="shared" si="2"/>
        <v>27.100000000000005</v>
      </c>
      <c r="T21" s="8"/>
      <c r="V21" s="5">
        <v>1132.8</v>
      </c>
    </row>
    <row r="22" spans="2:22" s="5" customFormat="1" x14ac:dyDescent="0.25">
      <c r="B22" s="9"/>
      <c r="C22" s="4">
        <v>41870</v>
      </c>
      <c r="D22" s="5">
        <v>14.1</v>
      </c>
      <c r="E22" s="5">
        <v>12.7</v>
      </c>
      <c r="F22" s="5">
        <v>16.3</v>
      </c>
      <c r="J22" s="5">
        <v>4.0999999999999996</v>
      </c>
      <c r="L22" s="5">
        <v>2.7</v>
      </c>
      <c r="N22" s="5">
        <f t="shared" si="1"/>
        <v>1.3999999999999995</v>
      </c>
      <c r="O22" s="5">
        <f t="shared" si="2"/>
        <v>28.500000000000004</v>
      </c>
      <c r="T22" s="8"/>
      <c r="V22" s="5">
        <v>1132.2</v>
      </c>
    </row>
    <row r="23" spans="2:22" s="5" customFormat="1" x14ac:dyDescent="0.25">
      <c r="B23" s="9"/>
      <c r="C23" s="4">
        <v>41871</v>
      </c>
      <c r="D23" s="5">
        <v>13.2</v>
      </c>
      <c r="E23" s="5">
        <v>9</v>
      </c>
      <c r="F23" s="5">
        <v>17.899999999999999</v>
      </c>
      <c r="J23" s="5">
        <v>2.2999999999999998</v>
      </c>
      <c r="L23" s="5">
        <v>2.9</v>
      </c>
      <c r="N23" s="6">
        <f t="shared" si="1"/>
        <v>-0.60000000000000009</v>
      </c>
      <c r="O23" s="5">
        <f t="shared" si="2"/>
        <v>27.900000000000002</v>
      </c>
      <c r="T23" s="8"/>
      <c r="V23" s="5">
        <v>1649.1</v>
      </c>
    </row>
    <row r="24" spans="2:22" s="5" customFormat="1" x14ac:dyDescent="0.25">
      <c r="B24" s="9"/>
      <c r="C24" s="4">
        <v>41872</v>
      </c>
      <c r="D24" s="5">
        <v>13.4</v>
      </c>
      <c r="E24" s="5">
        <v>9.1999999999999993</v>
      </c>
      <c r="F24" s="5">
        <v>17.2</v>
      </c>
      <c r="J24" s="5">
        <v>0</v>
      </c>
      <c r="L24" s="5">
        <v>2</v>
      </c>
      <c r="N24" s="6">
        <f t="shared" si="1"/>
        <v>-2</v>
      </c>
      <c r="O24" s="5">
        <f t="shared" si="2"/>
        <v>25.900000000000002</v>
      </c>
      <c r="T24" s="8"/>
      <c r="V24" s="5">
        <v>1099.8</v>
      </c>
    </row>
    <row r="25" spans="2:22" s="5" customFormat="1" x14ac:dyDescent="0.25">
      <c r="B25" s="9"/>
      <c r="C25" s="4">
        <v>41873</v>
      </c>
      <c r="D25" s="5">
        <v>14</v>
      </c>
      <c r="E25" s="5">
        <v>11.2</v>
      </c>
      <c r="F25" s="5">
        <v>16.2</v>
      </c>
      <c r="J25" s="5">
        <v>4.5999999999999996</v>
      </c>
      <c r="L25" s="5">
        <v>1.4</v>
      </c>
      <c r="N25" s="5">
        <f t="shared" si="1"/>
        <v>3.1999999999999997</v>
      </c>
      <c r="O25" s="5">
        <f t="shared" si="2"/>
        <v>29.1</v>
      </c>
      <c r="T25" s="8"/>
      <c r="V25" s="5">
        <v>642.5</v>
      </c>
    </row>
    <row r="26" spans="2:22" s="5" customFormat="1" x14ac:dyDescent="0.25">
      <c r="B26" s="9"/>
      <c r="C26" s="4">
        <v>41874</v>
      </c>
      <c r="D26" s="5">
        <v>13.2</v>
      </c>
      <c r="E26" s="5">
        <v>10.4</v>
      </c>
      <c r="F26" s="5">
        <v>17.899999999999999</v>
      </c>
      <c r="J26" s="5">
        <v>2.1</v>
      </c>
      <c r="L26" s="5">
        <v>2.9</v>
      </c>
      <c r="N26" s="6">
        <f t="shared" si="1"/>
        <v>-0.79999999999999982</v>
      </c>
      <c r="O26" s="5">
        <f t="shared" si="2"/>
        <v>28.3</v>
      </c>
      <c r="T26" s="8"/>
      <c r="V26" s="5">
        <v>1369.1</v>
      </c>
    </row>
    <row r="27" spans="2:22" s="5" customFormat="1" x14ac:dyDescent="0.25">
      <c r="B27" s="9"/>
      <c r="C27" s="4">
        <v>41875</v>
      </c>
      <c r="D27" s="5">
        <v>14</v>
      </c>
      <c r="E27" s="5">
        <v>9.3000000000000007</v>
      </c>
      <c r="F27" s="5">
        <v>18</v>
      </c>
      <c r="J27" s="5">
        <v>0</v>
      </c>
      <c r="L27" s="5">
        <v>2.4</v>
      </c>
      <c r="N27" s="6">
        <f t="shared" si="1"/>
        <v>-2.4</v>
      </c>
      <c r="O27" s="5">
        <f t="shared" si="2"/>
        <v>25.900000000000002</v>
      </c>
      <c r="T27" s="8"/>
      <c r="V27" s="5">
        <v>1442.9</v>
      </c>
    </row>
    <row r="28" spans="2:22" s="5" customFormat="1" x14ac:dyDescent="0.25">
      <c r="B28" s="9"/>
      <c r="C28" s="4">
        <v>41876</v>
      </c>
      <c r="D28" s="5">
        <v>14</v>
      </c>
      <c r="E28" s="5">
        <v>12.1</v>
      </c>
      <c r="F28" s="5">
        <v>15.8</v>
      </c>
      <c r="J28" s="5">
        <v>27.2</v>
      </c>
      <c r="L28" s="5">
        <v>0.7</v>
      </c>
      <c r="N28" s="5">
        <f t="shared" si="1"/>
        <v>26.5</v>
      </c>
      <c r="O28" s="5">
        <f t="shared" si="2"/>
        <v>52.400000000000006</v>
      </c>
      <c r="T28" s="8"/>
      <c r="V28" s="5">
        <v>380</v>
      </c>
    </row>
    <row r="29" spans="2:22" s="5" customFormat="1" x14ac:dyDescent="0.25">
      <c r="B29" s="9"/>
      <c r="C29" s="4">
        <v>41877</v>
      </c>
      <c r="D29" s="5">
        <v>16.2</v>
      </c>
      <c r="E29" s="5">
        <v>14.5</v>
      </c>
      <c r="F29" s="5">
        <v>18.100000000000001</v>
      </c>
      <c r="J29" s="5">
        <v>8.4</v>
      </c>
      <c r="L29" s="5">
        <v>1.1000000000000001</v>
      </c>
      <c r="N29" s="5">
        <f t="shared" si="1"/>
        <v>7.3000000000000007</v>
      </c>
      <c r="O29" s="5">
        <f t="shared" si="2"/>
        <v>59.7</v>
      </c>
      <c r="T29" s="8"/>
      <c r="V29" s="5">
        <v>421.5</v>
      </c>
    </row>
    <row r="30" spans="2:22" s="5" customFormat="1" x14ac:dyDescent="0.25">
      <c r="B30" s="9"/>
      <c r="C30" s="4">
        <v>41878</v>
      </c>
      <c r="D30" s="5">
        <v>16.3</v>
      </c>
      <c r="E30" s="5">
        <v>13.3</v>
      </c>
      <c r="F30" s="5">
        <v>18.5</v>
      </c>
      <c r="J30" s="5">
        <v>0.3</v>
      </c>
      <c r="L30" s="5">
        <v>2.6</v>
      </c>
      <c r="N30" s="6">
        <f t="shared" si="1"/>
        <v>-2.3000000000000003</v>
      </c>
      <c r="O30" s="5">
        <f t="shared" si="2"/>
        <v>57.400000000000006</v>
      </c>
      <c r="T30" s="8"/>
      <c r="V30" s="5">
        <v>1205.4000000000001</v>
      </c>
    </row>
    <row r="31" spans="2:22" s="5" customFormat="1" x14ac:dyDescent="0.25">
      <c r="B31" s="9"/>
      <c r="C31" s="4">
        <v>41879</v>
      </c>
      <c r="D31" s="5">
        <v>18</v>
      </c>
      <c r="E31" s="5">
        <v>15.7</v>
      </c>
      <c r="F31" s="5">
        <v>21.1</v>
      </c>
      <c r="J31" s="5">
        <v>1.6</v>
      </c>
      <c r="L31" s="5">
        <v>1.9</v>
      </c>
      <c r="N31" s="6">
        <f t="shared" si="1"/>
        <v>-0.29999999999999982</v>
      </c>
      <c r="O31" s="5">
        <f t="shared" si="2"/>
        <v>57.100000000000009</v>
      </c>
      <c r="T31" s="8"/>
      <c r="V31" s="5">
        <v>510.5</v>
      </c>
    </row>
    <row r="32" spans="2:22" s="5" customFormat="1" x14ac:dyDescent="0.25">
      <c r="B32" s="9"/>
      <c r="C32" s="4">
        <v>41880</v>
      </c>
      <c r="D32" s="5">
        <v>17.7</v>
      </c>
      <c r="E32" s="5">
        <v>15.4</v>
      </c>
      <c r="F32" s="5">
        <v>20.7</v>
      </c>
      <c r="J32" s="5">
        <v>0</v>
      </c>
      <c r="L32" s="5">
        <v>3.5</v>
      </c>
      <c r="N32" s="6">
        <f t="shared" si="1"/>
        <v>-3.5</v>
      </c>
      <c r="O32" s="5">
        <f t="shared" si="2"/>
        <v>53.600000000000009</v>
      </c>
      <c r="T32" s="8"/>
      <c r="V32" s="5">
        <v>1236.9000000000001</v>
      </c>
    </row>
    <row r="33" spans="1:27" s="5" customFormat="1" x14ac:dyDescent="0.25">
      <c r="B33" s="9"/>
      <c r="C33" s="4">
        <v>41881</v>
      </c>
      <c r="D33" s="5">
        <v>16.5</v>
      </c>
      <c r="E33" s="5">
        <v>16</v>
      </c>
      <c r="F33" s="5">
        <v>17.899999999999999</v>
      </c>
      <c r="J33" s="5">
        <v>2</v>
      </c>
      <c r="L33" s="5">
        <v>1.6</v>
      </c>
      <c r="N33" s="5">
        <f t="shared" si="1"/>
        <v>0.39999999999999991</v>
      </c>
      <c r="O33" s="5">
        <f t="shared" si="2"/>
        <v>54.000000000000007</v>
      </c>
      <c r="T33" s="8"/>
      <c r="V33" s="5">
        <v>364.5</v>
      </c>
    </row>
    <row r="34" spans="1:27" s="5" customFormat="1" x14ac:dyDescent="0.25">
      <c r="B34" s="9"/>
      <c r="C34" s="4">
        <v>41882</v>
      </c>
      <c r="D34" s="5">
        <v>15.9</v>
      </c>
      <c r="E34" s="5">
        <v>14.4</v>
      </c>
      <c r="F34" s="5">
        <v>19.5</v>
      </c>
      <c r="J34" s="5">
        <v>0.3</v>
      </c>
      <c r="L34" s="5">
        <v>2.5</v>
      </c>
      <c r="N34" s="6">
        <f t="shared" si="1"/>
        <v>-2.2000000000000002</v>
      </c>
      <c r="O34" s="5">
        <f t="shared" si="2"/>
        <v>51.800000000000004</v>
      </c>
      <c r="T34" s="8"/>
      <c r="V34" s="5">
        <v>898.7</v>
      </c>
    </row>
    <row r="35" spans="1:27" s="5" customFormat="1" x14ac:dyDescent="0.25">
      <c r="B35" s="9"/>
      <c r="C35" s="4">
        <v>41883</v>
      </c>
      <c r="D35" s="5">
        <v>16.100000000000001</v>
      </c>
      <c r="E35" s="5">
        <v>11</v>
      </c>
      <c r="F35" s="5">
        <v>20.9</v>
      </c>
      <c r="J35" s="5">
        <v>1.2</v>
      </c>
      <c r="L35" s="5">
        <v>2.2000000000000002</v>
      </c>
      <c r="N35" s="6">
        <f t="shared" si="1"/>
        <v>-1.0000000000000002</v>
      </c>
      <c r="O35" s="5">
        <f t="shared" si="2"/>
        <v>50.800000000000004</v>
      </c>
      <c r="T35" s="8"/>
      <c r="V35" s="5">
        <v>1140.4000000000001</v>
      </c>
    </row>
    <row r="36" spans="1:27" s="5" customFormat="1" x14ac:dyDescent="0.25">
      <c r="B36" s="9"/>
      <c r="C36" s="4">
        <v>41884</v>
      </c>
      <c r="D36" s="5">
        <v>18</v>
      </c>
      <c r="E36" s="5">
        <v>15.6</v>
      </c>
      <c r="F36" s="5">
        <v>20.399999999999999</v>
      </c>
      <c r="J36" s="5">
        <v>0</v>
      </c>
      <c r="L36" s="5">
        <v>3.1</v>
      </c>
      <c r="N36" s="6">
        <f t="shared" si="1"/>
        <v>-3.1</v>
      </c>
      <c r="O36" s="5">
        <f t="shared" si="2"/>
        <v>47.7</v>
      </c>
      <c r="T36" s="8"/>
      <c r="V36" s="5">
        <v>1544.3</v>
      </c>
    </row>
    <row r="37" spans="1:27" s="5" customFormat="1" x14ac:dyDescent="0.25">
      <c r="B37" s="9"/>
      <c r="C37" s="4">
        <v>41885</v>
      </c>
      <c r="D37" s="5">
        <v>17.3</v>
      </c>
      <c r="E37" s="5">
        <v>14</v>
      </c>
      <c r="F37" s="5">
        <v>20.3</v>
      </c>
      <c r="J37" s="5">
        <v>0</v>
      </c>
      <c r="L37" s="5">
        <v>3.4</v>
      </c>
      <c r="N37" s="6">
        <f t="shared" si="1"/>
        <v>-3.4</v>
      </c>
      <c r="O37" s="5">
        <f t="shared" si="2"/>
        <v>44.300000000000004</v>
      </c>
      <c r="T37" s="8"/>
      <c r="V37" s="5">
        <v>1901.3</v>
      </c>
    </row>
    <row r="38" spans="1:27" s="5" customFormat="1" x14ac:dyDescent="0.25">
      <c r="B38" s="9"/>
      <c r="C38" s="4">
        <v>41886</v>
      </c>
      <c r="D38" s="5">
        <v>18</v>
      </c>
      <c r="E38" s="5">
        <v>13.7</v>
      </c>
      <c r="F38" s="5">
        <v>22.2</v>
      </c>
      <c r="J38" s="5">
        <v>0</v>
      </c>
      <c r="L38" s="5">
        <v>3.4</v>
      </c>
      <c r="N38" s="6">
        <f t="shared" si="1"/>
        <v>-3.4</v>
      </c>
      <c r="O38" s="5">
        <f t="shared" si="2"/>
        <v>40.900000000000006</v>
      </c>
      <c r="T38" s="8"/>
      <c r="V38" s="5">
        <v>1763.7</v>
      </c>
    </row>
    <row r="39" spans="1:27" s="5" customFormat="1" x14ac:dyDescent="0.25">
      <c r="B39" s="9"/>
      <c r="C39" s="4">
        <v>41887</v>
      </c>
      <c r="D39" s="5">
        <v>19.100000000000001</v>
      </c>
      <c r="E39" s="5">
        <v>17</v>
      </c>
      <c r="F39" s="5">
        <v>22.4</v>
      </c>
      <c r="J39" s="5">
        <v>0</v>
      </c>
      <c r="L39" s="5">
        <v>2.8</v>
      </c>
      <c r="N39" s="6">
        <f t="shared" si="1"/>
        <v>-2.8</v>
      </c>
      <c r="O39" s="5">
        <f t="shared" si="2"/>
        <v>38.100000000000009</v>
      </c>
      <c r="T39" s="8"/>
      <c r="V39" s="5">
        <v>1069.3</v>
      </c>
    </row>
    <row r="40" spans="1:27" s="5" customFormat="1" x14ac:dyDescent="0.25">
      <c r="B40" s="9"/>
      <c r="C40" s="4">
        <v>41888</v>
      </c>
      <c r="D40" s="5">
        <v>18</v>
      </c>
      <c r="E40" s="5">
        <v>17.5</v>
      </c>
      <c r="F40" s="5">
        <v>19.399999999999999</v>
      </c>
      <c r="J40" s="5">
        <v>0</v>
      </c>
      <c r="L40" s="5">
        <v>1.7</v>
      </c>
      <c r="N40" s="6">
        <f t="shared" si="1"/>
        <v>-1.7</v>
      </c>
      <c r="O40" s="5">
        <f t="shared" si="2"/>
        <v>36.400000000000006</v>
      </c>
      <c r="T40" s="8"/>
      <c r="V40" s="5">
        <v>591.29999999999995</v>
      </c>
    </row>
    <row r="41" spans="1:27" s="5" customFormat="1" x14ac:dyDescent="0.25">
      <c r="B41" s="9"/>
      <c r="C41" s="4">
        <v>41889</v>
      </c>
      <c r="D41" s="5">
        <v>17.899999999999999</v>
      </c>
      <c r="E41" s="5">
        <v>14.3</v>
      </c>
      <c r="F41" s="5">
        <v>22.1</v>
      </c>
      <c r="J41" s="5">
        <v>0</v>
      </c>
      <c r="L41" s="5">
        <v>3.1</v>
      </c>
      <c r="N41" s="6">
        <f t="shared" si="1"/>
        <v>-3.1</v>
      </c>
      <c r="O41" s="5">
        <f t="shared" si="2"/>
        <v>33.300000000000004</v>
      </c>
      <c r="T41" s="8"/>
      <c r="V41" s="5">
        <v>1498.6</v>
      </c>
    </row>
    <row r="42" spans="1:27" s="5" customFormat="1" x14ac:dyDescent="0.25">
      <c r="B42" s="9"/>
      <c r="C42" s="4">
        <v>41890</v>
      </c>
      <c r="D42" s="5">
        <v>16.8</v>
      </c>
      <c r="E42" s="5">
        <v>15.1</v>
      </c>
      <c r="F42" s="5">
        <v>19.899999999999999</v>
      </c>
      <c r="J42" s="5">
        <v>0</v>
      </c>
      <c r="L42" s="5">
        <v>3.1</v>
      </c>
      <c r="N42" s="6">
        <f t="shared" si="1"/>
        <v>-3.1</v>
      </c>
      <c r="O42" s="5">
        <f t="shared" si="2"/>
        <v>30.200000000000003</v>
      </c>
      <c r="T42" s="8"/>
      <c r="V42" s="5">
        <v>1401.1</v>
      </c>
    </row>
    <row r="43" spans="1:27" s="5" customFormat="1" x14ac:dyDescent="0.25">
      <c r="B43" s="9"/>
      <c r="C43" s="4">
        <v>41891</v>
      </c>
      <c r="D43" s="5">
        <v>15</v>
      </c>
      <c r="E43" s="5">
        <v>11.3</v>
      </c>
      <c r="F43" s="5">
        <v>19.8</v>
      </c>
      <c r="J43" s="5">
        <v>0</v>
      </c>
      <c r="L43" s="5">
        <v>3.2</v>
      </c>
      <c r="N43" s="6">
        <f t="shared" si="1"/>
        <v>-3.2</v>
      </c>
      <c r="O43" s="5">
        <f t="shared" si="2"/>
        <v>27.000000000000004</v>
      </c>
      <c r="T43" s="8">
        <v>27</v>
      </c>
      <c r="V43" s="5">
        <v>1739.1</v>
      </c>
    </row>
    <row r="44" spans="1:27" s="5" customFormat="1" x14ac:dyDescent="0.25">
      <c r="A44" s="74" t="s">
        <v>0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spans="1:27" s="5" customFormat="1" x14ac:dyDescent="0.25">
      <c r="A45" s="75" t="s">
        <v>1</v>
      </c>
      <c r="B45" s="10"/>
      <c r="C45" s="4">
        <v>41892</v>
      </c>
      <c r="D45" s="5">
        <v>14.7</v>
      </c>
      <c r="E45" s="5">
        <v>12.3</v>
      </c>
      <c r="F45" s="5">
        <v>17.899999999999999</v>
      </c>
      <c r="G45" s="5">
        <v>14.7</v>
      </c>
      <c r="I45" s="11" t="s">
        <v>2</v>
      </c>
      <c r="J45" s="5">
        <v>0</v>
      </c>
      <c r="K45" s="5">
        <v>0</v>
      </c>
      <c r="L45" s="5">
        <v>2.4</v>
      </c>
      <c r="M45" s="5">
        <v>2.4</v>
      </c>
      <c r="N45" s="6">
        <v>-2.4</v>
      </c>
      <c r="O45" s="5">
        <f>O43+N45</f>
        <v>24.600000000000005</v>
      </c>
      <c r="P45" s="5">
        <v>1</v>
      </c>
      <c r="Q45" s="5">
        <v>0.35</v>
      </c>
      <c r="R45" s="8">
        <f t="shared" ref="R45:R108" si="3">Q45*L45</f>
        <v>0.84</v>
      </c>
      <c r="S45" s="8">
        <f t="shared" ref="S45:S108" si="4">J45-R45</f>
        <v>-0.84</v>
      </c>
      <c r="T45" s="8">
        <f>T43+S45</f>
        <v>26.16</v>
      </c>
      <c r="U45" s="11" t="s">
        <v>3</v>
      </c>
      <c r="V45" s="12">
        <v>781.7</v>
      </c>
      <c r="W45" s="5">
        <v>53.176870748299322</v>
      </c>
      <c r="X45" s="5">
        <v>781.7</v>
      </c>
      <c r="Z45" s="11" t="s">
        <v>4</v>
      </c>
      <c r="AA45" s="5">
        <v>13.0372419462499</v>
      </c>
    </row>
    <row r="46" spans="1:27" s="5" customFormat="1" x14ac:dyDescent="0.25">
      <c r="A46" s="75"/>
      <c r="B46" s="10"/>
      <c r="C46" s="4">
        <v>41893</v>
      </c>
      <c r="D46" s="5">
        <v>15.2</v>
      </c>
      <c r="E46" s="5">
        <v>11.2</v>
      </c>
      <c r="F46" s="5">
        <v>19.2</v>
      </c>
      <c r="G46" s="5">
        <v>29.9</v>
      </c>
      <c r="I46" s="5">
        <v>4.4000000000000004</v>
      </c>
      <c r="J46" s="5">
        <v>0</v>
      </c>
      <c r="K46" s="5">
        <v>0</v>
      </c>
      <c r="L46" s="5">
        <v>2.8</v>
      </c>
      <c r="M46" s="5">
        <v>5.1999999999999993</v>
      </c>
      <c r="N46" s="6">
        <v>-2.8</v>
      </c>
      <c r="O46" s="5">
        <f t="shared" ref="O46:O109" si="5">O45+N46</f>
        <v>21.800000000000004</v>
      </c>
      <c r="P46" s="5">
        <v>2</v>
      </c>
      <c r="Q46" s="5">
        <v>0.35</v>
      </c>
      <c r="R46" s="8">
        <f t="shared" si="3"/>
        <v>0.97999999999999987</v>
      </c>
      <c r="S46" s="8">
        <f t="shared" si="4"/>
        <v>-0.97999999999999987</v>
      </c>
      <c r="T46" s="8">
        <f>MIN(153.6,(T45+S46))</f>
        <v>25.18</v>
      </c>
      <c r="U46" s="5">
        <v>52</v>
      </c>
      <c r="V46" s="5">
        <v>1488.5</v>
      </c>
      <c r="W46" s="5">
        <v>97.92763157894737</v>
      </c>
      <c r="X46" s="5">
        <v>2270.1999999999998</v>
      </c>
      <c r="Z46" s="5">
        <v>50931.099999999991</v>
      </c>
      <c r="AA46" s="5">
        <v>12.974506942894701</v>
      </c>
    </row>
    <row r="47" spans="1:27" s="5" customFormat="1" x14ac:dyDescent="0.25">
      <c r="A47" s="75"/>
      <c r="B47" s="10"/>
      <c r="C47" s="4">
        <v>41894</v>
      </c>
      <c r="D47" s="5">
        <v>16.2</v>
      </c>
      <c r="E47" s="5">
        <v>11.8</v>
      </c>
      <c r="F47" s="5">
        <v>20.399999999999999</v>
      </c>
      <c r="G47" s="5">
        <v>46.099999999999994</v>
      </c>
      <c r="I47" s="11" t="s">
        <v>5</v>
      </c>
      <c r="J47" s="5">
        <v>0</v>
      </c>
      <c r="K47" s="5">
        <v>0</v>
      </c>
      <c r="L47" s="5">
        <v>3.3</v>
      </c>
      <c r="M47" s="5">
        <v>8.5</v>
      </c>
      <c r="N47" s="6">
        <v>-3.3</v>
      </c>
      <c r="O47" s="5">
        <f t="shared" si="5"/>
        <v>18.500000000000004</v>
      </c>
      <c r="P47" s="5">
        <v>3</v>
      </c>
      <c r="Q47" s="5">
        <v>0.35</v>
      </c>
      <c r="R47" s="8">
        <f t="shared" si="3"/>
        <v>1.1549999999999998</v>
      </c>
      <c r="S47" s="8">
        <f t="shared" si="4"/>
        <v>-1.1549999999999998</v>
      </c>
      <c r="T47" s="8">
        <f t="shared" ref="T47:T110" si="6">MIN(153.6,(T46+S47))</f>
        <v>24.024999999999999</v>
      </c>
      <c r="U47" s="11" t="s">
        <v>6</v>
      </c>
      <c r="V47" s="5">
        <v>1812.8</v>
      </c>
      <c r="W47" s="5">
        <v>111.90123456790124</v>
      </c>
      <c r="X47" s="5">
        <v>4083</v>
      </c>
      <c r="Z47" s="11" t="s">
        <v>7</v>
      </c>
      <c r="AA47" s="5">
        <v>12.911686431365</v>
      </c>
    </row>
    <row r="48" spans="1:27" s="5" customFormat="1" x14ac:dyDescent="0.25">
      <c r="A48" s="75"/>
      <c r="B48" s="10"/>
      <c r="C48" s="4">
        <v>41895</v>
      </c>
      <c r="D48" s="5">
        <v>16.5</v>
      </c>
      <c r="E48" s="5">
        <v>13.6</v>
      </c>
      <c r="F48" s="5">
        <v>19.5</v>
      </c>
      <c r="G48" s="5">
        <v>62.599999999999994</v>
      </c>
      <c r="I48" s="5">
        <v>26.3</v>
      </c>
      <c r="J48" s="5">
        <v>0</v>
      </c>
      <c r="K48" s="5">
        <v>0</v>
      </c>
      <c r="L48" s="5">
        <v>2.8</v>
      </c>
      <c r="M48" s="5">
        <v>11.3</v>
      </c>
      <c r="N48" s="6">
        <v>-2.8</v>
      </c>
      <c r="O48" s="5">
        <f t="shared" si="5"/>
        <v>15.700000000000003</v>
      </c>
      <c r="P48" s="5">
        <v>4</v>
      </c>
      <c r="Q48" s="5">
        <v>0.35</v>
      </c>
      <c r="R48" s="8">
        <f t="shared" si="3"/>
        <v>0.97999999999999987</v>
      </c>
      <c r="S48" s="8">
        <f t="shared" si="4"/>
        <v>-0.97999999999999987</v>
      </c>
      <c r="T48" s="8">
        <f t="shared" si="6"/>
        <v>23.044999999999998</v>
      </c>
      <c r="U48" s="5">
        <v>0</v>
      </c>
      <c r="V48" s="5">
        <v>1406.9</v>
      </c>
      <c r="W48" s="5">
        <v>85.266666666666666</v>
      </c>
      <c r="X48" s="5">
        <v>5489.9</v>
      </c>
      <c r="Z48" s="13">
        <f>(Z46/100)/I58</f>
        <v>0.49189781726868831</v>
      </c>
      <c r="AA48" s="5">
        <v>12.8487866535064</v>
      </c>
    </row>
    <row r="49" spans="1:27" s="5" customFormat="1" x14ac:dyDescent="0.25">
      <c r="A49" s="75"/>
      <c r="B49" s="10"/>
      <c r="C49" s="4">
        <v>41896</v>
      </c>
      <c r="D49" s="5">
        <v>15.8</v>
      </c>
      <c r="E49" s="5">
        <v>14</v>
      </c>
      <c r="F49" s="5">
        <v>17.5</v>
      </c>
      <c r="G49" s="5">
        <v>78.399999999999991</v>
      </c>
      <c r="I49" s="11" t="s">
        <v>8</v>
      </c>
      <c r="J49" s="5">
        <v>0.1</v>
      </c>
      <c r="K49" s="5">
        <v>0.1</v>
      </c>
      <c r="L49" s="5">
        <v>2.1</v>
      </c>
      <c r="M49" s="5">
        <v>13.4</v>
      </c>
      <c r="N49" s="6">
        <v>-2</v>
      </c>
      <c r="O49" s="5">
        <f t="shared" si="5"/>
        <v>13.700000000000003</v>
      </c>
      <c r="P49" s="5">
        <v>5</v>
      </c>
      <c r="Q49" s="5">
        <v>0.35</v>
      </c>
      <c r="R49" s="8">
        <f t="shared" si="3"/>
        <v>0.73499999999999999</v>
      </c>
      <c r="S49" s="8">
        <f t="shared" si="4"/>
        <v>-0.63500000000000001</v>
      </c>
      <c r="T49" s="8">
        <f t="shared" si="6"/>
        <v>22.409999999999997</v>
      </c>
      <c r="U49" s="11" t="s">
        <v>9</v>
      </c>
      <c r="V49" s="12">
        <v>848.8</v>
      </c>
      <c r="W49" s="5">
        <v>53.721518987341767</v>
      </c>
      <c r="X49" s="5">
        <v>6338.7</v>
      </c>
      <c r="Z49" s="11" t="s">
        <v>10</v>
      </c>
      <c r="AA49" s="5">
        <v>12.785813667348</v>
      </c>
    </row>
    <row r="50" spans="1:27" s="5" customFormat="1" x14ac:dyDescent="0.25">
      <c r="A50" s="75"/>
      <c r="B50" s="10"/>
      <c r="C50" s="4">
        <v>41897</v>
      </c>
      <c r="D50" s="5">
        <v>17.899999999999999</v>
      </c>
      <c r="E50" s="5">
        <v>13.4</v>
      </c>
      <c r="F50" s="5">
        <v>22.6</v>
      </c>
      <c r="G50" s="5">
        <v>96.299999999999983</v>
      </c>
      <c r="I50" s="8">
        <v>12.782716049382721</v>
      </c>
      <c r="J50" s="5">
        <v>0</v>
      </c>
      <c r="K50" s="5">
        <v>0.1</v>
      </c>
      <c r="L50" s="5">
        <v>2.4</v>
      </c>
      <c r="M50" s="5">
        <v>15.8</v>
      </c>
      <c r="N50" s="6">
        <v>-2.4</v>
      </c>
      <c r="O50" s="5">
        <f t="shared" si="5"/>
        <v>11.300000000000002</v>
      </c>
      <c r="P50" s="5">
        <v>6</v>
      </c>
      <c r="Q50" s="5">
        <v>0.35</v>
      </c>
      <c r="R50" s="8">
        <f t="shared" si="3"/>
        <v>0.84</v>
      </c>
      <c r="S50" s="8">
        <f t="shared" si="4"/>
        <v>-0.84</v>
      </c>
      <c r="T50" s="8">
        <f t="shared" si="6"/>
        <v>21.569999999999997</v>
      </c>
      <c r="U50" s="5">
        <v>27</v>
      </c>
      <c r="V50" s="5">
        <v>1224.4000000000001</v>
      </c>
      <c r="W50" s="5">
        <v>68.402234636871512</v>
      </c>
      <c r="X50" s="5">
        <v>7563.1</v>
      </c>
      <c r="Z50" s="5">
        <v>61</v>
      </c>
      <c r="AA50" s="5">
        <v>12.7227733648918</v>
      </c>
    </row>
    <row r="51" spans="1:27" s="5" customFormat="1" x14ac:dyDescent="0.25">
      <c r="A51" s="75"/>
      <c r="B51" s="10"/>
      <c r="C51" s="4">
        <v>41898</v>
      </c>
      <c r="D51" s="5">
        <v>18.399999999999999</v>
      </c>
      <c r="E51" s="5">
        <v>12.4</v>
      </c>
      <c r="F51" s="5">
        <v>23.9</v>
      </c>
      <c r="G51" s="5">
        <v>114.69999999999999</v>
      </c>
      <c r="I51" s="11" t="s">
        <v>11</v>
      </c>
      <c r="J51" s="5">
        <v>0</v>
      </c>
      <c r="K51" s="5">
        <v>0.1</v>
      </c>
      <c r="L51" s="5">
        <v>3.2</v>
      </c>
      <c r="M51" s="5">
        <v>19</v>
      </c>
      <c r="N51" s="6">
        <v>-3.2</v>
      </c>
      <c r="O51" s="5">
        <f t="shared" si="5"/>
        <v>8.1000000000000014</v>
      </c>
      <c r="P51" s="5">
        <v>7</v>
      </c>
      <c r="Q51" s="5">
        <v>0.35</v>
      </c>
      <c r="R51" s="8">
        <f t="shared" si="3"/>
        <v>1.1199999999999999</v>
      </c>
      <c r="S51" s="8">
        <f t="shared" si="4"/>
        <v>-1.1199999999999999</v>
      </c>
      <c r="T51" s="8">
        <f t="shared" si="6"/>
        <v>20.449999999999996</v>
      </c>
      <c r="U51" s="11" t="s">
        <v>12</v>
      </c>
      <c r="V51" s="5">
        <v>1687.3</v>
      </c>
      <c r="W51" s="5">
        <v>91.701086956521749</v>
      </c>
      <c r="X51" s="5">
        <v>9250.4</v>
      </c>
      <c r="AA51" s="5">
        <v>12.659671489917001</v>
      </c>
    </row>
    <row r="52" spans="1:27" s="5" customFormat="1" x14ac:dyDescent="0.25">
      <c r="A52" s="75"/>
      <c r="B52" s="10"/>
      <c r="C52" s="4">
        <v>41899</v>
      </c>
      <c r="D52" s="5">
        <v>20.5</v>
      </c>
      <c r="E52" s="5">
        <v>14.9</v>
      </c>
      <c r="F52" s="14">
        <v>25.7</v>
      </c>
      <c r="G52" s="5">
        <v>135.19999999999999</v>
      </c>
      <c r="I52" s="5">
        <v>0</v>
      </c>
      <c r="J52" s="5">
        <v>1.6</v>
      </c>
      <c r="K52" s="5">
        <v>1.7000000000000002</v>
      </c>
      <c r="L52" s="5">
        <v>3.2</v>
      </c>
      <c r="M52" s="5">
        <v>22.2</v>
      </c>
      <c r="N52" s="6">
        <v>-1.6</v>
      </c>
      <c r="O52" s="5">
        <f t="shared" si="5"/>
        <v>6.5000000000000018</v>
      </c>
      <c r="P52" s="5">
        <v>8</v>
      </c>
      <c r="Q52" s="5">
        <v>0.35</v>
      </c>
      <c r="R52" s="8">
        <f t="shared" si="3"/>
        <v>1.1199999999999999</v>
      </c>
      <c r="S52" s="8">
        <f t="shared" si="4"/>
        <v>0.4800000000000002</v>
      </c>
      <c r="T52" s="8">
        <f t="shared" si="6"/>
        <v>20.929999999999996</v>
      </c>
      <c r="U52" s="8">
        <f>MIN(T45:T125)</f>
        <v>20.449999999999996</v>
      </c>
      <c r="V52" s="5">
        <v>1440.7</v>
      </c>
      <c r="W52" s="5">
        <v>70.278048780487808</v>
      </c>
      <c r="X52" s="5">
        <v>10691.1</v>
      </c>
      <c r="AA52" s="5">
        <v>12.596513655801299</v>
      </c>
    </row>
    <row r="53" spans="1:27" s="5" customFormat="1" x14ac:dyDescent="0.25">
      <c r="A53" s="75"/>
      <c r="B53" s="10"/>
      <c r="C53" s="4">
        <v>41900</v>
      </c>
      <c r="D53" s="5">
        <v>20.5</v>
      </c>
      <c r="E53" s="5">
        <v>17.7</v>
      </c>
      <c r="F53" s="5">
        <v>24.3</v>
      </c>
      <c r="G53" s="5">
        <v>155.69999999999999</v>
      </c>
      <c r="I53" s="11" t="s">
        <v>13</v>
      </c>
      <c r="J53" s="5">
        <v>3.3</v>
      </c>
      <c r="K53" s="5">
        <v>5</v>
      </c>
      <c r="L53" s="5">
        <v>1.9</v>
      </c>
      <c r="M53" s="5">
        <v>24.099999999999998</v>
      </c>
      <c r="N53" s="5">
        <v>1.4</v>
      </c>
      <c r="O53" s="5">
        <f t="shared" si="5"/>
        <v>7.9000000000000021</v>
      </c>
      <c r="P53" s="5">
        <v>9</v>
      </c>
      <c r="Q53" s="5">
        <f>0.35+((P53-8)/73)*(1-0.35)</f>
        <v>0.35890410958904106</v>
      </c>
      <c r="R53" s="8">
        <f t="shared" si="3"/>
        <v>0.68191780821917802</v>
      </c>
      <c r="S53" s="8">
        <f t="shared" si="4"/>
        <v>2.6180821917808217</v>
      </c>
      <c r="T53" s="8">
        <f t="shared" si="6"/>
        <v>23.548082191780818</v>
      </c>
      <c r="U53" s="11" t="s">
        <v>14</v>
      </c>
      <c r="V53" s="12">
        <v>780.9</v>
      </c>
      <c r="W53" s="5">
        <v>38.092682926829269</v>
      </c>
      <c r="X53" s="5">
        <v>11472</v>
      </c>
      <c r="AA53" s="5">
        <v>12.533305363366001</v>
      </c>
    </row>
    <row r="54" spans="1:27" s="5" customFormat="1" x14ac:dyDescent="0.25">
      <c r="A54" s="75"/>
      <c r="B54" s="10"/>
      <c r="C54" s="4">
        <v>41901</v>
      </c>
      <c r="D54" s="5">
        <v>19.3</v>
      </c>
      <c r="E54" s="5">
        <v>15.1</v>
      </c>
      <c r="F54" s="14">
        <v>26.3</v>
      </c>
      <c r="G54" s="5">
        <v>175</v>
      </c>
      <c r="I54" s="5">
        <v>2</v>
      </c>
      <c r="J54" s="5">
        <v>10.4</v>
      </c>
      <c r="K54" s="5">
        <v>15.4</v>
      </c>
      <c r="L54" s="5">
        <v>2.4</v>
      </c>
      <c r="M54" s="5">
        <v>26.499999999999996</v>
      </c>
      <c r="N54" s="5">
        <v>8</v>
      </c>
      <c r="O54" s="5">
        <f t="shared" si="5"/>
        <v>15.900000000000002</v>
      </c>
      <c r="P54" s="5">
        <v>10</v>
      </c>
      <c r="Q54" s="5">
        <f t="shared" ref="Q54:Q117" si="7">0.35+((P54-8)/73)*(1-0.35)</f>
        <v>0.36780821917808215</v>
      </c>
      <c r="R54" s="8">
        <f t="shared" si="3"/>
        <v>0.88273972602739714</v>
      </c>
      <c r="S54" s="8">
        <f t="shared" si="4"/>
        <v>9.5172602739726031</v>
      </c>
      <c r="T54" s="8">
        <f t="shared" si="6"/>
        <v>33.065342465753417</v>
      </c>
      <c r="U54" s="8">
        <f>MAX(T45:T125)</f>
        <v>114.4219863013699</v>
      </c>
      <c r="V54" s="5">
        <v>1098.9000000000001</v>
      </c>
      <c r="W54" s="5">
        <v>56.937823834196891</v>
      </c>
      <c r="X54" s="5">
        <v>12570.9</v>
      </c>
      <c r="AA54" s="5">
        <v>12.470052018750801</v>
      </c>
    </row>
    <row r="55" spans="1:27" s="5" customFormat="1" x14ac:dyDescent="0.25">
      <c r="A55" s="75"/>
      <c r="B55" s="10"/>
      <c r="C55" s="4">
        <v>41902</v>
      </c>
      <c r="D55" s="5">
        <v>19</v>
      </c>
      <c r="E55" s="5">
        <v>16</v>
      </c>
      <c r="F55" s="5">
        <v>24.4</v>
      </c>
      <c r="G55" s="5">
        <v>194</v>
      </c>
      <c r="I55" s="11" t="s">
        <v>15</v>
      </c>
      <c r="J55" s="5">
        <v>10.5</v>
      </c>
      <c r="K55" s="5">
        <v>25.9</v>
      </c>
      <c r="L55" s="5">
        <v>2.2000000000000002</v>
      </c>
      <c r="M55" s="5">
        <v>28.699999999999996</v>
      </c>
      <c r="N55" s="5">
        <v>8.3000000000000007</v>
      </c>
      <c r="O55" s="5">
        <f t="shared" si="5"/>
        <v>24.200000000000003</v>
      </c>
      <c r="P55" s="5">
        <v>11</v>
      </c>
      <c r="Q55" s="5">
        <f t="shared" si="7"/>
        <v>0.37671232876712324</v>
      </c>
      <c r="R55" s="8">
        <f t="shared" si="3"/>
        <v>0.82876712328767121</v>
      </c>
      <c r="S55" s="8">
        <f t="shared" si="4"/>
        <v>9.6712328767123292</v>
      </c>
      <c r="T55" s="8">
        <f t="shared" si="6"/>
        <v>42.736575342465748</v>
      </c>
      <c r="U55" s="11" t="s">
        <v>16</v>
      </c>
      <c r="V55" s="12">
        <v>859.1</v>
      </c>
      <c r="W55" s="5">
        <v>45.215789473684211</v>
      </c>
      <c r="X55" s="5">
        <v>13430</v>
      </c>
      <c r="AA55" s="5">
        <v>12.4067589513265</v>
      </c>
    </row>
    <row r="56" spans="1:27" s="5" customFormat="1" x14ac:dyDescent="0.25">
      <c r="A56" s="75"/>
      <c r="B56" s="10"/>
      <c r="C56" s="4">
        <v>41903</v>
      </c>
      <c r="D56" s="5">
        <v>16.100000000000001</v>
      </c>
      <c r="E56" s="5">
        <v>15</v>
      </c>
      <c r="F56" s="5">
        <v>17.899999999999999</v>
      </c>
      <c r="G56" s="5">
        <v>210.1</v>
      </c>
      <c r="I56" s="5">
        <v>4</v>
      </c>
      <c r="J56" s="5">
        <v>0.4</v>
      </c>
      <c r="K56" s="5">
        <v>26.299999999999997</v>
      </c>
      <c r="L56" s="5">
        <v>2.5</v>
      </c>
      <c r="M56" s="5">
        <v>31.199999999999996</v>
      </c>
      <c r="N56" s="6">
        <v>-2.1</v>
      </c>
      <c r="O56" s="5">
        <f t="shared" si="5"/>
        <v>22.1</v>
      </c>
      <c r="P56" s="5">
        <v>12</v>
      </c>
      <c r="Q56" s="5">
        <f t="shared" si="7"/>
        <v>0.38561643835616438</v>
      </c>
      <c r="R56" s="8">
        <f t="shared" si="3"/>
        <v>0.96404109589041098</v>
      </c>
      <c r="S56" s="8">
        <f t="shared" si="4"/>
        <v>-0.56404109589041096</v>
      </c>
      <c r="T56" s="8">
        <f t="shared" si="6"/>
        <v>42.172534246575339</v>
      </c>
      <c r="U56" s="13">
        <f>AVERAGE(T45:T125)</f>
        <v>70.963495687468281</v>
      </c>
      <c r="V56" s="5">
        <v>1069.5</v>
      </c>
      <c r="W56" s="5">
        <v>66.428571428571416</v>
      </c>
      <c r="X56" s="5">
        <v>14499.5</v>
      </c>
      <c r="AA56" s="5">
        <v>12.343431431654199</v>
      </c>
    </row>
    <row r="57" spans="1:27" s="5" customFormat="1" x14ac:dyDescent="0.25">
      <c r="A57" s="75"/>
      <c r="B57" s="10"/>
      <c r="C57" s="4">
        <v>41904</v>
      </c>
      <c r="D57" s="5">
        <v>13.2</v>
      </c>
      <c r="E57" s="5">
        <v>10.1</v>
      </c>
      <c r="F57" s="5">
        <v>16.600000000000001</v>
      </c>
      <c r="G57" s="5">
        <v>223.29999999999998</v>
      </c>
      <c r="I57" s="11" t="s">
        <v>17</v>
      </c>
      <c r="J57" s="5">
        <v>0</v>
      </c>
      <c r="K57" s="5">
        <v>26.299999999999997</v>
      </c>
      <c r="L57" s="5">
        <v>2.7</v>
      </c>
      <c r="M57" s="5">
        <v>33.9</v>
      </c>
      <c r="N57" s="6">
        <v>-2.7</v>
      </c>
      <c r="O57" s="5">
        <f t="shared" si="5"/>
        <v>19.400000000000002</v>
      </c>
      <c r="P57" s="5">
        <v>13</v>
      </c>
      <c r="Q57" s="5">
        <f t="shared" si="7"/>
        <v>0.39452054794520547</v>
      </c>
      <c r="R57" s="8">
        <f t="shared" si="3"/>
        <v>1.0652054794520549</v>
      </c>
      <c r="S57" s="8">
        <f t="shared" si="4"/>
        <v>-1.0652054794520549</v>
      </c>
      <c r="T57" s="8">
        <f t="shared" si="6"/>
        <v>41.107328767123285</v>
      </c>
      <c r="V57" s="5">
        <v>1228.8</v>
      </c>
      <c r="W57" s="5">
        <v>93.090909090909093</v>
      </c>
      <c r="X57" s="5">
        <v>15728.3</v>
      </c>
      <c r="AA57" s="5">
        <v>12.2800746894998</v>
      </c>
    </row>
    <row r="58" spans="1:27" s="5" customFormat="1" x14ac:dyDescent="0.25">
      <c r="A58" s="75"/>
      <c r="B58" s="10"/>
      <c r="C58" s="4">
        <v>41905</v>
      </c>
      <c r="D58" s="5">
        <v>12.7</v>
      </c>
      <c r="E58" s="5">
        <v>7.8</v>
      </c>
      <c r="F58" s="5">
        <v>17.2</v>
      </c>
      <c r="G58" s="5">
        <v>235.99999999999997</v>
      </c>
      <c r="I58" s="5">
        <v>1035.4000000000001</v>
      </c>
      <c r="J58" s="5">
        <v>0</v>
      </c>
      <c r="K58" s="5">
        <v>26.299999999999997</v>
      </c>
      <c r="L58" s="5">
        <v>2.4</v>
      </c>
      <c r="M58" s="5">
        <v>36.299999999999997</v>
      </c>
      <c r="N58" s="6">
        <v>-2.4</v>
      </c>
      <c r="O58" s="5">
        <f t="shared" si="5"/>
        <v>17.000000000000004</v>
      </c>
      <c r="P58" s="5">
        <v>14</v>
      </c>
      <c r="Q58" s="5">
        <f t="shared" si="7"/>
        <v>0.40342465753424656</v>
      </c>
      <c r="R58" s="8">
        <f t="shared" si="3"/>
        <v>0.96821917808219171</v>
      </c>
      <c r="S58" s="8">
        <f t="shared" si="4"/>
        <v>-0.96821917808219171</v>
      </c>
      <c r="T58" s="8">
        <f t="shared" si="6"/>
        <v>40.139109589041091</v>
      </c>
      <c r="U58" s="8">
        <f>(U56*100)/153.6</f>
        <v>46.200192504862166</v>
      </c>
      <c r="V58" s="5">
        <v>1203.5999999999999</v>
      </c>
      <c r="W58" s="5">
        <v>94.771653543307082</v>
      </c>
      <c r="X58" s="5">
        <v>16931.899999999998</v>
      </c>
      <c r="AA58" s="5">
        <v>12.216693931913801</v>
      </c>
    </row>
    <row r="59" spans="1:27" s="5" customFormat="1" x14ac:dyDescent="0.25">
      <c r="A59" s="75"/>
      <c r="B59" s="10"/>
      <c r="C59" s="4">
        <v>41906</v>
      </c>
      <c r="D59" s="5">
        <v>12.4</v>
      </c>
      <c r="E59" s="5">
        <v>10.6</v>
      </c>
      <c r="F59" s="5">
        <v>14.5</v>
      </c>
      <c r="G59" s="5">
        <v>248.39999999999998</v>
      </c>
      <c r="J59" s="5">
        <v>3.7</v>
      </c>
      <c r="K59" s="5">
        <v>29.999999999999996</v>
      </c>
      <c r="L59" s="5">
        <v>1.6</v>
      </c>
      <c r="M59" s="5">
        <v>37.9</v>
      </c>
      <c r="N59" s="5">
        <v>2.1</v>
      </c>
      <c r="O59" s="5">
        <f t="shared" si="5"/>
        <v>19.100000000000005</v>
      </c>
      <c r="P59" s="5">
        <v>15</v>
      </c>
      <c r="Q59" s="5">
        <f t="shared" si="7"/>
        <v>0.41232876712328764</v>
      </c>
      <c r="R59" s="8">
        <f t="shared" si="3"/>
        <v>0.65972602739726027</v>
      </c>
      <c r="S59" s="8">
        <f t="shared" si="4"/>
        <v>3.0402739726027397</v>
      </c>
      <c r="T59" s="8">
        <f t="shared" si="6"/>
        <v>43.179383561643832</v>
      </c>
      <c r="V59" s="12">
        <v>835.8</v>
      </c>
      <c r="W59" s="5">
        <v>67.403225806451601</v>
      </c>
      <c r="X59" s="5">
        <v>17767.699999999997</v>
      </c>
      <c r="AA59" s="5">
        <v>12.1532943613865</v>
      </c>
    </row>
    <row r="60" spans="1:27" s="5" customFormat="1" x14ac:dyDescent="0.25">
      <c r="A60" s="75"/>
      <c r="B60" s="10"/>
      <c r="C60" s="4">
        <v>41907</v>
      </c>
      <c r="D60" s="5">
        <v>12.4</v>
      </c>
      <c r="E60" s="5">
        <v>7.6</v>
      </c>
      <c r="F60" s="5">
        <v>17.100000000000001</v>
      </c>
      <c r="G60" s="5">
        <v>260.79999999999995</v>
      </c>
      <c r="J60" s="5">
        <v>0</v>
      </c>
      <c r="K60" s="5">
        <v>29.999999999999996</v>
      </c>
      <c r="L60" s="5">
        <v>2</v>
      </c>
      <c r="M60" s="5">
        <v>39.9</v>
      </c>
      <c r="N60" s="6">
        <v>-2</v>
      </c>
      <c r="O60" s="5">
        <f t="shared" si="5"/>
        <v>17.100000000000005</v>
      </c>
      <c r="P60" s="5">
        <v>16</v>
      </c>
      <c r="Q60" s="5">
        <f t="shared" si="7"/>
        <v>0.42123287671232873</v>
      </c>
      <c r="R60" s="8">
        <f t="shared" si="3"/>
        <v>0.84246575342465746</v>
      </c>
      <c r="S60" s="8">
        <f t="shared" si="4"/>
        <v>-0.84246575342465746</v>
      </c>
      <c r="T60" s="8">
        <f t="shared" si="6"/>
        <v>42.336917808219177</v>
      </c>
      <c r="V60" s="5">
        <v>1020.7</v>
      </c>
      <c r="W60" s="5">
        <v>82.314516129032256</v>
      </c>
      <c r="X60" s="5">
        <v>18788.399999999998</v>
      </c>
      <c r="AA60" s="5">
        <v>12.089881194089701</v>
      </c>
    </row>
    <row r="61" spans="1:27" s="5" customFormat="1" x14ac:dyDescent="0.25">
      <c r="A61" s="75"/>
      <c r="B61" s="10"/>
      <c r="C61" s="4">
        <v>41908</v>
      </c>
      <c r="D61" s="5">
        <v>15.8</v>
      </c>
      <c r="E61" s="5">
        <v>11</v>
      </c>
      <c r="F61" s="5">
        <v>19.3</v>
      </c>
      <c r="G61" s="5">
        <v>276.59999999999997</v>
      </c>
      <c r="J61" s="5">
        <v>0</v>
      </c>
      <c r="K61" s="5">
        <v>29.999999999999996</v>
      </c>
      <c r="L61" s="5">
        <v>1.3</v>
      </c>
      <c r="M61" s="5">
        <v>41.199999999999996</v>
      </c>
      <c r="N61" s="6">
        <v>-1.3</v>
      </c>
      <c r="O61" s="5">
        <f t="shared" si="5"/>
        <v>15.800000000000004</v>
      </c>
      <c r="P61" s="5">
        <v>17</v>
      </c>
      <c r="Q61" s="5">
        <f t="shared" si="7"/>
        <v>0.43013698630136987</v>
      </c>
      <c r="R61" s="8">
        <f t="shared" si="3"/>
        <v>0.55917808219178089</v>
      </c>
      <c r="S61" s="8">
        <f t="shared" si="4"/>
        <v>-0.55917808219178089</v>
      </c>
      <c r="T61" s="8">
        <f t="shared" si="6"/>
        <v>41.777739726027399</v>
      </c>
      <c r="V61" s="12">
        <v>439.9</v>
      </c>
      <c r="W61" s="5">
        <v>27.841772151898731</v>
      </c>
      <c r="X61" s="5">
        <v>19228.3</v>
      </c>
      <c r="AA61" s="5">
        <v>12.0264596782143</v>
      </c>
    </row>
    <row r="62" spans="1:27" s="5" customFormat="1" x14ac:dyDescent="0.25">
      <c r="A62" s="75"/>
      <c r="B62" s="10"/>
      <c r="C62" s="4">
        <v>41909</v>
      </c>
      <c r="D62" s="5">
        <v>17.600000000000001</v>
      </c>
      <c r="E62" s="5">
        <v>15.2</v>
      </c>
      <c r="F62" s="5">
        <v>21.7</v>
      </c>
      <c r="G62" s="5">
        <v>294.2</v>
      </c>
      <c r="J62" s="5">
        <v>0</v>
      </c>
      <c r="K62" s="5">
        <v>29.999999999999996</v>
      </c>
      <c r="L62" s="5">
        <v>2.4</v>
      </c>
      <c r="M62" s="5">
        <v>43.599999999999994</v>
      </c>
      <c r="N62" s="6">
        <v>-2.4</v>
      </c>
      <c r="O62" s="5">
        <f t="shared" si="5"/>
        <v>13.400000000000004</v>
      </c>
      <c r="P62" s="5">
        <v>18</v>
      </c>
      <c r="Q62" s="5">
        <f t="shared" si="7"/>
        <v>0.43904109589041096</v>
      </c>
      <c r="R62" s="8">
        <f t="shared" si="3"/>
        <v>1.0536986301369862</v>
      </c>
      <c r="S62" s="8">
        <f t="shared" si="4"/>
        <v>-1.0536986301369862</v>
      </c>
      <c r="T62" s="8">
        <f t="shared" si="6"/>
        <v>40.724041095890414</v>
      </c>
      <c r="V62" s="5">
        <v>1011.4</v>
      </c>
      <c r="W62" s="5">
        <v>57.465909090909086</v>
      </c>
      <c r="X62" s="5">
        <v>20239.7</v>
      </c>
      <c r="AA62" s="5">
        <v>11.9630351124153</v>
      </c>
    </row>
    <row r="63" spans="1:27" s="5" customFormat="1" x14ac:dyDescent="0.25">
      <c r="A63" s="75"/>
      <c r="B63" s="10"/>
      <c r="C63" s="4">
        <v>41910</v>
      </c>
      <c r="D63" s="5">
        <v>17.100000000000001</v>
      </c>
      <c r="E63" s="5">
        <v>13</v>
      </c>
      <c r="F63" s="5">
        <v>21.4</v>
      </c>
      <c r="G63" s="5">
        <v>311.3</v>
      </c>
      <c r="J63" s="5">
        <v>0</v>
      </c>
      <c r="K63" s="5">
        <v>29.999999999999996</v>
      </c>
      <c r="L63" s="5">
        <v>1.7</v>
      </c>
      <c r="M63" s="5">
        <v>45.3</v>
      </c>
      <c r="N63" s="6">
        <v>-1.7</v>
      </c>
      <c r="O63" s="5">
        <f t="shared" si="5"/>
        <v>11.700000000000005</v>
      </c>
      <c r="P63" s="5">
        <v>19</v>
      </c>
      <c r="Q63" s="5">
        <f t="shared" si="7"/>
        <v>0.44794520547945205</v>
      </c>
      <c r="R63" s="8">
        <f t="shared" si="3"/>
        <v>0.76150684931506851</v>
      </c>
      <c r="S63" s="8">
        <f t="shared" si="4"/>
        <v>-0.76150684931506851</v>
      </c>
      <c r="T63" s="8">
        <f t="shared" si="6"/>
        <v>39.962534246575345</v>
      </c>
      <c r="V63" s="5">
        <v>1170.5</v>
      </c>
      <c r="W63" s="5">
        <v>68.450292397660817</v>
      </c>
      <c r="X63" s="5">
        <v>21410.2</v>
      </c>
      <c r="AA63" s="5">
        <v>11.8996128643743</v>
      </c>
    </row>
    <row r="64" spans="1:27" s="5" customFormat="1" x14ac:dyDescent="0.25">
      <c r="A64" s="75"/>
      <c r="B64" s="10"/>
      <c r="C64" s="4">
        <v>41911</v>
      </c>
      <c r="D64" s="5">
        <v>16.5</v>
      </c>
      <c r="E64" s="5">
        <v>13.4</v>
      </c>
      <c r="F64" s="5">
        <v>19.2</v>
      </c>
      <c r="G64" s="5">
        <v>327.8</v>
      </c>
      <c r="J64" s="5">
        <v>7.1</v>
      </c>
      <c r="K64" s="5">
        <v>37.099999999999994</v>
      </c>
      <c r="L64" s="5">
        <v>0.6</v>
      </c>
      <c r="M64" s="5">
        <v>45.9</v>
      </c>
      <c r="N64" s="5">
        <v>6.5</v>
      </c>
      <c r="O64" s="5">
        <f t="shared" si="5"/>
        <v>18.200000000000003</v>
      </c>
      <c r="P64" s="5">
        <v>20</v>
      </c>
      <c r="Q64" s="5">
        <f t="shared" si="7"/>
        <v>0.45684931506849313</v>
      </c>
      <c r="R64" s="8">
        <f t="shared" si="3"/>
        <v>0.27410958904109589</v>
      </c>
      <c r="S64" s="8">
        <f t="shared" si="4"/>
        <v>6.8258904109589036</v>
      </c>
      <c r="T64" s="8">
        <f t="shared" si="6"/>
        <v>46.78842465753425</v>
      </c>
      <c r="V64" s="12">
        <v>285.5</v>
      </c>
      <c r="W64" s="5">
        <v>17.303030303030305</v>
      </c>
      <c r="X64" s="5">
        <v>21695.7</v>
      </c>
      <c r="AA64" s="5">
        <v>11.8361983894897</v>
      </c>
    </row>
    <row r="65" spans="1:27" s="5" customFormat="1" x14ac:dyDescent="0.25">
      <c r="A65" s="75"/>
      <c r="B65" s="10"/>
      <c r="C65" s="4">
        <v>41912</v>
      </c>
      <c r="D65" s="5">
        <v>16.2</v>
      </c>
      <c r="E65" s="5">
        <v>13.4</v>
      </c>
      <c r="F65" s="5">
        <v>20.100000000000001</v>
      </c>
      <c r="G65" s="5">
        <v>344</v>
      </c>
      <c r="J65" s="5">
        <v>0.1</v>
      </c>
      <c r="K65" s="5">
        <v>37.199999999999996</v>
      </c>
      <c r="L65" s="5">
        <v>2</v>
      </c>
      <c r="M65" s="5">
        <v>47.9</v>
      </c>
      <c r="N65" s="6">
        <v>-1.9</v>
      </c>
      <c r="O65" s="5">
        <f t="shared" si="5"/>
        <v>16.300000000000004</v>
      </c>
      <c r="P65" s="5">
        <v>21</v>
      </c>
      <c r="Q65" s="5">
        <f t="shared" si="7"/>
        <v>0.46575342465753422</v>
      </c>
      <c r="R65" s="8">
        <f t="shared" si="3"/>
        <v>0.93150684931506844</v>
      </c>
      <c r="S65" s="8">
        <f t="shared" si="4"/>
        <v>-0.83150684931506846</v>
      </c>
      <c r="T65" s="8">
        <f t="shared" si="6"/>
        <v>45.956917808219181</v>
      </c>
      <c r="V65" s="5">
        <v>973.1</v>
      </c>
      <c r="W65" s="5">
        <v>60.067901234567906</v>
      </c>
      <c r="X65" s="5">
        <v>22668.799999999999</v>
      </c>
      <c r="AA65" s="5">
        <v>11.772797249703199</v>
      </c>
    </row>
    <row r="66" spans="1:27" s="5" customFormat="1" x14ac:dyDescent="0.25">
      <c r="A66" s="75"/>
      <c r="B66" s="10"/>
      <c r="C66" s="4">
        <v>41913</v>
      </c>
      <c r="D66" s="5">
        <v>16.100000000000001</v>
      </c>
      <c r="E66" s="5">
        <v>10</v>
      </c>
      <c r="F66" s="5">
        <v>22</v>
      </c>
      <c r="G66" s="5">
        <v>360.1</v>
      </c>
      <c r="J66" s="5">
        <v>0</v>
      </c>
      <c r="K66" s="5">
        <v>37.199999999999996</v>
      </c>
      <c r="L66" s="5">
        <v>2.1</v>
      </c>
      <c r="M66" s="5">
        <v>50</v>
      </c>
      <c r="N66" s="6">
        <v>-2.1</v>
      </c>
      <c r="O66" s="5">
        <f t="shared" si="5"/>
        <v>14.200000000000005</v>
      </c>
      <c r="P66" s="5">
        <v>22</v>
      </c>
      <c r="Q66" s="5">
        <f t="shared" si="7"/>
        <v>0.47465753424657531</v>
      </c>
      <c r="R66" s="8">
        <f t="shared" si="3"/>
        <v>0.99678082191780815</v>
      </c>
      <c r="S66" s="8">
        <f t="shared" si="4"/>
        <v>-0.99678082191780815</v>
      </c>
      <c r="T66" s="8">
        <f t="shared" si="6"/>
        <v>44.960136986301372</v>
      </c>
      <c r="V66" s="5">
        <v>1062.5</v>
      </c>
      <c r="W66" s="5">
        <v>65.993788819875775</v>
      </c>
      <c r="X66" s="5">
        <v>23731.3</v>
      </c>
      <c r="AA66" s="5">
        <v>11.709415132473501</v>
      </c>
    </row>
    <row r="67" spans="1:27" s="5" customFormat="1" x14ac:dyDescent="0.25">
      <c r="A67" s="75"/>
      <c r="B67" s="10"/>
      <c r="C67" s="4">
        <v>41914</v>
      </c>
      <c r="D67" s="5">
        <v>16.899999999999999</v>
      </c>
      <c r="E67" s="5">
        <v>12.7</v>
      </c>
      <c r="F67" s="5">
        <v>21.3</v>
      </c>
      <c r="G67" s="5">
        <v>377</v>
      </c>
      <c r="J67" s="5">
        <v>0</v>
      </c>
      <c r="K67" s="5">
        <v>37.199999999999996</v>
      </c>
      <c r="L67" s="5">
        <v>2.2000000000000002</v>
      </c>
      <c r="M67" s="5">
        <v>52.2</v>
      </c>
      <c r="N67" s="6">
        <v>-2.2000000000000002</v>
      </c>
      <c r="O67" s="5">
        <f t="shared" si="5"/>
        <v>12.000000000000004</v>
      </c>
      <c r="P67" s="5">
        <v>23</v>
      </c>
      <c r="Q67" s="5">
        <f t="shared" si="7"/>
        <v>0.48356164383561639</v>
      </c>
      <c r="R67" s="8">
        <f t="shared" si="3"/>
        <v>1.0638356164383562</v>
      </c>
      <c r="S67" s="8">
        <f t="shared" si="4"/>
        <v>-1.0638356164383562</v>
      </c>
      <c r="T67" s="8">
        <f t="shared" si="6"/>
        <v>43.896301369863018</v>
      </c>
      <c r="V67" s="12">
        <v>894.7</v>
      </c>
      <c r="W67" s="5">
        <v>52.940828402366868</v>
      </c>
      <c r="X67" s="5">
        <v>24626</v>
      </c>
      <c r="AA67" s="5">
        <v>11.646057869903</v>
      </c>
    </row>
    <row r="68" spans="1:27" s="5" customFormat="1" x14ac:dyDescent="0.25">
      <c r="A68" s="75"/>
      <c r="B68" s="10"/>
      <c r="C68" s="4">
        <v>41915</v>
      </c>
      <c r="D68" s="5">
        <v>16.899999999999999</v>
      </c>
      <c r="E68" s="5">
        <v>13.4</v>
      </c>
      <c r="F68" s="5">
        <v>22.3</v>
      </c>
      <c r="G68" s="5">
        <v>393.9</v>
      </c>
      <c r="J68" s="5">
        <v>0</v>
      </c>
      <c r="K68" s="5">
        <v>37.199999999999996</v>
      </c>
      <c r="L68" s="5">
        <v>2.7</v>
      </c>
      <c r="M68" s="5">
        <v>54.900000000000006</v>
      </c>
      <c r="N68" s="6">
        <v>-2.7</v>
      </c>
      <c r="O68" s="5">
        <f t="shared" si="5"/>
        <v>9.3000000000000043</v>
      </c>
      <c r="P68" s="5">
        <v>24</v>
      </c>
      <c r="Q68" s="5">
        <f t="shared" si="7"/>
        <v>0.49246575342465748</v>
      </c>
      <c r="R68" s="8">
        <f t="shared" si="3"/>
        <v>1.3296575342465753</v>
      </c>
      <c r="S68" s="8">
        <f t="shared" si="4"/>
        <v>-1.3296575342465753</v>
      </c>
      <c r="T68" s="8">
        <f t="shared" si="6"/>
        <v>42.566643835616439</v>
      </c>
      <c r="V68" s="5">
        <v>1316.8</v>
      </c>
      <c r="W68" s="5">
        <v>77.91715976331362</v>
      </c>
      <c r="X68" s="5">
        <v>25942.799999999999</v>
      </c>
      <c r="AA68" s="5">
        <v>11.582731458026</v>
      </c>
    </row>
    <row r="69" spans="1:27" s="5" customFormat="1" x14ac:dyDescent="0.25">
      <c r="A69" s="75"/>
      <c r="B69" s="10"/>
      <c r="C69" s="4">
        <v>41916</v>
      </c>
      <c r="D69" s="5">
        <v>14.5</v>
      </c>
      <c r="E69" s="5">
        <v>11.7</v>
      </c>
      <c r="F69" s="5">
        <v>20.7</v>
      </c>
      <c r="G69" s="5">
        <v>408.4</v>
      </c>
      <c r="J69" s="5">
        <v>6.5</v>
      </c>
      <c r="K69" s="5">
        <v>43.699999999999996</v>
      </c>
      <c r="L69" s="5">
        <v>2.1</v>
      </c>
      <c r="M69" s="5">
        <v>57.000000000000007</v>
      </c>
      <c r="N69" s="5">
        <v>4.4000000000000004</v>
      </c>
      <c r="O69" s="5">
        <f t="shared" si="5"/>
        <v>13.700000000000005</v>
      </c>
      <c r="P69" s="5">
        <v>25</v>
      </c>
      <c r="Q69" s="5">
        <f t="shared" si="7"/>
        <v>0.50136986301369857</v>
      </c>
      <c r="R69" s="8">
        <f t="shared" si="3"/>
        <v>1.052876712328767</v>
      </c>
      <c r="S69" s="8">
        <f t="shared" si="4"/>
        <v>5.447123287671233</v>
      </c>
      <c r="T69" s="8">
        <f t="shared" si="6"/>
        <v>48.013767123287671</v>
      </c>
      <c r="V69" s="12">
        <v>679.6</v>
      </c>
      <c r="W69" s="5">
        <v>46.868965517241378</v>
      </c>
      <c r="X69" s="5">
        <v>26622.399999999998</v>
      </c>
      <c r="AA69" s="5">
        <v>11.5194420762639</v>
      </c>
    </row>
    <row r="70" spans="1:27" s="5" customFormat="1" x14ac:dyDescent="0.25">
      <c r="A70" s="75"/>
      <c r="B70" s="10"/>
      <c r="C70" s="4">
        <v>41917</v>
      </c>
      <c r="D70" s="5">
        <v>12.9</v>
      </c>
      <c r="E70" s="5">
        <v>9.8000000000000007</v>
      </c>
      <c r="F70" s="5">
        <v>15.8</v>
      </c>
      <c r="G70" s="5">
        <v>421.29999999999995</v>
      </c>
      <c r="J70" s="5">
        <v>0</v>
      </c>
      <c r="K70" s="5">
        <v>43.699999999999996</v>
      </c>
      <c r="L70" s="5">
        <v>2.2000000000000002</v>
      </c>
      <c r="M70" s="5">
        <v>59.20000000000001</v>
      </c>
      <c r="N70" s="6">
        <v>-2.2000000000000002</v>
      </c>
      <c r="O70" s="5">
        <f t="shared" si="5"/>
        <v>11.500000000000004</v>
      </c>
      <c r="P70" s="5">
        <v>26</v>
      </c>
      <c r="Q70" s="5">
        <f t="shared" si="7"/>
        <v>0.51027397260273966</v>
      </c>
      <c r="R70" s="8">
        <f t="shared" si="3"/>
        <v>1.1226027397260274</v>
      </c>
      <c r="S70" s="8">
        <f t="shared" si="4"/>
        <v>-1.1226027397260274</v>
      </c>
      <c r="T70" s="8">
        <f t="shared" si="6"/>
        <v>46.891164383561645</v>
      </c>
      <c r="V70" s="12">
        <v>754.2</v>
      </c>
      <c r="W70" s="5">
        <v>58.465116279069768</v>
      </c>
      <c r="X70" s="5">
        <v>27376.6</v>
      </c>
      <c r="AA70" s="5">
        <v>11.4561961070522</v>
      </c>
    </row>
    <row r="71" spans="1:27" s="5" customFormat="1" x14ac:dyDescent="0.25">
      <c r="A71" s="75"/>
      <c r="B71" s="10"/>
      <c r="C71" s="4">
        <v>41918</v>
      </c>
      <c r="D71" s="5">
        <v>12.6</v>
      </c>
      <c r="E71" s="5">
        <v>12</v>
      </c>
      <c r="F71" s="5">
        <v>14</v>
      </c>
      <c r="G71" s="5">
        <v>433.9</v>
      </c>
      <c r="J71" s="5">
        <v>4.4000000000000004</v>
      </c>
      <c r="K71" s="5">
        <v>48.099999999999994</v>
      </c>
      <c r="L71" s="5">
        <v>1.5</v>
      </c>
      <c r="M71" s="5">
        <v>60.70000000000001</v>
      </c>
      <c r="N71" s="5">
        <v>2.9000000000000004</v>
      </c>
      <c r="O71" s="5">
        <f t="shared" si="5"/>
        <v>14.400000000000004</v>
      </c>
      <c r="P71" s="5">
        <v>27</v>
      </c>
      <c r="Q71" s="5">
        <f t="shared" si="7"/>
        <v>0.51917808219178085</v>
      </c>
      <c r="R71" s="8">
        <f t="shared" si="3"/>
        <v>0.77876712328767128</v>
      </c>
      <c r="S71" s="8">
        <f t="shared" si="4"/>
        <v>3.621232876712329</v>
      </c>
      <c r="T71" s="8">
        <f t="shared" si="6"/>
        <v>50.512397260273971</v>
      </c>
      <c r="V71" s="12">
        <v>349.7</v>
      </c>
      <c r="W71" s="5">
        <v>27.753968253968253</v>
      </c>
      <c r="X71" s="5">
        <v>27726.3</v>
      </c>
      <c r="AA71" s="5">
        <v>11.393000155641101</v>
      </c>
    </row>
    <row r="72" spans="1:27" s="5" customFormat="1" x14ac:dyDescent="0.25">
      <c r="A72" s="75"/>
      <c r="B72" s="10"/>
      <c r="C72" s="4">
        <v>41919</v>
      </c>
      <c r="D72" s="5">
        <v>12.1</v>
      </c>
      <c r="E72" s="5">
        <v>10.8</v>
      </c>
      <c r="F72" s="5">
        <v>14.2</v>
      </c>
      <c r="G72" s="5">
        <v>446</v>
      </c>
      <c r="J72" s="5">
        <v>4.0999999999999996</v>
      </c>
      <c r="K72" s="5">
        <v>52.199999999999996</v>
      </c>
      <c r="L72" s="5">
        <v>1.5</v>
      </c>
      <c r="M72" s="5">
        <v>62.20000000000001</v>
      </c>
      <c r="N72" s="5">
        <v>2.5999999999999996</v>
      </c>
      <c r="O72" s="5">
        <f t="shared" si="5"/>
        <v>17.000000000000004</v>
      </c>
      <c r="P72" s="5">
        <v>28</v>
      </c>
      <c r="Q72" s="5">
        <f t="shared" si="7"/>
        <v>0.52808219178082183</v>
      </c>
      <c r="R72" s="8">
        <f t="shared" si="3"/>
        <v>0.79212328767123275</v>
      </c>
      <c r="S72" s="8">
        <f t="shared" si="4"/>
        <v>3.3078767123287669</v>
      </c>
      <c r="T72" s="8">
        <f t="shared" si="6"/>
        <v>53.820273972602735</v>
      </c>
      <c r="V72" s="12">
        <v>528.1</v>
      </c>
      <c r="W72" s="5">
        <v>43.644628099173559</v>
      </c>
      <c r="X72" s="5">
        <v>28254.399999999998</v>
      </c>
      <c r="AA72" s="5">
        <v>11.329861070072299</v>
      </c>
    </row>
    <row r="73" spans="1:27" s="5" customFormat="1" x14ac:dyDescent="0.25">
      <c r="A73" s="75"/>
      <c r="B73" s="10"/>
      <c r="C73" s="4">
        <v>41920</v>
      </c>
      <c r="D73" s="5">
        <v>14.1</v>
      </c>
      <c r="E73" s="5">
        <v>9</v>
      </c>
      <c r="F73" s="5">
        <v>16.8</v>
      </c>
      <c r="G73" s="5">
        <v>460.1</v>
      </c>
      <c r="J73" s="5">
        <v>7.3</v>
      </c>
      <c r="K73" s="5">
        <v>59.499999999999993</v>
      </c>
      <c r="L73" s="5">
        <v>0.4</v>
      </c>
      <c r="M73" s="5">
        <v>62.600000000000009</v>
      </c>
      <c r="N73" s="5">
        <v>6.8999999999999995</v>
      </c>
      <c r="O73" s="5">
        <f t="shared" si="5"/>
        <v>23.900000000000002</v>
      </c>
      <c r="P73" s="5">
        <v>29</v>
      </c>
      <c r="Q73" s="5">
        <f t="shared" si="7"/>
        <v>0.53698630136986303</v>
      </c>
      <c r="R73" s="8">
        <f t="shared" si="3"/>
        <v>0.21479452054794523</v>
      </c>
      <c r="S73" s="8">
        <f t="shared" si="4"/>
        <v>7.0852054794520543</v>
      </c>
      <c r="T73" s="8">
        <f t="shared" si="6"/>
        <v>60.905479452054792</v>
      </c>
      <c r="V73" s="12">
        <v>198.6</v>
      </c>
      <c r="W73" s="5">
        <v>14.085106382978724</v>
      </c>
      <c r="X73" s="5">
        <v>28452.999999999996</v>
      </c>
      <c r="AA73" s="5">
        <v>11.2667859613301</v>
      </c>
    </row>
    <row r="74" spans="1:27" s="5" customFormat="1" x14ac:dyDescent="0.25">
      <c r="A74" s="75"/>
      <c r="B74" s="10"/>
      <c r="C74" s="4">
        <v>41921</v>
      </c>
      <c r="D74" s="5">
        <v>15.1</v>
      </c>
      <c r="E74" s="5">
        <v>13.2</v>
      </c>
      <c r="F74" s="5">
        <v>18.3</v>
      </c>
      <c r="G74" s="5">
        <v>475.20000000000005</v>
      </c>
      <c r="J74" s="5">
        <v>0.1</v>
      </c>
      <c r="K74" s="5">
        <v>59.599999999999994</v>
      </c>
      <c r="L74" s="5">
        <v>2.6</v>
      </c>
      <c r="M74" s="5">
        <v>65.2</v>
      </c>
      <c r="N74" s="6">
        <v>-2.5</v>
      </c>
      <c r="O74" s="5">
        <f t="shared" si="5"/>
        <v>21.400000000000002</v>
      </c>
      <c r="P74" s="5">
        <v>30</v>
      </c>
      <c r="Q74" s="5">
        <f t="shared" si="7"/>
        <v>0.54589041095890412</v>
      </c>
      <c r="R74" s="8">
        <f t="shared" si="3"/>
        <v>1.4193150684931508</v>
      </c>
      <c r="S74" s="8">
        <f t="shared" si="4"/>
        <v>-1.3193150684931507</v>
      </c>
      <c r="T74" s="8">
        <f t="shared" si="6"/>
        <v>59.586164383561638</v>
      </c>
      <c r="V74" s="5">
        <v>1005</v>
      </c>
      <c r="W74" s="5">
        <v>66.556291390728475</v>
      </c>
      <c r="X74" s="5">
        <v>29457.999999999996</v>
      </c>
      <c r="AA74" s="5">
        <v>11.2037822236643</v>
      </c>
    </row>
    <row r="75" spans="1:27" s="5" customFormat="1" x14ac:dyDescent="0.25">
      <c r="A75" s="75"/>
      <c r="B75" s="10"/>
      <c r="C75" s="4">
        <v>41922</v>
      </c>
      <c r="D75" s="5">
        <v>13.3</v>
      </c>
      <c r="E75" s="5">
        <v>10.5</v>
      </c>
      <c r="F75" s="5">
        <v>17.5</v>
      </c>
      <c r="G75" s="5">
        <v>488.50000000000006</v>
      </c>
      <c r="J75" s="5">
        <v>0.2</v>
      </c>
      <c r="K75" s="5">
        <v>59.8</v>
      </c>
      <c r="L75" s="5">
        <v>2</v>
      </c>
      <c r="M75" s="5">
        <v>67.2</v>
      </c>
      <c r="N75" s="6">
        <v>-1.8</v>
      </c>
      <c r="O75" s="5">
        <f t="shared" si="5"/>
        <v>19.600000000000001</v>
      </c>
      <c r="P75" s="5">
        <v>31</v>
      </c>
      <c r="Q75" s="5">
        <f t="shared" si="7"/>
        <v>0.5547945205479452</v>
      </c>
      <c r="R75" s="8">
        <f t="shared" si="3"/>
        <v>1.1095890410958904</v>
      </c>
      <c r="S75" s="8">
        <f t="shared" si="4"/>
        <v>-0.90958904109589045</v>
      </c>
      <c r="T75" s="8">
        <f t="shared" si="6"/>
        <v>58.676575342465746</v>
      </c>
      <c r="V75" s="5">
        <v>1022.5</v>
      </c>
      <c r="W75" s="5">
        <v>76.879699248120303</v>
      </c>
      <c r="X75" s="5">
        <v>30480.499999999996</v>
      </c>
      <c r="AA75" s="5">
        <v>11.140857555077901</v>
      </c>
    </row>
    <row r="76" spans="1:27" s="5" customFormat="1" x14ac:dyDescent="0.25">
      <c r="A76" s="75"/>
      <c r="B76" s="10"/>
      <c r="C76" s="4">
        <v>41923</v>
      </c>
      <c r="D76" s="5">
        <v>12.7</v>
      </c>
      <c r="E76" s="5">
        <v>10.5</v>
      </c>
      <c r="F76" s="5">
        <v>15.6</v>
      </c>
      <c r="G76" s="5">
        <v>501.20000000000005</v>
      </c>
      <c r="J76" s="5">
        <v>10.4</v>
      </c>
      <c r="K76" s="5">
        <v>70.2</v>
      </c>
      <c r="L76" s="5">
        <v>1.2</v>
      </c>
      <c r="M76" s="5">
        <v>68.400000000000006</v>
      </c>
      <c r="N76" s="5">
        <v>9.2000000000000011</v>
      </c>
      <c r="O76" s="5">
        <f t="shared" si="5"/>
        <v>28.800000000000004</v>
      </c>
      <c r="P76" s="5">
        <v>32</v>
      </c>
      <c r="Q76" s="5">
        <f t="shared" si="7"/>
        <v>0.56369863013698629</v>
      </c>
      <c r="R76" s="8">
        <f t="shared" si="3"/>
        <v>0.67643835616438353</v>
      </c>
      <c r="S76" s="8">
        <f t="shared" si="4"/>
        <v>9.7235616438356161</v>
      </c>
      <c r="T76" s="8">
        <f t="shared" si="6"/>
        <v>68.400136986301362</v>
      </c>
      <c r="V76" s="12">
        <v>598.9</v>
      </c>
      <c r="W76" s="5">
        <v>47.15748031496063</v>
      </c>
      <c r="X76" s="5">
        <v>31079.399999999998</v>
      </c>
      <c r="AA76" s="5">
        <v>11.0780199779733</v>
      </c>
    </row>
    <row r="77" spans="1:27" s="5" customFormat="1" x14ac:dyDescent="0.25">
      <c r="A77" s="75"/>
      <c r="B77" s="10"/>
      <c r="C77" s="4">
        <v>41924</v>
      </c>
      <c r="D77" s="5">
        <v>12.6</v>
      </c>
      <c r="E77" s="5">
        <v>8.3000000000000007</v>
      </c>
      <c r="F77" s="5">
        <v>16.8</v>
      </c>
      <c r="G77" s="5">
        <v>513.80000000000007</v>
      </c>
      <c r="J77" s="5">
        <v>4.9000000000000004</v>
      </c>
      <c r="K77" s="5">
        <v>75.100000000000009</v>
      </c>
      <c r="L77" s="5">
        <v>1.3</v>
      </c>
      <c r="M77" s="5">
        <v>69.7</v>
      </c>
      <c r="N77" s="5">
        <v>3.6000000000000005</v>
      </c>
      <c r="O77" s="5">
        <f t="shared" si="5"/>
        <v>32.400000000000006</v>
      </c>
      <c r="P77" s="5">
        <v>33</v>
      </c>
      <c r="Q77" s="5">
        <f t="shared" si="7"/>
        <v>0.57260273972602738</v>
      </c>
      <c r="R77" s="8">
        <f t="shared" si="3"/>
        <v>0.74438356164383557</v>
      </c>
      <c r="S77" s="8">
        <f t="shared" si="4"/>
        <v>4.1556164383561649</v>
      </c>
      <c r="T77" s="8">
        <f t="shared" si="6"/>
        <v>72.555753424657524</v>
      </c>
      <c r="V77" s="12">
        <v>786</v>
      </c>
      <c r="W77" s="5">
        <v>62.38095238095238</v>
      </c>
      <c r="X77" s="5">
        <v>31865.399999999998</v>
      </c>
      <c r="AA77" s="5">
        <v>11.0152778599436</v>
      </c>
    </row>
    <row r="78" spans="1:27" s="5" customFormat="1" x14ac:dyDescent="0.25">
      <c r="A78" s="75"/>
      <c r="B78" s="10"/>
      <c r="C78" s="4">
        <v>41925</v>
      </c>
      <c r="D78" s="5">
        <v>14.6</v>
      </c>
      <c r="E78" s="5">
        <v>13.3</v>
      </c>
      <c r="F78" s="5">
        <v>15.7</v>
      </c>
      <c r="G78" s="5">
        <v>528.40000000000009</v>
      </c>
      <c r="J78" s="5">
        <v>0</v>
      </c>
      <c r="K78" s="5">
        <v>75.100000000000009</v>
      </c>
      <c r="L78" s="5">
        <v>1.7</v>
      </c>
      <c r="M78" s="5">
        <v>71.400000000000006</v>
      </c>
      <c r="N78" s="6">
        <v>-1.7</v>
      </c>
      <c r="O78" s="5">
        <f t="shared" si="5"/>
        <v>30.700000000000006</v>
      </c>
      <c r="P78" s="5">
        <v>34</v>
      </c>
      <c r="Q78" s="5">
        <f t="shared" si="7"/>
        <v>0.58150684931506846</v>
      </c>
      <c r="R78" s="8">
        <f t="shared" si="3"/>
        <v>0.9885616438356164</v>
      </c>
      <c r="S78" s="8">
        <f t="shared" si="4"/>
        <v>-0.9885616438356164</v>
      </c>
      <c r="T78" s="8">
        <f t="shared" si="6"/>
        <v>71.567191780821915</v>
      </c>
      <c r="V78" s="12">
        <v>371.6</v>
      </c>
      <c r="W78" s="5">
        <v>25.452054794520549</v>
      </c>
      <c r="X78" s="5">
        <v>32236.999999999996</v>
      </c>
      <c r="AA78" s="5">
        <v>10.9526399346951</v>
      </c>
    </row>
    <row r="79" spans="1:27" s="5" customFormat="1" x14ac:dyDescent="0.25">
      <c r="A79" s="75"/>
      <c r="B79" s="10"/>
      <c r="C79" s="4">
        <v>41926</v>
      </c>
      <c r="D79" s="5">
        <v>12.7</v>
      </c>
      <c r="E79" s="5">
        <v>11.4</v>
      </c>
      <c r="F79" s="5">
        <v>15</v>
      </c>
      <c r="G79" s="5">
        <v>541.10000000000014</v>
      </c>
      <c r="J79" s="5">
        <v>0.6</v>
      </c>
      <c r="K79" s="5">
        <v>75.7</v>
      </c>
      <c r="L79" s="5">
        <v>1.6</v>
      </c>
      <c r="M79" s="5">
        <v>73</v>
      </c>
      <c r="N79" s="6">
        <v>-1</v>
      </c>
      <c r="O79" s="5">
        <f t="shared" si="5"/>
        <v>29.700000000000006</v>
      </c>
      <c r="P79" s="5">
        <v>35</v>
      </c>
      <c r="Q79" s="5">
        <f t="shared" si="7"/>
        <v>0.59041095890410955</v>
      </c>
      <c r="R79" s="8">
        <f t="shared" si="3"/>
        <v>0.94465753424657528</v>
      </c>
      <c r="S79" s="8">
        <f t="shared" si="4"/>
        <v>-0.3446575342465753</v>
      </c>
      <c r="T79" s="8">
        <f t="shared" si="6"/>
        <v>71.222534246575336</v>
      </c>
      <c r="V79" s="12">
        <v>377.8</v>
      </c>
      <c r="W79" s="5">
        <v>29.748031496062996</v>
      </c>
      <c r="X79" s="5">
        <v>32614.799999999996</v>
      </c>
      <c r="AA79" s="5">
        <v>10.8901153230823</v>
      </c>
    </row>
    <row r="80" spans="1:27" s="5" customFormat="1" x14ac:dyDescent="0.25">
      <c r="A80" s="75"/>
      <c r="B80" s="10"/>
      <c r="C80" s="4">
        <v>41927</v>
      </c>
      <c r="D80" s="5">
        <v>12.3</v>
      </c>
      <c r="E80" s="5">
        <v>8.4</v>
      </c>
      <c r="F80" s="5">
        <v>15.2</v>
      </c>
      <c r="G80" s="5">
        <v>553.40000000000009</v>
      </c>
      <c r="J80" s="5">
        <v>3.1</v>
      </c>
      <c r="K80" s="5">
        <v>78.8</v>
      </c>
      <c r="L80" s="5">
        <v>1.1000000000000001</v>
      </c>
      <c r="M80" s="5">
        <v>74.099999999999994</v>
      </c>
      <c r="N80" s="5">
        <v>2</v>
      </c>
      <c r="O80" s="5">
        <f t="shared" si="5"/>
        <v>31.700000000000006</v>
      </c>
      <c r="P80" s="5">
        <v>36</v>
      </c>
      <c r="Q80" s="5">
        <f t="shared" si="7"/>
        <v>0.59931506849315064</v>
      </c>
      <c r="R80" s="8">
        <f t="shared" si="3"/>
        <v>0.65924657534246578</v>
      </c>
      <c r="S80" s="8">
        <f t="shared" si="4"/>
        <v>2.4407534246575344</v>
      </c>
      <c r="T80" s="8">
        <f t="shared" si="6"/>
        <v>73.663287671232865</v>
      </c>
      <c r="V80" s="12">
        <v>495.1</v>
      </c>
      <c r="W80" s="5">
        <v>40.252032520325201</v>
      </c>
      <c r="X80" s="5">
        <v>33109.899999999994</v>
      </c>
      <c r="AA80" s="5">
        <v>10.827713554233901</v>
      </c>
    </row>
    <row r="81" spans="1:27" s="5" customFormat="1" x14ac:dyDescent="0.25">
      <c r="A81" s="75"/>
      <c r="B81" s="10"/>
      <c r="C81" s="4">
        <v>41928</v>
      </c>
      <c r="D81" s="5">
        <v>15.3</v>
      </c>
      <c r="E81" s="5">
        <v>13.2</v>
      </c>
      <c r="F81" s="5">
        <v>17.899999999999999</v>
      </c>
      <c r="G81" s="5">
        <v>568.70000000000005</v>
      </c>
      <c r="J81" s="5">
        <v>3.2</v>
      </c>
      <c r="K81" s="5">
        <v>82</v>
      </c>
      <c r="L81" s="5">
        <v>1.4</v>
      </c>
      <c r="M81" s="5">
        <v>75.5</v>
      </c>
      <c r="N81" s="5">
        <v>1.8000000000000003</v>
      </c>
      <c r="O81" s="5">
        <f t="shared" si="5"/>
        <v>33.500000000000007</v>
      </c>
      <c r="P81" s="5">
        <v>37</v>
      </c>
      <c r="Q81" s="5">
        <f t="shared" si="7"/>
        <v>0.60821917808219172</v>
      </c>
      <c r="R81" s="8">
        <f t="shared" si="3"/>
        <v>0.85150684931506837</v>
      </c>
      <c r="S81" s="8">
        <f t="shared" si="4"/>
        <v>2.3484931506849316</v>
      </c>
      <c r="T81" s="8">
        <f t="shared" si="6"/>
        <v>76.011780821917796</v>
      </c>
      <c r="V81" s="12">
        <v>488.9</v>
      </c>
      <c r="W81" s="5">
        <v>31.954248366013069</v>
      </c>
      <c r="X81" s="5">
        <v>33598.799999999996</v>
      </c>
      <c r="AA81" s="5">
        <v>10.7654445867412</v>
      </c>
    </row>
    <row r="82" spans="1:27" s="5" customFormat="1" x14ac:dyDescent="0.25">
      <c r="A82" s="75"/>
      <c r="B82" s="10"/>
      <c r="C82" s="4">
        <v>41929</v>
      </c>
      <c r="D82" s="5">
        <v>15.2</v>
      </c>
      <c r="E82" s="5">
        <v>13.3</v>
      </c>
      <c r="F82" s="5">
        <v>17.899999999999999</v>
      </c>
      <c r="G82" s="5">
        <v>583.90000000000009</v>
      </c>
      <c r="J82" s="5">
        <v>0.1</v>
      </c>
      <c r="K82" s="5">
        <v>82.1</v>
      </c>
      <c r="L82" s="5">
        <v>0.9</v>
      </c>
      <c r="M82" s="5">
        <v>76.400000000000006</v>
      </c>
      <c r="N82" s="6">
        <v>-0.8</v>
      </c>
      <c r="O82" s="5">
        <f t="shared" si="5"/>
        <v>32.70000000000001</v>
      </c>
      <c r="P82" s="5">
        <v>38</v>
      </c>
      <c r="Q82" s="5">
        <f t="shared" si="7"/>
        <v>0.61712328767123292</v>
      </c>
      <c r="R82" s="8">
        <f t="shared" si="3"/>
        <v>0.55541095890410963</v>
      </c>
      <c r="S82" s="8">
        <f t="shared" si="4"/>
        <v>-0.45541095890410965</v>
      </c>
      <c r="T82" s="8">
        <f t="shared" si="6"/>
        <v>75.556369863013686</v>
      </c>
      <c r="V82" s="12">
        <v>378.5</v>
      </c>
      <c r="W82" s="5">
        <v>24.901315789473685</v>
      </c>
      <c r="X82" s="5">
        <v>33977.299999999996</v>
      </c>
      <c r="AA82" s="5">
        <v>10.7033188298807</v>
      </c>
    </row>
    <row r="83" spans="1:27" s="5" customFormat="1" x14ac:dyDescent="0.25">
      <c r="A83" s="75"/>
      <c r="B83" s="10"/>
      <c r="C83" s="4">
        <v>41930</v>
      </c>
      <c r="D83" s="5">
        <v>18.100000000000001</v>
      </c>
      <c r="E83" s="5">
        <v>14.6</v>
      </c>
      <c r="F83" s="5">
        <v>21.7</v>
      </c>
      <c r="G83" s="5">
        <v>602.00000000000011</v>
      </c>
      <c r="J83" s="5">
        <v>0</v>
      </c>
      <c r="K83" s="5">
        <v>82.1</v>
      </c>
      <c r="L83" s="5">
        <v>1.7</v>
      </c>
      <c r="M83" s="5">
        <v>78.100000000000009</v>
      </c>
      <c r="N83" s="6">
        <v>-1.7</v>
      </c>
      <c r="O83" s="5">
        <f t="shared" si="5"/>
        <v>31.000000000000011</v>
      </c>
      <c r="P83" s="5">
        <v>39</v>
      </c>
      <c r="Q83" s="5">
        <f t="shared" si="7"/>
        <v>0.6260273972602739</v>
      </c>
      <c r="R83" s="8">
        <f t="shared" si="3"/>
        <v>1.0642465753424657</v>
      </c>
      <c r="S83" s="8">
        <f t="shared" si="4"/>
        <v>-1.0642465753424657</v>
      </c>
      <c r="T83" s="8">
        <f t="shared" si="6"/>
        <v>74.49212328767122</v>
      </c>
      <c r="V83" s="5">
        <v>914.9</v>
      </c>
      <c r="W83" s="5">
        <v>50.546961325966848</v>
      </c>
      <c r="X83" s="5">
        <v>34892.199999999997</v>
      </c>
      <c r="AA83" s="5">
        <v>10.6413471648317</v>
      </c>
    </row>
    <row r="84" spans="1:27" s="5" customFormat="1" x14ac:dyDescent="0.25">
      <c r="A84" s="75"/>
      <c r="B84" s="10"/>
      <c r="C84" s="4">
        <v>41931</v>
      </c>
      <c r="D84" s="5">
        <v>17.2</v>
      </c>
      <c r="E84" s="5">
        <v>15.7</v>
      </c>
      <c r="F84" s="5">
        <v>21.8</v>
      </c>
      <c r="G84" s="5">
        <v>619.20000000000016</v>
      </c>
      <c r="J84" s="5">
        <v>0</v>
      </c>
      <c r="K84" s="5">
        <v>82.1</v>
      </c>
      <c r="L84" s="5">
        <v>2.5</v>
      </c>
      <c r="M84" s="5">
        <v>80.600000000000009</v>
      </c>
      <c r="N84" s="6">
        <v>-2.5</v>
      </c>
      <c r="O84" s="5">
        <f t="shared" si="5"/>
        <v>28.500000000000011</v>
      </c>
      <c r="P84" s="5">
        <v>40</v>
      </c>
      <c r="Q84" s="5">
        <f t="shared" si="7"/>
        <v>0.6349315068493151</v>
      </c>
      <c r="R84" s="8">
        <f t="shared" si="3"/>
        <v>1.5873287671232879</v>
      </c>
      <c r="S84" s="8">
        <f t="shared" si="4"/>
        <v>-1.5873287671232879</v>
      </c>
      <c r="T84" s="8">
        <f t="shared" si="6"/>
        <v>72.904794520547938</v>
      </c>
      <c r="V84" s="5">
        <v>945.7</v>
      </c>
      <c r="W84" s="5">
        <v>54.982558139534888</v>
      </c>
      <c r="X84" s="5">
        <v>35837.899999999994</v>
      </c>
      <c r="AA84" s="5">
        <v>10.5795409658507</v>
      </c>
    </row>
    <row r="85" spans="1:27" s="5" customFormat="1" x14ac:dyDescent="0.25">
      <c r="A85" s="75"/>
      <c r="B85" s="10"/>
      <c r="C85" s="4">
        <v>41932</v>
      </c>
      <c r="D85" s="5">
        <v>14.4</v>
      </c>
      <c r="E85" s="5">
        <v>12.2</v>
      </c>
      <c r="F85" s="5">
        <v>17.7</v>
      </c>
      <c r="G85" s="5">
        <v>633.60000000000014</v>
      </c>
      <c r="J85" s="5">
        <v>0.1</v>
      </c>
      <c r="K85" s="5">
        <v>82.199999999999989</v>
      </c>
      <c r="L85" s="5">
        <v>2.1</v>
      </c>
      <c r="M85" s="5">
        <v>82.7</v>
      </c>
      <c r="N85" s="6">
        <v>-2</v>
      </c>
      <c r="O85" s="5">
        <f t="shared" si="5"/>
        <v>26.500000000000011</v>
      </c>
      <c r="P85" s="5">
        <v>41</v>
      </c>
      <c r="Q85" s="5">
        <f t="shared" si="7"/>
        <v>0.64383561643835607</v>
      </c>
      <c r="R85" s="8">
        <f t="shared" si="3"/>
        <v>1.3520547945205479</v>
      </c>
      <c r="S85" s="8">
        <f t="shared" si="4"/>
        <v>-1.2520547945205478</v>
      </c>
      <c r="T85" s="8">
        <f t="shared" si="6"/>
        <v>71.652739726027391</v>
      </c>
      <c r="V85" s="12">
        <v>780.6</v>
      </c>
      <c r="W85" s="5">
        <v>54.208333333333336</v>
      </c>
      <c r="X85" s="5">
        <v>36618.499999999993</v>
      </c>
      <c r="AA85" s="5">
        <v>10.517912121352399</v>
      </c>
    </row>
    <row r="86" spans="1:27" s="5" customFormat="1" x14ac:dyDescent="0.25">
      <c r="A86" s="75"/>
      <c r="B86" s="10"/>
      <c r="C86" s="4">
        <v>41933</v>
      </c>
      <c r="D86" s="5">
        <v>12</v>
      </c>
      <c r="E86" s="5">
        <v>10.8</v>
      </c>
      <c r="F86" s="5">
        <v>14.5</v>
      </c>
      <c r="G86" s="5">
        <v>645.60000000000014</v>
      </c>
      <c r="J86" s="5">
        <v>3.7</v>
      </c>
      <c r="K86" s="5">
        <v>85.899999999999991</v>
      </c>
      <c r="L86" s="5">
        <v>1.9</v>
      </c>
      <c r="M86" s="5">
        <v>84.600000000000009</v>
      </c>
      <c r="N86" s="5">
        <v>1.8000000000000003</v>
      </c>
      <c r="O86" s="5">
        <f t="shared" si="5"/>
        <v>28.300000000000011</v>
      </c>
      <c r="P86" s="5">
        <v>42</v>
      </c>
      <c r="Q86" s="5">
        <f t="shared" si="7"/>
        <v>0.65273972602739727</v>
      </c>
      <c r="R86" s="8">
        <f t="shared" si="3"/>
        <v>1.2402054794520547</v>
      </c>
      <c r="S86" s="8">
        <f t="shared" si="4"/>
        <v>2.4597945205479457</v>
      </c>
      <c r="T86" s="8">
        <f t="shared" si="6"/>
        <v>74.112534246575336</v>
      </c>
      <c r="V86" s="12">
        <v>382.9</v>
      </c>
      <c r="W86" s="5">
        <v>31.908333333333331</v>
      </c>
      <c r="X86" s="5">
        <v>37001.399999999994</v>
      </c>
      <c r="AA86" s="5">
        <v>10.456473054847701</v>
      </c>
    </row>
    <row r="87" spans="1:27" s="5" customFormat="1" x14ac:dyDescent="0.25">
      <c r="A87" s="75"/>
      <c r="B87" s="10"/>
      <c r="C87" s="4">
        <v>41934</v>
      </c>
      <c r="D87" s="5">
        <v>9.6999999999999993</v>
      </c>
      <c r="E87" s="5">
        <v>7.6</v>
      </c>
      <c r="F87" s="5">
        <v>11.3</v>
      </c>
      <c r="G87" s="5">
        <v>655.30000000000018</v>
      </c>
      <c r="J87" s="5">
        <v>0.3</v>
      </c>
      <c r="K87" s="5">
        <v>86.199999999999989</v>
      </c>
      <c r="L87" s="5">
        <v>1.5</v>
      </c>
      <c r="M87" s="5">
        <v>86.100000000000009</v>
      </c>
      <c r="N87" s="6">
        <v>-1.2</v>
      </c>
      <c r="O87" s="5">
        <f t="shared" si="5"/>
        <v>27.100000000000012</v>
      </c>
      <c r="P87" s="5">
        <v>43</v>
      </c>
      <c r="Q87" s="5">
        <f t="shared" si="7"/>
        <v>0.66164383561643825</v>
      </c>
      <c r="R87" s="8">
        <f t="shared" si="3"/>
        <v>0.99246575342465737</v>
      </c>
      <c r="S87" s="8">
        <f t="shared" si="4"/>
        <v>-0.69246575342465744</v>
      </c>
      <c r="T87" s="8">
        <f t="shared" si="6"/>
        <v>73.42006849315068</v>
      </c>
      <c r="V87" s="12">
        <v>602.1</v>
      </c>
      <c r="W87" s="5">
        <v>62.072164948453619</v>
      </c>
      <c r="X87" s="5">
        <v>37603.499999999993</v>
      </c>
      <c r="AA87" s="5">
        <v>10.3952367456766</v>
      </c>
    </row>
    <row r="88" spans="1:27" s="5" customFormat="1" x14ac:dyDescent="0.25">
      <c r="A88" s="75"/>
      <c r="B88" s="10"/>
      <c r="C88" s="4">
        <v>41935</v>
      </c>
      <c r="D88" s="5">
        <v>12.1</v>
      </c>
      <c r="E88" s="5">
        <v>10.199999999999999</v>
      </c>
      <c r="F88" s="5">
        <v>13.9</v>
      </c>
      <c r="G88" s="5">
        <v>667.4000000000002</v>
      </c>
      <c r="J88" s="5">
        <v>0.2</v>
      </c>
      <c r="K88" s="5">
        <v>86.399999999999991</v>
      </c>
      <c r="L88" s="5">
        <v>1.1000000000000001</v>
      </c>
      <c r="M88" s="5">
        <v>87.2</v>
      </c>
      <c r="N88" s="6">
        <v>-0.90000000000000013</v>
      </c>
      <c r="O88" s="5">
        <f t="shared" si="5"/>
        <v>26.200000000000014</v>
      </c>
      <c r="P88" s="5">
        <v>44</v>
      </c>
      <c r="Q88" s="5">
        <f t="shared" si="7"/>
        <v>0.67054794520547945</v>
      </c>
      <c r="R88" s="8">
        <f t="shared" si="3"/>
        <v>0.73760273972602741</v>
      </c>
      <c r="S88" s="8">
        <f t="shared" si="4"/>
        <v>-0.53760273972602746</v>
      </c>
      <c r="T88" s="8">
        <f t="shared" si="6"/>
        <v>72.882465753424654</v>
      </c>
      <c r="V88" s="12">
        <v>217.1</v>
      </c>
      <c r="W88" s="5">
        <v>17.942148760330578</v>
      </c>
      <c r="X88" s="5">
        <v>37820.599999999991</v>
      </c>
      <c r="AA88" s="5">
        <v>10.3342167494721</v>
      </c>
    </row>
    <row r="89" spans="1:27" s="5" customFormat="1" x14ac:dyDescent="0.25">
      <c r="A89" s="75"/>
      <c r="B89" s="10"/>
      <c r="C89" s="4">
        <v>41936</v>
      </c>
      <c r="D89" s="5">
        <v>12</v>
      </c>
      <c r="E89" s="5">
        <v>11.5</v>
      </c>
      <c r="F89" s="5">
        <v>12.6</v>
      </c>
      <c r="G89" s="5">
        <v>679.4000000000002</v>
      </c>
      <c r="J89" s="5">
        <v>3.3</v>
      </c>
      <c r="K89" s="5">
        <v>89.699999999999989</v>
      </c>
      <c r="L89" s="5">
        <v>0.6</v>
      </c>
      <c r="M89" s="5">
        <v>87.8</v>
      </c>
      <c r="N89" s="5">
        <v>2.6999999999999997</v>
      </c>
      <c r="O89" s="5">
        <f t="shared" si="5"/>
        <v>28.900000000000013</v>
      </c>
      <c r="P89" s="5">
        <v>45</v>
      </c>
      <c r="Q89" s="5">
        <f t="shared" si="7"/>
        <v>0.67945205479452053</v>
      </c>
      <c r="R89" s="8">
        <f t="shared" si="3"/>
        <v>0.40767123287671231</v>
      </c>
      <c r="S89" s="8">
        <f t="shared" si="4"/>
        <v>2.8923287671232876</v>
      </c>
      <c r="T89" s="8">
        <f t="shared" si="6"/>
        <v>75.774794520547943</v>
      </c>
      <c r="V89" s="12">
        <v>129.4</v>
      </c>
      <c r="W89" s="5">
        <v>10.783333333333333</v>
      </c>
      <c r="X89" s="5">
        <v>37949.999999999993</v>
      </c>
      <c r="AA89" s="5">
        <v>10.273427218281</v>
      </c>
    </row>
    <row r="90" spans="1:27" s="5" customFormat="1" x14ac:dyDescent="0.25">
      <c r="A90" s="75"/>
      <c r="B90" s="10"/>
      <c r="C90" s="4">
        <v>41937</v>
      </c>
      <c r="D90" s="5">
        <v>13.4</v>
      </c>
      <c r="E90" s="5">
        <v>12</v>
      </c>
      <c r="F90" s="5">
        <v>15.3</v>
      </c>
      <c r="G90" s="5">
        <v>692.80000000000018</v>
      </c>
      <c r="J90" s="5">
        <v>0</v>
      </c>
      <c r="K90" s="5">
        <v>89.699999999999989</v>
      </c>
      <c r="L90" s="5">
        <v>1.9</v>
      </c>
      <c r="M90" s="5">
        <v>89.7</v>
      </c>
      <c r="N90" s="6">
        <v>-1.9</v>
      </c>
      <c r="O90" s="5">
        <f t="shared" si="5"/>
        <v>27.000000000000014</v>
      </c>
      <c r="P90" s="5">
        <v>46</v>
      </c>
      <c r="Q90" s="5">
        <f t="shared" si="7"/>
        <v>0.68835616438356162</v>
      </c>
      <c r="R90" s="8">
        <f t="shared" si="3"/>
        <v>1.3078767123287671</v>
      </c>
      <c r="S90" s="8">
        <f t="shared" si="4"/>
        <v>-1.3078767123287671</v>
      </c>
      <c r="T90" s="8">
        <f t="shared" si="6"/>
        <v>74.466917808219179</v>
      </c>
      <c r="V90" s="12">
        <v>740.3</v>
      </c>
      <c r="W90" s="5">
        <v>55.24626865671641</v>
      </c>
      <c r="X90" s="5">
        <v>38690.299999999996</v>
      </c>
      <c r="AA90" s="5">
        <v>10.2128829202618</v>
      </c>
    </row>
    <row r="91" spans="1:27" s="5" customFormat="1" x14ac:dyDescent="0.25">
      <c r="A91" s="75"/>
      <c r="B91" s="10"/>
      <c r="C91" s="4">
        <v>41938</v>
      </c>
      <c r="D91" s="5">
        <v>13.3</v>
      </c>
      <c r="E91" s="5">
        <v>11.2</v>
      </c>
      <c r="F91" s="5">
        <v>15.7</v>
      </c>
      <c r="G91" s="5">
        <v>706.10000000000014</v>
      </c>
      <c r="J91" s="5">
        <v>0</v>
      </c>
      <c r="K91" s="5">
        <v>89.699999999999989</v>
      </c>
      <c r="L91" s="5">
        <v>1.5</v>
      </c>
      <c r="M91" s="5">
        <v>91.2</v>
      </c>
      <c r="N91" s="6">
        <v>-1.5</v>
      </c>
      <c r="O91" s="5">
        <f t="shared" si="5"/>
        <v>25.500000000000014</v>
      </c>
      <c r="P91" s="5">
        <v>47</v>
      </c>
      <c r="Q91" s="5">
        <f t="shared" si="7"/>
        <v>0.69726027397260282</v>
      </c>
      <c r="R91" s="8">
        <f t="shared" si="3"/>
        <v>1.0458904109589042</v>
      </c>
      <c r="S91" s="8">
        <f t="shared" si="4"/>
        <v>-1.0458904109589042</v>
      </c>
      <c r="T91" s="8">
        <f t="shared" si="6"/>
        <v>73.421027397260275</v>
      </c>
      <c r="V91" s="12">
        <v>476.7</v>
      </c>
      <c r="W91" s="5">
        <v>35.84210526315789</v>
      </c>
      <c r="X91" s="5">
        <v>39166.999999999993</v>
      </c>
      <c r="AA91" s="5">
        <v>10.152599258871</v>
      </c>
    </row>
    <row r="92" spans="1:27" s="5" customFormat="1" x14ac:dyDescent="0.25">
      <c r="A92" s="75"/>
      <c r="B92" s="10"/>
      <c r="C92" s="4">
        <v>41939</v>
      </c>
      <c r="D92" s="5">
        <v>12</v>
      </c>
      <c r="E92" s="5">
        <v>8.5</v>
      </c>
      <c r="F92" s="5">
        <v>14.3</v>
      </c>
      <c r="G92" s="5">
        <v>718.10000000000014</v>
      </c>
      <c r="J92" s="5">
        <v>0</v>
      </c>
      <c r="K92" s="5">
        <v>89.699999999999989</v>
      </c>
      <c r="L92" s="5">
        <v>0.9</v>
      </c>
      <c r="M92" s="5">
        <v>92.100000000000009</v>
      </c>
      <c r="N92" s="6">
        <v>-0.9</v>
      </c>
      <c r="O92" s="5">
        <f t="shared" si="5"/>
        <v>24.600000000000016</v>
      </c>
      <c r="P92" s="5">
        <v>48</v>
      </c>
      <c r="Q92" s="5">
        <f t="shared" si="7"/>
        <v>0.70616438356164379</v>
      </c>
      <c r="R92" s="8">
        <f t="shared" si="3"/>
        <v>0.63554794520547941</v>
      </c>
      <c r="S92" s="8">
        <f t="shared" si="4"/>
        <v>-0.63554794520547941</v>
      </c>
      <c r="T92" s="8">
        <f t="shared" si="6"/>
        <v>72.785479452054801</v>
      </c>
      <c r="V92" s="12">
        <v>610.4</v>
      </c>
      <c r="W92" s="5">
        <v>50.866666666666667</v>
      </c>
      <c r="X92" s="5">
        <v>39777.399999999994</v>
      </c>
      <c r="AA92" s="5">
        <v>10.0925922914425</v>
      </c>
    </row>
    <row r="93" spans="1:27" s="5" customFormat="1" x14ac:dyDescent="0.25">
      <c r="A93" s="75"/>
      <c r="B93" s="10"/>
      <c r="C93" s="4">
        <v>41940</v>
      </c>
      <c r="D93" s="5">
        <v>10.3</v>
      </c>
      <c r="E93" s="5">
        <v>9.4</v>
      </c>
      <c r="F93" s="5">
        <v>10.9</v>
      </c>
      <c r="G93" s="5">
        <v>728.40000000000009</v>
      </c>
      <c r="J93" s="5">
        <v>0</v>
      </c>
      <c r="K93" s="5">
        <v>89.699999999999989</v>
      </c>
      <c r="L93" s="5">
        <v>0.5</v>
      </c>
      <c r="M93" s="5">
        <v>92.600000000000009</v>
      </c>
      <c r="N93" s="6">
        <v>-0.5</v>
      </c>
      <c r="O93" s="5">
        <f t="shared" si="5"/>
        <v>24.100000000000016</v>
      </c>
      <c r="P93" s="5">
        <v>49</v>
      </c>
      <c r="Q93" s="5">
        <f t="shared" si="7"/>
        <v>0.71506849315068499</v>
      </c>
      <c r="R93" s="8">
        <f t="shared" si="3"/>
        <v>0.3575342465753425</v>
      </c>
      <c r="S93" s="8">
        <f t="shared" si="4"/>
        <v>-0.3575342465753425</v>
      </c>
      <c r="T93" s="8">
        <f t="shared" si="6"/>
        <v>72.42794520547946</v>
      </c>
      <c r="V93" s="12">
        <v>223.8</v>
      </c>
      <c r="W93" s="5">
        <v>21.728155339805824</v>
      </c>
      <c r="X93" s="5">
        <v>40001.199999999997</v>
      </c>
      <c r="AA93" s="5">
        <v>10.032878747055101</v>
      </c>
    </row>
    <row r="94" spans="1:27" s="5" customFormat="1" x14ac:dyDescent="0.25">
      <c r="A94" s="75"/>
      <c r="B94" s="10"/>
      <c r="C94" s="4">
        <v>41941</v>
      </c>
      <c r="D94" s="5">
        <v>11.7</v>
      </c>
      <c r="E94" s="5">
        <v>10.4</v>
      </c>
      <c r="F94" s="5">
        <v>13</v>
      </c>
      <c r="G94" s="5">
        <v>740.10000000000014</v>
      </c>
      <c r="J94" s="5">
        <v>4.4000000000000004</v>
      </c>
      <c r="K94" s="5">
        <v>94.1</v>
      </c>
      <c r="L94" s="5">
        <v>0.4</v>
      </c>
      <c r="M94" s="5">
        <v>93.000000000000014</v>
      </c>
      <c r="N94" s="5">
        <v>4</v>
      </c>
      <c r="O94" s="5">
        <f t="shared" si="5"/>
        <v>28.100000000000016</v>
      </c>
      <c r="P94" s="5">
        <v>50</v>
      </c>
      <c r="Q94" s="5">
        <f t="shared" si="7"/>
        <v>0.72397260273972597</v>
      </c>
      <c r="R94" s="8">
        <f t="shared" si="3"/>
        <v>0.2895890410958904</v>
      </c>
      <c r="S94" s="8">
        <f t="shared" si="4"/>
        <v>4.1104109589041098</v>
      </c>
      <c r="T94" s="8">
        <f t="shared" si="6"/>
        <v>76.538356164383572</v>
      </c>
      <c r="V94" s="12">
        <v>115.1</v>
      </c>
      <c r="W94" s="5">
        <v>9.8376068376068382</v>
      </c>
      <c r="X94" s="5">
        <v>40116.299999999996</v>
      </c>
      <c r="AA94" s="5">
        <v>9.9734760435752197</v>
      </c>
    </row>
    <row r="95" spans="1:27" s="5" customFormat="1" x14ac:dyDescent="0.25">
      <c r="A95" s="75"/>
      <c r="B95" s="10"/>
      <c r="C95" s="4">
        <v>41942</v>
      </c>
      <c r="D95" s="5">
        <v>13.5</v>
      </c>
      <c r="E95" s="5">
        <v>11</v>
      </c>
      <c r="F95" s="5">
        <v>16.7</v>
      </c>
      <c r="G95" s="5">
        <v>753.60000000000014</v>
      </c>
      <c r="J95" s="5">
        <v>0.3</v>
      </c>
      <c r="K95" s="5">
        <v>94.399999999999991</v>
      </c>
      <c r="L95" s="5">
        <v>0.6</v>
      </c>
      <c r="M95" s="5">
        <v>93.600000000000009</v>
      </c>
      <c r="N95" s="6">
        <v>-0.3</v>
      </c>
      <c r="O95" s="5">
        <f t="shared" si="5"/>
        <v>27.800000000000015</v>
      </c>
      <c r="P95" s="5">
        <v>51</v>
      </c>
      <c r="Q95" s="5">
        <f t="shared" si="7"/>
        <v>0.73287671232876717</v>
      </c>
      <c r="R95" s="8">
        <f t="shared" si="3"/>
        <v>0.4397260273972603</v>
      </c>
      <c r="S95" s="8">
        <f t="shared" si="4"/>
        <v>-0.13972602739726031</v>
      </c>
      <c r="T95" s="8">
        <f t="shared" si="6"/>
        <v>76.398630136986313</v>
      </c>
      <c r="V95" s="12">
        <v>251.7</v>
      </c>
      <c r="W95" s="5">
        <v>18.644444444444442</v>
      </c>
      <c r="X95" s="5">
        <v>40367.999999999993</v>
      </c>
      <c r="AA95" s="5">
        <v>9.9144023037533593</v>
      </c>
    </row>
    <row r="96" spans="1:27" s="5" customFormat="1" x14ac:dyDescent="0.25">
      <c r="A96" s="75"/>
      <c r="B96" s="10"/>
      <c r="C96" s="4">
        <v>41943</v>
      </c>
      <c r="D96" s="5">
        <v>14.5</v>
      </c>
      <c r="E96" s="5">
        <v>11.2</v>
      </c>
      <c r="F96" s="5">
        <v>18.600000000000001</v>
      </c>
      <c r="G96" s="5">
        <v>768.10000000000014</v>
      </c>
      <c r="J96" s="5">
        <v>0</v>
      </c>
      <c r="K96" s="5">
        <v>94.399999999999991</v>
      </c>
      <c r="L96" s="5">
        <v>1.3</v>
      </c>
      <c r="M96" s="5">
        <v>94.9</v>
      </c>
      <c r="N96" s="6">
        <v>-1.3</v>
      </c>
      <c r="O96" s="5">
        <f t="shared" si="5"/>
        <v>26.500000000000014</v>
      </c>
      <c r="P96" s="5">
        <v>52</v>
      </c>
      <c r="Q96" s="5">
        <f t="shared" si="7"/>
        <v>0.74178082191780814</v>
      </c>
      <c r="R96" s="8">
        <f t="shared" si="3"/>
        <v>0.96431506849315063</v>
      </c>
      <c r="S96" s="8">
        <f t="shared" si="4"/>
        <v>-0.96431506849315063</v>
      </c>
      <c r="T96" s="8">
        <f t="shared" si="6"/>
        <v>75.434315068493163</v>
      </c>
      <c r="V96" s="12">
        <v>803.1</v>
      </c>
      <c r="W96" s="5">
        <v>55.386206896551727</v>
      </c>
      <c r="X96" s="5">
        <v>41171.099999999991</v>
      </c>
      <c r="AA96" s="5">
        <v>9.8556763702435806</v>
      </c>
    </row>
    <row r="97" spans="1:27" s="5" customFormat="1" x14ac:dyDescent="0.25">
      <c r="A97" s="75"/>
      <c r="B97" s="10"/>
      <c r="C97" s="4">
        <v>41944</v>
      </c>
      <c r="D97" s="5">
        <v>15.2</v>
      </c>
      <c r="E97" s="5">
        <v>11.8</v>
      </c>
      <c r="F97" s="5">
        <v>19</v>
      </c>
      <c r="G97" s="5">
        <v>783.30000000000018</v>
      </c>
      <c r="J97" s="5">
        <v>0.1</v>
      </c>
      <c r="K97" s="5">
        <v>94.499999999999986</v>
      </c>
      <c r="L97" s="5">
        <v>1.6</v>
      </c>
      <c r="M97" s="5">
        <v>96.5</v>
      </c>
      <c r="N97" s="6">
        <v>-1.5</v>
      </c>
      <c r="O97" s="5">
        <f t="shared" si="5"/>
        <v>25.000000000000014</v>
      </c>
      <c r="P97" s="5">
        <v>53</v>
      </c>
      <c r="Q97" s="5">
        <f t="shared" si="7"/>
        <v>0.75068493150684934</v>
      </c>
      <c r="R97" s="8">
        <f t="shared" si="3"/>
        <v>1.201095890410959</v>
      </c>
      <c r="S97" s="8">
        <f t="shared" si="4"/>
        <v>-1.1010958904109589</v>
      </c>
      <c r="T97" s="8">
        <f t="shared" si="6"/>
        <v>74.333219178082203</v>
      </c>
      <c r="V97" s="12">
        <v>865.3</v>
      </c>
      <c r="W97" s="5">
        <v>56.92763157894737</v>
      </c>
      <c r="X97" s="5">
        <v>42036.399999999994</v>
      </c>
      <c r="AA97" s="5">
        <v>9.7973178194064694</v>
      </c>
    </row>
    <row r="98" spans="1:27" s="5" customFormat="1" x14ac:dyDescent="0.25">
      <c r="A98" s="75"/>
      <c r="B98" s="10"/>
      <c r="C98" s="4">
        <v>41945</v>
      </c>
      <c r="D98" s="5">
        <v>13.9</v>
      </c>
      <c r="E98" s="5">
        <v>11.5</v>
      </c>
      <c r="F98" s="5">
        <v>15.8</v>
      </c>
      <c r="G98" s="5">
        <v>797.20000000000016</v>
      </c>
      <c r="J98" s="5">
        <v>8</v>
      </c>
      <c r="K98" s="5">
        <v>102.49999999999999</v>
      </c>
      <c r="L98" s="5">
        <v>1.4</v>
      </c>
      <c r="M98" s="5">
        <v>97.9</v>
      </c>
      <c r="N98" s="5">
        <v>6.6</v>
      </c>
      <c r="O98" s="5">
        <f t="shared" si="5"/>
        <v>31.600000000000016</v>
      </c>
      <c r="P98" s="5">
        <v>54</v>
      </c>
      <c r="Q98" s="5">
        <f t="shared" si="7"/>
        <v>0.75958904109589032</v>
      </c>
      <c r="R98" s="8">
        <f t="shared" si="3"/>
        <v>1.0634246575342463</v>
      </c>
      <c r="S98" s="8">
        <f t="shared" si="4"/>
        <v>6.9365753424657539</v>
      </c>
      <c r="T98" s="8">
        <f t="shared" si="6"/>
        <v>81.269794520547961</v>
      </c>
      <c r="V98" s="12">
        <v>464.7</v>
      </c>
      <c r="W98" s="5">
        <v>33.431654676258994</v>
      </c>
      <c r="X98" s="5">
        <v>42501.099999999991</v>
      </c>
      <c r="AA98" s="5">
        <v>9.7393469737470699</v>
      </c>
    </row>
    <row r="99" spans="1:27" s="5" customFormat="1" x14ac:dyDescent="0.25">
      <c r="A99" s="75"/>
      <c r="B99" s="10"/>
      <c r="C99" s="4">
        <v>41946</v>
      </c>
      <c r="D99" s="5">
        <v>12.3</v>
      </c>
      <c r="E99" s="5">
        <v>11.3</v>
      </c>
      <c r="F99" s="5">
        <v>14.5</v>
      </c>
      <c r="G99" s="5">
        <v>809.50000000000011</v>
      </c>
      <c r="J99" s="5">
        <v>13.8</v>
      </c>
      <c r="K99" s="5">
        <v>116.29999999999998</v>
      </c>
      <c r="L99" s="5">
        <v>1.5</v>
      </c>
      <c r="M99" s="5">
        <v>99.4</v>
      </c>
      <c r="N99" s="5">
        <v>12.3</v>
      </c>
      <c r="O99" s="5">
        <f t="shared" si="5"/>
        <v>43.90000000000002</v>
      </c>
      <c r="P99" s="5">
        <v>55</v>
      </c>
      <c r="Q99" s="5">
        <f t="shared" si="7"/>
        <v>0.76849315068493151</v>
      </c>
      <c r="R99" s="8">
        <f t="shared" si="3"/>
        <v>1.1527397260273973</v>
      </c>
      <c r="S99" s="8">
        <f t="shared" si="4"/>
        <v>12.647260273972604</v>
      </c>
      <c r="T99" s="8">
        <f t="shared" si="6"/>
        <v>93.917054794520567</v>
      </c>
      <c r="V99" s="12">
        <v>168.2</v>
      </c>
      <c r="W99" s="5">
        <v>13.674796747967479</v>
      </c>
      <c r="X99" s="5">
        <v>42669.299999999988</v>
      </c>
      <c r="AA99" s="5">
        <v>9.6817849128304392</v>
      </c>
    </row>
    <row r="100" spans="1:27" s="5" customFormat="1" x14ac:dyDescent="0.25">
      <c r="A100" s="75"/>
      <c r="B100" s="10"/>
      <c r="C100" s="4">
        <v>41947</v>
      </c>
      <c r="D100" s="5">
        <v>8.3000000000000007</v>
      </c>
      <c r="E100" s="5">
        <v>7.3</v>
      </c>
      <c r="F100" s="5">
        <v>10</v>
      </c>
      <c r="G100" s="5">
        <v>817.80000000000007</v>
      </c>
      <c r="J100" s="5">
        <v>0.2</v>
      </c>
      <c r="K100" s="5">
        <v>116.49999999999999</v>
      </c>
      <c r="L100" s="5">
        <v>0.7</v>
      </c>
      <c r="M100" s="5">
        <v>100.10000000000001</v>
      </c>
      <c r="N100" s="6">
        <v>-0.49999999999999994</v>
      </c>
      <c r="O100" s="5">
        <f t="shared" si="5"/>
        <v>43.40000000000002</v>
      </c>
      <c r="P100" s="5">
        <v>56</v>
      </c>
      <c r="Q100" s="5">
        <f t="shared" si="7"/>
        <v>0.77739726027397249</v>
      </c>
      <c r="R100" s="8">
        <f t="shared" si="3"/>
        <v>0.54417808219178065</v>
      </c>
      <c r="S100" s="8">
        <f t="shared" si="4"/>
        <v>-0.34417808219178064</v>
      </c>
      <c r="T100" s="8">
        <f t="shared" si="6"/>
        <v>93.572876712328792</v>
      </c>
      <c r="V100" s="12">
        <v>408.8</v>
      </c>
      <c r="W100" s="5">
        <v>49.253012048192765</v>
      </c>
      <c r="X100" s="5">
        <v>43078.099999999991</v>
      </c>
      <c r="AA100" s="5">
        <v>9.6246534825086503</v>
      </c>
    </row>
    <row r="101" spans="1:27" s="5" customFormat="1" x14ac:dyDescent="0.25">
      <c r="A101" s="75"/>
      <c r="B101" s="10"/>
      <c r="C101" s="4">
        <v>41948</v>
      </c>
      <c r="D101" s="5">
        <v>6.6</v>
      </c>
      <c r="E101" s="15">
        <v>4.5999999999999996</v>
      </c>
      <c r="F101" s="5">
        <v>8.6</v>
      </c>
      <c r="G101" s="5">
        <v>824.40000000000009</v>
      </c>
      <c r="J101" s="5">
        <v>1</v>
      </c>
      <c r="K101" s="5">
        <v>117.49999999999999</v>
      </c>
      <c r="L101" s="5">
        <v>0.5</v>
      </c>
      <c r="M101" s="5">
        <v>100.60000000000001</v>
      </c>
      <c r="N101" s="5">
        <v>0.5</v>
      </c>
      <c r="O101" s="5">
        <f t="shared" si="5"/>
        <v>43.90000000000002</v>
      </c>
      <c r="P101" s="5">
        <v>57</v>
      </c>
      <c r="Q101" s="5">
        <f t="shared" si="7"/>
        <v>0.78630136986301369</v>
      </c>
      <c r="R101" s="8">
        <f t="shared" si="3"/>
        <v>0.39315068493150684</v>
      </c>
      <c r="S101" s="8">
        <f t="shared" si="4"/>
        <v>0.60684931506849316</v>
      </c>
      <c r="T101" s="8">
        <f t="shared" si="6"/>
        <v>94.17972602739728</v>
      </c>
      <c r="V101" s="12">
        <v>236.3</v>
      </c>
      <c r="W101" s="5">
        <v>35.803030303030305</v>
      </c>
      <c r="X101" s="5">
        <v>43314.399999999994</v>
      </c>
      <c r="AA101" s="5">
        <v>9.5679753022847507</v>
      </c>
    </row>
    <row r="102" spans="1:27" s="5" customFormat="1" x14ac:dyDescent="0.25">
      <c r="A102" s="75"/>
      <c r="B102" s="10"/>
      <c r="C102" s="4">
        <v>41949</v>
      </c>
      <c r="D102" s="5">
        <v>7.9</v>
      </c>
      <c r="E102" s="5">
        <v>6.1</v>
      </c>
      <c r="F102" s="5">
        <v>11</v>
      </c>
      <c r="G102" s="5">
        <v>832.30000000000007</v>
      </c>
      <c r="J102" s="5">
        <v>0.2</v>
      </c>
      <c r="K102" s="5">
        <v>117.69999999999999</v>
      </c>
      <c r="L102" s="5">
        <v>1.4</v>
      </c>
      <c r="M102" s="5">
        <v>102.00000000000001</v>
      </c>
      <c r="N102" s="6">
        <v>-1.2</v>
      </c>
      <c r="O102" s="5">
        <f t="shared" si="5"/>
        <v>42.700000000000017</v>
      </c>
      <c r="P102" s="5">
        <v>58</v>
      </c>
      <c r="Q102" s="5">
        <f t="shared" si="7"/>
        <v>0.79520547945205478</v>
      </c>
      <c r="R102" s="8">
        <f t="shared" si="3"/>
        <v>1.1132876712328765</v>
      </c>
      <c r="S102" s="8">
        <f t="shared" si="4"/>
        <v>-0.91328767123287657</v>
      </c>
      <c r="T102" s="8">
        <f t="shared" si="6"/>
        <v>93.2664383561644</v>
      </c>
      <c r="V102" s="12">
        <v>569.9</v>
      </c>
      <c r="W102" s="5">
        <v>72.139240506329102</v>
      </c>
      <c r="X102" s="5">
        <v>43884.299999999996</v>
      </c>
      <c r="AA102" s="5">
        <v>9.5117737706313008</v>
      </c>
    </row>
    <row r="103" spans="1:27" s="5" customFormat="1" x14ac:dyDescent="0.25">
      <c r="A103" s="75"/>
      <c r="B103" s="10"/>
      <c r="C103" s="4">
        <v>41950</v>
      </c>
      <c r="D103" s="5">
        <v>9.1999999999999993</v>
      </c>
      <c r="E103" s="5">
        <v>6.8</v>
      </c>
      <c r="F103" s="5">
        <v>11.1</v>
      </c>
      <c r="G103" s="5">
        <v>841.50000000000011</v>
      </c>
      <c r="J103" s="5">
        <v>2.7</v>
      </c>
      <c r="K103" s="5">
        <v>120.39999999999999</v>
      </c>
      <c r="L103" s="5">
        <v>1</v>
      </c>
      <c r="M103" s="5">
        <v>103.00000000000001</v>
      </c>
      <c r="N103" s="5">
        <v>1.7000000000000002</v>
      </c>
      <c r="O103" s="5">
        <f t="shared" si="5"/>
        <v>44.40000000000002</v>
      </c>
      <c r="P103" s="5">
        <v>59</v>
      </c>
      <c r="Q103" s="5">
        <f t="shared" si="7"/>
        <v>0.80410958904109586</v>
      </c>
      <c r="R103" s="8">
        <f t="shared" si="3"/>
        <v>0.80410958904109586</v>
      </c>
      <c r="S103" s="8">
        <f t="shared" si="4"/>
        <v>1.8958904109589043</v>
      </c>
      <c r="T103" s="8">
        <f t="shared" si="6"/>
        <v>95.162328767123299</v>
      </c>
      <c r="V103" s="12">
        <v>139.69999999999999</v>
      </c>
      <c r="W103" s="5">
        <v>15.184782608695652</v>
      </c>
      <c r="X103" s="5">
        <v>44023.999999999993</v>
      </c>
      <c r="AA103" s="5">
        <v>9.4560730680733904</v>
      </c>
    </row>
    <row r="104" spans="1:27" s="5" customFormat="1" x14ac:dyDescent="0.25">
      <c r="A104" s="75"/>
      <c r="B104" s="10"/>
      <c r="C104" s="4">
        <v>41951</v>
      </c>
      <c r="D104" s="5">
        <v>10.1</v>
      </c>
      <c r="E104" s="5">
        <v>7.4</v>
      </c>
      <c r="F104" s="5">
        <v>11.7</v>
      </c>
      <c r="G104" s="5">
        <v>851.60000000000014</v>
      </c>
      <c r="J104" s="5">
        <v>0</v>
      </c>
      <c r="K104" s="5">
        <v>120.39999999999999</v>
      </c>
      <c r="L104" s="5">
        <v>0.9</v>
      </c>
      <c r="M104" s="5">
        <v>103.90000000000002</v>
      </c>
      <c r="N104" s="6">
        <v>-0.9</v>
      </c>
      <c r="O104" s="5">
        <f t="shared" si="5"/>
        <v>43.500000000000021</v>
      </c>
      <c r="P104" s="5">
        <v>60</v>
      </c>
      <c r="Q104" s="5">
        <f t="shared" si="7"/>
        <v>0.81301369863013695</v>
      </c>
      <c r="R104" s="8">
        <f t="shared" si="3"/>
        <v>0.73171232876712322</v>
      </c>
      <c r="S104" s="8">
        <f t="shared" si="4"/>
        <v>-0.73171232876712322</v>
      </c>
      <c r="T104" s="8">
        <f t="shared" si="6"/>
        <v>94.430616438356182</v>
      </c>
      <c r="V104" s="12">
        <v>487.3</v>
      </c>
      <c r="W104" s="5">
        <v>48.24752475247525</v>
      </c>
      <c r="X104" s="5">
        <v>44511.299999999996</v>
      </c>
      <c r="AA104" s="5">
        <v>9.4008981578398192</v>
      </c>
    </row>
    <row r="105" spans="1:27" s="5" customFormat="1" x14ac:dyDescent="0.25">
      <c r="A105" s="75"/>
      <c r="B105" s="10"/>
      <c r="C105" s="4">
        <v>41952</v>
      </c>
      <c r="D105" s="5">
        <v>9.9</v>
      </c>
      <c r="E105" s="5">
        <v>7.8</v>
      </c>
      <c r="F105" s="5">
        <v>11.9</v>
      </c>
      <c r="G105" s="5">
        <v>861.50000000000011</v>
      </c>
      <c r="J105" s="5">
        <v>0.1</v>
      </c>
      <c r="K105" s="5">
        <v>120.49999999999999</v>
      </c>
      <c r="L105" s="5">
        <v>0.9</v>
      </c>
      <c r="M105" s="5">
        <v>104.80000000000003</v>
      </c>
      <c r="N105" s="6">
        <v>-0.8</v>
      </c>
      <c r="O105" s="5">
        <f t="shared" si="5"/>
        <v>42.700000000000024</v>
      </c>
      <c r="P105" s="5">
        <v>61</v>
      </c>
      <c r="Q105" s="5">
        <f t="shared" si="7"/>
        <v>0.82191780821917804</v>
      </c>
      <c r="R105" s="8">
        <f t="shared" si="3"/>
        <v>0.73972602739726023</v>
      </c>
      <c r="S105" s="8">
        <f t="shared" si="4"/>
        <v>-0.63972602739726026</v>
      </c>
      <c r="T105" s="8">
        <f t="shared" si="6"/>
        <v>93.790890410958923</v>
      </c>
      <c r="V105" s="12">
        <v>421.6</v>
      </c>
      <c r="W105" s="5">
        <v>42.585858585858588</v>
      </c>
      <c r="X105" s="5">
        <v>44932.899999999994</v>
      </c>
      <c r="AA105" s="5">
        <v>9.3462747838799203</v>
      </c>
    </row>
    <row r="106" spans="1:27" s="5" customFormat="1" x14ac:dyDescent="0.25">
      <c r="A106" s="75"/>
      <c r="B106" s="10"/>
      <c r="C106" s="4">
        <v>41953</v>
      </c>
      <c r="D106" s="5">
        <v>8.6</v>
      </c>
      <c r="E106" s="5">
        <v>6</v>
      </c>
      <c r="F106" s="5">
        <v>11.7</v>
      </c>
      <c r="G106" s="5">
        <v>870.10000000000014</v>
      </c>
      <c r="J106" s="5">
        <v>0.1</v>
      </c>
      <c r="K106" s="5">
        <v>120.59999999999998</v>
      </c>
      <c r="L106" s="5">
        <v>1</v>
      </c>
      <c r="M106" s="5">
        <v>105.80000000000003</v>
      </c>
      <c r="N106" s="6">
        <v>-0.9</v>
      </c>
      <c r="O106" s="5">
        <f t="shared" si="5"/>
        <v>41.800000000000026</v>
      </c>
      <c r="P106" s="5">
        <v>62</v>
      </c>
      <c r="Q106" s="5">
        <f t="shared" si="7"/>
        <v>0.83082191780821912</v>
      </c>
      <c r="R106" s="8">
        <f t="shared" si="3"/>
        <v>0.83082191780821912</v>
      </c>
      <c r="S106" s="8">
        <f t="shared" si="4"/>
        <v>-0.73082191780821915</v>
      </c>
      <c r="T106" s="8">
        <f t="shared" si="6"/>
        <v>93.060068493150709</v>
      </c>
      <c r="V106" s="12">
        <v>636.20000000000005</v>
      </c>
      <c r="W106" s="5">
        <v>73.976744186046517</v>
      </c>
      <c r="X106" s="5">
        <v>45569.099999999991</v>
      </c>
      <c r="AA106" s="5">
        <v>9.2922294660391405</v>
      </c>
    </row>
    <row r="107" spans="1:27" s="5" customFormat="1" x14ac:dyDescent="0.25">
      <c r="A107" s="75"/>
      <c r="B107" s="10"/>
      <c r="C107" s="4">
        <v>41954</v>
      </c>
      <c r="D107" s="5">
        <v>9.6999999999999993</v>
      </c>
      <c r="E107" s="15">
        <v>4.9000000000000004</v>
      </c>
      <c r="F107" s="5">
        <v>13.5</v>
      </c>
      <c r="G107" s="5">
        <v>879.80000000000018</v>
      </c>
      <c r="J107" s="5">
        <v>0.3</v>
      </c>
      <c r="K107" s="5">
        <v>120.89999999999998</v>
      </c>
      <c r="L107" s="5">
        <v>0.8</v>
      </c>
      <c r="M107" s="5">
        <v>106.60000000000002</v>
      </c>
      <c r="N107" s="6">
        <v>-0.5</v>
      </c>
      <c r="O107" s="5">
        <f t="shared" si="5"/>
        <v>41.300000000000026</v>
      </c>
      <c r="P107" s="5">
        <v>63</v>
      </c>
      <c r="Q107" s="5">
        <f t="shared" si="7"/>
        <v>0.83972602739726021</v>
      </c>
      <c r="R107" s="8">
        <f t="shared" si="3"/>
        <v>0.67178082191780819</v>
      </c>
      <c r="S107" s="8">
        <f t="shared" si="4"/>
        <v>-0.3717808219178082</v>
      </c>
      <c r="T107" s="8">
        <f t="shared" si="6"/>
        <v>92.688287671232899</v>
      </c>
      <c r="V107" s="12">
        <v>612.9</v>
      </c>
      <c r="W107" s="5">
        <v>63.185567010309278</v>
      </c>
      <c r="X107" s="5">
        <v>46181.999999999993</v>
      </c>
      <c r="AA107" s="5">
        <v>9.2387894921829208</v>
      </c>
    </row>
    <row r="108" spans="1:27" s="5" customFormat="1" x14ac:dyDescent="0.25">
      <c r="A108" s="75"/>
      <c r="B108" s="10"/>
      <c r="C108" s="4">
        <v>41955</v>
      </c>
      <c r="D108" s="5">
        <v>10.4</v>
      </c>
      <c r="E108" s="5">
        <v>9.5</v>
      </c>
      <c r="F108" s="5">
        <v>13.1</v>
      </c>
      <c r="G108" s="5">
        <v>890.20000000000016</v>
      </c>
      <c r="J108" s="5">
        <v>0.2</v>
      </c>
      <c r="K108" s="5">
        <v>121.09999999999998</v>
      </c>
      <c r="L108" s="5">
        <v>1.2</v>
      </c>
      <c r="M108" s="5">
        <v>107.80000000000003</v>
      </c>
      <c r="N108" s="6">
        <v>-1</v>
      </c>
      <c r="O108" s="5">
        <f t="shared" si="5"/>
        <v>40.300000000000026</v>
      </c>
      <c r="P108" s="5">
        <v>64</v>
      </c>
      <c r="Q108" s="5">
        <f t="shared" si="7"/>
        <v>0.84863013698630141</v>
      </c>
      <c r="R108" s="8">
        <f t="shared" si="3"/>
        <v>1.0183561643835617</v>
      </c>
      <c r="S108" s="8">
        <f t="shared" si="4"/>
        <v>-0.81835616438356173</v>
      </c>
      <c r="T108" s="8">
        <f t="shared" si="6"/>
        <v>91.869931506849341</v>
      </c>
      <c r="V108" s="12">
        <v>418.5</v>
      </c>
      <c r="W108" s="5">
        <v>40.240384615384613</v>
      </c>
      <c r="X108" s="5">
        <v>46600.499999999993</v>
      </c>
      <c r="AA108" s="5">
        <v>9.1859829070567294</v>
      </c>
    </row>
    <row r="109" spans="1:27" s="5" customFormat="1" x14ac:dyDescent="0.25">
      <c r="A109" s="75"/>
      <c r="B109" s="10"/>
      <c r="C109" s="4">
        <v>41956</v>
      </c>
      <c r="D109" s="5">
        <v>8.6</v>
      </c>
      <c r="E109" s="5">
        <v>5.4</v>
      </c>
      <c r="F109" s="5">
        <v>10.6</v>
      </c>
      <c r="G109" s="5">
        <v>898.80000000000018</v>
      </c>
      <c r="J109" s="5">
        <v>0.2</v>
      </c>
      <c r="K109" s="5">
        <v>121.29999999999998</v>
      </c>
      <c r="L109" s="5">
        <v>0.2</v>
      </c>
      <c r="M109" s="5">
        <v>108.00000000000003</v>
      </c>
      <c r="N109" s="5">
        <v>0</v>
      </c>
      <c r="O109" s="5">
        <f t="shared" si="5"/>
        <v>40.300000000000026</v>
      </c>
      <c r="P109" s="5">
        <v>65</v>
      </c>
      <c r="Q109" s="5">
        <f t="shared" si="7"/>
        <v>0.8575342465753425</v>
      </c>
      <c r="R109" s="8">
        <f t="shared" ref="R109:R172" si="8">Q109*L109</f>
        <v>0.17150684931506852</v>
      </c>
      <c r="S109" s="8">
        <f t="shared" ref="S109:S172" si="9">J109-R109</f>
        <v>2.8493150684931495E-2</v>
      </c>
      <c r="T109" s="8">
        <f t="shared" si="6"/>
        <v>91.898424657534278</v>
      </c>
      <c r="V109" s="12">
        <v>198</v>
      </c>
      <c r="W109" s="5">
        <v>23.02325581395349</v>
      </c>
      <c r="X109" s="5">
        <v>46798.499999999993</v>
      </c>
      <c r="AA109" s="5">
        <v>9.1338384976699007</v>
      </c>
    </row>
    <row r="110" spans="1:27" s="5" customFormat="1" x14ac:dyDescent="0.25">
      <c r="A110" s="75"/>
      <c r="B110" s="10"/>
      <c r="C110" s="4">
        <v>41957</v>
      </c>
      <c r="D110" s="5">
        <v>9.6999999999999993</v>
      </c>
      <c r="E110" s="5">
        <v>9.4</v>
      </c>
      <c r="F110" s="5">
        <v>10</v>
      </c>
      <c r="G110" s="5">
        <v>908.50000000000023</v>
      </c>
      <c r="J110" s="5">
        <v>13.4</v>
      </c>
      <c r="K110" s="5">
        <v>134.69999999999999</v>
      </c>
      <c r="L110" s="5">
        <v>0.5</v>
      </c>
      <c r="M110" s="5">
        <v>108.50000000000003</v>
      </c>
      <c r="N110" s="5">
        <v>12.9</v>
      </c>
      <c r="O110" s="5">
        <f t="shared" ref="O110:O170" si="10">O109+N110</f>
        <v>53.200000000000024</v>
      </c>
      <c r="P110" s="5">
        <v>66</v>
      </c>
      <c r="Q110" s="5">
        <f t="shared" si="7"/>
        <v>0.86643835616438358</v>
      </c>
      <c r="R110" s="8">
        <f t="shared" si="8"/>
        <v>0.43321917808219179</v>
      </c>
      <c r="S110" s="8">
        <f t="shared" si="9"/>
        <v>12.966780821917808</v>
      </c>
      <c r="T110" s="8">
        <f t="shared" si="6"/>
        <v>104.86520547945209</v>
      </c>
      <c r="V110" s="16">
        <v>89.3</v>
      </c>
      <c r="W110" s="5">
        <v>9.2061855670103103</v>
      </c>
      <c r="X110" s="5">
        <v>46887.799999999996</v>
      </c>
      <c r="AA110" s="5">
        <v>9.0823857749927601</v>
      </c>
    </row>
    <row r="111" spans="1:27" s="5" customFormat="1" x14ac:dyDescent="0.25">
      <c r="A111" s="75"/>
      <c r="B111" s="10"/>
      <c r="C111" s="4">
        <v>41958</v>
      </c>
      <c r="D111" s="5">
        <v>9.6999999999999993</v>
      </c>
      <c r="E111" s="5">
        <v>9.3000000000000007</v>
      </c>
      <c r="F111" s="5">
        <v>11.4</v>
      </c>
      <c r="G111" s="5">
        <v>918.20000000000027</v>
      </c>
      <c r="J111" s="5">
        <v>8.4</v>
      </c>
      <c r="K111" s="5">
        <v>143.1</v>
      </c>
      <c r="L111" s="5">
        <v>0.6</v>
      </c>
      <c r="M111" s="5">
        <v>109.10000000000002</v>
      </c>
      <c r="N111" s="5">
        <v>7.8000000000000007</v>
      </c>
      <c r="O111" s="5">
        <f t="shared" si="10"/>
        <v>61.000000000000028</v>
      </c>
      <c r="P111" s="5">
        <v>67</v>
      </c>
      <c r="Q111" s="5">
        <f t="shared" si="7"/>
        <v>0.87534246575342467</v>
      </c>
      <c r="R111" s="8">
        <f t="shared" si="8"/>
        <v>0.52520547945205476</v>
      </c>
      <c r="S111" s="8">
        <f t="shared" si="9"/>
        <v>7.8747945205479457</v>
      </c>
      <c r="T111" s="8">
        <f t="shared" ref="T111:T174" si="11">MIN(153.6,(T110+S111))</f>
        <v>112.74000000000004</v>
      </c>
      <c r="V111" s="12">
        <v>246.3</v>
      </c>
      <c r="W111" s="5">
        <v>25.39175257731959</v>
      </c>
      <c r="X111" s="5">
        <v>47134.1</v>
      </c>
      <c r="AA111" s="5">
        <v>9.0316549517607907</v>
      </c>
    </row>
    <row r="112" spans="1:27" s="5" customFormat="1" x14ac:dyDescent="0.25">
      <c r="A112" s="75"/>
      <c r="B112" s="10"/>
      <c r="C112" s="4">
        <v>41959</v>
      </c>
      <c r="D112" s="5">
        <v>8</v>
      </c>
      <c r="E112" s="5">
        <v>7.2</v>
      </c>
      <c r="F112" s="5">
        <v>9.6999999999999993</v>
      </c>
      <c r="G112" s="5">
        <v>926.20000000000027</v>
      </c>
      <c r="J112" s="5">
        <v>1.3</v>
      </c>
      <c r="K112" s="5">
        <v>144.4</v>
      </c>
      <c r="L112" s="5">
        <v>0.3</v>
      </c>
      <c r="M112" s="5">
        <v>109.40000000000002</v>
      </c>
      <c r="N112" s="5">
        <v>1</v>
      </c>
      <c r="O112" s="5">
        <f t="shared" si="10"/>
        <v>62.000000000000028</v>
      </c>
      <c r="P112" s="5">
        <v>68</v>
      </c>
      <c r="Q112" s="5">
        <f t="shared" si="7"/>
        <v>0.88424657534246576</v>
      </c>
      <c r="R112" s="8">
        <f t="shared" si="8"/>
        <v>0.26527397260273972</v>
      </c>
      <c r="S112" s="8">
        <f t="shared" si="9"/>
        <v>1.0347260273972603</v>
      </c>
      <c r="T112" s="8">
        <f t="shared" si="11"/>
        <v>113.77472602739729</v>
      </c>
      <c r="V112" s="16">
        <v>57.9</v>
      </c>
      <c r="W112" s="5">
        <v>7.2374999999999998</v>
      </c>
      <c r="X112" s="5">
        <v>47192</v>
      </c>
      <c r="AA112" s="17">
        <v>8.9816769161861192</v>
      </c>
    </row>
    <row r="113" spans="1:27" s="5" customFormat="1" x14ac:dyDescent="0.25">
      <c r="A113" s="75"/>
      <c r="B113" s="10"/>
      <c r="C113" s="4">
        <v>41960</v>
      </c>
      <c r="D113" s="5">
        <v>8.1</v>
      </c>
      <c r="E113" s="5">
        <v>5.3</v>
      </c>
      <c r="F113" s="5">
        <v>10</v>
      </c>
      <c r="G113" s="5">
        <v>934.3000000000003</v>
      </c>
      <c r="J113" s="5">
        <v>0.6</v>
      </c>
      <c r="K113" s="5">
        <v>145</v>
      </c>
      <c r="L113" s="5">
        <v>0.5</v>
      </c>
      <c r="M113" s="5">
        <v>109.90000000000002</v>
      </c>
      <c r="N113" s="5">
        <v>9.9999999999999978E-2</v>
      </c>
      <c r="O113" s="5">
        <f t="shared" si="10"/>
        <v>62.10000000000003</v>
      </c>
      <c r="P113" s="5">
        <v>69</v>
      </c>
      <c r="Q113" s="5">
        <f t="shared" si="7"/>
        <v>0.89315068493150684</v>
      </c>
      <c r="R113" s="8">
        <f t="shared" si="8"/>
        <v>0.44657534246575342</v>
      </c>
      <c r="S113" s="8">
        <f t="shared" si="9"/>
        <v>0.15342465753424656</v>
      </c>
      <c r="T113" s="8">
        <f t="shared" si="11"/>
        <v>113.92815068493154</v>
      </c>
      <c r="V113" s="12">
        <v>174.8</v>
      </c>
      <c r="W113" s="5">
        <v>21.58024691358025</v>
      </c>
      <c r="X113" s="5">
        <v>47366.8</v>
      </c>
      <c r="AA113" s="17">
        <v>8.9324832013857893</v>
      </c>
    </row>
    <row r="114" spans="1:27" s="5" customFormat="1" x14ac:dyDescent="0.25">
      <c r="A114" s="75"/>
      <c r="B114" s="10"/>
      <c r="C114" s="4">
        <v>41961</v>
      </c>
      <c r="D114" s="5">
        <v>8.4</v>
      </c>
      <c r="E114" s="5">
        <v>7.4</v>
      </c>
      <c r="F114" s="5">
        <v>10</v>
      </c>
      <c r="G114" s="5">
        <v>942.70000000000027</v>
      </c>
      <c r="J114" s="5">
        <v>0.4</v>
      </c>
      <c r="K114" s="5">
        <v>145.4</v>
      </c>
      <c r="L114" s="5">
        <v>0.7</v>
      </c>
      <c r="M114" s="5">
        <v>110.60000000000002</v>
      </c>
      <c r="N114" s="6">
        <v>-0.29999999999999993</v>
      </c>
      <c r="O114" s="5">
        <f t="shared" si="10"/>
        <v>61.800000000000033</v>
      </c>
      <c r="P114" s="5">
        <v>70</v>
      </c>
      <c r="Q114" s="5">
        <f t="shared" si="7"/>
        <v>0.90205479452054793</v>
      </c>
      <c r="R114" s="8">
        <f t="shared" si="8"/>
        <v>0.63143835616438349</v>
      </c>
      <c r="S114" s="8">
        <f t="shared" si="9"/>
        <v>-0.23143835616438346</v>
      </c>
      <c r="T114" s="8">
        <f t="shared" si="11"/>
        <v>113.69671232876715</v>
      </c>
      <c r="V114" s="12">
        <v>340.1</v>
      </c>
      <c r="W114" s="5">
        <v>40.488095238095241</v>
      </c>
      <c r="X114" s="5">
        <v>47706.9</v>
      </c>
      <c r="AA114" s="17">
        <v>8.8841059503489408</v>
      </c>
    </row>
    <row r="115" spans="1:27" s="5" customFormat="1" x14ac:dyDescent="0.25">
      <c r="A115" s="75"/>
      <c r="B115" s="10"/>
      <c r="C115" s="4">
        <v>41962</v>
      </c>
      <c r="D115" s="5">
        <v>8.1999999999999993</v>
      </c>
      <c r="E115" s="5">
        <v>7.5</v>
      </c>
      <c r="F115" s="5">
        <v>9.6</v>
      </c>
      <c r="G115" s="5">
        <v>950.90000000000032</v>
      </c>
      <c r="J115" s="5">
        <v>0</v>
      </c>
      <c r="K115" s="5">
        <v>145.4</v>
      </c>
      <c r="L115" s="5">
        <v>0.8</v>
      </c>
      <c r="M115" s="5">
        <v>111.40000000000002</v>
      </c>
      <c r="N115" s="6">
        <v>-0.8</v>
      </c>
      <c r="O115" s="5">
        <f t="shared" si="10"/>
        <v>61.000000000000036</v>
      </c>
      <c r="P115" s="5">
        <v>71</v>
      </c>
      <c r="Q115" s="5">
        <f t="shared" si="7"/>
        <v>0.91095890410958902</v>
      </c>
      <c r="R115" s="8">
        <f t="shared" si="8"/>
        <v>0.72876712328767124</v>
      </c>
      <c r="S115" s="8">
        <f t="shared" si="9"/>
        <v>-0.72876712328767124</v>
      </c>
      <c r="T115" s="8">
        <f t="shared" si="11"/>
        <v>112.96794520547948</v>
      </c>
      <c r="V115" s="12">
        <v>319</v>
      </c>
      <c r="W115" s="5">
        <v>38.902439024390247</v>
      </c>
      <c r="X115" s="5">
        <v>48025.9</v>
      </c>
      <c r="AA115" s="17">
        <v>8.8365778762801703</v>
      </c>
    </row>
    <row r="116" spans="1:27" s="5" customFormat="1" x14ac:dyDescent="0.25">
      <c r="A116" s="75"/>
      <c r="B116" s="10"/>
      <c r="C116" s="4">
        <v>41963</v>
      </c>
      <c r="D116" s="5">
        <v>6.3</v>
      </c>
      <c r="E116" s="5">
        <v>5.6</v>
      </c>
      <c r="F116" s="5">
        <v>7.2</v>
      </c>
      <c r="G116" s="5">
        <v>957.20000000000027</v>
      </c>
      <c r="J116" s="5">
        <v>0.1</v>
      </c>
      <c r="K116" s="5">
        <v>145.5</v>
      </c>
      <c r="L116" s="5">
        <v>0.3</v>
      </c>
      <c r="M116" s="5">
        <v>111.70000000000002</v>
      </c>
      <c r="N116" s="6">
        <v>-0.19999999999999998</v>
      </c>
      <c r="O116" s="5">
        <f t="shared" si="10"/>
        <v>60.800000000000033</v>
      </c>
      <c r="P116" s="5">
        <v>72</v>
      </c>
      <c r="Q116" s="5">
        <f t="shared" si="7"/>
        <v>0.91986301369863011</v>
      </c>
      <c r="R116" s="8">
        <f t="shared" si="8"/>
        <v>0.27595890410958901</v>
      </c>
      <c r="S116" s="8">
        <f t="shared" si="9"/>
        <v>-0.175958904109589</v>
      </c>
      <c r="T116" s="8">
        <f t="shared" si="11"/>
        <v>112.79198630136989</v>
      </c>
      <c r="V116" s="12">
        <v>195.7</v>
      </c>
      <c r="W116" s="5">
        <v>31.063492063492063</v>
      </c>
      <c r="X116" s="5">
        <v>48221.599999999999</v>
      </c>
      <c r="AA116" s="17">
        <v>8.7899322181754904</v>
      </c>
    </row>
    <row r="117" spans="1:27" s="5" customFormat="1" x14ac:dyDescent="0.25">
      <c r="A117" s="75"/>
      <c r="B117" s="18"/>
      <c r="C117" s="4">
        <v>41964</v>
      </c>
      <c r="D117" s="5">
        <v>6.9</v>
      </c>
      <c r="E117" s="15">
        <v>4.4000000000000004</v>
      </c>
      <c r="F117" s="5">
        <v>8.6</v>
      </c>
      <c r="G117" s="5">
        <v>964.10000000000025</v>
      </c>
      <c r="J117" s="5">
        <v>0</v>
      </c>
      <c r="K117" s="5">
        <v>145.5</v>
      </c>
      <c r="L117" s="5">
        <v>0.4</v>
      </c>
      <c r="M117" s="5">
        <v>112.10000000000002</v>
      </c>
      <c r="N117" s="6">
        <v>-0.4</v>
      </c>
      <c r="O117" s="5">
        <f t="shared" si="10"/>
        <v>60.400000000000034</v>
      </c>
      <c r="P117" s="5">
        <v>73</v>
      </c>
      <c r="Q117" s="5">
        <f t="shared" si="7"/>
        <v>0.92876712328767119</v>
      </c>
      <c r="R117" s="8">
        <f t="shared" si="8"/>
        <v>0.3715068493150685</v>
      </c>
      <c r="S117" s="8">
        <f t="shared" si="9"/>
        <v>-0.3715068493150685</v>
      </c>
      <c r="T117" s="8">
        <f t="shared" si="11"/>
        <v>112.42047945205482</v>
      </c>
      <c r="V117" s="12">
        <v>362.8</v>
      </c>
      <c r="W117" s="5">
        <v>52.579710144927532</v>
      </c>
      <c r="X117" s="5">
        <v>48584.4</v>
      </c>
      <c r="AA117" s="17">
        <v>8.7442026915098996</v>
      </c>
    </row>
    <row r="118" spans="1:27" s="5" customFormat="1" x14ac:dyDescent="0.25">
      <c r="A118" s="75"/>
      <c r="B118" s="10"/>
      <c r="C118" s="4">
        <v>41965</v>
      </c>
      <c r="D118" s="5">
        <v>10.1</v>
      </c>
      <c r="E118" s="5">
        <v>6.8</v>
      </c>
      <c r="F118" s="5">
        <v>13.4</v>
      </c>
      <c r="G118" s="5">
        <v>974.20000000000027</v>
      </c>
      <c r="J118" s="5">
        <v>0.1</v>
      </c>
      <c r="K118" s="5">
        <v>145.6</v>
      </c>
      <c r="L118" s="5">
        <v>0.3</v>
      </c>
      <c r="M118" s="5">
        <v>112.40000000000002</v>
      </c>
      <c r="N118" s="6">
        <v>-0.19999999999999998</v>
      </c>
      <c r="O118" s="5">
        <f t="shared" si="10"/>
        <v>60.200000000000031</v>
      </c>
      <c r="P118" s="5">
        <v>74</v>
      </c>
      <c r="Q118" s="5">
        <f t="shared" ref="Q118:Q125" si="12">0.35+((P118-8)/73)*(1-0.35)</f>
        <v>0.93767123287671228</v>
      </c>
      <c r="R118" s="8">
        <f t="shared" si="8"/>
        <v>0.28130136986301368</v>
      </c>
      <c r="S118" s="8">
        <f t="shared" si="9"/>
        <v>-0.18130136986301368</v>
      </c>
      <c r="T118" s="8">
        <f t="shared" si="11"/>
        <v>112.23917808219181</v>
      </c>
      <c r="V118" s="12">
        <v>259.7</v>
      </c>
      <c r="W118" s="5">
        <v>25.712871287128714</v>
      </c>
      <c r="X118" s="5">
        <v>48844.1</v>
      </c>
      <c r="AA118" s="17">
        <v>8.6994234339416092</v>
      </c>
    </row>
    <row r="119" spans="1:27" s="5" customFormat="1" x14ac:dyDescent="0.25">
      <c r="A119" s="75"/>
      <c r="B119" s="10"/>
      <c r="C119" s="4">
        <v>41966</v>
      </c>
      <c r="D119" s="5">
        <v>11.6</v>
      </c>
      <c r="E119" s="5">
        <v>9.6999999999999993</v>
      </c>
      <c r="F119" s="5">
        <v>13.9</v>
      </c>
      <c r="G119" s="5">
        <v>985.8000000000003</v>
      </c>
      <c r="J119" s="5">
        <v>1.1000000000000001</v>
      </c>
      <c r="K119" s="5">
        <v>146.69999999999999</v>
      </c>
      <c r="L119" s="5">
        <v>0.5</v>
      </c>
      <c r="M119" s="5">
        <v>112.90000000000002</v>
      </c>
      <c r="N119" s="5">
        <v>0.60000000000000009</v>
      </c>
      <c r="O119" s="5">
        <f t="shared" si="10"/>
        <v>60.800000000000033</v>
      </c>
      <c r="P119" s="5">
        <v>75</v>
      </c>
      <c r="Q119" s="5">
        <f t="shared" si="12"/>
        <v>0.94657534246575348</v>
      </c>
      <c r="R119" s="8">
        <f t="shared" si="8"/>
        <v>0.47328767123287674</v>
      </c>
      <c r="S119" s="8">
        <f t="shared" si="9"/>
        <v>0.62671232876712335</v>
      </c>
      <c r="T119" s="8">
        <f t="shared" si="11"/>
        <v>112.86589041095894</v>
      </c>
      <c r="V119" s="12">
        <v>300.2</v>
      </c>
      <c r="W119" s="5">
        <v>25.879310344827587</v>
      </c>
      <c r="X119" s="5">
        <v>49144.299999999996</v>
      </c>
      <c r="AA119" s="17">
        <v>8.6556289459685303</v>
      </c>
    </row>
    <row r="120" spans="1:27" s="5" customFormat="1" x14ac:dyDescent="0.25">
      <c r="A120" s="75"/>
      <c r="B120" s="10"/>
      <c r="C120" s="4">
        <v>41967</v>
      </c>
      <c r="D120" s="5">
        <v>7.5</v>
      </c>
      <c r="E120" s="5">
        <v>5.6</v>
      </c>
      <c r="F120" s="5">
        <v>10.5</v>
      </c>
      <c r="G120" s="5">
        <v>993.3000000000003</v>
      </c>
      <c r="J120" s="5">
        <v>0</v>
      </c>
      <c r="K120" s="5">
        <v>146.69999999999999</v>
      </c>
      <c r="L120" s="5">
        <v>0.6</v>
      </c>
      <c r="M120" s="5">
        <v>113.50000000000001</v>
      </c>
      <c r="N120" s="6">
        <v>-0.6</v>
      </c>
      <c r="O120" s="5">
        <f t="shared" si="10"/>
        <v>60.200000000000031</v>
      </c>
      <c r="P120" s="5">
        <v>76</v>
      </c>
      <c r="Q120" s="5">
        <f t="shared" si="12"/>
        <v>0.95547945205479445</v>
      </c>
      <c r="R120" s="8">
        <f t="shared" si="8"/>
        <v>0.57328767123287661</v>
      </c>
      <c r="S120" s="8">
        <f t="shared" si="9"/>
        <v>-0.57328767123287661</v>
      </c>
      <c r="T120" s="8">
        <f t="shared" si="11"/>
        <v>112.29260273972606</v>
      </c>
      <c r="V120" s="12">
        <v>435.2</v>
      </c>
      <c r="W120" s="5">
        <v>58.026666666666664</v>
      </c>
      <c r="X120" s="5">
        <v>49579.499999999993</v>
      </c>
      <c r="AA120" s="17">
        <v>8.6128540265064295</v>
      </c>
    </row>
    <row r="121" spans="1:27" s="5" customFormat="1" x14ac:dyDescent="0.25">
      <c r="A121" s="75"/>
      <c r="B121" s="18"/>
      <c r="C121" s="4">
        <v>41968</v>
      </c>
      <c r="D121" s="5">
        <v>6.7</v>
      </c>
      <c r="E121" s="15">
        <v>4.4000000000000004</v>
      </c>
      <c r="F121" s="5">
        <v>8.3000000000000007</v>
      </c>
      <c r="G121" s="5">
        <v>1000.0000000000003</v>
      </c>
      <c r="J121" s="5">
        <v>0.8</v>
      </c>
      <c r="K121" s="5">
        <v>147.5</v>
      </c>
      <c r="L121" s="5">
        <v>0.6</v>
      </c>
      <c r="M121" s="5">
        <v>114.10000000000001</v>
      </c>
      <c r="N121" s="5">
        <v>0.20000000000000007</v>
      </c>
      <c r="O121" s="5">
        <f t="shared" si="10"/>
        <v>60.400000000000034</v>
      </c>
      <c r="P121" s="5">
        <v>77</v>
      </c>
      <c r="Q121" s="5">
        <f t="shared" si="12"/>
        <v>0.96438356164383565</v>
      </c>
      <c r="R121" s="8">
        <f t="shared" si="8"/>
        <v>0.57863013698630139</v>
      </c>
      <c r="S121" s="8">
        <f t="shared" si="9"/>
        <v>0.22136986301369865</v>
      </c>
      <c r="T121" s="8">
        <f t="shared" si="11"/>
        <v>112.51397260273976</v>
      </c>
      <c r="V121" s="12">
        <v>328.9</v>
      </c>
      <c r="W121" s="5">
        <v>49.089552238805965</v>
      </c>
      <c r="X121" s="5">
        <v>49908.399999999994</v>
      </c>
      <c r="AA121" s="17">
        <v>8.5711337033963506</v>
      </c>
    </row>
    <row r="122" spans="1:27" s="5" customFormat="1" x14ac:dyDescent="0.25">
      <c r="A122" s="75"/>
      <c r="B122" s="10"/>
      <c r="C122" s="4">
        <v>41969</v>
      </c>
      <c r="D122" s="5">
        <v>8.6</v>
      </c>
      <c r="E122" s="5">
        <v>7.1</v>
      </c>
      <c r="F122" s="5">
        <v>10.5</v>
      </c>
      <c r="G122" s="5">
        <v>1008.6000000000004</v>
      </c>
      <c r="J122" s="5">
        <v>2.2000000000000002</v>
      </c>
      <c r="K122" s="5">
        <v>149.69999999999999</v>
      </c>
      <c r="L122" s="5">
        <v>0.3</v>
      </c>
      <c r="M122" s="5">
        <v>114.4</v>
      </c>
      <c r="N122" s="5">
        <v>1.9000000000000001</v>
      </c>
      <c r="O122" s="5">
        <f t="shared" si="10"/>
        <v>62.300000000000033</v>
      </c>
      <c r="P122" s="5">
        <v>78</v>
      </c>
      <c r="Q122" s="5">
        <f t="shared" si="12"/>
        <v>0.97328767123287663</v>
      </c>
      <c r="R122" s="8">
        <f t="shared" si="8"/>
        <v>0.29198630136986298</v>
      </c>
      <c r="S122" s="8">
        <f t="shared" si="9"/>
        <v>1.9080136986301373</v>
      </c>
      <c r="T122" s="8">
        <f t="shared" si="11"/>
        <v>114.4219863013699</v>
      </c>
      <c r="V122" s="16">
        <v>68.5</v>
      </c>
      <c r="W122" s="5">
        <v>7.9651162790697674</v>
      </c>
      <c r="X122" s="5">
        <v>49976.899999999994</v>
      </c>
      <c r="AA122" s="17">
        <v>8.5305031588907401</v>
      </c>
    </row>
    <row r="123" spans="1:27" s="5" customFormat="1" x14ac:dyDescent="0.25">
      <c r="A123" s="75"/>
      <c r="B123" s="10"/>
      <c r="C123" s="4">
        <v>41970</v>
      </c>
      <c r="D123" s="5">
        <v>10</v>
      </c>
      <c r="E123" s="5">
        <v>9.6</v>
      </c>
      <c r="F123" s="5">
        <v>10.5</v>
      </c>
      <c r="G123" s="5">
        <v>1018.6000000000004</v>
      </c>
      <c r="J123" s="5">
        <v>0.2</v>
      </c>
      <c r="K123" s="5">
        <v>149.89999999999998</v>
      </c>
      <c r="L123" s="5">
        <v>0.3</v>
      </c>
      <c r="M123" s="5">
        <v>114.7</v>
      </c>
      <c r="N123" s="6">
        <v>-9.9999999999999978E-2</v>
      </c>
      <c r="O123" s="5">
        <f t="shared" si="10"/>
        <v>62.200000000000031</v>
      </c>
      <c r="P123" s="5">
        <v>79</v>
      </c>
      <c r="Q123" s="5">
        <f t="shared" si="12"/>
        <v>0.98219178082191783</v>
      </c>
      <c r="R123" s="8">
        <f t="shared" si="8"/>
        <v>0.29465753424657531</v>
      </c>
      <c r="S123" s="8">
        <f t="shared" si="9"/>
        <v>-9.4657534246575303E-2</v>
      </c>
      <c r="T123" s="8">
        <f t="shared" si="11"/>
        <v>114.32732876712332</v>
      </c>
      <c r="V123" s="16">
        <v>51.4</v>
      </c>
      <c r="W123" s="5">
        <v>5.14</v>
      </c>
      <c r="X123" s="5">
        <v>50028.299999999996</v>
      </c>
      <c r="AA123" s="17">
        <v>8.4909976502132896</v>
      </c>
    </row>
    <row r="124" spans="1:27" s="5" customFormat="1" x14ac:dyDescent="0.25">
      <c r="A124" s="75"/>
      <c r="B124" s="10"/>
      <c r="C124" s="4">
        <v>41971</v>
      </c>
      <c r="D124" s="5">
        <v>10.6</v>
      </c>
      <c r="E124" s="5">
        <v>8</v>
      </c>
      <c r="F124" s="5">
        <v>14.1</v>
      </c>
      <c r="G124" s="5">
        <v>1029.2000000000003</v>
      </c>
      <c r="J124" s="5">
        <v>0</v>
      </c>
      <c r="K124" s="5">
        <v>149.89999999999998</v>
      </c>
      <c r="L124" s="5">
        <v>1.1000000000000001</v>
      </c>
      <c r="M124" s="5">
        <v>115.8</v>
      </c>
      <c r="N124" s="6">
        <v>-1.1000000000000001</v>
      </c>
      <c r="O124" s="5">
        <f t="shared" si="10"/>
        <v>61.10000000000003</v>
      </c>
      <c r="P124" s="5">
        <v>80</v>
      </c>
      <c r="Q124" s="5">
        <f t="shared" si="12"/>
        <v>0.99109589041095891</v>
      </c>
      <c r="R124" s="8">
        <f t="shared" si="8"/>
        <v>1.0902054794520548</v>
      </c>
      <c r="S124" s="8">
        <f t="shared" si="9"/>
        <v>-1.0902054794520548</v>
      </c>
      <c r="T124" s="8">
        <f t="shared" si="11"/>
        <v>113.23712328767127</v>
      </c>
      <c r="V124" s="12">
        <v>486.7</v>
      </c>
      <c r="W124" s="5">
        <v>45.915094339622641</v>
      </c>
      <c r="X124" s="5">
        <v>50514.999999999993</v>
      </c>
      <c r="AA124" s="17">
        <v>8.4526524253366109</v>
      </c>
    </row>
    <row r="125" spans="1:27" s="44" customFormat="1" ht="15.75" thickBot="1" x14ac:dyDescent="0.3">
      <c r="A125" s="75"/>
      <c r="B125" s="41"/>
      <c r="C125" s="42">
        <v>41972</v>
      </c>
      <c r="D125" s="43">
        <v>6.2</v>
      </c>
      <c r="E125" s="43">
        <v>5.3</v>
      </c>
      <c r="F125" s="43">
        <v>8.9</v>
      </c>
      <c r="G125" s="43">
        <v>1035.4000000000003</v>
      </c>
      <c r="H125" s="43"/>
      <c r="I125" s="43"/>
      <c r="J125" s="43">
        <v>0</v>
      </c>
      <c r="K125" s="43">
        <v>149.89999999999998</v>
      </c>
      <c r="L125" s="43">
        <v>0.5</v>
      </c>
      <c r="M125" s="43">
        <v>116.3</v>
      </c>
      <c r="N125" s="43">
        <v>-0.5</v>
      </c>
      <c r="O125" s="44">
        <f t="shared" si="10"/>
        <v>60.60000000000003</v>
      </c>
      <c r="P125" s="44">
        <v>81</v>
      </c>
      <c r="Q125" s="45">
        <f t="shared" si="12"/>
        <v>1</v>
      </c>
      <c r="R125" s="46">
        <f t="shared" si="8"/>
        <v>0.5</v>
      </c>
      <c r="S125" s="46">
        <f t="shared" si="9"/>
        <v>-0.5</v>
      </c>
      <c r="T125" s="47">
        <f t="shared" si="11"/>
        <v>112.73712328767127</v>
      </c>
      <c r="U125" s="43"/>
      <c r="V125" s="48">
        <v>416.1</v>
      </c>
      <c r="W125" s="43">
        <v>67.112903225806448</v>
      </c>
      <c r="X125" s="43">
        <v>50931.099999999991</v>
      </c>
      <c r="Y125" s="43"/>
      <c r="Z125" s="43"/>
      <c r="AA125" s="49">
        <v>8.4155026341738406</v>
      </c>
    </row>
    <row r="126" spans="1:27" s="5" customFormat="1" x14ac:dyDescent="0.25">
      <c r="A126" s="76" t="s">
        <v>18</v>
      </c>
      <c r="B126" s="18"/>
      <c r="C126" s="4">
        <v>41973</v>
      </c>
      <c r="D126" s="15">
        <v>4.3</v>
      </c>
      <c r="E126" s="15">
        <v>2.5</v>
      </c>
      <c r="F126" s="5">
        <v>6.4</v>
      </c>
      <c r="G126" s="5">
        <v>1039.7000000000003</v>
      </c>
      <c r="H126" s="5">
        <v>4.3</v>
      </c>
      <c r="I126" s="19" t="s">
        <v>2</v>
      </c>
      <c r="J126" s="5">
        <v>1.8</v>
      </c>
      <c r="K126" s="5">
        <v>151.69999999999999</v>
      </c>
      <c r="L126" s="5">
        <v>0.3</v>
      </c>
      <c r="M126" s="5">
        <v>116.6</v>
      </c>
      <c r="N126" s="5">
        <v>1.5</v>
      </c>
      <c r="O126" s="5">
        <f t="shared" si="10"/>
        <v>62.10000000000003</v>
      </c>
      <c r="P126" s="5">
        <v>82</v>
      </c>
      <c r="Q126" s="5">
        <v>1</v>
      </c>
      <c r="R126" s="8">
        <f t="shared" si="8"/>
        <v>0.3</v>
      </c>
      <c r="S126" s="8">
        <f t="shared" si="9"/>
        <v>1.5</v>
      </c>
      <c r="T126" s="8">
        <f t="shared" si="11"/>
        <v>114.23712328767127</v>
      </c>
      <c r="U126" s="19" t="s">
        <v>3</v>
      </c>
      <c r="V126" s="12">
        <v>291.60000000000002</v>
      </c>
      <c r="W126" s="5">
        <v>67.813953488372107</v>
      </c>
      <c r="X126" s="5">
        <v>51222.69999999999</v>
      </c>
      <c r="Y126" s="5">
        <f>V126</f>
        <v>291.60000000000002</v>
      </c>
      <c r="Z126" s="19" t="s">
        <v>4</v>
      </c>
      <c r="AA126" s="17">
        <v>8.3795832354353994</v>
      </c>
    </row>
    <row r="127" spans="1:27" s="5" customFormat="1" x14ac:dyDescent="0.25">
      <c r="A127" s="76"/>
      <c r="B127" s="18"/>
      <c r="C127" s="4">
        <v>41974</v>
      </c>
      <c r="D127" s="15">
        <v>3.5</v>
      </c>
      <c r="E127" s="15">
        <v>3.2</v>
      </c>
      <c r="F127" s="15">
        <v>3.7</v>
      </c>
      <c r="G127" s="5">
        <v>1043.2000000000003</v>
      </c>
      <c r="H127" s="5">
        <f>H126+D127</f>
        <v>7.8</v>
      </c>
      <c r="I127" s="5">
        <v>-3.5</v>
      </c>
      <c r="J127" s="5">
        <v>0.1</v>
      </c>
      <c r="K127" s="5">
        <v>151.79999999999998</v>
      </c>
      <c r="L127" s="5">
        <v>0.2</v>
      </c>
      <c r="M127" s="5">
        <v>116.8</v>
      </c>
      <c r="N127" s="6">
        <v>-0.1</v>
      </c>
      <c r="O127" s="5">
        <f t="shared" si="10"/>
        <v>62.000000000000028</v>
      </c>
      <c r="P127" s="5">
        <v>83</v>
      </c>
      <c r="Q127" s="5">
        <v>1</v>
      </c>
      <c r="R127" s="8">
        <f t="shared" si="8"/>
        <v>0.2</v>
      </c>
      <c r="S127" s="8">
        <f t="shared" si="9"/>
        <v>-0.1</v>
      </c>
      <c r="T127" s="8">
        <f t="shared" si="11"/>
        <v>114.13712328767127</v>
      </c>
      <c r="U127" s="5">
        <v>46</v>
      </c>
      <c r="V127" s="12">
        <v>113.4</v>
      </c>
      <c r="W127" s="5">
        <v>32.4</v>
      </c>
      <c r="X127" s="5">
        <v>51336.099999999991</v>
      </c>
      <c r="Y127" s="5">
        <f>Y126+V127</f>
        <v>405</v>
      </c>
      <c r="Z127" s="5">
        <v>31498.100000000006</v>
      </c>
      <c r="AA127" s="17">
        <v>8.3449288994587008</v>
      </c>
    </row>
    <row r="128" spans="1:27" s="5" customFormat="1" x14ac:dyDescent="0.25">
      <c r="A128" s="76"/>
      <c r="B128" s="18"/>
      <c r="C128" s="4">
        <v>41975</v>
      </c>
      <c r="D128" s="15">
        <v>3.3</v>
      </c>
      <c r="E128" s="15">
        <v>2.9</v>
      </c>
      <c r="F128" s="15">
        <v>3.9</v>
      </c>
      <c r="G128" s="5">
        <v>1046.5000000000002</v>
      </c>
      <c r="H128" s="5">
        <f t="shared" ref="H128:H191" si="13">H127+D128</f>
        <v>11.1</v>
      </c>
      <c r="I128" s="19" t="s">
        <v>5</v>
      </c>
      <c r="J128" s="5">
        <v>0.4</v>
      </c>
      <c r="K128" s="5">
        <v>152.19999999999999</v>
      </c>
      <c r="L128" s="5">
        <v>0.4</v>
      </c>
      <c r="M128" s="5">
        <v>117.2</v>
      </c>
      <c r="N128" s="5">
        <v>0</v>
      </c>
      <c r="O128" s="5">
        <f t="shared" si="10"/>
        <v>62.000000000000028</v>
      </c>
      <c r="P128" s="5">
        <v>84</v>
      </c>
      <c r="Q128" s="5">
        <v>1</v>
      </c>
      <c r="R128" s="8">
        <f t="shared" si="8"/>
        <v>0.4</v>
      </c>
      <c r="S128" s="8">
        <f t="shared" si="9"/>
        <v>0</v>
      </c>
      <c r="T128" s="8">
        <f t="shared" si="11"/>
        <v>114.13712328767127</v>
      </c>
      <c r="U128" s="19" t="s">
        <v>6</v>
      </c>
      <c r="V128" s="12">
        <v>132.5</v>
      </c>
      <c r="W128" s="5">
        <v>40.151515151515156</v>
      </c>
      <c r="X128" s="5">
        <v>51468.599999999991</v>
      </c>
      <c r="Y128" s="5">
        <f t="shared" ref="Y128:Y191" si="14">Y127+V128</f>
        <v>537.5</v>
      </c>
      <c r="Z128" s="19" t="s">
        <v>7</v>
      </c>
      <c r="AA128" s="17">
        <v>8.3115739073772108</v>
      </c>
    </row>
    <row r="129" spans="1:27" s="5" customFormat="1" x14ac:dyDescent="0.25">
      <c r="A129" s="76"/>
      <c r="B129" s="18"/>
      <c r="C129" s="4">
        <v>41976</v>
      </c>
      <c r="D129" s="15">
        <v>1.5</v>
      </c>
      <c r="E129" s="15">
        <v>0.6</v>
      </c>
      <c r="F129" s="15">
        <v>2.5</v>
      </c>
      <c r="G129" s="5">
        <v>1048.0000000000002</v>
      </c>
      <c r="H129" s="5">
        <f t="shared" si="13"/>
        <v>12.6</v>
      </c>
      <c r="I129" s="5">
        <v>13.6</v>
      </c>
      <c r="J129" s="5">
        <v>0</v>
      </c>
      <c r="K129" s="5">
        <v>152.19999999999999</v>
      </c>
      <c r="L129" s="5">
        <v>0.4</v>
      </c>
      <c r="M129" s="5">
        <v>117.60000000000001</v>
      </c>
      <c r="N129" s="6">
        <v>-0.4</v>
      </c>
      <c r="O129" s="5">
        <f t="shared" si="10"/>
        <v>61.60000000000003</v>
      </c>
      <c r="P129" s="5">
        <v>85</v>
      </c>
      <c r="Q129" s="5">
        <v>1</v>
      </c>
      <c r="R129" s="8">
        <f t="shared" si="8"/>
        <v>0.4</v>
      </c>
      <c r="S129" s="8">
        <f t="shared" si="9"/>
        <v>-0.4</v>
      </c>
      <c r="T129" s="8">
        <f t="shared" si="11"/>
        <v>113.73712328767127</v>
      </c>
      <c r="U129" s="5">
        <v>0</v>
      </c>
      <c r="V129" s="12">
        <v>139.30000000000001</v>
      </c>
      <c r="W129" s="5">
        <v>92.866666666666674</v>
      </c>
      <c r="X129" s="5">
        <v>51607.899999999994</v>
      </c>
      <c r="Y129" s="5">
        <f t="shared" si="14"/>
        <v>676.8</v>
      </c>
      <c r="Z129" s="13">
        <f>(Z127/100)/I139</f>
        <v>0.73817904851183513</v>
      </c>
      <c r="AA129" s="17">
        <v>8.2795520470546098</v>
      </c>
    </row>
    <row r="130" spans="1:27" s="5" customFormat="1" x14ac:dyDescent="0.25">
      <c r="A130" s="76"/>
      <c r="B130" s="18"/>
      <c r="C130" s="4">
        <v>41977</v>
      </c>
      <c r="D130" s="15">
        <v>1</v>
      </c>
      <c r="E130" s="15">
        <v>0.1</v>
      </c>
      <c r="F130" s="15">
        <v>2.6</v>
      </c>
      <c r="G130" s="5">
        <v>1049.0000000000002</v>
      </c>
      <c r="H130" s="5">
        <f t="shared" si="13"/>
        <v>13.6</v>
      </c>
      <c r="I130" s="19" t="s">
        <v>8</v>
      </c>
      <c r="J130" s="5">
        <v>0</v>
      </c>
      <c r="K130" s="5">
        <v>152.19999999999999</v>
      </c>
      <c r="L130" s="5">
        <v>0.3</v>
      </c>
      <c r="M130" s="5">
        <v>117.9</v>
      </c>
      <c r="N130" s="6">
        <v>-0.3</v>
      </c>
      <c r="O130" s="5">
        <f t="shared" si="10"/>
        <v>61.300000000000033</v>
      </c>
      <c r="P130" s="5">
        <v>86</v>
      </c>
      <c r="Q130" s="5">
        <v>1</v>
      </c>
      <c r="R130" s="8">
        <f t="shared" si="8"/>
        <v>0.3</v>
      </c>
      <c r="S130" s="8">
        <f t="shared" si="9"/>
        <v>-0.3</v>
      </c>
      <c r="T130" s="8">
        <f t="shared" si="11"/>
        <v>113.43712328767127</v>
      </c>
      <c r="U130" s="19" t="s">
        <v>9</v>
      </c>
      <c r="V130" s="12">
        <v>146.5</v>
      </c>
      <c r="W130" s="5">
        <v>146.5</v>
      </c>
      <c r="X130" s="5">
        <v>51754.399999999994</v>
      </c>
      <c r="Y130" s="5">
        <f t="shared" si="14"/>
        <v>823.3</v>
      </c>
      <c r="Z130" s="19" t="s">
        <v>10</v>
      </c>
      <c r="AA130" s="17">
        <v>8.2488965062682293</v>
      </c>
    </row>
    <row r="131" spans="1:27" s="5" customFormat="1" x14ac:dyDescent="0.25">
      <c r="A131" s="76"/>
      <c r="B131" s="18"/>
      <c r="C131" s="4">
        <v>41978</v>
      </c>
      <c r="D131" s="15">
        <v>3.7</v>
      </c>
      <c r="E131" s="15">
        <v>1.6</v>
      </c>
      <c r="F131" s="15">
        <v>4.5999999999999996</v>
      </c>
      <c r="G131" s="5">
        <v>1052.7000000000003</v>
      </c>
      <c r="H131" s="5">
        <f t="shared" si="13"/>
        <v>17.3</v>
      </c>
      <c r="I131" s="13">
        <v>4.368041237113399</v>
      </c>
      <c r="J131" s="5">
        <v>1.2</v>
      </c>
      <c r="K131" s="5">
        <v>153.39999999999998</v>
      </c>
      <c r="L131" s="5">
        <v>0.4</v>
      </c>
      <c r="M131" s="5">
        <v>118.30000000000001</v>
      </c>
      <c r="N131" s="5">
        <v>0.79999999999999993</v>
      </c>
      <c r="O131" s="5">
        <f t="shared" si="10"/>
        <v>62.10000000000003</v>
      </c>
      <c r="P131" s="5">
        <v>87</v>
      </c>
      <c r="Q131" s="5">
        <v>1</v>
      </c>
      <c r="R131" s="8">
        <f t="shared" si="8"/>
        <v>0.4</v>
      </c>
      <c r="S131" s="8">
        <f t="shared" si="9"/>
        <v>0.79999999999999993</v>
      </c>
      <c r="T131" s="8">
        <f t="shared" si="11"/>
        <v>114.23712328767127</v>
      </c>
      <c r="U131" s="5">
        <v>0</v>
      </c>
      <c r="V131" s="12">
        <v>210.5</v>
      </c>
      <c r="W131" s="5">
        <v>56.891891891891888</v>
      </c>
      <c r="X131" s="5">
        <v>51964.899999999994</v>
      </c>
      <c r="Y131" s="5">
        <f t="shared" si="14"/>
        <v>1033.8</v>
      </c>
      <c r="Z131" s="5">
        <v>94</v>
      </c>
      <c r="AA131" s="17">
        <v>8.2196397636843805</v>
      </c>
    </row>
    <row r="132" spans="1:27" s="5" customFormat="1" x14ac:dyDescent="0.25">
      <c r="A132" s="76"/>
      <c r="B132" s="18"/>
      <c r="C132" s="4">
        <v>41979</v>
      </c>
      <c r="D132" s="15">
        <v>4.2</v>
      </c>
      <c r="E132" s="15">
        <v>2.1</v>
      </c>
      <c r="F132" s="5">
        <v>8.3000000000000007</v>
      </c>
      <c r="G132" s="5">
        <v>1056.9000000000003</v>
      </c>
      <c r="H132" s="5">
        <f t="shared" si="13"/>
        <v>21.5</v>
      </c>
      <c r="I132" s="19" t="s">
        <v>11</v>
      </c>
      <c r="J132" s="5">
        <v>0.3</v>
      </c>
      <c r="K132" s="5">
        <v>153.69999999999999</v>
      </c>
      <c r="L132" s="5">
        <v>0.8</v>
      </c>
      <c r="M132" s="5">
        <v>119.10000000000001</v>
      </c>
      <c r="N132" s="6">
        <v>-0.5</v>
      </c>
      <c r="O132" s="5">
        <f t="shared" si="10"/>
        <v>61.60000000000003</v>
      </c>
      <c r="P132" s="5">
        <v>88</v>
      </c>
      <c r="Q132" s="5">
        <v>1</v>
      </c>
      <c r="R132" s="8">
        <f t="shared" si="8"/>
        <v>0.8</v>
      </c>
      <c r="S132" s="8">
        <f t="shared" si="9"/>
        <v>-0.5</v>
      </c>
      <c r="T132" s="8">
        <f t="shared" si="11"/>
        <v>113.73712328767127</v>
      </c>
      <c r="U132" s="19" t="s">
        <v>12</v>
      </c>
      <c r="V132" s="12">
        <v>378.9</v>
      </c>
      <c r="W132" s="5">
        <v>90.214285714285708</v>
      </c>
      <c r="X132" s="5">
        <v>52343.799999999996</v>
      </c>
      <c r="Y132" s="5">
        <f t="shared" si="14"/>
        <v>1412.6999999999998</v>
      </c>
      <c r="AA132" s="17">
        <v>8.1918134782235494</v>
      </c>
    </row>
    <row r="133" spans="1:27" s="5" customFormat="1" x14ac:dyDescent="0.25">
      <c r="A133" s="76"/>
      <c r="B133" s="18"/>
      <c r="C133" s="4">
        <v>41980</v>
      </c>
      <c r="D133" s="15">
        <v>2.8</v>
      </c>
      <c r="E133" s="20">
        <v>-0.3</v>
      </c>
      <c r="F133" s="5">
        <v>6.7</v>
      </c>
      <c r="G133" s="5">
        <v>1059.7000000000003</v>
      </c>
      <c r="H133" s="5">
        <f t="shared" si="13"/>
        <v>24.3</v>
      </c>
      <c r="I133" s="5">
        <v>22</v>
      </c>
      <c r="J133" s="5">
        <v>3.1</v>
      </c>
      <c r="K133" s="5">
        <v>156.79999999999998</v>
      </c>
      <c r="L133" s="5">
        <v>0.4</v>
      </c>
      <c r="M133" s="5">
        <v>119.50000000000001</v>
      </c>
      <c r="N133" s="5">
        <v>2.7</v>
      </c>
      <c r="O133" s="5">
        <f t="shared" si="10"/>
        <v>64.300000000000026</v>
      </c>
      <c r="P133" s="5">
        <v>89</v>
      </c>
      <c r="Q133" s="5">
        <v>1</v>
      </c>
      <c r="R133" s="8">
        <f t="shared" si="8"/>
        <v>0.4</v>
      </c>
      <c r="S133" s="8">
        <f t="shared" si="9"/>
        <v>2.7</v>
      </c>
      <c r="T133" s="8">
        <f t="shared" si="11"/>
        <v>116.43712328767127</v>
      </c>
      <c r="U133" s="8">
        <f>MIN(T126:T222)</f>
        <v>113.43712328767127</v>
      </c>
      <c r="V133" s="12">
        <v>102.6</v>
      </c>
      <c r="W133" s="5">
        <v>36.642857142857146</v>
      </c>
      <c r="X133" s="5">
        <v>52446.399999999994</v>
      </c>
      <c r="Y133" s="5">
        <f t="shared" si="14"/>
        <v>1515.2999999999997</v>
      </c>
      <c r="AA133" s="17">
        <v>8.1654483774662392</v>
      </c>
    </row>
    <row r="134" spans="1:27" s="5" customFormat="1" x14ac:dyDescent="0.25">
      <c r="A134" s="76"/>
      <c r="B134" s="18"/>
      <c r="C134" s="4">
        <v>41981</v>
      </c>
      <c r="D134" s="15">
        <v>2.2000000000000002</v>
      </c>
      <c r="E134" s="15">
        <v>0.2</v>
      </c>
      <c r="F134" s="15">
        <v>3.5</v>
      </c>
      <c r="G134" s="5">
        <v>1061.9000000000003</v>
      </c>
      <c r="H134" s="5">
        <f t="shared" si="13"/>
        <v>26.5</v>
      </c>
      <c r="I134" s="19" t="s">
        <v>13</v>
      </c>
      <c r="J134" s="5">
        <v>4.5999999999999996</v>
      </c>
      <c r="K134" s="5">
        <v>161.39999999999998</v>
      </c>
      <c r="L134" s="5">
        <v>0.3</v>
      </c>
      <c r="M134" s="5">
        <v>119.80000000000001</v>
      </c>
      <c r="N134" s="5">
        <v>4.3</v>
      </c>
      <c r="O134" s="5">
        <f t="shared" si="10"/>
        <v>68.600000000000023</v>
      </c>
      <c r="P134" s="5">
        <v>90</v>
      </c>
      <c r="Q134" s="5">
        <v>1</v>
      </c>
      <c r="R134" s="8">
        <f t="shared" si="8"/>
        <v>0.3</v>
      </c>
      <c r="S134" s="8">
        <f t="shared" si="9"/>
        <v>4.3</v>
      </c>
      <c r="T134" s="8">
        <f t="shared" si="11"/>
        <v>120.73712328767127</v>
      </c>
      <c r="U134" s="19" t="s">
        <v>14</v>
      </c>
      <c r="V134" s="16">
        <v>80</v>
      </c>
      <c r="W134" s="5">
        <v>36.36363636363636</v>
      </c>
      <c r="X134" s="5">
        <v>52526.399999999994</v>
      </c>
      <c r="Y134" s="5">
        <f t="shared" si="14"/>
        <v>1595.2999999999997</v>
      </c>
      <c r="AA134" s="17">
        <v>8.1405741457981406</v>
      </c>
    </row>
    <row r="135" spans="1:27" s="5" customFormat="1" x14ac:dyDescent="0.25">
      <c r="A135" s="76"/>
      <c r="B135" s="18"/>
      <c r="C135" s="4">
        <v>41982</v>
      </c>
      <c r="D135" s="15">
        <v>4.2</v>
      </c>
      <c r="E135" s="15">
        <v>2.1</v>
      </c>
      <c r="F135" s="5">
        <v>7.2</v>
      </c>
      <c r="G135" s="5">
        <v>1066.1000000000004</v>
      </c>
      <c r="H135" s="5">
        <f t="shared" si="13"/>
        <v>30.7</v>
      </c>
      <c r="I135" s="5">
        <v>0</v>
      </c>
      <c r="J135" s="5">
        <v>2.2999999999999998</v>
      </c>
      <c r="K135" s="5">
        <v>163.69999999999999</v>
      </c>
      <c r="L135" s="5">
        <v>0.7</v>
      </c>
      <c r="M135" s="5">
        <v>120.50000000000001</v>
      </c>
      <c r="N135" s="5">
        <v>1.5999999999999999</v>
      </c>
      <c r="O135" s="5">
        <f t="shared" si="10"/>
        <v>70.200000000000017</v>
      </c>
      <c r="P135" s="5">
        <v>91</v>
      </c>
      <c r="Q135" s="5">
        <v>1</v>
      </c>
      <c r="R135" s="8">
        <f t="shared" si="8"/>
        <v>0.7</v>
      </c>
      <c r="S135" s="8">
        <f t="shared" si="9"/>
        <v>1.5999999999999999</v>
      </c>
      <c r="T135" s="8">
        <f t="shared" si="11"/>
        <v>122.33712328767126</v>
      </c>
      <c r="U135" s="5">
        <v>153.6</v>
      </c>
      <c r="V135" s="12">
        <v>309.5</v>
      </c>
      <c r="W135" s="5">
        <v>73.69047619047619</v>
      </c>
      <c r="X135" s="5">
        <v>52835.899999999994</v>
      </c>
      <c r="Y135" s="5">
        <f t="shared" si="14"/>
        <v>1904.7999999999997</v>
      </c>
      <c r="AA135" s="17">
        <v>8.1172193130361894</v>
      </c>
    </row>
    <row r="136" spans="1:27" s="5" customFormat="1" x14ac:dyDescent="0.25">
      <c r="A136" s="76"/>
      <c r="B136" s="18"/>
      <c r="C136" s="4">
        <v>41983</v>
      </c>
      <c r="D136" s="5">
        <v>7.1</v>
      </c>
      <c r="E136" s="15">
        <v>4.7</v>
      </c>
      <c r="F136" s="5">
        <v>9.6</v>
      </c>
      <c r="G136" s="5">
        <v>1073.2000000000003</v>
      </c>
      <c r="H136" s="5">
        <f t="shared" si="13"/>
        <v>37.799999999999997</v>
      </c>
      <c r="I136" s="19" t="s">
        <v>15</v>
      </c>
      <c r="J136" s="5">
        <v>2.8</v>
      </c>
      <c r="K136" s="5">
        <v>166.5</v>
      </c>
      <c r="L136" s="5">
        <v>1.2</v>
      </c>
      <c r="M136" s="5">
        <v>121.70000000000002</v>
      </c>
      <c r="N136" s="5">
        <v>1.5999999999999999</v>
      </c>
      <c r="O136" s="5">
        <f t="shared" si="10"/>
        <v>71.800000000000011</v>
      </c>
      <c r="P136" s="5">
        <v>92</v>
      </c>
      <c r="Q136" s="5">
        <v>1</v>
      </c>
      <c r="R136" s="8">
        <f t="shared" si="8"/>
        <v>1.2</v>
      </c>
      <c r="S136" s="8">
        <f t="shared" si="9"/>
        <v>1.5999999999999999</v>
      </c>
      <c r="T136" s="8">
        <f t="shared" si="11"/>
        <v>123.93712328767126</v>
      </c>
      <c r="U136" s="19" t="s">
        <v>16</v>
      </c>
      <c r="V136" s="12">
        <v>408.4</v>
      </c>
      <c r="W136" s="5">
        <v>57.521126760563376</v>
      </c>
      <c r="X136" s="5">
        <v>53244.299999999996</v>
      </c>
      <c r="Y136" s="5">
        <f t="shared" si="14"/>
        <v>2313.1999999999998</v>
      </c>
      <c r="AA136" s="17">
        <v>8.0954111443129992</v>
      </c>
    </row>
    <row r="137" spans="1:27" s="5" customFormat="1" x14ac:dyDescent="0.25">
      <c r="A137" s="76"/>
      <c r="B137" s="10"/>
      <c r="C137" s="4">
        <v>41984</v>
      </c>
      <c r="D137" s="5">
        <v>7.4</v>
      </c>
      <c r="E137" s="5">
        <v>5.3</v>
      </c>
      <c r="F137" s="5">
        <v>9.6999999999999993</v>
      </c>
      <c r="G137" s="5">
        <v>1080.6000000000004</v>
      </c>
      <c r="H137" s="5">
        <f t="shared" si="13"/>
        <v>45.199999999999996</v>
      </c>
      <c r="I137" s="5">
        <v>61</v>
      </c>
      <c r="J137" s="5">
        <v>2.9</v>
      </c>
      <c r="K137" s="5">
        <v>169.4</v>
      </c>
      <c r="L137" s="5">
        <v>1</v>
      </c>
      <c r="M137" s="5">
        <v>122.70000000000002</v>
      </c>
      <c r="N137" s="5">
        <v>1.9</v>
      </c>
      <c r="O137" s="5">
        <f t="shared" si="10"/>
        <v>73.700000000000017</v>
      </c>
      <c r="P137" s="5">
        <v>93</v>
      </c>
      <c r="Q137" s="5">
        <v>1</v>
      </c>
      <c r="R137" s="8">
        <f t="shared" si="8"/>
        <v>1</v>
      </c>
      <c r="S137" s="8">
        <f t="shared" si="9"/>
        <v>1.9</v>
      </c>
      <c r="T137" s="8">
        <f t="shared" si="11"/>
        <v>125.83712328767126</v>
      </c>
      <c r="U137" s="13">
        <f>AVERAGE(T126:T222)</f>
        <v>146.18727015958208</v>
      </c>
      <c r="V137" s="12">
        <v>197.3</v>
      </c>
      <c r="W137" s="5">
        <v>26.662162162162161</v>
      </c>
      <c r="X137" s="5">
        <v>53441.599999999999</v>
      </c>
      <c r="Y137" s="5">
        <f t="shared" si="14"/>
        <v>2510.5</v>
      </c>
      <c r="AA137" s="17">
        <v>8.0751755320254404</v>
      </c>
    </row>
    <row r="138" spans="1:27" s="5" customFormat="1" x14ac:dyDescent="0.25">
      <c r="A138" s="76"/>
      <c r="B138" s="10"/>
      <c r="C138" s="4">
        <v>41985</v>
      </c>
      <c r="D138" s="5">
        <v>8.5</v>
      </c>
      <c r="E138" s="5">
        <v>7.6</v>
      </c>
      <c r="F138" s="5">
        <v>9.8000000000000007</v>
      </c>
      <c r="G138" s="5">
        <v>1089.1000000000004</v>
      </c>
      <c r="H138" s="5">
        <f t="shared" si="13"/>
        <v>53.699999999999996</v>
      </c>
      <c r="I138" s="19" t="s">
        <v>17</v>
      </c>
      <c r="J138" s="5">
        <v>6.7</v>
      </c>
      <c r="K138" s="5">
        <v>176.1</v>
      </c>
      <c r="L138" s="5">
        <v>0.8</v>
      </c>
      <c r="M138" s="5">
        <v>123.50000000000001</v>
      </c>
      <c r="N138" s="5">
        <v>5.9</v>
      </c>
      <c r="O138" s="5">
        <f t="shared" si="10"/>
        <v>79.600000000000023</v>
      </c>
      <c r="P138" s="5">
        <v>94</v>
      </c>
      <c r="Q138" s="5">
        <v>1</v>
      </c>
      <c r="R138" s="8">
        <f t="shared" si="8"/>
        <v>0.8</v>
      </c>
      <c r="S138" s="8">
        <f t="shared" si="9"/>
        <v>5.9</v>
      </c>
      <c r="T138" s="8">
        <f t="shared" si="11"/>
        <v>131.73712328767127</v>
      </c>
      <c r="U138" s="19" t="s">
        <v>19</v>
      </c>
      <c r="V138" s="16">
        <v>67.900000000000006</v>
      </c>
      <c r="W138" s="5">
        <v>7.988235294117648</v>
      </c>
      <c r="X138" s="5">
        <v>53509.5</v>
      </c>
      <c r="Y138" s="5">
        <f t="shared" si="14"/>
        <v>2578.4</v>
      </c>
      <c r="AA138" s="17">
        <v>8.0565368906726302</v>
      </c>
    </row>
    <row r="139" spans="1:27" s="5" customFormat="1" x14ac:dyDescent="0.25">
      <c r="A139" s="76"/>
      <c r="B139" s="18"/>
      <c r="C139" s="4">
        <v>41986</v>
      </c>
      <c r="D139" s="15">
        <v>3.9</v>
      </c>
      <c r="E139" s="15">
        <v>3.5</v>
      </c>
      <c r="F139" s="5">
        <v>5.4</v>
      </c>
      <c r="G139" s="5">
        <v>1093.0000000000005</v>
      </c>
      <c r="H139" s="5">
        <f t="shared" si="13"/>
        <v>57.599999999999994</v>
      </c>
      <c r="I139" s="5">
        <v>426.7</v>
      </c>
      <c r="J139" s="5">
        <v>0.1</v>
      </c>
      <c r="K139" s="5">
        <v>176.2</v>
      </c>
      <c r="L139" s="5">
        <v>0.5</v>
      </c>
      <c r="M139" s="5">
        <v>124.00000000000001</v>
      </c>
      <c r="N139" s="6">
        <v>-0.4</v>
      </c>
      <c r="O139" s="5">
        <f t="shared" si="10"/>
        <v>79.200000000000017</v>
      </c>
      <c r="P139" s="5">
        <v>95</v>
      </c>
      <c r="Q139" s="5">
        <v>1</v>
      </c>
      <c r="R139" s="8">
        <f t="shared" si="8"/>
        <v>0.5</v>
      </c>
      <c r="S139" s="8">
        <f t="shared" si="9"/>
        <v>-0.4</v>
      </c>
      <c r="T139" s="8">
        <f t="shared" si="11"/>
        <v>131.33712328767126</v>
      </c>
      <c r="U139" s="8">
        <v>49</v>
      </c>
      <c r="V139" s="16">
        <v>89.2</v>
      </c>
      <c r="W139" s="5">
        <v>22.871794871794872</v>
      </c>
      <c r="X139" s="5">
        <v>53598.7</v>
      </c>
      <c r="Y139" s="5">
        <f t="shared" si="14"/>
        <v>2667.6</v>
      </c>
      <c r="AA139" s="17">
        <v>8.0395180554186396</v>
      </c>
    </row>
    <row r="140" spans="1:27" s="5" customFormat="1" x14ac:dyDescent="0.25">
      <c r="A140" s="76"/>
      <c r="B140" s="18"/>
      <c r="C140" s="4">
        <v>41987</v>
      </c>
      <c r="D140" s="15">
        <v>1</v>
      </c>
      <c r="E140" s="20">
        <v>-1.5</v>
      </c>
      <c r="F140" s="15">
        <v>4.7</v>
      </c>
      <c r="G140" s="5">
        <v>1094.0000000000005</v>
      </c>
      <c r="H140" s="5">
        <f t="shared" si="13"/>
        <v>58.599999999999994</v>
      </c>
      <c r="J140" s="5">
        <v>0.9</v>
      </c>
      <c r="K140" s="5">
        <v>177.1</v>
      </c>
      <c r="L140" s="5">
        <v>0.3</v>
      </c>
      <c r="M140" s="5">
        <v>124.30000000000001</v>
      </c>
      <c r="N140" s="5">
        <v>0.60000000000000009</v>
      </c>
      <c r="O140" s="5">
        <f t="shared" si="10"/>
        <v>79.800000000000011</v>
      </c>
      <c r="P140" s="5">
        <v>96</v>
      </c>
      <c r="Q140" s="5">
        <v>1</v>
      </c>
      <c r="R140" s="8">
        <f t="shared" si="8"/>
        <v>0.3</v>
      </c>
      <c r="S140" s="8">
        <f t="shared" si="9"/>
        <v>0.60000000000000009</v>
      </c>
      <c r="T140" s="8">
        <f t="shared" si="11"/>
        <v>131.93712328767126</v>
      </c>
      <c r="V140" s="12">
        <v>144</v>
      </c>
      <c r="W140" s="5">
        <v>144</v>
      </c>
      <c r="X140" s="5">
        <v>53742.7</v>
      </c>
      <c r="Y140" s="5">
        <f t="shared" si="14"/>
        <v>2811.6</v>
      </c>
      <c r="AA140" s="17">
        <v>8.0241401852142502</v>
      </c>
    </row>
    <row r="141" spans="1:27" s="5" customFormat="1" x14ac:dyDescent="0.25">
      <c r="A141" s="76"/>
      <c r="B141" s="18"/>
      <c r="C141" s="4">
        <v>41988</v>
      </c>
      <c r="D141" s="5">
        <v>6.1</v>
      </c>
      <c r="E141" s="15">
        <v>1.6</v>
      </c>
      <c r="F141" s="5">
        <v>7.9</v>
      </c>
      <c r="G141" s="5">
        <v>1100.1000000000004</v>
      </c>
      <c r="H141" s="5">
        <f t="shared" si="13"/>
        <v>64.699999999999989</v>
      </c>
      <c r="J141" s="5">
        <v>1</v>
      </c>
      <c r="K141" s="5">
        <v>178.1</v>
      </c>
      <c r="L141" s="5">
        <v>0.3</v>
      </c>
      <c r="M141" s="5">
        <v>124.60000000000001</v>
      </c>
      <c r="N141" s="5">
        <v>0.7</v>
      </c>
      <c r="O141" s="5">
        <f t="shared" si="10"/>
        <v>80.500000000000014</v>
      </c>
      <c r="P141" s="5">
        <v>97</v>
      </c>
      <c r="Q141" s="5">
        <v>1</v>
      </c>
      <c r="R141" s="8">
        <f t="shared" si="8"/>
        <v>0.3</v>
      </c>
      <c r="S141" s="8">
        <f t="shared" si="9"/>
        <v>0.7</v>
      </c>
      <c r="T141" s="8">
        <f t="shared" si="11"/>
        <v>132.63712328767124</v>
      </c>
      <c r="U141" s="8">
        <f>(U137*100)/153.6</f>
        <v>95.174004010144586</v>
      </c>
      <c r="V141" s="12">
        <v>255.1</v>
      </c>
      <c r="W141" s="5">
        <v>41.819672131147541</v>
      </c>
      <c r="X141" s="5">
        <v>53997.799999999996</v>
      </c>
      <c r="Y141" s="5">
        <f t="shared" si="14"/>
        <v>3066.7</v>
      </c>
      <c r="AA141" s="17">
        <v>8.0104226713010398</v>
      </c>
    </row>
    <row r="142" spans="1:27" s="5" customFormat="1" x14ac:dyDescent="0.25">
      <c r="A142" s="76"/>
      <c r="B142" s="18"/>
      <c r="C142" s="4">
        <v>41989</v>
      </c>
      <c r="D142" s="5">
        <v>5.3</v>
      </c>
      <c r="E142" s="15">
        <v>4.4000000000000004</v>
      </c>
      <c r="F142" s="5">
        <v>7.3</v>
      </c>
      <c r="G142" s="5">
        <v>1105.4000000000003</v>
      </c>
      <c r="H142" s="5">
        <f t="shared" si="13"/>
        <v>69.999999999999986</v>
      </c>
      <c r="J142" s="5">
        <v>7.9</v>
      </c>
      <c r="K142" s="5">
        <v>186</v>
      </c>
      <c r="L142" s="5">
        <v>0.7</v>
      </c>
      <c r="M142" s="5">
        <v>125.30000000000001</v>
      </c>
      <c r="N142" s="5">
        <v>7.2</v>
      </c>
      <c r="O142" s="5">
        <f t="shared" si="10"/>
        <v>87.700000000000017</v>
      </c>
      <c r="P142" s="5">
        <v>98</v>
      </c>
      <c r="Q142" s="5">
        <v>1</v>
      </c>
      <c r="R142" s="8">
        <f t="shared" si="8"/>
        <v>0.7</v>
      </c>
      <c r="S142" s="8">
        <f t="shared" si="9"/>
        <v>7.2</v>
      </c>
      <c r="T142" s="8">
        <f t="shared" si="11"/>
        <v>139.83712328767123</v>
      </c>
      <c r="V142" s="12">
        <v>263.89999999999998</v>
      </c>
      <c r="W142" s="5">
        <v>49.79245283018868</v>
      </c>
      <c r="X142" s="5">
        <v>54261.7</v>
      </c>
      <c r="Y142" s="5">
        <f t="shared" si="14"/>
        <v>3330.6</v>
      </c>
      <c r="AA142" s="17">
        <v>7.9983830518974104</v>
      </c>
    </row>
    <row r="143" spans="1:27" s="5" customFormat="1" x14ac:dyDescent="0.25">
      <c r="A143" s="76"/>
      <c r="B143" s="18"/>
      <c r="C143" s="4">
        <v>41990</v>
      </c>
      <c r="D143" s="5">
        <v>8.9</v>
      </c>
      <c r="E143" s="15">
        <v>3.9</v>
      </c>
      <c r="F143" s="5">
        <v>12.2</v>
      </c>
      <c r="G143" s="5">
        <v>1114.3000000000004</v>
      </c>
      <c r="H143" s="5">
        <f t="shared" si="13"/>
        <v>78.899999999999991</v>
      </c>
      <c r="J143" s="5">
        <v>2.9</v>
      </c>
      <c r="K143" s="5">
        <v>188.9</v>
      </c>
      <c r="L143" s="5">
        <v>0.1</v>
      </c>
      <c r="M143" s="5">
        <v>125.4</v>
      </c>
      <c r="N143" s="5">
        <v>2.8</v>
      </c>
      <c r="O143" s="5">
        <f t="shared" si="10"/>
        <v>90.500000000000014</v>
      </c>
      <c r="P143" s="5">
        <v>99</v>
      </c>
      <c r="Q143" s="5">
        <v>1</v>
      </c>
      <c r="R143" s="8">
        <f t="shared" si="8"/>
        <v>0.1</v>
      </c>
      <c r="S143" s="8">
        <f t="shared" si="9"/>
        <v>2.8</v>
      </c>
      <c r="T143" s="8">
        <f t="shared" si="11"/>
        <v>142.63712328767124</v>
      </c>
      <c r="V143" s="16">
        <v>60.5</v>
      </c>
      <c r="W143" s="5">
        <v>6.797752808988764</v>
      </c>
      <c r="X143" s="5">
        <v>54322.2</v>
      </c>
      <c r="Y143" s="5">
        <f t="shared" si="14"/>
        <v>3391.1</v>
      </c>
      <c r="AA143" s="17">
        <v>7.9880369338321104</v>
      </c>
    </row>
    <row r="144" spans="1:27" s="5" customFormat="1" x14ac:dyDescent="0.25">
      <c r="A144" s="76"/>
      <c r="B144" s="10"/>
      <c r="C144" s="4">
        <v>41991</v>
      </c>
      <c r="D144" s="5">
        <v>12.5</v>
      </c>
      <c r="E144" s="5">
        <v>10</v>
      </c>
      <c r="F144" s="5">
        <v>13.3</v>
      </c>
      <c r="G144" s="5">
        <v>1126.8000000000004</v>
      </c>
      <c r="H144" s="5">
        <f t="shared" si="13"/>
        <v>91.399999999999991</v>
      </c>
      <c r="J144" s="5">
        <v>1.8</v>
      </c>
      <c r="K144" s="5">
        <v>190.70000000000002</v>
      </c>
      <c r="L144" s="5">
        <v>0.2</v>
      </c>
      <c r="M144" s="5">
        <v>125.60000000000001</v>
      </c>
      <c r="N144" s="5">
        <v>1.6</v>
      </c>
      <c r="O144" s="5">
        <f t="shared" si="10"/>
        <v>92.100000000000009</v>
      </c>
      <c r="P144" s="5">
        <v>100</v>
      </c>
      <c r="Q144" s="5">
        <v>1</v>
      </c>
      <c r="R144" s="8">
        <f t="shared" si="8"/>
        <v>0.2</v>
      </c>
      <c r="S144" s="8">
        <f t="shared" si="9"/>
        <v>1.6</v>
      </c>
      <c r="T144" s="8">
        <f t="shared" si="11"/>
        <v>144.23712328767124</v>
      </c>
      <c r="V144" s="16">
        <v>71.5</v>
      </c>
      <c r="W144" s="5">
        <v>5.72</v>
      </c>
      <c r="X144" s="5">
        <v>54393.7</v>
      </c>
      <c r="Y144" s="5">
        <f t="shared" si="14"/>
        <v>3462.6</v>
      </c>
      <c r="AA144" s="17">
        <v>7.9793979218443702</v>
      </c>
    </row>
    <row r="145" spans="1:27" s="5" customFormat="1" x14ac:dyDescent="0.25">
      <c r="A145" s="76"/>
      <c r="B145" s="10"/>
      <c r="C145" s="4">
        <v>41992</v>
      </c>
      <c r="D145" s="5">
        <v>8.9</v>
      </c>
      <c r="E145" s="5">
        <v>6.4</v>
      </c>
      <c r="F145" s="5">
        <v>11.1</v>
      </c>
      <c r="G145" s="5">
        <v>1135.7000000000005</v>
      </c>
      <c r="H145" s="5">
        <f t="shared" si="13"/>
        <v>100.3</v>
      </c>
      <c r="J145" s="5">
        <v>6.2</v>
      </c>
      <c r="K145" s="5">
        <v>196.9</v>
      </c>
      <c r="L145" s="5">
        <v>0.3</v>
      </c>
      <c r="M145" s="5">
        <v>125.9</v>
      </c>
      <c r="N145" s="5">
        <v>5.9</v>
      </c>
      <c r="O145" s="5">
        <f t="shared" si="10"/>
        <v>98.000000000000014</v>
      </c>
      <c r="P145" s="5">
        <v>101</v>
      </c>
      <c r="Q145" s="5">
        <v>1</v>
      </c>
      <c r="R145" s="8">
        <f t="shared" si="8"/>
        <v>0.3</v>
      </c>
      <c r="S145" s="8">
        <f t="shared" si="9"/>
        <v>5.9</v>
      </c>
      <c r="T145" s="8">
        <f t="shared" si="11"/>
        <v>150.13712328767124</v>
      </c>
      <c r="V145" s="16">
        <v>64.099999999999994</v>
      </c>
      <c r="W145" s="5">
        <v>7.2022471910112351</v>
      </c>
      <c r="X145" s="5">
        <v>54457.799999999996</v>
      </c>
      <c r="Y145" s="5">
        <f t="shared" si="14"/>
        <v>3526.7</v>
      </c>
      <c r="AA145" s="17">
        <v>7.9724775562125698</v>
      </c>
    </row>
    <row r="146" spans="1:27" s="5" customFormat="1" x14ac:dyDescent="0.25">
      <c r="A146" s="76"/>
      <c r="B146" s="18"/>
      <c r="C146" s="4">
        <v>41993</v>
      </c>
      <c r="D146" s="5">
        <v>6.2</v>
      </c>
      <c r="E146" s="15">
        <v>4.7</v>
      </c>
      <c r="F146" s="5">
        <v>9.1999999999999993</v>
      </c>
      <c r="G146" s="5">
        <v>1141.9000000000005</v>
      </c>
      <c r="H146" s="5">
        <f t="shared" si="13"/>
        <v>106.5</v>
      </c>
      <c r="J146" s="5">
        <v>0</v>
      </c>
      <c r="K146" s="5">
        <v>196.9</v>
      </c>
      <c r="L146" s="5">
        <v>1.2</v>
      </c>
      <c r="M146" s="5">
        <v>127.10000000000001</v>
      </c>
      <c r="N146" s="6">
        <v>-1.2</v>
      </c>
      <c r="O146" s="5">
        <f t="shared" si="10"/>
        <v>96.800000000000011</v>
      </c>
      <c r="P146" s="5">
        <v>102</v>
      </c>
      <c r="Q146" s="5">
        <v>1</v>
      </c>
      <c r="R146" s="8">
        <f t="shared" si="8"/>
        <v>1.2</v>
      </c>
      <c r="S146" s="8">
        <f t="shared" si="9"/>
        <v>-1.2</v>
      </c>
      <c r="T146" s="8">
        <f t="shared" si="11"/>
        <v>148.93712328767126</v>
      </c>
      <c r="V146" s="12">
        <v>341.8</v>
      </c>
      <c r="W146" s="5">
        <v>55.12903225806452</v>
      </c>
      <c r="X146" s="5">
        <v>54799.6</v>
      </c>
      <c r="Y146" s="5">
        <f t="shared" si="14"/>
        <v>3868.5</v>
      </c>
      <c r="AA146" s="17">
        <v>7.9672852593054602</v>
      </c>
    </row>
    <row r="147" spans="1:27" s="5" customFormat="1" x14ac:dyDescent="0.25">
      <c r="A147" s="76"/>
      <c r="B147" s="18"/>
      <c r="C147" s="4">
        <v>41994</v>
      </c>
      <c r="D147" s="5">
        <v>6.6</v>
      </c>
      <c r="E147" s="15">
        <v>3.2</v>
      </c>
      <c r="F147" s="5">
        <v>9.9</v>
      </c>
      <c r="G147" s="5">
        <v>1148.5000000000005</v>
      </c>
      <c r="H147" s="5">
        <f t="shared" si="13"/>
        <v>113.1</v>
      </c>
      <c r="J147" s="5">
        <v>0.6</v>
      </c>
      <c r="K147" s="5">
        <v>197.5</v>
      </c>
      <c r="L147" s="5">
        <v>0.7</v>
      </c>
      <c r="M147" s="5">
        <v>127.80000000000001</v>
      </c>
      <c r="N147" s="6">
        <v>-9.9999999999999978E-2</v>
      </c>
      <c r="O147" s="5">
        <f t="shared" si="10"/>
        <v>96.700000000000017</v>
      </c>
      <c r="P147" s="5">
        <v>103</v>
      </c>
      <c r="Q147" s="5">
        <v>1</v>
      </c>
      <c r="R147" s="8">
        <f t="shared" si="8"/>
        <v>0.7</v>
      </c>
      <c r="S147" s="8">
        <f t="shared" si="9"/>
        <v>-9.9999999999999978E-2</v>
      </c>
      <c r="T147" s="8">
        <f t="shared" si="11"/>
        <v>148.83712328767126</v>
      </c>
      <c r="V147" s="12">
        <v>252.1</v>
      </c>
      <c r="W147" s="5">
        <v>38.196969696969695</v>
      </c>
      <c r="X147" s="5">
        <v>55051.7</v>
      </c>
      <c r="Y147" s="5">
        <f t="shared" si="14"/>
        <v>4120.6000000000004</v>
      </c>
      <c r="AA147" s="17">
        <v>7.9638282915724998</v>
      </c>
    </row>
    <row r="148" spans="1:27" s="5" customFormat="1" x14ac:dyDescent="0.25">
      <c r="A148" s="76"/>
      <c r="B148" s="10"/>
      <c r="C148" s="4">
        <v>41995</v>
      </c>
      <c r="D148" s="5">
        <v>11.3</v>
      </c>
      <c r="E148" s="5">
        <v>8.1999999999999993</v>
      </c>
      <c r="F148" s="5">
        <v>12.2</v>
      </c>
      <c r="G148" s="5">
        <v>1159.8000000000004</v>
      </c>
      <c r="H148" s="5">
        <f t="shared" si="13"/>
        <v>124.39999999999999</v>
      </c>
      <c r="J148" s="5">
        <v>0.1</v>
      </c>
      <c r="K148" s="5">
        <v>197.6</v>
      </c>
      <c r="L148" s="5">
        <v>0.6</v>
      </c>
      <c r="M148" s="5">
        <v>128.4</v>
      </c>
      <c r="N148" s="6">
        <v>-0.5</v>
      </c>
      <c r="O148" s="5">
        <f t="shared" si="10"/>
        <v>96.200000000000017</v>
      </c>
      <c r="P148" s="5">
        <v>104</v>
      </c>
      <c r="Q148" s="5">
        <v>1</v>
      </c>
      <c r="R148" s="8">
        <f t="shared" si="8"/>
        <v>0.6</v>
      </c>
      <c r="S148" s="8">
        <f t="shared" si="9"/>
        <v>-0.5</v>
      </c>
      <c r="T148" s="8">
        <f t="shared" si="11"/>
        <v>148.33712328767126</v>
      </c>
      <c r="V148" s="16">
        <v>94.6</v>
      </c>
      <c r="W148" s="5">
        <v>8.3716814159292028</v>
      </c>
      <c r="X148" s="5">
        <v>55146.299999999996</v>
      </c>
      <c r="Y148" s="5">
        <f t="shared" si="14"/>
        <v>4215.2000000000007</v>
      </c>
      <c r="AA148" s="17">
        <v>7.9621117174038103</v>
      </c>
    </row>
    <row r="149" spans="1:27" s="5" customFormat="1" x14ac:dyDescent="0.25">
      <c r="A149" s="76"/>
      <c r="B149" s="10"/>
      <c r="C149" s="4">
        <v>41996</v>
      </c>
      <c r="D149" s="5">
        <v>10.9</v>
      </c>
      <c r="E149" s="5">
        <v>10.3</v>
      </c>
      <c r="F149" s="5">
        <v>11.7</v>
      </c>
      <c r="G149" s="5">
        <v>1170.7000000000005</v>
      </c>
      <c r="H149" s="5">
        <f t="shared" si="13"/>
        <v>135.29999999999998</v>
      </c>
      <c r="J149" s="5">
        <v>0.2</v>
      </c>
      <c r="K149" s="5">
        <v>197.79999999999998</v>
      </c>
      <c r="L149" s="5">
        <v>1.2</v>
      </c>
      <c r="M149" s="5">
        <v>129.6</v>
      </c>
      <c r="N149" s="6">
        <v>-1</v>
      </c>
      <c r="O149" s="5">
        <f t="shared" si="10"/>
        <v>95.200000000000017</v>
      </c>
      <c r="P149" s="5">
        <v>105</v>
      </c>
      <c r="Q149" s="5">
        <v>1</v>
      </c>
      <c r="R149" s="8">
        <f t="shared" si="8"/>
        <v>1.2</v>
      </c>
      <c r="S149" s="8">
        <f t="shared" si="9"/>
        <v>-1</v>
      </c>
      <c r="T149" s="8">
        <f t="shared" si="11"/>
        <v>147.33712328767126</v>
      </c>
      <c r="V149" s="12">
        <v>119</v>
      </c>
      <c r="W149" s="5">
        <v>10.917431192660549</v>
      </c>
      <c r="X149" s="5">
        <v>55265.299999999996</v>
      </c>
      <c r="Y149" s="5">
        <f t="shared" si="14"/>
        <v>4334.2000000000007</v>
      </c>
      <c r="AA149" s="17">
        <v>7.9621383811963797</v>
      </c>
    </row>
    <row r="150" spans="1:27" s="5" customFormat="1" x14ac:dyDescent="0.25">
      <c r="A150" s="76"/>
      <c r="B150" s="10"/>
      <c r="C150" s="4">
        <v>41997</v>
      </c>
      <c r="D150" s="5">
        <v>8.1</v>
      </c>
      <c r="E150" s="5">
        <v>7.2</v>
      </c>
      <c r="F150" s="5">
        <v>10</v>
      </c>
      <c r="G150" s="5">
        <v>1178.8000000000004</v>
      </c>
      <c r="H150" s="5">
        <f t="shared" si="13"/>
        <v>143.39999999999998</v>
      </c>
      <c r="J150" s="5">
        <v>2</v>
      </c>
      <c r="K150" s="5">
        <v>199.79999999999998</v>
      </c>
      <c r="L150" s="5">
        <v>0.9</v>
      </c>
      <c r="M150" s="5">
        <v>130.5</v>
      </c>
      <c r="N150" s="5">
        <v>1.1000000000000001</v>
      </c>
      <c r="O150" s="5">
        <f t="shared" si="10"/>
        <v>96.300000000000011</v>
      </c>
      <c r="P150" s="5">
        <v>106</v>
      </c>
      <c r="Q150" s="5">
        <v>1</v>
      </c>
      <c r="R150" s="8">
        <f t="shared" si="8"/>
        <v>0.9</v>
      </c>
      <c r="S150" s="8">
        <f t="shared" si="9"/>
        <v>1.1000000000000001</v>
      </c>
      <c r="T150" s="8">
        <f t="shared" si="11"/>
        <v>148.43712328767126</v>
      </c>
      <c r="V150" s="16">
        <v>73.8</v>
      </c>
      <c r="W150" s="5">
        <v>9.1111111111111107</v>
      </c>
      <c r="X150" s="5">
        <v>55339.1</v>
      </c>
      <c r="Y150" s="5">
        <f t="shared" si="14"/>
        <v>4408.0000000000009</v>
      </c>
      <c r="AA150" s="17">
        <v>7.9639088938645202</v>
      </c>
    </row>
    <row r="151" spans="1:27" s="5" customFormat="1" x14ac:dyDescent="0.25">
      <c r="A151" s="76"/>
      <c r="B151" s="18"/>
      <c r="C151" s="4">
        <v>41998</v>
      </c>
      <c r="D151" s="15">
        <v>4.8</v>
      </c>
      <c r="E151" s="15">
        <v>3.6</v>
      </c>
      <c r="F151" s="5">
        <v>7.9</v>
      </c>
      <c r="G151" s="5">
        <v>1183.6000000000004</v>
      </c>
      <c r="H151" s="5">
        <f t="shared" si="13"/>
        <v>148.19999999999999</v>
      </c>
      <c r="J151" s="5">
        <v>0.7</v>
      </c>
      <c r="K151" s="5">
        <v>200.49999999999997</v>
      </c>
      <c r="L151" s="5">
        <v>0.9</v>
      </c>
      <c r="M151" s="5">
        <v>131.4</v>
      </c>
      <c r="N151" s="6">
        <v>-0.20000000000000007</v>
      </c>
      <c r="O151" s="5">
        <f t="shared" si="10"/>
        <v>96.100000000000009</v>
      </c>
      <c r="P151" s="5">
        <v>107</v>
      </c>
      <c r="Q151" s="5">
        <v>1</v>
      </c>
      <c r="R151" s="8">
        <f t="shared" si="8"/>
        <v>0.9</v>
      </c>
      <c r="S151" s="8">
        <f t="shared" si="9"/>
        <v>-0.20000000000000007</v>
      </c>
      <c r="T151" s="8">
        <f t="shared" si="11"/>
        <v>148.23712328767127</v>
      </c>
      <c r="V151" s="12">
        <v>495.2</v>
      </c>
      <c r="W151" s="5">
        <v>103.16666666666667</v>
      </c>
      <c r="X151" s="5">
        <v>55834.299999999996</v>
      </c>
      <c r="Y151" s="5">
        <f t="shared" si="14"/>
        <v>4903.2000000000007</v>
      </c>
      <c r="AA151" s="17">
        <v>7.9674216299288902</v>
      </c>
    </row>
    <row r="152" spans="1:27" s="5" customFormat="1" x14ac:dyDescent="0.25">
      <c r="A152" s="76"/>
      <c r="B152" s="18"/>
      <c r="C152" s="4">
        <v>41999</v>
      </c>
      <c r="D152" s="15">
        <v>3.2</v>
      </c>
      <c r="E152" s="15">
        <v>1.8</v>
      </c>
      <c r="F152" s="5">
        <v>5.2</v>
      </c>
      <c r="G152" s="5">
        <v>1186.8000000000004</v>
      </c>
      <c r="H152" s="5">
        <f t="shared" si="13"/>
        <v>151.39999999999998</v>
      </c>
      <c r="J152" s="5">
        <v>15.2</v>
      </c>
      <c r="K152" s="5">
        <v>215.69999999999996</v>
      </c>
      <c r="L152" s="5">
        <v>0.5</v>
      </c>
      <c r="M152" s="5">
        <v>131.9</v>
      </c>
      <c r="N152" s="5">
        <v>14.7</v>
      </c>
      <c r="O152" s="5">
        <f t="shared" si="10"/>
        <v>110.80000000000001</v>
      </c>
      <c r="P152" s="5">
        <v>108</v>
      </c>
      <c r="Q152" s="5">
        <v>1</v>
      </c>
      <c r="R152" s="8">
        <f t="shared" si="8"/>
        <v>0.5</v>
      </c>
      <c r="S152" s="8">
        <f t="shared" si="9"/>
        <v>14.7</v>
      </c>
      <c r="T152" s="8">
        <f t="shared" si="11"/>
        <v>153.6</v>
      </c>
      <c r="V152" s="12">
        <v>125.7</v>
      </c>
      <c r="W152" s="5">
        <v>39.28125</v>
      </c>
      <c r="X152" s="5">
        <v>55959.999999999993</v>
      </c>
      <c r="Y152" s="5">
        <f t="shared" si="14"/>
        <v>5028.9000000000005</v>
      </c>
      <c r="AA152" s="17">
        <v>7.9726727352127904</v>
      </c>
    </row>
    <row r="153" spans="1:27" s="5" customFormat="1" x14ac:dyDescent="0.25">
      <c r="A153" s="76"/>
      <c r="B153" s="18"/>
      <c r="C153" s="4">
        <v>42000</v>
      </c>
      <c r="D153" s="15">
        <v>2.5</v>
      </c>
      <c r="E153" s="15">
        <v>1.7</v>
      </c>
      <c r="F153" s="15">
        <v>3.7</v>
      </c>
      <c r="G153" s="5">
        <v>1189.3000000000004</v>
      </c>
      <c r="H153" s="5">
        <f t="shared" si="13"/>
        <v>153.89999999999998</v>
      </c>
      <c r="J153" s="5">
        <v>1.4</v>
      </c>
      <c r="K153" s="5">
        <v>217.09999999999997</v>
      </c>
      <c r="L153" s="5">
        <v>0.6</v>
      </c>
      <c r="M153" s="5">
        <v>132.5</v>
      </c>
      <c r="N153" s="5">
        <v>0.79999999999999993</v>
      </c>
      <c r="O153" s="5">
        <f t="shared" si="10"/>
        <v>111.60000000000001</v>
      </c>
      <c r="P153" s="5">
        <v>109</v>
      </c>
      <c r="Q153" s="5">
        <v>1</v>
      </c>
      <c r="R153" s="8">
        <f t="shared" si="8"/>
        <v>0.6</v>
      </c>
      <c r="S153" s="8">
        <f t="shared" si="9"/>
        <v>0.79999999999999993</v>
      </c>
      <c r="T153" s="8">
        <f t="shared" si="11"/>
        <v>153.6</v>
      </c>
      <c r="V153" s="16">
        <v>60.3</v>
      </c>
      <c r="W153" s="5">
        <v>24.119999999999997</v>
      </c>
      <c r="X153" s="5">
        <v>56020.299999999996</v>
      </c>
      <c r="Y153" s="5">
        <f t="shared" si="14"/>
        <v>5089.2000000000007</v>
      </c>
      <c r="AA153" s="17">
        <v>7.9796561450684704</v>
      </c>
    </row>
    <row r="154" spans="1:27" s="5" customFormat="1" x14ac:dyDescent="0.25">
      <c r="A154" s="76"/>
      <c r="B154" s="18"/>
      <c r="C154" s="4">
        <v>42001</v>
      </c>
      <c r="D154" s="20">
        <v>-1.5</v>
      </c>
      <c r="E154" s="20">
        <v>-2.2000000000000002</v>
      </c>
      <c r="F154" s="15">
        <v>0.3</v>
      </c>
      <c r="G154" s="5">
        <v>1189.3</v>
      </c>
      <c r="H154" s="5">
        <v>153.9</v>
      </c>
      <c r="J154" s="5">
        <v>0</v>
      </c>
      <c r="K154" s="5">
        <v>217.09999999999997</v>
      </c>
      <c r="L154" s="5">
        <v>1</v>
      </c>
      <c r="M154" s="5">
        <v>133.5</v>
      </c>
      <c r="N154" s="6">
        <v>-1</v>
      </c>
      <c r="O154" s="5">
        <f t="shared" si="10"/>
        <v>110.60000000000001</v>
      </c>
      <c r="P154" s="5">
        <v>110</v>
      </c>
      <c r="Q154" s="5">
        <v>1</v>
      </c>
      <c r="R154" s="8">
        <f t="shared" si="8"/>
        <v>1</v>
      </c>
      <c r="S154" s="8">
        <f t="shared" si="9"/>
        <v>-1</v>
      </c>
      <c r="T154" s="8">
        <f t="shared" si="11"/>
        <v>152.6</v>
      </c>
      <c r="V154" s="12">
        <v>564.5</v>
      </c>
      <c r="W154" s="5">
        <v>-376.33333333333331</v>
      </c>
      <c r="X154" s="5">
        <v>56584.799999999996</v>
      </c>
      <c r="Y154" s="5">
        <f t="shared" si="14"/>
        <v>5653.7000000000007</v>
      </c>
      <c r="AA154" s="17">
        <v>7.9883636129512103</v>
      </c>
    </row>
    <row r="155" spans="1:27" s="5" customFormat="1" x14ac:dyDescent="0.25">
      <c r="A155" s="76"/>
      <c r="B155" s="18"/>
      <c r="C155" s="4">
        <v>42002</v>
      </c>
      <c r="D155" s="15">
        <v>2.2000000000000002</v>
      </c>
      <c r="E155" s="20">
        <v>-3.5</v>
      </c>
      <c r="F155" s="15">
        <v>4.9000000000000004</v>
      </c>
      <c r="G155" s="5">
        <v>1191.5</v>
      </c>
      <c r="H155" s="5">
        <f t="shared" si="13"/>
        <v>156.1</v>
      </c>
      <c r="J155" s="5">
        <v>1</v>
      </c>
      <c r="K155" s="5">
        <v>218.09999999999997</v>
      </c>
      <c r="L155" s="5">
        <v>0.2</v>
      </c>
      <c r="M155" s="5">
        <v>133.69999999999999</v>
      </c>
      <c r="N155" s="5">
        <v>0.8</v>
      </c>
      <c r="O155" s="5">
        <f t="shared" si="10"/>
        <v>111.4</v>
      </c>
      <c r="P155" s="5">
        <v>111</v>
      </c>
      <c r="Q155" s="5">
        <v>1</v>
      </c>
      <c r="R155" s="8">
        <f t="shared" si="8"/>
        <v>0.2</v>
      </c>
      <c r="S155" s="8">
        <f t="shared" si="9"/>
        <v>0.8</v>
      </c>
      <c r="T155" s="8">
        <f t="shared" si="11"/>
        <v>153.4</v>
      </c>
      <c r="V155" s="12">
        <v>147.30000000000001</v>
      </c>
      <c r="W155" s="5">
        <v>66.954545454545453</v>
      </c>
      <c r="X155" s="5">
        <v>56732.1</v>
      </c>
      <c r="Y155" s="5">
        <f t="shared" si="14"/>
        <v>5801.0000000000009</v>
      </c>
      <c r="AA155" s="17">
        <v>7.9987847490574904</v>
      </c>
    </row>
    <row r="156" spans="1:27" s="5" customFormat="1" x14ac:dyDescent="0.25">
      <c r="A156" s="76"/>
      <c r="B156" s="18"/>
      <c r="C156" s="4">
        <v>42003</v>
      </c>
      <c r="D156" s="15">
        <v>3</v>
      </c>
      <c r="E156" s="15">
        <v>1.3</v>
      </c>
      <c r="F156" s="15">
        <v>4.4000000000000004</v>
      </c>
      <c r="G156" s="5">
        <v>1194.5</v>
      </c>
      <c r="H156" s="5">
        <f t="shared" si="13"/>
        <v>159.1</v>
      </c>
      <c r="J156" s="5">
        <v>0</v>
      </c>
      <c r="K156" s="5">
        <v>218.09999999999997</v>
      </c>
      <c r="L156" s="5">
        <v>0.5</v>
      </c>
      <c r="M156" s="5">
        <v>134.19999999999999</v>
      </c>
      <c r="N156" s="6">
        <v>-0.5</v>
      </c>
      <c r="O156" s="5">
        <f t="shared" si="10"/>
        <v>110.9</v>
      </c>
      <c r="P156" s="5">
        <v>112</v>
      </c>
      <c r="Q156" s="5">
        <v>1</v>
      </c>
      <c r="R156" s="8">
        <f t="shared" si="8"/>
        <v>0.5</v>
      </c>
      <c r="S156" s="8">
        <f t="shared" si="9"/>
        <v>-0.5</v>
      </c>
      <c r="T156" s="8">
        <f t="shared" si="11"/>
        <v>152.9</v>
      </c>
      <c r="V156" s="12">
        <v>306.2</v>
      </c>
      <c r="W156" s="5">
        <v>102.06666666666666</v>
      </c>
      <c r="X156" s="5">
        <v>57038.299999999996</v>
      </c>
      <c r="Y156" s="5">
        <f t="shared" si="14"/>
        <v>6107.2000000000007</v>
      </c>
      <c r="AA156" s="17">
        <v>8.0109070686467803</v>
      </c>
    </row>
    <row r="157" spans="1:27" s="5" customFormat="1" x14ac:dyDescent="0.25">
      <c r="A157" s="76"/>
      <c r="B157" s="18"/>
      <c r="C157" s="4">
        <v>42004</v>
      </c>
      <c r="D157" s="15">
        <v>3.3</v>
      </c>
      <c r="E157" s="15">
        <v>2</v>
      </c>
      <c r="F157" s="5">
        <v>6</v>
      </c>
      <c r="G157" s="5">
        <v>1197.8</v>
      </c>
      <c r="H157" s="5">
        <f t="shared" si="13"/>
        <v>162.4</v>
      </c>
      <c r="J157" s="5">
        <v>0</v>
      </c>
      <c r="K157" s="5">
        <v>218.09999999999997</v>
      </c>
      <c r="L157" s="5">
        <v>0.6</v>
      </c>
      <c r="M157" s="5">
        <v>134.79999999999998</v>
      </c>
      <c r="N157" s="6">
        <v>-0.6</v>
      </c>
      <c r="O157" s="5">
        <f t="shared" si="10"/>
        <v>110.30000000000001</v>
      </c>
      <c r="P157" s="5">
        <v>113</v>
      </c>
      <c r="Q157" s="5">
        <v>1</v>
      </c>
      <c r="R157" s="8">
        <f t="shared" si="8"/>
        <v>0.6</v>
      </c>
      <c r="S157" s="8">
        <f t="shared" si="9"/>
        <v>-0.6</v>
      </c>
      <c r="T157" s="8">
        <f t="shared" si="11"/>
        <v>152.30000000000001</v>
      </c>
      <c r="V157" s="12">
        <v>156.19999999999999</v>
      </c>
      <c r="W157" s="5">
        <v>47.333333333333336</v>
      </c>
      <c r="X157" s="5">
        <v>57194.499999999993</v>
      </c>
      <c r="Y157" s="5">
        <f t="shared" si="14"/>
        <v>6263.4000000000005</v>
      </c>
      <c r="AA157" s="17">
        <v>8.0247160495763499</v>
      </c>
    </row>
    <row r="158" spans="1:27" s="5" customFormat="1" x14ac:dyDescent="0.25">
      <c r="A158" s="76"/>
      <c r="B158" s="18"/>
      <c r="C158" s="4">
        <v>42005</v>
      </c>
      <c r="D158" s="15">
        <v>2.2000000000000002</v>
      </c>
      <c r="E158" s="20">
        <v>-0.5</v>
      </c>
      <c r="F158" s="5">
        <v>6.9</v>
      </c>
      <c r="G158" s="5">
        <v>1200</v>
      </c>
      <c r="H158" s="5">
        <f t="shared" si="13"/>
        <v>164.6</v>
      </c>
      <c r="J158" s="5">
        <v>0.4</v>
      </c>
      <c r="K158" s="5">
        <v>218.49999999999997</v>
      </c>
      <c r="L158" s="5">
        <v>1</v>
      </c>
      <c r="M158" s="5">
        <v>135.79999999999998</v>
      </c>
      <c r="N158" s="6">
        <v>-0.6</v>
      </c>
      <c r="O158" s="5">
        <f t="shared" si="10"/>
        <v>109.70000000000002</v>
      </c>
      <c r="P158" s="5">
        <v>114</v>
      </c>
      <c r="Q158" s="5">
        <v>1</v>
      </c>
      <c r="R158" s="8">
        <f t="shared" si="8"/>
        <v>1</v>
      </c>
      <c r="S158" s="8">
        <f t="shared" si="9"/>
        <v>-0.6</v>
      </c>
      <c r="T158" s="8">
        <f t="shared" si="11"/>
        <v>151.70000000000002</v>
      </c>
      <c r="V158" s="12">
        <v>330.3</v>
      </c>
      <c r="W158" s="5">
        <v>150.13636363636363</v>
      </c>
      <c r="X158" s="5">
        <v>57524.799999999996</v>
      </c>
      <c r="Y158" s="5">
        <f t="shared" si="14"/>
        <v>6593.7000000000007</v>
      </c>
      <c r="AA158" s="17">
        <v>8.0451866496054194</v>
      </c>
    </row>
    <row r="159" spans="1:27" s="5" customFormat="1" x14ac:dyDescent="0.25">
      <c r="A159" s="76"/>
      <c r="B159" s="18"/>
      <c r="C159" s="4">
        <v>42006</v>
      </c>
      <c r="D159" s="5">
        <v>5.6</v>
      </c>
      <c r="E159" s="15">
        <v>3.1</v>
      </c>
      <c r="F159" s="5">
        <v>8.9</v>
      </c>
      <c r="G159" s="5">
        <v>1205.5999999999999</v>
      </c>
      <c r="H159" s="5">
        <f t="shared" si="13"/>
        <v>170.2</v>
      </c>
      <c r="J159" s="5">
        <v>0.6</v>
      </c>
      <c r="K159" s="5">
        <v>219.09999999999997</v>
      </c>
      <c r="L159" s="5">
        <v>1</v>
      </c>
      <c r="M159" s="5">
        <v>136.79999999999998</v>
      </c>
      <c r="N159" s="6">
        <v>-0.4</v>
      </c>
      <c r="O159" s="5">
        <f t="shared" si="10"/>
        <v>109.30000000000001</v>
      </c>
      <c r="P159" s="5">
        <v>115</v>
      </c>
      <c r="Q159" s="5">
        <v>1</v>
      </c>
      <c r="R159" s="8">
        <f t="shared" si="8"/>
        <v>1</v>
      </c>
      <c r="S159" s="8">
        <f t="shared" si="9"/>
        <v>-0.4</v>
      </c>
      <c r="T159" s="8">
        <f t="shared" si="11"/>
        <v>151.30000000000001</v>
      </c>
      <c r="V159" s="12">
        <v>308.2</v>
      </c>
      <c r="W159" s="5">
        <v>55.035714285714285</v>
      </c>
      <c r="X159" s="5">
        <v>57832.999999999993</v>
      </c>
      <c r="Y159" s="5">
        <f t="shared" si="14"/>
        <v>6901.9000000000005</v>
      </c>
      <c r="AA159" s="17">
        <v>8.0628116565634098</v>
      </c>
    </row>
    <row r="160" spans="1:27" s="5" customFormat="1" x14ac:dyDescent="0.25">
      <c r="A160" s="76"/>
      <c r="B160" s="18"/>
      <c r="C160" s="4">
        <v>42007</v>
      </c>
      <c r="D160" s="15">
        <v>3.6</v>
      </c>
      <c r="E160" s="15">
        <v>3.1</v>
      </c>
      <c r="F160" s="15">
        <v>4.2</v>
      </c>
      <c r="G160" s="5">
        <v>1209.1999999999998</v>
      </c>
      <c r="H160" s="5">
        <f t="shared" si="13"/>
        <v>173.79999999999998</v>
      </c>
      <c r="J160" s="5">
        <v>10.199999999999999</v>
      </c>
      <c r="K160" s="5">
        <v>229.29999999999995</v>
      </c>
      <c r="L160" s="5">
        <v>0.3</v>
      </c>
      <c r="M160" s="5">
        <v>137.1</v>
      </c>
      <c r="N160" s="5">
        <v>9.8999999999999986</v>
      </c>
      <c r="O160" s="5">
        <f t="shared" si="10"/>
        <v>119.20000000000002</v>
      </c>
      <c r="P160" s="5">
        <v>116</v>
      </c>
      <c r="Q160" s="5">
        <v>1</v>
      </c>
      <c r="R160" s="8">
        <f t="shared" si="8"/>
        <v>0.3</v>
      </c>
      <c r="S160" s="8">
        <f t="shared" si="9"/>
        <v>9.8999999999999986</v>
      </c>
      <c r="T160" s="8">
        <f t="shared" si="11"/>
        <v>153.6</v>
      </c>
      <c r="V160" s="16">
        <v>61.7</v>
      </c>
      <c r="W160" s="5">
        <v>17.138888888888889</v>
      </c>
      <c r="X160" s="5">
        <v>57894.69999999999</v>
      </c>
      <c r="Y160" s="5">
        <f t="shared" si="14"/>
        <v>6963.6</v>
      </c>
      <c r="AA160" s="17">
        <v>8.0820618009671996</v>
      </c>
    </row>
    <row r="161" spans="1:27" s="5" customFormat="1" x14ac:dyDescent="0.25">
      <c r="A161" s="76"/>
      <c r="B161" s="18"/>
      <c r="C161" s="4">
        <v>42008</v>
      </c>
      <c r="D161" s="15">
        <v>1.9</v>
      </c>
      <c r="E161" s="15">
        <v>0.5</v>
      </c>
      <c r="F161" s="5">
        <v>5.0999999999999996</v>
      </c>
      <c r="G161" s="5">
        <v>1211.0999999999999</v>
      </c>
      <c r="H161" s="5">
        <f t="shared" si="13"/>
        <v>175.7</v>
      </c>
      <c r="J161" s="5">
        <v>0</v>
      </c>
      <c r="K161" s="5">
        <v>229.29999999999995</v>
      </c>
      <c r="L161" s="5">
        <v>0.5</v>
      </c>
      <c r="M161" s="5">
        <v>137.6</v>
      </c>
      <c r="N161" s="6">
        <v>-0.5</v>
      </c>
      <c r="O161" s="5">
        <f t="shared" si="10"/>
        <v>118.70000000000002</v>
      </c>
      <c r="P161" s="5">
        <v>117</v>
      </c>
      <c r="Q161" s="5">
        <v>1</v>
      </c>
      <c r="R161" s="8">
        <f t="shared" si="8"/>
        <v>0.5</v>
      </c>
      <c r="S161" s="8">
        <f t="shared" si="9"/>
        <v>-0.5</v>
      </c>
      <c r="T161" s="8">
        <f t="shared" si="11"/>
        <v>153.1</v>
      </c>
      <c r="V161" s="12">
        <v>469.5</v>
      </c>
      <c r="W161" s="5">
        <v>247.10526315789474</v>
      </c>
      <c r="X161" s="5">
        <v>58364.19999999999</v>
      </c>
      <c r="Y161" s="5">
        <f t="shared" si="14"/>
        <v>7433.1</v>
      </c>
      <c r="AA161" s="17">
        <v>8.1029146473420504</v>
      </c>
    </row>
    <row r="162" spans="1:27" s="5" customFormat="1" x14ac:dyDescent="0.25">
      <c r="A162" s="76"/>
      <c r="B162" s="18"/>
      <c r="C162" s="4">
        <v>42009</v>
      </c>
      <c r="D162" s="15">
        <v>0.5</v>
      </c>
      <c r="E162" s="20">
        <v>-0.9</v>
      </c>
      <c r="F162" s="15">
        <v>3.5</v>
      </c>
      <c r="G162" s="5">
        <v>1211.5999999999999</v>
      </c>
      <c r="H162" s="5">
        <f t="shared" si="13"/>
        <v>176.2</v>
      </c>
      <c r="J162" s="5">
        <v>0.1</v>
      </c>
      <c r="K162" s="5">
        <v>229.39999999999995</v>
      </c>
      <c r="L162" s="5">
        <v>0.6</v>
      </c>
      <c r="M162" s="5">
        <v>138.19999999999999</v>
      </c>
      <c r="N162" s="6">
        <v>-0.5</v>
      </c>
      <c r="O162" s="5">
        <f t="shared" si="10"/>
        <v>118.20000000000002</v>
      </c>
      <c r="P162" s="5">
        <v>118</v>
      </c>
      <c r="Q162" s="5">
        <v>1</v>
      </c>
      <c r="R162" s="8">
        <f t="shared" si="8"/>
        <v>0.6</v>
      </c>
      <c r="S162" s="8">
        <f t="shared" si="9"/>
        <v>-0.5</v>
      </c>
      <c r="T162" s="8">
        <f t="shared" si="11"/>
        <v>152.6</v>
      </c>
      <c r="V162" s="12">
        <v>217.5</v>
      </c>
      <c r="W162" s="5">
        <v>435</v>
      </c>
      <c r="X162" s="5">
        <v>58581.69999999999</v>
      </c>
      <c r="Y162" s="5">
        <f t="shared" si="14"/>
        <v>7650.6</v>
      </c>
      <c r="AA162" s="17">
        <v>8.1253461563436407</v>
      </c>
    </row>
    <row r="163" spans="1:27" s="5" customFormat="1" x14ac:dyDescent="0.25">
      <c r="A163" s="76"/>
      <c r="B163" s="18"/>
      <c r="C163" s="4">
        <v>42010</v>
      </c>
      <c r="D163" s="15">
        <v>0.9</v>
      </c>
      <c r="E163" s="20">
        <v>-1.1000000000000001</v>
      </c>
      <c r="F163" s="15">
        <v>3.2</v>
      </c>
      <c r="G163" s="5">
        <v>1212.5</v>
      </c>
      <c r="H163" s="5">
        <f t="shared" si="13"/>
        <v>177.1</v>
      </c>
      <c r="J163" s="5">
        <v>0</v>
      </c>
      <c r="K163" s="5">
        <v>229.39999999999995</v>
      </c>
      <c r="L163" s="5">
        <v>0.1</v>
      </c>
      <c r="M163" s="5">
        <v>138.29999999999998</v>
      </c>
      <c r="N163" s="6">
        <v>-0.1</v>
      </c>
      <c r="O163" s="5">
        <f t="shared" si="10"/>
        <v>118.10000000000002</v>
      </c>
      <c r="P163" s="5">
        <v>119</v>
      </c>
      <c r="Q163" s="5">
        <v>1</v>
      </c>
      <c r="R163" s="8">
        <f t="shared" si="8"/>
        <v>0.1</v>
      </c>
      <c r="S163" s="8">
        <f t="shared" si="9"/>
        <v>-0.1</v>
      </c>
      <c r="T163" s="8">
        <f t="shared" si="11"/>
        <v>152.5</v>
      </c>
      <c r="V163" s="12">
        <v>108.6</v>
      </c>
      <c r="W163" s="5">
        <v>120.66666666666666</v>
      </c>
      <c r="X163" s="5">
        <v>58690.299999999988</v>
      </c>
      <c r="Y163" s="5">
        <f t="shared" si="14"/>
        <v>7759.2000000000007</v>
      </c>
      <c r="AA163" s="17">
        <v>8.14933078511595</v>
      </c>
    </row>
    <row r="164" spans="1:27" s="5" customFormat="1" x14ac:dyDescent="0.25">
      <c r="A164" s="76"/>
      <c r="B164" s="18"/>
      <c r="C164" s="4">
        <v>42011</v>
      </c>
      <c r="D164" s="15">
        <v>2.7</v>
      </c>
      <c r="E164" s="20">
        <v>-0.4</v>
      </c>
      <c r="F164" s="5">
        <v>7</v>
      </c>
      <c r="G164" s="5">
        <v>1215.2</v>
      </c>
      <c r="H164" s="5">
        <f t="shared" si="13"/>
        <v>179.79999999999998</v>
      </c>
      <c r="J164" s="5">
        <v>2.4</v>
      </c>
      <c r="K164" s="5">
        <v>231.79999999999995</v>
      </c>
      <c r="L164" s="5">
        <v>0.7</v>
      </c>
      <c r="M164" s="5">
        <v>138.99999999999997</v>
      </c>
      <c r="N164" s="5">
        <v>1.7</v>
      </c>
      <c r="O164" s="5">
        <f t="shared" si="10"/>
        <v>119.80000000000003</v>
      </c>
      <c r="P164" s="5">
        <v>120</v>
      </c>
      <c r="Q164" s="5">
        <v>1</v>
      </c>
      <c r="R164" s="8">
        <f t="shared" si="8"/>
        <v>0.7</v>
      </c>
      <c r="S164" s="8">
        <f t="shared" si="9"/>
        <v>1.7</v>
      </c>
      <c r="T164" s="8">
        <f t="shared" si="11"/>
        <v>153.6</v>
      </c>
      <c r="V164" s="12">
        <v>322.5</v>
      </c>
      <c r="W164" s="5">
        <v>119.44444444444444</v>
      </c>
      <c r="X164" s="5">
        <v>59012.799999999988</v>
      </c>
      <c r="Y164" s="5">
        <f t="shared" si="14"/>
        <v>8081.7000000000007</v>
      </c>
      <c r="AA164" s="17">
        <v>8.1748415915789199</v>
      </c>
    </row>
    <row r="165" spans="1:27" s="5" customFormat="1" x14ac:dyDescent="0.25">
      <c r="A165" s="76"/>
      <c r="B165" s="18"/>
      <c r="C165" s="4">
        <v>42012</v>
      </c>
      <c r="D165" s="15">
        <v>7.3</v>
      </c>
      <c r="E165" s="15">
        <v>3.3</v>
      </c>
      <c r="F165" s="5">
        <v>9.3000000000000007</v>
      </c>
      <c r="G165" s="5">
        <v>1222.5</v>
      </c>
      <c r="H165" s="5">
        <f t="shared" si="13"/>
        <v>187.1</v>
      </c>
      <c r="J165" s="5">
        <v>13.7</v>
      </c>
      <c r="K165" s="5">
        <v>245.49999999999994</v>
      </c>
      <c r="L165" s="5">
        <v>0.2</v>
      </c>
      <c r="M165" s="5">
        <v>139.19999999999996</v>
      </c>
      <c r="N165" s="5">
        <v>13.5</v>
      </c>
      <c r="O165" s="5">
        <f t="shared" si="10"/>
        <v>133.30000000000001</v>
      </c>
      <c r="P165" s="5">
        <v>121</v>
      </c>
      <c r="Q165" s="5">
        <v>1</v>
      </c>
      <c r="R165" s="8">
        <f t="shared" si="8"/>
        <v>0.2</v>
      </c>
      <c r="S165" s="8">
        <f t="shared" si="9"/>
        <v>13.5</v>
      </c>
      <c r="T165" s="8">
        <f t="shared" si="11"/>
        <v>153.6</v>
      </c>
      <c r="V165" s="16">
        <v>69.5</v>
      </c>
      <c r="W165" s="5">
        <v>9.5205479452054789</v>
      </c>
      <c r="X165" s="5">
        <v>59082.299999999988</v>
      </c>
      <c r="Y165" s="5">
        <f t="shared" si="14"/>
        <v>8151.2000000000007</v>
      </c>
      <c r="AA165" s="17">
        <v>8.2018503418103901</v>
      </c>
    </row>
    <row r="166" spans="1:27" s="5" customFormat="1" x14ac:dyDescent="0.25">
      <c r="A166" s="76"/>
      <c r="B166" s="10"/>
      <c r="C166" s="4">
        <v>42013</v>
      </c>
      <c r="D166" s="5">
        <v>10.7</v>
      </c>
      <c r="E166" s="5">
        <v>6.5</v>
      </c>
      <c r="F166" s="5">
        <v>13.6</v>
      </c>
      <c r="G166" s="5">
        <v>1233.2</v>
      </c>
      <c r="H166" s="5">
        <f t="shared" si="13"/>
        <v>197.79999999999998</v>
      </c>
      <c r="J166" s="5">
        <v>0.3</v>
      </c>
      <c r="K166" s="5">
        <v>245.79999999999995</v>
      </c>
      <c r="L166" s="5">
        <v>0.5</v>
      </c>
      <c r="M166" s="5">
        <v>139.69999999999996</v>
      </c>
      <c r="N166" s="6">
        <v>-0.2</v>
      </c>
      <c r="O166" s="5">
        <f t="shared" si="10"/>
        <v>133.10000000000002</v>
      </c>
      <c r="P166" s="5">
        <v>122</v>
      </c>
      <c r="Q166" s="5">
        <v>1</v>
      </c>
      <c r="R166" s="8">
        <f t="shared" si="8"/>
        <v>0.5</v>
      </c>
      <c r="S166" s="8">
        <f t="shared" si="9"/>
        <v>-0.2</v>
      </c>
      <c r="T166" s="8">
        <f t="shared" si="11"/>
        <v>153.4</v>
      </c>
      <c r="V166" s="16">
        <v>57</v>
      </c>
      <c r="W166" s="5">
        <v>5.3271028037383177</v>
      </c>
      <c r="X166" s="5">
        <v>59139.299999999988</v>
      </c>
      <c r="Y166" s="5">
        <f t="shared" si="14"/>
        <v>8208.2000000000007</v>
      </c>
      <c r="AA166" s="17">
        <v>8.2303276196945099</v>
      </c>
    </row>
    <row r="167" spans="1:27" s="5" customFormat="1" x14ac:dyDescent="0.25">
      <c r="A167" s="76"/>
      <c r="B167" s="10"/>
      <c r="C167" s="4">
        <v>42014</v>
      </c>
      <c r="D167" s="5">
        <v>10.4</v>
      </c>
      <c r="E167" s="5">
        <v>8.5</v>
      </c>
      <c r="F167" s="5">
        <v>12.8</v>
      </c>
      <c r="G167" s="5">
        <v>1243.6000000000001</v>
      </c>
      <c r="H167" s="5">
        <f t="shared" si="13"/>
        <v>208.2</v>
      </c>
      <c r="J167" s="5">
        <v>1</v>
      </c>
      <c r="K167" s="5">
        <v>246.79999999999995</v>
      </c>
      <c r="L167" s="5">
        <v>1.1000000000000001</v>
      </c>
      <c r="M167" s="5">
        <v>140.79999999999995</v>
      </c>
      <c r="N167" s="6">
        <v>-0.10000000000000009</v>
      </c>
      <c r="O167" s="5">
        <f t="shared" si="10"/>
        <v>133.00000000000003</v>
      </c>
      <c r="P167" s="5">
        <v>123</v>
      </c>
      <c r="Q167" s="5">
        <v>1</v>
      </c>
      <c r="R167" s="8">
        <f t="shared" si="8"/>
        <v>1.1000000000000001</v>
      </c>
      <c r="S167" s="8">
        <f t="shared" si="9"/>
        <v>-0.10000000000000009</v>
      </c>
      <c r="T167" s="8">
        <f t="shared" si="11"/>
        <v>153.30000000000001</v>
      </c>
      <c r="V167" s="16">
        <v>90.7</v>
      </c>
      <c r="W167" s="5">
        <v>8.7211538461538467</v>
      </c>
      <c r="X167" s="5">
        <v>59229.999999999985</v>
      </c>
      <c r="Y167" s="5">
        <f t="shared" si="14"/>
        <v>8298.9000000000015</v>
      </c>
      <c r="AA167" s="17">
        <v>8.2602429380258098</v>
      </c>
    </row>
    <row r="168" spans="1:27" s="5" customFormat="1" x14ac:dyDescent="0.25">
      <c r="A168" s="76"/>
      <c r="B168" s="18"/>
      <c r="C168" s="4">
        <v>42015</v>
      </c>
      <c r="D168" s="5">
        <v>6.2</v>
      </c>
      <c r="E168" s="15">
        <v>3.7</v>
      </c>
      <c r="F168" s="5">
        <v>7.5</v>
      </c>
      <c r="G168" s="5">
        <v>1249.8000000000002</v>
      </c>
      <c r="H168" s="5">
        <f t="shared" si="13"/>
        <v>214.39999999999998</v>
      </c>
      <c r="J168" s="5">
        <v>2.8</v>
      </c>
      <c r="K168" s="5">
        <v>249.59999999999997</v>
      </c>
      <c r="L168" s="5">
        <v>1.2</v>
      </c>
      <c r="M168" s="5">
        <v>141.99999999999994</v>
      </c>
      <c r="N168" s="5">
        <v>1.5999999999999999</v>
      </c>
      <c r="O168" s="5">
        <f t="shared" si="10"/>
        <v>134.60000000000002</v>
      </c>
      <c r="P168" s="5">
        <v>124</v>
      </c>
      <c r="Q168" s="5">
        <v>1</v>
      </c>
      <c r="R168" s="8">
        <f t="shared" si="8"/>
        <v>1.2</v>
      </c>
      <c r="S168" s="8">
        <f t="shared" si="9"/>
        <v>1.5999999999999999</v>
      </c>
      <c r="T168" s="8">
        <f t="shared" si="11"/>
        <v>153.6</v>
      </c>
      <c r="V168" s="12">
        <v>462.8</v>
      </c>
      <c r="W168" s="5">
        <v>74.645161290322577</v>
      </c>
      <c r="X168" s="5">
        <v>59692.799999999988</v>
      </c>
      <c r="Y168" s="5">
        <f t="shared" si="14"/>
        <v>8761.7000000000007</v>
      </c>
      <c r="AA168" s="17">
        <v>8.2915648502844892</v>
      </c>
    </row>
    <row r="169" spans="1:27" s="5" customFormat="1" x14ac:dyDescent="0.25">
      <c r="A169" s="76"/>
      <c r="B169" s="10"/>
      <c r="C169" s="4">
        <v>42016</v>
      </c>
      <c r="D169" s="5">
        <v>8.1999999999999993</v>
      </c>
      <c r="E169" s="5">
        <v>6.9</v>
      </c>
      <c r="F169" s="5">
        <v>10.199999999999999</v>
      </c>
      <c r="G169" s="5">
        <v>1258.0000000000002</v>
      </c>
      <c r="H169" s="5">
        <f t="shared" si="13"/>
        <v>222.59999999999997</v>
      </c>
      <c r="J169" s="5">
        <v>0</v>
      </c>
      <c r="K169" s="5">
        <v>249.59999999999997</v>
      </c>
      <c r="L169" s="5">
        <v>1.2</v>
      </c>
      <c r="M169" s="5">
        <v>143.19999999999993</v>
      </c>
      <c r="N169" s="6">
        <v>-1.2</v>
      </c>
      <c r="O169" s="5">
        <f t="shared" si="10"/>
        <v>133.40000000000003</v>
      </c>
      <c r="P169" s="5">
        <v>125</v>
      </c>
      <c r="Q169" s="5">
        <v>1</v>
      </c>
      <c r="R169" s="8">
        <f t="shared" si="8"/>
        <v>1.2</v>
      </c>
      <c r="S169" s="8">
        <f t="shared" si="9"/>
        <v>-1.2</v>
      </c>
      <c r="T169" s="8">
        <f t="shared" si="11"/>
        <v>152.4</v>
      </c>
      <c r="V169" s="16">
        <v>76.099999999999994</v>
      </c>
      <c r="W169" s="5">
        <v>9.2804878048780495</v>
      </c>
      <c r="X169" s="5">
        <v>59768.899999999987</v>
      </c>
      <c r="Y169" s="5">
        <f t="shared" si="14"/>
        <v>8837.8000000000011</v>
      </c>
      <c r="AA169" s="17">
        <v>8.3242610623324307</v>
      </c>
    </row>
    <row r="170" spans="1:27" s="5" customFormat="1" x14ac:dyDescent="0.25">
      <c r="A170" s="76"/>
      <c r="B170" s="10"/>
      <c r="C170" s="4">
        <v>42017</v>
      </c>
      <c r="D170" s="5">
        <v>8.6</v>
      </c>
      <c r="E170" s="5">
        <v>8.3000000000000007</v>
      </c>
      <c r="F170" s="5">
        <v>9.9</v>
      </c>
      <c r="G170" s="5">
        <v>1266.6000000000001</v>
      </c>
      <c r="H170" s="5">
        <f t="shared" si="13"/>
        <v>231.19999999999996</v>
      </c>
      <c r="J170" s="5">
        <v>10.5</v>
      </c>
      <c r="K170" s="5">
        <v>260.09999999999997</v>
      </c>
      <c r="L170" s="5">
        <v>0.9</v>
      </c>
      <c r="M170" s="5">
        <v>144.09999999999994</v>
      </c>
      <c r="N170" s="5">
        <v>9.6</v>
      </c>
      <c r="O170" s="5">
        <f t="shared" si="10"/>
        <v>143.00000000000003</v>
      </c>
      <c r="P170" s="5">
        <v>126</v>
      </c>
      <c r="Q170" s="5">
        <v>1</v>
      </c>
      <c r="R170" s="8">
        <f t="shared" si="8"/>
        <v>0.9</v>
      </c>
      <c r="S170" s="8">
        <f t="shared" si="9"/>
        <v>9.6</v>
      </c>
      <c r="T170" s="8">
        <f t="shared" si="11"/>
        <v>153.6</v>
      </c>
      <c r="V170" s="16">
        <v>92.6</v>
      </c>
      <c r="W170" s="5">
        <v>10.767441860465116</v>
      </c>
      <c r="X170" s="5">
        <v>59861.499999999985</v>
      </c>
      <c r="Y170" s="5">
        <f t="shared" si="14"/>
        <v>8930.4000000000015</v>
      </c>
      <c r="AA170" s="17">
        <v>8.3582985433207195</v>
      </c>
    </row>
    <row r="171" spans="1:27" s="5" customFormat="1" x14ac:dyDescent="0.25">
      <c r="A171" s="76"/>
      <c r="B171" s="18"/>
      <c r="C171" s="4">
        <v>42018</v>
      </c>
      <c r="D171" s="5">
        <v>4.5999999999999996</v>
      </c>
      <c r="E171" s="15">
        <v>3.3</v>
      </c>
      <c r="F171" s="5">
        <v>9.8000000000000007</v>
      </c>
      <c r="G171" s="5">
        <v>1271.2</v>
      </c>
      <c r="H171" s="5">
        <f t="shared" si="13"/>
        <v>235.79999999999995</v>
      </c>
      <c r="J171" s="5">
        <v>7.8</v>
      </c>
      <c r="K171" s="5">
        <v>267.89999999999998</v>
      </c>
      <c r="L171" s="5">
        <v>1.4</v>
      </c>
      <c r="M171" s="5">
        <v>145.49999999999994</v>
      </c>
      <c r="N171" s="5">
        <v>6.4</v>
      </c>
      <c r="O171" s="5">
        <v>153.6</v>
      </c>
      <c r="P171" s="5">
        <v>127</v>
      </c>
      <c r="Q171" s="5">
        <v>1</v>
      </c>
      <c r="R171" s="8">
        <f t="shared" si="8"/>
        <v>1.4</v>
      </c>
      <c r="S171" s="8">
        <f t="shared" si="9"/>
        <v>6.4</v>
      </c>
      <c r="T171" s="8">
        <f t="shared" si="11"/>
        <v>153.6</v>
      </c>
      <c r="V171" s="12">
        <v>304</v>
      </c>
      <c r="W171" s="5">
        <v>66.08695652173914</v>
      </c>
      <c r="X171" s="5">
        <v>60165.499999999985</v>
      </c>
      <c r="Y171" s="5">
        <f t="shared" si="14"/>
        <v>9234.4000000000015</v>
      </c>
      <c r="AA171" s="17">
        <v>8.3936436351461392</v>
      </c>
    </row>
    <row r="172" spans="1:27" s="5" customFormat="1" x14ac:dyDescent="0.25">
      <c r="A172" s="76"/>
      <c r="B172" s="10"/>
      <c r="C172" s="4">
        <v>42019</v>
      </c>
      <c r="D172" s="5">
        <v>8.1</v>
      </c>
      <c r="E172" s="5">
        <v>5.5</v>
      </c>
      <c r="F172" s="5">
        <v>9.5</v>
      </c>
      <c r="G172" s="5">
        <v>1279.3</v>
      </c>
      <c r="H172" s="5">
        <f t="shared" si="13"/>
        <v>243.89999999999995</v>
      </c>
      <c r="J172" s="5">
        <v>3.1</v>
      </c>
      <c r="K172" s="5">
        <v>271</v>
      </c>
      <c r="L172" s="5">
        <v>0.8</v>
      </c>
      <c r="M172" s="5">
        <v>146.29999999999995</v>
      </c>
      <c r="N172" s="5">
        <v>2.2999999999999998</v>
      </c>
      <c r="O172" s="5">
        <v>153.6</v>
      </c>
      <c r="P172" s="5">
        <v>128</v>
      </c>
      <c r="Q172" s="5">
        <v>1</v>
      </c>
      <c r="R172" s="8">
        <f t="shared" si="8"/>
        <v>0.8</v>
      </c>
      <c r="S172" s="8">
        <f t="shared" si="9"/>
        <v>2.2999999999999998</v>
      </c>
      <c r="T172" s="8">
        <f t="shared" si="11"/>
        <v>153.6</v>
      </c>
      <c r="V172" s="16">
        <v>81.400000000000006</v>
      </c>
      <c r="W172" s="5">
        <v>10.049382716049385</v>
      </c>
      <c r="X172" s="5">
        <v>60246.899999999987</v>
      </c>
      <c r="Y172" s="5">
        <f t="shared" si="14"/>
        <v>9315.8000000000011</v>
      </c>
      <c r="AA172" s="17">
        <v>8.4302621598455207</v>
      </c>
    </row>
    <row r="173" spans="1:27" s="5" customFormat="1" x14ac:dyDescent="0.25">
      <c r="A173" s="76"/>
      <c r="B173" s="18"/>
      <c r="C173" s="4">
        <v>42020</v>
      </c>
      <c r="D173" s="15">
        <v>5</v>
      </c>
      <c r="E173" s="15">
        <v>3.7</v>
      </c>
      <c r="F173" s="5">
        <v>8</v>
      </c>
      <c r="G173" s="5">
        <v>1284.3</v>
      </c>
      <c r="H173" s="5">
        <f t="shared" si="13"/>
        <v>248.89999999999995</v>
      </c>
      <c r="J173" s="5">
        <v>0.1</v>
      </c>
      <c r="K173" s="5">
        <v>271.10000000000002</v>
      </c>
      <c r="L173" s="5">
        <v>1</v>
      </c>
      <c r="M173" s="5">
        <v>147.29999999999995</v>
      </c>
      <c r="N173" s="6">
        <v>-0.9</v>
      </c>
      <c r="O173" s="5">
        <f>O172+N173</f>
        <v>152.69999999999999</v>
      </c>
      <c r="P173" s="5">
        <v>129</v>
      </c>
      <c r="Q173" s="5">
        <v>1</v>
      </c>
      <c r="R173" s="8">
        <f t="shared" ref="R173:R236" si="15">Q173*L173</f>
        <v>1</v>
      </c>
      <c r="S173" s="8">
        <f t="shared" ref="S173:S236" si="16">J173-R173</f>
        <v>-0.9</v>
      </c>
      <c r="T173" s="8">
        <f t="shared" si="11"/>
        <v>152.69999999999999</v>
      </c>
      <c r="V173" s="12">
        <v>546.70000000000005</v>
      </c>
      <c r="W173" s="5">
        <v>109.34</v>
      </c>
      <c r="X173" s="5">
        <v>60793.599999999984</v>
      </c>
      <c r="Y173" s="5">
        <f t="shared" si="14"/>
        <v>9862.5000000000018</v>
      </c>
      <c r="AA173" s="17">
        <v>8.4681195243717404</v>
      </c>
    </row>
    <row r="174" spans="1:27" s="5" customFormat="1" x14ac:dyDescent="0.25">
      <c r="A174" s="76"/>
      <c r="B174" s="18"/>
      <c r="C174" s="4">
        <v>42021</v>
      </c>
      <c r="D174" s="15">
        <v>2.7</v>
      </c>
      <c r="E174" s="20">
        <v>-0.3</v>
      </c>
      <c r="F174" s="15">
        <v>5</v>
      </c>
      <c r="G174" s="5">
        <v>1287</v>
      </c>
      <c r="H174" s="5">
        <f t="shared" si="13"/>
        <v>251.59999999999994</v>
      </c>
      <c r="J174" s="5">
        <v>1.6</v>
      </c>
      <c r="K174" s="5">
        <v>272.70000000000005</v>
      </c>
      <c r="L174" s="5">
        <v>0.8</v>
      </c>
      <c r="M174" s="5">
        <v>148.09999999999997</v>
      </c>
      <c r="N174" s="5">
        <v>0.8</v>
      </c>
      <c r="O174" s="5">
        <f>O173+N174</f>
        <v>153.5</v>
      </c>
      <c r="P174" s="5">
        <v>130</v>
      </c>
      <c r="Q174" s="5">
        <v>1</v>
      </c>
      <c r="R174" s="8">
        <f t="shared" si="15"/>
        <v>0.8</v>
      </c>
      <c r="S174" s="8">
        <f t="shared" si="16"/>
        <v>0.8</v>
      </c>
      <c r="T174" s="8">
        <f t="shared" si="11"/>
        <v>153.5</v>
      </c>
      <c r="V174" s="12">
        <v>565.20000000000005</v>
      </c>
      <c r="W174" s="5">
        <v>209.33333333333334</v>
      </c>
      <c r="X174" s="5">
        <v>61358.799999999981</v>
      </c>
      <c r="Y174" s="5">
        <f t="shared" si="14"/>
        <v>10427.700000000003</v>
      </c>
      <c r="AA174" s="17">
        <v>8.5071808222526695</v>
      </c>
    </row>
    <row r="175" spans="1:27" s="5" customFormat="1" x14ac:dyDescent="0.25">
      <c r="A175" s="76"/>
      <c r="B175" s="18"/>
      <c r="C175" s="4">
        <v>42022</v>
      </c>
      <c r="D175" s="15">
        <v>2.8</v>
      </c>
      <c r="E175" s="15">
        <v>2.5</v>
      </c>
      <c r="F175" s="15">
        <v>4</v>
      </c>
      <c r="G175" s="5">
        <v>1289.8</v>
      </c>
      <c r="H175" s="5">
        <f t="shared" si="13"/>
        <v>254.39999999999995</v>
      </c>
      <c r="J175" s="5">
        <v>6.8</v>
      </c>
      <c r="K175" s="5">
        <v>279.50000000000006</v>
      </c>
      <c r="L175" s="5">
        <v>0.5</v>
      </c>
      <c r="M175" s="5">
        <v>148.59999999999997</v>
      </c>
      <c r="N175" s="5">
        <v>6.3</v>
      </c>
      <c r="O175" s="5">
        <v>153.6</v>
      </c>
      <c r="P175" s="5">
        <v>131</v>
      </c>
      <c r="Q175" s="5">
        <v>1</v>
      </c>
      <c r="R175" s="8">
        <f t="shared" si="15"/>
        <v>0.5</v>
      </c>
      <c r="S175" s="8">
        <f t="shared" si="16"/>
        <v>6.3</v>
      </c>
      <c r="T175" s="8">
        <f t="shared" ref="T175:T238" si="17">MIN(153.6,(T174+S175))</f>
        <v>153.6</v>
      </c>
      <c r="V175" s="16">
        <v>73.3</v>
      </c>
      <c r="W175" s="5">
        <v>26.178571428571431</v>
      </c>
      <c r="X175" s="5">
        <v>61432.099999999984</v>
      </c>
      <c r="Y175" s="5">
        <f t="shared" si="14"/>
        <v>10501.000000000002</v>
      </c>
      <c r="AA175" s="17">
        <v>8.5474109316925695</v>
      </c>
    </row>
    <row r="176" spans="1:27" s="5" customFormat="1" x14ac:dyDescent="0.25">
      <c r="A176" s="76"/>
      <c r="B176" s="18"/>
      <c r="C176" s="4">
        <v>42023</v>
      </c>
      <c r="D176" s="15">
        <v>1.7</v>
      </c>
      <c r="E176" s="15">
        <v>0.4</v>
      </c>
      <c r="F176" s="15">
        <v>3.2</v>
      </c>
      <c r="G176" s="5">
        <v>1291.5</v>
      </c>
      <c r="H176" s="5">
        <f t="shared" si="13"/>
        <v>256.09999999999997</v>
      </c>
      <c r="J176" s="5">
        <v>0.8</v>
      </c>
      <c r="K176" s="5">
        <v>280.30000000000007</v>
      </c>
      <c r="L176" s="5">
        <v>0.3</v>
      </c>
      <c r="M176" s="5">
        <v>148.89999999999998</v>
      </c>
      <c r="N176" s="5">
        <v>0.5</v>
      </c>
      <c r="O176" s="5">
        <v>153.6</v>
      </c>
      <c r="P176" s="5">
        <v>132</v>
      </c>
      <c r="Q176" s="5">
        <v>1</v>
      </c>
      <c r="R176" s="8">
        <f t="shared" si="15"/>
        <v>0.3</v>
      </c>
      <c r="S176" s="8">
        <f t="shared" si="16"/>
        <v>0.5</v>
      </c>
      <c r="T176" s="8">
        <f t="shared" si="17"/>
        <v>153.6</v>
      </c>
      <c r="V176" s="16">
        <v>92.4</v>
      </c>
      <c r="W176" s="5">
        <v>54.352941176470594</v>
      </c>
      <c r="X176" s="5">
        <v>61524.499999999985</v>
      </c>
      <c r="Y176" s="5">
        <f t="shared" si="14"/>
        <v>10593.400000000001</v>
      </c>
      <c r="AA176" s="17">
        <v>8.5887746097350206</v>
      </c>
    </row>
    <row r="177" spans="1:27" s="5" customFormat="1" x14ac:dyDescent="0.25">
      <c r="A177" s="76"/>
      <c r="B177" s="18"/>
      <c r="C177" s="4">
        <v>42024</v>
      </c>
      <c r="D177" s="15">
        <v>0.6</v>
      </c>
      <c r="E177" s="20">
        <v>-0.7</v>
      </c>
      <c r="F177" s="15">
        <v>3.5</v>
      </c>
      <c r="G177" s="5">
        <v>1292.0999999999999</v>
      </c>
      <c r="H177" s="5">
        <f t="shared" si="13"/>
        <v>256.7</v>
      </c>
      <c r="J177" s="5">
        <v>0</v>
      </c>
      <c r="K177" s="5">
        <v>280.30000000000007</v>
      </c>
      <c r="L177" s="5">
        <v>0.8</v>
      </c>
      <c r="M177" s="5">
        <v>149.69999999999999</v>
      </c>
      <c r="N177" s="6">
        <v>-0.8</v>
      </c>
      <c r="O177" s="5">
        <f>O176+N177</f>
        <v>152.79999999999998</v>
      </c>
      <c r="P177" s="5">
        <v>133</v>
      </c>
      <c r="Q177" s="5">
        <v>1</v>
      </c>
      <c r="R177" s="8">
        <f t="shared" si="15"/>
        <v>0.8</v>
      </c>
      <c r="S177" s="8">
        <f t="shared" si="16"/>
        <v>-0.8</v>
      </c>
      <c r="T177" s="8">
        <f t="shared" si="17"/>
        <v>152.79999999999998</v>
      </c>
      <c r="V177" s="12">
        <v>445.9</v>
      </c>
      <c r="W177" s="5">
        <v>743.16666666666663</v>
      </c>
      <c r="X177" s="5">
        <v>61970.399999999987</v>
      </c>
      <c r="Y177" s="5">
        <f t="shared" si="14"/>
        <v>11039.300000000001</v>
      </c>
      <c r="AA177" s="17">
        <v>8.6312365821643198</v>
      </c>
    </row>
    <row r="178" spans="1:27" s="5" customFormat="1" x14ac:dyDescent="0.25">
      <c r="A178" s="76"/>
      <c r="B178" s="18"/>
      <c r="C178" s="4">
        <v>42025</v>
      </c>
      <c r="D178" s="15">
        <v>0.3</v>
      </c>
      <c r="E178" s="20">
        <v>-0.6</v>
      </c>
      <c r="F178" s="15">
        <v>2.2999999999999998</v>
      </c>
      <c r="G178" s="5">
        <v>1292.3999999999999</v>
      </c>
      <c r="H178" s="5">
        <f t="shared" si="13"/>
        <v>257</v>
      </c>
      <c r="J178" s="5">
        <v>0</v>
      </c>
      <c r="K178" s="5">
        <v>280.30000000000007</v>
      </c>
      <c r="L178" s="5">
        <v>0.4</v>
      </c>
      <c r="M178" s="5">
        <v>150.1</v>
      </c>
      <c r="N178" s="6">
        <v>-0.4</v>
      </c>
      <c r="O178" s="5">
        <f>O177+N178</f>
        <v>152.39999999999998</v>
      </c>
      <c r="P178" s="5">
        <v>134</v>
      </c>
      <c r="Q178" s="5">
        <v>1</v>
      </c>
      <c r="R178" s="8">
        <f t="shared" si="15"/>
        <v>0.4</v>
      </c>
      <c r="S178" s="8">
        <f t="shared" si="16"/>
        <v>-0.4</v>
      </c>
      <c r="T178" s="8">
        <f t="shared" si="17"/>
        <v>152.39999999999998</v>
      </c>
      <c r="V178" s="12">
        <v>285.8</v>
      </c>
      <c r="W178" s="5">
        <v>952.66666666666674</v>
      </c>
      <c r="X178" s="5">
        <v>62256.19999999999</v>
      </c>
      <c r="Y178" s="5">
        <f t="shared" si="14"/>
        <v>11325.1</v>
      </c>
      <c r="AA178" s="17">
        <v>8.6747616288802494</v>
      </c>
    </row>
    <row r="179" spans="1:27" s="5" customFormat="1" x14ac:dyDescent="0.25">
      <c r="A179" s="76"/>
      <c r="B179" s="18"/>
      <c r="C179" s="4">
        <v>42026</v>
      </c>
      <c r="D179" s="20">
        <v>-0.9</v>
      </c>
      <c r="E179" s="20">
        <v>-2.1</v>
      </c>
      <c r="F179" s="15">
        <v>0.4</v>
      </c>
      <c r="G179" s="5">
        <v>1292.4000000000001</v>
      </c>
      <c r="H179" s="5">
        <v>257</v>
      </c>
      <c r="J179" s="5">
        <v>0</v>
      </c>
      <c r="K179" s="5">
        <v>280.30000000000007</v>
      </c>
      <c r="L179" s="5">
        <v>0.3</v>
      </c>
      <c r="M179" s="5">
        <v>150.4</v>
      </c>
      <c r="N179" s="6">
        <v>-0.3</v>
      </c>
      <c r="O179" s="5">
        <f>O178+N179</f>
        <v>152.09999999999997</v>
      </c>
      <c r="P179" s="5">
        <v>135</v>
      </c>
      <c r="Q179" s="5">
        <v>1</v>
      </c>
      <c r="R179" s="8">
        <f t="shared" si="15"/>
        <v>0.3</v>
      </c>
      <c r="S179" s="8">
        <f t="shared" si="16"/>
        <v>-0.3</v>
      </c>
      <c r="T179" s="8">
        <f t="shared" si="17"/>
        <v>152.09999999999997</v>
      </c>
      <c r="V179" s="12">
        <v>195.4</v>
      </c>
      <c r="W179" s="5">
        <v>-217.11111111111111</v>
      </c>
      <c r="X179" s="5">
        <v>62451.599999999991</v>
      </c>
      <c r="Y179" s="5">
        <f t="shared" si="14"/>
        <v>11520.5</v>
      </c>
      <c r="AA179" s="17">
        <v>8.7193146645356201</v>
      </c>
    </row>
    <row r="180" spans="1:27" s="5" customFormat="1" x14ac:dyDescent="0.25">
      <c r="A180" s="76"/>
      <c r="B180" s="18"/>
      <c r="C180" s="4">
        <v>42027</v>
      </c>
      <c r="D180" s="15">
        <v>0.5</v>
      </c>
      <c r="E180" s="20">
        <v>-0.8</v>
      </c>
      <c r="F180" s="15">
        <v>3.2</v>
      </c>
      <c r="G180" s="5">
        <v>1292.9000000000001</v>
      </c>
      <c r="H180" s="5">
        <f t="shared" si="13"/>
        <v>257.5</v>
      </c>
      <c r="J180" s="5">
        <v>7.1</v>
      </c>
      <c r="K180" s="5">
        <v>287.40000000000009</v>
      </c>
      <c r="L180" s="5">
        <v>0.7</v>
      </c>
      <c r="M180" s="5">
        <v>151.1</v>
      </c>
      <c r="N180" s="5">
        <v>6.3999999999999995</v>
      </c>
      <c r="O180" s="5">
        <v>153.6</v>
      </c>
      <c r="P180" s="5">
        <v>136</v>
      </c>
      <c r="Q180" s="5">
        <v>1</v>
      </c>
      <c r="R180" s="8">
        <f t="shared" si="15"/>
        <v>0.7</v>
      </c>
      <c r="S180" s="8">
        <f t="shared" si="16"/>
        <v>6.3999999999999995</v>
      </c>
      <c r="T180" s="8">
        <f t="shared" si="17"/>
        <v>153.6</v>
      </c>
      <c r="V180" s="12">
        <v>654.29999999999995</v>
      </c>
      <c r="W180" s="5">
        <v>1308.5999999999999</v>
      </c>
      <c r="X180" s="5">
        <v>63105.899999999994</v>
      </c>
      <c r="Y180" s="5">
        <f t="shared" si="14"/>
        <v>12174.8</v>
      </c>
      <c r="AA180" s="17">
        <v>8.7648608142793094</v>
      </c>
    </row>
    <row r="181" spans="1:27" s="5" customFormat="1" x14ac:dyDescent="0.25">
      <c r="A181" s="76"/>
      <c r="B181" s="18"/>
      <c r="C181" s="4">
        <v>42028</v>
      </c>
      <c r="D181" s="15">
        <v>2.2000000000000002</v>
      </c>
      <c r="E181" s="20">
        <v>-0.8</v>
      </c>
      <c r="F181" s="5">
        <v>5.7</v>
      </c>
      <c r="G181" s="5">
        <v>1295.1000000000001</v>
      </c>
      <c r="H181" s="5">
        <f t="shared" si="13"/>
        <v>259.7</v>
      </c>
      <c r="J181" s="5">
        <v>0.2</v>
      </c>
      <c r="K181" s="5">
        <v>287.60000000000008</v>
      </c>
      <c r="L181" s="5">
        <v>0.7</v>
      </c>
      <c r="M181" s="5">
        <v>151.79999999999998</v>
      </c>
      <c r="N181" s="6">
        <v>-0.49999999999999994</v>
      </c>
      <c r="O181" s="5">
        <f>O180+N181</f>
        <v>153.1</v>
      </c>
      <c r="P181" s="5">
        <v>137</v>
      </c>
      <c r="Q181" s="5">
        <v>1</v>
      </c>
      <c r="R181" s="8">
        <f t="shared" si="15"/>
        <v>0.7</v>
      </c>
      <c r="S181" s="8">
        <f t="shared" si="16"/>
        <v>-0.49999999999999994</v>
      </c>
      <c r="T181" s="8">
        <f t="shared" si="17"/>
        <v>153.1</v>
      </c>
      <c r="V181" s="12">
        <v>298.3</v>
      </c>
      <c r="W181" s="5">
        <v>135.59090909090909</v>
      </c>
      <c r="X181" s="5">
        <v>63404.2</v>
      </c>
      <c r="Y181" s="5">
        <f t="shared" si="14"/>
        <v>12473.099999999999</v>
      </c>
      <c r="AA181" s="17">
        <v>8.81136548449693</v>
      </c>
    </row>
    <row r="182" spans="1:27" s="5" customFormat="1" x14ac:dyDescent="0.25">
      <c r="A182" s="76"/>
      <c r="B182" s="18"/>
      <c r="C182" s="4">
        <v>42029</v>
      </c>
      <c r="D182" s="15">
        <v>3.6</v>
      </c>
      <c r="E182" s="15">
        <v>0.3</v>
      </c>
      <c r="F182" s="5">
        <v>6.9</v>
      </c>
      <c r="G182" s="5">
        <v>1298.7</v>
      </c>
      <c r="H182" s="5">
        <f t="shared" si="13"/>
        <v>263.3</v>
      </c>
      <c r="J182" s="5">
        <v>0.8</v>
      </c>
      <c r="K182" s="5">
        <v>288.40000000000009</v>
      </c>
      <c r="L182" s="5">
        <v>0.4</v>
      </c>
      <c r="M182" s="5">
        <v>152.19999999999999</v>
      </c>
      <c r="N182" s="5">
        <v>0.4</v>
      </c>
      <c r="O182" s="5">
        <f>O181+N182</f>
        <v>153.5</v>
      </c>
      <c r="P182" s="5">
        <v>138</v>
      </c>
      <c r="Q182" s="5">
        <v>1</v>
      </c>
      <c r="R182" s="8">
        <f t="shared" si="15"/>
        <v>0.4</v>
      </c>
      <c r="S182" s="8">
        <f t="shared" si="16"/>
        <v>0.4</v>
      </c>
      <c r="T182" s="8">
        <f t="shared" si="17"/>
        <v>153.5</v>
      </c>
      <c r="V182" s="12">
        <v>125.5</v>
      </c>
      <c r="W182" s="5">
        <v>34.861111111111107</v>
      </c>
      <c r="X182" s="5">
        <v>63529.7</v>
      </c>
      <c r="Y182" s="5">
        <f t="shared" si="14"/>
        <v>12598.599999999999</v>
      </c>
      <c r="AA182" s="17">
        <v>8.8587944284877995</v>
      </c>
    </row>
    <row r="183" spans="1:27" s="5" customFormat="1" x14ac:dyDescent="0.25">
      <c r="A183" s="76"/>
      <c r="B183" s="18"/>
      <c r="C183" s="4">
        <v>42030</v>
      </c>
      <c r="D183" s="5">
        <v>6.9</v>
      </c>
      <c r="E183" s="15">
        <v>5</v>
      </c>
      <c r="F183" s="5">
        <v>9.1</v>
      </c>
      <c r="G183" s="5">
        <v>1305.6000000000001</v>
      </c>
      <c r="H183" s="5">
        <f t="shared" si="13"/>
        <v>270.2</v>
      </c>
      <c r="J183" s="5">
        <v>0.9</v>
      </c>
      <c r="K183" s="5">
        <v>289.30000000000007</v>
      </c>
      <c r="L183" s="5">
        <v>0.6</v>
      </c>
      <c r="M183" s="5">
        <v>152.79999999999998</v>
      </c>
      <c r="N183" s="5">
        <v>0.30000000000000004</v>
      </c>
      <c r="O183" s="5">
        <v>153.6</v>
      </c>
      <c r="P183" s="5">
        <v>139</v>
      </c>
      <c r="Q183" s="5">
        <v>1</v>
      </c>
      <c r="R183" s="8">
        <f t="shared" si="15"/>
        <v>0.6</v>
      </c>
      <c r="S183" s="8">
        <f t="shared" si="16"/>
        <v>0.30000000000000004</v>
      </c>
      <c r="T183" s="8">
        <f t="shared" si="17"/>
        <v>153.6</v>
      </c>
      <c r="V183" s="12">
        <v>123.7</v>
      </c>
      <c r="W183" s="5">
        <v>17.927536231884059</v>
      </c>
      <c r="X183" s="5">
        <v>63653.399999999994</v>
      </c>
      <c r="Y183" s="5">
        <f t="shared" si="14"/>
        <v>12722.3</v>
      </c>
      <c r="AA183" s="17">
        <v>8.9071138070593996</v>
      </c>
    </row>
    <row r="184" spans="1:27" s="5" customFormat="1" x14ac:dyDescent="0.25">
      <c r="A184" s="76"/>
      <c r="B184" s="18"/>
      <c r="C184" s="4">
        <v>42031</v>
      </c>
      <c r="D184" s="15">
        <v>4.7</v>
      </c>
      <c r="E184" s="15">
        <v>1.5</v>
      </c>
      <c r="F184" s="5">
        <v>6</v>
      </c>
      <c r="G184" s="5">
        <v>1310.3000000000002</v>
      </c>
      <c r="H184" s="5">
        <f t="shared" si="13"/>
        <v>274.89999999999998</v>
      </c>
      <c r="J184" s="5">
        <v>0.2</v>
      </c>
      <c r="K184" s="5">
        <v>289.50000000000006</v>
      </c>
      <c r="L184" s="5">
        <v>0.3</v>
      </c>
      <c r="M184" s="5">
        <v>153.1</v>
      </c>
      <c r="N184" s="6">
        <v>-9.9999999999999978E-2</v>
      </c>
      <c r="O184" s="5">
        <f>O183+N184</f>
        <v>153.5</v>
      </c>
      <c r="P184" s="5">
        <v>140</v>
      </c>
      <c r="Q184" s="5">
        <v>1</v>
      </c>
      <c r="R184" s="8">
        <f t="shared" si="15"/>
        <v>0.3</v>
      </c>
      <c r="S184" s="8">
        <f t="shared" si="16"/>
        <v>-9.9999999999999978E-2</v>
      </c>
      <c r="T184" s="8">
        <f t="shared" si="17"/>
        <v>153.5</v>
      </c>
      <c r="V184" s="16">
        <v>90.1</v>
      </c>
      <c r="W184" s="5">
        <v>19.170212765957444</v>
      </c>
      <c r="X184" s="5">
        <v>63743.499999999993</v>
      </c>
      <c r="Y184" s="5">
        <f t="shared" si="14"/>
        <v>12812.4</v>
      </c>
      <c r="AA184" s="17">
        <v>8.9562902440598293</v>
      </c>
    </row>
    <row r="185" spans="1:27" s="5" customFormat="1" x14ac:dyDescent="0.25">
      <c r="A185" s="76"/>
      <c r="B185" s="10">
        <v>8</v>
      </c>
      <c r="C185" s="4">
        <v>42032</v>
      </c>
      <c r="D185" s="15">
        <v>5</v>
      </c>
      <c r="E185" s="15">
        <v>4.5999999999999996</v>
      </c>
      <c r="F185" s="5">
        <v>6.7</v>
      </c>
      <c r="G185" s="5">
        <v>1315.3000000000002</v>
      </c>
      <c r="H185" s="5">
        <f t="shared" si="13"/>
        <v>279.89999999999998</v>
      </c>
      <c r="J185" s="5">
        <v>2.9</v>
      </c>
      <c r="K185" s="5">
        <v>292.40000000000003</v>
      </c>
      <c r="L185" s="5">
        <v>0.9</v>
      </c>
      <c r="M185" s="5">
        <v>154</v>
      </c>
      <c r="N185" s="5">
        <v>2</v>
      </c>
      <c r="O185" s="5">
        <v>153.6</v>
      </c>
      <c r="P185" s="5">
        <v>141</v>
      </c>
      <c r="Q185" s="5">
        <v>1</v>
      </c>
      <c r="R185" s="8">
        <f t="shared" si="15"/>
        <v>0.9</v>
      </c>
      <c r="S185" s="8">
        <f t="shared" si="16"/>
        <v>2</v>
      </c>
      <c r="T185" s="8">
        <f t="shared" si="17"/>
        <v>153.6</v>
      </c>
      <c r="V185" s="12">
        <v>180.1</v>
      </c>
      <c r="W185" s="5">
        <v>36.019999999999996</v>
      </c>
      <c r="X185" s="5">
        <v>63923.599999999991</v>
      </c>
      <c r="Y185" s="5">
        <f t="shared" si="14"/>
        <v>12992.5</v>
      </c>
      <c r="AA185" s="5">
        <v>9.0062908769033498</v>
      </c>
    </row>
    <row r="186" spans="1:27" s="5" customFormat="1" x14ac:dyDescent="0.25">
      <c r="A186" s="76"/>
      <c r="B186" s="10"/>
      <c r="C186" s="4">
        <v>42033</v>
      </c>
      <c r="D186" s="15">
        <v>2.5</v>
      </c>
      <c r="E186" s="15">
        <v>1.4</v>
      </c>
      <c r="F186" s="15">
        <v>4.0999999999999996</v>
      </c>
      <c r="G186" s="5">
        <v>1317.8000000000002</v>
      </c>
      <c r="H186" s="5">
        <f t="shared" si="13"/>
        <v>282.39999999999998</v>
      </c>
      <c r="J186" s="5">
        <v>4.4000000000000004</v>
      </c>
      <c r="K186" s="5">
        <v>296.8</v>
      </c>
      <c r="L186" s="5">
        <v>0.7</v>
      </c>
      <c r="M186" s="5">
        <v>154.69999999999999</v>
      </c>
      <c r="N186" s="5">
        <v>3.7</v>
      </c>
      <c r="O186" s="5">
        <v>153.6</v>
      </c>
      <c r="P186" s="5">
        <v>142</v>
      </c>
      <c r="Q186" s="5">
        <v>1</v>
      </c>
      <c r="R186" s="8">
        <f t="shared" si="15"/>
        <v>0.7</v>
      </c>
      <c r="S186" s="8">
        <f t="shared" si="16"/>
        <v>3.7</v>
      </c>
      <c r="T186" s="8">
        <f t="shared" si="17"/>
        <v>153.6</v>
      </c>
      <c r="V186" s="12">
        <v>259.89999999999998</v>
      </c>
      <c r="W186" s="5">
        <v>103.96</v>
      </c>
      <c r="X186" s="5">
        <v>64183.499999999993</v>
      </c>
      <c r="Y186" s="5">
        <f t="shared" si="14"/>
        <v>13252.4</v>
      </c>
      <c r="AA186" s="5">
        <v>9.0570834021756195</v>
      </c>
    </row>
    <row r="187" spans="1:27" s="5" customFormat="1" x14ac:dyDescent="0.25">
      <c r="A187" s="76"/>
      <c r="B187" s="10"/>
      <c r="C187" s="4">
        <v>42034</v>
      </c>
      <c r="D187" s="15">
        <v>2</v>
      </c>
      <c r="E187" s="15">
        <v>1.1000000000000001</v>
      </c>
      <c r="F187" s="15">
        <v>2.5</v>
      </c>
      <c r="G187" s="5">
        <v>1319.8000000000002</v>
      </c>
      <c r="H187" s="5">
        <f t="shared" si="13"/>
        <v>284.39999999999998</v>
      </c>
      <c r="J187" s="5">
        <v>4</v>
      </c>
      <c r="K187" s="5">
        <v>300.8</v>
      </c>
      <c r="L187" s="5">
        <v>0.3</v>
      </c>
      <c r="M187" s="5">
        <v>155</v>
      </c>
      <c r="N187" s="5">
        <v>3.7</v>
      </c>
      <c r="O187" s="5">
        <v>153.6</v>
      </c>
      <c r="P187" s="5">
        <v>143</v>
      </c>
      <c r="Q187" s="5">
        <v>1</v>
      </c>
      <c r="R187" s="8">
        <f t="shared" si="15"/>
        <v>0.3</v>
      </c>
      <c r="S187" s="8">
        <f t="shared" si="16"/>
        <v>3.7</v>
      </c>
      <c r="T187" s="8">
        <f t="shared" si="17"/>
        <v>153.6</v>
      </c>
      <c r="V187" s="12">
        <v>210.4</v>
      </c>
      <c r="W187" s="5">
        <v>105.2</v>
      </c>
      <c r="X187" s="5">
        <v>64393.899999999994</v>
      </c>
      <c r="Y187" s="5">
        <f t="shared" si="14"/>
        <v>13462.8</v>
      </c>
      <c r="AA187" s="5">
        <v>9.1086361164323808</v>
      </c>
    </row>
    <row r="188" spans="1:27" s="5" customFormat="1" x14ac:dyDescent="0.25">
      <c r="A188" s="76"/>
      <c r="B188" s="10"/>
      <c r="C188" s="4">
        <v>42035</v>
      </c>
      <c r="D188" s="15">
        <v>2</v>
      </c>
      <c r="E188" s="15">
        <v>0.9</v>
      </c>
      <c r="F188" s="15">
        <v>2.8</v>
      </c>
      <c r="G188" s="5">
        <v>1321.8000000000002</v>
      </c>
      <c r="H188" s="5">
        <f t="shared" si="13"/>
        <v>286.39999999999998</v>
      </c>
      <c r="J188" s="5">
        <v>3.3</v>
      </c>
      <c r="K188" s="5">
        <v>304.10000000000002</v>
      </c>
      <c r="L188" s="5">
        <v>0.3</v>
      </c>
      <c r="M188" s="5">
        <v>155.30000000000001</v>
      </c>
      <c r="N188" s="5">
        <v>3</v>
      </c>
      <c r="O188" s="5">
        <v>153.6</v>
      </c>
      <c r="P188" s="5">
        <v>144</v>
      </c>
      <c r="Q188" s="5">
        <v>1</v>
      </c>
      <c r="R188" s="8">
        <f t="shared" si="15"/>
        <v>0.3</v>
      </c>
      <c r="S188" s="8">
        <f t="shared" si="16"/>
        <v>3</v>
      </c>
      <c r="T188" s="8">
        <f t="shared" si="17"/>
        <v>153.6</v>
      </c>
      <c r="V188" s="12">
        <v>216.2</v>
      </c>
      <c r="W188" s="5">
        <v>108.1</v>
      </c>
      <c r="X188" s="5">
        <v>64610.099999999991</v>
      </c>
      <c r="Y188" s="5">
        <f t="shared" si="14"/>
        <v>13679</v>
      </c>
      <c r="AA188" s="5">
        <v>9.1609179523286706</v>
      </c>
    </row>
    <row r="189" spans="1:27" s="5" customFormat="1" x14ac:dyDescent="0.25">
      <c r="A189" s="76"/>
      <c r="B189" s="10"/>
      <c r="C189" s="4">
        <v>42036</v>
      </c>
      <c r="D189" s="15">
        <v>3.2</v>
      </c>
      <c r="E189" s="15">
        <v>2.2000000000000002</v>
      </c>
      <c r="F189" s="15">
        <v>4.5</v>
      </c>
      <c r="G189" s="5">
        <v>1325.0000000000002</v>
      </c>
      <c r="H189" s="5">
        <f t="shared" si="13"/>
        <v>289.59999999999997</v>
      </c>
      <c r="J189" s="5">
        <v>14</v>
      </c>
      <c r="K189" s="5">
        <v>318.10000000000002</v>
      </c>
      <c r="L189" s="5">
        <v>0.6</v>
      </c>
      <c r="M189" s="5">
        <v>155.9</v>
      </c>
      <c r="N189" s="5">
        <v>13.4</v>
      </c>
      <c r="O189" s="5">
        <v>153.6</v>
      </c>
      <c r="P189" s="5">
        <v>145</v>
      </c>
      <c r="Q189" s="5">
        <v>1</v>
      </c>
      <c r="R189" s="8">
        <f t="shared" si="15"/>
        <v>0.6</v>
      </c>
      <c r="S189" s="8">
        <f t="shared" si="16"/>
        <v>13.4</v>
      </c>
      <c r="T189" s="8">
        <f t="shared" si="17"/>
        <v>153.6</v>
      </c>
      <c r="V189" s="12">
        <v>113.7</v>
      </c>
      <c r="W189" s="5">
        <v>35.53125</v>
      </c>
      <c r="X189" s="5">
        <v>64723.799999999988</v>
      </c>
      <c r="Y189" s="5">
        <f t="shared" si="14"/>
        <v>13792.7</v>
      </c>
      <c r="AA189" s="5">
        <v>9.2138985102356603</v>
      </c>
    </row>
    <row r="190" spans="1:27" s="5" customFormat="1" x14ac:dyDescent="0.25">
      <c r="A190" s="76"/>
      <c r="B190" s="10"/>
      <c r="C190" s="4">
        <v>42037</v>
      </c>
      <c r="D190" s="15">
        <v>1.2</v>
      </c>
      <c r="E190" s="20">
        <v>-0.2</v>
      </c>
      <c r="F190" s="15">
        <v>3.2</v>
      </c>
      <c r="G190" s="5">
        <v>1326.2000000000003</v>
      </c>
      <c r="H190" s="5">
        <f t="shared" si="13"/>
        <v>290.79999999999995</v>
      </c>
      <c r="J190" s="5">
        <v>0</v>
      </c>
      <c r="K190" s="5">
        <v>318.10000000000002</v>
      </c>
      <c r="L190" s="5">
        <v>0.8</v>
      </c>
      <c r="M190" s="5">
        <v>156.70000000000002</v>
      </c>
      <c r="N190" s="6">
        <v>-0.8</v>
      </c>
      <c r="O190" s="5">
        <f t="shared" ref="O190:O207" si="18">O189+N190</f>
        <v>152.79999999999998</v>
      </c>
      <c r="P190" s="5">
        <v>146</v>
      </c>
      <c r="Q190" s="5">
        <v>1</v>
      </c>
      <c r="R190" s="8">
        <f t="shared" si="15"/>
        <v>0.8</v>
      </c>
      <c r="S190" s="8">
        <f t="shared" si="16"/>
        <v>-0.8</v>
      </c>
      <c r="T190" s="8">
        <f t="shared" si="17"/>
        <v>152.79999999999998</v>
      </c>
      <c r="V190" s="12">
        <v>620.1</v>
      </c>
      <c r="W190" s="5">
        <v>516.75</v>
      </c>
      <c r="X190" s="5">
        <v>65343.899999999987</v>
      </c>
      <c r="Y190" s="5">
        <f t="shared" si="14"/>
        <v>14412.800000000001</v>
      </c>
      <c r="AA190" s="5">
        <v>9.2675480855186407</v>
      </c>
    </row>
    <row r="191" spans="1:27" s="5" customFormat="1" x14ac:dyDescent="0.25">
      <c r="A191" s="76"/>
      <c r="B191" s="10"/>
      <c r="C191" s="4">
        <v>42038</v>
      </c>
      <c r="D191" s="15">
        <v>1</v>
      </c>
      <c r="E191" s="20">
        <v>-0.5</v>
      </c>
      <c r="F191" s="15">
        <v>3</v>
      </c>
      <c r="G191" s="5">
        <v>1327.2000000000003</v>
      </c>
      <c r="H191" s="5">
        <f t="shared" si="13"/>
        <v>291.79999999999995</v>
      </c>
      <c r="J191" s="5">
        <v>0</v>
      </c>
      <c r="K191" s="5">
        <v>318.10000000000002</v>
      </c>
      <c r="L191" s="5">
        <v>0.4</v>
      </c>
      <c r="M191" s="5">
        <v>157.10000000000002</v>
      </c>
      <c r="N191" s="6">
        <v>-0.4</v>
      </c>
      <c r="O191" s="5">
        <f t="shared" si="18"/>
        <v>152.39999999999998</v>
      </c>
      <c r="P191" s="5">
        <v>147</v>
      </c>
      <c r="Q191" s="5">
        <v>1</v>
      </c>
      <c r="R191" s="8">
        <f t="shared" si="15"/>
        <v>0.4</v>
      </c>
      <c r="S191" s="8">
        <f t="shared" si="16"/>
        <v>-0.4</v>
      </c>
      <c r="T191" s="8">
        <f t="shared" si="17"/>
        <v>152.39999999999998</v>
      </c>
      <c r="V191" s="12">
        <v>430.7</v>
      </c>
      <c r="W191" s="5">
        <v>430.7</v>
      </c>
      <c r="X191" s="5">
        <v>65774.599999999991</v>
      </c>
      <c r="Y191" s="5">
        <f t="shared" si="14"/>
        <v>14843.500000000002</v>
      </c>
      <c r="AA191" s="5">
        <v>9.32183769166266</v>
      </c>
    </row>
    <row r="192" spans="1:27" s="5" customFormat="1" x14ac:dyDescent="0.25">
      <c r="A192" s="76"/>
      <c r="B192" s="10">
        <v>9</v>
      </c>
      <c r="C192" s="4">
        <v>42039</v>
      </c>
      <c r="D192" s="15">
        <v>1.8</v>
      </c>
      <c r="E192" s="15">
        <v>0.1</v>
      </c>
      <c r="F192" s="5">
        <v>5.2</v>
      </c>
      <c r="G192" s="5">
        <v>1329.0000000000002</v>
      </c>
      <c r="H192" s="5">
        <f t="shared" ref="H192:H255" si="19">H191+D192</f>
        <v>293.59999999999997</v>
      </c>
      <c r="J192" s="5">
        <v>0</v>
      </c>
      <c r="K192" s="5">
        <v>318.10000000000002</v>
      </c>
      <c r="L192" s="5">
        <v>1.1000000000000001</v>
      </c>
      <c r="M192" s="5">
        <v>158.20000000000002</v>
      </c>
      <c r="N192" s="6">
        <v>-1.1000000000000001</v>
      </c>
      <c r="O192" s="5">
        <f t="shared" si="18"/>
        <v>151.29999999999998</v>
      </c>
      <c r="P192" s="5">
        <v>148</v>
      </c>
      <c r="Q192" s="5">
        <v>1</v>
      </c>
      <c r="R192" s="8">
        <f t="shared" si="15"/>
        <v>1.1000000000000001</v>
      </c>
      <c r="S192" s="8">
        <f t="shared" si="16"/>
        <v>-1.1000000000000001</v>
      </c>
      <c r="T192" s="8">
        <f t="shared" si="17"/>
        <v>151.29999999999998</v>
      </c>
      <c r="V192" s="12">
        <v>819</v>
      </c>
      <c r="W192" s="5">
        <v>455</v>
      </c>
      <c r="X192" s="5">
        <v>66593.599999999991</v>
      </c>
      <c r="Y192" s="5">
        <f t="shared" ref="Y192:Y255" si="20">Y191+V192</f>
        <v>15662.500000000002</v>
      </c>
      <c r="AA192" s="5">
        <v>9.3767390794424692</v>
      </c>
    </row>
    <row r="193" spans="1:27" s="5" customFormat="1" x14ac:dyDescent="0.25">
      <c r="A193" s="76"/>
      <c r="B193" s="10"/>
      <c r="C193" s="4">
        <v>42040</v>
      </c>
      <c r="D193" s="20">
        <v>-0.3</v>
      </c>
      <c r="E193" s="20">
        <v>-2.5</v>
      </c>
      <c r="F193" s="15">
        <v>1.2</v>
      </c>
      <c r="G193" s="5">
        <v>1329</v>
      </c>
      <c r="H193" s="5">
        <v>293.60000000000002</v>
      </c>
      <c r="J193" s="5">
        <v>0</v>
      </c>
      <c r="K193" s="5">
        <v>318.10000000000002</v>
      </c>
      <c r="L193" s="5">
        <v>0.6</v>
      </c>
      <c r="M193" s="5">
        <v>158.80000000000001</v>
      </c>
      <c r="N193" s="6">
        <v>-0.6</v>
      </c>
      <c r="O193" s="5">
        <f t="shared" si="18"/>
        <v>150.69999999999999</v>
      </c>
      <c r="P193" s="5">
        <v>149</v>
      </c>
      <c r="Q193" s="5">
        <v>1</v>
      </c>
      <c r="R193" s="8">
        <f t="shared" si="15"/>
        <v>0.6</v>
      </c>
      <c r="S193" s="8">
        <f t="shared" si="16"/>
        <v>-0.6</v>
      </c>
      <c r="T193" s="8">
        <f t="shared" si="17"/>
        <v>150.69999999999999</v>
      </c>
      <c r="V193" s="12">
        <v>508</v>
      </c>
      <c r="W193" s="5">
        <v>-1693.3333333333335</v>
      </c>
      <c r="X193" s="5">
        <v>67101.599999999991</v>
      </c>
      <c r="Y193" s="5">
        <f t="shared" si="20"/>
        <v>16170.500000000002</v>
      </c>
      <c r="AA193" s="5">
        <v>9.4322247523409892</v>
      </c>
    </row>
    <row r="194" spans="1:27" s="5" customFormat="1" x14ac:dyDescent="0.25">
      <c r="A194" s="76"/>
      <c r="B194" s="10"/>
      <c r="C194" s="4">
        <v>42041</v>
      </c>
      <c r="D194" s="20">
        <v>-0.3</v>
      </c>
      <c r="E194" s="20">
        <v>-1.5</v>
      </c>
      <c r="F194" s="15">
        <v>0.7</v>
      </c>
      <c r="G194" s="5">
        <v>1329</v>
      </c>
      <c r="H194" s="5">
        <v>293.60000000000002</v>
      </c>
      <c r="J194" s="5">
        <v>0</v>
      </c>
      <c r="K194" s="5">
        <v>318.10000000000002</v>
      </c>
      <c r="L194" s="5">
        <v>1</v>
      </c>
      <c r="M194" s="5">
        <v>159.80000000000001</v>
      </c>
      <c r="N194" s="6">
        <v>-1</v>
      </c>
      <c r="O194" s="5">
        <f t="shared" si="18"/>
        <v>149.69999999999999</v>
      </c>
      <c r="P194" s="5">
        <v>150</v>
      </c>
      <c r="Q194" s="5">
        <v>1</v>
      </c>
      <c r="R194" s="8">
        <f t="shared" si="15"/>
        <v>1</v>
      </c>
      <c r="S194" s="8">
        <f t="shared" si="16"/>
        <v>-1</v>
      </c>
      <c r="T194" s="8">
        <f t="shared" si="17"/>
        <v>149.69999999999999</v>
      </c>
      <c r="V194" s="12">
        <v>822.5</v>
      </c>
      <c r="W194" s="5">
        <v>-2741.666666666667</v>
      </c>
      <c r="X194" s="5">
        <v>67924.099999999991</v>
      </c>
      <c r="Y194" s="5">
        <f t="shared" si="20"/>
        <v>16993</v>
      </c>
      <c r="AA194" s="5">
        <v>9.4882679784247994</v>
      </c>
    </row>
    <row r="195" spans="1:27" s="5" customFormat="1" x14ac:dyDescent="0.25">
      <c r="A195" s="76"/>
      <c r="B195" s="10"/>
      <c r="C195" s="4">
        <v>42042</v>
      </c>
      <c r="D195" s="15">
        <v>2.5</v>
      </c>
      <c r="E195" s="20">
        <v>-2.2999999999999998</v>
      </c>
      <c r="F195" s="15">
        <v>5</v>
      </c>
      <c r="G195" s="5">
        <v>1331.5</v>
      </c>
      <c r="H195" s="5">
        <f t="shared" si="19"/>
        <v>296.10000000000002</v>
      </c>
      <c r="J195" s="5">
        <v>0</v>
      </c>
      <c r="K195" s="5">
        <v>318.10000000000002</v>
      </c>
      <c r="L195" s="5">
        <v>1</v>
      </c>
      <c r="M195" s="5">
        <v>160.80000000000001</v>
      </c>
      <c r="N195" s="6">
        <v>-1</v>
      </c>
      <c r="O195" s="5">
        <f t="shared" si="18"/>
        <v>148.69999999999999</v>
      </c>
      <c r="P195" s="5">
        <v>151</v>
      </c>
      <c r="Q195" s="5">
        <v>1</v>
      </c>
      <c r="R195" s="8">
        <f t="shared" si="15"/>
        <v>1</v>
      </c>
      <c r="S195" s="8">
        <f t="shared" si="16"/>
        <v>-1</v>
      </c>
      <c r="T195" s="8">
        <f t="shared" si="17"/>
        <v>148.69999999999999</v>
      </c>
      <c r="V195" s="12">
        <v>702.2</v>
      </c>
      <c r="W195" s="5">
        <v>280.88</v>
      </c>
      <c r="X195" s="5">
        <v>68626.299999999988</v>
      </c>
      <c r="Y195" s="5">
        <f t="shared" si="20"/>
        <v>17695.2</v>
      </c>
      <c r="AA195" s="5">
        <v>9.5448427988882596</v>
      </c>
    </row>
    <row r="196" spans="1:27" s="5" customFormat="1" x14ac:dyDescent="0.25">
      <c r="A196" s="76"/>
      <c r="B196" s="10"/>
      <c r="C196" s="4">
        <v>42043</v>
      </c>
      <c r="D196" s="15">
        <v>4.3</v>
      </c>
      <c r="E196" s="15">
        <v>4.2</v>
      </c>
      <c r="F196" s="5">
        <v>6.4</v>
      </c>
      <c r="G196" s="5">
        <v>1335.8</v>
      </c>
      <c r="H196" s="5">
        <f t="shared" si="19"/>
        <v>300.40000000000003</v>
      </c>
      <c r="J196" s="5">
        <v>0.1</v>
      </c>
      <c r="K196" s="5">
        <v>318.20000000000005</v>
      </c>
      <c r="L196" s="5">
        <v>1.2</v>
      </c>
      <c r="M196" s="5">
        <v>162</v>
      </c>
      <c r="N196" s="6">
        <v>-1.0999999999999999</v>
      </c>
      <c r="O196" s="5">
        <f t="shared" si="18"/>
        <v>147.6</v>
      </c>
      <c r="P196" s="5">
        <v>152</v>
      </c>
      <c r="Q196" s="5">
        <v>1</v>
      </c>
      <c r="R196" s="8">
        <f t="shared" si="15"/>
        <v>1.2</v>
      </c>
      <c r="S196" s="8">
        <f t="shared" si="16"/>
        <v>-1.0999999999999999</v>
      </c>
      <c r="T196" s="8">
        <f t="shared" si="17"/>
        <v>147.6</v>
      </c>
      <c r="V196" s="12">
        <v>583.70000000000005</v>
      </c>
      <c r="W196" s="5">
        <v>135.74418604651166</v>
      </c>
      <c r="X196" s="5">
        <v>69209.999999999985</v>
      </c>
      <c r="Y196" s="5">
        <f t="shared" si="20"/>
        <v>18278.900000000001</v>
      </c>
      <c r="AA196" s="5">
        <v>9.6019240334778306</v>
      </c>
    </row>
    <row r="197" spans="1:27" s="5" customFormat="1" x14ac:dyDescent="0.25">
      <c r="A197" s="76"/>
      <c r="B197" s="10"/>
      <c r="C197" s="4">
        <v>42044</v>
      </c>
      <c r="D197" s="15">
        <v>3</v>
      </c>
      <c r="E197" s="15">
        <v>0.2</v>
      </c>
      <c r="F197" s="15">
        <v>4.7</v>
      </c>
      <c r="G197" s="5">
        <v>1338.8</v>
      </c>
      <c r="H197" s="5">
        <f t="shared" si="19"/>
        <v>303.40000000000003</v>
      </c>
      <c r="J197" s="5">
        <v>0.1</v>
      </c>
      <c r="K197" s="5">
        <v>318.30000000000007</v>
      </c>
      <c r="L197" s="5">
        <v>0.3</v>
      </c>
      <c r="M197" s="5">
        <v>162.30000000000001</v>
      </c>
      <c r="N197" s="6">
        <v>-0.19999999999999998</v>
      </c>
      <c r="O197" s="5">
        <f t="shared" si="18"/>
        <v>147.4</v>
      </c>
      <c r="P197" s="5">
        <v>153</v>
      </c>
      <c r="Q197" s="5">
        <v>1</v>
      </c>
      <c r="R197" s="8">
        <f t="shared" si="15"/>
        <v>0.3</v>
      </c>
      <c r="S197" s="8">
        <f t="shared" si="16"/>
        <v>-0.19999999999999998</v>
      </c>
      <c r="T197" s="8">
        <f t="shared" si="17"/>
        <v>147.4</v>
      </c>
      <c r="V197" s="12">
        <v>214.2</v>
      </c>
      <c r="W197" s="5">
        <v>71.399999999999991</v>
      </c>
      <c r="X197" s="5">
        <v>69424.199999999983</v>
      </c>
      <c r="Y197" s="5">
        <f t="shared" si="20"/>
        <v>18493.100000000002</v>
      </c>
      <c r="AA197" s="5">
        <v>9.6594872830069605</v>
      </c>
    </row>
    <row r="198" spans="1:27" s="5" customFormat="1" x14ac:dyDescent="0.25">
      <c r="A198" s="76"/>
      <c r="B198" s="10"/>
      <c r="C198" s="4">
        <v>42045</v>
      </c>
      <c r="D198" s="15">
        <v>4.9000000000000004</v>
      </c>
      <c r="E198" s="15">
        <v>3.5</v>
      </c>
      <c r="F198" s="5">
        <v>5.9</v>
      </c>
      <c r="G198" s="5">
        <v>1343.7</v>
      </c>
      <c r="H198" s="5">
        <f t="shared" si="19"/>
        <v>308.3</v>
      </c>
      <c r="J198" s="5">
        <v>0</v>
      </c>
      <c r="K198" s="5">
        <v>318.30000000000007</v>
      </c>
      <c r="L198" s="5">
        <v>0.5</v>
      </c>
      <c r="M198" s="5">
        <v>162.80000000000001</v>
      </c>
      <c r="N198" s="6">
        <v>-0.5</v>
      </c>
      <c r="O198" s="5">
        <f t="shared" si="18"/>
        <v>146.9</v>
      </c>
      <c r="P198" s="5">
        <v>154</v>
      </c>
      <c r="Q198" s="5">
        <v>1</v>
      </c>
      <c r="R198" s="8">
        <f t="shared" si="15"/>
        <v>0.5</v>
      </c>
      <c r="S198" s="8">
        <f t="shared" si="16"/>
        <v>-0.5</v>
      </c>
      <c r="T198" s="8">
        <f t="shared" si="17"/>
        <v>146.9</v>
      </c>
      <c r="V198" s="12">
        <v>227.5</v>
      </c>
      <c r="W198" s="5">
        <v>46.428571428571423</v>
      </c>
      <c r="X198" s="5">
        <v>69651.699999999983</v>
      </c>
      <c r="Y198" s="5">
        <f t="shared" si="20"/>
        <v>18720.600000000002</v>
      </c>
      <c r="AA198" s="5">
        <v>9.7175089291691101</v>
      </c>
    </row>
    <row r="199" spans="1:27" s="5" customFormat="1" x14ac:dyDescent="0.25">
      <c r="A199" s="76"/>
      <c r="B199" s="10">
        <v>10</v>
      </c>
      <c r="C199" s="4">
        <v>42046</v>
      </c>
      <c r="D199" s="5">
        <v>6</v>
      </c>
      <c r="E199" s="15">
        <v>3.3</v>
      </c>
      <c r="F199" s="5">
        <v>11.8</v>
      </c>
      <c r="G199" s="5">
        <v>1349.7</v>
      </c>
      <c r="H199" s="5">
        <f t="shared" si="19"/>
        <v>314.3</v>
      </c>
      <c r="J199" s="5">
        <v>0</v>
      </c>
      <c r="K199" s="5">
        <v>318.30000000000007</v>
      </c>
      <c r="L199" s="5">
        <v>0.8</v>
      </c>
      <c r="M199" s="5">
        <v>163.60000000000002</v>
      </c>
      <c r="N199" s="6">
        <v>-0.8</v>
      </c>
      <c r="O199" s="5">
        <f t="shared" si="18"/>
        <v>146.1</v>
      </c>
      <c r="P199" s="5">
        <v>155</v>
      </c>
      <c r="Q199" s="5">
        <v>1</v>
      </c>
      <c r="R199" s="8">
        <f t="shared" si="15"/>
        <v>0.8</v>
      </c>
      <c r="S199" s="8">
        <f t="shared" si="16"/>
        <v>-0.8</v>
      </c>
      <c r="T199" s="8">
        <f t="shared" si="17"/>
        <v>146.1</v>
      </c>
      <c r="V199" s="12">
        <v>269.39999999999998</v>
      </c>
      <c r="W199" s="5">
        <v>44.9</v>
      </c>
      <c r="X199" s="5">
        <v>69921.099999999977</v>
      </c>
      <c r="Y199" s="5">
        <f t="shared" si="20"/>
        <v>18990.000000000004</v>
      </c>
      <c r="AA199" s="5">
        <v>9.7759661318519395</v>
      </c>
    </row>
    <row r="200" spans="1:27" s="5" customFormat="1" x14ac:dyDescent="0.25">
      <c r="A200" s="76"/>
      <c r="B200" s="10"/>
      <c r="C200" s="4">
        <v>42047</v>
      </c>
      <c r="D200" s="15">
        <v>3.5</v>
      </c>
      <c r="E200" s="15">
        <v>0.7</v>
      </c>
      <c r="F200" s="5">
        <v>7.2</v>
      </c>
      <c r="G200" s="5">
        <v>1353.2</v>
      </c>
      <c r="H200" s="5">
        <f t="shared" si="19"/>
        <v>317.8</v>
      </c>
      <c r="J200" s="5">
        <v>0</v>
      </c>
      <c r="K200" s="5">
        <v>318.30000000000007</v>
      </c>
      <c r="L200" s="5">
        <v>0.5</v>
      </c>
      <c r="M200" s="5">
        <v>164.10000000000002</v>
      </c>
      <c r="N200" s="6">
        <v>-0.5</v>
      </c>
      <c r="O200" s="5">
        <f t="shared" si="18"/>
        <v>145.6</v>
      </c>
      <c r="P200" s="5">
        <v>156</v>
      </c>
      <c r="Q200" s="5">
        <v>1</v>
      </c>
      <c r="R200" s="8">
        <f t="shared" si="15"/>
        <v>0.5</v>
      </c>
      <c r="S200" s="8">
        <f t="shared" si="16"/>
        <v>-0.5</v>
      </c>
      <c r="T200" s="8">
        <f t="shared" si="17"/>
        <v>145.6</v>
      </c>
      <c r="V200" s="12">
        <v>272.7</v>
      </c>
      <c r="W200" s="5">
        <v>77.914285714285711</v>
      </c>
      <c r="X200" s="5">
        <v>70193.799999999974</v>
      </c>
      <c r="Y200" s="5">
        <f t="shared" si="20"/>
        <v>19262.700000000004</v>
      </c>
      <c r="AA200" s="5">
        <v>9.8348368241504005</v>
      </c>
    </row>
    <row r="201" spans="1:27" s="5" customFormat="1" x14ac:dyDescent="0.25">
      <c r="A201" s="76"/>
      <c r="B201" s="10"/>
      <c r="C201" s="4">
        <v>42048</v>
      </c>
      <c r="D201" s="5">
        <v>5.8</v>
      </c>
      <c r="E201" s="15">
        <v>0.8</v>
      </c>
      <c r="F201" s="5">
        <v>9</v>
      </c>
      <c r="G201" s="5">
        <v>1359</v>
      </c>
      <c r="H201" s="5">
        <f t="shared" si="19"/>
        <v>323.60000000000002</v>
      </c>
      <c r="J201" s="5">
        <v>1.8</v>
      </c>
      <c r="K201" s="5">
        <v>320.10000000000008</v>
      </c>
      <c r="L201" s="5">
        <v>1</v>
      </c>
      <c r="M201" s="5">
        <v>165.10000000000002</v>
      </c>
      <c r="N201" s="5">
        <v>0.8</v>
      </c>
      <c r="O201" s="5">
        <f t="shared" si="18"/>
        <v>146.4</v>
      </c>
      <c r="P201" s="5">
        <v>157</v>
      </c>
      <c r="Q201" s="5">
        <v>1</v>
      </c>
      <c r="R201" s="8">
        <f t="shared" si="15"/>
        <v>1</v>
      </c>
      <c r="S201" s="8">
        <f t="shared" si="16"/>
        <v>0.8</v>
      </c>
      <c r="T201" s="8">
        <f t="shared" si="17"/>
        <v>146.4</v>
      </c>
      <c r="V201" s="12">
        <v>651.4</v>
      </c>
      <c r="W201" s="5">
        <v>112.31034482758621</v>
      </c>
      <c r="X201" s="5">
        <v>70845.199999999968</v>
      </c>
      <c r="Y201" s="5">
        <f t="shared" si="20"/>
        <v>19914.100000000006</v>
      </c>
      <c r="AA201" s="5">
        <v>9.8940997052701096</v>
      </c>
    </row>
    <row r="202" spans="1:27" s="5" customFormat="1" x14ac:dyDescent="0.25">
      <c r="A202" s="76"/>
      <c r="B202" s="10"/>
      <c r="C202" s="4">
        <v>42049</v>
      </c>
      <c r="D202" s="5">
        <v>6.9</v>
      </c>
      <c r="E202" s="5">
        <v>6.1</v>
      </c>
      <c r="F202" s="5">
        <v>8.9</v>
      </c>
      <c r="G202" s="5">
        <v>1365.9</v>
      </c>
      <c r="H202" s="5">
        <f t="shared" si="19"/>
        <v>330.5</v>
      </c>
      <c r="J202" s="5">
        <v>1</v>
      </c>
      <c r="K202" s="5">
        <v>321.10000000000008</v>
      </c>
      <c r="L202" s="5">
        <v>0.9</v>
      </c>
      <c r="M202" s="5">
        <v>166.00000000000003</v>
      </c>
      <c r="N202" s="5">
        <v>9.9999999999999978E-2</v>
      </c>
      <c r="O202" s="5">
        <f t="shared" si="18"/>
        <v>146.5</v>
      </c>
      <c r="P202" s="5">
        <v>158</v>
      </c>
      <c r="Q202" s="5">
        <v>1</v>
      </c>
      <c r="R202" s="8">
        <f t="shared" si="15"/>
        <v>0.9</v>
      </c>
      <c r="S202" s="8">
        <f t="shared" si="16"/>
        <v>9.9999999999999978E-2</v>
      </c>
      <c r="T202" s="8">
        <f t="shared" si="17"/>
        <v>146.5</v>
      </c>
      <c r="V202" s="12">
        <v>157.69999999999999</v>
      </c>
      <c r="W202" s="5">
        <v>22.855072463768114</v>
      </c>
      <c r="X202" s="5">
        <v>71002.899999999965</v>
      </c>
      <c r="Y202" s="5">
        <f t="shared" si="20"/>
        <v>20071.800000000007</v>
      </c>
      <c r="AA202" s="5">
        <v>9.9537342315050203</v>
      </c>
    </row>
    <row r="203" spans="1:27" s="5" customFormat="1" x14ac:dyDescent="0.25">
      <c r="A203" s="76"/>
      <c r="B203" s="10"/>
      <c r="C203" s="4">
        <v>42050</v>
      </c>
      <c r="D203" s="5">
        <v>6.2</v>
      </c>
      <c r="E203" s="15">
        <v>3.8</v>
      </c>
      <c r="F203" s="5">
        <v>9.3000000000000007</v>
      </c>
      <c r="G203" s="5">
        <v>1372.1000000000001</v>
      </c>
      <c r="H203" s="5">
        <f t="shared" si="19"/>
        <v>336.7</v>
      </c>
      <c r="J203" s="5">
        <v>0</v>
      </c>
      <c r="K203" s="5">
        <v>321.10000000000008</v>
      </c>
      <c r="L203" s="5">
        <v>0.8</v>
      </c>
      <c r="M203" s="5">
        <v>166.80000000000004</v>
      </c>
      <c r="N203" s="6">
        <v>-0.8</v>
      </c>
      <c r="O203" s="5">
        <f t="shared" si="18"/>
        <v>145.69999999999999</v>
      </c>
      <c r="P203" s="5">
        <v>159</v>
      </c>
      <c r="Q203" s="5">
        <v>1</v>
      </c>
      <c r="R203" s="8">
        <f t="shared" si="15"/>
        <v>0.8</v>
      </c>
      <c r="S203" s="8">
        <f t="shared" si="16"/>
        <v>-0.8</v>
      </c>
      <c r="T203" s="8">
        <f t="shared" si="17"/>
        <v>145.69999999999999</v>
      </c>
      <c r="V203" s="12">
        <v>614.6</v>
      </c>
      <c r="W203" s="5">
        <v>99.129032258064512</v>
      </c>
      <c r="X203" s="5">
        <v>71617.499999999971</v>
      </c>
      <c r="Y203" s="5">
        <f t="shared" si="20"/>
        <v>20686.400000000005</v>
      </c>
      <c r="AA203" s="5">
        <v>10.013720605465799</v>
      </c>
    </row>
    <row r="204" spans="1:27" s="5" customFormat="1" x14ac:dyDescent="0.25">
      <c r="A204" s="76"/>
      <c r="B204" s="10"/>
      <c r="C204" s="4">
        <v>42051</v>
      </c>
      <c r="D204" s="15">
        <v>2.8</v>
      </c>
      <c r="E204" s="20">
        <v>-0.5</v>
      </c>
      <c r="F204" s="15">
        <v>4.5</v>
      </c>
      <c r="G204" s="5">
        <v>1374.9</v>
      </c>
      <c r="H204" s="5">
        <f t="shared" si="19"/>
        <v>339.5</v>
      </c>
      <c r="J204" s="5">
        <v>1.5</v>
      </c>
      <c r="K204" s="5">
        <v>322.60000000000008</v>
      </c>
      <c r="L204" s="5">
        <v>0.5</v>
      </c>
      <c r="M204" s="5">
        <v>167.30000000000004</v>
      </c>
      <c r="N204" s="5">
        <v>1</v>
      </c>
      <c r="O204" s="5">
        <f t="shared" si="18"/>
        <v>146.69999999999999</v>
      </c>
      <c r="P204" s="5">
        <v>160</v>
      </c>
      <c r="Q204" s="5">
        <v>1</v>
      </c>
      <c r="R204" s="8">
        <f t="shared" si="15"/>
        <v>0.5</v>
      </c>
      <c r="S204" s="8">
        <f t="shared" si="16"/>
        <v>1</v>
      </c>
      <c r="T204" s="8">
        <f t="shared" si="17"/>
        <v>146.69999999999999</v>
      </c>
      <c r="V204" s="12">
        <v>365.1</v>
      </c>
      <c r="W204" s="5">
        <v>130.39285714285717</v>
      </c>
      <c r="X204" s="5">
        <v>71982.599999999977</v>
      </c>
      <c r="Y204" s="5">
        <f t="shared" si="20"/>
        <v>21051.500000000004</v>
      </c>
      <c r="AA204" s="5">
        <v>10.074039763726899</v>
      </c>
    </row>
    <row r="205" spans="1:27" s="5" customFormat="1" x14ac:dyDescent="0.25">
      <c r="A205" s="76"/>
      <c r="B205" s="10"/>
      <c r="C205" s="4">
        <v>42052</v>
      </c>
      <c r="D205" s="15">
        <v>4.2</v>
      </c>
      <c r="E205" s="15">
        <v>3.7</v>
      </c>
      <c r="F205" s="5">
        <v>7.1</v>
      </c>
      <c r="G205" s="5">
        <v>1379.1000000000001</v>
      </c>
      <c r="H205" s="5">
        <f t="shared" si="19"/>
        <v>343.7</v>
      </c>
      <c r="J205" s="5">
        <v>0.8</v>
      </c>
      <c r="K205" s="5">
        <v>323.40000000000009</v>
      </c>
      <c r="L205" s="5">
        <v>0.6</v>
      </c>
      <c r="M205" s="5">
        <v>167.90000000000003</v>
      </c>
      <c r="N205" s="5">
        <v>0.20000000000000007</v>
      </c>
      <c r="O205" s="5">
        <f t="shared" si="18"/>
        <v>146.89999999999998</v>
      </c>
      <c r="P205" s="5">
        <v>161</v>
      </c>
      <c r="Q205" s="5">
        <v>1</v>
      </c>
      <c r="R205" s="8">
        <f t="shared" si="15"/>
        <v>0.6</v>
      </c>
      <c r="S205" s="8">
        <f t="shared" si="16"/>
        <v>0.20000000000000007</v>
      </c>
      <c r="T205" s="8">
        <f t="shared" si="17"/>
        <v>146.89999999999998</v>
      </c>
      <c r="V205" s="12">
        <v>194.8</v>
      </c>
      <c r="W205" s="5">
        <v>46.38095238095238</v>
      </c>
      <c r="X205" s="5">
        <v>72177.39999999998</v>
      </c>
      <c r="Y205" s="5">
        <f t="shared" si="20"/>
        <v>21246.300000000003</v>
      </c>
      <c r="AA205" s="5">
        <v>10.134673363052</v>
      </c>
    </row>
    <row r="206" spans="1:27" s="5" customFormat="1" x14ac:dyDescent="0.25">
      <c r="A206" s="76"/>
      <c r="B206" s="10"/>
      <c r="C206" s="4">
        <v>42053</v>
      </c>
      <c r="D206" s="15">
        <v>0.7</v>
      </c>
      <c r="E206" s="20">
        <v>-2.4</v>
      </c>
      <c r="F206" s="15">
        <v>4</v>
      </c>
      <c r="G206" s="5">
        <v>1379.8000000000002</v>
      </c>
      <c r="H206" s="5">
        <f t="shared" si="19"/>
        <v>344.4</v>
      </c>
      <c r="J206" s="5">
        <v>0</v>
      </c>
      <c r="K206" s="5">
        <v>323.40000000000009</v>
      </c>
      <c r="L206" s="5">
        <v>0.7</v>
      </c>
      <c r="M206" s="5">
        <v>168.60000000000002</v>
      </c>
      <c r="N206" s="6">
        <v>-0.7</v>
      </c>
      <c r="O206" s="5">
        <f t="shared" si="18"/>
        <v>146.19999999999999</v>
      </c>
      <c r="P206" s="5">
        <v>162</v>
      </c>
      <c r="Q206" s="5">
        <v>1</v>
      </c>
      <c r="R206" s="8">
        <f t="shared" si="15"/>
        <v>0.7</v>
      </c>
      <c r="S206" s="8">
        <f t="shared" si="16"/>
        <v>-0.7</v>
      </c>
      <c r="T206" s="8">
        <f t="shared" si="17"/>
        <v>146.19999999999999</v>
      </c>
      <c r="V206" s="12">
        <v>614.29999999999995</v>
      </c>
      <c r="W206" s="5">
        <v>877.57142857142856</v>
      </c>
      <c r="X206" s="5">
        <v>72791.699999999983</v>
      </c>
      <c r="Y206" s="5">
        <f t="shared" si="20"/>
        <v>21860.600000000002</v>
      </c>
      <c r="AA206" s="5">
        <v>10.195603765348601</v>
      </c>
    </row>
    <row r="207" spans="1:27" s="5" customFormat="1" x14ac:dyDescent="0.25">
      <c r="A207" s="76"/>
      <c r="B207" s="10"/>
      <c r="C207" s="4">
        <v>42054</v>
      </c>
      <c r="D207" s="15">
        <v>3.9</v>
      </c>
      <c r="E207" s="15">
        <v>0.7</v>
      </c>
      <c r="F207" s="5">
        <v>7</v>
      </c>
      <c r="G207" s="5">
        <v>1383.7000000000003</v>
      </c>
      <c r="H207" s="5">
        <f t="shared" si="19"/>
        <v>348.29999999999995</v>
      </c>
      <c r="J207" s="5">
        <v>2.4</v>
      </c>
      <c r="K207" s="5">
        <v>325.80000000000007</v>
      </c>
      <c r="L207" s="5">
        <v>0.8</v>
      </c>
      <c r="M207" s="5">
        <v>169.40000000000003</v>
      </c>
      <c r="N207" s="5">
        <v>1.5999999999999999</v>
      </c>
      <c r="O207" s="5">
        <f t="shared" si="18"/>
        <v>147.79999999999998</v>
      </c>
      <c r="P207" s="5">
        <v>163</v>
      </c>
      <c r="Q207" s="5">
        <v>1</v>
      </c>
      <c r="R207" s="8">
        <f t="shared" si="15"/>
        <v>0.8</v>
      </c>
      <c r="S207" s="8">
        <f t="shared" si="16"/>
        <v>1.5999999999999999</v>
      </c>
      <c r="T207" s="8">
        <f t="shared" si="17"/>
        <v>147.79999999999998</v>
      </c>
      <c r="V207" s="12">
        <v>515.4</v>
      </c>
      <c r="W207" s="5">
        <v>132.15384615384616</v>
      </c>
      <c r="X207" s="5">
        <v>73307.099999999977</v>
      </c>
      <c r="Y207" s="5">
        <f t="shared" si="20"/>
        <v>22376.000000000004</v>
      </c>
      <c r="AA207" s="5">
        <v>10.2568140214922</v>
      </c>
    </row>
    <row r="208" spans="1:27" s="5" customFormat="1" x14ac:dyDescent="0.25">
      <c r="A208" s="76"/>
      <c r="B208" s="10"/>
      <c r="C208" s="4">
        <v>42055</v>
      </c>
      <c r="D208" s="5">
        <v>6.1</v>
      </c>
      <c r="E208" s="15">
        <v>4.4000000000000004</v>
      </c>
      <c r="F208" s="5">
        <v>7.7</v>
      </c>
      <c r="G208" s="5">
        <v>1389.8000000000002</v>
      </c>
      <c r="H208" s="5">
        <f t="shared" si="19"/>
        <v>354.4</v>
      </c>
      <c r="J208" s="5">
        <v>13.2</v>
      </c>
      <c r="K208" s="5">
        <v>339.00000000000006</v>
      </c>
      <c r="L208" s="5">
        <v>0.4</v>
      </c>
      <c r="M208" s="5">
        <v>169.80000000000004</v>
      </c>
      <c r="N208" s="5">
        <v>12.799999999999999</v>
      </c>
      <c r="O208" s="5">
        <v>153.6</v>
      </c>
      <c r="P208" s="5">
        <v>164</v>
      </c>
      <c r="Q208" s="5">
        <v>1</v>
      </c>
      <c r="R208" s="8">
        <f t="shared" si="15"/>
        <v>0.4</v>
      </c>
      <c r="S208" s="8">
        <f t="shared" si="16"/>
        <v>12.799999999999999</v>
      </c>
      <c r="T208" s="8">
        <f t="shared" si="17"/>
        <v>153.6</v>
      </c>
      <c r="V208" s="12">
        <v>118.1</v>
      </c>
      <c r="W208" s="5">
        <v>19.360655737704917</v>
      </c>
      <c r="X208" s="5">
        <v>73425.199999999983</v>
      </c>
      <c r="Y208" s="5">
        <f t="shared" si="20"/>
        <v>22494.100000000002</v>
      </c>
      <c r="AA208" s="5">
        <v>10.318287854155701</v>
      </c>
    </row>
    <row r="209" spans="1:27" s="5" customFormat="1" x14ac:dyDescent="0.25">
      <c r="A209" s="76"/>
      <c r="B209" s="10"/>
      <c r="C209" s="4">
        <v>42056</v>
      </c>
      <c r="D209" s="15">
        <v>3</v>
      </c>
      <c r="E209" s="15">
        <v>1.2</v>
      </c>
      <c r="F209" s="5">
        <v>5.7</v>
      </c>
      <c r="G209" s="5">
        <v>1392.8000000000002</v>
      </c>
      <c r="H209" s="5">
        <f t="shared" si="19"/>
        <v>357.4</v>
      </c>
      <c r="J209" s="5">
        <v>0</v>
      </c>
      <c r="K209" s="5">
        <v>339.00000000000006</v>
      </c>
      <c r="L209" s="5">
        <v>0.5</v>
      </c>
      <c r="M209" s="5">
        <v>170.30000000000004</v>
      </c>
      <c r="N209" s="6">
        <v>-0.5</v>
      </c>
      <c r="O209" s="5">
        <f>O208+N209</f>
        <v>153.1</v>
      </c>
      <c r="P209" s="5">
        <v>165</v>
      </c>
      <c r="Q209" s="5">
        <v>1</v>
      </c>
      <c r="R209" s="8">
        <f t="shared" si="15"/>
        <v>0.5</v>
      </c>
      <c r="S209" s="8">
        <f t="shared" si="16"/>
        <v>-0.5</v>
      </c>
      <c r="T209" s="8">
        <f t="shared" si="17"/>
        <v>153.1</v>
      </c>
      <c r="V209" s="12">
        <v>177</v>
      </c>
      <c r="W209" s="5">
        <v>59</v>
      </c>
      <c r="X209" s="5">
        <v>73602.199999999983</v>
      </c>
      <c r="Y209" s="5">
        <f t="shared" si="20"/>
        <v>22671.100000000002</v>
      </c>
      <c r="AA209" s="5">
        <v>10.3800096397642</v>
      </c>
    </row>
    <row r="210" spans="1:27" s="5" customFormat="1" x14ac:dyDescent="0.25">
      <c r="A210" s="76"/>
      <c r="B210" s="10"/>
      <c r="C210" s="4">
        <v>42057</v>
      </c>
      <c r="D210" s="15">
        <v>3.5</v>
      </c>
      <c r="E210" s="20">
        <v>-0.6</v>
      </c>
      <c r="F210" s="5">
        <v>7</v>
      </c>
      <c r="G210" s="5">
        <v>1396.3000000000002</v>
      </c>
      <c r="H210" s="5">
        <f t="shared" si="19"/>
        <v>360.9</v>
      </c>
      <c r="J210" s="5">
        <v>5.0999999999999996</v>
      </c>
      <c r="K210" s="5">
        <v>344.10000000000008</v>
      </c>
      <c r="L210" s="5">
        <v>1</v>
      </c>
      <c r="M210" s="5">
        <v>171.30000000000004</v>
      </c>
      <c r="N210" s="5">
        <v>4.0999999999999996</v>
      </c>
      <c r="O210" s="5">
        <v>153.6</v>
      </c>
      <c r="P210" s="5">
        <v>166</v>
      </c>
      <c r="Q210" s="5">
        <v>1</v>
      </c>
      <c r="R210" s="8">
        <f t="shared" si="15"/>
        <v>1</v>
      </c>
      <c r="S210" s="8">
        <f t="shared" si="16"/>
        <v>4.0999999999999996</v>
      </c>
      <c r="T210" s="8">
        <f t="shared" si="17"/>
        <v>153.6</v>
      </c>
      <c r="V210" s="12">
        <v>820.1</v>
      </c>
      <c r="W210" s="5">
        <v>234.31428571428572</v>
      </c>
      <c r="X210" s="5">
        <v>74422.299999999988</v>
      </c>
      <c r="Y210" s="5">
        <f t="shared" si="20"/>
        <v>23491.200000000001</v>
      </c>
      <c r="AA210" s="5">
        <v>10.4419643896941</v>
      </c>
    </row>
    <row r="211" spans="1:27" s="5" customFormat="1" x14ac:dyDescent="0.25">
      <c r="A211" s="76"/>
      <c r="B211" s="10"/>
      <c r="C211" s="4">
        <v>42058</v>
      </c>
      <c r="D211" s="5">
        <v>5.8</v>
      </c>
      <c r="E211" s="15">
        <v>4.0999999999999996</v>
      </c>
      <c r="F211" s="5">
        <v>9.5</v>
      </c>
      <c r="G211" s="5">
        <v>1402.1000000000001</v>
      </c>
      <c r="H211" s="5">
        <f t="shared" si="19"/>
        <v>366.7</v>
      </c>
      <c r="J211" s="5">
        <v>3.5</v>
      </c>
      <c r="K211" s="5">
        <v>347.60000000000008</v>
      </c>
      <c r="L211" s="5">
        <v>1.6</v>
      </c>
      <c r="M211" s="5">
        <v>172.90000000000003</v>
      </c>
      <c r="N211" s="5">
        <v>1.9</v>
      </c>
      <c r="O211" s="5">
        <v>153.6</v>
      </c>
      <c r="P211" s="5">
        <v>167</v>
      </c>
      <c r="Q211" s="5">
        <v>1</v>
      </c>
      <c r="R211" s="8">
        <f t="shared" si="15"/>
        <v>1.6</v>
      </c>
      <c r="S211" s="8">
        <f t="shared" si="16"/>
        <v>1.9</v>
      </c>
      <c r="T211" s="8">
        <f t="shared" si="17"/>
        <v>153.6</v>
      </c>
      <c r="V211" s="12">
        <v>524.20000000000005</v>
      </c>
      <c r="W211" s="5">
        <v>90.379310344827601</v>
      </c>
      <c r="X211" s="5">
        <v>74946.499999999985</v>
      </c>
      <c r="Y211" s="5">
        <f t="shared" si="20"/>
        <v>24015.4</v>
      </c>
      <c r="AA211" s="5">
        <v>10.504137730819901</v>
      </c>
    </row>
    <row r="212" spans="1:27" s="5" customFormat="1" x14ac:dyDescent="0.25">
      <c r="A212" s="76"/>
      <c r="B212" s="10"/>
      <c r="C212" s="4">
        <v>42059</v>
      </c>
      <c r="D212" s="15">
        <v>4.9000000000000004</v>
      </c>
      <c r="E212" s="15">
        <v>3</v>
      </c>
      <c r="F212" s="5">
        <v>8.6</v>
      </c>
      <c r="G212" s="5">
        <v>1407.0000000000002</v>
      </c>
      <c r="H212" s="5">
        <f t="shared" si="19"/>
        <v>371.59999999999997</v>
      </c>
      <c r="J212" s="5">
        <v>3</v>
      </c>
      <c r="K212" s="5">
        <v>350.60000000000008</v>
      </c>
      <c r="L212" s="5">
        <v>1.6</v>
      </c>
      <c r="M212" s="5">
        <v>174.50000000000003</v>
      </c>
      <c r="N212" s="5">
        <v>1.4</v>
      </c>
      <c r="O212" s="5">
        <v>153.6</v>
      </c>
      <c r="P212" s="5">
        <v>168</v>
      </c>
      <c r="Q212" s="5">
        <v>1</v>
      </c>
      <c r="R212" s="8">
        <f t="shared" si="15"/>
        <v>1.6</v>
      </c>
      <c r="S212" s="8">
        <f t="shared" si="16"/>
        <v>1.4</v>
      </c>
      <c r="T212" s="8">
        <f t="shared" si="17"/>
        <v>153.6</v>
      </c>
      <c r="V212" s="12">
        <v>818.8</v>
      </c>
      <c r="W212" s="5">
        <v>167.10204081632651</v>
      </c>
      <c r="X212" s="5">
        <v>75765.299999999988</v>
      </c>
      <c r="Y212" s="5">
        <f t="shared" si="20"/>
        <v>24834.2</v>
      </c>
      <c r="AA212" s="5">
        <v>10.566515885508799</v>
      </c>
    </row>
    <row r="213" spans="1:27" s="5" customFormat="1" x14ac:dyDescent="0.25">
      <c r="A213" s="76"/>
      <c r="B213" s="10"/>
      <c r="C213" s="4">
        <v>42060</v>
      </c>
      <c r="D213" s="15">
        <v>5</v>
      </c>
      <c r="E213" s="15">
        <v>2.5</v>
      </c>
      <c r="F213" s="5">
        <v>7.3</v>
      </c>
      <c r="G213" s="5">
        <v>1412.0000000000002</v>
      </c>
      <c r="H213" s="5">
        <f t="shared" si="19"/>
        <v>376.59999999999997</v>
      </c>
      <c r="J213" s="5">
        <v>5</v>
      </c>
      <c r="K213" s="5">
        <v>355.60000000000008</v>
      </c>
      <c r="L213" s="5">
        <v>0.4</v>
      </c>
      <c r="M213" s="5">
        <v>174.90000000000003</v>
      </c>
      <c r="N213" s="5">
        <v>4.5999999999999996</v>
      </c>
      <c r="O213" s="5">
        <v>153.6</v>
      </c>
      <c r="P213" s="5">
        <v>169</v>
      </c>
      <c r="Q213" s="5">
        <v>1</v>
      </c>
      <c r="R213" s="8">
        <f t="shared" si="15"/>
        <v>0.4</v>
      </c>
      <c r="S213" s="8">
        <f t="shared" si="16"/>
        <v>4.5999999999999996</v>
      </c>
      <c r="T213" s="8">
        <f t="shared" si="17"/>
        <v>153.6</v>
      </c>
      <c r="V213" s="12">
        <v>171.1</v>
      </c>
      <c r="W213" s="5">
        <v>34.22</v>
      </c>
      <c r="X213" s="5">
        <v>75936.399999999994</v>
      </c>
      <c r="Y213" s="5">
        <f t="shared" si="20"/>
        <v>25005.3</v>
      </c>
      <c r="AA213" s="5">
        <v>10.6290856511529</v>
      </c>
    </row>
    <row r="214" spans="1:27" s="5" customFormat="1" x14ac:dyDescent="0.25">
      <c r="A214" s="76"/>
      <c r="B214" s="10"/>
      <c r="C214" s="4">
        <v>42061</v>
      </c>
      <c r="D214" s="5">
        <v>7.7</v>
      </c>
      <c r="E214" s="15">
        <v>4.8</v>
      </c>
      <c r="F214" s="5">
        <v>11</v>
      </c>
      <c r="G214" s="5">
        <v>1419.7000000000003</v>
      </c>
      <c r="H214" s="5">
        <f t="shared" si="19"/>
        <v>384.29999999999995</v>
      </c>
      <c r="J214" s="5">
        <v>9.8000000000000007</v>
      </c>
      <c r="K214" s="5">
        <v>365.40000000000009</v>
      </c>
      <c r="L214" s="5">
        <v>0.4</v>
      </c>
      <c r="M214" s="5">
        <v>175.30000000000004</v>
      </c>
      <c r="N214" s="5">
        <v>9.4</v>
      </c>
      <c r="O214" s="5">
        <v>153.6</v>
      </c>
      <c r="P214" s="5">
        <v>170</v>
      </c>
      <c r="Q214" s="5">
        <v>1</v>
      </c>
      <c r="R214" s="8">
        <f t="shared" si="15"/>
        <v>0.4</v>
      </c>
      <c r="S214" s="8">
        <f t="shared" si="16"/>
        <v>9.4</v>
      </c>
      <c r="T214" s="8">
        <f t="shared" si="17"/>
        <v>153.6</v>
      </c>
      <c r="V214" s="12">
        <v>201.7</v>
      </c>
      <c r="W214" s="5">
        <v>26.194805194805191</v>
      </c>
      <c r="X214" s="5">
        <v>76138.099999999991</v>
      </c>
      <c r="Y214" s="5">
        <f t="shared" si="20"/>
        <v>25207</v>
      </c>
      <c r="AA214" s="5">
        <v>10.6918343793206</v>
      </c>
    </row>
    <row r="215" spans="1:27" s="5" customFormat="1" x14ac:dyDescent="0.25">
      <c r="A215" s="76"/>
      <c r="B215" s="10"/>
      <c r="C215" s="4">
        <v>42062</v>
      </c>
      <c r="D215" s="15">
        <v>3.6</v>
      </c>
      <c r="E215" s="15">
        <v>2.2999999999999998</v>
      </c>
      <c r="F215" s="5">
        <v>7</v>
      </c>
      <c r="G215" s="5">
        <v>1423.3000000000002</v>
      </c>
      <c r="H215" s="5">
        <f t="shared" si="19"/>
        <v>387.9</v>
      </c>
      <c r="J215" s="5">
        <v>0</v>
      </c>
      <c r="K215" s="5">
        <v>365.40000000000009</v>
      </c>
      <c r="L215" s="5">
        <v>1.6</v>
      </c>
      <c r="M215" s="5">
        <v>176.90000000000003</v>
      </c>
      <c r="N215" s="6">
        <v>-1.6</v>
      </c>
      <c r="O215" s="5">
        <f>O214+N215</f>
        <v>152</v>
      </c>
      <c r="P215" s="5">
        <v>171</v>
      </c>
      <c r="Q215" s="5">
        <v>1</v>
      </c>
      <c r="R215" s="8">
        <f t="shared" si="15"/>
        <v>1.6</v>
      </c>
      <c r="S215" s="8">
        <f t="shared" si="16"/>
        <v>-1.6</v>
      </c>
      <c r="T215" s="8">
        <f t="shared" si="17"/>
        <v>152</v>
      </c>
      <c r="V215" s="5">
        <v>1042</v>
      </c>
      <c r="W215" s="5">
        <v>289.44444444444446</v>
      </c>
      <c r="X215" s="5">
        <v>77180.099999999991</v>
      </c>
      <c r="Y215" s="5">
        <f t="shared" si="20"/>
        <v>26249</v>
      </c>
      <c r="AA215" s="5">
        <v>10.7547499546026</v>
      </c>
    </row>
    <row r="216" spans="1:27" s="5" customFormat="1" x14ac:dyDescent="0.25">
      <c r="A216" s="76"/>
      <c r="B216" s="10"/>
      <c r="C216" s="4">
        <v>42063</v>
      </c>
      <c r="D216" s="5">
        <v>5.9</v>
      </c>
      <c r="E216" s="15">
        <v>0.6</v>
      </c>
      <c r="F216" s="5">
        <v>9.6999999999999993</v>
      </c>
      <c r="G216" s="5">
        <v>1429.2000000000003</v>
      </c>
      <c r="H216" s="5">
        <f t="shared" si="19"/>
        <v>393.79999999999995</v>
      </c>
      <c r="J216" s="5">
        <v>3</v>
      </c>
      <c r="K216" s="5">
        <v>368.40000000000009</v>
      </c>
      <c r="L216" s="5">
        <v>1</v>
      </c>
      <c r="M216" s="5">
        <v>177.90000000000003</v>
      </c>
      <c r="N216" s="5">
        <v>2</v>
      </c>
      <c r="O216" s="5">
        <v>153.6</v>
      </c>
      <c r="P216" s="5">
        <v>172</v>
      </c>
      <c r="Q216" s="5">
        <v>1</v>
      </c>
      <c r="R216" s="8">
        <f t="shared" si="15"/>
        <v>1</v>
      </c>
      <c r="S216" s="8">
        <f t="shared" si="16"/>
        <v>2</v>
      </c>
      <c r="T216" s="8">
        <f t="shared" si="17"/>
        <v>153.6</v>
      </c>
      <c r="V216" s="12">
        <v>605.20000000000005</v>
      </c>
      <c r="W216" s="5">
        <v>102.57627118644068</v>
      </c>
      <c r="X216" s="5">
        <v>77785.299999999988</v>
      </c>
      <c r="Y216" s="5">
        <f t="shared" si="20"/>
        <v>26854.2</v>
      </c>
      <c r="AA216" s="5">
        <v>10.817820773220401</v>
      </c>
    </row>
    <row r="217" spans="1:27" s="5" customFormat="1" x14ac:dyDescent="0.25">
      <c r="A217" s="76"/>
      <c r="B217" s="10"/>
      <c r="C217" s="4">
        <v>42064</v>
      </c>
      <c r="D217" s="5">
        <v>9</v>
      </c>
      <c r="E217" s="5">
        <v>7.1</v>
      </c>
      <c r="F217" s="5">
        <v>10.4</v>
      </c>
      <c r="G217" s="5">
        <v>1438.2000000000003</v>
      </c>
      <c r="H217" s="5">
        <f t="shared" si="19"/>
        <v>402.79999999999995</v>
      </c>
      <c r="J217" s="5">
        <v>3</v>
      </c>
      <c r="K217" s="5">
        <v>371.40000000000009</v>
      </c>
      <c r="L217" s="5">
        <v>1.5</v>
      </c>
      <c r="M217" s="5">
        <v>179.40000000000003</v>
      </c>
      <c r="N217" s="5">
        <v>1.5</v>
      </c>
      <c r="O217" s="5">
        <v>153.6</v>
      </c>
      <c r="P217" s="5">
        <v>173</v>
      </c>
      <c r="Q217" s="5">
        <v>1</v>
      </c>
      <c r="R217" s="8">
        <f t="shared" si="15"/>
        <v>1.5</v>
      </c>
      <c r="S217" s="8">
        <f t="shared" si="16"/>
        <v>1.5</v>
      </c>
      <c r="T217" s="8">
        <f t="shared" si="17"/>
        <v>153.6</v>
      </c>
      <c r="V217" s="12">
        <v>563.20000000000005</v>
      </c>
      <c r="W217" s="5">
        <v>62.577777777777783</v>
      </c>
      <c r="X217" s="5">
        <v>78348.499999999985</v>
      </c>
      <c r="Y217" s="5">
        <f t="shared" si="20"/>
        <v>27417.4</v>
      </c>
      <c r="AA217" s="5">
        <v>10.881035721457801</v>
      </c>
    </row>
    <row r="218" spans="1:27" s="5" customFormat="1" x14ac:dyDescent="0.25">
      <c r="A218" s="76"/>
      <c r="B218" s="10"/>
      <c r="C218" s="4">
        <v>42065</v>
      </c>
      <c r="D218" s="15">
        <v>5</v>
      </c>
      <c r="E218" s="15">
        <v>4.2</v>
      </c>
      <c r="F218" s="5">
        <v>6.7</v>
      </c>
      <c r="G218" s="5">
        <v>1443.2000000000003</v>
      </c>
      <c r="H218" s="5">
        <f t="shared" si="19"/>
        <v>407.79999999999995</v>
      </c>
      <c r="J218" s="5">
        <v>2.7</v>
      </c>
      <c r="K218" s="5">
        <v>374.10000000000008</v>
      </c>
      <c r="L218" s="5">
        <v>1.5</v>
      </c>
      <c r="M218" s="5">
        <v>180.90000000000003</v>
      </c>
      <c r="N218" s="5">
        <v>1.2000000000000002</v>
      </c>
      <c r="O218" s="5">
        <v>153.6</v>
      </c>
      <c r="P218" s="5">
        <v>174</v>
      </c>
      <c r="Q218" s="5">
        <v>1</v>
      </c>
      <c r="R218" s="8">
        <f t="shared" si="15"/>
        <v>1.5</v>
      </c>
      <c r="S218" s="8">
        <f t="shared" si="16"/>
        <v>1.2000000000000002</v>
      </c>
      <c r="T218" s="8">
        <f t="shared" si="17"/>
        <v>153.6</v>
      </c>
      <c r="V218" s="12">
        <v>753.4</v>
      </c>
      <c r="W218" s="5">
        <v>150.68</v>
      </c>
      <c r="X218" s="5">
        <v>79101.89999999998</v>
      </c>
      <c r="Y218" s="5">
        <f t="shared" si="20"/>
        <v>28170.800000000003</v>
      </c>
      <c r="AA218" s="5">
        <v>10.9443841539697</v>
      </c>
    </row>
    <row r="219" spans="1:27" s="5" customFormat="1" x14ac:dyDescent="0.25">
      <c r="A219" s="76"/>
      <c r="B219" s="10"/>
      <c r="C219" s="4">
        <v>42066</v>
      </c>
      <c r="D219" s="15">
        <v>4.4000000000000004</v>
      </c>
      <c r="E219" s="15">
        <v>2.7</v>
      </c>
      <c r="F219" s="5">
        <v>8</v>
      </c>
      <c r="G219" s="5">
        <v>1447.6000000000004</v>
      </c>
      <c r="H219" s="5">
        <f t="shared" si="19"/>
        <v>412.19999999999993</v>
      </c>
      <c r="J219" s="5">
        <v>1.9</v>
      </c>
      <c r="K219" s="5">
        <v>376.00000000000006</v>
      </c>
      <c r="L219" s="5">
        <v>1.1000000000000001</v>
      </c>
      <c r="M219" s="5">
        <v>182.00000000000003</v>
      </c>
      <c r="N219" s="5">
        <v>0.79999999999999982</v>
      </c>
      <c r="O219" s="5">
        <v>153.6</v>
      </c>
      <c r="P219" s="5">
        <v>175</v>
      </c>
      <c r="Q219" s="5">
        <v>1</v>
      </c>
      <c r="R219" s="8">
        <f t="shared" si="15"/>
        <v>1.1000000000000001</v>
      </c>
      <c r="S219" s="8">
        <f t="shared" si="16"/>
        <v>0.79999999999999982</v>
      </c>
      <c r="T219" s="8">
        <f t="shared" si="17"/>
        <v>153.6</v>
      </c>
      <c r="V219" s="12">
        <v>386.8</v>
      </c>
      <c r="W219" s="5">
        <v>87.909090909090907</v>
      </c>
      <c r="X219" s="5">
        <v>79488.699999999983</v>
      </c>
      <c r="Y219" s="5">
        <f t="shared" si="20"/>
        <v>28557.600000000002</v>
      </c>
      <c r="AA219" s="5">
        <v>11.007855872017499</v>
      </c>
    </row>
    <row r="220" spans="1:27" s="5" customFormat="1" x14ac:dyDescent="0.25">
      <c r="A220" s="76"/>
      <c r="B220" s="10"/>
      <c r="C220" s="4">
        <v>42067</v>
      </c>
      <c r="D220" s="15">
        <v>4.4000000000000004</v>
      </c>
      <c r="E220" s="15">
        <v>1.3</v>
      </c>
      <c r="F220" s="5">
        <v>8.6999999999999993</v>
      </c>
      <c r="G220" s="5">
        <v>1452.0000000000005</v>
      </c>
      <c r="H220" s="5">
        <f t="shared" si="19"/>
        <v>416.59999999999991</v>
      </c>
      <c r="J220" s="5">
        <v>0</v>
      </c>
      <c r="K220" s="5">
        <v>376.00000000000006</v>
      </c>
      <c r="L220" s="5">
        <v>1.6</v>
      </c>
      <c r="M220" s="5">
        <v>183.60000000000002</v>
      </c>
      <c r="N220" s="6">
        <v>-1.6</v>
      </c>
      <c r="O220" s="5">
        <f t="shared" ref="O220:O247" si="21">O219+N220</f>
        <v>152</v>
      </c>
      <c r="P220" s="5">
        <v>176</v>
      </c>
      <c r="Q220" s="5">
        <v>1</v>
      </c>
      <c r="R220" s="8">
        <f t="shared" si="15"/>
        <v>1.6</v>
      </c>
      <c r="S220" s="8">
        <f t="shared" si="16"/>
        <v>-1.6</v>
      </c>
      <c r="T220" s="8">
        <f t="shared" si="17"/>
        <v>152</v>
      </c>
      <c r="V220" s="5">
        <v>1080.4000000000001</v>
      </c>
      <c r="W220" s="5">
        <v>245.54545454545453</v>
      </c>
      <c r="X220" s="5">
        <v>80569.099999999977</v>
      </c>
      <c r="Y220" s="5">
        <f t="shared" si="20"/>
        <v>29638.000000000004</v>
      </c>
      <c r="AA220" s="5">
        <v>11.0714411016731</v>
      </c>
    </row>
    <row r="221" spans="1:27" s="5" customFormat="1" x14ac:dyDescent="0.25">
      <c r="A221" s="76"/>
      <c r="B221" s="10"/>
      <c r="C221" s="4">
        <v>42068</v>
      </c>
      <c r="D221" s="15">
        <v>4.7</v>
      </c>
      <c r="E221" s="15">
        <v>0.5</v>
      </c>
      <c r="F221" s="5">
        <v>9.4</v>
      </c>
      <c r="G221" s="5">
        <v>1456.7000000000005</v>
      </c>
      <c r="H221" s="5">
        <f t="shared" si="19"/>
        <v>421.2999999999999</v>
      </c>
      <c r="J221" s="5">
        <v>0.2</v>
      </c>
      <c r="K221" s="5">
        <v>376.20000000000005</v>
      </c>
      <c r="L221" s="5">
        <v>1.4</v>
      </c>
      <c r="M221" s="5">
        <v>185.00000000000003</v>
      </c>
      <c r="N221" s="6">
        <v>-1.2</v>
      </c>
      <c r="O221" s="5">
        <f t="shared" si="21"/>
        <v>150.80000000000001</v>
      </c>
      <c r="P221" s="5">
        <v>177</v>
      </c>
      <c r="Q221" s="5">
        <v>1</v>
      </c>
      <c r="R221" s="8">
        <f t="shared" si="15"/>
        <v>1.4</v>
      </c>
      <c r="S221" s="8">
        <f t="shared" si="16"/>
        <v>-1.2</v>
      </c>
      <c r="T221" s="8">
        <f t="shared" si="17"/>
        <v>150.80000000000001</v>
      </c>
      <c r="V221" s="5">
        <v>990.7</v>
      </c>
      <c r="W221" s="5">
        <v>210.78723404255319</v>
      </c>
      <c r="X221" s="5">
        <v>81559.799999999974</v>
      </c>
      <c r="Y221" s="5">
        <f t="shared" si="20"/>
        <v>30628.700000000004</v>
      </c>
      <c r="AA221" s="5">
        <v>11.1351304720285</v>
      </c>
    </row>
    <row r="222" spans="1:27" s="44" customFormat="1" ht="15.75" thickBot="1" x14ac:dyDescent="0.3">
      <c r="A222" s="76"/>
      <c r="B222" s="50"/>
      <c r="C222" s="42">
        <v>42069</v>
      </c>
      <c r="D222" s="43">
        <v>5.4</v>
      </c>
      <c r="E222" s="43">
        <v>1.4</v>
      </c>
      <c r="F222" s="43">
        <v>9.5</v>
      </c>
      <c r="G222" s="43">
        <v>1462.1000000000006</v>
      </c>
      <c r="H222" s="44">
        <f t="shared" si="19"/>
        <v>426.69999999999987</v>
      </c>
      <c r="I222" s="43"/>
      <c r="J222" s="43">
        <v>0</v>
      </c>
      <c r="K222" s="43">
        <v>376.20000000000005</v>
      </c>
      <c r="L222" s="43">
        <v>1.4</v>
      </c>
      <c r="M222" s="43">
        <v>186.40000000000003</v>
      </c>
      <c r="N222" s="43">
        <v>-1.4</v>
      </c>
      <c r="O222" s="44">
        <f t="shared" si="21"/>
        <v>149.4</v>
      </c>
      <c r="P222" s="44">
        <v>178</v>
      </c>
      <c r="Q222" s="45">
        <v>1</v>
      </c>
      <c r="R222" s="46">
        <f t="shared" si="15"/>
        <v>1.4</v>
      </c>
      <c r="S222" s="46">
        <f t="shared" si="16"/>
        <v>-1.4</v>
      </c>
      <c r="T222" s="47">
        <f t="shared" si="17"/>
        <v>149.4</v>
      </c>
      <c r="U222" s="43"/>
      <c r="V222" s="48">
        <v>869.4</v>
      </c>
      <c r="W222" s="43">
        <v>160.99999999999997</v>
      </c>
      <c r="X222" s="43">
        <v>82429.199999999968</v>
      </c>
      <c r="Y222" s="45">
        <f t="shared" si="20"/>
        <v>31498.100000000006</v>
      </c>
      <c r="Z222" s="43"/>
      <c r="AA222" s="45">
        <v>11.1989149934452</v>
      </c>
    </row>
    <row r="223" spans="1:27" s="5" customFormat="1" ht="15" customHeight="1" x14ac:dyDescent="0.25">
      <c r="A223" s="77" t="s">
        <v>20</v>
      </c>
      <c r="B223" s="10"/>
      <c r="C223" s="4">
        <v>42070</v>
      </c>
      <c r="D223" s="5">
        <v>7</v>
      </c>
      <c r="E223" s="15">
        <v>2.2000000000000002</v>
      </c>
      <c r="F223" s="5">
        <v>11.3</v>
      </c>
      <c r="G223" s="5">
        <v>1469.1000000000006</v>
      </c>
      <c r="H223" s="5">
        <v>7</v>
      </c>
      <c r="I223" s="21" t="s">
        <v>2</v>
      </c>
      <c r="J223" s="5">
        <v>0</v>
      </c>
      <c r="K223" s="5">
        <v>376.20000000000005</v>
      </c>
      <c r="L223" s="5">
        <v>2</v>
      </c>
      <c r="M223" s="5">
        <v>188.40000000000003</v>
      </c>
      <c r="N223" s="6">
        <v>-2</v>
      </c>
      <c r="O223" s="5">
        <f t="shared" si="21"/>
        <v>147.4</v>
      </c>
      <c r="P223" s="5">
        <v>179</v>
      </c>
      <c r="Q223" s="13">
        <f>1+((P223-178)/39)*(1.15-1)</f>
        <v>1.0038461538461538</v>
      </c>
      <c r="R223" s="8">
        <f t="shared" si="15"/>
        <v>2.0076923076923077</v>
      </c>
      <c r="S223" s="8">
        <f t="shared" si="16"/>
        <v>-2.0076923076923077</v>
      </c>
      <c r="T223" s="8">
        <f t="shared" si="17"/>
        <v>147.3923076923077</v>
      </c>
      <c r="U223" s="21" t="s">
        <v>3</v>
      </c>
      <c r="V223" s="5">
        <v>1294.5</v>
      </c>
      <c r="W223" s="5">
        <v>184.92857142857142</v>
      </c>
      <c r="X223" s="5">
        <v>83723.699999999968</v>
      </c>
      <c r="Y223" s="5">
        <v>1294.5</v>
      </c>
      <c r="Z223" s="21" t="s">
        <v>4</v>
      </c>
      <c r="AA223" s="5">
        <v>11.262786035868301</v>
      </c>
    </row>
    <row r="224" spans="1:27" s="5" customFormat="1" x14ac:dyDescent="0.25">
      <c r="A224" s="77"/>
      <c r="B224" s="10"/>
      <c r="C224" s="4">
        <v>42071</v>
      </c>
      <c r="D224" s="5">
        <v>9.6</v>
      </c>
      <c r="E224" s="15">
        <v>2.6</v>
      </c>
      <c r="F224" s="5">
        <v>14.8</v>
      </c>
      <c r="G224" s="5">
        <v>1478.7000000000005</v>
      </c>
      <c r="H224" s="5">
        <f t="shared" si="19"/>
        <v>16.600000000000001</v>
      </c>
      <c r="I224" s="5">
        <v>-1.6</v>
      </c>
      <c r="J224" s="5">
        <v>0</v>
      </c>
      <c r="K224" s="5">
        <v>376.20000000000005</v>
      </c>
      <c r="L224" s="5">
        <v>2</v>
      </c>
      <c r="M224" s="5">
        <v>190.40000000000003</v>
      </c>
      <c r="N224" s="6">
        <v>-2</v>
      </c>
      <c r="O224" s="5">
        <f t="shared" si="21"/>
        <v>145.4</v>
      </c>
      <c r="P224" s="5">
        <v>180</v>
      </c>
      <c r="Q224" s="13">
        <f t="shared" ref="Q224:Q261" si="22">1+((P224-178)/39)*(1.15-1)</f>
        <v>1.0076923076923077</v>
      </c>
      <c r="R224" s="8">
        <f t="shared" si="15"/>
        <v>2.0153846153846153</v>
      </c>
      <c r="S224" s="8">
        <f t="shared" si="16"/>
        <v>-2.0153846153846153</v>
      </c>
      <c r="T224" s="8">
        <f t="shared" si="17"/>
        <v>145.37692307692308</v>
      </c>
      <c r="U224" s="5">
        <v>30</v>
      </c>
      <c r="V224" s="5">
        <v>1356.6</v>
      </c>
      <c r="W224" s="5">
        <v>141.3125</v>
      </c>
      <c r="X224" s="5">
        <v>85080.299999999974</v>
      </c>
      <c r="Y224" s="5">
        <f t="shared" si="20"/>
        <v>2651.1</v>
      </c>
      <c r="Z224" s="5">
        <v>41913.4</v>
      </c>
      <c r="AA224" s="5">
        <v>11.326735307231599</v>
      </c>
    </row>
    <row r="225" spans="1:28" s="5" customFormat="1" x14ac:dyDescent="0.25">
      <c r="A225" s="77"/>
      <c r="B225" s="10"/>
      <c r="C225" s="4">
        <v>42072</v>
      </c>
      <c r="D225" s="5">
        <v>10</v>
      </c>
      <c r="E225" s="5">
        <v>7.4</v>
      </c>
      <c r="F225" s="5">
        <v>13.6</v>
      </c>
      <c r="G225" s="5">
        <v>1488.7000000000005</v>
      </c>
      <c r="H225" s="5">
        <f t="shared" si="19"/>
        <v>26.6</v>
      </c>
      <c r="I225" s="21" t="s">
        <v>5</v>
      </c>
      <c r="J225" s="5">
        <v>0</v>
      </c>
      <c r="K225" s="5">
        <v>376.20000000000005</v>
      </c>
      <c r="L225" s="5">
        <v>1</v>
      </c>
      <c r="M225" s="5">
        <v>191.40000000000003</v>
      </c>
      <c r="N225" s="6">
        <v>-1</v>
      </c>
      <c r="O225" s="5">
        <f t="shared" si="21"/>
        <v>144.4</v>
      </c>
      <c r="P225" s="5">
        <v>181</v>
      </c>
      <c r="Q225" s="13">
        <f t="shared" si="22"/>
        <v>1.0115384615384615</v>
      </c>
      <c r="R225" s="8">
        <f t="shared" si="15"/>
        <v>1.0115384615384615</v>
      </c>
      <c r="S225" s="8">
        <f t="shared" si="16"/>
        <v>-1.0115384615384615</v>
      </c>
      <c r="T225" s="8">
        <f t="shared" si="17"/>
        <v>144.36538461538461</v>
      </c>
      <c r="U225" s="21" t="s">
        <v>6</v>
      </c>
      <c r="V225" s="12">
        <v>416.9</v>
      </c>
      <c r="W225" s="5">
        <v>41.69</v>
      </c>
      <c r="X225" s="5">
        <v>85497.199999999968</v>
      </c>
      <c r="Y225" s="5">
        <f t="shared" si="20"/>
        <v>3068</v>
      </c>
      <c r="Z225" s="21" t="s">
        <v>7</v>
      </c>
      <c r="AA225" s="5">
        <v>11.3907548319714</v>
      </c>
    </row>
    <row r="226" spans="1:28" s="5" customFormat="1" x14ac:dyDescent="0.25">
      <c r="A226" s="77"/>
      <c r="B226" s="10"/>
      <c r="C226" s="4">
        <v>42073</v>
      </c>
      <c r="D226" s="5">
        <v>8.9</v>
      </c>
      <c r="E226" s="5">
        <v>7.9</v>
      </c>
      <c r="F226" s="5">
        <v>12.4</v>
      </c>
      <c r="G226" s="5">
        <v>1497.6000000000006</v>
      </c>
      <c r="H226" s="5">
        <f t="shared" si="19"/>
        <v>35.5</v>
      </c>
      <c r="I226" s="5">
        <f>MAX(F223:F261)</f>
        <v>21.7</v>
      </c>
      <c r="J226" s="5">
        <v>0</v>
      </c>
      <c r="K226" s="5">
        <v>376.20000000000005</v>
      </c>
      <c r="L226" s="5">
        <v>1.8</v>
      </c>
      <c r="M226" s="5">
        <v>193.20000000000005</v>
      </c>
      <c r="N226" s="6">
        <v>-1.8</v>
      </c>
      <c r="O226" s="5">
        <f t="shared" si="21"/>
        <v>142.6</v>
      </c>
      <c r="P226" s="5">
        <v>182</v>
      </c>
      <c r="Q226" s="13">
        <f t="shared" si="22"/>
        <v>1.0153846153846153</v>
      </c>
      <c r="R226" s="8">
        <f t="shared" si="15"/>
        <v>1.8276923076923077</v>
      </c>
      <c r="S226" s="8">
        <f t="shared" si="16"/>
        <v>-1.8276923076923077</v>
      </c>
      <c r="T226" s="8">
        <f t="shared" si="17"/>
        <v>142.53769230769231</v>
      </c>
      <c r="U226" s="5">
        <v>0</v>
      </c>
      <c r="V226" s="5">
        <v>995.3</v>
      </c>
      <c r="W226" s="5">
        <v>111.8314606741573</v>
      </c>
      <c r="X226" s="5">
        <v>86492.499999999971</v>
      </c>
      <c r="Y226" s="5">
        <f t="shared" si="20"/>
        <v>4063.3</v>
      </c>
      <c r="Z226" s="13">
        <f>(Z224/100)/I236</f>
        <v>1.408853781512605</v>
      </c>
      <c r="AA226" s="5">
        <v>11.454836929664401</v>
      </c>
    </row>
    <row r="227" spans="1:28" s="5" customFormat="1" x14ac:dyDescent="0.25">
      <c r="A227" s="77"/>
      <c r="B227" s="10"/>
      <c r="C227" s="4">
        <v>42074</v>
      </c>
      <c r="D227" s="5">
        <v>5.9</v>
      </c>
      <c r="E227" s="15">
        <v>1.8</v>
      </c>
      <c r="F227" s="5">
        <v>9.6999999999999993</v>
      </c>
      <c r="G227" s="5">
        <v>1503.5000000000007</v>
      </c>
      <c r="H227" s="5">
        <f t="shared" si="19"/>
        <v>41.4</v>
      </c>
      <c r="I227" s="21" t="s">
        <v>8</v>
      </c>
      <c r="J227" s="5">
        <v>0</v>
      </c>
      <c r="K227" s="5">
        <v>376.20000000000005</v>
      </c>
      <c r="L227" s="5">
        <v>1.5</v>
      </c>
      <c r="M227" s="5">
        <v>194.70000000000005</v>
      </c>
      <c r="N227" s="6">
        <v>-1.5</v>
      </c>
      <c r="O227" s="5">
        <f t="shared" si="21"/>
        <v>141.1</v>
      </c>
      <c r="P227" s="5">
        <v>183</v>
      </c>
      <c r="Q227" s="13">
        <f t="shared" si="22"/>
        <v>1.0192307692307692</v>
      </c>
      <c r="R227" s="8">
        <f t="shared" si="15"/>
        <v>1.5288461538461537</v>
      </c>
      <c r="S227" s="8">
        <f t="shared" si="16"/>
        <v>-1.5288461538461537</v>
      </c>
      <c r="T227" s="8">
        <f t="shared" si="17"/>
        <v>141.00884615384615</v>
      </c>
      <c r="U227" s="21" t="s">
        <v>9</v>
      </c>
      <c r="V227" s="5">
        <v>1053.7</v>
      </c>
      <c r="W227" s="5">
        <v>178.59322033898306</v>
      </c>
      <c r="X227" s="5">
        <v>87546.199999999968</v>
      </c>
      <c r="Y227" s="5">
        <f t="shared" si="20"/>
        <v>5117</v>
      </c>
      <c r="Z227" s="21" t="s">
        <v>10</v>
      </c>
      <c r="AA227" s="5">
        <v>11.518974193804301</v>
      </c>
    </row>
    <row r="228" spans="1:28" s="5" customFormat="1" x14ac:dyDescent="0.25">
      <c r="A228" s="77"/>
      <c r="B228" s="10"/>
      <c r="C228" s="4">
        <v>42075</v>
      </c>
      <c r="D228" s="5">
        <v>6.5</v>
      </c>
      <c r="E228" s="20">
        <v>-0.5</v>
      </c>
      <c r="F228" s="5">
        <v>13</v>
      </c>
      <c r="G228" s="5">
        <v>1510.0000000000007</v>
      </c>
      <c r="H228" s="5">
        <f t="shared" si="19"/>
        <v>47.9</v>
      </c>
      <c r="I228" s="8">
        <f>AVERAGE(D223:D261)</f>
        <v>7.6282051282051269</v>
      </c>
      <c r="J228" s="5">
        <v>0</v>
      </c>
      <c r="K228" s="5">
        <v>376.20000000000005</v>
      </c>
      <c r="L228" s="5">
        <v>2.1</v>
      </c>
      <c r="M228" s="5">
        <v>196.80000000000004</v>
      </c>
      <c r="N228" s="6">
        <v>-2.1</v>
      </c>
      <c r="O228" s="5">
        <f t="shared" si="21"/>
        <v>139</v>
      </c>
      <c r="P228" s="5">
        <v>184</v>
      </c>
      <c r="Q228" s="13">
        <f t="shared" si="22"/>
        <v>1.023076923076923</v>
      </c>
      <c r="R228" s="8">
        <f t="shared" si="15"/>
        <v>2.1484615384615382</v>
      </c>
      <c r="S228" s="8">
        <f t="shared" si="16"/>
        <v>-2.1484615384615382</v>
      </c>
      <c r="T228" s="8">
        <f t="shared" si="17"/>
        <v>138.86038461538462</v>
      </c>
      <c r="U228" s="5">
        <v>0</v>
      </c>
      <c r="V228" s="5">
        <v>1420.6</v>
      </c>
      <c r="W228" s="5">
        <v>218.55384615384614</v>
      </c>
      <c r="X228" s="5">
        <v>88966.799999999974</v>
      </c>
      <c r="Y228" s="5">
        <f t="shared" si="20"/>
        <v>6537.6</v>
      </c>
      <c r="Z228" s="5">
        <v>15</v>
      </c>
      <c r="AA228" s="5">
        <v>11.5831594707238</v>
      </c>
    </row>
    <row r="229" spans="1:28" s="5" customFormat="1" x14ac:dyDescent="0.25">
      <c r="A229" s="77"/>
      <c r="B229" s="10"/>
      <c r="C229" s="4">
        <v>42076</v>
      </c>
      <c r="D229" s="5">
        <v>6.5</v>
      </c>
      <c r="E229" s="15">
        <v>2.5</v>
      </c>
      <c r="F229" s="5">
        <v>11.4</v>
      </c>
      <c r="G229" s="5">
        <v>1516.5000000000007</v>
      </c>
      <c r="H229" s="5">
        <f t="shared" si="19"/>
        <v>54.4</v>
      </c>
      <c r="I229" s="21" t="s">
        <v>11</v>
      </c>
      <c r="J229" s="5">
        <v>0</v>
      </c>
      <c r="K229" s="5">
        <v>376.20000000000005</v>
      </c>
      <c r="L229" s="5">
        <v>2.1</v>
      </c>
      <c r="M229" s="5">
        <v>198.90000000000003</v>
      </c>
      <c r="N229" s="6">
        <v>-2.1</v>
      </c>
      <c r="O229" s="5">
        <f t="shared" si="21"/>
        <v>136.9</v>
      </c>
      <c r="P229" s="5">
        <v>185</v>
      </c>
      <c r="Q229" s="13">
        <f t="shared" si="22"/>
        <v>1.0269230769230768</v>
      </c>
      <c r="R229" s="8">
        <f t="shared" si="15"/>
        <v>2.1565384615384615</v>
      </c>
      <c r="S229" s="8">
        <f t="shared" si="16"/>
        <v>-2.1565384615384615</v>
      </c>
      <c r="T229" s="8">
        <f t="shared" si="17"/>
        <v>136.70384615384614</v>
      </c>
      <c r="U229" s="21" t="s">
        <v>12</v>
      </c>
      <c r="V229" s="5">
        <v>1433.3</v>
      </c>
      <c r="W229" s="5">
        <v>220.50769230769231</v>
      </c>
      <c r="X229" s="5">
        <v>90400.099999999977</v>
      </c>
      <c r="Y229" s="5">
        <f t="shared" si="20"/>
        <v>7970.9000000000005</v>
      </c>
      <c r="AA229" s="5">
        <v>11.6473858386702</v>
      </c>
    </row>
    <row r="230" spans="1:28" s="5" customFormat="1" x14ac:dyDescent="0.25">
      <c r="A230" s="77"/>
      <c r="B230" s="10"/>
      <c r="C230" s="4">
        <v>42077</v>
      </c>
      <c r="D230" s="15">
        <v>4.9000000000000004</v>
      </c>
      <c r="E230" s="15">
        <v>2.2999999999999998</v>
      </c>
      <c r="F230" s="5">
        <v>8.1</v>
      </c>
      <c r="G230" s="5">
        <v>1521.4000000000008</v>
      </c>
      <c r="H230" s="5">
        <f t="shared" si="19"/>
        <v>59.3</v>
      </c>
      <c r="I230" s="5">
        <v>2</v>
      </c>
      <c r="J230" s="5">
        <v>1.2</v>
      </c>
      <c r="K230" s="5">
        <v>377.40000000000003</v>
      </c>
      <c r="L230" s="5">
        <v>1.9</v>
      </c>
      <c r="M230" s="5">
        <v>200.80000000000004</v>
      </c>
      <c r="N230" s="6">
        <v>-0.7</v>
      </c>
      <c r="O230" s="5">
        <f t="shared" si="21"/>
        <v>136.20000000000002</v>
      </c>
      <c r="P230" s="5">
        <v>186</v>
      </c>
      <c r="Q230" s="13">
        <f t="shared" si="22"/>
        <v>1.0307692307692307</v>
      </c>
      <c r="R230" s="8">
        <f t="shared" si="15"/>
        <v>1.9584615384615383</v>
      </c>
      <c r="S230" s="8">
        <f t="shared" si="16"/>
        <v>-0.7584615384615383</v>
      </c>
      <c r="T230" s="8">
        <f t="shared" si="17"/>
        <v>135.9453846153846</v>
      </c>
      <c r="U230" s="8">
        <f>MIN(T223:T261)</f>
        <v>122.57576923076925</v>
      </c>
      <c r="V230" s="5">
        <v>1359.7</v>
      </c>
      <c r="W230" s="5">
        <v>277.48979591836735</v>
      </c>
      <c r="X230" s="5">
        <v>91759.799999999974</v>
      </c>
      <c r="Y230" s="5">
        <f t="shared" si="20"/>
        <v>9330.6</v>
      </c>
      <c r="AA230" s="5">
        <v>11.711646587038601</v>
      </c>
    </row>
    <row r="231" spans="1:28" s="5" customFormat="1" x14ac:dyDescent="0.25">
      <c r="A231" s="77"/>
      <c r="B231" s="10"/>
      <c r="C231" s="4">
        <v>42078</v>
      </c>
      <c r="D231" s="5">
        <v>5.0999999999999996</v>
      </c>
      <c r="E231" s="15">
        <v>3.9</v>
      </c>
      <c r="F231" s="5">
        <v>6.6</v>
      </c>
      <c r="G231" s="5">
        <v>1526.5000000000007</v>
      </c>
      <c r="H231" s="5">
        <f t="shared" si="19"/>
        <v>64.399999999999991</v>
      </c>
      <c r="I231" s="21" t="s">
        <v>13</v>
      </c>
      <c r="J231" s="5">
        <v>0</v>
      </c>
      <c r="K231" s="5">
        <v>377.40000000000003</v>
      </c>
      <c r="L231" s="5">
        <v>0.7</v>
      </c>
      <c r="M231" s="5">
        <v>201.50000000000003</v>
      </c>
      <c r="N231" s="6">
        <v>-0.7</v>
      </c>
      <c r="O231" s="5">
        <f t="shared" si="21"/>
        <v>135.50000000000003</v>
      </c>
      <c r="P231" s="5">
        <v>187</v>
      </c>
      <c r="Q231" s="13">
        <f t="shared" si="22"/>
        <v>1.0346153846153845</v>
      </c>
      <c r="R231" s="8">
        <f t="shared" si="15"/>
        <v>0.72423076923076912</v>
      </c>
      <c r="S231" s="8">
        <f t="shared" si="16"/>
        <v>-0.72423076923076912</v>
      </c>
      <c r="T231" s="8">
        <f t="shared" si="17"/>
        <v>135.22115384615384</v>
      </c>
      <c r="U231" s="21" t="s">
        <v>14</v>
      </c>
      <c r="V231" s="12">
        <v>200.6</v>
      </c>
      <c r="W231" s="5">
        <v>39.333333333333336</v>
      </c>
      <c r="X231" s="5">
        <v>91960.39999999998</v>
      </c>
      <c r="Y231" s="5">
        <f t="shared" si="20"/>
        <v>9531.2000000000007</v>
      </c>
      <c r="AA231" s="5">
        <v>11.775935195762401</v>
      </c>
    </row>
    <row r="232" spans="1:28" s="5" customFormat="1" x14ac:dyDescent="0.25">
      <c r="A232" s="77"/>
      <c r="B232" s="10"/>
      <c r="C232" s="4">
        <v>42079</v>
      </c>
      <c r="D232" s="5">
        <v>6.1</v>
      </c>
      <c r="E232" s="15">
        <v>1.5</v>
      </c>
      <c r="F232" s="5">
        <v>9.9</v>
      </c>
      <c r="G232" s="5">
        <v>1532.6000000000006</v>
      </c>
      <c r="H232" s="5">
        <f t="shared" si="19"/>
        <v>70.499999999999986</v>
      </c>
      <c r="I232" s="5">
        <v>0</v>
      </c>
      <c r="J232" s="5">
        <v>0</v>
      </c>
      <c r="K232" s="5">
        <v>377.40000000000003</v>
      </c>
      <c r="L232" s="5">
        <v>1.3</v>
      </c>
      <c r="M232" s="5">
        <v>202.80000000000004</v>
      </c>
      <c r="N232" s="6">
        <v>-1.3</v>
      </c>
      <c r="O232" s="5">
        <f t="shared" si="21"/>
        <v>134.20000000000002</v>
      </c>
      <c r="P232" s="5">
        <v>188</v>
      </c>
      <c r="Q232" s="13">
        <f t="shared" si="22"/>
        <v>1.0384615384615383</v>
      </c>
      <c r="R232" s="8">
        <f t="shared" si="15"/>
        <v>1.3499999999999999</v>
      </c>
      <c r="S232" s="8">
        <f t="shared" si="16"/>
        <v>-1.3499999999999999</v>
      </c>
      <c r="T232" s="8">
        <f t="shared" si="17"/>
        <v>133.87115384615385</v>
      </c>
      <c r="U232" s="8">
        <f>MAX(T223:T261)</f>
        <v>153.6</v>
      </c>
      <c r="V232" s="5">
        <v>1263.2</v>
      </c>
      <c r="W232" s="5">
        <v>207.08196721311478</v>
      </c>
      <c r="X232" s="5">
        <v>93223.599999999977</v>
      </c>
      <c r="Y232" s="5">
        <f t="shared" si="20"/>
        <v>10794.400000000001</v>
      </c>
      <c r="AA232" s="5">
        <v>11.840245314864701</v>
      </c>
    </row>
    <row r="233" spans="1:28" s="5" customFormat="1" x14ac:dyDescent="0.25">
      <c r="A233" s="77"/>
      <c r="B233" s="10"/>
      <c r="C233" s="4">
        <v>42080</v>
      </c>
      <c r="D233" s="5">
        <v>9</v>
      </c>
      <c r="E233" s="15">
        <v>3.6</v>
      </c>
      <c r="F233" s="5">
        <v>14.5</v>
      </c>
      <c r="G233" s="5">
        <v>1541.6000000000006</v>
      </c>
      <c r="H233" s="5">
        <f t="shared" si="19"/>
        <v>79.499999999999986</v>
      </c>
      <c r="I233" s="21" t="s">
        <v>15</v>
      </c>
      <c r="J233" s="93">
        <v>0</v>
      </c>
      <c r="K233" s="5">
        <v>377.40000000000003</v>
      </c>
      <c r="L233" s="5">
        <v>2.4</v>
      </c>
      <c r="M233" s="5">
        <v>205.20000000000005</v>
      </c>
      <c r="N233" s="6">
        <v>-2.4</v>
      </c>
      <c r="O233" s="5">
        <f t="shared" si="21"/>
        <v>131.80000000000001</v>
      </c>
      <c r="P233" s="5">
        <v>189</v>
      </c>
      <c r="Q233" s="13">
        <f t="shared" si="22"/>
        <v>1.0423076923076924</v>
      </c>
      <c r="R233" s="8">
        <f t="shared" si="15"/>
        <v>2.5015384615384617</v>
      </c>
      <c r="S233" s="8">
        <f t="shared" si="16"/>
        <v>-2.5015384615384617</v>
      </c>
      <c r="T233" s="8">
        <f t="shared" si="17"/>
        <v>131.36961538461537</v>
      </c>
      <c r="U233" s="21" t="s">
        <v>16</v>
      </c>
      <c r="V233" s="5">
        <v>1616.4</v>
      </c>
      <c r="W233" s="5">
        <v>179.60000000000002</v>
      </c>
      <c r="X233" s="5">
        <v>94839.999999999971</v>
      </c>
      <c r="Y233" s="5">
        <f t="shared" si="20"/>
        <v>12410.800000000001</v>
      </c>
      <c r="AA233" s="5">
        <v>11.9045707441638</v>
      </c>
      <c r="AB233" s="92" t="s">
        <v>56</v>
      </c>
    </row>
    <row r="234" spans="1:28" s="5" customFormat="1" x14ac:dyDescent="0.25">
      <c r="A234" s="77"/>
      <c r="B234" s="10"/>
      <c r="C234" s="4">
        <v>42081</v>
      </c>
      <c r="D234" s="5">
        <v>7.5</v>
      </c>
      <c r="E234" s="5">
        <v>5.5</v>
      </c>
      <c r="F234" s="5">
        <v>10.8</v>
      </c>
      <c r="G234" s="5">
        <v>1549.1000000000006</v>
      </c>
      <c r="H234" s="5">
        <f t="shared" si="19"/>
        <v>86.999999999999986</v>
      </c>
      <c r="I234" s="5">
        <v>22</v>
      </c>
      <c r="J234" s="93">
        <v>0</v>
      </c>
      <c r="K234" s="5">
        <v>377.40000000000003</v>
      </c>
      <c r="L234" s="5">
        <v>2.2000000000000002</v>
      </c>
      <c r="M234" s="5">
        <v>207.40000000000003</v>
      </c>
      <c r="N234" s="6">
        <v>-2.2000000000000002</v>
      </c>
      <c r="O234" s="5">
        <f t="shared" si="21"/>
        <v>129.60000000000002</v>
      </c>
      <c r="P234" s="5">
        <v>190</v>
      </c>
      <c r="Q234" s="13">
        <f t="shared" si="22"/>
        <v>1.0461538461538462</v>
      </c>
      <c r="R234" s="8">
        <f t="shared" si="15"/>
        <v>2.301538461538462</v>
      </c>
      <c r="S234" s="8">
        <f t="shared" si="16"/>
        <v>-2.301538461538462</v>
      </c>
      <c r="T234" s="8">
        <f t="shared" si="17"/>
        <v>129.06807692307692</v>
      </c>
      <c r="U234" s="13">
        <f>AVERAGE(T223:T261)</f>
        <v>138.82643984220908</v>
      </c>
      <c r="V234" s="5">
        <v>1501.6</v>
      </c>
      <c r="W234" s="5">
        <v>200.21333333333331</v>
      </c>
      <c r="X234" s="5">
        <v>96341.599999999977</v>
      </c>
      <c r="Y234" s="5">
        <f t="shared" si="20"/>
        <v>13912.400000000001</v>
      </c>
      <c r="AA234" s="5">
        <v>11.9689054131336</v>
      </c>
      <c r="AB234" s="8">
        <f>AVERAGE(T240:T253)</f>
        <v>144.73247252747251</v>
      </c>
    </row>
    <row r="235" spans="1:28" s="5" customFormat="1" x14ac:dyDescent="0.25">
      <c r="A235" s="77"/>
      <c r="B235" s="10"/>
      <c r="C235" s="4">
        <v>42082</v>
      </c>
      <c r="D235" s="5">
        <v>6.6</v>
      </c>
      <c r="E235" s="5">
        <v>5.8</v>
      </c>
      <c r="F235" s="5">
        <v>7.1</v>
      </c>
      <c r="G235" s="5">
        <v>1555.7000000000005</v>
      </c>
      <c r="H235" s="5">
        <f t="shared" si="19"/>
        <v>93.59999999999998</v>
      </c>
      <c r="I235" s="21" t="s">
        <v>17</v>
      </c>
      <c r="J235" s="93">
        <v>0.2</v>
      </c>
      <c r="K235" s="5">
        <v>377.6</v>
      </c>
      <c r="L235" s="5">
        <v>0.8</v>
      </c>
      <c r="M235" s="5">
        <v>208.20000000000005</v>
      </c>
      <c r="N235" s="6">
        <v>-0.60000000000000009</v>
      </c>
      <c r="O235" s="5">
        <f t="shared" si="21"/>
        <v>129.00000000000003</v>
      </c>
      <c r="P235" s="5">
        <v>191</v>
      </c>
      <c r="Q235" s="13">
        <f t="shared" si="22"/>
        <v>1.05</v>
      </c>
      <c r="R235" s="8">
        <f t="shared" si="15"/>
        <v>0.84000000000000008</v>
      </c>
      <c r="S235" s="8">
        <f t="shared" si="16"/>
        <v>-0.64000000000000012</v>
      </c>
      <c r="T235" s="8">
        <f t="shared" si="17"/>
        <v>128.42807692307693</v>
      </c>
      <c r="V235" s="12">
        <v>454.7</v>
      </c>
      <c r="W235" s="5">
        <v>68.893939393939391</v>
      </c>
      <c r="X235" s="5">
        <v>96796.299999999974</v>
      </c>
      <c r="Y235" s="5">
        <f t="shared" si="20"/>
        <v>14367.100000000002</v>
      </c>
      <c r="AA235" s="5">
        <v>12.0332433609106</v>
      </c>
      <c r="AB235" s="92" t="s">
        <v>57</v>
      </c>
    </row>
    <row r="236" spans="1:28" s="5" customFormat="1" x14ac:dyDescent="0.25">
      <c r="A236" s="77"/>
      <c r="B236" s="10"/>
      <c r="C236" s="4">
        <v>42083</v>
      </c>
      <c r="D236" s="5">
        <v>7.3</v>
      </c>
      <c r="E236" s="5">
        <v>6.4</v>
      </c>
      <c r="F236" s="5">
        <v>10</v>
      </c>
      <c r="G236" s="5">
        <v>1563.0000000000005</v>
      </c>
      <c r="H236" s="5">
        <f t="shared" si="19"/>
        <v>100.89999999999998</v>
      </c>
      <c r="I236" s="5">
        <v>297.5</v>
      </c>
      <c r="J236" s="93">
        <v>0</v>
      </c>
      <c r="K236" s="5">
        <v>377.6</v>
      </c>
      <c r="L236" s="5">
        <v>1.6</v>
      </c>
      <c r="M236" s="5">
        <v>209.80000000000004</v>
      </c>
      <c r="N236" s="6">
        <v>-1.6</v>
      </c>
      <c r="O236" s="5">
        <f t="shared" si="21"/>
        <v>127.40000000000003</v>
      </c>
      <c r="P236" s="5">
        <v>192</v>
      </c>
      <c r="Q236" s="13">
        <f t="shared" si="22"/>
        <v>1.0538461538461539</v>
      </c>
      <c r="R236" s="8">
        <f t="shared" si="15"/>
        <v>1.6861538461538463</v>
      </c>
      <c r="S236" s="8">
        <f t="shared" si="16"/>
        <v>-1.6861538461538463</v>
      </c>
      <c r="T236" s="8">
        <f t="shared" si="17"/>
        <v>126.74192307692309</v>
      </c>
      <c r="U236" s="8">
        <f>(U234*100)/153.6</f>
        <v>90.381796772271542</v>
      </c>
      <c r="V236" s="5">
        <v>909</v>
      </c>
      <c r="W236" s="5">
        <v>124.52054794520548</v>
      </c>
      <c r="X236" s="5">
        <v>97705.299999999974</v>
      </c>
      <c r="Y236" s="5">
        <f t="shared" si="20"/>
        <v>15276.100000000002</v>
      </c>
      <c r="AA236" s="5">
        <v>12.0975787164433</v>
      </c>
      <c r="AB236" s="5">
        <v>2</v>
      </c>
    </row>
    <row r="237" spans="1:28" s="5" customFormat="1" x14ac:dyDescent="0.25">
      <c r="A237" s="77"/>
      <c r="B237" s="10"/>
      <c r="C237" s="4">
        <v>42084</v>
      </c>
      <c r="D237" s="5">
        <v>5.8</v>
      </c>
      <c r="E237" s="15">
        <v>4</v>
      </c>
      <c r="F237" s="5">
        <v>8</v>
      </c>
      <c r="G237" s="5">
        <v>1568.8000000000004</v>
      </c>
      <c r="H237" s="5">
        <f t="shared" si="19"/>
        <v>106.69999999999997</v>
      </c>
      <c r="J237" s="93">
        <v>0.4</v>
      </c>
      <c r="K237" s="5">
        <v>378</v>
      </c>
      <c r="L237" s="5">
        <v>1.3</v>
      </c>
      <c r="M237" s="5">
        <v>211.10000000000005</v>
      </c>
      <c r="N237" s="6">
        <v>-0.9</v>
      </c>
      <c r="O237" s="5">
        <f t="shared" si="21"/>
        <v>126.50000000000003</v>
      </c>
      <c r="P237" s="5">
        <v>193</v>
      </c>
      <c r="Q237" s="13">
        <f t="shared" si="22"/>
        <v>1.0576923076923077</v>
      </c>
      <c r="R237" s="8">
        <f t="shared" ref="R237:R300" si="23">Q237*L237</f>
        <v>1.375</v>
      </c>
      <c r="S237" s="8">
        <f t="shared" ref="S237:S300" si="24">J237-R237</f>
        <v>-0.97499999999999998</v>
      </c>
      <c r="T237" s="8">
        <f t="shared" si="17"/>
        <v>125.76692307692309</v>
      </c>
      <c r="V237" s="12">
        <v>613.1</v>
      </c>
      <c r="W237" s="5">
        <v>105.70689655172414</v>
      </c>
      <c r="X237" s="5">
        <v>98318.39999999998</v>
      </c>
      <c r="Y237" s="5">
        <f t="shared" si="20"/>
        <v>15889.200000000003</v>
      </c>
      <c r="AA237" s="5">
        <v>12.1619056787767</v>
      </c>
      <c r="AB237" s="92" t="s">
        <v>58</v>
      </c>
    </row>
    <row r="238" spans="1:28" s="5" customFormat="1" x14ac:dyDescent="0.25">
      <c r="A238" s="77"/>
      <c r="B238" s="10"/>
      <c r="C238" s="4">
        <v>42085</v>
      </c>
      <c r="D238" s="5">
        <v>5.6</v>
      </c>
      <c r="E238" s="5">
        <v>5.5</v>
      </c>
      <c r="F238" s="5">
        <v>7.6</v>
      </c>
      <c r="G238" s="5">
        <v>1574.4000000000003</v>
      </c>
      <c r="H238" s="5">
        <f t="shared" si="19"/>
        <v>112.29999999999997</v>
      </c>
      <c r="J238" s="93">
        <v>0</v>
      </c>
      <c r="K238" s="5">
        <v>378</v>
      </c>
      <c r="L238" s="5">
        <v>1.3</v>
      </c>
      <c r="M238" s="5">
        <v>212.40000000000006</v>
      </c>
      <c r="N238" s="6">
        <v>-1.3</v>
      </c>
      <c r="O238" s="5">
        <f t="shared" si="21"/>
        <v>125.20000000000003</v>
      </c>
      <c r="P238" s="5">
        <v>194</v>
      </c>
      <c r="Q238" s="13">
        <f t="shared" si="22"/>
        <v>1.0615384615384615</v>
      </c>
      <c r="R238" s="8">
        <f t="shared" si="23"/>
        <v>1.3800000000000001</v>
      </c>
      <c r="S238" s="8">
        <f t="shared" si="24"/>
        <v>-1.3800000000000001</v>
      </c>
      <c r="T238" s="8">
        <f t="shared" si="17"/>
        <v>124.3869230769231</v>
      </c>
      <c r="V238" s="12">
        <v>611.5</v>
      </c>
      <c r="W238" s="5">
        <v>109.19642857142858</v>
      </c>
      <c r="X238" s="5">
        <v>98929.89999999998</v>
      </c>
      <c r="Y238" s="5">
        <f t="shared" si="20"/>
        <v>16500.700000000004</v>
      </c>
      <c r="AA238" s="5">
        <v>12.226218497462799</v>
      </c>
      <c r="AB238" s="5">
        <v>2</v>
      </c>
    </row>
    <row r="239" spans="1:28" s="5" customFormat="1" x14ac:dyDescent="0.25">
      <c r="A239" s="77"/>
      <c r="B239" s="10"/>
      <c r="C239" s="4">
        <v>42086</v>
      </c>
      <c r="D239" s="15">
        <v>4.4000000000000004</v>
      </c>
      <c r="E239" s="20">
        <v>-1.6</v>
      </c>
      <c r="F239" s="5">
        <v>10.199999999999999</v>
      </c>
      <c r="G239" s="5">
        <v>1578.8000000000004</v>
      </c>
      <c r="H239" s="5">
        <f t="shared" si="19"/>
        <v>116.69999999999997</v>
      </c>
      <c r="J239" s="93">
        <v>0</v>
      </c>
      <c r="K239" s="5">
        <v>378</v>
      </c>
      <c r="L239" s="5">
        <v>1.7</v>
      </c>
      <c r="M239" s="5">
        <v>214.10000000000005</v>
      </c>
      <c r="N239" s="6">
        <v>-1.7</v>
      </c>
      <c r="O239" s="5">
        <f t="shared" si="21"/>
        <v>123.50000000000003</v>
      </c>
      <c r="P239" s="5">
        <v>195</v>
      </c>
      <c r="Q239" s="13">
        <f t="shared" si="22"/>
        <v>1.0653846153846154</v>
      </c>
      <c r="R239" s="8">
        <f t="shared" si="23"/>
        <v>1.8111538461538461</v>
      </c>
      <c r="S239" s="8">
        <f t="shared" si="24"/>
        <v>-1.8111538461538461</v>
      </c>
      <c r="T239" s="8">
        <f t="shared" ref="T239:T302" si="25">MIN(153.6,(T238+S239))</f>
        <v>122.57576923076925</v>
      </c>
      <c r="V239" s="5">
        <v>1315.6</v>
      </c>
      <c r="W239" s="5">
        <v>298.99999999999994</v>
      </c>
      <c r="X239" s="5">
        <v>100245.49999999999</v>
      </c>
      <c r="Y239" s="5">
        <f t="shared" si="20"/>
        <v>17816.300000000003</v>
      </c>
      <c r="AA239" s="5">
        <v>12.290511453091099</v>
      </c>
      <c r="AB239" s="92" t="s">
        <v>59</v>
      </c>
    </row>
    <row r="240" spans="1:28" s="5" customFormat="1" x14ac:dyDescent="0.25">
      <c r="A240" s="77"/>
      <c r="B240" s="10"/>
      <c r="C240" s="4">
        <v>42087</v>
      </c>
      <c r="D240" s="15">
        <v>4.8</v>
      </c>
      <c r="E240" s="15">
        <v>0.6</v>
      </c>
      <c r="F240" s="5">
        <v>10.1</v>
      </c>
      <c r="G240" s="5">
        <v>1583.6000000000004</v>
      </c>
      <c r="H240" s="5">
        <f t="shared" si="19"/>
        <v>121.49999999999997</v>
      </c>
      <c r="J240" s="93">
        <v>11.8</v>
      </c>
      <c r="K240" s="5">
        <v>389.8</v>
      </c>
      <c r="L240" s="5">
        <v>1.1000000000000001</v>
      </c>
      <c r="M240" s="5">
        <v>215.20000000000005</v>
      </c>
      <c r="N240" s="5">
        <v>10.700000000000001</v>
      </c>
      <c r="O240" s="5">
        <f t="shared" si="21"/>
        <v>134.20000000000002</v>
      </c>
      <c r="P240" s="5">
        <v>196</v>
      </c>
      <c r="Q240" s="13">
        <f t="shared" si="22"/>
        <v>1.0692307692307692</v>
      </c>
      <c r="R240" s="8">
        <f t="shared" si="23"/>
        <v>1.1761538461538463</v>
      </c>
      <c r="S240" s="8">
        <f t="shared" si="24"/>
        <v>10.623846153846154</v>
      </c>
      <c r="T240" s="94">
        <f t="shared" si="25"/>
        <v>133.19961538461541</v>
      </c>
      <c r="V240" s="12">
        <v>792.5</v>
      </c>
      <c r="W240" s="5">
        <v>165.10416666666669</v>
      </c>
      <c r="X240" s="5">
        <v>101037.99999999999</v>
      </c>
      <c r="Y240" s="5">
        <f t="shared" si="20"/>
        <v>18608.800000000003</v>
      </c>
      <c r="AA240" s="5">
        <v>12.354778837928301</v>
      </c>
      <c r="AB240" s="5">
        <v>3</v>
      </c>
    </row>
    <row r="241" spans="1:30" s="5" customFormat="1" x14ac:dyDescent="0.25">
      <c r="A241" s="77"/>
      <c r="B241" s="10"/>
      <c r="C241" s="4">
        <v>42088</v>
      </c>
      <c r="D241" s="15">
        <v>4.5999999999999996</v>
      </c>
      <c r="E241" s="15">
        <v>4</v>
      </c>
      <c r="F241" s="5">
        <v>6.7</v>
      </c>
      <c r="G241" s="5">
        <v>1588.2000000000003</v>
      </c>
      <c r="H241" s="5">
        <f t="shared" si="19"/>
        <v>126.09999999999997</v>
      </c>
      <c r="J241" s="93">
        <v>1.7</v>
      </c>
      <c r="K241" s="5">
        <v>391.5</v>
      </c>
      <c r="L241" s="5">
        <v>0.7</v>
      </c>
      <c r="M241" s="5">
        <v>215.90000000000003</v>
      </c>
      <c r="N241" s="5">
        <v>1</v>
      </c>
      <c r="O241" s="5">
        <f t="shared" si="21"/>
        <v>135.20000000000002</v>
      </c>
      <c r="P241" s="5">
        <v>197</v>
      </c>
      <c r="Q241" s="13">
        <f t="shared" si="22"/>
        <v>1.073076923076923</v>
      </c>
      <c r="R241" s="8">
        <f t="shared" si="23"/>
        <v>0.75115384615384606</v>
      </c>
      <c r="S241" s="8">
        <f t="shared" si="24"/>
        <v>0.94884615384615389</v>
      </c>
      <c r="T241" s="94">
        <f t="shared" si="25"/>
        <v>134.14846153846156</v>
      </c>
      <c r="V241" s="12">
        <v>240.5</v>
      </c>
      <c r="W241" s="5">
        <v>52.282608695652179</v>
      </c>
      <c r="X241" s="5">
        <v>101278.49999999999</v>
      </c>
      <c r="Y241" s="5">
        <f t="shared" si="20"/>
        <v>18849.300000000003</v>
      </c>
      <c r="AA241" s="5">
        <v>12.419014936659099</v>
      </c>
      <c r="AB241" s="92" t="s">
        <v>60</v>
      </c>
    </row>
    <row r="242" spans="1:30" s="5" customFormat="1" x14ac:dyDescent="0.25">
      <c r="A242" s="77"/>
      <c r="B242" s="10"/>
      <c r="C242" s="4">
        <v>42089</v>
      </c>
      <c r="D242" s="15">
        <v>4.4000000000000004</v>
      </c>
      <c r="E242" s="15">
        <v>0.4</v>
      </c>
      <c r="F242" s="5">
        <v>7.8</v>
      </c>
      <c r="G242" s="5">
        <v>1592.6000000000004</v>
      </c>
      <c r="H242" s="5">
        <f t="shared" si="19"/>
        <v>130.49999999999997</v>
      </c>
      <c r="J242" s="93">
        <v>3.5</v>
      </c>
      <c r="K242" s="5">
        <v>395</v>
      </c>
      <c r="L242" s="5">
        <v>0.6</v>
      </c>
      <c r="M242" s="5">
        <v>216.50000000000003</v>
      </c>
      <c r="N242" s="5">
        <v>2.9</v>
      </c>
      <c r="O242" s="5">
        <f t="shared" si="21"/>
        <v>138.10000000000002</v>
      </c>
      <c r="P242" s="5">
        <v>198</v>
      </c>
      <c r="Q242" s="13">
        <f t="shared" si="22"/>
        <v>1.0769230769230769</v>
      </c>
      <c r="R242" s="8">
        <f t="shared" si="23"/>
        <v>0.64615384615384608</v>
      </c>
      <c r="S242" s="8">
        <f t="shared" si="24"/>
        <v>2.8538461538461539</v>
      </c>
      <c r="T242" s="94">
        <f t="shared" si="25"/>
        <v>137.00230769230771</v>
      </c>
      <c r="V242" s="12">
        <v>376.6</v>
      </c>
      <c r="W242" s="5">
        <v>85.590909090909093</v>
      </c>
      <c r="X242" s="5">
        <v>101655.09999999999</v>
      </c>
      <c r="Y242" s="5">
        <f t="shared" si="20"/>
        <v>19225.900000000001</v>
      </c>
      <c r="AA242" s="5">
        <v>12.4832140072194</v>
      </c>
      <c r="AB242" s="5">
        <f>SUM(J244:J253)</f>
        <v>34.400000000000006</v>
      </c>
    </row>
    <row r="243" spans="1:30" s="85" customFormat="1" x14ac:dyDescent="0.25">
      <c r="A243" s="77"/>
      <c r="B243" s="83" t="s">
        <v>54</v>
      </c>
      <c r="C243" s="84">
        <v>42090</v>
      </c>
      <c r="D243" s="85">
        <v>6.1</v>
      </c>
      <c r="E243" s="86">
        <v>3</v>
      </c>
      <c r="F243" s="85">
        <v>9.9</v>
      </c>
      <c r="G243" s="85">
        <v>1598.7000000000003</v>
      </c>
      <c r="H243" s="85">
        <f t="shared" si="19"/>
        <v>136.59999999999997</v>
      </c>
      <c r="J243" s="85">
        <v>0</v>
      </c>
      <c r="K243" s="85">
        <v>395</v>
      </c>
      <c r="L243" s="85">
        <v>2.1</v>
      </c>
      <c r="M243" s="85">
        <v>218.60000000000002</v>
      </c>
      <c r="N243" s="86">
        <v>-2.1</v>
      </c>
      <c r="O243" s="85">
        <f t="shared" si="21"/>
        <v>136.00000000000003</v>
      </c>
      <c r="P243" s="85">
        <v>199</v>
      </c>
      <c r="Q243" s="87">
        <f t="shared" si="22"/>
        <v>1.0807692307692307</v>
      </c>
      <c r="R243" s="88">
        <f t="shared" si="23"/>
        <v>2.2696153846153844</v>
      </c>
      <c r="S243" s="88">
        <f t="shared" si="24"/>
        <v>-2.2696153846153844</v>
      </c>
      <c r="T243" s="88">
        <f t="shared" si="25"/>
        <v>134.73269230769233</v>
      </c>
      <c r="V243" s="85">
        <v>1163.8</v>
      </c>
      <c r="W243" s="85">
        <v>190.78688524590163</v>
      </c>
      <c r="X243" s="85">
        <v>102818.9</v>
      </c>
      <c r="Y243" s="85">
        <f t="shared" si="20"/>
        <v>20389.7</v>
      </c>
      <c r="AA243" s="85">
        <v>12.5473702617134</v>
      </c>
    </row>
    <row r="244" spans="1:30" s="5" customFormat="1" x14ac:dyDescent="0.25">
      <c r="A244" s="77"/>
      <c r="B244" s="10"/>
      <c r="C244" s="4">
        <v>42091</v>
      </c>
      <c r="D244" s="5">
        <v>9.9</v>
      </c>
      <c r="E244" s="15">
        <v>5</v>
      </c>
      <c r="F244" s="5">
        <v>13.6</v>
      </c>
      <c r="G244" s="5">
        <v>1608.6000000000004</v>
      </c>
      <c r="H244" s="5">
        <f t="shared" si="19"/>
        <v>146.49999999999997</v>
      </c>
      <c r="J244" s="93">
        <v>2.6</v>
      </c>
      <c r="K244" s="5">
        <v>397.6</v>
      </c>
      <c r="L244" s="5">
        <v>0.7</v>
      </c>
      <c r="M244" s="5">
        <v>219.3</v>
      </c>
      <c r="N244" s="5">
        <v>1.9000000000000001</v>
      </c>
      <c r="O244" s="5">
        <f t="shared" si="21"/>
        <v>137.90000000000003</v>
      </c>
      <c r="P244" s="5">
        <v>200</v>
      </c>
      <c r="Q244" s="13">
        <f t="shared" si="22"/>
        <v>1.0846153846153845</v>
      </c>
      <c r="R244" s="8">
        <f t="shared" si="23"/>
        <v>0.75923076923076915</v>
      </c>
      <c r="S244" s="8">
        <f t="shared" si="24"/>
        <v>1.8407692307692309</v>
      </c>
      <c r="T244" s="94">
        <f t="shared" si="25"/>
        <v>136.57346153846157</v>
      </c>
      <c r="V244" s="12">
        <v>346.1</v>
      </c>
      <c r="W244" s="5">
        <v>34.959595959595958</v>
      </c>
      <c r="X244" s="5">
        <v>103165</v>
      </c>
      <c r="Y244" s="5">
        <f t="shared" si="20"/>
        <v>20735.8</v>
      </c>
      <c r="AA244" s="5">
        <v>12.6114778474041</v>
      </c>
    </row>
    <row r="245" spans="1:30" s="5" customFormat="1" x14ac:dyDescent="0.25">
      <c r="A245" s="77"/>
      <c r="B245" s="10"/>
      <c r="C245" s="4">
        <v>42092</v>
      </c>
      <c r="D245" s="5">
        <v>10.199999999999999</v>
      </c>
      <c r="E245" s="5">
        <v>9.3000000000000007</v>
      </c>
      <c r="F245" s="5">
        <v>11.3</v>
      </c>
      <c r="G245" s="5">
        <v>1618.8000000000004</v>
      </c>
      <c r="H245" s="5">
        <f t="shared" si="19"/>
        <v>156.69999999999996</v>
      </c>
      <c r="J245" s="93">
        <v>10.9</v>
      </c>
      <c r="K245" s="5">
        <v>408.5</v>
      </c>
      <c r="L245" s="5">
        <v>1</v>
      </c>
      <c r="M245" s="5">
        <v>220.3</v>
      </c>
      <c r="N245" s="5">
        <v>9.9</v>
      </c>
      <c r="O245" s="5">
        <f t="shared" si="21"/>
        <v>147.80000000000004</v>
      </c>
      <c r="P245" s="5">
        <v>201</v>
      </c>
      <c r="Q245" s="13">
        <f t="shared" si="22"/>
        <v>1.0884615384615384</v>
      </c>
      <c r="R245" s="8">
        <f t="shared" si="23"/>
        <v>1.0884615384615384</v>
      </c>
      <c r="S245" s="8">
        <f t="shared" si="24"/>
        <v>9.8115384615384613</v>
      </c>
      <c r="T245" s="94">
        <f t="shared" si="25"/>
        <v>146.38500000000005</v>
      </c>
      <c r="V245" s="12">
        <v>356.1</v>
      </c>
      <c r="W245" s="5">
        <v>34.911764705882355</v>
      </c>
      <c r="X245" s="5">
        <v>103521.1</v>
      </c>
      <c r="Y245" s="5">
        <f t="shared" si="20"/>
        <v>21091.899999999998</v>
      </c>
      <c r="AA245" s="5">
        <v>12.6755308277724</v>
      </c>
    </row>
    <row r="246" spans="1:30" s="5" customFormat="1" x14ac:dyDescent="0.25">
      <c r="A246" s="77"/>
      <c r="B246" s="10"/>
      <c r="C246" s="4">
        <v>42093</v>
      </c>
      <c r="D246" s="5">
        <v>8.6999999999999993</v>
      </c>
      <c r="E246" s="5">
        <v>7.2</v>
      </c>
      <c r="F246" s="5">
        <v>11.7</v>
      </c>
      <c r="G246" s="5">
        <v>1627.5000000000005</v>
      </c>
      <c r="H246" s="5">
        <f t="shared" si="19"/>
        <v>165.39999999999995</v>
      </c>
      <c r="J246" s="93">
        <v>1.8</v>
      </c>
      <c r="K246" s="5">
        <v>410.3</v>
      </c>
      <c r="L246" s="5">
        <v>2.6</v>
      </c>
      <c r="M246" s="5">
        <v>222.9</v>
      </c>
      <c r="N246" s="6">
        <v>-0.8</v>
      </c>
      <c r="O246" s="5">
        <f t="shared" si="21"/>
        <v>147.00000000000003</v>
      </c>
      <c r="P246" s="5">
        <v>202</v>
      </c>
      <c r="Q246" s="13">
        <f t="shared" si="22"/>
        <v>1.0923076923076922</v>
      </c>
      <c r="R246" s="8">
        <f t="shared" si="23"/>
        <v>2.84</v>
      </c>
      <c r="S246" s="8">
        <f t="shared" si="24"/>
        <v>-1.0399999999999998</v>
      </c>
      <c r="T246" s="94">
        <f t="shared" si="25"/>
        <v>145.34500000000006</v>
      </c>
      <c r="V246" s="5">
        <v>1168.4000000000001</v>
      </c>
      <c r="W246" s="5">
        <v>134.29885057471267</v>
      </c>
      <c r="X246" s="5">
        <v>104689.5</v>
      </c>
      <c r="Y246" s="5">
        <f t="shared" si="20"/>
        <v>22260.3</v>
      </c>
      <c r="AA246" s="5">
        <v>12.7395231636344</v>
      </c>
    </row>
    <row r="247" spans="1:30" s="5" customFormat="1" x14ac:dyDescent="0.25">
      <c r="A247" s="77"/>
      <c r="B247" s="10"/>
      <c r="C247" s="4">
        <v>42094</v>
      </c>
      <c r="D247" s="5">
        <v>9</v>
      </c>
      <c r="E247" s="5">
        <v>7.3</v>
      </c>
      <c r="F247" s="5">
        <v>11.5</v>
      </c>
      <c r="G247" s="5">
        <v>1636.5000000000005</v>
      </c>
      <c r="H247" s="5">
        <f t="shared" si="19"/>
        <v>174.39999999999995</v>
      </c>
      <c r="J247" s="93">
        <v>2.2999999999999998</v>
      </c>
      <c r="K247" s="5">
        <v>412.6</v>
      </c>
      <c r="L247" s="5">
        <v>1.9</v>
      </c>
      <c r="M247" s="5">
        <v>224.8</v>
      </c>
      <c r="N247" s="5">
        <v>0.39999999999999991</v>
      </c>
      <c r="O247" s="5">
        <f t="shared" si="21"/>
        <v>147.40000000000003</v>
      </c>
      <c r="P247" s="5">
        <v>203</v>
      </c>
      <c r="Q247" s="13">
        <f t="shared" si="22"/>
        <v>1.096153846153846</v>
      </c>
      <c r="R247" s="8">
        <f t="shared" si="23"/>
        <v>2.0826923076923074</v>
      </c>
      <c r="S247" s="8">
        <f t="shared" si="24"/>
        <v>0.21730769230769242</v>
      </c>
      <c r="T247" s="94">
        <f t="shared" si="25"/>
        <v>145.56230769230774</v>
      </c>
      <c r="V247" s="12">
        <v>832.3</v>
      </c>
      <c r="W247" s="5">
        <v>92.477777777777774</v>
      </c>
      <c r="X247" s="5">
        <v>105521.8</v>
      </c>
      <c r="Y247" s="5">
        <f t="shared" si="20"/>
        <v>23092.6</v>
      </c>
      <c r="AA247" s="5">
        <v>12.8034486943122</v>
      </c>
      <c r="AD247" s="92" t="s">
        <v>56</v>
      </c>
    </row>
    <row r="248" spans="1:30" s="5" customFormat="1" x14ac:dyDescent="0.25">
      <c r="A248" s="77"/>
      <c r="B248" s="10"/>
      <c r="C248" s="4">
        <v>42095</v>
      </c>
      <c r="D248" s="5">
        <v>6.5</v>
      </c>
      <c r="E248" s="15">
        <v>3.5</v>
      </c>
      <c r="F248" s="5">
        <v>10</v>
      </c>
      <c r="G248" s="5">
        <v>1643.0000000000005</v>
      </c>
      <c r="H248" s="5">
        <f t="shared" si="19"/>
        <v>180.89999999999995</v>
      </c>
      <c r="J248" s="93">
        <v>11.8</v>
      </c>
      <c r="K248" s="5">
        <v>424.40000000000003</v>
      </c>
      <c r="L248" s="5">
        <v>2.5</v>
      </c>
      <c r="M248" s="5">
        <v>227.3</v>
      </c>
      <c r="N248" s="5">
        <v>9.3000000000000007</v>
      </c>
      <c r="O248" s="5">
        <v>153.6</v>
      </c>
      <c r="P248" s="5">
        <v>204</v>
      </c>
      <c r="Q248" s="13">
        <f t="shared" si="22"/>
        <v>1.0999999999999999</v>
      </c>
      <c r="R248" s="8">
        <f t="shared" si="23"/>
        <v>2.7499999999999996</v>
      </c>
      <c r="S248" s="8">
        <f t="shared" si="24"/>
        <v>9.0500000000000007</v>
      </c>
      <c r="T248" s="94">
        <f t="shared" si="25"/>
        <v>153.6</v>
      </c>
      <c r="V248" s="5">
        <v>1457.7</v>
      </c>
      <c r="W248" s="5">
        <v>224.26153846153846</v>
      </c>
      <c r="X248" s="5">
        <v>106979.5</v>
      </c>
      <c r="Y248" s="5">
        <f t="shared" si="20"/>
        <v>24550.3</v>
      </c>
      <c r="AA248" s="5">
        <v>12.8673011188519</v>
      </c>
      <c r="AD248" s="13">
        <f>(AB234*(75/175))+(AB253*(100/175))</f>
        <v>124.44567503924645</v>
      </c>
    </row>
    <row r="249" spans="1:30" s="5" customFormat="1" x14ac:dyDescent="0.25">
      <c r="A249" s="77"/>
      <c r="B249" s="10"/>
      <c r="C249" s="4">
        <v>42096</v>
      </c>
      <c r="D249" s="5">
        <v>6.8</v>
      </c>
      <c r="E249" s="5">
        <v>6.4</v>
      </c>
      <c r="F249" s="5">
        <v>9.1</v>
      </c>
      <c r="G249" s="5">
        <v>1649.8000000000004</v>
      </c>
      <c r="H249" s="5">
        <f t="shared" si="19"/>
        <v>187.69999999999996</v>
      </c>
      <c r="J249" s="93">
        <v>0.5</v>
      </c>
      <c r="K249" s="5">
        <v>424.90000000000003</v>
      </c>
      <c r="L249" s="5">
        <v>1.9</v>
      </c>
      <c r="M249" s="5">
        <v>229.20000000000002</v>
      </c>
      <c r="N249" s="6">
        <v>-1.4</v>
      </c>
      <c r="O249" s="5">
        <f>O248+N249</f>
        <v>152.19999999999999</v>
      </c>
      <c r="P249" s="5">
        <v>205</v>
      </c>
      <c r="Q249" s="13">
        <f t="shared" si="22"/>
        <v>1.1038461538461537</v>
      </c>
      <c r="R249" s="8">
        <f t="shared" si="23"/>
        <v>2.0973076923076919</v>
      </c>
      <c r="S249" s="8">
        <f t="shared" si="24"/>
        <v>-1.5973076923076919</v>
      </c>
      <c r="T249" s="94">
        <f t="shared" si="25"/>
        <v>152.00269230769231</v>
      </c>
      <c r="V249" s="5">
        <v>1124.5999999999999</v>
      </c>
      <c r="W249" s="5">
        <v>165.38235294117646</v>
      </c>
      <c r="X249" s="5">
        <v>108104.1</v>
      </c>
      <c r="Y249" s="5">
        <f t="shared" si="20"/>
        <v>25674.899999999998</v>
      </c>
      <c r="AA249" s="5">
        <v>12.931073977284401</v>
      </c>
      <c r="AD249" s="92" t="s">
        <v>57</v>
      </c>
    </row>
    <row r="250" spans="1:30" s="5" customFormat="1" x14ac:dyDescent="0.25">
      <c r="A250" s="77"/>
      <c r="B250" s="10"/>
      <c r="C250" s="4">
        <v>42097</v>
      </c>
      <c r="D250" s="5">
        <v>6.2</v>
      </c>
      <c r="E250" s="15">
        <v>1.9</v>
      </c>
      <c r="F250" s="5">
        <v>8.6999999999999993</v>
      </c>
      <c r="G250" s="5">
        <v>1656.0000000000005</v>
      </c>
      <c r="H250" s="5">
        <f t="shared" si="19"/>
        <v>193.89999999999995</v>
      </c>
      <c r="J250" s="93">
        <v>3.5</v>
      </c>
      <c r="K250" s="5">
        <v>428.40000000000003</v>
      </c>
      <c r="L250" s="5">
        <v>0.3</v>
      </c>
      <c r="M250" s="5">
        <v>229.50000000000003</v>
      </c>
      <c r="N250" s="5">
        <v>3.2</v>
      </c>
      <c r="O250" s="5">
        <v>153.6</v>
      </c>
      <c r="P250" s="5">
        <v>206</v>
      </c>
      <c r="Q250" s="13">
        <f t="shared" si="22"/>
        <v>1.1076923076923075</v>
      </c>
      <c r="R250" s="8">
        <f t="shared" si="23"/>
        <v>0.33230769230769225</v>
      </c>
      <c r="S250" s="8">
        <f t="shared" si="24"/>
        <v>3.1676923076923078</v>
      </c>
      <c r="T250" s="94">
        <f t="shared" si="25"/>
        <v>153.6</v>
      </c>
      <c r="V250" s="12">
        <v>293.2</v>
      </c>
      <c r="W250" s="5">
        <v>47.29032258064516</v>
      </c>
      <c r="X250" s="5">
        <v>108397.3</v>
      </c>
      <c r="Y250" s="5">
        <f t="shared" si="20"/>
        <v>25968.1</v>
      </c>
      <c r="AA250" s="5">
        <v>12.9947606319252</v>
      </c>
      <c r="AD250" s="8">
        <f>(AB236*(75/175))+(AB255*(100/175))</f>
        <v>3.714285714285714</v>
      </c>
    </row>
    <row r="251" spans="1:30" s="5" customFormat="1" x14ac:dyDescent="0.25">
      <c r="A251" s="77"/>
      <c r="B251" s="10"/>
      <c r="C251" s="4">
        <v>42098</v>
      </c>
      <c r="D251" s="5">
        <v>5.9</v>
      </c>
      <c r="E251" s="15">
        <v>5</v>
      </c>
      <c r="F251" s="5">
        <v>7.2</v>
      </c>
      <c r="G251" s="5">
        <v>1661.9000000000005</v>
      </c>
      <c r="H251" s="5">
        <f t="shared" si="19"/>
        <v>199.79999999999995</v>
      </c>
      <c r="J251" s="93">
        <v>1</v>
      </c>
      <c r="K251" s="5">
        <v>429.40000000000003</v>
      </c>
      <c r="L251" s="5">
        <v>0.7</v>
      </c>
      <c r="M251" s="5">
        <v>230.20000000000002</v>
      </c>
      <c r="N251" s="5">
        <v>0.30000000000000004</v>
      </c>
      <c r="O251" s="5">
        <v>153.6</v>
      </c>
      <c r="P251" s="5">
        <v>207</v>
      </c>
      <c r="Q251" s="13">
        <f t="shared" si="22"/>
        <v>1.1115384615384616</v>
      </c>
      <c r="R251" s="8">
        <f t="shared" si="23"/>
        <v>0.77807692307692311</v>
      </c>
      <c r="S251" s="8">
        <f t="shared" si="24"/>
        <v>0.22192307692307689</v>
      </c>
      <c r="T251" s="94">
        <f t="shared" si="25"/>
        <v>153.6</v>
      </c>
      <c r="V251" s="12">
        <v>439.3</v>
      </c>
      <c r="W251" s="5">
        <v>74.457627118644069</v>
      </c>
      <c r="X251" s="5">
        <v>108836.6</v>
      </c>
      <c r="Y251" s="5">
        <f t="shared" si="20"/>
        <v>26407.399999999998</v>
      </c>
      <c r="AA251" s="5">
        <v>13.0583542487133</v>
      </c>
      <c r="AD251" s="92" t="s">
        <v>58</v>
      </c>
    </row>
    <row r="252" spans="1:30" s="5" customFormat="1" x14ac:dyDescent="0.25">
      <c r="A252" s="77"/>
      <c r="B252" s="10"/>
      <c r="C252" s="4">
        <v>42099</v>
      </c>
      <c r="D252" s="5">
        <v>5.3</v>
      </c>
      <c r="E252" s="15">
        <v>1.9</v>
      </c>
      <c r="F252" s="5">
        <v>8.6</v>
      </c>
      <c r="G252" s="5">
        <v>1667.2000000000005</v>
      </c>
      <c r="H252" s="5">
        <f t="shared" si="19"/>
        <v>205.09999999999997</v>
      </c>
      <c r="J252" s="93">
        <v>0</v>
      </c>
      <c r="K252" s="5">
        <v>429.40000000000003</v>
      </c>
      <c r="L252" s="5">
        <v>2.4</v>
      </c>
      <c r="M252" s="5">
        <v>232.60000000000002</v>
      </c>
      <c r="N252" s="6">
        <v>-2.4</v>
      </c>
      <c r="O252" s="5">
        <f t="shared" ref="O252:O315" si="26">O251+N252</f>
        <v>151.19999999999999</v>
      </c>
      <c r="P252" s="5">
        <v>208</v>
      </c>
      <c r="Q252" s="13">
        <f t="shared" si="22"/>
        <v>1.1153846153846154</v>
      </c>
      <c r="R252" s="8">
        <f t="shared" si="23"/>
        <v>2.6769230769230767</v>
      </c>
      <c r="S252" s="8">
        <f t="shared" si="24"/>
        <v>-2.6769230769230767</v>
      </c>
      <c r="T252" s="94">
        <f t="shared" si="25"/>
        <v>150.92307692307691</v>
      </c>
      <c r="V252" s="5">
        <v>1945.4</v>
      </c>
      <c r="W252" s="5">
        <v>367.05660377358492</v>
      </c>
      <c r="X252" s="5">
        <v>110782</v>
      </c>
      <c r="Y252" s="5">
        <f t="shared" si="20"/>
        <v>28352.799999999999</v>
      </c>
      <c r="AA252" s="5">
        <v>13.121847778586201</v>
      </c>
      <c r="AB252" s="92" t="s">
        <v>56</v>
      </c>
      <c r="AD252" s="8">
        <f>(AB238*(75/175))+(AB257*(100/175))</f>
        <v>5.4285714285714279</v>
      </c>
    </row>
    <row r="253" spans="1:30" s="5" customFormat="1" x14ac:dyDescent="0.25">
      <c r="A253" s="77"/>
      <c r="B253" s="10"/>
      <c r="C253" s="4">
        <v>42100</v>
      </c>
      <c r="D253" s="5">
        <v>5.8</v>
      </c>
      <c r="E253" s="15">
        <v>1.2</v>
      </c>
      <c r="F253" s="5">
        <v>9.5</v>
      </c>
      <c r="G253" s="5">
        <v>1673.0000000000005</v>
      </c>
      <c r="H253" s="5">
        <f t="shared" si="19"/>
        <v>210.89999999999998</v>
      </c>
      <c r="J253" s="93">
        <v>0</v>
      </c>
      <c r="K253" s="5">
        <v>429.40000000000003</v>
      </c>
      <c r="L253" s="5">
        <v>1.2</v>
      </c>
      <c r="M253" s="5">
        <v>233.8</v>
      </c>
      <c r="N253" s="6">
        <v>-1.2</v>
      </c>
      <c r="O253" s="5">
        <f t="shared" si="26"/>
        <v>150</v>
      </c>
      <c r="P253" s="5">
        <v>209</v>
      </c>
      <c r="Q253" s="13">
        <f t="shared" si="22"/>
        <v>1.1192307692307693</v>
      </c>
      <c r="R253" s="8">
        <f t="shared" si="23"/>
        <v>1.3430769230769231</v>
      </c>
      <c r="S253" s="8">
        <f t="shared" si="24"/>
        <v>-1.3430769230769231</v>
      </c>
      <c r="T253" s="94">
        <f t="shared" si="25"/>
        <v>149.57999999999998</v>
      </c>
      <c r="V253" s="12">
        <v>851</v>
      </c>
      <c r="W253" s="5">
        <v>146.72413793103448</v>
      </c>
      <c r="X253" s="5">
        <v>111633</v>
      </c>
      <c r="Y253" s="5">
        <f t="shared" si="20"/>
        <v>29203.8</v>
      </c>
      <c r="AA253" s="5">
        <v>13.185233938895999</v>
      </c>
      <c r="AB253" s="8">
        <f>AVERAGE(T259:T272)</f>
        <v>109.23057692307691</v>
      </c>
      <c r="AD253" s="92" t="s">
        <v>59</v>
      </c>
    </row>
    <row r="254" spans="1:30" s="5" customFormat="1" x14ac:dyDescent="0.25">
      <c r="A254" s="77"/>
      <c r="B254" s="10"/>
      <c r="C254" s="4">
        <v>42101</v>
      </c>
      <c r="D254" s="5">
        <v>7.9</v>
      </c>
      <c r="E254" s="15">
        <v>1.5</v>
      </c>
      <c r="F254" s="5">
        <v>13.5</v>
      </c>
      <c r="G254" s="5">
        <v>1680.9000000000005</v>
      </c>
      <c r="H254" s="5">
        <f t="shared" si="19"/>
        <v>218.79999999999998</v>
      </c>
      <c r="J254" s="93">
        <v>0</v>
      </c>
      <c r="K254" s="5">
        <v>429.40000000000003</v>
      </c>
      <c r="L254" s="5">
        <v>2.2999999999999998</v>
      </c>
      <c r="M254" s="5">
        <v>236.10000000000002</v>
      </c>
      <c r="N254" s="6">
        <v>-2.2999999999999998</v>
      </c>
      <c r="O254" s="5">
        <f t="shared" si="26"/>
        <v>147.69999999999999</v>
      </c>
      <c r="P254" s="5">
        <v>210</v>
      </c>
      <c r="Q254" s="13">
        <f t="shared" si="22"/>
        <v>1.1230769230769231</v>
      </c>
      <c r="R254" s="8">
        <f t="shared" si="23"/>
        <v>2.583076923076923</v>
      </c>
      <c r="S254" s="8">
        <f t="shared" si="24"/>
        <v>-2.583076923076923</v>
      </c>
      <c r="T254" s="8">
        <f t="shared" si="25"/>
        <v>146.99692307692305</v>
      </c>
      <c r="V254" s="5">
        <v>1759.4</v>
      </c>
      <c r="W254" s="5">
        <v>222.70886075949366</v>
      </c>
      <c r="X254" s="5">
        <v>113392.4</v>
      </c>
      <c r="Y254" s="5">
        <f t="shared" si="20"/>
        <v>30963.200000000001</v>
      </c>
      <c r="AA254" s="5">
        <v>13.2485051948674</v>
      </c>
      <c r="AB254" s="92" t="s">
        <v>57</v>
      </c>
      <c r="AD254" s="8">
        <f>(AB240*(75/175))+(AB259*(100/175))</f>
        <v>1.2857142857142856</v>
      </c>
    </row>
    <row r="255" spans="1:30" s="24" customFormat="1" x14ac:dyDescent="0.25">
      <c r="A255" s="77"/>
      <c r="B255" s="22"/>
      <c r="C255" s="23">
        <v>42102</v>
      </c>
      <c r="D255" s="24">
        <v>9.1</v>
      </c>
      <c r="E255" s="25">
        <v>3.7</v>
      </c>
      <c r="F255" s="24">
        <v>12.9</v>
      </c>
      <c r="G255" s="24">
        <v>1690.0000000000005</v>
      </c>
      <c r="H255" s="24">
        <f t="shared" si="19"/>
        <v>227.89999999999998</v>
      </c>
      <c r="J255" s="96">
        <v>0</v>
      </c>
      <c r="K255" s="24">
        <v>429.40000000000003</v>
      </c>
      <c r="L255" s="24">
        <v>2</v>
      </c>
      <c r="M255" s="24">
        <v>238.10000000000002</v>
      </c>
      <c r="N255" s="26">
        <v>-2</v>
      </c>
      <c r="O255" s="24">
        <f t="shared" si="26"/>
        <v>145.69999999999999</v>
      </c>
      <c r="P255" s="24">
        <v>211</v>
      </c>
      <c r="Q255" s="13">
        <f t="shared" si="22"/>
        <v>1.1269230769230769</v>
      </c>
      <c r="R255" s="27">
        <f t="shared" si="23"/>
        <v>2.2538461538461538</v>
      </c>
      <c r="S255" s="27">
        <f t="shared" si="24"/>
        <v>-2.2538461538461538</v>
      </c>
      <c r="T255" s="8">
        <f t="shared" si="25"/>
        <v>144.7430769230769</v>
      </c>
      <c r="V255" s="24">
        <v>1465.8</v>
      </c>
      <c r="W255" s="24">
        <v>161.07692307692307</v>
      </c>
      <c r="X255" s="24">
        <v>114858.2</v>
      </c>
      <c r="Y255" s="5">
        <f t="shared" si="20"/>
        <v>32429</v>
      </c>
      <c r="AA255" s="5">
        <v>13.311653741106101</v>
      </c>
      <c r="AB255" s="24">
        <v>5</v>
      </c>
      <c r="AD255" s="92" t="s">
        <v>60</v>
      </c>
    </row>
    <row r="256" spans="1:30" s="5" customFormat="1" ht="15" customHeight="1" x14ac:dyDescent="0.25">
      <c r="A256" s="77"/>
      <c r="B256" s="10"/>
      <c r="C256" s="28">
        <v>42103</v>
      </c>
      <c r="D256" s="5">
        <v>11</v>
      </c>
      <c r="E256" s="5">
        <v>4.0999999999999996</v>
      </c>
      <c r="F256" s="5">
        <v>17</v>
      </c>
      <c r="G256" s="5">
        <v>1701.0000000000005</v>
      </c>
      <c r="H256" s="5">
        <f t="shared" ref="H256:H319" si="27">H255+D256</f>
        <v>238.89999999999998</v>
      </c>
      <c r="J256" s="93">
        <v>0</v>
      </c>
      <c r="K256" s="5">
        <v>429.40000000000003</v>
      </c>
      <c r="L256" s="5">
        <v>3.2</v>
      </c>
      <c r="M256" s="5">
        <v>241.3</v>
      </c>
      <c r="N256" s="5">
        <v>-3.2</v>
      </c>
      <c r="O256" s="5">
        <f t="shared" si="26"/>
        <v>142.5</v>
      </c>
      <c r="P256" s="5">
        <v>212</v>
      </c>
      <c r="Q256" s="13">
        <f t="shared" si="22"/>
        <v>1.1307692307692307</v>
      </c>
      <c r="R256" s="8">
        <f t="shared" si="23"/>
        <v>3.6184615384615384</v>
      </c>
      <c r="S256" s="8">
        <f t="shared" si="24"/>
        <v>-3.6184615384615384</v>
      </c>
      <c r="T256" s="8">
        <f t="shared" si="25"/>
        <v>141.12461538461537</v>
      </c>
      <c r="V256" s="5">
        <v>2194.8000000000002</v>
      </c>
      <c r="W256" s="5">
        <v>199.52727272727273</v>
      </c>
      <c r="X256" s="5">
        <v>117053</v>
      </c>
      <c r="Y256" s="5">
        <f t="shared" ref="Y256:Y319" si="28">Y255+V256</f>
        <v>34623.800000000003</v>
      </c>
      <c r="AA256" s="5">
        <v>13.374671483163199</v>
      </c>
      <c r="AB256" s="92" t="s">
        <v>58</v>
      </c>
      <c r="AD256" s="8">
        <f>(AB242*(75/175))+(AB261*(100/175))</f>
        <v>17.542857142857144</v>
      </c>
    </row>
    <row r="257" spans="1:28" s="5" customFormat="1" x14ac:dyDescent="0.25">
      <c r="A257" s="77"/>
      <c r="B257" s="10"/>
      <c r="C257" s="4">
        <v>42104</v>
      </c>
      <c r="D257" s="5">
        <v>12.8</v>
      </c>
      <c r="E257" s="5">
        <v>5.3</v>
      </c>
      <c r="F257" s="5">
        <v>20.3</v>
      </c>
      <c r="G257" s="5">
        <v>1713.8000000000004</v>
      </c>
      <c r="H257" s="5">
        <f t="shared" si="27"/>
        <v>251.7</v>
      </c>
      <c r="J257" s="93">
        <v>0.1</v>
      </c>
      <c r="K257" s="5">
        <v>429.50000000000006</v>
      </c>
      <c r="L257" s="5">
        <v>2.8</v>
      </c>
      <c r="M257" s="5">
        <v>244.10000000000002</v>
      </c>
      <c r="N257" s="6">
        <v>-2.6999999999999997</v>
      </c>
      <c r="O257" s="5">
        <f t="shared" si="26"/>
        <v>139.80000000000001</v>
      </c>
      <c r="P257" s="5">
        <v>213</v>
      </c>
      <c r="Q257" s="13">
        <f t="shared" si="22"/>
        <v>1.1346153846153846</v>
      </c>
      <c r="R257" s="8">
        <f t="shared" si="23"/>
        <v>3.1769230769230767</v>
      </c>
      <c r="S257" s="8">
        <f t="shared" si="24"/>
        <v>-3.0769230769230766</v>
      </c>
      <c r="T257" s="8">
        <f t="shared" si="25"/>
        <v>138.0476923076923</v>
      </c>
      <c r="U257" s="29"/>
      <c r="V257" s="5">
        <v>1501.6</v>
      </c>
      <c r="W257" s="5">
        <v>117.31249999999999</v>
      </c>
      <c r="X257" s="5">
        <v>118554.6</v>
      </c>
      <c r="Y257" s="5">
        <f t="shared" si="28"/>
        <v>36125.4</v>
      </c>
      <c r="AA257" s="5">
        <v>13.4375500191694</v>
      </c>
      <c r="AB257" s="5">
        <v>8</v>
      </c>
    </row>
    <row r="258" spans="1:28" s="5" customFormat="1" x14ac:dyDescent="0.25">
      <c r="A258" s="77"/>
      <c r="B258" s="10"/>
      <c r="C258" s="4">
        <v>42105</v>
      </c>
      <c r="D258" s="5">
        <v>10.199999999999999</v>
      </c>
      <c r="E258" s="5">
        <v>8.6</v>
      </c>
      <c r="F258" s="5">
        <v>13.2</v>
      </c>
      <c r="G258" s="5">
        <v>1724.0000000000005</v>
      </c>
      <c r="H258" s="5">
        <f t="shared" si="27"/>
        <v>261.89999999999998</v>
      </c>
      <c r="J258" s="93">
        <v>0.9</v>
      </c>
      <c r="K258" s="5">
        <v>430.40000000000003</v>
      </c>
      <c r="L258" s="5">
        <v>1.8</v>
      </c>
      <c r="M258" s="5">
        <v>245.90000000000003</v>
      </c>
      <c r="N258" s="6">
        <v>-0.9</v>
      </c>
      <c r="O258" s="5">
        <f t="shared" si="26"/>
        <v>138.9</v>
      </c>
      <c r="P258" s="5">
        <v>214</v>
      </c>
      <c r="Q258" s="13">
        <f t="shared" si="22"/>
        <v>1.1384615384615384</v>
      </c>
      <c r="R258" s="8">
        <f t="shared" si="23"/>
        <v>2.0492307692307694</v>
      </c>
      <c r="S258" s="8">
        <f t="shared" si="24"/>
        <v>-1.1492307692307695</v>
      </c>
      <c r="T258" s="8">
        <f t="shared" si="25"/>
        <v>136.89846153846153</v>
      </c>
      <c r="V258" s="12">
        <v>691</v>
      </c>
      <c r="W258" s="5">
        <v>67.745098039215691</v>
      </c>
      <c r="X258" s="5">
        <v>119245.6</v>
      </c>
      <c r="Y258" s="5">
        <f t="shared" si="28"/>
        <v>36816.400000000001</v>
      </c>
      <c r="AA258" s="5">
        <v>13.500280621550599</v>
      </c>
      <c r="AB258" s="92" t="s">
        <v>59</v>
      </c>
    </row>
    <row r="259" spans="1:28" s="5" customFormat="1" x14ac:dyDescent="0.25">
      <c r="A259" s="77"/>
      <c r="B259" s="10"/>
      <c r="C259" s="4">
        <v>42106</v>
      </c>
      <c r="D259" s="5">
        <v>10.3</v>
      </c>
      <c r="E259" s="15">
        <v>3.1</v>
      </c>
      <c r="F259" s="5">
        <v>15.7</v>
      </c>
      <c r="G259" s="5">
        <v>1734.3000000000004</v>
      </c>
      <c r="H259" s="5">
        <f t="shared" si="27"/>
        <v>272.2</v>
      </c>
      <c r="J259" s="93">
        <v>0</v>
      </c>
      <c r="K259" s="5">
        <v>430.40000000000003</v>
      </c>
      <c r="L259" s="5">
        <v>3.2</v>
      </c>
      <c r="M259" s="5">
        <v>249.10000000000002</v>
      </c>
      <c r="N259" s="6">
        <v>-3.2</v>
      </c>
      <c r="O259" s="5">
        <f t="shared" si="26"/>
        <v>135.70000000000002</v>
      </c>
      <c r="P259" s="5">
        <v>215</v>
      </c>
      <c r="Q259" s="13">
        <f t="shared" si="22"/>
        <v>1.1423076923076922</v>
      </c>
      <c r="R259" s="8">
        <f t="shared" si="23"/>
        <v>3.6553846153846155</v>
      </c>
      <c r="S259" s="8">
        <f t="shared" si="24"/>
        <v>-3.6553846153846155</v>
      </c>
      <c r="T259" s="94">
        <f t="shared" si="25"/>
        <v>133.24307692307693</v>
      </c>
      <c r="V259" s="5">
        <v>1968.4</v>
      </c>
      <c r="W259" s="5">
        <v>191.10679611650485</v>
      </c>
      <c r="X259" s="5">
        <v>121214</v>
      </c>
      <c r="Y259" s="5">
        <f t="shared" si="28"/>
        <v>38784.800000000003</v>
      </c>
      <c r="AA259" s="5">
        <v>13.5628542188418</v>
      </c>
      <c r="AB259" s="5">
        <v>0</v>
      </c>
    </row>
    <row r="260" spans="1:28" s="5" customFormat="1" x14ac:dyDescent="0.25">
      <c r="A260" s="77"/>
      <c r="B260" s="10"/>
      <c r="C260" s="4">
        <v>42107</v>
      </c>
      <c r="D260" s="5">
        <v>10.9</v>
      </c>
      <c r="E260" s="5">
        <v>7.8</v>
      </c>
      <c r="F260" s="5">
        <v>13.6</v>
      </c>
      <c r="G260" s="5">
        <v>1745.2000000000005</v>
      </c>
      <c r="H260" s="5">
        <f t="shared" si="27"/>
        <v>283.09999999999997</v>
      </c>
      <c r="J260" s="93">
        <v>0</v>
      </c>
      <c r="K260" s="5">
        <v>430.40000000000003</v>
      </c>
      <c r="L260" s="5">
        <v>2.1</v>
      </c>
      <c r="M260" s="5">
        <v>251.20000000000002</v>
      </c>
      <c r="N260" s="6">
        <v>-2.1</v>
      </c>
      <c r="O260" s="5">
        <f t="shared" si="26"/>
        <v>133.60000000000002</v>
      </c>
      <c r="P260" s="5">
        <v>216</v>
      </c>
      <c r="Q260" s="13">
        <f t="shared" si="22"/>
        <v>1.1461538461538461</v>
      </c>
      <c r="R260" s="8">
        <f t="shared" si="23"/>
        <v>2.4069230769230767</v>
      </c>
      <c r="S260" s="8">
        <f t="shared" si="24"/>
        <v>-2.4069230769230767</v>
      </c>
      <c r="T260" s="94">
        <f t="shared" si="25"/>
        <v>130.83615384615385</v>
      </c>
      <c r="V260" s="5">
        <v>1113.5999999999999</v>
      </c>
      <c r="W260" s="5">
        <v>102.16513761467888</v>
      </c>
      <c r="X260" s="5">
        <v>122327.6</v>
      </c>
      <c r="Y260" s="5">
        <f t="shared" si="28"/>
        <v>39898.400000000001</v>
      </c>
      <c r="AA260" s="5">
        <v>13.6252613776202</v>
      </c>
      <c r="AB260" s="92" t="s">
        <v>60</v>
      </c>
    </row>
    <row r="261" spans="1:28" s="44" customFormat="1" ht="15.75" thickBot="1" x14ac:dyDescent="0.3">
      <c r="A261" s="77"/>
      <c r="B261" s="50"/>
      <c r="C261" s="51">
        <v>42108</v>
      </c>
      <c r="D261" s="44">
        <v>14.4</v>
      </c>
      <c r="E261" s="44">
        <v>7.8</v>
      </c>
      <c r="F261" s="44">
        <v>21.7</v>
      </c>
      <c r="G261" s="44">
        <v>1759.6000000000006</v>
      </c>
      <c r="H261" s="44">
        <f t="shared" si="27"/>
        <v>297.49999999999994</v>
      </c>
      <c r="J261" s="97">
        <v>0</v>
      </c>
      <c r="K261" s="44">
        <v>430.40000000000003</v>
      </c>
      <c r="L261" s="44">
        <v>3.8</v>
      </c>
      <c r="M261" s="44">
        <v>255.00000000000003</v>
      </c>
      <c r="N261" s="52">
        <v>-3.8</v>
      </c>
      <c r="O261" s="44">
        <f t="shared" si="26"/>
        <v>129.80000000000001</v>
      </c>
      <c r="P261" s="44">
        <v>217</v>
      </c>
      <c r="Q261" s="53">
        <f t="shared" si="22"/>
        <v>1.1499999999999999</v>
      </c>
      <c r="R261" s="46">
        <f t="shared" si="23"/>
        <v>4.3699999999999992</v>
      </c>
      <c r="S261" s="46">
        <f t="shared" si="24"/>
        <v>-4.3699999999999992</v>
      </c>
      <c r="T261" s="95">
        <f t="shared" si="25"/>
        <v>126.46615384615384</v>
      </c>
      <c r="V261" s="44">
        <v>2015</v>
      </c>
      <c r="W261" s="44">
        <v>139.93055555555554</v>
      </c>
      <c r="X261" s="44">
        <v>124342.6</v>
      </c>
      <c r="Y261" s="45">
        <f t="shared" si="28"/>
        <v>41913.4</v>
      </c>
      <c r="AA261" s="45">
        <v>13.6874922845799</v>
      </c>
      <c r="AB261" s="5">
        <f>SUM(J263:J272)</f>
        <v>4.9000000000000004</v>
      </c>
    </row>
    <row r="262" spans="1:28" s="85" customFormat="1" x14ac:dyDescent="0.25">
      <c r="A262" s="89" t="s">
        <v>21</v>
      </c>
      <c r="B262" s="91" t="s">
        <v>55</v>
      </c>
      <c r="C262" s="84">
        <v>42109</v>
      </c>
      <c r="D262" s="85">
        <v>16</v>
      </c>
      <c r="E262" s="85">
        <v>9</v>
      </c>
      <c r="F262" s="85">
        <v>24.2</v>
      </c>
      <c r="G262" s="85">
        <v>1775.6000000000006</v>
      </c>
      <c r="H262" s="85">
        <v>16</v>
      </c>
      <c r="I262" s="90" t="s">
        <v>2</v>
      </c>
      <c r="J262" s="85">
        <v>0</v>
      </c>
      <c r="K262" s="85">
        <v>430.40000000000003</v>
      </c>
      <c r="L262" s="85">
        <v>4.0999999999999996</v>
      </c>
      <c r="M262" s="85">
        <v>259.10000000000002</v>
      </c>
      <c r="N262" s="86">
        <v>-4.0999999999999996</v>
      </c>
      <c r="O262" s="85">
        <f t="shared" si="26"/>
        <v>125.70000000000002</v>
      </c>
      <c r="P262" s="85">
        <v>218</v>
      </c>
      <c r="Q262" s="85">
        <v>1.1499999999999999</v>
      </c>
      <c r="R262" s="88">
        <f t="shared" si="23"/>
        <v>4.714999999999999</v>
      </c>
      <c r="S262" s="88">
        <f t="shared" si="24"/>
        <v>-4.714999999999999</v>
      </c>
      <c r="T262" s="88">
        <f t="shared" si="25"/>
        <v>121.75115384615384</v>
      </c>
      <c r="U262" s="90" t="s">
        <v>3</v>
      </c>
      <c r="V262" s="85">
        <v>2021.5</v>
      </c>
      <c r="W262" s="85">
        <v>126.34375</v>
      </c>
      <c r="X262" s="85">
        <v>126364.1</v>
      </c>
      <c r="Y262" s="85">
        <v>2021.5</v>
      </c>
      <c r="Z262" s="90" t="s">
        <v>4</v>
      </c>
      <c r="AA262" s="85">
        <v>13.7495367287754</v>
      </c>
    </row>
    <row r="263" spans="1:28" s="5" customFormat="1" x14ac:dyDescent="0.25">
      <c r="A263" s="30"/>
      <c r="B263" s="9"/>
      <c r="C263" s="4">
        <v>42110</v>
      </c>
      <c r="D263" s="5">
        <v>14.1</v>
      </c>
      <c r="E263" s="5">
        <v>9.1</v>
      </c>
      <c r="F263" s="5">
        <v>18.3</v>
      </c>
      <c r="G263" s="5">
        <v>1789.7000000000005</v>
      </c>
      <c r="H263" s="5">
        <f t="shared" si="27"/>
        <v>30.1</v>
      </c>
      <c r="I263" s="5">
        <f>MIN(E262:E282)</f>
        <v>2.6</v>
      </c>
      <c r="J263" s="93">
        <v>0</v>
      </c>
      <c r="K263" s="5">
        <v>430.40000000000003</v>
      </c>
      <c r="L263" s="5">
        <v>2.5</v>
      </c>
      <c r="M263" s="5">
        <v>261.60000000000002</v>
      </c>
      <c r="N263" s="6">
        <v>-2.5</v>
      </c>
      <c r="O263" s="5">
        <f t="shared" si="26"/>
        <v>123.20000000000002</v>
      </c>
      <c r="P263" s="5">
        <v>219</v>
      </c>
      <c r="Q263" s="5">
        <v>1.1499999999999999</v>
      </c>
      <c r="R263" s="8">
        <f t="shared" si="23"/>
        <v>2.875</v>
      </c>
      <c r="S263" s="8">
        <f t="shared" si="24"/>
        <v>-2.875</v>
      </c>
      <c r="T263" s="94">
        <f t="shared" si="25"/>
        <v>118.87615384615384</v>
      </c>
      <c r="U263" s="5">
        <v>16</v>
      </c>
      <c r="V263" s="5">
        <v>1224.5</v>
      </c>
      <c r="W263" s="5">
        <v>86.843971631205676</v>
      </c>
      <c r="X263" s="5">
        <v>127588.6</v>
      </c>
      <c r="Y263" s="5">
        <f t="shared" si="28"/>
        <v>3246</v>
      </c>
      <c r="Z263" s="5">
        <v>32208.3</v>
      </c>
      <c r="AA263" s="5">
        <v>13.811384084064301</v>
      </c>
    </row>
    <row r="264" spans="1:28" s="5" customFormat="1" x14ac:dyDescent="0.25">
      <c r="A264" s="30"/>
      <c r="B264" s="9"/>
      <c r="C264" s="4">
        <v>42111</v>
      </c>
      <c r="D264" s="5">
        <v>11</v>
      </c>
      <c r="E264" s="5">
        <v>9</v>
      </c>
      <c r="F264" s="5">
        <v>13.9</v>
      </c>
      <c r="G264" s="5">
        <v>1800.7000000000005</v>
      </c>
      <c r="H264" s="5">
        <f t="shared" si="27"/>
        <v>41.1</v>
      </c>
      <c r="I264" s="31" t="s">
        <v>5</v>
      </c>
      <c r="J264" s="93">
        <v>0</v>
      </c>
      <c r="K264" s="5">
        <v>430.40000000000003</v>
      </c>
      <c r="L264" s="5">
        <v>3.6</v>
      </c>
      <c r="M264" s="5">
        <v>265.20000000000005</v>
      </c>
      <c r="N264" s="6">
        <v>-3.6</v>
      </c>
      <c r="O264" s="5">
        <f t="shared" si="26"/>
        <v>119.60000000000002</v>
      </c>
      <c r="P264" s="5">
        <v>220</v>
      </c>
      <c r="Q264" s="5">
        <v>1.1499999999999999</v>
      </c>
      <c r="R264" s="8">
        <f t="shared" si="23"/>
        <v>4.1399999999999997</v>
      </c>
      <c r="S264" s="8">
        <f t="shared" si="24"/>
        <v>-4.1399999999999997</v>
      </c>
      <c r="T264" s="94">
        <f t="shared" si="25"/>
        <v>114.73615384615384</v>
      </c>
      <c r="U264" s="32" t="s">
        <v>6</v>
      </c>
      <c r="V264" s="5">
        <v>1625.6</v>
      </c>
      <c r="W264" s="5">
        <v>147.78181818181818</v>
      </c>
      <c r="X264" s="5">
        <v>129214.20000000001</v>
      </c>
      <c r="Y264" s="5">
        <f t="shared" si="28"/>
        <v>4871.6000000000004</v>
      </c>
      <c r="Z264" s="31" t="s">
        <v>7</v>
      </c>
      <c r="AA264" s="5">
        <v>13.873023291784399</v>
      </c>
    </row>
    <row r="265" spans="1:28" s="5" customFormat="1" x14ac:dyDescent="0.25">
      <c r="A265" s="30" t="s">
        <v>22</v>
      </c>
      <c r="B265" s="9"/>
      <c r="C265" s="4">
        <v>42112</v>
      </c>
      <c r="D265" s="5">
        <v>10.1</v>
      </c>
      <c r="E265" s="15">
        <v>4.9000000000000004</v>
      </c>
      <c r="F265" s="5">
        <v>14.2</v>
      </c>
      <c r="G265" s="5">
        <v>1810.8000000000004</v>
      </c>
      <c r="H265" s="5">
        <f t="shared" si="27"/>
        <v>51.2</v>
      </c>
      <c r="I265" s="5">
        <f>MAX(F262:F282)</f>
        <v>24.2</v>
      </c>
      <c r="J265" s="93">
        <v>0</v>
      </c>
      <c r="K265" s="5">
        <v>430.40000000000003</v>
      </c>
      <c r="L265" s="5">
        <v>3.8</v>
      </c>
      <c r="M265" s="5">
        <v>269.00000000000006</v>
      </c>
      <c r="N265" s="6">
        <v>-3.8</v>
      </c>
      <c r="O265" s="5">
        <f t="shared" si="26"/>
        <v>115.80000000000003</v>
      </c>
      <c r="P265" s="5">
        <v>221</v>
      </c>
      <c r="Q265" s="5">
        <v>1.1499999999999999</v>
      </c>
      <c r="R265" s="8">
        <f t="shared" si="23"/>
        <v>4.3699999999999992</v>
      </c>
      <c r="S265" s="8">
        <f t="shared" si="24"/>
        <v>-4.3699999999999992</v>
      </c>
      <c r="T265" s="94">
        <f t="shared" si="25"/>
        <v>110.36615384615384</v>
      </c>
      <c r="U265" s="5">
        <v>0</v>
      </c>
      <c r="V265" s="5">
        <v>2315.4</v>
      </c>
      <c r="W265" s="5">
        <v>229.24752475247527</v>
      </c>
      <c r="X265" s="5">
        <v>131529.60000000001</v>
      </c>
      <c r="Y265" s="5">
        <f t="shared" si="28"/>
        <v>7187</v>
      </c>
      <c r="Z265" s="13">
        <f>(Z263/100)/I275</f>
        <v>1.2929867523083098</v>
      </c>
      <c r="AA265" s="5">
        <v>13.9344428437046</v>
      </c>
    </row>
    <row r="266" spans="1:28" s="5" customFormat="1" x14ac:dyDescent="0.25">
      <c r="A266" s="30"/>
      <c r="B266" s="9"/>
      <c r="C266" s="4">
        <v>42113</v>
      </c>
      <c r="D266" s="5">
        <v>9.4</v>
      </c>
      <c r="E266" s="15">
        <v>4.7</v>
      </c>
      <c r="F266" s="5">
        <v>13.1</v>
      </c>
      <c r="G266" s="5">
        <v>1820.2000000000005</v>
      </c>
      <c r="H266" s="5">
        <f t="shared" si="27"/>
        <v>60.6</v>
      </c>
      <c r="I266" s="31" t="s">
        <v>8</v>
      </c>
      <c r="J266" s="93">
        <v>0</v>
      </c>
      <c r="K266" s="5">
        <v>430.40000000000003</v>
      </c>
      <c r="L266" s="5">
        <v>2.8</v>
      </c>
      <c r="M266" s="5">
        <v>271.80000000000007</v>
      </c>
      <c r="N266" s="6">
        <v>-2.8</v>
      </c>
      <c r="O266" s="5">
        <f t="shared" si="26"/>
        <v>113.00000000000003</v>
      </c>
      <c r="P266" s="5">
        <v>222</v>
      </c>
      <c r="Q266" s="5">
        <v>1.1499999999999999</v>
      </c>
      <c r="R266" s="8">
        <f t="shared" si="23"/>
        <v>3.2199999999999998</v>
      </c>
      <c r="S266" s="8">
        <f t="shared" si="24"/>
        <v>-3.2199999999999998</v>
      </c>
      <c r="T266" s="94">
        <f t="shared" si="25"/>
        <v>107.14615384615384</v>
      </c>
      <c r="U266" s="31" t="s">
        <v>9</v>
      </c>
      <c r="V266" s="5">
        <v>1982.5</v>
      </c>
      <c r="W266" s="5">
        <v>210.90425531914892</v>
      </c>
      <c r="X266" s="5">
        <v>133512.1</v>
      </c>
      <c r="Y266" s="5">
        <f t="shared" si="28"/>
        <v>9169.5</v>
      </c>
      <c r="Z266" s="32" t="s">
        <v>10</v>
      </c>
      <c r="AA266" s="5">
        <v>13.995630765292001</v>
      </c>
    </row>
    <row r="267" spans="1:28" s="5" customFormat="1" x14ac:dyDescent="0.25">
      <c r="A267" s="30"/>
      <c r="B267" s="9"/>
      <c r="C267" s="4">
        <v>42114</v>
      </c>
      <c r="D267" s="5">
        <v>12.1</v>
      </c>
      <c r="E267" s="5">
        <v>5.3</v>
      </c>
      <c r="F267" s="5">
        <v>18.399999999999999</v>
      </c>
      <c r="G267" s="5">
        <v>1832.3000000000004</v>
      </c>
      <c r="H267" s="5">
        <f t="shared" si="27"/>
        <v>72.7</v>
      </c>
      <c r="I267" s="8">
        <f>AVERAGE(D262:D282)</f>
        <v>11.861904761904762</v>
      </c>
      <c r="J267" s="93">
        <v>0</v>
      </c>
      <c r="K267" s="5">
        <v>430.40000000000003</v>
      </c>
      <c r="L267" s="5">
        <v>3.8</v>
      </c>
      <c r="M267" s="5">
        <v>275.60000000000008</v>
      </c>
      <c r="N267" s="6">
        <v>-3.8</v>
      </c>
      <c r="O267" s="5">
        <f t="shared" si="26"/>
        <v>109.20000000000003</v>
      </c>
      <c r="P267" s="5">
        <v>223</v>
      </c>
      <c r="Q267" s="5">
        <v>1.1499999999999999</v>
      </c>
      <c r="R267" s="8">
        <f t="shared" si="23"/>
        <v>4.3699999999999992</v>
      </c>
      <c r="S267" s="8">
        <f t="shared" si="24"/>
        <v>-4.3699999999999992</v>
      </c>
      <c r="T267" s="94">
        <f t="shared" si="25"/>
        <v>102.77615384615383</v>
      </c>
      <c r="U267" s="5">
        <v>0</v>
      </c>
      <c r="V267" s="5">
        <v>2071.6999999999998</v>
      </c>
      <c r="W267" s="5">
        <v>171.21487603305783</v>
      </c>
      <c r="X267" s="5">
        <v>135583.80000000002</v>
      </c>
      <c r="Y267" s="5">
        <f t="shared" si="28"/>
        <v>11241.2</v>
      </c>
      <c r="Z267" s="5">
        <v>4</v>
      </c>
      <c r="AA267" s="5">
        <v>14.0565745993449</v>
      </c>
    </row>
    <row r="268" spans="1:28" s="5" customFormat="1" x14ac:dyDescent="0.25">
      <c r="A268" s="30"/>
      <c r="B268" s="9"/>
      <c r="C268" s="4">
        <v>42115</v>
      </c>
      <c r="D268" s="5">
        <v>12.2</v>
      </c>
      <c r="E268" s="5">
        <v>7.4</v>
      </c>
      <c r="F268" s="5">
        <v>18.5</v>
      </c>
      <c r="G268" s="5">
        <v>1844.5000000000005</v>
      </c>
      <c r="H268" s="5">
        <f t="shared" si="27"/>
        <v>84.9</v>
      </c>
      <c r="I268" s="31" t="s">
        <v>11</v>
      </c>
      <c r="J268" s="93">
        <v>0</v>
      </c>
      <c r="K268" s="5">
        <v>430.40000000000003</v>
      </c>
      <c r="L268" s="5">
        <v>3.9</v>
      </c>
      <c r="M268" s="5">
        <v>279.50000000000006</v>
      </c>
      <c r="N268" s="6">
        <v>-3.9</v>
      </c>
      <c r="O268" s="5">
        <f t="shared" si="26"/>
        <v>105.30000000000003</v>
      </c>
      <c r="P268" s="5">
        <v>224</v>
      </c>
      <c r="Q268" s="5">
        <v>1.1499999999999999</v>
      </c>
      <c r="R268" s="8">
        <f t="shared" si="23"/>
        <v>4.4849999999999994</v>
      </c>
      <c r="S268" s="8">
        <f t="shared" si="24"/>
        <v>-4.4849999999999994</v>
      </c>
      <c r="T268" s="94">
        <f t="shared" si="25"/>
        <v>98.291153846153833</v>
      </c>
      <c r="U268" s="31" t="s">
        <v>12</v>
      </c>
      <c r="V268" s="5">
        <v>2078.5</v>
      </c>
      <c r="W268" s="5">
        <v>170.36885245901641</v>
      </c>
      <c r="X268" s="5">
        <v>137662.30000000002</v>
      </c>
      <c r="Y268" s="5">
        <f t="shared" si="28"/>
        <v>13319.7</v>
      </c>
      <c r="AA268" s="5">
        <v>14.1172613900444</v>
      </c>
    </row>
    <row r="269" spans="1:28" s="5" customFormat="1" x14ac:dyDescent="0.25">
      <c r="A269" s="30"/>
      <c r="B269" s="9"/>
      <c r="C269" s="4">
        <v>42116</v>
      </c>
      <c r="D269" s="5">
        <v>9.9</v>
      </c>
      <c r="E269" s="5">
        <v>6.3</v>
      </c>
      <c r="F269" s="5">
        <v>13.7</v>
      </c>
      <c r="G269" s="5">
        <v>1854.4000000000005</v>
      </c>
      <c r="H269" s="5">
        <f t="shared" si="27"/>
        <v>94.800000000000011</v>
      </c>
      <c r="I269" s="5">
        <v>0</v>
      </c>
      <c r="J269" s="93">
        <v>0</v>
      </c>
      <c r="K269" s="5">
        <v>430.40000000000003</v>
      </c>
      <c r="L269" s="5">
        <v>2.9</v>
      </c>
      <c r="M269" s="5">
        <v>282.40000000000003</v>
      </c>
      <c r="N269" s="6">
        <v>-2.9</v>
      </c>
      <c r="O269" s="5">
        <f t="shared" si="26"/>
        <v>102.40000000000002</v>
      </c>
      <c r="P269" s="5">
        <v>225</v>
      </c>
      <c r="Q269" s="5">
        <v>1.1499999999999999</v>
      </c>
      <c r="R269" s="8">
        <f t="shared" si="23"/>
        <v>3.3349999999999995</v>
      </c>
      <c r="S269" s="8">
        <f t="shared" si="24"/>
        <v>-3.3349999999999995</v>
      </c>
      <c r="T269" s="94">
        <f t="shared" si="25"/>
        <v>94.956153846153839</v>
      </c>
      <c r="U269" s="8">
        <f>MIN(T262:T282)</f>
        <v>78.056153846153848</v>
      </c>
      <c r="V269" s="5">
        <v>2034.5</v>
      </c>
      <c r="W269" s="5">
        <v>205.50505050505049</v>
      </c>
      <c r="X269" s="5">
        <v>139696.80000000002</v>
      </c>
      <c r="Y269" s="5">
        <f t="shared" si="28"/>
        <v>15354.2</v>
      </c>
      <c r="AA269" s="5">
        <v>14.1776776674823</v>
      </c>
    </row>
    <row r="270" spans="1:28" s="5" customFormat="1" x14ac:dyDescent="0.25">
      <c r="A270" s="30"/>
      <c r="B270" s="9"/>
      <c r="C270" s="4">
        <v>42117</v>
      </c>
      <c r="D270" s="5">
        <v>11.6</v>
      </c>
      <c r="E270" s="5">
        <v>6.4</v>
      </c>
      <c r="F270" s="5">
        <v>16.399999999999999</v>
      </c>
      <c r="G270" s="5">
        <v>1866.0000000000005</v>
      </c>
      <c r="H270" s="5">
        <f t="shared" si="27"/>
        <v>106.4</v>
      </c>
      <c r="I270" s="31" t="s">
        <v>13</v>
      </c>
      <c r="J270" s="93">
        <v>0</v>
      </c>
      <c r="K270" s="5">
        <v>430.40000000000003</v>
      </c>
      <c r="L270" s="5">
        <v>3.6</v>
      </c>
      <c r="M270" s="5">
        <v>286.00000000000006</v>
      </c>
      <c r="N270" s="6">
        <v>-3.6</v>
      </c>
      <c r="O270" s="5">
        <f t="shared" si="26"/>
        <v>98.800000000000026</v>
      </c>
      <c r="P270" s="5">
        <v>226</v>
      </c>
      <c r="Q270" s="5">
        <v>1.1499999999999999</v>
      </c>
      <c r="R270" s="8">
        <f t="shared" si="23"/>
        <v>4.1399999999999997</v>
      </c>
      <c r="S270" s="8">
        <f t="shared" si="24"/>
        <v>-4.1399999999999997</v>
      </c>
      <c r="T270" s="94">
        <f t="shared" si="25"/>
        <v>90.816153846153838</v>
      </c>
      <c r="U270" s="31" t="s">
        <v>14</v>
      </c>
      <c r="V270" s="5">
        <v>2570.8000000000002</v>
      </c>
      <c r="W270" s="5">
        <v>221.62068965517244</v>
      </c>
      <c r="X270" s="5">
        <v>142267.6</v>
      </c>
      <c r="Y270" s="5">
        <f t="shared" si="28"/>
        <v>17925</v>
      </c>
      <c r="AA270" s="5">
        <v>14.237809432730399</v>
      </c>
    </row>
    <row r="271" spans="1:28" s="5" customFormat="1" x14ac:dyDescent="0.25">
      <c r="A271" s="30"/>
      <c r="B271" s="9"/>
      <c r="C271" s="4">
        <v>42118</v>
      </c>
      <c r="D271" s="5">
        <v>13.5</v>
      </c>
      <c r="E271" s="5">
        <v>6.5</v>
      </c>
      <c r="F271" s="5">
        <v>22.5</v>
      </c>
      <c r="G271" s="5">
        <v>1879.5000000000005</v>
      </c>
      <c r="H271" s="5">
        <f t="shared" si="27"/>
        <v>119.9</v>
      </c>
      <c r="I271" s="5">
        <v>0</v>
      </c>
      <c r="J271" s="93">
        <v>2.9</v>
      </c>
      <c r="K271" s="5">
        <v>433.3</v>
      </c>
      <c r="L271" s="5">
        <v>3.7</v>
      </c>
      <c r="M271" s="5">
        <v>289.70000000000005</v>
      </c>
      <c r="N271" s="6">
        <v>-0.80000000000000027</v>
      </c>
      <c r="O271" s="5">
        <f t="shared" si="26"/>
        <v>98.000000000000028</v>
      </c>
      <c r="P271" s="5">
        <v>227</v>
      </c>
      <c r="Q271" s="5">
        <v>1.1499999999999999</v>
      </c>
      <c r="R271" s="8">
        <f t="shared" si="23"/>
        <v>4.2549999999999999</v>
      </c>
      <c r="S271" s="8">
        <f t="shared" si="24"/>
        <v>-1.355</v>
      </c>
      <c r="T271" s="94">
        <f t="shared" si="25"/>
        <v>89.461153846153834</v>
      </c>
      <c r="U271" s="8">
        <f>MAX(T262:T282)</f>
        <v>121.75115384615384</v>
      </c>
      <c r="V271" s="5">
        <v>1854.4</v>
      </c>
      <c r="W271" s="5">
        <v>137.36296296296297</v>
      </c>
      <c r="X271" s="5">
        <v>144122</v>
      </c>
      <c r="Y271" s="5">
        <f t="shared" si="28"/>
        <v>19779.400000000001</v>
      </c>
      <c r="AA271" s="5">
        <v>14.2976421435191</v>
      </c>
    </row>
    <row r="272" spans="1:28" s="5" customFormat="1" x14ac:dyDescent="0.25">
      <c r="A272" s="30"/>
      <c r="B272" s="9"/>
      <c r="C272" s="4">
        <v>42119</v>
      </c>
      <c r="D272" s="5">
        <v>13.7</v>
      </c>
      <c r="E272" s="5">
        <v>11.9</v>
      </c>
      <c r="F272" s="5">
        <v>15.9</v>
      </c>
      <c r="G272" s="5">
        <v>1893.2000000000005</v>
      </c>
      <c r="H272" s="5">
        <f t="shared" si="27"/>
        <v>133.6</v>
      </c>
      <c r="I272" s="31" t="s">
        <v>15</v>
      </c>
      <c r="J272" s="93">
        <v>2</v>
      </c>
      <c r="K272" s="5">
        <v>435.3</v>
      </c>
      <c r="L272" s="5">
        <v>1.7</v>
      </c>
      <c r="M272" s="5">
        <v>291.40000000000003</v>
      </c>
      <c r="N272" s="5">
        <v>0.30000000000000004</v>
      </c>
      <c r="O272" s="5">
        <f t="shared" si="26"/>
        <v>98.300000000000026</v>
      </c>
      <c r="P272" s="5">
        <v>228</v>
      </c>
      <c r="Q272" s="5">
        <v>1.1499999999999999</v>
      </c>
      <c r="R272" s="8">
        <f t="shared" si="23"/>
        <v>1.9549999999999998</v>
      </c>
      <c r="S272" s="8">
        <f t="shared" si="24"/>
        <v>4.5000000000000151E-2</v>
      </c>
      <c r="T272" s="94">
        <f t="shared" si="25"/>
        <v>89.506153846153836</v>
      </c>
      <c r="U272" s="31" t="s">
        <v>16</v>
      </c>
      <c r="V272" s="12">
        <v>403.8</v>
      </c>
      <c r="W272" s="5">
        <v>29.474452554744527</v>
      </c>
      <c r="X272" s="5">
        <v>144525.79999999999</v>
      </c>
      <c r="Y272" s="5">
        <f t="shared" si="28"/>
        <v>20183.2</v>
      </c>
      <c r="AA272" s="5">
        <v>14.3571607006006</v>
      </c>
    </row>
    <row r="273" spans="1:27" s="24" customFormat="1" x14ac:dyDescent="0.25">
      <c r="A273" s="30"/>
      <c r="B273" s="33"/>
      <c r="C273" s="4">
        <v>42120</v>
      </c>
      <c r="D273" s="24">
        <v>12.5</v>
      </c>
      <c r="E273" s="24">
        <v>11.4</v>
      </c>
      <c r="F273" s="24">
        <v>16.2</v>
      </c>
      <c r="G273" s="24">
        <v>1905.7000000000005</v>
      </c>
      <c r="H273" s="24">
        <f t="shared" si="27"/>
        <v>146.1</v>
      </c>
      <c r="I273" s="24">
        <v>5</v>
      </c>
      <c r="J273" s="24">
        <v>5.8</v>
      </c>
      <c r="K273" s="24">
        <v>441.1</v>
      </c>
      <c r="L273" s="24">
        <v>1.5</v>
      </c>
      <c r="M273" s="24">
        <v>292.90000000000003</v>
      </c>
      <c r="N273" s="24">
        <v>4.3</v>
      </c>
      <c r="O273" s="24">
        <f t="shared" si="26"/>
        <v>102.60000000000002</v>
      </c>
      <c r="P273" s="24">
        <v>229</v>
      </c>
      <c r="Q273" s="5">
        <v>1.1499999999999999</v>
      </c>
      <c r="R273" s="27">
        <f t="shared" si="23"/>
        <v>1.7249999999999999</v>
      </c>
      <c r="S273" s="27">
        <f t="shared" si="24"/>
        <v>4.0750000000000002</v>
      </c>
      <c r="T273" s="8">
        <f t="shared" si="25"/>
        <v>93.581153846153839</v>
      </c>
      <c r="U273" s="13">
        <f>AVERAGE(T262:T282)</f>
        <v>95.983772893772908</v>
      </c>
      <c r="V273" s="24">
        <v>516.6</v>
      </c>
      <c r="W273" s="24">
        <v>41.328000000000003</v>
      </c>
      <c r="X273" s="24">
        <v>145042.4</v>
      </c>
      <c r="Y273" s="5">
        <f t="shared" si="28"/>
        <v>20699.8</v>
      </c>
      <c r="AA273" s="5">
        <v>14.4163494348774</v>
      </c>
    </row>
    <row r="274" spans="1:27" s="5" customFormat="1" ht="15" customHeight="1" x14ac:dyDescent="0.25">
      <c r="A274" s="30"/>
      <c r="B274" s="9"/>
      <c r="C274" s="4">
        <v>42121</v>
      </c>
      <c r="D274" s="5">
        <v>8.6</v>
      </c>
      <c r="E274" s="5">
        <v>6.6</v>
      </c>
      <c r="F274" s="5">
        <v>12.6</v>
      </c>
      <c r="G274" s="5">
        <v>1914.3000000000004</v>
      </c>
      <c r="H274" s="5">
        <f t="shared" si="27"/>
        <v>154.69999999999999</v>
      </c>
      <c r="I274" s="31" t="s">
        <v>17</v>
      </c>
      <c r="J274" s="5">
        <v>0</v>
      </c>
      <c r="K274" s="5">
        <v>441.1</v>
      </c>
      <c r="L274" s="5">
        <v>3.1</v>
      </c>
      <c r="M274" s="5">
        <v>296.00000000000006</v>
      </c>
      <c r="N274" s="6">
        <v>-3.1</v>
      </c>
      <c r="O274" s="5">
        <f t="shared" si="26"/>
        <v>99.500000000000028</v>
      </c>
      <c r="P274" s="5">
        <v>230</v>
      </c>
      <c r="Q274" s="5">
        <v>1.1499999999999999</v>
      </c>
      <c r="R274" s="8">
        <f t="shared" si="23"/>
        <v>3.5649999999999999</v>
      </c>
      <c r="S274" s="8">
        <f t="shared" si="24"/>
        <v>-3.5649999999999999</v>
      </c>
      <c r="T274" s="8">
        <f t="shared" si="25"/>
        <v>90.016153846153841</v>
      </c>
      <c r="U274" s="29"/>
      <c r="V274" s="5">
        <v>1719.1</v>
      </c>
      <c r="W274" s="5">
        <v>199.8953488372093</v>
      </c>
      <c r="X274" s="5">
        <v>146761.5</v>
      </c>
      <c r="Y274" s="5">
        <f t="shared" si="28"/>
        <v>22418.899999999998</v>
      </c>
      <c r="AA274" s="5">
        <v>14.475192095382001</v>
      </c>
    </row>
    <row r="275" spans="1:27" s="5" customFormat="1" x14ac:dyDescent="0.25">
      <c r="A275" s="30"/>
      <c r="B275" s="9"/>
      <c r="C275" s="4">
        <v>42122</v>
      </c>
      <c r="D275" s="5">
        <v>8.1999999999999993</v>
      </c>
      <c r="E275" s="15">
        <v>2.6</v>
      </c>
      <c r="F275" s="5">
        <v>12.8</v>
      </c>
      <c r="G275" s="5">
        <v>1922.5000000000005</v>
      </c>
      <c r="H275" s="5">
        <f t="shared" si="27"/>
        <v>162.89999999999998</v>
      </c>
      <c r="I275" s="5">
        <v>249.1</v>
      </c>
      <c r="J275" s="5">
        <v>0</v>
      </c>
      <c r="K275" s="5">
        <v>441.1</v>
      </c>
      <c r="L275" s="5">
        <v>3.3</v>
      </c>
      <c r="M275" s="5">
        <v>299.30000000000007</v>
      </c>
      <c r="N275" s="6">
        <v>-3.3</v>
      </c>
      <c r="O275" s="5">
        <f t="shared" si="26"/>
        <v>96.200000000000031</v>
      </c>
      <c r="P275" s="5">
        <v>231</v>
      </c>
      <c r="Q275" s="5">
        <v>1.1499999999999999</v>
      </c>
      <c r="R275" s="8">
        <f t="shared" si="23"/>
        <v>3.7949999999999995</v>
      </c>
      <c r="S275" s="8">
        <f t="shared" si="24"/>
        <v>-3.7949999999999995</v>
      </c>
      <c r="T275" s="8">
        <f t="shared" si="25"/>
        <v>86.22115384615384</v>
      </c>
      <c r="U275" s="8">
        <f>(U273*100)/153.6</f>
        <v>62.489435477716739</v>
      </c>
      <c r="V275" s="5">
        <v>2038.6</v>
      </c>
      <c r="W275" s="5">
        <v>248.60975609756099</v>
      </c>
      <c r="X275" s="5">
        <v>148800.1</v>
      </c>
      <c r="Y275" s="5">
        <f t="shared" si="28"/>
        <v>24457.499999999996</v>
      </c>
      <c r="AA275" s="5">
        <v>14.5336718382007</v>
      </c>
    </row>
    <row r="276" spans="1:27" s="5" customFormat="1" x14ac:dyDescent="0.25">
      <c r="A276" s="30"/>
      <c r="B276" s="9"/>
      <c r="C276" s="4">
        <v>42123</v>
      </c>
      <c r="D276" s="5">
        <v>9.8000000000000007</v>
      </c>
      <c r="E276" s="15">
        <v>3.7</v>
      </c>
      <c r="F276" s="5">
        <v>14.7</v>
      </c>
      <c r="G276" s="5">
        <v>1932.3000000000004</v>
      </c>
      <c r="H276" s="5">
        <f t="shared" si="27"/>
        <v>172.7</v>
      </c>
      <c r="J276" s="5">
        <v>2.2000000000000002</v>
      </c>
      <c r="K276" s="5">
        <v>443.3</v>
      </c>
      <c r="L276" s="5">
        <v>2.5</v>
      </c>
      <c r="M276" s="5">
        <v>301.80000000000007</v>
      </c>
      <c r="N276" s="6">
        <v>-0.29999999999999982</v>
      </c>
      <c r="O276" s="5">
        <f t="shared" si="26"/>
        <v>95.900000000000034</v>
      </c>
      <c r="P276" s="5">
        <v>232</v>
      </c>
      <c r="Q276" s="5">
        <v>1.1499999999999999</v>
      </c>
      <c r="R276" s="8">
        <f t="shared" si="23"/>
        <v>2.875</v>
      </c>
      <c r="S276" s="8">
        <f t="shared" si="24"/>
        <v>-0.67499999999999982</v>
      </c>
      <c r="T276" s="8">
        <f t="shared" si="25"/>
        <v>85.546153846153842</v>
      </c>
      <c r="V276" s="5">
        <v>1314.2</v>
      </c>
      <c r="W276" s="5">
        <v>134.10204081632654</v>
      </c>
      <c r="X276" s="5">
        <v>150114.30000000002</v>
      </c>
      <c r="Y276" s="5">
        <f t="shared" si="28"/>
        <v>25771.699999999997</v>
      </c>
      <c r="AA276" s="5">
        <v>14.591771216438801</v>
      </c>
    </row>
    <row r="277" spans="1:27" s="5" customFormat="1" x14ac:dyDescent="0.25">
      <c r="A277" s="30"/>
      <c r="B277" s="9"/>
      <c r="C277" s="4">
        <v>42124</v>
      </c>
      <c r="D277" s="5">
        <v>9.5</v>
      </c>
      <c r="E277" s="5">
        <v>7.5</v>
      </c>
      <c r="F277" s="5">
        <v>13.2</v>
      </c>
      <c r="G277" s="5">
        <v>1941.8000000000004</v>
      </c>
      <c r="H277" s="5">
        <f t="shared" si="27"/>
        <v>182.2</v>
      </c>
      <c r="J277" s="5">
        <v>0.1</v>
      </c>
      <c r="K277" s="5">
        <v>443.40000000000003</v>
      </c>
      <c r="L277" s="5">
        <v>3.2</v>
      </c>
      <c r="M277" s="5">
        <v>305.00000000000006</v>
      </c>
      <c r="N277" s="6">
        <v>-3.1</v>
      </c>
      <c r="O277" s="5">
        <f t="shared" si="26"/>
        <v>92.80000000000004</v>
      </c>
      <c r="P277" s="5">
        <v>233</v>
      </c>
      <c r="Q277" s="5">
        <v>1.1499999999999999</v>
      </c>
      <c r="R277" s="8">
        <f t="shared" si="23"/>
        <v>3.6799999999999997</v>
      </c>
      <c r="S277" s="8">
        <f t="shared" si="24"/>
        <v>-3.5799999999999996</v>
      </c>
      <c r="T277" s="8">
        <f t="shared" si="25"/>
        <v>81.966153846153844</v>
      </c>
      <c r="V277" s="5">
        <v>1958.3</v>
      </c>
      <c r="W277" s="5">
        <v>206.13684210526316</v>
      </c>
      <c r="X277" s="5">
        <v>152072.6</v>
      </c>
      <c r="Y277" s="5">
        <f t="shared" si="28"/>
        <v>27729.999999999996</v>
      </c>
      <c r="AA277" s="5">
        <v>14.649472171332301</v>
      </c>
    </row>
    <row r="278" spans="1:27" s="5" customFormat="1" x14ac:dyDescent="0.25">
      <c r="A278" s="30"/>
      <c r="B278" s="9"/>
      <c r="C278" s="4">
        <v>42125</v>
      </c>
      <c r="D278" s="5">
        <v>9.8000000000000007</v>
      </c>
      <c r="E278" s="15">
        <v>4</v>
      </c>
      <c r="F278" s="5">
        <v>13.2</v>
      </c>
      <c r="G278" s="5">
        <v>1951.6000000000004</v>
      </c>
      <c r="H278" s="5">
        <f t="shared" si="27"/>
        <v>192</v>
      </c>
      <c r="J278" s="5">
        <v>0</v>
      </c>
      <c r="K278" s="5">
        <v>443.40000000000003</v>
      </c>
      <c r="L278" s="5">
        <v>1.7</v>
      </c>
      <c r="M278" s="5">
        <v>306.70000000000005</v>
      </c>
      <c r="N278" s="6">
        <v>-1.7</v>
      </c>
      <c r="O278" s="5">
        <f t="shared" si="26"/>
        <v>91.100000000000037</v>
      </c>
      <c r="P278" s="5">
        <v>234</v>
      </c>
      <c r="Q278" s="5">
        <v>1.1499999999999999</v>
      </c>
      <c r="R278" s="8">
        <f t="shared" si="23"/>
        <v>1.9549999999999998</v>
      </c>
      <c r="S278" s="8">
        <f t="shared" si="24"/>
        <v>-1.9549999999999998</v>
      </c>
      <c r="T278" s="8">
        <f t="shared" si="25"/>
        <v>80.011153846153846</v>
      </c>
      <c r="V278" s="12">
        <v>892.9</v>
      </c>
      <c r="W278" s="5">
        <v>91.112244897959172</v>
      </c>
      <c r="X278" s="5">
        <v>152965.5</v>
      </c>
      <c r="Y278" s="5">
        <f t="shared" si="28"/>
        <v>28622.899999999998</v>
      </c>
      <c r="AA278" s="5">
        <v>14.706756024615499</v>
      </c>
    </row>
    <row r="279" spans="1:27" s="5" customFormat="1" x14ac:dyDescent="0.25">
      <c r="A279" s="30"/>
      <c r="B279" s="9"/>
      <c r="C279" s="4">
        <v>42126</v>
      </c>
      <c r="D279" s="5">
        <v>11.9</v>
      </c>
      <c r="E279" s="5">
        <v>8.1</v>
      </c>
      <c r="F279" s="5">
        <v>14.6</v>
      </c>
      <c r="G279" s="5">
        <v>1963.5000000000005</v>
      </c>
      <c r="H279" s="5">
        <f t="shared" si="27"/>
        <v>203.9</v>
      </c>
      <c r="J279" s="5">
        <v>0</v>
      </c>
      <c r="K279" s="5">
        <v>443.40000000000003</v>
      </c>
      <c r="L279" s="5">
        <v>1.7</v>
      </c>
      <c r="M279" s="5">
        <v>308.40000000000003</v>
      </c>
      <c r="N279" s="6">
        <v>-1.7</v>
      </c>
      <c r="O279" s="5">
        <f t="shared" si="26"/>
        <v>89.400000000000034</v>
      </c>
      <c r="P279" s="5">
        <v>235</v>
      </c>
      <c r="Q279" s="5">
        <v>1.1499999999999999</v>
      </c>
      <c r="R279" s="8">
        <f t="shared" si="23"/>
        <v>1.9549999999999998</v>
      </c>
      <c r="S279" s="8">
        <f t="shared" si="24"/>
        <v>-1.9549999999999998</v>
      </c>
      <c r="T279" s="8">
        <f t="shared" si="25"/>
        <v>78.056153846153848</v>
      </c>
      <c r="V279" s="12">
        <v>850.9</v>
      </c>
      <c r="W279" s="5">
        <v>71.504201680672267</v>
      </c>
      <c r="X279" s="5">
        <v>153816.4</v>
      </c>
      <c r="Y279" s="5">
        <f t="shared" si="28"/>
        <v>29473.8</v>
      </c>
      <c r="AA279" s="5">
        <v>14.7636034722596</v>
      </c>
    </row>
    <row r="280" spans="1:27" s="5" customFormat="1" x14ac:dyDescent="0.25">
      <c r="A280" s="30"/>
      <c r="B280" s="9"/>
      <c r="C280" s="4">
        <v>42127</v>
      </c>
      <c r="D280" s="5">
        <v>14.3</v>
      </c>
      <c r="E280" s="5">
        <v>12.1</v>
      </c>
      <c r="F280" s="5">
        <v>17</v>
      </c>
      <c r="G280" s="5">
        <v>1977.8000000000004</v>
      </c>
      <c r="H280" s="5">
        <f t="shared" si="27"/>
        <v>218.20000000000002</v>
      </c>
      <c r="J280" s="5">
        <v>4.5</v>
      </c>
      <c r="K280" s="5">
        <v>447.90000000000003</v>
      </c>
      <c r="L280" s="5">
        <v>1.3</v>
      </c>
      <c r="M280" s="5">
        <v>309.70000000000005</v>
      </c>
      <c r="N280" s="5">
        <v>3.2</v>
      </c>
      <c r="O280" s="5">
        <f t="shared" si="26"/>
        <v>92.600000000000037</v>
      </c>
      <c r="P280" s="5">
        <v>236</v>
      </c>
      <c r="Q280" s="5">
        <v>1.1499999999999999</v>
      </c>
      <c r="R280" s="8">
        <f t="shared" si="23"/>
        <v>1.4949999999999999</v>
      </c>
      <c r="S280" s="8">
        <f t="shared" si="24"/>
        <v>3.0049999999999999</v>
      </c>
      <c r="T280" s="8">
        <f t="shared" si="25"/>
        <v>81.061153846153843</v>
      </c>
      <c r="V280" s="12">
        <v>449.7</v>
      </c>
      <c r="W280" s="5">
        <v>31.447552447552447</v>
      </c>
      <c r="X280" s="5">
        <v>154266.1</v>
      </c>
      <c r="Y280" s="5">
        <f t="shared" si="28"/>
        <v>29923.5</v>
      </c>
      <c r="AA280" s="5">
        <v>14.8199945797039</v>
      </c>
    </row>
    <row r="281" spans="1:27" s="5" customFormat="1" x14ac:dyDescent="0.25">
      <c r="A281" s="30"/>
      <c r="B281" s="9"/>
      <c r="C281" s="4">
        <v>42128</v>
      </c>
      <c r="D281" s="5">
        <v>15.2</v>
      </c>
      <c r="E281" s="5">
        <v>11.7</v>
      </c>
      <c r="F281" s="5">
        <v>18.600000000000001</v>
      </c>
      <c r="G281" s="5">
        <v>1993.0000000000005</v>
      </c>
      <c r="H281" s="5">
        <f t="shared" si="27"/>
        <v>233.4</v>
      </c>
      <c r="J281" s="5">
        <v>21.8</v>
      </c>
      <c r="K281" s="5">
        <v>469.70000000000005</v>
      </c>
      <c r="L281" s="5">
        <v>2.6</v>
      </c>
      <c r="M281" s="5">
        <v>312.30000000000007</v>
      </c>
      <c r="N281" s="5">
        <v>19.2</v>
      </c>
      <c r="O281" s="5">
        <f t="shared" si="26"/>
        <v>111.80000000000004</v>
      </c>
      <c r="P281" s="5">
        <v>237</v>
      </c>
      <c r="Q281" s="5">
        <v>1.1499999999999999</v>
      </c>
      <c r="R281" s="8">
        <f t="shared" si="23"/>
        <v>2.9899999999999998</v>
      </c>
      <c r="S281" s="8">
        <f t="shared" si="24"/>
        <v>18.810000000000002</v>
      </c>
      <c r="T281" s="8">
        <f t="shared" si="25"/>
        <v>99.871153846153845</v>
      </c>
      <c r="V281" s="5">
        <v>1081.7</v>
      </c>
      <c r="W281" s="5">
        <v>71.164473684210535</v>
      </c>
      <c r="X281" s="5">
        <v>155347.80000000002</v>
      </c>
      <c r="Y281" s="5">
        <f t="shared" si="28"/>
        <v>31005.200000000001</v>
      </c>
      <c r="AA281" s="5">
        <v>14.875908778705799</v>
      </c>
    </row>
    <row r="282" spans="1:27" s="44" customFormat="1" ht="15.75" thickBot="1" x14ac:dyDescent="0.3">
      <c r="A282" s="54" t="s">
        <v>23</v>
      </c>
      <c r="B282" s="55"/>
      <c r="C282" s="51">
        <v>42129</v>
      </c>
      <c r="D282" s="44">
        <v>15.7</v>
      </c>
      <c r="E282" s="44">
        <v>15.5</v>
      </c>
      <c r="F282" s="44">
        <v>17</v>
      </c>
      <c r="G282" s="44">
        <v>2008.7000000000005</v>
      </c>
      <c r="H282" s="44">
        <f t="shared" si="27"/>
        <v>249.1</v>
      </c>
      <c r="J282" s="44">
        <v>4.8</v>
      </c>
      <c r="K282" s="44">
        <v>474.50000000000006</v>
      </c>
      <c r="L282" s="44">
        <v>3.5</v>
      </c>
      <c r="M282" s="44">
        <v>315.80000000000007</v>
      </c>
      <c r="N282" s="44">
        <v>1.2999999999999998</v>
      </c>
      <c r="O282" s="44">
        <f t="shared" si="26"/>
        <v>113.10000000000004</v>
      </c>
      <c r="P282" s="44">
        <v>238</v>
      </c>
      <c r="Q282" s="45">
        <v>1.1499999999999999</v>
      </c>
      <c r="R282" s="46">
        <f t="shared" si="23"/>
        <v>4.0249999999999995</v>
      </c>
      <c r="S282" s="46">
        <f t="shared" si="24"/>
        <v>0.77500000000000036</v>
      </c>
      <c r="T282" s="47">
        <f t="shared" si="25"/>
        <v>100.64615384615385</v>
      </c>
      <c r="V282" s="44">
        <v>1203.0999999999999</v>
      </c>
      <c r="W282" s="44">
        <v>76.630573248407643</v>
      </c>
      <c r="X282" s="44">
        <v>156550.90000000002</v>
      </c>
      <c r="Y282" s="45">
        <f t="shared" si="28"/>
        <v>32208.3</v>
      </c>
      <c r="AA282" s="45">
        <v>14.931324865939599</v>
      </c>
    </row>
    <row r="283" spans="1:27" s="5" customFormat="1" x14ac:dyDescent="0.25">
      <c r="A283" s="78">
        <v>300</v>
      </c>
      <c r="B283" s="10"/>
      <c r="C283" s="4">
        <v>42130</v>
      </c>
      <c r="D283" s="5">
        <v>12.2</v>
      </c>
      <c r="E283" s="5">
        <v>10.4</v>
      </c>
      <c r="F283" s="5">
        <v>14.3</v>
      </c>
      <c r="G283" s="5">
        <v>2020.9000000000005</v>
      </c>
      <c r="H283" s="5">
        <v>12.2</v>
      </c>
      <c r="I283" s="34" t="s">
        <v>2</v>
      </c>
      <c r="J283" s="5">
        <v>1.4</v>
      </c>
      <c r="K283" s="5">
        <v>475.90000000000003</v>
      </c>
      <c r="L283" s="5">
        <v>3.2</v>
      </c>
      <c r="M283" s="5">
        <v>319.00000000000006</v>
      </c>
      <c r="N283" s="6">
        <v>-1.8000000000000003</v>
      </c>
      <c r="O283" s="5">
        <f t="shared" si="26"/>
        <v>111.30000000000004</v>
      </c>
      <c r="P283" s="5">
        <v>239</v>
      </c>
      <c r="Q283" s="5">
        <v>1.1499999999999999</v>
      </c>
      <c r="R283" s="8">
        <f t="shared" si="23"/>
        <v>3.6799999999999997</v>
      </c>
      <c r="S283" s="8">
        <f t="shared" si="24"/>
        <v>-2.2799999999999998</v>
      </c>
      <c r="T283" s="8">
        <f t="shared" si="25"/>
        <v>98.36615384615385</v>
      </c>
      <c r="U283" s="34" t="s">
        <v>3</v>
      </c>
      <c r="V283" s="5">
        <v>1369.5</v>
      </c>
      <c r="W283" s="5">
        <v>112.25409836065575</v>
      </c>
      <c r="X283" s="5">
        <v>157920.40000000002</v>
      </c>
      <c r="Y283" s="5">
        <v>1369.5</v>
      </c>
      <c r="Z283" s="34" t="s">
        <v>4</v>
      </c>
      <c r="AA283" s="5">
        <v>14.9862210034795</v>
      </c>
    </row>
    <row r="284" spans="1:27" s="5" customFormat="1" x14ac:dyDescent="0.25">
      <c r="A284" s="78"/>
      <c r="B284" s="10"/>
      <c r="C284" s="4">
        <v>42131</v>
      </c>
      <c r="D284" s="5">
        <v>12.3</v>
      </c>
      <c r="E284" s="5">
        <v>9.1999999999999993</v>
      </c>
      <c r="F284" s="5">
        <v>14.6</v>
      </c>
      <c r="G284" s="5">
        <v>2033.2000000000005</v>
      </c>
      <c r="H284" s="5">
        <f t="shared" si="27"/>
        <v>24.5</v>
      </c>
      <c r="I284" s="5">
        <f>MIN(E283:E305)</f>
        <v>6.3</v>
      </c>
      <c r="J284" s="5">
        <v>0</v>
      </c>
      <c r="K284" s="5">
        <v>475.90000000000003</v>
      </c>
      <c r="L284" s="5">
        <v>3.4</v>
      </c>
      <c r="M284" s="5">
        <v>322.40000000000003</v>
      </c>
      <c r="N284" s="6">
        <v>-3.4</v>
      </c>
      <c r="O284" s="5">
        <f t="shared" si="26"/>
        <v>107.90000000000003</v>
      </c>
      <c r="P284" s="5">
        <v>240</v>
      </c>
      <c r="Q284" s="5">
        <v>1.1499999999999999</v>
      </c>
      <c r="R284" s="8">
        <f t="shared" si="23"/>
        <v>3.9099999999999997</v>
      </c>
      <c r="S284" s="8">
        <f t="shared" si="24"/>
        <v>-3.9099999999999997</v>
      </c>
      <c r="T284" s="8">
        <f t="shared" si="25"/>
        <v>94.456153846153853</v>
      </c>
      <c r="U284" s="5">
        <v>21</v>
      </c>
      <c r="V284" s="5">
        <v>1899.2</v>
      </c>
      <c r="W284" s="5">
        <v>154.40650406504065</v>
      </c>
      <c r="X284" s="5">
        <v>159819.60000000003</v>
      </c>
      <c r="Y284" s="5">
        <f t="shared" si="28"/>
        <v>3268.7</v>
      </c>
      <c r="Z284" s="5">
        <v>37295.500000000007</v>
      </c>
      <c r="AA284" s="5">
        <v>15.0405747213068</v>
      </c>
    </row>
    <row r="285" spans="1:27" s="5" customFormat="1" x14ac:dyDescent="0.25">
      <c r="A285" s="78"/>
      <c r="B285" s="10"/>
      <c r="C285" s="4">
        <v>42132</v>
      </c>
      <c r="D285" s="5">
        <v>15.4</v>
      </c>
      <c r="E285" s="5">
        <v>11.2</v>
      </c>
      <c r="F285" s="5">
        <v>19.100000000000001</v>
      </c>
      <c r="G285" s="5">
        <v>2048.6000000000004</v>
      </c>
      <c r="H285" s="5">
        <f t="shared" si="27"/>
        <v>39.9</v>
      </c>
      <c r="I285" s="34" t="s">
        <v>5</v>
      </c>
      <c r="J285" s="5">
        <v>0.7</v>
      </c>
      <c r="K285" s="5">
        <v>476.6</v>
      </c>
      <c r="L285" s="5">
        <v>2.8</v>
      </c>
      <c r="M285" s="5">
        <v>325.20000000000005</v>
      </c>
      <c r="N285" s="6">
        <v>-2.0999999999999996</v>
      </c>
      <c r="O285" s="5">
        <f t="shared" si="26"/>
        <v>105.80000000000004</v>
      </c>
      <c r="P285" s="5">
        <v>241</v>
      </c>
      <c r="Q285" s="5">
        <v>1.1499999999999999</v>
      </c>
      <c r="R285" s="8">
        <f t="shared" si="23"/>
        <v>3.2199999999999998</v>
      </c>
      <c r="S285" s="8">
        <f t="shared" si="24"/>
        <v>-2.5199999999999996</v>
      </c>
      <c r="T285" s="8">
        <f t="shared" si="25"/>
        <v>91.936153846153857</v>
      </c>
      <c r="U285" s="34" t="s">
        <v>6</v>
      </c>
      <c r="V285" s="5">
        <v>1362.4</v>
      </c>
      <c r="W285" s="5">
        <v>88.467532467532465</v>
      </c>
      <c r="X285" s="5">
        <v>161182.00000000003</v>
      </c>
      <c r="Y285" s="5">
        <f t="shared" si="28"/>
        <v>4631.1000000000004</v>
      </c>
      <c r="Z285" s="34" t="s">
        <v>7</v>
      </c>
      <c r="AA285" s="5">
        <v>15.094362921979901</v>
      </c>
    </row>
    <row r="286" spans="1:27" s="5" customFormat="1" x14ac:dyDescent="0.25">
      <c r="A286" s="78"/>
      <c r="B286" s="10"/>
      <c r="C286" s="4">
        <v>42133</v>
      </c>
      <c r="D286" s="5">
        <v>13.9</v>
      </c>
      <c r="E286" s="5">
        <v>13.3</v>
      </c>
      <c r="F286" s="5">
        <v>15.3</v>
      </c>
      <c r="G286" s="5">
        <v>2062.5000000000005</v>
      </c>
      <c r="H286" s="5">
        <f t="shared" si="27"/>
        <v>53.8</v>
      </c>
      <c r="I286" s="5">
        <f>MAX(F283:F305)</f>
        <v>23.6</v>
      </c>
      <c r="J286" s="5">
        <v>0</v>
      </c>
      <c r="K286" s="5">
        <v>476.6</v>
      </c>
      <c r="L286" s="5">
        <v>3.1</v>
      </c>
      <c r="M286" s="5">
        <v>328.30000000000007</v>
      </c>
      <c r="N286" s="6">
        <v>-3.1</v>
      </c>
      <c r="O286" s="5">
        <f t="shared" si="26"/>
        <v>102.70000000000005</v>
      </c>
      <c r="P286" s="5">
        <v>242</v>
      </c>
      <c r="Q286" s="5">
        <v>1.1499999999999999</v>
      </c>
      <c r="R286" s="8">
        <f t="shared" si="23"/>
        <v>3.5649999999999999</v>
      </c>
      <c r="S286" s="8">
        <f t="shared" si="24"/>
        <v>-3.5649999999999999</v>
      </c>
      <c r="T286" s="8">
        <f t="shared" si="25"/>
        <v>88.371153846153859</v>
      </c>
      <c r="U286" s="5">
        <v>0</v>
      </c>
      <c r="V286" s="5">
        <v>934.5</v>
      </c>
      <c r="W286" s="5">
        <v>67.230215827338128</v>
      </c>
      <c r="X286" s="5">
        <v>162116.50000000003</v>
      </c>
      <c r="Y286" s="5">
        <f t="shared" si="28"/>
        <v>5565.6</v>
      </c>
      <c r="Z286" s="13">
        <f>(Z284/100)/I296</f>
        <v>1.2196043165467629</v>
      </c>
      <c r="AA286" s="5">
        <v>15.147561887615099</v>
      </c>
    </row>
    <row r="287" spans="1:27" s="5" customFormat="1" x14ac:dyDescent="0.25">
      <c r="A287" s="78"/>
      <c r="B287" s="10"/>
      <c r="C287" s="4">
        <v>42134</v>
      </c>
      <c r="D287" s="5">
        <v>15</v>
      </c>
      <c r="E287" s="5">
        <v>9.4</v>
      </c>
      <c r="F287" s="5">
        <v>18.899999999999999</v>
      </c>
      <c r="G287" s="5">
        <v>2077.5000000000005</v>
      </c>
      <c r="H287" s="5">
        <f t="shared" si="27"/>
        <v>68.8</v>
      </c>
      <c r="I287" s="34" t="s">
        <v>8</v>
      </c>
      <c r="J287" s="5">
        <v>0</v>
      </c>
      <c r="K287" s="5">
        <v>476.6</v>
      </c>
      <c r="L287" s="5">
        <v>3.3</v>
      </c>
      <c r="M287" s="5">
        <v>331.60000000000008</v>
      </c>
      <c r="N287" s="6">
        <v>-3.3</v>
      </c>
      <c r="O287" s="5">
        <f t="shared" si="26"/>
        <v>99.400000000000048</v>
      </c>
      <c r="P287" s="5">
        <v>243</v>
      </c>
      <c r="Q287" s="5">
        <v>1.1499999999999999</v>
      </c>
      <c r="R287" s="8">
        <f t="shared" si="23"/>
        <v>3.7949999999999995</v>
      </c>
      <c r="S287" s="8">
        <f t="shared" si="24"/>
        <v>-3.7949999999999995</v>
      </c>
      <c r="T287" s="8">
        <f t="shared" si="25"/>
        <v>84.576153846153858</v>
      </c>
      <c r="U287" s="34" t="s">
        <v>9</v>
      </c>
      <c r="V287" s="5">
        <v>1796.1</v>
      </c>
      <c r="W287" s="5">
        <v>119.74</v>
      </c>
      <c r="X287" s="5">
        <v>163912.60000000003</v>
      </c>
      <c r="Y287" s="5">
        <f t="shared" si="28"/>
        <v>7361.7000000000007</v>
      </c>
      <c r="Z287" s="34" t="s">
        <v>10</v>
      </c>
      <c r="AA287" s="5">
        <v>15.200147289318901</v>
      </c>
    </row>
    <row r="288" spans="1:27" s="5" customFormat="1" x14ac:dyDescent="0.25">
      <c r="A288" s="78"/>
      <c r="B288" s="10"/>
      <c r="C288" s="4">
        <v>42135</v>
      </c>
      <c r="D288" s="5">
        <v>18.3</v>
      </c>
      <c r="E288" s="5">
        <v>13.3</v>
      </c>
      <c r="F288" s="5">
        <v>23.6</v>
      </c>
      <c r="G288" s="5">
        <v>2095.8000000000006</v>
      </c>
      <c r="H288" s="5">
        <f t="shared" si="27"/>
        <v>87.1</v>
      </c>
      <c r="I288" s="5">
        <f>AVERAGE(D283:D305)</f>
        <v>13.295652173913044</v>
      </c>
      <c r="J288" s="5">
        <v>0</v>
      </c>
      <c r="K288" s="5">
        <v>476.6</v>
      </c>
      <c r="L288" s="5">
        <v>3.5</v>
      </c>
      <c r="M288" s="5">
        <v>335.10000000000008</v>
      </c>
      <c r="N288" s="6">
        <v>-3.5</v>
      </c>
      <c r="O288" s="5">
        <f t="shared" si="26"/>
        <v>95.900000000000048</v>
      </c>
      <c r="P288" s="5">
        <v>244</v>
      </c>
      <c r="Q288" s="5">
        <v>1.1499999999999999</v>
      </c>
      <c r="R288" s="8">
        <f t="shared" si="23"/>
        <v>4.0249999999999995</v>
      </c>
      <c r="S288" s="8">
        <f t="shared" si="24"/>
        <v>-4.0249999999999995</v>
      </c>
      <c r="T288" s="8">
        <f t="shared" si="25"/>
        <v>80.551153846153852</v>
      </c>
      <c r="U288" s="5">
        <v>4</v>
      </c>
      <c r="V288" s="5">
        <v>1826.1</v>
      </c>
      <c r="W288" s="5">
        <v>99.78688524590163</v>
      </c>
      <c r="X288" s="5">
        <v>165738.70000000004</v>
      </c>
      <c r="Y288" s="5">
        <f t="shared" si="28"/>
        <v>9187.8000000000011</v>
      </c>
      <c r="Z288" s="5">
        <v>3</v>
      </c>
      <c r="AA288" s="5">
        <v>15.2520941992197</v>
      </c>
    </row>
    <row r="289" spans="1:27" s="5" customFormat="1" x14ac:dyDescent="0.25">
      <c r="A289" s="78"/>
      <c r="B289" s="10"/>
      <c r="C289" s="4">
        <v>42136</v>
      </c>
      <c r="D289" s="5">
        <v>14.7</v>
      </c>
      <c r="E289" s="5">
        <v>13.7</v>
      </c>
      <c r="F289" s="5">
        <v>18.3</v>
      </c>
      <c r="G289" s="5">
        <v>2110.5000000000005</v>
      </c>
      <c r="H289" s="5">
        <f t="shared" si="27"/>
        <v>101.8</v>
      </c>
      <c r="I289" s="34" t="s">
        <v>11</v>
      </c>
      <c r="J289" s="5">
        <v>0</v>
      </c>
      <c r="K289" s="5">
        <v>476.6</v>
      </c>
      <c r="L289" s="5">
        <v>4</v>
      </c>
      <c r="M289" s="5">
        <v>339.10000000000008</v>
      </c>
      <c r="N289" s="6">
        <v>-4</v>
      </c>
      <c r="O289" s="5">
        <f t="shared" si="26"/>
        <v>91.900000000000048</v>
      </c>
      <c r="P289" s="5">
        <v>245</v>
      </c>
      <c r="Q289" s="5">
        <v>1.1499999999999999</v>
      </c>
      <c r="R289" s="8">
        <f t="shared" si="23"/>
        <v>4.5999999999999996</v>
      </c>
      <c r="S289" s="8">
        <f t="shared" si="24"/>
        <v>-4.5999999999999996</v>
      </c>
      <c r="T289" s="8">
        <f t="shared" si="25"/>
        <v>75.951153846153858</v>
      </c>
      <c r="U289" s="34" t="s">
        <v>12</v>
      </c>
      <c r="V289" s="5">
        <v>2070.1999999999998</v>
      </c>
      <c r="W289" s="5">
        <v>140.8299319727891</v>
      </c>
      <c r="X289" s="5">
        <v>167808.90000000005</v>
      </c>
      <c r="Y289" s="5">
        <f t="shared" si="28"/>
        <v>11258</v>
      </c>
      <c r="AA289" s="5">
        <v>15.3033771052422</v>
      </c>
    </row>
    <row r="290" spans="1:27" s="5" customFormat="1" x14ac:dyDescent="0.25">
      <c r="A290" s="78"/>
      <c r="B290" s="10"/>
      <c r="C290" s="4">
        <v>42137</v>
      </c>
      <c r="D290" s="5">
        <v>13.2</v>
      </c>
      <c r="E290" s="5">
        <v>8.6</v>
      </c>
      <c r="F290" s="5">
        <v>18.399999999999999</v>
      </c>
      <c r="G290" s="5">
        <v>2123.7000000000003</v>
      </c>
      <c r="H290" s="5">
        <f t="shared" si="27"/>
        <v>115</v>
      </c>
      <c r="I290" s="5">
        <v>0</v>
      </c>
      <c r="J290" s="5">
        <v>0</v>
      </c>
      <c r="K290" s="5">
        <v>476.6</v>
      </c>
      <c r="L290" s="5">
        <v>4.4000000000000004</v>
      </c>
      <c r="M290" s="5">
        <v>343.50000000000006</v>
      </c>
      <c r="N290" s="6">
        <v>-4.4000000000000004</v>
      </c>
      <c r="O290" s="5">
        <f t="shared" si="26"/>
        <v>87.500000000000043</v>
      </c>
      <c r="P290" s="5">
        <v>246</v>
      </c>
      <c r="Q290" s="5">
        <v>1.1499999999999999</v>
      </c>
      <c r="R290" s="8">
        <f t="shared" si="23"/>
        <v>5.0599999999999996</v>
      </c>
      <c r="S290" s="8">
        <f t="shared" si="24"/>
        <v>-5.0599999999999996</v>
      </c>
      <c r="T290" s="8">
        <f t="shared" si="25"/>
        <v>70.891153846153856</v>
      </c>
      <c r="U290" s="8">
        <f>MIN(T283:T305)</f>
        <v>34.886153846153832</v>
      </c>
      <c r="V290" s="5">
        <v>2425.9</v>
      </c>
      <c r="W290" s="5">
        <v>183.78030303030306</v>
      </c>
      <c r="X290" s="5">
        <v>170234.80000000005</v>
      </c>
      <c r="Y290" s="5">
        <f t="shared" si="28"/>
        <v>13683.9</v>
      </c>
      <c r="AA290" s="5">
        <v>15.3539699287636</v>
      </c>
    </row>
    <row r="291" spans="1:27" s="5" customFormat="1" x14ac:dyDescent="0.25">
      <c r="A291" s="78"/>
      <c r="B291" s="10"/>
      <c r="C291" s="4">
        <v>42138</v>
      </c>
      <c r="D291" s="5">
        <v>10.4</v>
      </c>
      <c r="E291" s="5">
        <v>9</v>
      </c>
      <c r="F291" s="5">
        <v>14</v>
      </c>
      <c r="G291" s="5">
        <v>2134.1000000000004</v>
      </c>
      <c r="H291" s="5">
        <f t="shared" si="27"/>
        <v>125.4</v>
      </c>
      <c r="I291" s="34" t="s">
        <v>13</v>
      </c>
      <c r="J291" s="5">
        <v>9.1999999999999993</v>
      </c>
      <c r="K291" s="5">
        <v>485.8</v>
      </c>
      <c r="L291" s="5">
        <v>2.2999999999999998</v>
      </c>
      <c r="M291" s="5">
        <v>345.80000000000007</v>
      </c>
      <c r="N291" s="5">
        <v>6.8999999999999995</v>
      </c>
      <c r="O291" s="5">
        <f t="shared" si="26"/>
        <v>94.400000000000048</v>
      </c>
      <c r="P291" s="5">
        <v>247</v>
      </c>
      <c r="Q291" s="5">
        <v>1.1499999999999999</v>
      </c>
      <c r="R291" s="8">
        <f t="shared" si="23"/>
        <v>2.6449999999999996</v>
      </c>
      <c r="S291" s="8">
        <f t="shared" si="24"/>
        <v>6.5549999999999997</v>
      </c>
      <c r="T291" s="8">
        <f t="shared" si="25"/>
        <v>77.446153846153862</v>
      </c>
      <c r="U291" s="34" t="s">
        <v>14</v>
      </c>
      <c r="V291" s="5">
        <v>1025.5999999999999</v>
      </c>
      <c r="W291" s="5">
        <v>98.615384615384599</v>
      </c>
      <c r="X291" s="5">
        <v>171260.40000000005</v>
      </c>
      <c r="Y291" s="5">
        <f t="shared" si="28"/>
        <v>14709.5</v>
      </c>
      <c r="AA291" s="5">
        <v>15.4038460452922</v>
      </c>
    </row>
    <row r="292" spans="1:27" s="5" customFormat="1" x14ac:dyDescent="0.25">
      <c r="A292" s="78"/>
      <c r="B292" s="10"/>
      <c r="C292" s="4">
        <v>42139</v>
      </c>
      <c r="D292" s="5">
        <v>11.2</v>
      </c>
      <c r="E292" s="5">
        <v>9.4</v>
      </c>
      <c r="F292" s="5">
        <v>14.1</v>
      </c>
      <c r="G292" s="5">
        <v>2145.3000000000002</v>
      </c>
      <c r="H292" s="5">
        <f t="shared" si="27"/>
        <v>136.6</v>
      </c>
      <c r="I292" s="5">
        <v>0</v>
      </c>
      <c r="J292" s="5">
        <v>0</v>
      </c>
      <c r="K292" s="5">
        <v>485.8</v>
      </c>
      <c r="L292" s="5">
        <v>2.1</v>
      </c>
      <c r="M292" s="5">
        <v>347.90000000000009</v>
      </c>
      <c r="N292" s="6">
        <v>-2.1</v>
      </c>
      <c r="O292" s="5">
        <f t="shared" si="26"/>
        <v>92.300000000000054</v>
      </c>
      <c r="P292" s="5">
        <v>248</v>
      </c>
      <c r="Q292" s="5">
        <v>1.1499999999999999</v>
      </c>
      <c r="R292" s="8">
        <f t="shared" si="23"/>
        <v>2.415</v>
      </c>
      <c r="S292" s="8">
        <f t="shared" si="24"/>
        <v>-2.415</v>
      </c>
      <c r="T292" s="8">
        <f t="shared" si="25"/>
        <v>75.031153846153856</v>
      </c>
      <c r="U292" s="8">
        <f>MAX(T283:T305)</f>
        <v>98.36615384615385</v>
      </c>
      <c r="V292" s="12">
        <v>878.5</v>
      </c>
      <c r="W292" s="5">
        <v>78.4375</v>
      </c>
      <c r="X292" s="5">
        <v>172138.90000000005</v>
      </c>
      <c r="Y292" s="5">
        <f t="shared" si="28"/>
        <v>15588</v>
      </c>
      <c r="AA292" s="5">
        <v>15.452978308296199</v>
      </c>
    </row>
    <row r="293" spans="1:27" s="5" customFormat="1" x14ac:dyDescent="0.25">
      <c r="A293" s="78"/>
      <c r="B293" s="10"/>
      <c r="C293" s="4">
        <v>42140</v>
      </c>
      <c r="D293" s="5">
        <v>12</v>
      </c>
      <c r="E293" s="5">
        <v>8</v>
      </c>
      <c r="F293" s="5">
        <v>15.5</v>
      </c>
      <c r="G293" s="5">
        <v>2157.3000000000002</v>
      </c>
      <c r="H293" s="5">
        <f t="shared" si="27"/>
        <v>148.6</v>
      </c>
      <c r="I293" s="34" t="s">
        <v>15</v>
      </c>
      <c r="J293" s="5">
        <v>0.2</v>
      </c>
      <c r="K293" s="5">
        <v>486</v>
      </c>
      <c r="L293" s="5">
        <v>1</v>
      </c>
      <c r="M293" s="5">
        <v>348.90000000000009</v>
      </c>
      <c r="N293" s="6">
        <v>-0.8</v>
      </c>
      <c r="O293" s="5">
        <f t="shared" si="26"/>
        <v>91.500000000000057</v>
      </c>
      <c r="P293" s="5">
        <v>249</v>
      </c>
      <c r="Q293" s="5">
        <v>1.1499999999999999</v>
      </c>
      <c r="R293" s="8">
        <f t="shared" si="23"/>
        <v>1.1499999999999999</v>
      </c>
      <c r="S293" s="8">
        <f t="shared" si="24"/>
        <v>-0.95</v>
      </c>
      <c r="T293" s="8">
        <f t="shared" si="25"/>
        <v>74.081153846153853</v>
      </c>
      <c r="U293" s="34" t="s">
        <v>16</v>
      </c>
      <c r="V293" s="12">
        <v>488.5</v>
      </c>
      <c r="W293" s="5">
        <v>40.708333333333336</v>
      </c>
      <c r="X293" s="5">
        <v>172627.40000000005</v>
      </c>
      <c r="Y293" s="5">
        <f t="shared" si="28"/>
        <v>16076.5</v>
      </c>
      <c r="AA293" s="5">
        <v>15.5013390763079</v>
      </c>
    </row>
    <row r="294" spans="1:27" s="5" customFormat="1" x14ac:dyDescent="0.25">
      <c r="A294" s="78"/>
      <c r="B294" s="10"/>
      <c r="C294" s="4">
        <v>42141</v>
      </c>
      <c r="D294" s="5">
        <v>12.6</v>
      </c>
      <c r="E294" s="5">
        <v>9</v>
      </c>
      <c r="F294" s="5">
        <v>17.2</v>
      </c>
      <c r="G294" s="5">
        <v>2169.9</v>
      </c>
      <c r="H294" s="5">
        <f t="shared" si="27"/>
        <v>161.19999999999999</v>
      </c>
      <c r="I294" s="5">
        <v>0</v>
      </c>
      <c r="J294" s="5">
        <v>0</v>
      </c>
      <c r="K294" s="5">
        <v>486</v>
      </c>
      <c r="L294" s="5">
        <v>3.5</v>
      </c>
      <c r="M294" s="5">
        <v>352.40000000000009</v>
      </c>
      <c r="N294" s="6">
        <v>-3.5</v>
      </c>
      <c r="O294" s="5">
        <f t="shared" si="26"/>
        <v>88.000000000000057</v>
      </c>
      <c r="P294" s="5">
        <v>250</v>
      </c>
      <c r="Q294" s="5">
        <v>1.1499999999999999</v>
      </c>
      <c r="R294" s="8">
        <f t="shared" si="23"/>
        <v>4.0249999999999995</v>
      </c>
      <c r="S294" s="8">
        <f t="shared" si="24"/>
        <v>-4.0249999999999995</v>
      </c>
      <c r="T294" s="8">
        <f t="shared" si="25"/>
        <v>70.056153846153848</v>
      </c>
      <c r="U294" s="13">
        <f>AVERAGE(T283:T305)</f>
        <v>68.603327759197327</v>
      </c>
      <c r="V294" s="5">
        <v>1912.2</v>
      </c>
      <c r="W294" s="5">
        <v>151.76190476190476</v>
      </c>
      <c r="X294" s="5">
        <v>174539.60000000006</v>
      </c>
      <c r="Y294" s="5">
        <f t="shared" si="28"/>
        <v>17988.7</v>
      </c>
      <c r="AA294" s="5">
        <v>15.548900243417201</v>
      </c>
    </row>
    <row r="295" spans="1:27" s="5" customFormat="1" x14ac:dyDescent="0.25">
      <c r="A295" s="78"/>
      <c r="B295" s="10"/>
      <c r="C295" s="4">
        <v>42142</v>
      </c>
      <c r="D295" s="5">
        <v>11.8</v>
      </c>
      <c r="E295" s="5">
        <v>8.3000000000000007</v>
      </c>
      <c r="F295" s="5">
        <v>16.600000000000001</v>
      </c>
      <c r="G295" s="5">
        <v>2181.7000000000003</v>
      </c>
      <c r="H295" s="5">
        <f t="shared" si="27"/>
        <v>173</v>
      </c>
      <c r="I295" s="34" t="s">
        <v>17</v>
      </c>
      <c r="J295" s="5">
        <v>0.8</v>
      </c>
      <c r="K295" s="5">
        <v>486.8</v>
      </c>
      <c r="L295" s="5">
        <v>2.7</v>
      </c>
      <c r="M295" s="5">
        <v>355.10000000000008</v>
      </c>
      <c r="N295" s="6">
        <v>-1.9000000000000001</v>
      </c>
      <c r="O295" s="5">
        <f t="shared" si="26"/>
        <v>86.100000000000051</v>
      </c>
      <c r="P295" s="5">
        <v>251</v>
      </c>
      <c r="Q295" s="5">
        <v>1.1499999999999999</v>
      </c>
      <c r="R295" s="8">
        <f t="shared" si="23"/>
        <v>3.105</v>
      </c>
      <c r="S295" s="8">
        <f t="shared" si="24"/>
        <v>-2.3049999999999997</v>
      </c>
      <c r="T295" s="8">
        <f t="shared" si="25"/>
        <v>67.751153846153841</v>
      </c>
      <c r="V295" s="5">
        <v>1218.5</v>
      </c>
      <c r="W295" s="5">
        <v>103.26271186440677</v>
      </c>
      <c r="X295" s="5">
        <v>175758.10000000006</v>
      </c>
      <c r="Y295" s="5">
        <f t="shared" si="28"/>
        <v>19207.2</v>
      </c>
      <c r="AA295" s="5">
        <v>15.595633273255</v>
      </c>
    </row>
    <row r="296" spans="1:27" s="5" customFormat="1" x14ac:dyDescent="0.25">
      <c r="A296" s="78"/>
      <c r="B296" s="10"/>
      <c r="C296" s="4">
        <v>42143</v>
      </c>
      <c r="D296" s="5">
        <v>10.1</v>
      </c>
      <c r="E296" s="5">
        <v>8.1999999999999993</v>
      </c>
      <c r="F296" s="5">
        <v>12.9</v>
      </c>
      <c r="G296" s="5">
        <v>2191.8000000000002</v>
      </c>
      <c r="H296" s="5">
        <f t="shared" si="27"/>
        <v>183.1</v>
      </c>
      <c r="I296" s="5">
        <v>305.8</v>
      </c>
      <c r="J296" s="5">
        <v>3.6</v>
      </c>
      <c r="K296" s="5">
        <v>490.40000000000003</v>
      </c>
      <c r="L296" s="5">
        <v>2.8</v>
      </c>
      <c r="M296" s="5">
        <v>357.90000000000009</v>
      </c>
      <c r="N296" s="5">
        <v>0.80000000000000027</v>
      </c>
      <c r="O296" s="5">
        <f t="shared" si="26"/>
        <v>86.900000000000048</v>
      </c>
      <c r="P296" s="5">
        <v>252</v>
      </c>
      <c r="Q296" s="5">
        <v>1.1499999999999999</v>
      </c>
      <c r="R296" s="8">
        <f t="shared" si="23"/>
        <v>3.2199999999999998</v>
      </c>
      <c r="S296" s="8">
        <f t="shared" si="24"/>
        <v>0.38000000000000034</v>
      </c>
      <c r="T296" s="8">
        <f t="shared" si="25"/>
        <v>68.131153846153836</v>
      </c>
      <c r="U296" s="8">
        <f>(U294*100)/153.6</f>
        <v>44.663624843227431</v>
      </c>
      <c r="V296" s="5">
        <v>1514.5</v>
      </c>
      <c r="W296" s="5">
        <v>149.95049504950495</v>
      </c>
      <c r="X296" s="5">
        <v>177272.60000000006</v>
      </c>
      <c r="Y296" s="5">
        <f t="shared" si="28"/>
        <v>20721.7</v>
      </c>
      <c r="AA296" s="5">
        <v>15.6415092365555</v>
      </c>
    </row>
    <row r="297" spans="1:27" s="5" customFormat="1" x14ac:dyDescent="0.25">
      <c r="A297" s="78"/>
      <c r="B297" s="10"/>
      <c r="C297" s="4">
        <v>42144</v>
      </c>
      <c r="D297" s="5">
        <v>10.199999999999999</v>
      </c>
      <c r="E297" s="5">
        <v>6.3</v>
      </c>
      <c r="F297" s="5">
        <v>13.3</v>
      </c>
      <c r="G297" s="5">
        <v>2202</v>
      </c>
      <c r="H297" s="5">
        <f t="shared" si="27"/>
        <v>193.29999999999998</v>
      </c>
      <c r="J297" s="5">
        <v>0.6</v>
      </c>
      <c r="K297" s="5">
        <v>491.00000000000006</v>
      </c>
      <c r="L297" s="5">
        <v>3.1</v>
      </c>
      <c r="M297" s="5">
        <v>361.00000000000011</v>
      </c>
      <c r="N297" s="6">
        <v>-2.5</v>
      </c>
      <c r="O297" s="5">
        <f t="shared" si="26"/>
        <v>84.400000000000048</v>
      </c>
      <c r="P297" s="5">
        <v>253</v>
      </c>
      <c r="Q297" s="5">
        <v>1.1499999999999999</v>
      </c>
      <c r="R297" s="8">
        <f t="shared" si="23"/>
        <v>3.5649999999999999</v>
      </c>
      <c r="S297" s="8">
        <f t="shared" si="24"/>
        <v>-2.9649999999999999</v>
      </c>
      <c r="T297" s="8">
        <f t="shared" si="25"/>
        <v>65.166153846153833</v>
      </c>
      <c r="V297" s="5">
        <v>2031.7</v>
      </c>
      <c r="W297" s="5">
        <v>199.18627450980395</v>
      </c>
      <c r="X297" s="5">
        <v>179304.30000000008</v>
      </c>
      <c r="Y297" s="5">
        <f t="shared" si="28"/>
        <v>22753.4</v>
      </c>
      <c r="AA297" s="5">
        <v>15.6864988523675</v>
      </c>
    </row>
    <row r="298" spans="1:27" s="24" customFormat="1" x14ac:dyDescent="0.25">
      <c r="A298" s="78"/>
      <c r="B298" s="22"/>
      <c r="C298" s="23">
        <v>42145</v>
      </c>
      <c r="D298" s="24">
        <v>12.9</v>
      </c>
      <c r="E298" s="24">
        <v>7</v>
      </c>
      <c r="F298" s="24">
        <v>16.600000000000001</v>
      </c>
      <c r="G298" s="24">
        <v>2214.9</v>
      </c>
      <c r="H298" s="24">
        <f t="shared" si="27"/>
        <v>206.2</v>
      </c>
      <c r="J298" s="24">
        <v>0</v>
      </c>
      <c r="K298" s="24">
        <v>491.00000000000006</v>
      </c>
      <c r="L298" s="24">
        <v>3.3</v>
      </c>
      <c r="M298" s="24">
        <v>364.30000000000013</v>
      </c>
      <c r="N298" s="26">
        <v>-3.3</v>
      </c>
      <c r="O298" s="24">
        <f t="shared" si="26"/>
        <v>81.100000000000051</v>
      </c>
      <c r="P298" s="24">
        <v>254</v>
      </c>
      <c r="Q298" s="5">
        <v>1.1499999999999999</v>
      </c>
      <c r="R298" s="27">
        <f t="shared" si="23"/>
        <v>3.7949999999999995</v>
      </c>
      <c r="S298" s="27">
        <f t="shared" si="24"/>
        <v>-3.7949999999999995</v>
      </c>
      <c r="T298" s="8">
        <f t="shared" si="25"/>
        <v>61.371153846153831</v>
      </c>
      <c r="V298" s="24">
        <v>2132.5</v>
      </c>
      <c r="W298" s="24">
        <v>165.31007751937983</v>
      </c>
      <c r="X298" s="24">
        <v>181436.80000000008</v>
      </c>
      <c r="Y298" s="5">
        <f t="shared" si="28"/>
        <v>24885.9</v>
      </c>
      <c r="AA298" s="5">
        <v>15.7305725329682</v>
      </c>
    </row>
    <row r="299" spans="1:27" s="5" customFormat="1" ht="15" customHeight="1" x14ac:dyDescent="0.25">
      <c r="A299" s="78"/>
      <c r="B299" s="10"/>
      <c r="C299" s="4">
        <v>42146</v>
      </c>
      <c r="D299" s="5">
        <v>13.8</v>
      </c>
      <c r="E299" s="5">
        <v>9.5</v>
      </c>
      <c r="F299" s="5">
        <v>17.600000000000001</v>
      </c>
      <c r="G299" s="5">
        <v>2228.7000000000003</v>
      </c>
      <c r="H299" s="5">
        <f t="shared" si="27"/>
        <v>220</v>
      </c>
      <c r="J299" s="5">
        <v>0</v>
      </c>
      <c r="K299" s="5">
        <v>491.00000000000006</v>
      </c>
      <c r="L299" s="5">
        <v>2.5</v>
      </c>
      <c r="M299" s="5">
        <v>366.80000000000013</v>
      </c>
      <c r="N299" s="6">
        <v>-2.5</v>
      </c>
      <c r="O299" s="5">
        <f t="shared" si="26"/>
        <v>78.600000000000051</v>
      </c>
      <c r="P299" s="5">
        <v>255</v>
      </c>
      <c r="Q299" s="5">
        <v>1.1499999999999999</v>
      </c>
      <c r="R299" s="8">
        <f t="shared" si="23"/>
        <v>2.875</v>
      </c>
      <c r="S299" s="8">
        <f t="shared" si="24"/>
        <v>-2.875</v>
      </c>
      <c r="T299" s="8">
        <f t="shared" si="25"/>
        <v>58.496153846153831</v>
      </c>
      <c r="U299" s="29"/>
      <c r="V299" s="5">
        <v>1333.4</v>
      </c>
      <c r="W299" s="5">
        <v>96.623188405797109</v>
      </c>
      <c r="X299" s="5">
        <v>182770.20000000007</v>
      </c>
      <c r="Y299" s="5">
        <f t="shared" si="28"/>
        <v>26219.300000000003</v>
      </c>
      <c r="AA299" s="5">
        <v>15.773700432508999</v>
      </c>
    </row>
    <row r="300" spans="1:27" s="5" customFormat="1" x14ac:dyDescent="0.25">
      <c r="A300" s="78"/>
      <c r="B300" s="10"/>
      <c r="C300" s="4">
        <v>42147</v>
      </c>
      <c r="D300" s="5">
        <v>14.2</v>
      </c>
      <c r="E300" s="5">
        <v>12</v>
      </c>
      <c r="F300" s="5">
        <v>17.899999999999999</v>
      </c>
      <c r="G300" s="5">
        <v>2242.9</v>
      </c>
      <c r="H300" s="5">
        <f t="shared" si="27"/>
        <v>234.2</v>
      </c>
      <c r="J300" s="5">
        <v>0</v>
      </c>
      <c r="K300" s="5">
        <v>491.00000000000006</v>
      </c>
      <c r="L300" s="5">
        <v>2</v>
      </c>
      <c r="M300" s="5">
        <v>368.80000000000013</v>
      </c>
      <c r="N300" s="6">
        <v>-2</v>
      </c>
      <c r="O300" s="5">
        <f t="shared" si="26"/>
        <v>76.600000000000051</v>
      </c>
      <c r="P300" s="5">
        <v>256</v>
      </c>
      <c r="Q300" s="5">
        <v>1.1499999999999999</v>
      </c>
      <c r="R300" s="8">
        <f t="shared" si="23"/>
        <v>2.2999999999999998</v>
      </c>
      <c r="S300" s="8">
        <f t="shared" si="24"/>
        <v>-2.2999999999999998</v>
      </c>
      <c r="T300" s="8">
        <f t="shared" si="25"/>
        <v>56.196153846153834</v>
      </c>
      <c r="V300" s="12">
        <v>883.6</v>
      </c>
      <c r="W300" s="5">
        <v>62.225352112676063</v>
      </c>
      <c r="X300" s="5">
        <v>183653.80000000008</v>
      </c>
      <c r="Y300" s="5">
        <f t="shared" si="28"/>
        <v>27102.9</v>
      </c>
      <c r="AA300" s="5">
        <v>15.815852499400799</v>
      </c>
    </row>
    <row r="301" spans="1:27" s="5" customFormat="1" x14ac:dyDescent="0.25">
      <c r="A301" s="78"/>
      <c r="B301" s="10"/>
      <c r="C301" s="4">
        <v>42148</v>
      </c>
      <c r="D301" s="5">
        <v>14.5</v>
      </c>
      <c r="E301" s="5">
        <v>8.6</v>
      </c>
      <c r="F301" s="5">
        <v>18.600000000000001</v>
      </c>
      <c r="G301" s="5">
        <v>2257.4</v>
      </c>
      <c r="H301" s="5">
        <f t="shared" si="27"/>
        <v>248.7</v>
      </c>
      <c r="J301" s="5">
        <v>1</v>
      </c>
      <c r="K301" s="5">
        <v>492.00000000000006</v>
      </c>
      <c r="L301" s="5">
        <v>4.2</v>
      </c>
      <c r="M301" s="5">
        <v>373.00000000000011</v>
      </c>
      <c r="N301" s="6">
        <v>-3.2</v>
      </c>
      <c r="O301" s="5">
        <f t="shared" si="26"/>
        <v>73.400000000000048</v>
      </c>
      <c r="P301" s="5">
        <v>257</v>
      </c>
      <c r="Q301" s="5">
        <v>1.1499999999999999</v>
      </c>
      <c r="R301" s="8">
        <f t="shared" ref="R301:R361" si="29">Q301*L301</f>
        <v>4.83</v>
      </c>
      <c r="S301" s="8">
        <f t="shared" ref="S301:S361" si="30">J301-R301</f>
        <v>-3.83</v>
      </c>
      <c r="T301" s="8">
        <f t="shared" si="25"/>
        <v>52.366153846153836</v>
      </c>
      <c r="V301" s="5">
        <v>2472.1999999999998</v>
      </c>
      <c r="W301" s="5">
        <v>170.49655172413793</v>
      </c>
      <c r="X301" s="5">
        <v>186126.00000000009</v>
      </c>
      <c r="Y301" s="5">
        <f t="shared" si="28"/>
        <v>29575.100000000002</v>
      </c>
      <c r="AA301" s="5">
        <v>15.8569985324188</v>
      </c>
    </row>
    <row r="302" spans="1:27" s="5" customFormat="1" x14ac:dyDescent="0.25">
      <c r="A302" s="78"/>
      <c r="B302" s="10"/>
      <c r="C302" s="4">
        <v>42149</v>
      </c>
      <c r="D302" s="5">
        <v>13.6</v>
      </c>
      <c r="E302" s="5">
        <v>13.1</v>
      </c>
      <c r="F302" s="5">
        <v>15.3</v>
      </c>
      <c r="G302" s="5">
        <v>2271</v>
      </c>
      <c r="H302" s="5">
        <f t="shared" si="27"/>
        <v>262.3</v>
      </c>
      <c r="J302" s="5">
        <v>0</v>
      </c>
      <c r="K302" s="5">
        <v>492.00000000000006</v>
      </c>
      <c r="L302" s="5">
        <v>3.6</v>
      </c>
      <c r="M302" s="5">
        <v>376.60000000000014</v>
      </c>
      <c r="N302" s="6">
        <v>-3.6</v>
      </c>
      <c r="O302" s="5">
        <f t="shared" si="26"/>
        <v>69.800000000000054</v>
      </c>
      <c r="P302" s="5">
        <v>258</v>
      </c>
      <c r="Q302" s="5">
        <v>1.1499999999999999</v>
      </c>
      <c r="R302" s="8">
        <f t="shared" si="29"/>
        <v>4.1399999999999997</v>
      </c>
      <c r="S302" s="8">
        <f t="shared" si="30"/>
        <v>-4.1399999999999997</v>
      </c>
      <c r="T302" s="8">
        <f t="shared" si="25"/>
        <v>48.226153846153835</v>
      </c>
      <c r="V302" s="5">
        <v>1713.6</v>
      </c>
      <c r="W302" s="5">
        <v>126</v>
      </c>
      <c r="X302" s="5">
        <v>187839.60000000009</v>
      </c>
      <c r="Y302" s="5">
        <f t="shared" si="28"/>
        <v>31288.7</v>
      </c>
      <c r="AA302" s="5">
        <v>15.8971082404776</v>
      </c>
    </row>
    <row r="303" spans="1:27" s="5" customFormat="1" x14ac:dyDescent="0.25">
      <c r="A303" s="78"/>
      <c r="B303" s="10"/>
      <c r="C303" s="4">
        <v>42150</v>
      </c>
      <c r="D303" s="5">
        <v>14.2</v>
      </c>
      <c r="E303" s="5">
        <v>11.2</v>
      </c>
      <c r="F303" s="5">
        <v>16.399999999999999</v>
      </c>
      <c r="G303" s="5">
        <v>2285.1999999999998</v>
      </c>
      <c r="H303" s="5">
        <f t="shared" si="27"/>
        <v>276.5</v>
      </c>
      <c r="J303" s="5">
        <v>0</v>
      </c>
      <c r="K303" s="5">
        <v>492.00000000000006</v>
      </c>
      <c r="L303" s="5">
        <v>3.2</v>
      </c>
      <c r="M303" s="5">
        <v>379.80000000000013</v>
      </c>
      <c r="N303" s="6">
        <v>-3.2</v>
      </c>
      <c r="O303" s="5">
        <f t="shared" si="26"/>
        <v>66.600000000000051</v>
      </c>
      <c r="P303" s="5">
        <v>259</v>
      </c>
      <c r="Q303" s="5">
        <v>1.1499999999999999</v>
      </c>
      <c r="R303" s="8">
        <f t="shared" si="29"/>
        <v>3.6799999999999997</v>
      </c>
      <c r="S303" s="8">
        <f t="shared" si="30"/>
        <v>-3.6799999999999997</v>
      </c>
      <c r="T303" s="8">
        <f t="shared" ref="T303:T361" si="31">MIN(153.6,(T302+S303))</f>
        <v>44.546153846153835</v>
      </c>
      <c r="V303" s="5">
        <v>1732.7</v>
      </c>
      <c r="W303" s="5">
        <v>122.02112676056339</v>
      </c>
      <c r="X303" s="5">
        <v>189572.3000000001</v>
      </c>
      <c r="Y303" s="5">
        <f t="shared" si="28"/>
        <v>33021.4</v>
      </c>
      <c r="AA303" s="5">
        <v>15.9361513059972</v>
      </c>
    </row>
    <row r="304" spans="1:27" s="5" customFormat="1" x14ac:dyDescent="0.25">
      <c r="A304" s="78"/>
      <c r="B304" s="10"/>
      <c r="C304" s="4">
        <v>42151</v>
      </c>
      <c r="D304" s="5">
        <v>15.6</v>
      </c>
      <c r="E304" s="5">
        <v>11.8</v>
      </c>
      <c r="F304" s="5">
        <v>19</v>
      </c>
      <c r="G304" s="5">
        <v>2300.7999999999997</v>
      </c>
      <c r="H304" s="5">
        <f t="shared" si="27"/>
        <v>292.10000000000002</v>
      </c>
      <c r="J304" s="5">
        <v>0</v>
      </c>
      <c r="K304" s="5">
        <v>492.00000000000006</v>
      </c>
      <c r="L304" s="5">
        <v>4.8</v>
      </c>
      <c r="M304" s="5">
        <v>384.60000000000014</v>
      </c>
      <c r="N304" s="6">
        <v>-4.8</v>
      </c>
      <c r="O304" s="5">
        <f t="shared" si="26"/>
        <v>61.800000000000054</v>
      </c>
      <c r="P304" s="5">
        <v>260</v>
      </c>
      <c r="Q304" s="5">
        <v>1.1499999999999999</v>
      </c>
      <c r="R304" s="8">
        <f t="shared" si="29"/>
        <v>5.52</v>
      </c>
      <c r="S304" s="8">
        <f t="shared" si="30"/>
        <v>-5.52</v>
      </c>
      <c r="T304" s="8">
        <f t="shared" si="31"/>
        <v>39.026153846153832</v>
      </c>
      <c r="V304" s="5">
        <v>2666.8</v>
      </c>
      <c r="W304" s="5">
        <v>170.94871794871796</v>
      </c>
      <c r="X304" s="5">
        <v>192239.10000000009</v>
      </c>
      <c r="Y304" s="5">
        <f t="shared" si="28"/>
        <v>35688.200000000004</v>
      </c>
      <c r="AA304" s="5">
        <v>15.9740974517452</v>
      </c>
    </row>
    <row r="305" spans="1:27" s="44" customFormat="1" ht="15.75" thickBot="1" x14ac:dyDescent="0.3">
      <c r="A305" s="78"/>
      <c r="B305" s="50">
        <v>300</v>
      </c>
      <c r="C305" s="51">
        <v>42152</v>
      </c>
      <c r="D305" s="44">
        <v>13.7</v>
      </c>
      <c r="E305" s="44">
        <v>13.3</v>
      </c>
      <c r="F305" s="44">
        <v>16.3</v>
      </c>
      <c r="G305" s="44">
        <v>2314.4999999999995</v>
      </c>
      <c r="H305" s="44">
        <f t="shared" si="27"/>
        <v>305.8</v>
      </c>
      <c r="J305" s="44">
        <v>0</v>
      </c>
      <c r="K305" s="44">
        <v>492.00000000000006</v>
      </c>
      <c r="L305" s="44">
        <v>3.6</v>
      </c>
      <c r="M305" s="44">
        <v>388.20000000000016</v>
      </c>
      <c r="N305" s="52">
        <v>-3.6</v>
      </c>
      <c r="O305" s="44">
        <f t="shared" si="26"/>
        <v>58.200000000000053</v>
      </c>
      <c r="P305" s="44">
        <v>261</v>
      </c>
      <c r="Q305" s="45">
        <v>1.1499999999999999</v>
      </c>
      <c r="R305" s="46">
        <f t="shared" si="29"/>
        <v>4.1399999999999997</v>
      </c>
      <c r="S305" s="46">
        <f t="shared" si="30"/>
        <v>-4.1399999999999997</v>
      </c>
      <c r="T305" s="47">
        <f t="shared" si="31"/>
        <v>34.886153846153832</v>
      </c>
      <c r="V305" s="44">
        <v>1607.3</v>
      </c>
      <c r="W305" s="44">
        <v>117.32116788321169</v>
      </c>
      <c r="X305" s="44">
        <v>193846.40000000008</v>
      </c>
      <c r="Y305" s="45">
        <f t="shared" si="28"/>
        <v>37295.500000000007</v>
      </c>
      <c r="AA305" s="45">
        <v>16.0109165110057</v>
      </c>
    </row>
    <row r="306" spans="1:27" s="5" customFormat="1" x14ac:dyDescent="0.25">
      <c r="A306" s="79">
        <v>600</v>
      </c>
      <c r="B306" s="10"/>
      <c r="C306" s="4">
        <v>42153</v>
      </c>
      <c r="D306" s="5">
        <v>11.2</v>
      </c>
      <c r="E306" s="5">
        <v>8.6</v>
      </c>
      <c r="F306" s="5">
        <v>14.4</v>
      </c>
      <c r="G306" s="5">
        <v>2325.6999999999994</v>
      </c>
      <c r="H306" s="5">
        <v>11.2</v>
      </c>
      <c r="I306" s="35" t="s">
        <v>2</v>
      </c>
      <c r="J306" s="5">
        <v>5.4</v>
      </c>
      <c r="K306" s="5">
        <v>497.40000000000003</v>
      </c>
      <c r="L306" s="5">
        <v>2</v>
      </c>
      <c r="M306" s="5">
        <v>390.20000000000016</v>
      </c>
      <c r="N306" s="5">
        <v>3.4000000000000004</v>
      </c>
      <c r="O306" s="5">
        <f t="shared" si="26"/>
        <v>61.600000000000051</v>
      </c>
      <c r="P306" s="5">
        <v>262</v>
      </c>
      <c r="Q306" s="13">
        <f>1.15+((P306-261)/56)*(0.35-1.15)</f>
        <v>1.1357142857142857</v>
      </c>
      <c r="R306" s="8">
        <f t="shared" si="29"/>
        <v>2.2714285714285714</v>
      </c>
      <c r="S306" s="8">
        <f t="shared" si="30"/>
        <v>3.128571428571429</v>
      </c>
      <c r="T306" s="8">
        <f t="shared" si="31"/>
        <v>38.014725274725258</v>
      </c>
      <c r="U306" s="35" t="s">
        <v>3</v>
      </c>
      <c r="V306" s="12">
        <v>876.3</v>
      </c>
      <c r="W306" s="5">
        <v>78.241071428571431</v>
      </c>
      <c r="X306" s="5">
        <v>194722.70000000007</v>
      </c>
      <c r="Y306" s="5">
        <v>876.3</v>
      </c>
      <c r="Z306" s="35" t="s">
        <v>4</v>
      </c>
      <c r="AA306" s="5">
        <v>16.0465785008894</v>
      </c>
    </row>
    <row r="307" spans="1:27" s="5" customFormat="1" x14ac:dyDescent="0.25">
      <c r="A307" s="79"/>
      <c r="B307" s="10"/>
      <c r="C307" s="4">
        <v>42154</v>
      </c>
      <c r="D307" s="5">
        <v>12.4</v>
      </c>
      <c r="E307" s="5">
        <v>8.6999999999999993</v>
      </c>
      <c r="F307" s="5">
        <v>15.3</v>
      </c>
      <c r="G307" s="5">
        <v>2338.0999999999995</v>
      </c>
      <c r="H307" s="5">
        <f t="shared" si="27"/>
        <v>23.6</v>
      </c>
      <c r="I307" s="5">
        <f>MIN(E306:E325)</f>
        <v>8.6</v>
      </c>
      <c r="J307" s="5">
        <v>0</v>
      </c>
      <c r="K307" s="5">
        <v>497.40000000000003</v>
      </c>
      <c r="L307" s="5">
        <v>3.3</v>
      </c>
      <c r="M307" s="5">
        <v>393.50000000000017</v>
      </c>
      <c r="N307" s="6">
        <v>-3.3</v>
      </c>
      <c r="O307" s="5">
        <f t="shared" si="26"/>
        <v>58.300000000000054</v>
      </c>
      <c r="P307" s="5">
        <v>263</v>
      </c>
      <c r="Q307" s="13">
        <f t="shared" ref="Q307:Q361" si="32">1.15+((P307-261)/56)*(0.35-1.15)</f>
        <v>1.1214285714285714</v>
      </c>
      <c r="R307" s="8">
        <f t="shared" si="29"/>
        <v>3.7007142857142856</v>
      </c>
      <c r="S307" s="8">
        <f t="shared" si="30"/>
        <v>-3.7007142857142856</v>
      </c>
      <c r="T307" s="8">
        <f t="shared" si="31"/>
        <v>34.314010989010974</v>
      </c>
      <c r="U307" s="5">
        <v>17</v>
      </c>
      <c r="V307" s="5">
        <v>1774.8</v>
      </c>
      <c r="W307" s="5">
        <v>143.12903225806451</v>
      </c>
      <c r="X307" s="5">
        <v>196497.50000000006</v>
      </c>
      <c r="Y307" s="5">
        <f t="shared" si="28"/>
        <v>2651.1</v>
      </c>
      <c r="Z307" s="5">
        <v>40592.599999999991</v>
      </c>
      <c r="AA307" s="5">
        <v>16.081053698558001</v>
      </c>
    </row>
    <row r="308" spans="1:27" s="5" customFormat="1" x14ac:dyDescent="0.25">
      <c r="A308" s="79"/>
      <c r="B308" s="10"/>
      <c r="C308" s="4">
        <v>42155</v>
      </c>
      <c r="D308" s="5">
        <v>13</v>
      </c>
      <c r="E308" s="5">
        <v>8.8000000000000007</v>
      </c>
      <c r="F308" s="5">
        <v>15.3</v>
      </c>
      <c r="G308" s="5">
        <v>2351.0999999999995</v>
      </c>
      <c r="H308" s="5">
        <f t="shared" si="27"/>
        <v>36.6</v>
      </c>
      <c r="I308" s="35" t="s">
        <v>5</v>
      </c>
      <c r="J308" s="5">
        <v>7</v>
      </c>
      <c r="K308" s="5">
        <v>504.40000000000003</v>
      </c>
      <c r="L308" s="5">
        <v>1.2</v>
      </c>
      <c r="M308" s="5">
        <v>394.70000000000016</v>
      </c>
      <c r="N308" s="5">
        <v>5.8</v>
      </c>
      <c r="O308" s="5">
        <f t="shared" si="26"/>
        <v>64.100000000000051</v>
      </c>
      <c r="P308" s="5">
        <v>264</v>
      </c>
      <c r="Q308" s="13">
        <f t="shared" si="32"/>
        <v>1.107142857142857</v>
      </c>
      <c r="R308" s="8">
        <f t="shared" si="29"/>
        <v>1.3285714285714283</v>
      </c>
      <c r="S308" s="8">
        <f t="shared" si="30"/>
        <v>5.6714285714285717</v>
      </c>
      <c r="T308" s="8">
        <f t="shared" si="31"/>
        <v>39.985439560439545</v>
      </c>
      <c r="U308" s="35" t="s">
        <v>6</v>
      </c>
      <c r="V308" s="12">
        <v>763.1</v>
      </c>
      <c r="W308" s="5">
        <v>58.7</v>
      </c>
      <c r="X308" s="5">
        <v>197260.60000000006</v>
      </c>
      <c r="Y308" s="5">
        <f t="shared" si="28"/>
        <v>3414.2</v>
      </c>
      <c r="Z308" s="35" t="s">
        <v>7</v>
      </c>
      <c r="AA308" s="5">
        <v>16.114312720099299</v>
      </c>
    </row>
    <row r="309" spans="1:27" s="5" customFormat="1" x14ac:dyDescent="0.25">
      <c r="A309" s="79"/>
      <c r="B309" s="10"/>
      <c r="C309" s="4">
        <v>42156</v>
      </c>
      <c r="D309" s="5">
        <v>12.7</v>
      </c>
      <c r="E309" s="5">
        <v>9.1</v>
      </c>
      <c r="F309" s="5">
        <v>15.3</v>
      </c>
      <c r="G309" s="5">
        <v>2363.7999999999993</v>
      </c>
      <c r="H309" s="5">
        <f t="shared" si="27"/>
        <v>49.3</v>
      </c>
      <c r="I309" s="5">
        <f>MAX(F306:F325)</f>
        <v>31.1</v>
      </c>
      <c r="J309" s="5">
        <v>2.4</v>
      </c>
      <c r="K309" s="5">
        <v>506.8</v>
      </c>
      <c r="L309" s="5">
        <v>2.5</v>
      </c>
      <c r="M309" s="5">
        <v>397.20000000000016</v>
      </c>
      <c r="N309" s="6">
        <v>-0.10000000000000009</v>
      </c>
      <c r="O309" s="5">
        <f t="shared" si="26"/>
        <v>64.000000000000057</v>
      </c>
      <c r="P309" s="5">
        <v>265</v>
      </c>
      <c r="Q309" s="13">
        <f t="shared" si="32"/>
        <v>1.0928571428571427</v>
      </c>
      <c r="R309" s="8">
        <f t="shared" si="29"/>
        <v>2.7321428571428568</v>
      </c>
      <c r="S309" s="8">
        <f t="shared" si="30"/>
        <v>-0.33214285714285685</v>
      </c>
      <c r="T309" s="8">
        <f t="shared" si="31"/>
        <v>39.653296703296689</v>
      </c>
      <c r="U309" s="5">
        <v>6</v>
      </c>
      <c r="V309" s="5">
        <v>1111.3</v>
      </c>
      <c r="W309" s="5">
        <v>87.503937007874015</v>
      </c>
      <c r="X309" s="5">
        <v>198371.90000000005</v>
      </c>
      <c r="Y309" s="5">
        <f t="shared" si="28"/>
        <v>4525.5</v>
      </c>
      <c r="Z309" s="13">
        <f>(Z307/100)/I319</f>
        <v>1.2809277374566108</v>
      </c>
      <c r="AA309" s="5">
        <v>16.146326601746999</v>
      </c>
    </row>
    <row r="310" spans="1:27" s="5" customFormat="1" x14ac:dyDescent="0.25">
      <c r="A310" s="79"/>
      <c r="B310" s="10"/>
      <c r="C310" s="4">
        <v>42157</v>
      </c>
      <c r="D310" s="5">
        <v>15.2</v>
      </c>
      <c r="E310" s="5">
        <v>12.2</v>
      </c>
      <c r="F310" s="5">
        <v>18.7</v>
      </c>
      <c r="G310" s="5">
        <v>2378.9999999999991</v>
      </c>
      <c r="H310" s="5">
        <f t="shared" si="27"/>
        <v>64.5</v>
      </c>
      <c r="I310" s="35" t="s">
        <v>8</v>
      </c>
      <c r="J310" s="5">
        <v>0.6</v>
      </c>
      <c r="K310" s="5">
        <v>507.40000000000003</v>
      </c>
      <c r="L310" s="5">
        <v>2.1</v>
      </c>
      <c r="M310" s="5">
        <v>399.30000000000018</v>
      </c>
      <c r="N310" s="6">
        <v>-1.5</v>
      </c>
      <c r="O310" s="5">
        <f t="shared" si="26"/>
        <v>62.500000000000057</v>
      </c>
      <c r="P310" s="5">
        <v>266</v>
      </c>
      <c r="Q310" s="13">
        <f t="shared" si="32"/>
        <v>1.0785714285714285</v>
      </c>
      <c r="R310" s="8">
        <f t="shared" si="29"/>
        <v>2.2650000000000001</v>
      </c>
      <c r="S310" s="8">
        <f t="shared" si="30"/>
        <v>-1.665</v>
      </c>
      <c r="T310" s="8">
        <f t="shared" si="31"/>
        <v>37.98829670329669</v>
      </c>
      <c r="U310" s="35" t="s">
        <v>9</v>
      </c>
      <c r="V310" s="12">
        <v>562.20000000000005</v>
      </c>
      <c r="W310" s="5">
        <v>36.986842105263165</v>
      </c>
      <c r="X310" s="5">
        <v>198934.10000000006</v>
      </c>
      <c r="Y310" s="5">
        <f t="shared" si="28"/>
        <v>5087.7</v>
      </c>
      <c r="Z310" s="35" t="s">
        <v>10</v>
      </c>
      <c r="AA310" s="5">
        <v>16.1770668831014</v>
      </c>
    </row>
    <row r="311" spans="1:27" s="5" customFormat="1" x14ac:dyDescent="0.25">
      <c r="A311" s="79"/>
      <c r="B311" s="10"/>
      <c r="C311" s="4">
        <v>42158</v>
      </c>
      <c r="D311" s="5">
        <v>14.7</v>
      </c>
      <c r="E311" s="5">
        <v>13.6</v>
      </c>
      <c r="F311" s="5">
        <v>17.7</v>
      </c>
      <c r="G311" s="5">
        <v>2393.6999999999989</v>
      </c>
      <c r="H311" s="5">
        <f t="shared" si="27"/>
        <v>79.2</v>
      </c>
      <c r="I311" s="8">
        <f>AVERAGE(D306:D325)</f>
        <v>15.844999999999999</v>
      </c>
      <c r="J311" s="5">
        <v>0</v>
      </c>
      <c r="K311" s="5">
        <v>507.40000000000003</v>
      </c>
      <c r="L311" s="5">
        <v>4.2</v>
      </c>
      <c r="M311" s="5">
        <v>403.50000000000017</v>
      </c>
      <c r="N311" s="6">
        <v>-4.2</v>
      </c>
      <c r="O311" s="5">
        <f t="shared" si="26"/>
        <v>58.300000000000054</v>
      </c>
      <c r="P311" s="5">
        <v>267</v>
      </c>
      <c r="Q311" s="13">
        <f t="shared" si="32"/>
        <v>1.0642857142857143</v>
      </c>
      <c r="R311" s="8">
        <f t="shared" si="29"/>
        <v>4.47</v>
      </c>
      <c r="S311" s="8">
        <f t="shared" si="30"/>
        <v>-4.47</v>
      </c>
      <c r="T311" s="8">
        <f t="shared" si="31"/>
        <v>33.518296703296691</v>
      </c>
      <c r="U311" s="5">
        <v>13</v>
      </c>
      <c r="V311" s="5">
        <v>1828.2</v>
      </c>
      <c r="W311" s="5">
        <v>124.36734693877553</v>
      </c>
      <c r="X311" s="5">
        <v>200762.30000000008</v>
      </c>
      <c r="Y311" s="5">
        <f t="shared" si="28"/>
        <v>6915.9</v>
      </c>
      <c r="Z311" s="5">
        <v>3</v>
      </c>
      <c r="AA311" s="5">
        <v>16.206505691965599</v>
      </c>
    </row>
    <row r="312" spans="1:27" s="5" customFormat="1" x14ac:dyDescent="0.25">
      <c r="A312" s="79"/>
      <c r="B312" s="10"/>
      <c r="C312" s="4">
        <v>42159</v>
      </c>
      <c r="D312" s="5">
        <v>17.600000000000001</v>
      </c>
      <c r="E312" s="5">
        <v>8.6</v>
      </c>
      <c r="F312" s="5">
        <v>24.2</v>
      </c>
      <c r="G312" s="5">
        <v>2411.2999999999988</v>
      </c>
      <c r="H312" s="5">
        <f t="shared" si="27"/>
        <v>96.800000000000011</v>
      </c>
      <c r="I312" s="35" t="s">
        <v>11</v>
      </c>
      <c r="J312" s="5">
        <v>0</v>
      </c>
      <c r="K312" s="5">
        <v>507.40000000000003</v>
      </c>
      <c r="L312" s="5">
        <v>5.3</v>
      </c>
      <c r="M312" s="5">
        <v>408.80000000000018</v>
      </c>
      <c r="N312" s="6">
        <v>-5.3</v>
      </c>
      <c r="O312" s="5">
        <f t="shared" si="26"/>
        <v>53.000000000000057</v>
      </c>
      <c r="P312" s="5">
        <v>268</v>
      </c>
      <c r="Q312" s="13">
        <f t="shared" si="32"/>
        <v>1.0499999999999998</v>
      </c>
      <c r="R312" s="8">
        <f t="shared" si="29"/>
        <v>5.5649999999999986</v>
      </c>
      <c r="S312" s="8">
        <f t="shared" si="30"/>
        <v>-5.5649999999999986</v>
      </c>
      <c r="T312" s="8">
        <f t="shared" si="31"/>
        <v>27.953296703296694</v>
      </c>
      <c r="U312" s="35" t="s">
        <v>12</v>
      </c>
      <c r="V312" s="5">
        <v>2940.3</v>
      </c>
      <c r="W312" s="5">
        <v>167.0625</v>
      </c>
      <c r="X312" s="5">
        <v>203702.60000000006</v>
      </c>
      <c r="Y312" s="5">
        <f t="shared" si="28"/>
        <v>9856.2000000000007</v>
      </c>
      <c r="AA312" s="5">
        <v>16.234615830375802</v>
      </c>
    </row>
    <row r="313" spans="1:27" s="5" customFormat="1" x14ac:dyDescent="0.25">
      <c r="A313" s="79"/>
      <c r="B313" s="10"/>
      <c r="C313" s="4">
        <v>42160</v>
      </c>
      <c r="D313" s="5">
        <v>21.6</v>
      </c>
      <c r="E313" s="5">
        <v>16.600000000000001</v>
      </c>
      <c r="F313" s="14">
        <v>31.1</v>
      </c>
      <c r="G313" s="5">
        <v>2432.8999999999987</v>
      </c>
      <c r="H313" s="5">
        <f t="shared" si="27"/>
        <v>118.4</v>
      </c>
      <c r="I313" s="5">
        <v>0</v>
      </c>
      <c r="J313" s="5">
        <v>6.7</v>
      </c>
      <c r="K313" s="5">
        <v>514.1</v>
      </c>
      <c r="L313" s="5">
        <v>7</v>
      </c>
      <c r="M313" s="5">
        <v>415.80000000000018</v>
      </c>
      <c r="N313" s="6">
        <v>-0.29999999999999982</v>
      </c>
      <c r="O313" s="5">
        <f t="shared" si="26"/>
        <v>52.70000000000006</v>
      </c>
      <c r="P313" s="5">
        <v>269</v>
      </c>
      <c r="Q313" s="13">
        <f t="shared" si="32"/>
        <v>1.0357142857142856</v>
      </c>
      <c r="R313" s="8">
        <f t="shared" si="29"/>
        <v>7.2499999999999991</v>
      </c>
      <c r="S313" s="8">
        <f t="shared" si="30"/>
        <v>-0.54999999999999893</v>
      </c>
      <c r="T313" s="8">
        <f t="shared" si="31"/>
        <v>27.403296703296697</v>
      </c>
      <c r="U313" s="8">
        <v>0</v>
      </c>
      <c r="V313" s="5">
        <v>2894.1</v>
      </c>
      <c r="W313" s="5">
        <v>133.98611111111109</v>
      </c>
      <c r="X313" s="5">
        <v>206596.70000000007</v>
      </c>
      <c r="Y313" s="5">
        <f t="shared" si="28"/>
        <v>12750.300000000001</v>
      </c>
      <c r="AA313" s="5">
        <v>16.2613708613668</v>
      </c>
    </row>
    <row r="314" spans="1:27" s="5" customFormat="1" x14ac:dyDescent="0.25">
      <c r="A314" s="79"/>
      <c r="B314" s="10"/>
      <c r="C314" s="4">
        <v>42161</v>
      </c>
      <c r="D314" s="5">
        <v>15.1</v>
      </c>
      <c r="E314" s="5">
        <v>12.4</v>
      </c>
      <c r="F314" s="5">
        <v>18.600000000000001</v>
      </c>
      <c r="G314" s="5">
        <v>2447.9999999999986</v>
      </c>
      <c r="H314" s="5">
        <f t="shared" si="27"/>
        <v>133.5</v>
      </c>
      <c r="I314" s="35" t="s">
        <v>13</v>
      </c>
      <c r="J314" s="5">
        <v>0</v>
      </c>
      <c r="K314" s="5">
        <v>514.1</v>
      </c>
      <c r="L314" s="5">
        <v>6</v>
      </c>
      <c r="M314" s="5">
        <v>421.80000000000018</v>
      </c>
      <c r="N314" s="6">
        <v>-6</v>
      </c>
      <c r="O314" s="5">
        <f t="shared" si="26"/>
        <v>46.70000000000006</v>
      </c>
      <c r="P314" s="5">
        <v>270</v>
      </c>
      <c r="Q314" s="13">
        <f t="shared" si="32"/>
        <v>1.0214285714285714</v>
      </c>
      <c r="R314" s="8">
        <f t="shared" si="29"/>
        <v>6.1285714285714281</v>
      </c>
      <c r="S314" s="8">
        <f t="shared" si="30"/>
        <v>-6.1285714285714281</v>
      </c>
      <c r="T314" s="8">
        <f t="shared" si="31"/>
        <v>21.27472527472527</v>
      </c>
      <c r="U314" s="35" t="s">
        <v>14</v>
      </c>
      <c r="V314" s="5">
        <v>3263.2</v>
      </c>
      <c r="W314" s="5">
        <v>216.10596026490066</v>
      </c>
      <c r="X314" s="5">
        <v>209859.90000000008</v>
      </c>
      <c r="Y314" s="5">
        <f t="shared" si="28"/>
        <v>16013.5</v>
      </c>
      <c r="AA314" s="5">
        <v>16.286745195982501</v>
      </c>
    </row>
    <row r="315" spans="1:27" s="5" customFormat="1" x14ac:dyDescent="0.25">
      <c r="A315" s="79"/>
      <c r="B315" s="10"/>
      <c r="C315" s="4">
        <v>42162</v>
      </c>
      <c r="D315" s="5">
        <v>15.2</v>
      </c>
      <c r="E315" s="5">
        <v>9.6</v>
      </c>
      <c r="F315" s="5">
        <v>20</v>
      </c>
      <c r="G315" s="5">
        <v>2463.1999999999985</v>
      </c>
      <c r="H315" s="5">
        <f t="shared" si="27"/>
        <v>148.69999999999999</v>
      </c>
      <c r="I315" s="5">
        <v>3</v>
      </c>
      <c r="J315" s="5">
        <v>0</v>
      </c>
      <c r="K315" s="5">
        <v>514.1</v>
      </c>
      <c r="L315" s="5">
        <v>3.7</v>
      </c>
      <c r="M315" s="5">
        <v>425.50000000000017</v>
      </c>
      <c r="N315" s="6">
        <v>-3.7</v>
      </c>
      <c r="O315" s="5">
        <f t="shared" si="26"/>
        <v>43.000000000000057</v>
      </c>
      <c r="P315" s="5">
        <v>271</v>
      </c>
      <c r="Q315" s="13">
        <f t="shared" si="32"/>
        <v>1.0071428571428571</v>
      </c>
      <c r="R315" s="8">
        <f t="shared" si="29"/>
        <v>3.7264285714285714</v>
      </c>
      <c r="S315" s="8">
        <f t="shared" si="30"/>
        <v>-3.7264285714285714</v>
      </c>
      <c r="T315" s="8">
        <f t="shared" si="31"/>
        <v>17.5482967032967</v>
      </c>
      <c r="U315" s="8">
        <f>MAX(T306:T325)</f>
        <v>39.985439560439545</v>
      </c>
      <c r="V315" s="5">
        <v>1987.6</v>
      </c>
      <c r="W315" s="5">
        <v>130.76315789473685</v>
      </c>
      <c r="X315" s="5">
        <v>211847.50000000009</v>
      </c>
      <c r="Y315" s="5">
        <f t="shared" si="28"/>
        <v>18001.099999999999</v>
      </c>
      <c r="AA315" s="5">
        <v>16.310714180007601</v>
      </c>
    </row>
    <row r="316" spans="1:27" s="5" customFormat="1" x14ac:dyDescent="0.25">
      <c r="A316" s="79"/>
      <c r="B316" s="10"/>
      <c r="C316" s="4">
        <v>42163</v>
      </c>
      <c r="D316" s="5">
        <v>13.7</v>
      </c>
      <c r="E316" s="5">
        <v>10.199999999999999</v>
      </c>
      <c r="F316" s="5">
        <v>17.399999999999999</v>
      </c>
      <c r="G316" s="5">
        <v>2476.8999999999983</v>
      </c>
      <c r="H316" s="5">
        <f t="shared" si="27"/>
        <v>162.39999999999998</v>
      </c>
      <c r="I316" s="35" t="s">
        <v>15</v>
      </c>
      <c r="J316" s="5">
        <v>0</v>
      </c>
      <c r="K316" s="5">
        <v>514.1</v>
      </c>
      <c r="L316" s="5">
        <v>4.3</v>
      </c>
      <c r="M316" s="5">
        <v>429.80000000000018</v>
      </c>
      <c r="N316" s="6">
        <v>-4.3</v>
      </c>
      <c r="O316" s="5">
        <f t="shared" ref="O316:O325" si="33">O315+N316</f>
        <v>38.70000000000006</v>
      </c>
      <c r="P316" s="5">
        <v>272</v>
      </c>
      <c r="Q316" s="13">
        <f t="shared" si="32"/>
        <v>0.99285714285714277</v>
      </c>
      <c r="R316" s="8">
        <f t="shared" si="29"/>
        <v>4.2692857142857141</v>
      </c>
      <c r="S316" s="8">
        <f t="shared" si="30"/>
        <v>-4.2692857142857141</v>
      </c>
      <c r="T316" s="8">
        <f t="shared" si="31"/>
        <v>13.279010989010985</v>
      </c>
      <c r="U316" s="35" t="s">
        <v>16</v>
      </c>
      <c r="V316" s="5">
        <v>2161.6999999999998</v>
      </c>
      <c r="W316" s="5">
        <v>157.7883211678832</v>
      </c>
      <c r="X316" s="5">
        <v>214009.2000000001</v>
      </c>
      <c r="Y316" s="5">
        <f t="shared" si="28"/>
        <v>20162.8</v>
      </c>
      <c r="AA316" s="5">
        <v>16.333254179875901</v>
      </c>
    </row>
    <row r="317" spans="1:27" s="5" customFormat="1" x14ac:dyDescent="0.25">
      <c r="A317" s="79"/>
      <c r="B317" s="10"/>
      <c r="C317" s="4">
        <v>42164</v>
      </c>
      <c r="D317" s="5">
        <v>13</v>
      </c>
      <c r="E317" s="5">
        <v>10.4</v>
      </c>
      <c r="F317" s="5">
        <v>15.7</v>
      </c>
      <c r="G317" s="5">
        <v>2489.8999999999983</v>
      </c>
      <c r="H317" s="5">
        <f t="shared" si="27"/>
        <v>175.39999999999998</v>
      </c>
      <c r="I317" s="5">
        <v>0</v>
      </c>
      <c r="J317" s="5">
        <v>0</v>
      </c>
      <c r="K317" s="5">
        <v>514.1</v>
      </c>
      <c r="L317" s="5">
        <v>5.0999999999999996</v>
      </c>
      <c r="M317" s="5">
        <v>434.9000000000002</v>
      </c>
      <c r="N317" s="6">
        <v>-5.0999999999999996</v>
      </c>
      <c r="O317" s="5">
        <f t="shared" si="33"/>
        <v>33.600000000000058</v>
      </c>
      <c r="P317" s="5">
        <v>273</v>
      </c>
      <c r="Q317" s="13">
        <f t="shared" si="32"/>
        <v>0.97857142857142854</v>
      </c>
      <c r="R317" s="8">
        <f t="shared" si="29"/>
        <v>4.9907142857142848</v>
      </c>
      <c r="S317" s="8">
        <f t="shared" si="30"/>
        <v>-4.9907142857142848</v>
      </c>
      <c r="T317" s="8">
        <f t="shared" si="31"/>
        <v>8.2882967032966999</v>
      </c>
      <c r="U317" s="13">
        <f>AVERAGE(T306:T325)</f>
        <v>17.136857142857142</v>
      </c>
      <c r="V317" s="5">
        <v>3063.6</v>
      </c>
      <c r="W317" s="5">
        <v>235.66153846153844</v>
      </c>
      <c r="X317" s="5">
        <v>217072.8000000001</v>
      </c>
      <c r="Y317" s="5">
        <f t="shared" si="28"/>
        <v>23226.399999999998</v>
      </c>
      <c r="AA317" s="5">
        <v>16.3543426671852</v>
      </c>
    </row>
    <row r="318" spans="1:27" s="5" customFormat="1" x14ac:dyDescent="0.25">
      <c r="A318" s="79"/>
      <c r="B318" s="10"/>
      <c r="C318" s="4">
        <v>42165</v>
      </c>
      <c r="D318" s="5">
        <v>16.5</v>
      </c>
      <c r="E318" s="5">
        <v>10.199999999999999</v>
      </c>
      <c r="F318" s="5">
        <v>21.3</v>
      </c>
      <c r="G318" s="5">
        <v>2506.3999999999983</v>
      </c>
      <c r="H318" s="5">
        <f t="shared" si="27"/>
        <v>191.89999999999998</v>
      </c>
      <c r="I318" s="35" t="s">
        <v>17</v>
      </c>
      <c r="J318" s="5">
        <v>0</v>
      </c>
      <c r="K318" s="5">
        <v>514.1</v>
      </c>
      <c r="L318" s="5">
        <v>5.8</v>
      </c>
      <c r="M318" s="5">
        <v>440.70000000000022</v>
      </c>
      <c r="N318" s="6">
        <v>-5.8</v>
      </c>
      <c r="O318" s="5">
        <f t="shared" si="33"/>
        <v>27.800000000000058</v>
      </c>
      <c r="P318" s="5">
        <v>274</v>
      </c>
      <c r="Q318" s="13">
        <f t="shared" si="32"/>
        <v>0.96428571428571419</v>
      </c>
      <c r="R318" s="8">
        <f t="shared" si="29"/>
        <v>5.5928571428571425</v>
      </c>
      <c r="S318" s="8">
        <f t="shared" si="30"/>
        <v>-5.5928571428571425</v>
      </c>
      <c r="T318" s="8">
        <f t="shared" si="31"/>
        <v>2.6954395604395573</v>
      </c>
      <c r="V318" s="5">
        <v>3055.7</v>
      </c>
      <c r="W318" s="5">
        <v>185.19393939393939</v>
      </c>
      <c r="X318" s="5">
        <v>220128.50000000012</v>
      </c>
      <c r="Y318" s="5">
        <f t="shared" si="28"/>
        <v>26282.1</v>
      </c>
      <c r="AA318" s="5">
        <v>16.373958301237</v>
      </c>
    </row>
    <row r="319" spans="1:27" s="24" customFormat="1" x14ac:dyDescent="0.25">
      <c r="A319" s="79"/>
      <c r="B319" s="22"/>
      <c r="C319" s="23">
        <v>42166</v>
      </c>
      <c r="D319" s="24">
        <v>20.5</v>
      </c>
      <c r="E319" s="24">
        <v>14.9</v>
      </c>
      <c r="F319" s="36">
        <v>25.2</v>
      </c>
      <c r="G319" s="24">
        <v>2526.8999999999983</v>
      </c>
      <c r="H319" s="24">
        <f t="shared" si="27"/>
        <v>212.39999999999998</v>
      </c>
      <c r="I319" s="24">
        <v>316.89999999999998</v>
      </c>
      <c r="J319" s="24">
        <v>0</v>
      </c>
      <c r="K319" s="24">
        <v>514.1</v>
      </c>
      <c r="L319" s="24">
        <v>7.2</v>
      </c>
      <c r="M319" s="24">
        <v>447.9000000000002</v>
      </c>
      <c r="N319" s="26">
        <v>-7.2</v>
      </c>
      <c r="O319" s="24">
        <f t="shared" si="33"/>
        <v>20.600000000000058</v>
      </c>
      <c r="P319" s="24">
        <v>275</v>
      </c>
      <c r="Q319" s="13">
        <f t="shared" si="32"/>
        <v>0.95</v>
      </c>
      <c r="R319" s="27">
        <f t="shared" si="29"/>
        <v>6.84</v>
      </c>
      <c r="S319" s="27">
        <f t="shared" si="30"/>
        <v>-6.84</v>
      </c>
      <c r="T319" s="8">
        <v>0</v>
      </c>
      <c r="U319" s="8">
        <f>(U317*100)/153.6</f>
        <v>11.156808035714286</v>
      </c>
      <c r="V319" s="24">
        <v>3241.4</v>
      </c>
      <c r="W319" s="24">
        <v>158.11707317073171</v>
      </c>
      <c r="X319" s="24">
        <v>223369.90000000011</v>
      </c>
      <c r="Y319" s="5">
        <f t="shared" si="28"/>
        <v>29523.5</v>
      </c>
      <c r="AA319" s="5">
        <v>16.3920810090065</v>
      </c>
    </row>
    <row r="320" spans="1:27" s="5" customFormat="1" ht="15" customHeight="1" x14ac:dyDescent="0.25">
      <c r="A320" s="79"/>
      <c r="B320" s="10"/>
      <c r="C320" s="4">
        <v>42167</v>
      </c>
      <c r="D320" s="5">
        <v>21.9</v>
      </c>
      <c r="E320" s="5">
        <v>18.399999999999999</v>
      </c>
      <c r="F320" s="14">
        <v>27.2</v>
      </c>
      <c r="G320" s="5">
        <v>2548.7999999999984</v>
      </c>
      <c r="H320" s="5">
        <f t="shared" ref="H320:H361" si="34">H319+D320</f>
        <v>234.29999999999998</v>
      </c>
      <c r="J320" s="5">
        <v>0.6</v>
      </c>
      <c r="K320" s="5">
        <v>514.70000000000005</v>
      </c>
      <c r="L320" s="5">
        <v>4.7</v>
      </c>
      <c r="M320" s="5">
        <v>452.60000000000019</v>
      </c>
      <c r="N320" s="6">
        <v>-4.1000000000000005</v>
      </c>
      <c r="O320" s="5">
        <f t="shared" si="33"/>
        <v>16.500000000000057</v>
      </c>
      <c r="P320" s="5">
        <v>276</v>
      </c>
      <c r="Q320" s="13">
        <f t="shared" si="32"/>
        <v>0.93571428571428561</v>
      </c>
      <c r="R320" s="8">
        <f t="shared" si="29"/>
        <v>4.3978571428571422</v>
      </c>
      <c r="S320" s="8">
        <f t="shared" si="30"/>
        <v>-3.7978571428571422</v>
      </c>
      <c r="T320" s="8">
        <v>0</v>
      </c>
      <c r="U320" s="29"/>
      <c r="V320" s="5">
        <v>1835.6</v>
      </c>
      <c r="W320" s="5">
        <v>83.817351598173516</v>
      </c>
      <c r="X320" s="5">
        <v>225205.50000000012</v>
      </c>
      <c r="Y320" s="5">
        <f t="shared" ref="Y320:Y361" si="35">Y319+V320</f>
        <v>31359.1</v>
      </c>
      <c r="AA320" s="5">
        <v>16.408692061950099</v>
      </c>
    </row>
    <row r="321" spans="1:27" s="5" customFormat="1" x14ac:dyDescent="0.25">
      <c r="A321" s="79"/>
      <c r="B321" s="10"/>
      <c r="C321" s="4">
        <v>42168</v>
      </c>
      <c r="D321" s="5">
        <v>17.100000000000001</v>
      </c>
      <c r="E321" s="5">
        <v>14.8</v>
      </c>
      <c r="F321" s="5">
        <v>20.399999999999999</v>
      </c>
      <c r="G321" s="5">
        <v>2565.8999999999983</v>
      </c>
      <c r="H321" s="5">
        <f t="shared" si="34"/>
        <v>251.39999999999998</v>
      </c>
      <c r="J321" s="5">
        <v>0</v>
      </c>
      <c r="K321" s="5">
        <v>514.70000000000005</v>
      </c>
      <c r="L321" s="5">
        <v>3.9</v>
      </c>
      <c r="M321" s="5">
        <v>456.50000000000017</v>
      </c>
      <c r="N321" s="6">
        <v>-3.9</v>
      </c>
      <c r="O321" s="5">
        <f t="shared" si="33"/>
        <v>12.600000000000056</v>
      </c>
      <c r="P321" s="5">
        <v>277</v>
      </c>
      <c r="Q321" s="13">
        <f t="shared" si="32"/>
        <v>0.92142857142857137</v>
      </c>
      <c r="R321" s="8">
        <f t="shared" si="29"/>
        <v>3.5935714285714284</v>
      </c>
      <c r="S321" s="8">
        <f t="shared" si="30"/>
        <v>-3.5935714285714284</v>
      </c>
      <c r="T321" s="8">
        <v>0</v>
      </c>
      <c r="V321" s="5">
        <v>1690.5</v>
      </c>
      <c r="W321" s="5">
        <v>98.859649122807014</v>
      </c>
      <c r="X321" s="5">
        <v>226896.00000000012</v>
      </c>
      <c r="Y321" s="5">
        <f t="shared" si="35"/>
        <v>33049.599999999999</v>
      </c>
      <c r="AA321" s="5">
        <v>16.423774149057699</v>
      </c>
    </row>
    <row r="322" spans="1:27" s="5" customFormat="1" x14ac:dyDescent="0.25">
      <c r="A322" s="79"/>
      <c r="B322" s="10"/>
      <c r="C322" s="4">
        <v>42169</v>
      </c>
      <c r="D322" s="5">
        <v>17.100000000000001</v>
      </c>
      <c r="E322" s="5">
        <v>11.8</v>
      </c>
      <c r="F322" s="5">
        <v>21.3</v>
      </c>
      <c r="G322" s="5">
        <v>2582.9999999999982</v>
      </c>
      <c r="H322" s="5">
        <f t="shared" si="34"/>
        <v>268.5</v>
      </c>
      <c r="J322" s="5">
        <v>0</v>
      </c>
      <c r="K322" s="5">
        <v>514.70000000000005</v>
      </c>
      <c r="L322" s="5">
        <v>4.3</v>
      </c>
      <c r="M322" s="5">
        <v>460.80000000000018</v>
      </c>
      <c r="N322" s="6">
        <v>-4.3</v>
      </c>
      <c r="O322" s="5">
        <f t="shared" si="33"/>
        <v>8.3000000000000576</v>
      </c>
      <c r="P322" s="5">
        <v>278</v>
      </c>
      <c r="Q322" s="13">
        <f t="shared" si="32"/>
        <v>0.90714285714285703</v>
      </c>
      <c r="R322" s="8">
        <f t="shared" si="29"/>
        <v>3.9007142857142849</v>
      </c>
      <c r="S322" s="8">
        <f t="shared" si="30"/>
        <v>-3.9007142857142849</v>
      </c>
      <c r="T322" s="8">
        <v>0</v>
      </c>
      <c r="V322" s="5">
        <v>2440.5</v>
      </c>
      <c r="W322" s="5">
        <v>142.71929824561403</v>
      </c>
      <c r="X322" s="5">
        <v>229336.50000000012</v>
      </c>
      <c r="Y322" s="5">
        <f t="shared" si="35"/>
        <v>35490.1</v>
      </c>
      <c r="AA322" s="5">
        <v>16.437311445572501</v>
      </c>
    </row>
    <row r="323" spans="1:27" s="5" customFormat="1" x14ac:dyDescent="0.25">
      <c r="A323" s="79"/>
      <c r="B323" s="10"/>
      <c r="C323" s="4">
        <v>42170</v>
      </c>
      <c r="D323" s="5">
        <v>16</v>
      </c>
      <c r="E323" s="5">
        <v>14.8</v>
      </c>
      <c r="F323" s="5">
        <v>18.899999999999999</v>
      </c>
      <c r="G323" s="5">
        <v>2598.9999999999982</v>
      </c>
      <c r="H323" s="5">
        <f t="shared" si="34"/>
        <v>284.5</v>
      </c>
      <c r="J323" s="5">
        <v>0</v>
      </c>
      <c r="K323" s="5">
        <v>514.70000000000005</v>
      </c>
      <c r="L323" s="5">
        <v>3.8</v>
      </c>
      <c r="M323" s="5">
        <v>464.60000000000019</v>
      </c>
      <c r="N323" s="6">
        <v>-3.8</v>
      </c>
      <c r="O323" s="5">
        <f t="shared" si="33"/>
        <v>4.5000000000000577</v>
      </c>
      <c r="P323" s="5">
        <v>279</v>
      </c>
      <c r="Q323" s="13">
        <f t="shared" si="32"/>
        <v>0.89285714285714279</v>
      </c>
      <c r="R323" s="8">
        <f t="shared" si="29"/>
        <v>3.3928571428571423</v>
      </c>
      <c r="S323" s="8">
        <f t="shared" si="30"/>
        <v>-3.3928571428571423</v>
      </c>
      <c r="T323" s="8">
        <v>0</v>
      </c>
      <c r="V323" s="5">
        <v>1829.6</v>
      </c>
      <c r="W323" s="5">
        <v>114.35</v>
      </c>
      <c r="X323" s="5">
        <v>231166.10000000012</v>
      </c>
      <c r="Y323" s="5">
        <f t="shared" si="35"/>
        <v>37319.699999999997</v>
      </c>
      <c r="AA323" s="5">
        <v>16.449289676818601</v>
      </c>
    </row>
    <row r="324" spans="1:27" s="5" customFormat="1" x14ac:dyDescent="0.25">
      <c r="A324" s="79"/>
      <c r="B324" s="10"/>
      <c r="C324" s="4">
        <v>42171</v>
      </c>
      <c r="D324" s="5">
        <v>15</v>
      </c>
      <c r="E324" s="5">
        <v>10.7</v>
      </c>
      <c r="F324" s="5">
        <v>18.7</v>
      </c>
      <c r="G324" s="5">
        <v>2613.9999999999982</v>
      </c>
      <c r="H324" s="5">
        <f t="shared" si="34"/>
        <v>299.5</v>
      </c>
      <c r="J324" s="5">
        <v>0</v>
      </c>
      <c r="K324" s="5">
        <v>514.70000000000005</v>
      </c>
      <c r="L324" s="5">
        <v>3.6</v>
      </c>
      <c r="M324" s="5">
        <v>468.20000000000022</v>
      </c>
      <c r="N324" s="6">
        <v>-3.6</v>
      </c>
      <c r="O324" s="5">
        <f t="shared" si="33"/>
        <v>0.90000000000005764</v>
      </c>
      <c r="P324" s="5">
        <v>280</v>
      </c>
      <c r="Q324" s="13">
        <f t="shared" si="32"/>
        <v>0.87857142857142856</v>
      </c>
      <c r="R324" s="8">
        <f t="shared" si="29"/>
        <v>3.1628571428571428</v>
      </c>
      <c r="S324" s="8">
        <f t="shared" si="30"/>
        <v>-3.1628571428571428</v>
      </c>
      <c r="T324" s="8">
        <v>0</v>
      </c>
      <c r="V324" s="5">
        <v>1735.7</v>
      </c>
      <c r="W324" s="5">
        <v>115.71333333333334</v>
      </c>
      <c r="X324" s="5">
        <v>232901.80000000013</v>
      </c>
      <c r="Y324" s="5">
        <f t="shared" si="35"/>
        <v>39055.399999999994</v>
      </c>
      <c r="AA324" s="5">
        <v>16.4596961766044</v>
      </c>
    </row>
    <row r="325" spans="1:27" s="44" customFormat="1" ht="15.75" thickBot="1" x14ac:dyDescent="0.3">
      <c r="A325" s="79"/>
      <c r="B325" s="50">
        <v>600</v>
      </c>
      <c r="C325" s="51">
        <v>42172</v>
      </c>
      <c r="D325" s="44">
        <v>17.399999999999999</v>
      </c>
      <c r="E325" s="44">
        <v>11.3</v>
      </c>
      <c r="F325" s="44">
        <v>22.6</v>
      </c>
      <c r="G325" s="44">
        <v>2631.3999999999983</v>
      </c>
      <c r="H325" s="44">
        <f t="shared" si="34"/>
        <v>316.89999999999998</v>
      </c>
      <c r="J325" s="44">
        <v>3.5</v>
      </c>
      <c r="K325" s="44">
        <v>518.20000000000005</v>
      </c>
      <c r="L325" s="44">
        <v>3.1</v>
      </c>
      <c r="M325" s="44">
        <v>471.30000000000024</v>
      </c>
      <c r="N325" s="44">
        <v>0.39999999999999991</v>
      </c>
      <c r="O325" s="44">
        <f t="shared" si="33"/>
        <v>1.3000000000000576</v>
      </c>
      <c r="P325" s="44">
        <v>281</v>
      </c>
      <c r="Q325" s="53">
        <f t="shared" si="32"/>
        <v>0.86428571428571421</v>
      </c>
      <c r="R325" s="46">
        <f t="shared" si="29"/>
        <v>2.6792857142857143</v>
      </c>
      <c r="S325" s="46">
        <f t="shared" si="30"/>
        <v>0.82071428571428573</v>
      </c>
      <c r="T325" s="47">
        <f t="shared" si="31"/>
        <v>0.82071428571428573</v>
      </c>
      <c r="V325" s="44">
        <v>1537.2</v>
      </c>
      <c r="W325" s="44">
        <v>88.344827586206904</v>
      </c>
      <c r="X325" s="44">
        <v>234439.00000000015</v>
      </c>
      <c r="Y325" s="45">
        <f t="shared" si="35"/>
        <v>40592.599999999991</v>
      </c>
      <c r="AA325" s="45">
        <v>16.468519939705399</v>
      </c>
    </row>
    <row r="326" spans="1:27" s="5" customFormat="1" x14ac:dyDescent="0.25">
      <c r="A326" s="70">
        <v>1000</v>
      </c>
      <c r="B326" s="10"/>
      <c r="C326" s="4">
        <v>42173</v>
      </c>
      <c r="D326" s="5">
        <v>15.7</v>
      </c>
      <c r="E326" s="5">
        <v>15.2</v>
      </c>
      <c r="F326" s="5">
        <v>18.600000000000001</v>
      </c>
      <c r="G326" s="5">
        <v>2647.0999999999981</v>
      </c>
      <c r="H326" s="5">
        <v>15.7</v>
      </c>
      <c r="I326" s="37" t="s">
        <v>2</v>
      </c>
      <c r="J326" s="5">
        <v>0</v>
      </c>
      <c r="K326" s="5">
        <v>518.20000000000005</v>
      </c>
      <c r="L326" s="5">
        <v>3.2</v>
      </c>
      <c r="M326" s="5">
        <v>474.50000000000023</v>
      </c>
      <c r="N326" s="6">
        <v>-3.2</v>
      </c>
      <c r="O326" s="5">
        <v>0</v>
      </c>
      <c r="P326" s="5">
        <v>282</v>
      </c>
      <c r="Q326" s="13">
        <f t="shared" si="32"/>
        <v>0.84999999999999987</v>
      </c>
      <c r="R326" s="8">
        <f t="shared" si="29"/>
        <v>2.7199999999999998</v>
      </c>
      <c r="S326" s="8">
        <f t="shared" si="30"/>
        <v>-2.7199999999999998</v>
      </c>
      <c r="T326" s="8">
        <v>0</v>
      </c>
      <c r="U326" s="37" t="s">
        <v>3</v>
      </c>
      <c r="V326" s="5">
        <v>1317.1</v>
      </c>
      <c r="W326" s="5">
        <v>83.891719745222929</v>
      </c>
      <c r="X326" s="5">
        <v>235756.10000000015</v>
      </c>
      <c r="Y326" s="5">
        <v>1317.1</v>
      </c>
      <c r="Z326" s="37" t="s">
        <v>4</v>
      </c>
      <c r="AA326" s="5">
        <v>16.475751667970201</v>
      </c>
    </row>
    <row r="327" spans="1:27" s="5" customFormat="1" x14ac:dyDescent="0.25">
      <c r="A327" s="70"/>
      <c r="B327" s="10"/>
      <c r="C327" s="4">
        <v>42174</v>
      </c>
      <c r="D327" s="5">
        <v>15</v>
      </c>
      <c r="E327" s="5">
        <v>10.8</v>
      </c>
      <c r="F327" s="5">
        <v>16.600000000000001</v>
      </c>
      <c r="G327" s="5">
        <v>2662.0999999999981</v>
      </c>
      <c r="H327" s="5">
        <f t="shared" si="34"/>
        <v>30.7</v>
      </c>
      <c r="I327" s="5">
        <f>MIN(E326:E346)</f>
        <v>9.6</v>
      </c>
      <c r="J327" s="5">
        <v>0</v>
      </c>
      <c r="K327" s="5">
        <v>518.20000000000005</v>
      </c>
      <c r="L327" s="5">
        <v>1.7</v>
      </c>
      <c r="M327" s="5">
        <v>476.20000000000022</v>
      </c>
      <c r="N327" s="6">
        <v>-1.7</v>
      </c>
      <c r="O327" s="5">
        <v>0</v>
      </c>
      <c r="P327" s="5">
        <v>283</v>
      </c>
      <c r="Q327" s="13">
        <f t="shared" si="32"/>
        <v>0.83571428571428563</v>
      </c>
      <c r="R327" s="8">
        <f t="shared" si="29"/>
        <v>1.4207142857142856</v>
      </c>
      <c r="S327" s="8">
        <f t="shared" si="30"/>
        <v>-1.4207142857142856</v>
      </c>
      <c r="T327" s="8">
        <v>0</v>
      </c>
      <c r="U327" s="5">
        <v>17</v>
      </c>
      <c r="V327" s="5">
        <v>917.8</v>
      </c>
      <c r="W327" s="5">
        <v>61.18666666666666</v>
      </c>
      <c r="X327" s="5">
        <v>236673.90000000014</v>
      </c>
      <c r="Y327" s="5">
        <f t="shared" si="35"/>
        <v>2234.8999999999996</v>
      </c>
      <c r="Z327" s="5">
        <v>39704.199999999997</v>
      </c>
      <c r="AA327" s="5">
        <v>16.4813838096435</v>
      </c>
    </row>
    <row r="328" spans="1:27" s="5" customFormat="1" x14ac:dyDescent="0.25">
      <c r="A328" s="70"/>
      <c r="B328" s="10"/>
      <c r="C328" s="4">
        <v>42175</v>
      </c>
      <c r="D328" s="5">
        <v>15.8</v>
      </c>
      <c r="E328" s="5">
        <v>13.4</v>
      </c>
      <c r="F328" s="5">
        <v>19.399999999999999</v>
      </c>
      <c r="G328" s="5">
        <v>2677.8999999999983</v>
      </c>
      <c r="H328" s="5">
        <f t="shared" si="34"/>
        <v>46.5</v>
      </c>
      <c r="I328" s="37" t="s">
        <v>5</v>
      </c>
      <c r="J328" s="5">
        <v>8.1999999999999993</v>
      </c>
      <c r="K328" s="5">
        <v>526.40000000000009</v>
      </c>
      <c r="L328" s="5">
        <v>3.2</v>
      </c>
      <c r="M328" s="5">
        <v>479.4000000000002</v>
      </c>
      <c r="N328" s="5">
        <v>4.9999999999999991</v>
      </c>
      <c r="O328" s="5">
        <f t="shared" ref="O328:O335" si="36">O327+N328</f>
        <v>4.9999999999999991</v>
      </c>
      <c r="P328" s="5">
        <v>284</v>
      </c>
      <c r="Q328" s="13">
        <f t="shared" si="32"/>
        <v>0.8214285714285714</v>
      </c>
      <c r="R328" s="8">
        <f t="shared" si="29"/>
        <v>2.6285714285714286</v>
      </c>
      <c r="S328" s="8">
        <f t="shared" si="30"/>
        <v>5.5714285714285712</v>
      </c>
      <c r="T328" s="8">
        <f t="shared" si="31"/>
        <v>5.5714285714285712</v>
      </c>
      <c r="U328" s="37" t="s">
        <v>6</v>
      </c>
      <c r="V328" s="5">
        <v>1642.8</v>
      </c>
      <c r="W328" s="5">
        <v>103.97468354430379</v>
      </c>
      <c r="X328" s="5">
        <v>238316.70000000013</v>
      </c>
      <c r="Y328" s="5">
        <f t="shared" si="35"/>
        <v>3877.7</v>
      </c>
      <c r="Z328" s="37" t="s">
        <v>7</v>
      </c>
      <c r="AA328" s="5">
        <v>16.485410591554601</v>
      </c>
    </row>
    <row r="329" spans="1:27" s="5" customFormat="1" x14ac:dyDescent="0.25">
      <c r="A329" s="70"/>
      <c r="B329" s="10"/>
      <c r="C329" s="4">
        <v>42176</v>
      </c>
      <c r="D329" s="5">
        <v>16.3</v>
      </c>
      <c r="E329" s="5">
        <v>14.3</v>
      </c>
      <c r="F329" s="5">
        <v>18.2</v>
      </c>
      <c r="G329" s="5">
        <v>2694.1999999999985</v>
      </c>
      <c r="H329" s="5">
        <f t="shared" si="34"/>
        <v>62.8</v>
      </c>
      <c r="I329" s="5">
        <f>MAX(F326:F346)</f>
        <v>33.6</v>
      </c>
      <c r="J329" s="5">
        <v>3.1</v>
      </c>
      <c r="K329" s="5">
        <v>529.50000000000011</v>
      </c>
      <c r="L329" s="5">
        <v>2.5</v>
      </c>
      <c r="M329" s="5">
        <v>481.9000000000002</v>
      </c>
      <c r="N329" s="5">
        <v>0.60000000000000009</v>
      </c>
      <c r="O329" s="5">
        <f t="shared" si="36"/>
        <v>5.6</v>
      </c>
      <c r="P329" s="5">
        <v>285</v>
      </c>
      <c r="Q329" s="13">
        <f t="shared" si="32"/>
        <v>0.80714285714285716</v>
      </c>
      <c r="R329" s="8">
        <f t="shared" si="29"/>
        <v>2.0178571428571428</v>
      </c>
      <c r="S329" s="8">
        <f t="shared" si="30"/>
        <v>1.0821428571428573</v>
      </c>
      <c r="T329" s="8">
        <f t="shared" si="31"/>
        <v>6.6535714285714285</v>
      </c>
      <c r="U329" s="5">
        <v>9</v>
      </c>
      <c r="V329" s="5">
        <v>1304</v>
      </c>
      <c r="W329" s="5">
        <v>80</v>
      </c>
      <c r="X329" s="5">
        <v>239620.70000000013</v>
      </c>
      <c r="Y329" s="5">
        <f t="shared" si="35"/>
        <v>5181.7</v>
      </c>
      <c r="Z329" s="13">
        <f>(Z327/100)/I339</f>
        <v>0.98766666666666658</v>
      </c>
      <c r="AA329" s="5">
        <v>16.4878280438807</v>
      </c>
    </row>
    <row r="330" spans="1:27" s="5" customFormat="1" x14ac:dyDescent="0.25">
      <c r="A330" s="70"/>
      <c r="B330" s="10"/>
      <c r="C330" s="4">
        <v>42177</v>
      </c>
      <c r="D330" s="5">
        <v>12.7</v>
      </c>
      <c r="E330" s="5">
        <v>11.8</v>
      </c>
      <c r="F330" s="5">
        <v>14.4</v>
      </c>
      <c r="G330" s="5">
        <v>2706.8999999999983</v>
      </c>
      <c r="H330" s="5">
        <f t="shared" si="34"/>
        <v>75.5</v>
      </c>
      <c r="I330" s="37" t="s">
        <v>8</v>
      </c>
      <c r="J330" s="5">
        <v>16.100000000000001</v>
      </c>
      <c r="K330" s="5">
        <v>545.60000000000014</v>
      </c>
      <c r="L330" s="5">
        <v>1.4</v>
      </c>
      <c r="M330" s="5">
        <v>483.30000000000018</v>
      </c>
      <c r="N330" s="5">
        <v>14.700000000000001</v>
      </c>
      <c r="O330" s="5">
        <f t="shared" si="36"/>
        <v>20.3</v>
      </c>
      <c r="P330" s="5">
        <v>286</v>
      </c>
      <c r="Q330" s="13">
        <f t="shared" si="32"/>
        <v>0.7928571428571427</v>
      </c>
      <c r="R330" s="8">
        <f t="shared" si="29"/>
        <v>1.1099999999999997</v>
      </c>
      <c r="S330" s="8">
        <f t="shared" si="30"/>
        <v>14.990000000000002</v>
      </c>
      <c r="T330" s="8">
        <f t="shared" si="31"/>
        <v>21.64357142857143</v>
      </c>
      <c r="U330" s="37" t="s">
        <v>9</v>
      </c>
      <c r="V330" s="12">
        <v>577.4</v>
      </c>
      <c r="W330" s="5">
        <v>45.464566929133859</v>
      </c>
      <c r="X330" s="5">
        <v>240198.10000000012</v>
      </c>
      <c r="Y330" s="5">
        <f t="shared" si="35"/>
        <v>5759.0999999999995</v>
      </c>
      <c r="Z330" s="37" t="s">
        <v>10</v>
      </c>
      <c r="AA330" s="5">
        <v>16.488634017258001</v>
      </c>
    </row>
    <row r="331" spans="1:27" s="5" customFormat="1" x14ac:dyDescent="0.25">
      <c r="A331" s="70"/>
      <c r="B331" s="10"/>
      <c r="C331" s="4">
        <v>42178</v>
      </c>
      <c r="D331" s="5">
        <v>13.1</v>
      </c>
      <c r="E331" s="5">
        <v>11.7</v>
      </c>
      <c r="F331" s="5">
        <v>16.5</v>
      </c>
      <c r="G331" s="5">
        <v>2719.9999999999982</v>
      </c>
      <c r="H331" s="5">
        <f t="shared" si="34"/>
        <v>88.6</v>
      </c>
      <c r="I331" s="8">
        <f>AVERAGE(D326:D346)</f>
        <v>19.142857142857139</v>
      </c>
      <c r="J331" s="5">
        <v>0.5</v>
      </c>
      <c r="K331" s="5">
        <v>546.10000000000014</v>
      </c>
      <c r="L331" s="5">
        <v>2.6</v>
      </c>
      <c r="M331" s="5">
        <v>485.9000000000002</v>
      </c>
      <c r="N331" s="6">
        <v>-2.1</v>
      </c>
      <c r="O331" s="5">
        <f t="shared" si="36"/>
        <v>18.2</v>
      </c>
      <c r="P331" s="5">
        <v>287</v>
      </c>
      <c r="Q331" s="13">
        <f t="shared" si="32"/>
        <v>0.77857142857142847</v>
      </c>
      <c r="R331" s="8">
        <f t="shared" si="29"/>
        <v>2.024285714285714</v>
      </c>
      <c r="S331" s="8">
        <f t="shared" si="30"/>
        <v>-1.524285714285714</v>
      </c>
      <c r="T331" s="8">
        <f t="shared" si="31"/>
        <v>20.119285714285716</v>
      </c>
      <c r="U331" s="5">
        <v>12</v>
      </c>
      <c r="V331" s="5">
        <v>1511.7</v>
      </c>
      <c r="W331" s="5">
        <v>115.3969465648855</v>
      </c>
      <c r="X331" s="5">
        <v>241709.80000000013</v>
      </c>
      <c r="Y331" s="5">
        <f t="shared" si="35"/>
        <v>7270.7999999999993</v>
      </c>
      <c r="Z331" s="5">
        <v>2</v>
      </c>
      <c r="AA331" s="5">
        <v>16.4878281920837</v>
      </c>
    </row>
    <row r="332" spans="1:27" s="5" customFormat="1" x14ac:dyDescent="0.25">
      <c r="A332" s="70"/>
      <c r="B332" s="10"/>
      <c r="C332" s="4">
        <v>42179</v>
      </c>
      <c r="D332" s="5">
        <v>16.3</v>
      </c>
      <c r="E332" s="5">
        <v>9.6</v>
      </c>
      <c r="F332" s="5">
        <v>20.7</v>
      </c>
      <c r="G332" s="5">
        <v>2736.2999999999984</v>
      </c>
      <c r="H332" s="5">
        <f t="shared" si="34"/>
        <v>104.89999999999999</v>
      </c>
      <c r="I332" s="37" t="s">
        <v>11</v>
      </c>
      <c r="J332" s="5">
        <v>0</v>
      </c>
      <c r="K332" s="5">
        <v>546.10000000000014</v>
      </c>
      <c r="L332" s="5">
        <v>2.8</v>
      </c>
      <c r="M332" s="5">
        <v>488.70000000000022</v>
      </c>
      <c r="N332" s="6">
        <v>-2.8</v>
      </c>
      <c r="O332" s="5">
        <f t="shared" si="36"/>
        <v>15.399999999999999</v>
      </c>
      <c r="P332" s="5">
        <v>288</v>
      </c>
      <c r="Q332" s="13">
        <f t="shared" si="32"/>
        <v>0.76428571428571423</v>
      </c>
      <c r="R332" s="8">
        <f t="shared" si="29"/>
        <v>2.1399999999999997</v>
      </c>
      <c r="S332" s="8">
        <f t="shared" si="30"/>
        <v>-2.1399999999999997</v>
      </c>
      <c r="T332" s="8">
        <f t="shared" si="31"/>
        <v>17.979285714285716</v>
      </c>
      <c r="U332" s="37" t="s">
        <v>12</v>
      </c>
      <c r="V332" s="5">
        <v>1722.8</v>
      </c>
      <c r="W332" s="5">
        <v>105.69325153374233</v>
      </c>
      <c r="X332" s="5">
        <v>243432.60000000012</v>
      </c>
      <c r="Y332" s="5">
        <f t="shared" si="35"/>
        <v>8993.5999999999985</v>
      </c>
      <c r="AA332" s="5">
        <v>16.4854120799234</v>
      </c>
    </row>
    <row r="333" spans="1:27" s="5" customFormat="1" x14ac:dyDescent="0.25">
      <c r="A333" s="70"/>
      <c r="B333" s="10"/>
      <c r="C333" s="4">
        <v>42180</v>
      </c>
      <c r="D333" s="5">
        <v>20.399999999999999</v>
      </c>
      <c r="E333" s="5">
        <v>15.3</v>
      </c>
      <c r="F333" s="5">
        <v>24.5</v>
      </c>
      <c r="G333" s="5">
        <v>2756.6999999999985</v>
      </c>
      <c r="H333" s="5">
        <f t="shared" si="34"/>
        <v>125.29999999999998</v>
      </c>
      <c r="I333" s="5">
        <v>0</v>
      </c>
      <c r="J333" s="5">
        <v>0</v>
      </c>
      <c r="K333" s="5">
        <v>546.10000000000014</v>
      </c>
      <c r="L333" s="5">
        <v>4.5</v>
      </c>
      <c r="M333" s="5">
        <v>493.20000000000022</v>
      </c>
      <c r="N333" s="6">
        <v>-4.5</v>
      </c>
      <c r="O333" s="5">
        <f t="shared" si="36"/>
        <v>10.899999999999999</v>
      </c>
      <c r="P333" s="5">
        <v>289</v>
      </c>
      <c r="Q333" s="13">
        <f t="shared" si="32"/>
        <v>0.75</v>
      </c>
      <c r="R333" s="8">
        <f t="shared" si="29"/>
        <v>3.375</v>
      </c>
      <c r="S333" s="8">
        <f t="shared" si="30"/>
        <v>-3.375</v>
      </c>
      <c r="T333" s="8">
        <f t="shared" si="31"/>
        <v>14.604285714285716</v>
      </c>
      <c r="U333" s="5">
        <v>0</v>
      </c>
      <c r="V333" s="5">
        <v>2366.4</v>
      </c>
      <c r="W333" s="5">
        <v>116.00000000000001</v>
      </c>
      <c r="X333" s="5">
        <v>245799.00000000012</v>
      </c>
      <c r="Y333" s="5">
        <f t="shared" si="35"/>
        <v>11359.999999999998</v>
      </c>
      <c r="AA333" s="5">
        <v>16.481389017008599</v>
      </c>
    </row>
    <row r="334" spans="1:27" s="5" customFormat="1" x14ac:dyDescent="0.25">
      <c r="A334" s="70"/>
      <c r="B334" s="10"/>
      <c r="C334" s="4">
        <v>42181</v>
      </c>
      <c r="D334" s="5">
        <v>21.5</v>
      </c>
      <c r="E334" s="5">
        <v>16.8</v>
      </c>
      <c r="F334" s="14">
        <v>27</v>
      </c>
      <c r="G334" s="5">
        <v>2778.1999999999985</v>
      </c>
      <c r="H334" s="5">
        <f t="shared" si="34"/>
        <v>146.79999999999998</v>
      </c>
      <c r="I334" s="37" t="s">
        <v>13</v>
      </c>
      <c r="J334" s="5">
        <v>0</v>
      </c>
      <c r="K334" s="5">
        <v>546.10000000000014</v>
      </c>
      <c r="L334" s="5">
        <v>4.9000000000000004</v>
      </c>
      <c r="M334" s="5">
        <v>498.10000000000019</v>
      </c>
      <c r="N334" s="6">
        <v>-4.9000000000000004</v>
      </c>
      <c r="O334" s="5">
        <f t="shared" si="36"/>
        <v>5.9999999999999982</v>
      </c>
      <c r="P334" s="5">
        <v>290</v>
      </c>
      <c r="Q334" s="13">
        <f t="shared" si="32"/>
        <v>0.73571428571428554</v>
      </c>
      <c r="R334" s="8">
        <f t="shared" si="29"/>
        <v>3.6049999999999995</v>
      </c>
      <c r="S334" s="8">
        <f t="shared" si="30"/>
        <v>-3.6049999999999995</v>
      </c>
      <c r="T334" s="8">
        <f t="shared" si="31"/>
        <v>10.999285714285715</v>
      </c>
      <c r="U334" s="37" t="s">
        <v>14</v>
      </c>
      <c r="V334" s="5">
        <v>2159.1</v>
      </c>
      <c r="W334" s="5">
        <v>100.42325581395349</v>
      </c>
      <c r="X334" s="5">
        <v>247958.10000000012</v>
      </c>
      <c r="Y334" s="5">
        <f t="shared" si="35"/>
        <v>13519.099999999999</v>
      </c>
      <c r="AA334" s="5">
        <v>16.475764149885499</v>
      </c>
    </row>
    <row r="335" spans="1:27" s="5" customFormat="1" x14ac:dyDescent="0.25">
      <c r="A335" s="70"/>
      <c r="B335" s="10"/>
      <c r="C335" s="4">
        <v>42182</v>
      </c>
      <c r="D335" s="5">
        <v>18.8</v>
      </c>
      <c r="E335" s="5">
        <v>16.600000000000001</v>
      </c>
      <c r="F335" s="5">
        <v>21.9</v>
      </c>
      <c r="G335" s="5">
        <v>2796.9999999999986</v>
      </c>
      <c r="H335" s="5">
        <f t="shared" si="34"/>
        <v>165.6</v>
      </c>
      <c r="I335" s="5">
        <v>7</v>
      </c>
      <c r="J335" s="5">
        <v>0</v>
      </c>
      <c r="K335" s="5">
        <v>546.10000000000014</v>
      </c>
      <c r="L335" s="5">
        <v>4.8</v>
      </c>
      <c r="M335" s="5">
        <v>502.9000000000002</v>
      </c>
      <c r="N335" s="6">
        <v>-4.8</v>
      </c>
      <c r="O335" s="5">
        <f t="shared" si="36"/>
        <v>1.1999999999999984</v>
      </c>
      <c r="P335" s="5">
        <v>291</v>
      </c>
      <c r="Q335" s="13">
        <f t="shared" si="32"/>
        <v>0.72142857142857131</v>
      </c>
      <c r="R335" s="8">
        <f t="shared" si="29"/>
        <v>3.4628571428571422</v>
      </c>
      <c r="S335" s="8">
        <f t="shared" si="30"/>
        <v>-3.4628571428571422</v>
      </c>
      <c r="T335" s="8">
        <f t="shared" si="31"/>
        <v>7.5364285714285728</v>
      </c>
      <c r="U335" s="8">
        <f>MAX(T326:T346)</f>
        <v>21.64357142857143</v>
      </c>
      <c r="V335" s="5">
        <v>2214.4</v>
      </c>
      <c r="W335" s="5">
        <v>117.78723404255319</v>
      </c>
      <c r="X335" s="5">
        <v>250172.50000000012</v>
      </c>
      <c r="Y335" s="5">
        <f t="shared" si="35"/>
        <v>15733.499999999998</v>
      </c>
      <c r="AA335" s="5">
        <v>16.468544413345001</v>
      </c>
    </row>
    <row r="336" spans="1:27" s="5" customFormat="1" x14ac:dyDescent="0.25">
      <c r="A336" s="70"/>
      <c r="B336" s="10"/>
      <c r="C336" s="4">
        <v>42183</v>
      </c>
      <c r="D336" s="5">
        <v>19.899999999999999</v>
      </c>
      <c r="E336" s="5">
        <v>13.8</v>
      </c>
      <c r="F336" s="5">
        <v>24.7</v>
      </c>
      <c r="G336" s="5">
        <v>2816.8999999999987</v>
      </c>
      <c r="H336" s="5">
        <f t="shared" si="34"/>
        <v>185.5</v>
      </c>
      <c r="I336" s="37" t="s">
        <v>15</v>
      </c>
      <c r="J336" s="5">
        <v>0</v>
      </c>
      <c r="K336" s="5">
        <v>546.10000000000014</v>
      </c>
      <c r="L336" s="5">
        <v>3.4</v>
      </c>
      <c r="M336" s="5">
        <v>506.30000000000018</v>
      </c>
      <c r="N336" s="6">
        <v>-3.4</v>
      </c>
      <c r="O336" s="5">
        <v>0</v>
      </c>
      <c r="P336" s="5">
        <v>292</v>
      </c>
      <c r="Q336" s="13">
        <f t="shared" si="32"/>
        <v>0.70714285714285707</v>
      </c>
      <c r="R336" s="8">
        <f t="shared" si="29"/>
        <v>2.4042857142857139</v>
      </c>
      <c r="S336" s="8">
        <f t="shared" si="30"/>
        <v>-2.4042857142857139</v>
      </c>
      <c r="T336" s="8">
        <f t="shared" si="31"/>
        <v>5.1321428571428589</v>
      </c>
      <c r="U336" s="37" t="s">
        <v>16</v>
      </c>
      <c r="V336" s="5">
        <v>1737.4</v>
      </c>
      <c r="W336" s="5">
        <v>87.306532663316588</v>
      </c>
      <c r="X336" s="5">
        <v>251909.90000000011</v>
      </c>
      <c r="Y336" s="5">
        <f t="shared" si="35"/>
        <v>17470.899999999998</v>
      </c>
      <c r="AA336" s="5">
        <v>16.459738500835499</v>
      </c>
    </row>
    <row r="337" spans="1:27" s="5" customFormat="1" x14ac:dyDescent="0.25">
      <c r="A337" s="70"/>
      <c r="B337" s="10"/>
      <c r="C337" s="4">
        <v>42184</v>
      </c>
      <c r="D337" s="5">
        <v>20.2</v>
      </c>
      <c r="E337" s="5">
        <v>16.5</v>
      </c>
      <c r="F337" s="5">
        <v>24</v>
      </c>
      <c r="G337" s="5">
        <v>2837.0999999999985</v>
      </c>
      <c r="H337" s="5">
        <f t="shared" si="34"/>
        <v>205.7</v>
      </c>
      <c r="I337" s="5">
        <v>0</v>
      </c>
      <c r="J337" s="5">
        <v>0</v>
      </c>
      <c r="K337" s="5">
        <v>546.10000000000014</v>
      </c>
      <c r="L337" s="5">
        <v>6.3</v>
      </c>
      <c r="M337" s="5">
        <v>512.60000000000014</v>
      </c>
      <c r="N337" s="6">
        <v>-6.3</v>
      </c>
      <c r="O337" s="5">
        <v>0</v>
      </c>
      <c r="P337" s="5">
        <v>293</v>
      </c>
      <c r="Q337" s="13">
        <f t="shared" si="32"/>
        <v>0.69285714285714284</v>
      </c>
      <c r="R337" s="8">
        <f t="shared" si="29"/>
        <v>4.3649999999999993</v>
      </c>
      <c r="S337" s="8">
        <f t="shared" si="30"/>
        <v>-4.3649999999999993</v>
      </c>
      <c r="T337" s="8">
        <f t="shared" si="31"/>
        <v>0.76714285714285957</v>
      </c>
      <c r="U337" s="13">
        <f>AVERAGE(T326:T346)</f>
        <v>5.5084693877551034</v>
      </c>
      <c r="V337" s="5">
        <v>3129.2</v>
      </c>
      <c r="W337" s="5">
        <v>154.9108910891089</v>
      </c>
      <c r="X337" s="5">
        <v>255039.10000000012</v>
      </c>
      <c r="Y337" s="5">
        <f t="shared" si="35"/>
        <v>20600.099999999999</v>
      </c>
      <c r="AA337" s="5">
        <v>16.449356827625301</v>
      </c>
    </row>
    <row r="338" spans="1:27" s="5" customFormat="1" x14ac:dyDescent="0.25">
      <c r="A338" s="70"/>
      <c r="B338" s="10"/>
      <c r="C338" s="4">
        <v>42185</v>
      </c>
      <c r="D338" s="5">
        <v>23.1</v>
      </c>
      <c r="E338" s="5">
        <v>16</v>
      </c>
      <c r="F338" s="14">
        <v>28.9</v>
      </c>
      <c r="G338" s="5">
        <v>2860.1999999999985</v>
      </c>
      <c r="H338" s="5">
        <f t="shared" si="34"/>
        <v>228.79999999999998</v>
      </c>
      <c r="I338" s="37" t="s">
        <v>17</v>
      </c>
      <c r="J338" s="5">
        <v>0</v>
      </c>
      <c r="K338" s="5">
        <v>546.10000000000014</v>
      </c>
      <c r="L338" s="5">
        <v>7.2</v>
      </c>
      <c r="M338" s="5">
        <v>519.80000000000018</v>
      </c>
      <c r="N338" s="6">
        <v>-7.2</v>
      </c>
      <c r="O338" s="5">
        <v>0</v>
      </c>
      <c r="P338" s="5">
        <v>294</v>
      </c>
      <c r="Q338" s="13">
        <f t="shared" si="32"/>
        <v>0.67857142857142849</v>
      </c>
      <c r="R338" s="8">
        <f t="shared" si="29"/>
        <v>4.8857142857142852</v>
      </c>
      <c r="S338" s="8">
        <f t="shared" si="30"/>
        <v>-4.8857142857142852</v>
      </c>
      <c r="T338" s="8">
        <v>0</v>
      </c>
      <c r="V338" s="5">
        <v>3208.9</v>
      </c>
      <c r="W338" s="5">
        <v>138.91341991341992</v>
      </c>
      <c r="X338" s="5">
        <v>258248.00000000012</v>
      </c>
      <c r="Y338" s="5">
        <f t="shared" si="35"/>
        <v>23809</v>
      </c>
      <c r="AA338" s="5">
        <v>16.4374114870458</v>
      </c>
    </row>
    <row r="339" spans="1:27" s="5" customFormat="1" x14ac:dyDescent="0.25">
      <c r="A339" s="70"/>
      <c r="B339" s="10"/>
      <c r="C339" s="4">
        <v>42186</v>
      </c>
      <c r="D339" s="5">
        <v>27.8</v>
      </c>
      <c r="E339" s="5">
        <v>21</v>
      </c>
      <c r="F339" s="14">
        <v>33.6</v>
      </c>
      <c r="G339" s="5">
        <v>2887.9999999999986</v>
      </c>
      <c r="H339" s="5">
        <f t="shared" si="34"/>
        <v>256.59999999999997</v>
      </c>
      <c r="I339" s="5">
        <v>402</v>
      </c>
      <c r="J339" s="5">
        <v>0</v>
      </c>
      <c r="K339" s="5">
        <v>546.10000000000014</v>
      </c>
      <c r="L339" s="5">
        <v>7.8</v>
      </c>
      <c r="M339" s="5">
        <v>527.60000000000014</v>
      </c>
      <c r="N339" s="6">
        <v>-7.8</v>
      </c>
      <c r="O339" s="5">
        <v>0</v>
      </c>
      <c r="P339" s="5">
        <v>295</v>
      </c>
      <c r="Q339" s="13">
        <f t="shared" si="32"/>
        <v>0.66428571428571426</v>
      </c>
      <c r="R339" s="8">
        <f t="shared" si="29"/>
        <v>5.1814285714285715</v>
      </c>
      <c r="S339" s="8">
        <f t="shared" si="30"/>
        <v>-5.1814285714285715</v>
      </c>
      <c r="T339" s="8">
        <v>0</v>
      </c>
      <c r="U339" s="8">
        <f>(U337*100)/153.6</f>
        <v>3.5862430909863958</v>
      </c>
      <c r="V339" s="5">
        <v>2829</v>
      </c>
      <c r="W339" s="5">
        <v>101.76258992805755</v>
      </c>
      <c r="X339" s="5">
        <v>261077.00000000012</v>
      </c>
      <c r="Y339" s="5">
        <f t="shared" si="35"/>
        <v>26638</v>
      </c>
      <c r="AA339" s="5">
        <v>16.4239162002015</v>
      </c>
    </row>
    <row r="340" spans="1:27" s="5" customFormat="1" x14ac:dyDescent="0.25">
      <c r="A340" s="70"/>
      <c r="B340" s="10"/>
      <c r="C340" s="4">
        <v>42187</v>
      </c>
      <c r="D340" s="5">
        <v>22.7</v>
      </c>
      <c r="E340" s="5">
        <v>21.9</v>
      </c>
      <c r="F340" s="14">
        <v>25.6</v>
      </c>
      <c r="G340" s="5">
        <v>2910.6999999999985</v>
      </c>
      <c r="H340" s="5">
        <f t="shared" si="34"/>
        <v>279.29999999999995</v>
      </c>
      <c r="J340" s="5">
        <v>2.7</v>
      </c>
      <c r="K340" s="5">
        <v>548.80000000000018</v>
      </c>
      <c r="L340" s="5">
        <v>5.2</v>
      </c>
      <c r="M340" s="5">
        <v>532.80000000000018</v>
      </c>
      <c r="N340" s="6">
        <v>-2.5</v>
      </c>
      <c r="O340" s="38">
        <v>0</v>
      </c>
      <c r="P340" s="5">
        <v>296</v>
      </c>
      <c r="Q340" s="13">
        <f t="shared" si="32"/>
        <v>0.64999999999999991</v>
      </c>
      <c r="R340" s="8">
        <f t="shared" si="29"/>
        <v>3.3799999999999994</v>
      </c>
      <c r="S340" s="8">
        <f t="shared" si="30"/>
        <v>-0.67999999999999927</v>
      </c>
      <c r="T340" s="8">
        <v>0</v>
      </c>
      <c r="V340" s="5">
        <v>2435.9</v>
      </c>
      <c r="W340" s="5">
        <v>107.30837004405286</v>
      </c>
      <c r="X340" s="5">
        <v>263512.90000000014</v>
      </c>
      <c r="Y340" s="5">
        <f t="shared" si="35"/>
        <v>29073.9</v>
      </c>
      <c r="AA340" s="5">
        <v>16.408886259585</v>
      </c>
    </row>
    <row r="341" spans="1:27" s="24" customFormat="1" x14ac:dyDescent="0.25">
      <c r="A341" s="70"/>
      <c r="B341" s="22"/>
      <c r="C341" s="23">
        <v>42188</v>
      </c>
      <c r="D341" s="24">
        <v>24.9</v>
      </c>
      <c r="E341" s="24">
        <v>18.2</v>
      </c>
      <c r="F341" s="36">
        <v>30.1</v>
      </c>
      <c r="G341" s="24">
        <v>2935.5999999999985</v>
      </c>
      <c r="H341" s="24">
        <f t="shared" si="34"/>
        <v>304.19999999999993</v>
      </c>
      <c r="J341" s="24">
        <v>0</v>
      </c>
      <c r="K341" s="24">
        <v>548.80000000000018</v>
      </c>
      <c r="L341" s="24">
        <v>6.3</v>
      </c>
      <c r="M341" s="24">
        <v>539.10000000000014</v>
      </c>
      <c r="N341" s="26">
        <v>-6.3</v>
      </c>
      <c r="O341" s="24">
        <v>0</v>
      </c>
      <c r="P341" s="24">
        <v>297</v>
      </c>
      <c r="Q341" s="13">
        <f t="shared" si="32"/>
        <v>0.63571428571428568</v>
      </c>
      <c r="R341" s="27">
        <f t="shared" si="29"/>
        <v>4.0049999999999999</v>
      </c>
      <c r="S341" s="27">
        <f t="shared" si="30"/>
        <v>-4.0049999999999999</v>
      </c>
      <c r="T341" s="8">
        <v>0</v>
      </c>
      <c r="V341" s="24">
        <v>2733.3</v>
      </c>
      <c r="W341" s="24">
        <v>109.77108433734941</v>
      </c>
      <c r="X341" s="24">
        <v>266246.20000000013</v>
      </c>
      <c r="Y341" s="5">
        <f t="shared" si="35"/>
        <v>31807.200000000001</v>
      </c>
      <c r="AA341" s="5">
        <v>16.392338467081402</v>
      </c>
    </row>
    <row r="342" spans="1:27" s="5" customFormat="1" ht="15" customHeight="1" x14ac:dyDescent="0.25">
      <c r="A342" s="70"/>
      <c r="B342" s="3"/>
      <c r="C342" s="4">
        <v>42189</v>
      </c>
      <c r="D342" s="5">
        <v>25.1</v>
      </c>
      <c r="E342" s="5">
        <v>24.6</v>
      </c>
      <c r="F342" s="14">
        <v>28.6</v>
      </c>
      <c r="G342" s="5">
        <v>2960.6999999999985</v>
      </c>
      <c r="H342" s="5">
        <f t="shared" si="34"/>
        <v>329.29999999999995</v>
      </c>
      <c r="J342" s="5">
        <v>0</v>
      </c>
      <c r="K342" s="5">
        <v>548.80000000000018</v>
      </c>
      <c r="L342" s="5">
        <v>5.6</v>
      </c>
      <c r="M342" s="5">
        <v>544.70000000000016</v>
      </c>
      <c r="N342" s="6">
        <v>-5.6</v>
      </c>
      <c r="O342" s="5">
        <v>0</v>
      </c>
      <c r="P342" s="5">
        <v>298</v>
      </c>
      <c r="Q342" s="13">
        <f t="shared" si="32"/>
        <v>0.62142857142857144</v>
      </c>
      <c r="R342" s="8">
        <f t="shared" si="29"/>
        <v>3.48</v>
      </c>
      <c r="S342" s="8">
        <f t="shared" si="30"/>
        <v>-3.48</v>
      </c>
      <c r="T342" s="8">
        <v>0</v>
      </c>
      <c r="V342" s="5">
        <v>2078.8000000000002</v>
      </c>
      <c r="W342" s="5">
        <v>82.820717131474112</v>
      </c>
      <c r="X342" s="5">
        <v>268325.00000000012</v>
      </c>
      <c r="Y342" s="5">
        <f t="shared" si="35"/>
        <v>33886</v>
      </c>
      <c r="AA342" s="5">
        <v>16.374291066880701</v>
      </c>
    </row>
    <row r="343" spans="1:27" s="5" customFormat="1" x14ac:dyDescent="0.25">
      <c r="A343" s="70"/>
      <c r="B343" s="3"/>
      <c r="C343" s="4">
        <v>42190</v>
      </c>
      <c r="D343" s="5">
        <v>18.5</v>
      </c>
      <c r="E343" s="5">
        <v>18.600000000000001</v>
      </c>
      <c r="F343" s="5">
        <v>19.899999999999999</v>
      </c>
      <c r="G343" s="5">
        <v>2979.1999999999985</v>
      </c>
      <c r="H343" s="5">
        <f t="shared" si="34"/>
        <v>347.79999999999995</v>
      </c>
      <c r="J343" s="5">
        <v>3.8</v>
      </c>
      <c r="K343" s="5">
        <v>552.60000000000014</v>
      </c>
      <c r="L343" s="5">
        <v>2.5</v>
      </c>
      <c r="M343" s="5">
        <v>547.20000000000016</v>
      </c>
      <c r="N343" s="5">
        <v>1.2999999999999998</v>
      </c>
      <c r="O343" s="5">
        <f>O342+N343</f>
        <v>1.2999999999999998</v>
      </c>
      <c r="P343" s="5">
        <v>299</v>
      </c>
      <c r="Q343" s="13">
        <f t="shared" si="32"/>
        <v>0.6071428571428571</v>
      </c>
      <c r="R343" s="8">
        <f t="shared" si="29"/>
        <v>1.5178571428571428</v>
      </c>
      <c r="S343" s="8">
        <f t="shared" si="30"/>
        <v>2.282142857142857</v>
      </c>
      <c r="T343" s="8">
        <f t="shared" si="31"/>
        <v>2.282142857142857</v>
      </c>
      <c r="V343" s="12">
        <v>873.7</v>
      </c>
      <c r="W343" s="5">
        <v>47.227027027027027</v>
      </c>
      <c r="X343" s="5">
        <v>269198.70000000013</v>
      </c>
      <c r="Y343" s="5">
        <f t="shared" si="35"/>
        <v>34759.699999999997</v>
      </c>
      <c r="AA343" s="5">
        <v>16.3547636738504</v>
      </c>
    </row>
    <row r="344" spans="1:27" s="5" customFormat="1" x14ac:dyDescent="0.25">
      <c r="A344" s="70"/>
      <c r="B344" s="3"/>
      <c r="C344" s="4">
        <v>42191</v>
      </c>
      <c r="D344" s="5">
        <v>20.100000000000001</v>
      </c>
      <c r="E344" s="5">
        <v>13.9</v>
      </c>
      <c r="F344" s="14">
        <v>26</v>
      </c>
      <c r="G344" s="5">
        <v>2999.2999999999984</v>
      </c>
      <c r="H344" s="5">
        <f t="shared" si="34"/>
        <v>367.9</v>
      </c>
      <c r="J344" s="5">
        <v>0</v>
      </c>
      <c r="K344" s="5">
        <v>552.60000000000014</v>
      </c>
      <c r="L344" s="5">
        <v>4.3</v>
      </c>
      <c r="M344" s="5">
        <v>551.50000000000011</v>
      </c>
      <c r="N344" s="6">
        <v>-4.3</v>
      </c>
      <c r="O344" s="5">
        <v>0</v>
      </c>
      <c r="P344" s="5">
        <v>300</v>
      </c>
      <c r="Q344" s="13">
        <f t="shared" si="32"/>
        <v>0.59285714285714286</v>
      </c>
      <c r="R344" s="8">
        <f t="shared" si="29"/>
        <v>2.5492857142857144</v>
      </c>
      <c r="S344" s="8">
        <f t="shared" si="30"/>
        <v>-2.5492857142857144</v>
      </c>
      <c r="T344" s="8">
        <v>0</v>
      </c>
      <c r="V344" s="5">
        <v>1789.3</v>
      </c>
      <c r="W344" s="5">
        <v>89.019900497512424</v>
      </c>
      <c r="X344" s="5">
        <v>270988.00000000012</v>
      </c>
      <c r="Y344" s="5">
        <f t="shared" si="35"/>
        <v>36549</v>
      </c>
      <c r="AA344" s="5">
        <v>16.333777197940002</v>
      </c>
    </row>
    <row r="345" spans="1:27" s="5" customFormat="1" x14ac:dyDescent="0.25">
      <c r="A345" s="70"/>
      <c r="B345" s="3"/>
      <c r="C345" s="4">
        <v>42192</v>
      </c>
      <c r="D345" s="5">
        <v>18.7</v>
      </c>
      <c r="E345" s="5">
        <v>17.100000000000001</v>
      </c>
      <c r="F345" s="5">
        <v>23</v>
      </c>
      <c r="G345" s="5">
        <v>3017.9999999999982</v>
      </c>
      <c r="H345" s="5">
        <f t="shared" si="34"/>
        <v>386.59999999999997</v>
      </c>
      <c r="J345" s="5">
        <v>0</v>
      </c>
      <c r="K345" s="5">
        <v>552.60000000000014</v>
      </c>
      <c r="L345" s="5">
        <v>4</v>
      </c>
      <c r="M345" s="5">
        <v>555.50000000000011</v>
      </c>
      <c r="N345" s="6">
        <v>-4</v>
      </c>
      <c r="O345" s="5">
        <v>0</v>
      </c>
      <c r="P345" s="5">
        <v>301</v>
      </c>
      <c r="Q345" s="13">
        <f t="shared" si="32"/>
        <v>0.57857142857142851</v>
      </c>
      <c r="R345" s="8">
        <f t="shared" si="29"/>
        <v>2.3142857142857141</v>
      </c>
      <c r="S345" s="8">
        <f t="shared" si="30"/>
        <v>-2.3142857142857141</v>
      </c>
      <c r="T345" s="8">
        <v>0</v>
      </c>
      <c r="V345" s="5">
        <v>1732.5</v>
      </c>
      <c r="W345" s="5">
        <v>92.64705882352942</v>
      </c>
      <c r="X345" s="5">
        <v>272720.50000000012</v>
      </c>
      <c r="Y345" s="5">
        <f t="shared" si="35"/>
        <v>38281.5</v>
      </c>
      <c r="AA345" s="5">
        <v>16.311353765206501</v>
      </c>
    </row>
    <row r="346" spans="1:27" s="44" customFormat="1" ht="15.75" thickBot="1" x14ac:dyDescent="0.3">
      <c r="A346" s="70"/>
      <c r="B346" s="56">
        <v>1000</v>
      </c>
      <c r="C346" s="51">
        <v>42193</v>
      </c>
      <c r="D346" s="44">
        <v>15.4</v>
      </c>
      <c r="E346" s="44">
        <v>13.8</v>
      </c>
      <c r="F346" s="44">
        <v>17.600000000000001</v>
      </c>
      <c r="G346" s="44">
        <v>3033.3999999999983</v>
      </c>
      <c r="H346" s="44">
        <f t="shared" si="34"/>
        <v>401.99999999999994</v>
      </c>
      <c r="J346" s="44">
        <v>3.8</v>
      </c>
      <c r="K346" s="44">
        <v>556.40000000000009</v>
      </c>
      <c r="L346" s="44">
        <v>2.5</v>
      </c>
      <c r="M346" s="44">
        <v>558.00000000000011</v>
      </c>
      <c r="N346" s="44">
        <v>1.2999999999999998</v>
      </c>
      <c r="O346" s="44">
        <f>O345+N346</f>
        <v>1.2999999999999998</v>
      </c>
      <c r="P346" s="44">
        <v>302</v>
      </c>
      <c r="Q346" s="53">
        <f t="shared" si="32"/>
        <v>0.56428571428571428</v>
      </c>
      <c r="R346" s="46">
        <f t="shared" si="29"/>
        <v>1.4107142857142856</v>
      </c>
      <c r="S346" s="46">
        <f t="shared" si="30"/>
        <v>2.3892857142857142</v>
      </c>
      <c r="T346" s="47">
        <f t="shared" si="31"/>
        <v>2.3892857142857142</v>
      </c>
      <c r="V346" s="44">
        <v>1422.7</v>
      </c>
      <c r="W346" s="44">
        <v>92.383116883116884</v>
      </c>
      <c r="X346" s="44">
        <v>274143.20000000013</v>
      </c>
      <c r="Y346" s="45">
        <f t="shared" si="35"/>
        <v>39704.199999999997</v>
      </c>
      <c r="AA346" s="45">
        <v>16.287516636055202</v>
      </c>
    </row>
    <row r="347" spans="1:27" s="5" customFormat="1" x14ac:dyDescent="0.25">
      <c r="A347" s="2"/>
      <c r="B347" s="3"/>
      <c r="C347" s="4">
        <v>42194</v>
      </c>
      <c r="D347" s="5">
        <v>15.9</v>
      </c>
      <c r="E347" s="5">
        <v>12.6</v>
      </c>
      <c r="F347" s="5">
        <v>18.7</v>
      </c>
      <c r="G347" s="5">
        <v>3049.2999999999984</v>
      </c>
      <c r="H347" s="5">
        <v>15.9</v>
      </c>
      <c r="J347" s="5">
        <v>0</v>
      </c>
      <c r="K347" s="5">
        <v>556.40000000000009</v>
      </c>
      <c r="L347" s="5">
        <v>4</v>
      </c>
      <c r="M347" s="5">
        <v>562.00000000000011</v>
      </c>
      <c r="N347" s="6">
        <v>-4</v>
      </c>
      <c r="O347" s="5">
        <v>0</v>
      </c>
      <c r="P347" s="5">
        <v>303</v>
      </c>
      <c r="Q347" s="13">
        <f t="shared" si="32"/>
        <v>0.54999999999999993</v>
      </c>
      <c r="R347" s="8">
        <f t="shared" si="29"/>
        <v>2.1999999999999997</v>
      </c>
      <c r="S347" s="8">
        <f t="shared" si="30"/>
        <v>-2.1999999999999997</v>
      </c>
      <c r="T347" s="8">
        <f t="shared" si="31"/>
        <v>0.1892857142857145</v>
      </c>
      <c r="V347" s="5">
        <v>2234.1999999999998</v>
      </c>
      <c r="W347" s="5">
        <v>140.51572327044025</v>
      </c>
      <c r="X347" s="5">
        <v>276377.40000000014</v>
      </c>
      <c r="Y347" s="5">
        <f t="shared" si="35"/>
        <v>41938.399999999994</v>
      </c>
      <c r="AA347" s="5">
        <v>16.2622901212915</v>
      </c>
    </row>
    <row r="348" spans="1:27" s="5" customFormat="1" x14ac:dyDescent="0.25">
      <c r="A348" s="2"/>
      <c r="B348" s="3"/>
      <c r="C348" s="4">
        <v>42195</v>
      </c>
      <c r="D348" s="5">
        <v>19.5</v>
      </c>
      <c r="E348" s="5">
        <v>11.1</v>
      </c>
      <c r="F348" s="14">
        <v>25.3</v>
      </c>
      <c r="G348" s="5">
        <v>3068.7999999999984</v>
      </c>
      <c r="H348" s="5">
        <f t="shared" si="34"/>
        <v>35.4</v>
      </c>
      <c r="J348" s="5">
        <v>0</v>
      </c>
      <c r="K348" s="5">
        <v>556.40000000000009</v>
      </c>
      <c r="L348" s="5">
        <v>5.9</v>
      </c>
      <c r="M348" s="5">
        <v>567.90000000000009</v>
      </c>
      <c r="N348" s="6">
        <v>-5.9</v>
      </c>
      <c r="O348" s="5">
        <v>0</v>
      </c>
      <c r="P348" s="5">
        <v>304</v>
      </c>
      <c r="Q348" s="13">
        <f t="shared" si="32"/>
        <v>0.53571428571428559</v>
      </c>
      <c r="R348" s="8">
        <f t="shared" si="29"/>
        <v>3.1607142857142851</v>
      </c>
      <c r="S348" s="8">
        <f t="shared" si="30"/>
        <v>-3.1607142857142851</v>
      </c>
      <c r="T348" s="8">
        <v>0</v>
      </c>
      <c r="V348" s="5">
        <v>2778.4</v>
      </c>
      <c r="W348" s="5">
        <v>142.48205128205129</v>
      </c>
      <c r="X348" s="5">
        <v>279155.80000000016</v>
      </c>
      <c r="Y348" s="5">
        <f t="shared" si="35"/>
        <v>44716.799999999996</v>
      </c>
      <c r="AA348" s="5">
        <v>16.235699496571499</v>
      </c>
    </row>
    <row r="349" spans="1:27" s="5" customFormat="1" x14ac:dyDescent="0.25">
      <c r="A349" s="2"/>
      <c r="B349" s="3"/>
      <c r="C349" s="4">
        <v>42196</v>
      </c>
      <c r="D349" s="5">
        <v>20.5</v>
      </c>
      <c r="E349" s="5">
        <v>17.8</v>
      </c>
      <c r="F349" s="14">
        <v>27</v>
      </c>
      <c r="G349" s="5">
        <v>3089.2999999999984</v>
      </c>
      <c r="H349" s="5">
        <f t="shared" si="34"/>
        <v>55.9</v>
      </c>
      <c r="J349" s="5">
        <v>0</v>
      </c>
      <c r="K349" s="5">
        <v>556.40000000000009</v>
      </c>
      <c r="L349" s="5">
        <v>7.6</v>
      </c>
      <c r="M349" s="5">
        <v>575.50000000000011</v>
      </c>
      <c r="N349" s="6">
        <v>-7.6</v>
      </c>
      <c r="O349" s="5">
        <v>0</v>
      </c>
      <c r="P349" s="5">
        <v>305</v>
      </c>
      <c r="Q349" s="13">
        <f t="shared" si="32"/>
        <v>0.52142857142857135</v>
      </c>
      <c r="R349" s="8">
        <f t="shared" si="29"/>
        <v>3.9628571428571422</v>
      </c>
      <c r="S349" s="8">
        <f t="shared" si="30"/>
        <v>-3.9628571428571422</v>
      </c>
      <c r="T349" s="8">
        <v>0</v>
      </c>
      <c r="V349" s="5">
        <v>3143</v>
      </c>
      <c r="W349" s="5">
        <v>153.3170731707317</v>
      </c>
      <c r="X349" s="5">
        <v>282298.80000000016</v>
      </c>
      <c r="Y349" s="5">
        <f t="shared" si="35"/>
        <v>47859.799999999996</v>
      </c>
      <c r="AA349" s="5">
        <v>16.207770915827901</v>
      </c>
    </row>
    <row r="350" spans="1:27" s="5" customFormat="1" x14ac:dyDescent="0.25">
      <c r="A350" s="2"/>
      <c r="B350" s="3"/>
      <c r="C350" s="4">
        <v>42197</v>
      </c>
      <c r="D350" s="5">
        <v>17.2</v>
      </c>
      <c r="E350" s="5">
        <v>14.1</v>
      </c>
      <c r="F350" s="5">
        <v>20.399999999999999</v>
      </c>
      <c r="G350" s="5">
        <v>3106.4999999999982</v>
      </c>
      <c r="H350" s="5">
        <f t="shared" si="34"/>
        <v>73.099999999999994</v>
      </c>
      <c r="J350" s="5">
        <v>1.1000000000000001</v>
      </c>
      <c r="K350" s="5">
        <v>557.50000000000011</v>
      </c>
      <c r="L350" s="5">
        <v>2.6</v>
      </c>
      <c r="M350" s="5">
        <v>578.10000000000014</v>
      </c>
      <c r="N350" s="6">
        <v>-1.5</v>
      </c>
      <c r="O350" s="5">
        <v>0</v>
      </c>
      <c r="P350" s="5">
        <v>306</v>
      </c>
      <c r="Q350" s="13">
        <f t="shared" si="32"/>
        <v>0.50714285714285712</v>
      </c>
      <c r="R350" s="8">
        <f t="shared" si="29"/>
        <v>1.3185714285714285</v>
      </c>
      <c r="S350" s="8">
        <f t="shared" si="30"/>
        <v>-0.21857142857142842</v>
      </c>
      <c r="T350" s="8">
        <v>0</v>
      </c>
      <c r="V350" s="5">
        <v>1094.5999999999999</v>
      </c>
      <c r="W350" s="5">
        <v>63.639534883720927</v>
      </c>
      <c r="X350" s="5">
        <v>283393.40000000014</v>
      </c>
      <c r="Y350" s="5">
        <f t="shared" si="35"/>
        <v>48954.399999999994</v>
      </c>
      <c r="AA350" s="5">
        <v>16.178531324226</v>
      </c>
    </row>
    <row r="351" spans="1:27" s="5" customFormat="1" x14ac:dyDescent="0.25">
      <c r="A351" s="2"/>
      <c r="B351" s="3"/>
      <c r="C351" s="4">
        <v>42198</v>
      </c>
      <c r="D351" s="5">
        <v>17.600000000000001</v>
      </c>
      <c r="E351" s="5">
        <v>16.2</v>
      </c>
      <c r="F351" s="5">
        <v>18.7</v>
      </c>
      <c r="G351" s="5">
        <v>3124.0999999999981</v>
      </c>
      <c r="H351" s="5">
        <f t="shared" si="34"/>
        <v>90.699999999999989</v>
      </c>
      <c r="J351" s="5">
        <v>1.6</v>
      </c>
      <c r="K351" s="5">
        <v>559.10000000000014</v>
      </c>
      <c r="L351" s="5">
        <v>1.6</v>
      </c>
      <c r="M351" s="5">
        <v>579.70000000000016</v>
      </c>
      <c r="N351" s="5">
        <v>0</v>
      </c>
      <c r="O351" s="5">
        <f>O350+N351</f>
        <v>0</v>
      </c>
      <c r="P351" s="5">
        <v>307</v>
      </c>
      <c r="Q351" s="13">
        <f t="shared" si="32"/>
        <v>0.49285714285714288</v>
      </c>
      <c r="R351" s="8">
        <f t="shared" si="29"/>
        <v>0.7885714285714287</v>
      </c>
      <c r="S351" s="8">
        <f t="shared" si="30"/>
        <v>0.81142857142857139</v>
      </c>
      <c r="T351" s="8">
        <f t="shared" si="31"/>
        <v>0.81142857142857139</v>
      </c>
      <c r="V351" s="12">
        <v>635.79999999999995</v>
      </c>
      <c r="W351" s="5">
        <v>36.124999999999993</v>
      </c>
      <c r="X351" s="5">
        <v>284029.20000000013</v>
      </c>
      <c r="Y351" s="5">
        <f t="shared" si="35"/>
        <v>49590.2</v>
      </c>
      <c r="AA351" s="5">
        <v>16.148008371183</v>
      </c>
    </row>
    <row r="352" spans="1:27" s="5" customFormat="1" x14ac:dyDescent="0.25">
      <c r="A352" s="2"/>
      <c r="B352" s="3"/>
      <c r="C352" s="4">
        <v>42199</v>
      </c>
      <c r="D352" s="5">
        <v>18.399999999999999</v>
      </c>
      <c r="E352" s="5">
        <v>17</v>
      </c>
      <c r="F352" s="5">
        <v>20.3</v>
      </c>
      <c r="G352" s="5">
        <v>3142.4999999999982</v>
      </c>
      <c r="H352" s="5">
        <f t="shared" si="34"/>
        <v>109.1</v>
      </c>
      <c r="J352" s="5">
        <v>0.3</v>
      </c>
      <c r="K352" s="5">
        <v>559.40000000000009</v>
      </c>
      <c r="L352" s="5">
        <v>2.2999999999999998</v>
      </c>
      <c r="M352" s="5">
        <v>582.00000000000011</v>
      </c>
      <c r="N352" s="6">
        <v>-1.9999999999999998</v>
      </c>
      <c r="O352" s="5">
        <v>0</v>
      </c>
      <c r="P352" s="5">
        <v>308</v>
      </c>
      <c r="Q352" s="13">
        <f t="shared" si="32"/>
        <v>0.47857142857142854</v>
      </c>
      <c r="R352" s="8">
        <f t="shared" si="29"/>
        <v>1.1007142857142855</v>
      </c>
      <c r="S352" s="8">
        <f t="shared" si="30"/>
        <v>-0.80071428571428549</v>
      </c>
      <c r="T352" s="8">
        <f t="shared" si="31"/>
        <v>1.0714285714285898E-2</v>
      </c>
      <c r="V352" s="12">
        <v>796.8</v>
      </c>
      <c r="W352" s="5">
        <v>43.304347826086961</v>
      </c>
      <c r="X352" s="5">
        <v>284826.00000000012</v>
      </c>
      <c r="Y352" s="5">
        <f t="shared" si="35"/>
        <v>50387</v>
      </c>
      <c r="AA352" s="5">
        <v>16.116230323953499</v>
      </c>
    </row>
    <row r="353" spans="1:27" s="5" customFormat="1" x14ac:dyDescent="0.25">
      <c r="A353" s="2"/>
      <c r="B353" s="3"/>
      <c r="C353" s="4">
        <v>42200</v>
      </c>
      <c r="D353" s="5">
        <v>19</v>
      </c>
      <c r="E353" s="5">
        <v>16.3</v>
      </c>
      <c r="F353" s="5">
        <v>21.7</v>
      </c>
      <c r="G353" s="5">
        <v>3161.4999999999982</v>
      </c>
      <c r="H353" s="5">
        <f t="shared" si="34"/>
        <v>128.1</v>
      </c>
      <c r="J353" s="5">
        <v>1.3</v>
      </c>
      <c r="K353" s="5">
        <v>560.70000000000005</v>
      </c>
      <c r="L353" s="5">
        <v>1.4</v>
      </c>
      <c r="M353" s="5">
        <v>583.40000000000009</v>
      </c>
      <c r="N353" s="6">
        <v>-9.9999999999999867E-2</v>
      </c>
      <c r="O353" s="5">
        <v>0</v>
      </c>
      <c r="P353" s="5">
        <v>309</v>
      </c>
      <c r="Q353" s="13">
        <f t="shared" si="32"/>
        <v>0.4642857142857143</v>
      </c>
      <c r="R353" s="8">
        <f t="shared" si="29"/>
        <v>0.65</v>
      </c>
      <c r="S353" s="8">
        <f t="shared" si="30"/>
        <v>0.65</v>
      </c>
      <c r="T353" s="8">
        <f t="shared" si="31"/>
        <v>0.66071428571428592</v>
      </c>
      <c r="V353" s="12">
        <v>668.4</v>
      </c>
      <c r="W353" s="5">
        <v>35.178947368421049</v>
      </c>
      <c r="X353" s="5">
        <v>285494.40000000014</v>
      </c>
      <c r="Y353" s="5">
        <f t="shared" si="35"/>
        <v>51055.4</v>
      </c>
      <c r="AA353" s="5">
        <v>16.083225982254302</v>
      </c>
    </row>
    <row r="354" spans="1:27" s="5" customFormat="1" x14ac:dyDescent="0.25">
      <c r="A354" s="2"/>
      <c r="B354" s="3"/>
      <c r="C354" s="4">
        <v>42201</v>
      </c>
      <c r="D354" s="5">
        <v>22.6</v>
      </c>
      <c r="E354" s="5">
        <v>17.600000000000001</v>
      </c>
      <c r="F354" s="14">
        <v>25.9</v>
      </c>
      <c r="G354" s="5">
        <v>3184.0999999999981</v>
      </c>
      <c r="H354" s="5">
        <f t="shared" si="34"/>
        <v>150.69999999999999</v>
      </c>
      <c r="J354" s="5">
        <v>0.7</v>
      </c>
      <c r="K354" s="5">
        <v>561.40000000000009</v>
      </c>
      <c r="L354" s="5">
        <v>3.6</v>
      </c>
      <c r="M354" s="5">
        <v>587.00000000000011</v>
      </c>
      <c r="N354" s="6">
        <v>-2.9000000000000004</v>
      </c>
      <c r="O354" s="5">
        <v>0</v>
      </c>
      <c r="P354" s="5">
        <v>310</v>
      </c>
      <c r="Q354" s="13">
        <f t="shared" si="32"/>
        <v>0.44999999999999996</v>
      </c>
      <c r="R354" s="8">
        <f t="shared" si="29"/>
        <v>1.6199999999999999</v>
      </c>
      <c r="S354" s="8">
        <f t="shared" si="30"/>
        <v>-0.91999999999999993</v>
      </c>
      <c r="T354" s="8">
        <v>0</v>
      </c>
      <c r="V354" s="5">
        <v>1664.6</v>
      </c>
      <c r="W354" s="5">
        <v>73.654867256637161</v>
      </c>
      <c r="X354" s="5">
        <v>287159.00000000012</v>
      </c>
      <c r="Y354" s="5">
        <f t="shared" si="35"/>
        <v>52720</v>
      </c>
      <c r="AA354" s="5">
        <v>16.0490245943618</v>
      </c>
    </row>
    <row r="355" spans="1:27" s="5" customFormat="1" x14ac:dyDescent="0.25">
      <c r="A355" s="2"/>
      <c r="B355" s="3"/>
      <c r="C355" s="4">
        <v>42202</v>
      </c>
      <c r="D355" s="5">
        <v>21.7</v>
      </c>
      <c r="E355" s="5">
        <v>20.399999999999999</v>
      </c>
      <c r="F355" s="14">
        <v>26</v>
      </c>
      <c r="G355" s="5">
        <v>3205.7999999999979</v>
      </c>
      <c r="H355" s="5">
        <f t="shared" si="34"/>
        <v>172.39999999999998</v>
      </c>
      <c r="J355" s="5">
        <v>1.3</v>
      </c>
      <c r="K355" s="5">
        <v>562.70000000000005</v>
      </c>
      <c r="L355" s="5">
        <v>4.2</v>
      </c>
      <c r="M355" s="5">
        <v>591.20000000000016</v>
      </c>
      <c r="N355" s="6">
        <v>-2.9000000000000004</v>
      </c>
      <c r="O355" s="5">
        <v>0</v>
      </c>
      <c r="P355" s="5">
        <v>311</v>
      </c>
      <c r="Q355" s="13">
        <f t="shared" si="32"/>
        <v>0.43571428571428561</v>
      </c>
      <c r="R355" s="8">
        <f t="shared" si="29"/>
        <v>1.8299999999999996</v>
      </c>
      <c r="S355" s="8">
        <f t="shared" si="30"/>
        <v>-0.52999999999999958</v>
      </c>
      <c r="T355" s="8">
        <v>0</v>
      </c>
      <c r="V355" s="5">
        <v>1326.7</v>
      </c>
      <c r="W355" s="5">
        <v>61.13824884792627</v>
      </c>
      <c r="X355" s="5">
        <v>288485.70000000013</v>
      </c>
      <c r="Y355" s="5">
        <f t="shared" si="35"/>
        <v>54046.7</v>
      </c>
      <c r="AA355" s="5">
        <v>16.0136557750835</v>
      </c>
    </row>
    <row r="356" spans="1:27" s="5" customFormat="1" x14ac:dyDescent="0.25">
      <c r="A356" s="2"/>
      <c r="B356" s="3"/>
      <c r="C356" s="4">
        <v>42203</v>
      </c>
      <c r="D356" s="5">
        <v>19.100000000000001</v>
      </c>
      <c r="E356" s="5">
        <v>15.1</v>
      </c>
      <c r="F356" s="5">
        <v>23</v>
      </c>
      <c r="G356" s="5">
        <v>3224.8999999999978</v>
      </c>
      <c r="H356" s="5">
        <f t="shared" si="34"/>
        <v>191.49999999999997</v>
      </c>
      <c r="J356" s="5">
        <v>6.1</v>
      </c>
      <c r="K356" s="5">
        <v>568.80000000000007</v>
      </c>
      <c r="L356" s="5">
        <v>4.4000000000000004</v>
      </c>
      <c r="M356" s="5">
        <v>595.60000000000014</v>
      </c>
      <c r="N356" s="5">
        <v>1.6999999999999993</v>
      </c>
      <c r="O356" s="5">
        <f>O355+N356</f>
        <v>1.6999999999999993</v>
      </c>
      <c r="P356" s="5">
        <v>312</v>
      </c>
      <c r="Q356" s="13">
        <f t="shared" si="32"/>
        <v>0.42142857142857137</v>
      </c>
      <c r="R356" s="8">
        <f t="shared" si="29"/>
        <v>1.8542857142857141</v>
      </c>
      <c r="S356" s="8">
        <f t="shared" si="30"/>
        <v>4.2457142857142856</v>
      </c>
      <c r="T356" s="8">
        <f t="shared" si="31"/>
        <v>4.2457142857142856</v>
      </c>
      <c r="V356" s="5">
        <v>1871.8</v>
      </c>
      <c r="W356" s="5">
        <v>97.999999999999986</v>
      </c>
      <c r="X356" s="5">
        <v>290357.50000000012</v>
      </c>
      <c r="Y356" s="5">
        <f t="shared" si="35"/>
        <v>55918.5</v>
      </c>
      <c r="AA356" s="5">
        <v>15.977149425961599</v>
      </c>
    </row>
    <row r="357" spans="1:27" s="5" customFormat="1" x14ac:dyDescent="0.25">
      <c r="A357" s="2"/>
      <c r="B357" s="3"/>
      <c r="C357" s="4">
        <v>42204</v>
      </c>
      <c r="D357" s="5">
        <v>18.5</v>
      </c>
      <c r="E357" s="5">
        <v>15.6</v>
      </c>
      <c r="F357" s="5">
        <v>22.1</v>
      </c>
      <c r="G357" s="5">
        <v>3243.3999999999978</v>
      </c>
      <c r="H357" s="5">
        <f t="shared" si="34"/>
        <v>209.99999999999997</v>
      </c>
      <c r="J357" s="5">
        <v>1.2</v>
      </c>
      <c r="K357" s="5">
        <v>570.00000000000011</v>
      </c>
      <c r="L357" s="5">
        <v>1.8</v>
      </c>
      <c r="M357" s="5">
        <v>597.40000000000009</v>
      </c>
      <c r="N357" s="6">
        <v>-0.60000000000000009</v>
      </c>
      <c r="O357" s="5">
        <f>O356+N357</f>
        <v>1.0999999999999992</v>
      </c>
      <c r="P357" s="5">
        <v>313</v>
      </c>
      <c r="Q357" s="13">
        <f t="shared" si="32"/>
        <v>0.40714285714285714</v>
      </c>
      <c r="R357" s="8">
        <f t="shared" si="29"/>
        <v>0.73285714285714287</v>
      </c>
      <c r="S357" s="8">
        <f t="shared" si="30"/>
        <v>0.46714285714285708</v>
      </c>
      <c r="T357" s="8">
        <f t="shared" si="31"/>
        <v>4.7128571428571426</v>
      </c>
      <c r="V357" s="12">
        <v>658.6</v>
      </c>
      <c r="W357" s="5">
        <v>35.6</v>
      </c>
      <c r="X357" s="5">
        <v>291016.10000000009</v>
      </c>
      <c r="Y357" s="5">
        <f t="shared" si="35"/>
        <v>56577.1</v>
      </c>
      <c r="AA357" s="5">
        <v>15.9395356580286</v>
      </c>
    </row>
    <row r="358" spans="1:27" s="5" customFormat="1" x14ac:dyDescent="0.25">
      <c r="A358" s="2"/>
      <c r="B358" s="3"/>
      <c r="C358" s="4">
        <v>42205</v>
      </c>
      <c r="D358" s="5">
        <v>20.5</v>
      </c>
      <c r="E358" s="5">
        <v>16.3</v>
      </c>
      <c r="F358" s="5">
        <v>23.2</v>
      </c>
      <c r="G358" s="5">
        <v>3263.8999999999978</v>
      </c>
      <c r="H358" s="5">
        <f t="shared" si="34"/>
        <v>230.49999999999997</v>
      </c>
      <c r="J358" s="5">
        <v>2.6</v>
      </c>
      <c r="K358" s="5">
        <v>572.60000000000014</v>
      </c>
      <c r="L358" s="5">
        <v>1.7</v>
      </c>
      <c r="M358" s="5">
        <v>599.10000000000014</v>
      </c>
      <c r="N358" s="5">
        <v>0.90000000000000013</v>
      </c>
      <c r="O358" s="5">
        <f>O357+N358</f>
        <v>1.9999999999999993</v>
      </c>
      <c r="P358" s="5">
        <v>314</v>
      </c>
      <c r="Q358" s="13">
        <f t="shared" si="32"/>
        <v>0.3928571428571429</v>
      </c>
      <c r="R358" s="8">
        <f t="shared" si="29"/>
        <v>0.66785714285714293</v>
      </c>
      <c r="S358" s="8">
        <f t="shared" si="30"/>
        <v>1.9321428571428572</v>
      </c>
      <c r="T358" s="8">
        <f t="shared" si="31"/>
        <v>6.6449999999999996</v>
      </c>
      <c r="V358" s="12">
        <v>674.2</v>
      </c>
      <c r="W358" s="5">
        <v>32.887804878048783</v>
      </c>
      <c r="X358" s="5">
        <v>291690.3000000001</v>
      </c>
      <c r="Y358" s="5">
        <f t="shared" si="35"/>
        <v>57251.299999999996</v>
      </c>
      <c r="AA358" s="5">
        <v>15.900844717394801</v>
      </c>
    </row>
    <row r="359" spans="1:27" s="5" customFormat="1" x14ac:dyDescent="0.25">
      <c r="A359" s="2"/>
      <c r="B359" s="3"/>
      <c r="C359" s="4">
        <v>42206</v>
      </c>
      <c r="D359" s="5">
        <v>20.8</v>
      </c>
      <c r="E359" s="5">
        <v>18.2</v>
      </c>
      <c r="F359" s="5">
        <v>23.8</v>
      </c>
      <c r="G359" s="5">
        <v>3284.699999999998</v>
      </c>
      <c r="H359" s="5">
        <f t="shared" si="34"/>
        <v>251.29999999999998</v>
      </c>
      <c r="J359" s="5">
        <v>0</v>
      </c>
      <c r="K359" s="5">
        <v>572.60000000000014</v>
      </c>
      <c r="L359" s="5">
        <v>2.7</v>
      </c>
      <c r="M359" s="5">
        <v>601.80000000000018</v>
      </c>
      <c r="N359" s="6">
        <v>-2.7</v>
      </c>
      <c r="O359" s="5">
        <v>0</v>
      </c>
      <c r="P359" s="5">
        <v>315</v>
      </c>
      <c r="Q359" s="13">
        <f t="shared" si="32"/>
        <v>0.37857142857142856</v>
      </c>
      <c r="R359" s="8">
        <f t="shared" si="29"/>
        <v>1.0221428571428572</v>
      </c>
      <c r="S359" s="8">
        <f t="shared" si="30"/>
        <v>-1.0221428571428572</v>
      </c>
      <c r="T359" s="8">
        <f t="shared" si="31"/>
        <v>5.6228571428571428</v>
      </c>
      <c r="V359" s="5">
        <v>1290</v>
      </c>
      <c r="W359" s="5">
        <v>62.019230769230766</v>
      </c>
      <c r="X359" s="5">
        <v>292980.3000000001</v>
      </c>
      <c r="Y359" s="5">
        <f t="shared" si="35"/>
        <v>58541.299999999996</v>
      </c>
      <c r="AA359" s="5">
        <v>15.861106913906299</v>
      </c>
    </row>
    <row r="360" spans="1:27" s="5" customFormat="1" x14ac:dyDescent="0.25">
      <c r="A360" s="2"/>
      <c r="B360" s="3"/>
      <c r="C360" s="4">
        <v>42207</v>
      </c>
      <c r="D360" s="5">
        <v>19.5</v>
      </c>
      <c r="E360" s="5">
        <v>17.3</v>
      </c>
      <c r="F360" s="5">
        <v>23.5</v>
      </c>
      <c r="G360" s="5">
        <v>3304.199999999998</v>
      </c>
      <c r="H360" s="5">
        <f t="shared" si="34"/>
        <v>270.79999999999995</v>
      </c>
      <c r="J360" s="5">
        <v>0</v>
      </c>
      <c r="K360" s="5">
        <v>572.60000000000014</v>
      </c>
      <c r="L360" s="5">
        <v>4.3</v>
      </c>
      <c r="M360" s="5">
        <v>606.10000000000014</v>
      </c>
      <c r="N360" s="6">
        <v>-4.3</v>
      </c>
      <c r="O360" s="5">
        <v>0</v>
      </c>
      <c r="P360" s="5">
        <v>316</v>
      </c>
      <c r="Q360" s="13">
        <f t="shared" si="32"/>
        <v>0.36428571428571432</v>
      </c>
      <c r="R360" s="8">
        <f t="shared" si="29"/>
        <v>1.5664285714285715</v>
      </c>
      <c r="S360" s="8">
        <f t="shared" si="30"/>
        <v>-1.5664285714285715</v>
      </c>
      <c r="T360" s="8">
        <f t="shared" si="31"/>
        <v>4.0564285714285715</v>
      </c>
      <c r="V360" s="5">
        <v>1403.2</v>
      </c>
      <c r="W360" s="5">
        <v>71.958974358974359</v>
      </c>
      <c r="X360" s="5">
        <v>294383.50000000012</v>
      </c>
      <c r="Y360" s="5">
        <f t="shared" si="35"/>
        <v>59944.499999999993</v>
      </c>
      <c r="AA360" s="5">
        <v>15.8203525530745</v>
      </c>
    </row>
    <row r="361" spans="1:27" s="5" customFormat="1" x14ac:dyDescent="0.25">
      <c r="A361" s="2"/>
      <c r="B361" s="3"/>
      <c r="C361" s="4">
        <v>42208</v>
      </c>
      <c r="D361" s="5">
        <v>18.2</v>
      </c>
      <c r="E361" s="5">
        <v>14.6</v>
      </c>
      <c r="F361" s="5">
        <v>21.4</v>
      </c>
      <c r="G361" s="5">
        <v>3322.3999999999978</v>
      </c>
      <c r="H361" s="5">
        <f t="shared" si="34"/>
        <v>288.99999999999994</v>
      </c>
      <c r="J361" s="5">
        <v>0</v>
      </c>
      <c r="K361" s="5">
        <v>572.60000000000014</v>
      </c>
      <c r="L361" s="5">
        <v>2.8</v>
      </c>
      <c r="M361" s="5">
        <v>608.90000000000009</v>
      </c>
      <c r="N361" s="6">
        <v>-2.8</v>
      </c>
      <c r="O361" s="5">
        <v>0</v>
      </c>
      <c r="P361" s="5">
        <v>317</v>
      </c>
      <c r="Q361" s="13">
        <f t="shared" si="32"/>
        <v>0.35</v>
      </c>
      <c r="R361" s="8">
        <f t="shared" si="29"/>
        <v>0.97999999999999987</v>
      </c>
      <c r="S361" s="8">
        <f t="shared" si="30"/>
        <v>-0.97999999999999987</v>
      </c>
      <c r="T361" s="8">
        <f t="shared" si="31"/>
        <v>3.0764285714285715</v>
      </c>
      <c r="V361" s="5">
        <v>1180.0999999999999</v>
      </c>
      <c r="W361" s="5">
        <v>64.840659340659343</v>
      </c>
      <c r="X361" s="5">
        <v>295563.60000000009</v>
      </c>
      <c r="Y361" s="5">
        <f t="shared" si="35"/>
        <v>61124.599999999991</v>
      </c>
      <c r="AA361" s="5">
        <v>15.7786118714384</v>
      </c>
    </row>
    <row r="362" spans="1:27" s="5" customFormat="1" x14ac:dyDescent="0.25">
      <c r="A362" s="71" t="s">
        <v>24</v>
      </c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</sheetData>
  <mergeCells count="13">
    <mergeCell ref="A326:A346"/>
    <mergeCell ref="A362:Z362"/>
    <mergeCell ref="D1:I2"/>
    <mergeCell ref="J1:U2"/>
    <mergeCell ref="V1:Z2"/>
    <mergeCell ref="G4:H4"/>
    <mergeCell ref="X4:Y4"/>
    <mergeCell ref="A44:Z44"/>
    <mergeCell ref="A45:A125"/>
    <mergeCell ref="A126:A222"/>
    <mergeCell ref="A223:A261"/>
    <mergeCell ref="A283:A305"/>
    <mergeCell ref="A306:A325"/>
  </mergeCells>
  <conditionalFormatting sqref="T1:T4">
    <cfRule type="cellIs" dxfId="11" priority="1" operator="equal">
      <formula>0</formula>
    </cfRule>
    <cfRule type="cellIs" dxfId="10" priority="2" operator="lessThanOrEqual">
      <formula>51.2</formula>
    </cfRule>
  </conditionalFormatting>
  <conditionalFormatting sqref="S5">
    <cfRule type="cellIs" dxfId="9" priority="6" operator="lessThanOrEqual">
      <formula>0</formula>
    </cfRule>
  </conditionalFormatting>
  <conditionalFormatting sqref="S45:S361">
    <cfRule type="cellIs" dxfId="8" priority="5" operator="lessThanOrEqual">
      <formula>0</formula>
    </cfRule>
  </conditionalFormatting>
  <conditionalFormatting sqref="T5:T362">
    <cfRule type="cellIs" dxfId="7" priority="3" operator="equal">
      <formula>0</formula>
    </cfRule>
    <cfRule type="cellIs" dxfId="6" priority="4" operator="lessThanOrEqual">
      <formula>51.2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62"/>
  <sheetViews>
    <sheetView zoomScale="70" zoomScaleNormal="70" workbookViewId="0">
      <pane xSplit="3" ySplit="4" topLeftCell="I214" activePane="bottomRight" state="frozen"/>
      <selection pane="topRight" activeCell="D1" sqref="D1"/>
      <selection pane="bottomLeft" activeCell="A5" sqref="A5"/>
      <selection pane="bottomRight" activeCell="AB241" sqref="AB241"/>
    </sheetView>
  </sheetViews>
  <sheetFormatPr baseColWidth="10" defaultRowHeight="15" x14ac:dyDescent="0.25"/>
  <sheetData>
    <row r="1" spans="1:26" x14ac:dyDescent="0.25">
      <c r="B1" s="1"/>
      <c r="D1" s="72" t="s">
        <v>25</v>
      </c>
      <c r="E1" s="72"/>
      <c r="F1" s="72"/>
      <c r="G1" s="72"/>
      <c r="H1" s="72"/>
      <c r="I1" s="72"/>
      <c r="J1" s="72" t="s">
        <v>26</v>
      </c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 t="s">
        <v>27</v>
      </c>
      <c r="W1" s="72"/>
      <c r="X1" s="72"/>
      <c r="Y1" s="72"/>
      <c r="Z1" s="72"/>
    </row>
    <row r="2" spans="1:26" x14ac:dyDescent="0.25">
      <c r="B2" s="1"/>
      <c r="C2" s="39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spans="1:26" x14ac:dyDescent="0.25">
      <c r="B3" s="1"/>
      <c r="C3" s="39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x14ac:dyDescent="0.25">
      <c r="A4" t="s">
        <v>28</v>
      </c>
      <c r="B4" s="1">
        <v>5</v>
      </c>
      <c r="C4" t="s">
        <v>29</v>
      </c>
      <c r="D4" t="s">
        <v>30</v>
      </c>
      <c r="E4" t="s">
        <v>31</v>
      </c>
      <c r="F4" t="s">
        <v>32</v>
      </c>
      <c r="G4" s="73" t="s">
        <v>33</v>
      </c>
      <c r="H4" s="73"/>
      <c r="I4" t="s">
        <v>34</v>
      </c>
      <c r="J4" t="s">
        <v>35</v>
      </c>
      <c r="K4" t="s">
        <v>36</v>
      </c>
      <c r="L4" t="s">
        <v>37</v>
      </c>
      <c r="M4" t="s">
        <v>38</v>
      </c>
      <c r="N4" t="s">
        <v>39</v>
      </c>
      <c r="O4" t="s">
        <v>40</v>
      </c>
      <c r="P4" t="s">
        <v>41</v>
      </c>
      <c r="Q4" t="s">
        <v>42</v>
      </c>
      <c r="R4" t="s">
        <v>43</v>
      </c>
      <c r="S4" t="s">
        <v>44</v>
      </c>
      <c r="T4" t="s">
        <v>45</v>
      </c>
      <c r="U4" t="s">
        <v>34</v>
      </c>
      <c r="V4" t="s">
        <v>46</v>
      </c>
      <c r="W4" t="s">
        <v>47</v>
      </c>
      <c r="X4" s="73" t="s">
        <v>48</v>
      </c>
      <c r="Y4" s="73"/>
      <c r="Z4" t="s">
        <v>34</v>
      </c>
    </row>
    <row r="5" spans="1:26" s="5" customFormat="1" x14ac:dyDescent="0.25">
      <c r="A5" s="2"/>
      <c r="B5" s="3"/>
      <c r="C5" s="4">
        <v>41853</v>
      </c>
      <c r="D5" s="5">
        <v>20.100000000000001</v>
      </c>
      <c r="E5" s="5">
        <v>18.899999999999999</v>
      </c>
      <c r="F5" s="5">
        <v>23.8</v>
      </c>
      <c r="G5" s="5" t="e">
        <f>#REF!+D5</f>
        <v>#REF!</v>
      </c>
      <c r="H5" s="5" t="e">
        <f>#REF!+D5</f>
        <v>#REF!</v>
      </c>
      <c r="J5" s="5">
        <v>1.6</v>
      </c>
      <c r="K5" s="5" t="e">
        <f>#REF!+J5</f>
        <v>#REF!</v>
      </c>
      <c r="L5" s="5">
        <v>4</v>
      </c>
      <c r="M5" s="5" t="e">
        <f>#REF!+L5</f>
        <v>#REF!</v>
      </c>
      <c r="N5" s="6">
        <f t="shared" ref="N5" si="0">J5-L5</f>
        <v>-2.4</v>
      </c>
      <c r="O5" s="7">
        <v>0</v>
      </c>
      <c r="R5" s="8"/>
      <c r="S5" s="8"/>
      <c r="T5" s="8"/>
      <c r="V5" s="5">
        <v>1460.2</v>
      </c>
      <c r="W5" s="5">
        <f>V5/D5</f>
        <v>72.646766169154219</v>
      </c>
      <c r="X5" s="5" t="e">
        <f>#REF!+V5</f>
        <v>#REF!</v>
      </c>
      <c r="Y5" s="5" t="e">
        <f>#REF!+V5</f>
        <v>#REF!</v>
      </c>
    </row>
    <row r="6" spans="1:26" s="5" customFormat="1" x14ac:dyDescent="0.25">
      <c r="B6" s="9"/>
      <c r="C6" s="4">
        <v>41854</v>
      </c>
      <c r="D6" s="5">
        <v>18.5</v>
      </c>
      <c r="E6" s="5">
        <v>16.100000000000001</v>
      </c>
      <c r="F6" s="5">
        <v>22.6</v>
      </c>
      <c r="J6" s="5">
        <v>0.1</v>
      </c>
      <c r="L6" s="5">
        <v>3.1</v>
      </c>
      <c r="N6" s="6">
        <f>J6-L6</f>
        <v>-3</v>
      </c>
      <c r="O6" s="5">
        <v>0</v>
      </c>
      <c r="T6" s="8"/>
      <c r="V6" s="5">
        <v>1303.3</v>
      </c>
    </row>
    <row r="7" spans="1:26" s="5" customFormat="1" x14ac:dyDescent="0.25">
      <c r="B7" s="9"/>
      <c r="C7" s="4">
        <v>41855</v>
      </c>
      <c r="D7" s="5">
        <v>18.3</v>
      </c>
      <c r="E7" s="5">
        <v>13.3</v>
      </c>
      <c r="F7" s="5">
        <v>23.2</v>
      </c>
      <c r="J7" s="5">
        <v>0.1</v>
      </c>
      <c r="L7" s="5">
        <v>3.1</v>
      </c>
      <c r="N7" s="6">
        <f t="shared" ref="N7:N43" si="1">J7-L7</f>
        <v>-3</v>
      </c>
      <c r="O7" s="5">
        <v>0</v>
      </c>
      <c r="T7" s="8"/>
      <c r="V7" s="5">
        <v>1469.6</v>
      </c>
    </row>
    <row r="8" spans="1:26" s="5" customFormat="1" x14ac:dyDescent="0.25">
      <c r="B8" s="9"/>
      <c r="C8" s="4">
        <v>41856</v>
      </c>
      <c r="D8" s="5">
        <v>18.7</v>
      </c>
      <c r="E8" s="5">
        <v>13.1</v>
      </c>
      <c r="F8" s="5">
        <v>23.2</v>
      </c>
      <c r="J8" s="5">
        <v>0.4</v>
      </c>
      <c r="L8" s="5">
        <v>4</v>
      </c>
      <c r="N8" s="6">
        <f t="shared" si="1"/>
        <v>-3.6</v>
      </c>
      <c r="O8" s="5">
        <v>0</v>
      </c>
      <c r="T8" s="8"/>
      <c r="V8" s="5">
        <v>2118.9</v>
      </c>
    </row>
    <row r="9" spans="1:26" s="5" customFormat="1" x14ac:dyDescent="0.25">
      <c r="B9" s="9"/>
      <c r="C9" s="4">
        <v>41857</v>
      </c>
      <c r="D9" s="5">
        <v>17.7</v>
      </c>
      <c r="E9" s="5">
        <v>16.7</v>
      </c>
      <c r="F9" s="5">
        <v>19.899999999999999</v>
      </c>
      <c r="J9" s="5">
        <v>2.7</v>
      </c>
      <c r="L9" s="5">
        <v>1.5</v>
      </c>
      <c r="N9" s="5">
        <f t="shared" si="1"/>
        <v>1.2000000000000002</v>
      </c>
      <c r="O9" s="5">
        <f>O8+N9</f>
        <v>1.2000000000000002</v>
      </c>
      <c r="T9" s="8"/>
      <c r="V9" s="5">
        <v>486.8</v>
      </c>
    </row>
    <row r="10" spans="1:26" s="5" customFormat="1" x14ac:dyDescent="0.25">
      <c r="B10" s="9"/>
      <c r="C10" s="4">
        <v>41858</v>
      </c>
      <c r="D10" s="5">
        <v>19.600000000000001</v>
      </c>
      <c r="E10" s="5">
        <v>14.8</v>
      </c>
      <c r="F10" s="5">
        <v>24.3</v>
      </c>
      <c r="J10" s="5">
        <v>0.7</v>
      </c>
      <c r="L10" s="5">
        <v>3.2</v>
      </c>
      <c r="N10" s="6">
        <f t="shared" si="1"/>
        <v>-2.5</v>
      </c>
      <c r="O10" s="5">
        <v>0</v>
      </c>
      <c r="T10" s="8"/>
      <c r="V10" s="5">
        <v>1423.5</v>
      </c>
    </row>
    <row r="11" spans="1:26" s="5" customFormat="1" x14ac:dyDescent="0.25">
      <c r="B11" s="9"/>
      <c r="C11" s="4">
        <v>41859</v>
      </c>
      <c r="D11" s="5">
        <v>19.100000000000001</v>
      </c>
      <c r="E11" s="5">
        <v>17.8</v>
      </c>
      <c r="F11" s="5">
        <v>20.100000000000001</v>
      </c>
      <c r="J11" s="5">
        <v>15.1</v>
      </c>
      <c r="L11" s="5">
        <v>1.4</v>
      </c>
      <c r="N11" s="5">
        <f t="shared" si="1"/>
        <v>13.7</v>
      </c>
      <c r="O11" s="5">
        <f t="shared" ref="O11:O43" si="2">O10+N11</f>
        <v>13.7</v>
      </c>
      <c r="T11" s="8"/>
      <c r="V11" s="5">
        <v>492.5</v>
      </c>
    </row>
    <row r="12" spans="1:26" s="5" customFormat="1" x14ac:dyDescent="0.25">
      <c r="B12" s="9"/>
      <c r="C12" s="4">
        <v>41860</v>
      </c>
      <c r="D12" s="5">
        <v>18.8</v>
      </c>
      <c r="E12" s="5">
        <v>16</v>
      </c>
      <c r="F12" s="5">
        <v>21.3</v>
      </c>
      <c r="J12" s="5">
        <v>0.1</v>
      </c>
      <c r="L12" s="5">
        <v>3.6</v>
      </c>
      <c r="N12" s="6">
        <f t="shared" si="1"/>
        <v>-3.5</v>
      </c>
      <c r="O12" s="5">
        <f t="shared" si="2"/>
        <v>10.199999999999999</v>
      </c>
      <c r="T12" s="8"/>
      <c r="V12" s="5">
        <v>1726.9</v>
      </c>
    </row>
    <row r="13" spans="1:26" s="5" customFormat="1" x14ac:dyDescent="0.25">
      <c r="B13" s="9"/>
      <c r="C13" s="4">
        <v>41861</v>
      </c>
      <c r="D13" s="5">
        <v>17.7</v>
      </c>
      <c r="E13" s="5">
        <v>15.9</v>
      </c>
      <c r="F13" s="5">
        <v>19.3</v>
      </c>
      <c r="J13" s="5">
        <v>16.600000000000001</v>
      </c>
      <c r="L13" s="5">
        <v>1.7</v>
      </c>
      <c r="N13" s="5">
        <f t="shared" si="1"/>
        <v>14.900000000000002</v>
      </c>
      <c r="O13" s="5">
        <f t="shared" si="2"/>
        <v>25.1</v>
      </c>
      <c r="T13" s="8"/>
      <c r="V13" s="5">
        <v>667.8</v>
      </c>
    </row>
    <row r="14" spans="1:26" s="5" customFormat="1" x14ac:dyDescent="0.25">
      <c r="B14" s="9"/>
      <c r="C14" s="4">
        <v>41862</v>
      </c>
      <c r="D14" s="5">
        <v>16.7</v>
      </c>
      <c r="E14" s="5">
        <v>14.2</v>
      </c>
      <c r="F14" s="5">
        <v>20</v>
      </c>
      <c r="J14" s="5">
        <v>1.6</v>
      </c>
      <c r="L14" s="5">
        <v>3.5</v>
      </c>
      <c r="N14" s="6">
        <f t="shared" si="1"/>
        <v>-1.9</v>
      </c>
      <c r="O14" s="5">
        <f t="shared" si="2"/>
        <v>23.200000000000003</v>
      </c>
      <c r="T14" s="8"/>
      <c r="V14" s="5">
        <v>1388.2</v>
      </c>
    </row>
    <row r="15" spans="1:26" s="5" customFormat="1" x14ac:dyDescent="0.25">
      <c r="B15" s="9"/>
      <c r="C15" s="4">
        <v>41863</v>
      </c>
      <c r="D15" s="5">
        <v>16.2</v>
      </c>
      <c r="E15" s="5">
        <v>14</v>
      </c>
      <c r="F15" s="5">
        <v>19</v>
      </c>
      <c r="J15" s="5">
        <v>4.4000000000000004</v>
      </c>
      <c r="L15" s="5">
        <v>3</v>
      </c>
      <c r="N15" s="5">
        <f t="shared" si="1"/>
        <v>1.4000000000000004</v>
      </c>
      <c r="O15" s="5">
        <f t="shared" si="2"/>
        <v>24.6</v>
      </c>
      <c r="T15" s="8"/>
      <c r="V15" s="5">
        <v>1299.5</v>
      </c>
    </row>
    <row r="16" spans="1:26" s="5" customFormat="1" x14ac:dyDescent="0.25">
      <c r="B16" s="9"/>
      <c r="C16" s="4">
        <v>41864</v>
      </c>
      <c r="D16" s="5">
        <v>16</v>
      </c>
      <c r="E16" s="5">
        <v>11.5</v>
      </c>
      <c r="F16" s="5">
        <v>20.100000000000001</v>
      </c>
      <c r="J16" s="5">
        <v>1.4</v>
      </c>
      <c r="L16" s="5">
        <v>3</v>
      </c>
      <c r="N16" s="6">
        <f t="shared" si="1"/>
        <v>-1.6</v>
      </c>
      <c r="O16" s="5">
        <f t="shared" si="2"/>
        <v>23</v>
      </c>
      <c r="T16" s="8"/>
      <c r="V16" s="5">
        <v>1615.4</v>
      </c>
    </row>
    <row r="17" spans="2:22" s="5" customFormat="1" x14ac:dyDescent="0.25">
      <c r="B17" s="9"/>
      <c r="C17" s="4">
        <v>41865</v>
      </c>
      <c r="D17" s="5">
        <v>15.8</v>
      </c>
      <c r="E17" s="5">
        <v>14.2</v>
      </c>
      <c r="F17" s="5">
        <v>18.5</v>
      </c>
      <c r="J17" s="5">
        <v>4</v>
      </c>
      <c r="L17" s="5">
        <v>2.4</v>
      </c>
      <c r="N17" s="5">
        <f t="shared" si="1"/>
        <v>1.6</v>
      </c>
      <c r="O17" s="5">
        <f t="shared" si="2"/>
        <v>24.6</v>
      </c>
      <c r="T17" s="8"/>
      <c r="V17" s="5">
        <v>1194.2</v>
      </c>
    </row>
    <row r="18" spans="2:22" s="5" customFormat="1" x14ac:dyDescent="0.25">
      <c r="B18" s="9"/>
      <c r="C18" s="4">
        <v>41866</v>
      </c>
      <c r="D18" s="5">
        <v>15.2</v>
      </c>
      <c r="E18" s="5">
        <v>13</v>
      </c>
      <c r="F18" s="5">
        <v>18.399999999999999</v>
      </c>
      <c r="J18" s="5">
        <v>6.1</v>
      </c>
      <c r="L18" s="5">
        <v>2</v>
      </c>
      <c r="N18" s="5">
        <f t="shared" si="1"/>
        <v>4.0999999999999996</v>
      </c>
      <c r="O18" s="5">
        <f t="shared" si="2"/>
        <v>28.700000000000003</v>
      </c>
      <c r="T18" s="8"/>
      <c r="V18" s="5">
        <v>885.9</v>
      </c>
    </row>
    <row r="19" spans="2:22" s="5" customFormat="1" x14ac:dyDescent="0.25">
      <c r="B19" s="9"/>
      <c r="C19" s="4">
        <v>41867</v>
      </c>
      <c r="D19" s="5">
        <v>16</v>
      </c>
      <c r="E19" s="5">
        <v>12.2</v>
      </c>
      <c r="F19" s="5">
        <v>19.3</v>
      </c>
      <c r="J19" s="5">
        <v>0.1</v>
      </c>
      <c r="L19" s="5">
        <v>2.8</v>
      </c>
      <c r="N19" s="6">
        <f t="shared" si="1"/>
        <v>-2.6999999999999997</v>
      </c>
      <c r="O19" s="5">
        <f t="shared" si="2"/>
        <v>26.000000000000004</v>
      </c>
      <c r="T19" s="8"/>
      <c r="V19" s="5">
        <v>1659.6</v>
      </c>
    </row>
    <row r="20" spans="2:22" s="5" customFormat="1" x14ac:dyDescent="0.25">
      <c r="B20" s="9"/>
      <c r="C20" s="4">
        <v>41868</v>
      </c>
      <c r="D20" s="5">
        <v>14.8</v>
      </c>
      <c r="E20" s="5">
        <v>12.6</v>
      </c>
      <c r="F20" s="5">
        <v>16.600000000000001</v>
      </c>
      <c r="J20" s="5">
        <v>3.6</v>
      </c>
      <c r="L20" s="5">
        <v>1.6</v>
      </c>
      <c r="N20" s="5">
        <f t="shared" si="1"/>
        <v>2</v>
      </c>
      <c r="O20" s="5">
        <f t="shared" si="2"/>
        <v>28.000000000000004</v>
      </c>
      <c r="T20" s="8"/>
      <c r="V20" s="5">
        <v>622.4</v>
      </c>
    </row>
    <row r="21" spans="2:22" s="5" customFormat="1" x14ac:dyDescent="0.25">
      <c r="B21" s="9"/>
      <c r="C21" s="4">
        <v>41869</v>
      </c>
      <c r="D21" s="5">
        <v>15.3</v>
      </c>
      <c r="E21" s="5">
        <v>12.8</v>
      </c>
      <c r="F21" s="5">
        <v>17.8</v>
      </c>
      <c r="J21" s="5">
        <v>1.9</v>
      </c>
      <c r="L21" s="5">
        <v>2.8</v>
      </c>
      <c r="N21" s="6">
        <f t="shared" si="1"/>
        <v>-0.89999999999999991</v>
      </c>
      <c r="O21" s="5">
        <f t="shared" si="2"/>
        <v>27.100000000000005</v>
      </c>
      <c r="T21" s="8"/>
      <c r="V21" s="5">
        <v>1132.8</v>
      </c>
    </row>
    <row r="22" spans="2:22" s="5" customFormat="1" x14ac:dyDescent="0.25">
      <c r="B22" s="9"/>
      <c r="C22" s="4">
        <v>41870</v>
      </c>
      <c r="D22" s="5">
        <v>14.1</v>
      </c>
      <c r="E22" s="5">
        <v>12.7</v>
      </c>
      <c r="F22" s="5">
        <v>16.3</v>
      </c>
      <c r="J22" s="5">
        <v>4.0999999999999996</v>
      </c>
      <c r="L22" s="5">
        <v>2.7</v>
      </c>
      <c r="N22" s="5">
        <f t="shared" si="1"/>
        <v>1.3999999999999995</v>
      </c>
      <c r="O22" s="5">
        <f t="shared" si="2"/>
        <v>28.500000000000004</v>
      </c>
      <c r="T22" s="8"/>
      <c r="V22" s="5">
        <v>1132.2</v>
      </c>
    </row>
    <row r="23" spans="2:22" s="5" customFormat="1" x14ac:dyDescent="0.25">
      <c r="B23" s="9"/>
      <c r="C23" s="4">
        <v>41871</v>
      </c>
      <c r="D23" s="5">
        <v>13.2</v>
      </c>
      <c r="E23" s="5">
        <v>9</v>
      </c>
      <c r="F23" s="5">
        <v>17.899999999999999</v>
      </c>
      <c r="J23" s="5">
        <v>2.2999999999999998</v>
      </c>
      <c r="L23" s="5">
        <v>2.9</v>
      </c>
      <c r="N23" s="6">
        <f t="shared" si="1"/>
        <v>-0.60000000000000009</v>
      </c>
      <c r="O23" s="5">
        <f t="shared" si="2"/>
        <v>27.900000000000002</v>
      </c>
      <c r="T23" s="8"/>
      <c r="V23" s="5">
        <v>1649.1</v>
      </c>
    </row>
    <row r="24" spans="2:22" s="5" customFormat="1" x14ac:dyDescent="0.25">
      <c r="B24" s="9"/>
      <c r="C24" s="4">
        <v>41872</v>
      </c>
      <c r="D24" s="5">
        <v>13.4</v>
      </c>
      <c r="E24" s="5">
        <v>9.1999999999999993</v>
      </c>
      <c r="F24" s="5">
        <v>17.2</v>
      </c>
      <c r="J24" s="5">
        <v>0</v>
      </c>
      <c r="L24" s="5">
        <v>2</v>
      </c>
      <c r="N24" s="6">
        <f t="shared" si="1"/>
        <v>-2</v>
      </c>
      <c r="O24" s="5">
        <f t="shared" si="2"/>
        <v>25.900000000000002</v>
      </c>
      <c r="T24" s="8"/>
      <c r="V24" s="5">
        <v>1099.8</v>
      </c>
    </row>
    <row r="25" spans="2:22" s="5" customFormat="1" x14ac:dyDescent="0.25">
      <c r="B25" s="9"/>
      <c r="C25" s="4">
        <v>41873</v>
      </c>
      <c r="D25" s="5">
        <v>14</v>
      </c>
      <c r="E25" s="5">
        <v>11.2</v>
      </c>
      <c r="F25" s="5">
        <v>16.2</v>
      </c>
      <c r="J25" s="5">
        <v>4.5999999999999996</v>
      </c>
      <c r="L25" s="5">
        <v>1.4</v>
      </c>
      <c r="N25" s="5">
        <f t="shared" si="1"/>
        <v>3.1999999999999997</v>
      </c>
      <c r="O25" s="5">
        <f t="shared" si="2"/>
        <v>29.1</v>
      </c>
      <c r="T25" s="8"/>
      <c r="V25" s="5">
        <v>642.5</v>
      </c>
    </row>
    <row r="26" spans="2:22" s="5" customFormat="1" x14ac:dyDescent="0.25">
      <c r="B26" s="9"/>
      <c r="C26" s="4">
        <v>41874</v>
      </c>
      <c r="D26" s="5">
        <v>13.2</v>
      </c>
      <c r="E26" s="5">
        <v>10.4</v>
      </c>
      <c r="F26" s="5">
        <v>17.899999999999999</v>
      </c>
      <c r="J26" s="5">
        <v>2.1</v>
      </c>
      <c r="L26" s="5">
        <v>2.9</v>
      </c>
      <c r="N26" s="6">
        <f t="shared" si="1"/>
        <v>-0.79999999999999982</v>
      </c>
      <c r="O26" s="5">
        <f t="shared" si="2"/>
        <v>28.3</v>
      </c>
      <c r="T26" s="8"/>
      <c r="V26" s="5">
        <v>1369.1</v>
      </c>
    </row>
    <row r="27" spans="2:22" s="5" customFormat="1" x14ac:dyDescent="0.25">
      <c r="B27" s="9"/>
      <c r="C27" s="4">
        <v>41875</v>
      </c>
      <c r="D27" s="5">
        <v>14</v>
      </c>
      <c r="E27" s="5">
        <v>9.3000000000000007</v>
      </c>
      <c r="F27" s="5">
        <v>18</v>
      </c>
      <c r="J27" s="5">
        <v>0</v>
      </c>
      <c r="L27" s="5">
        <v>2.4</v>
      </c>
      <c r="N27" s="6">
        <f t="shared" si="1"/>
        <v>-2.4</v>
      </c>
      <c r="O27" s="5">
        <f t="shared" si="2"/>
        <v>25.900000000000002</v>
      </c>
      <c r="T27" s="8"/>
      <c r="V27" s="5">
        <v>1442.9</v>
      </c>
    </row>
    <row r="28" spans="2:22" s="5" customFormat="1" x14ac:dyDescent="0.25">
      <c r="B28" s="9"/>
      <c r="C28" s="4">
        <v>41876</v>
      </c>
      <c r="D28" s="5">
        <v>14</v>
      </c>
      <c r="E28" s="5">
        <v>12.1</v>
      </c>
      <c r="F28" s="5">
        <v>15.8</v>
      </c>
      <c r="J28" s="5">
        <v>27.2</v>
      </c>
      <c r="L28" s="5">
        <v>0.7</v>
      </c>
      <c r="N28" s="5">
        <f t="shared" si="1"/>
        <v>26.5</v>
      </c>
      <c r="O28" s="5">
        <f t="shared" si="2"/>
        <v>52.400000000000006</v>
      </c>
      <c r="T28" s="8"/>
      <c r="V28" s="5">
        <v>380</v>
      </c>
    </row>
    <row r="29" spans="2:22" s="5" customFormat="1" x14ac:dyDescent="0.25">
      <c r="B29" s="9"/>
      <c r="C29" s="4">
        <v>41877</v>
      </c>
      <c r="D29" s="5">
        <v>16.2</v>
      </c>
      <c r="E29" s="5">
        <v>14.5</v>
      </c>
      <c r="F29" s="5">
        <v>18.100000000000001</v>
      </c>
      <c r="J29" s="5">
        <v>8.4</v>
      </c>
      <c r="L29" s="5">
        <v>1.1000000000000001</v>
      </c>
      <c r="N29" s="5">
        <f t="shared" si="1"/>
        <v>7.3000000000000007</v>
      </c>
      <c r="O29" s="5">
        <f t="shared" si="2"/>
        <v>59.7</v>
      </c>
      <c r="T29" s="8"/>
      <c r="V29" s="5">
        <v>421.5</v>
      </c>
    </row>
    <row r="30" spans="2:22" s="5" customFormat="1" x14ac:dyDescent="0.25">
      <c r="B30" s="9"/>
      <c r="C30" s="4">
        <v>41878</v>
      </c>
      <c r="D30" s="5">
        <v>16.3</v>
      </c>
      <c r="E30" s="5">
        <v>13.3</v>
      </c>
      <c r="F30" s="5">
        <v>18.5</v>
      </c>
      <c r="J30" s="5">
        <v>0.3</v>
      </c>
      <c r="L30" s="5">
        <v>2.6</v>
      </c>
      <c r="N30" s="6">
        <f t="shared" si="1"/>
        <v>-2.3000000000000003</v>
      </c>
      <c r="O30" s="5">
        <f t="shared" si="2"/>
        <v>57.400000000000006</v>
      </c>
      <c r="T30" s="8"/>
      <c r="V30" s="5">
        <v>1205.4000000000001</v>
      </c>
    </row>
    <row r="31" spans="2:22" s="5" customFormat="1" x14ac:dyDescent="0.25">
      <c r="B31" s="9"/>
      <c r="C31" s="4">
        <v>41879</v>
      </c>
      <c r="D31" s="5">
        <v>18</v>
      </c>
      <c r="E31" s="5">
        <v>15.7</v>
      </c>
      <c r="F31" s="5">
        <v>21.1</v>
      </c>
      <c r="J31" s="5">
        <v>1.6</v>
      </c>
      <c r="L31" s="5">
        <v>1.9</v>
      </c>
      <c r="N31" s="6">
        <f t="shared" si="1"/>
        <v>-0.29999999999999982</v>
      </c>
      <c r="O31" s="5">
        <f t="shared" si="2"/>
        <v>57.100000000000009</v>
      </c>
      <c r="T31" s="8"/>
      <c r="V31" s="5">
        <v>510.5</v>
      </c>
    </row>
    <row r="32" spans="2:22" s="5" customFormat="1" x14ac:dyDescent="0.25">
      <c r="B32" s="9"/>
      <c r="C32" s="4">
        <v>41880</v>
      </c>
      <c r="D32" s="5">
        <v>17.7</v>
      </c>
      <c r="E32" s="5">
        <v>15.4</v>
      </c>
      <c r="F32" s="5">
        <v>20.7</v>
      </c>
      <c r="J32" s="5">
        <v>0</v>
      </c>
      <c r="L32" s="5">
        <v>3.5</v>
      </c>
      <c r="N32" s="6">
        <f t="shared" si="1"/>
        <v>-3.5</v>
      </c>
      <c r="O32" s="5">
        <f t="shared" si="2"/>
        <v>53.600000000000009</v>
      </c>
      <c r="T32" s="8"/>
      <c r="V32" s="5">
        <v>1236.9000000000001</v>
      </c>
    </row>
    <row r="33" spans="1:27" s="5" customFormat="1" x14ac:dyDescent="0.25">
      <c r="B33" s="9"/>
      <c r="C33" s="4">
        <v>41881</v>
      </c>
      <c r="D33" s="5">
        <v>16.5</v>
      </c>
      <c r="E33" s="5">
        <v>16</v>
      </c>
      <c r="F33" s="5">
        <v>17.899999999999999</v>
      </c>
      <c r="J33" s="5">
        <v>2</v>
      </c>
      <c r="L33" s="5">
        <v>1.6</v>
      </c>
      <c r="N33" s="5">
        <f t="shared" si="1"/>
        <v>0.39999999999999991</v>
      </c>
      <c r="O33" s="5">
        <f t="shared" si="2"/>
        <v>54.000000000000007</v>
      </c>
      <c r="T33" s="8"/>
      <c r="V33" s="5">
        <v>364.5</v>
      </c>
    </row>
    <row r="34" spans="1:27" s="5" customFormat="1" x14ac:dyDescent="0.25">
      <c r="B34" s="9"/>
      <c r="C34" s="4">
        <v>41882</v>
      </c>
      <c r="D34" s="5">
        <v>15.9</v>
      </c>
      <c r="E34" s="5">
        <v>14.4</v>
      </c>
      <c r="F34" s="5">
        <v>19.5</v>
      </c>
      <c r="J34" s="5">
        <v>0.3</v>
      </c>
      <c r="L34" s="5">
        <v>2.5</v>
      </c>
      <c r="N34" s="6">
        <f t="shared" si="1"/>
        <v>-2.2000000000000002</v>
      </c>
      <c r="O34" s="5">
        <f t="shared" si="2"/>
        <v>51.800000000000004</v>
      </c>
      <c r="T34" s="8"/>
      <c r="V34" s="5">
        <v>898.7</v>
      </c>
    </row>
    <row r="35" spans="1:27" s="5" customFormat="1" x14ac:dyDescent="0.25">
      <c r="B35" s="9"/>
      <c r="C35" s="4">
        <v>41883</v>
      </c>
      <c r="D35" s="5">
        <v>16.100000000000001</v>
      </c>
      <c r="E35" s="5">
        <v>11</v>
      </c>
      <c r="F35" s="5">
        <v>20.9</v>
      </c>
      <c r="J35" s="5">
        <v>1.2</v>
      </c>
      <c r="L35" s="5">
        <v>2.2000000000000002</v>
      </c>
      <c r="N35" s="6">
        <f t="shared" si="1"/>
        <v>-1.0000000000000002</v>
      </c>
      <c r="O35" s="5">
        <f t="shared" si="2"/>
        <v>50.800000000000004</v>
      </c>
      <c r="T35" s="8"/>
      <c r="V35" s="5">
        <v>1140.4000000000001</v>
      </c>
    </row>
    <row r="36" spans="1:27" s="5" customFormat="1" x14ac:dyDescent="0.25">
      <c r="B36" s="9"/>
      <c r="C36" s="4">
        <v>41884</v>
      </c>
      <c r="D36" s="5">
        <v>18</v>
      </c>
      <c r="E36" s="5">
        <v>15.6</v>
      </c>
      <c r="F36" s="5">
        <v>20.399999999999999</v>
      </c>
      <c r="J36" s="5">
        <v>0</v>
      </c>
      <c r="L36" s="5">
        <v>3.1</v>
      </c>
      <c r="N36" s="6">
        <f t="shared" si="1"/>
        <v>-3.1</v>
      </c>
      <c r="O36" s="5">
        <f t="shared" si="2"/>
        <v>47.7</v>
      </c>
      <c r="T36" s="8"/>
      <c r="V36" s="5">
        <v>1544.3</v>
      </c>
    </row>
    <row r="37" spans="1:27" s="5" customFormat="1" x14ac:dyDescent="0.25">
      <c r="B37" s="9"/>
      <c r="C37" s="4">
        <v>41885</v>
      </c>
      <c r="D37" s="5">
        <v>17.3</v>
      </c>
      <c r="E37" s="5">
        <v>14</v>
      </c>
      <c r="F37" s="5">
        <v>20.3</v>
      </c>
      <c r="J37" s="5">
        <v>0</v>
      </c>
      <c r="L37" s="5">
        <v>3.4</v>
      </c>
      <c r="N37" s="6">
        <f t="shared" si="1"/>
        <v>-3.4</v>
      </c>
      <c r="O37" s="5">
        <f t="shared" si="2"/>
        <v>44.300000000000004</v>
      </c>
      <c r="T37" s="8"/>
      <c r="V37" s="5">
        <v>1901.3</v>
      </c>
    </row>
    <row r="38" spans="1:27" s="5" customFormat="1" x14ac:dyDescent="0.25">
      <c r="B38" s="9"/>
      <c r="C38" s="4">
        <v>41886</v>
      </c>
      <c r="D38" s="5">
        <v>18</v>
      </c>
      <c r="E38" s="5">
        <v>13.7</v>
      </c>
      <c r="F38" s="5">
        <v>22.2</v>
      </c>
      <c r="J38" s="5">
        <v>0</v>
      </c>
      <c r="L38" s="5">
        <v>3.4</v>
      </c>
      <c r="N38" s="6">
        <f t="shared" si="1"/>
        <v>-3.4</v>
      </c>
      <c r="O38" s="5">
        <f t="shared" si="2"/>
        <v>40.900000000000006</v>
      </c>
      <c r="T38" s="8"/>
      <c r="V38" s="5">
        <v>1763.7</v>
      </c>
    </row>
    <row r="39" spans="1:27" s="5" customFormat="1" x14ac:dyDescent="0.25">
      <c r="B39" s="9"/>
      <c r="C39" s="4">
        <v>41887</v>
      </c>
      <c r="D39" s="5">
        <v>19.100000000000001</v>
      </c>
      <c r="E39" s="5">
        <v>17</v>
      </c>
      <c r="F39" s="5">
        <v>22.4</v>
      </c>
      <c r="J39" s="5">
        <v>0</v>
      </c>
      <c r="L39" s="5">
        <v>2.8</v>
      </c>
      <c r="N39" s="6">
        <f t="shared" si="1"/>
        <v>-2.8</v>
      </c>
      <c r="O39" s="5">
        <f t="shared" si="2"/>
        <v>38.100000000000009</v>
      </c>
      <c r="T39" s="8"/>
      <c r="V39" s="5">
        <v>1069.3</v>
      </c>
    </row>
    <row r="40" spans="1:27" s="5" customFormat="1" x14ac:dyDescent="0.25">
      <c r="B40" s="9"/>
      <c r="C40" s="4">
        <v>41888</v>
      </c>
      <c r="D40" s="5">
        <v>18</v>
      </c>
      <c r="E40" s="5">
        <v>17.5</v>
      </c>
      <c r="F40" s="5">
        <v>19.399999999999999</v>
      </c>
      <c r="J40" s="5">
        <v>0</v>
      </c>
      <c r="L40" s="5">
        <v>1.7</v>
      </c>
      <c r="N40" s="6">
        <f t="shared" si="1"/>
        <v>-1.7</v>
      </c>
      <c r="O40" s="5">
        <f t="shared" si="2"/>
        <v>36.400000000000006</v>
      </c>
      <c r="T40" s="8"/>
      <c r="V40" s="5">
        <v>591.29999999999995</v>
      </c>
    </row>
    <row r="41" spans="1:27" s="5" customFormat="1" x14ac:dyDescent="0.25">
      <c r="B41" s="9"/>
      <c r="C41" s="4">
        <v>41889</v>
      </c>
      <c r="D41" s="5">
        <v>17.899999999999999</v>
      </c>
      <c r="E41" s="5">
        <v>14.3</v>
      </c>
      <c r="F41" s="5">
        <v>22.1</v>
      </c>
      <c r="J41" s="5">
        <v>0</v>
      </c>
      <c r="L41" s="5">
        <v>3.1</v>
      </c>
      <c r="N41" s="6">
        <f t="shared" si="1"/>
        <v>-3.1</v>
      </c>
      <c r="O41" s="5">
        <f t="shared" si="2"/>
        <v>33.300000000000004</v>
      </c>
      <c r="T41" s="8"/>
      <c r="V41" s="5">
        <v>1498.6</v>
      </c>
    </row>
    <row r="42" spans="1:27" s="5" customFormat="1" x14ac:dyDescent="0.25">
      <c r="B42" s="9"/>
      <c r="C42" s="4">
        <v>41890</v>
      </c>
      <c r="D42" s="5">
        <v>16.8</v>
      </c>
      <c r="E42" s="5">
        <v>15.1</v>
      </c>
      <c r="F42" s="5">
        <v>19.899999999999999</v>
      </c>
      <c r="J42" s="5">
        <v>0</v>
      </c>
      <c r="L42" s="5">
        <v>3.1</v>
      </c>
      <c r="N42" s="6">
        <f t="shared" si="1"/>
        <v>-3.1</v>
      </c>
      <c r="O42" s="5">
        <f t="shared" si="2"/>
        <v>30.200000000000003</v>
      </c>
      <c r="T42" s="8"/>
      <c r="V42" s="5">
        <v>1401.1</v>
      </c>
    </row>
    <row r="43" spans="1:27" s="5" customFormat="1" x14ac:dyDescent="0.25">
      <c r="B43" s="9"/>
      <c r="C43" s="4">
        <v>41891</v>
      </c>
      <c r="D43" s="5">
        <v>15</v>
      </c>
      <c r="E43" s="5">
        <v>11.3</v>
      </c>
      <c r="F43" s="5">
        <v>19.8</v>
      </c>
      <c r="J43" s="5">
        <v>0</v>
      </c>
      <c r="L43" s="5">
        <v>3.2</v>
      </c>
      <c r="N43" s="6">
        <f t="shared" si="1"/>
        <v>-3.2</v>
      </c>
      <c r="O43" s="5">
        <f t="shared" si="2"/>
        <v>27.000000000000004</v>
      </c>
      <c r="T43" s="8">
        <v>27</v>
      </c>
      <c r="V43" s="5">
        <v>1739.1</v>
      </c>
    </row>
    <row r="44" spans="1:27" s="5" customFormat="1" x14ac:dyDescent="0.25">
      <c r="A44" s="74" t="s">
        <v>0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spans="1:27" s="5" customFormat="1" x14ac:dyDescent="0.25">
      <c r="A45" s="75" t="s">
        <v>1</v>
      </c>
      <c r="B45" s="10"/>
      <c r="C45" s="4">
        <v>41892</v>
      </c>
      <c r="D45" s="5">
        <v>14.7</v>
      </c>
      <c r="E45" s="5">
        <v>12.3</v>
      </c>
      <c r="F45" s="5">
        <v>17.899999999999999</v>
      </c>
      <c r="G45" s="5">
        <v>14.7</v>
      </c>
      <c r="I45" s="11" t="s">
        <v>2</v>
      </c>
      <c r="J45" s="5">
        <v>0</v>
      </c>
      <c r="K45" s="5">
        <v>0</v>
      </c>
      <c r="L45" s="5">
        <v>2.4</v>
      </c>
      <c r="M45" s="5">
        <v>2.4</v>
      </c>
      <c r="N45" s="6">
        <v>-2.4</v>
      </c>
      <c r="O45" s="5">
        <f>O43+N45</f>
        <v>24.600000000000005</v>
      </c>
      <c r="P45" s="5">
        <v>1</v>
      </c>
      <c r="Q45" s="5">
        <v>0.35</v>
      </c>
      <c r="R45" s="8">
        <f t="shared" ref="R45:R108" si="3">Q45*L45</f>
        <v>0.84</v>
      </c>
      <c r="S45" s="8">
        <f t="shared" ref="S45:S108" si="4">J45-R45</f>
        <v>-0.84</v>
      </c>
      <c r="T45" s="8">
        <f>T43+S45</f>
        <v>26.16</v>
      </c>
      <c r="U45" s="11" t="s">
        <v>3</v>
      </c>
      <c r="V45" s="12">
        <v>781.7</v>
      </c>
      <c r="W45" s="5">
        <v>53.176870748299322</v>
      </c>
      <c r="X45" s="5">
        <v>781.7</v>
      </c>
      <c r="Z45" s="11" t="s">
        <v>4</v>
      </c>
      <c r="AA45" s="5">
        <v>13.0372419462499</v>
      </c>
    </row>
    <row r="46" spans="1:27" s="5" customFormat="1" x14ac:dyDescent="0.25">
      <c r="A46" s="75"/>
      <c r="B46" s="10"/>
      <c r="C46" s="4">
        <v>41893</v>
      </c>
      <c r="D46" s="5">
        <v>15.2</v>
      </c>
      <c r="E46" s="5">
        <v>11.2</v>
      </c>
      <c r="F46" s="5">
        <v>19.2</v>
      </c>
      <c r="G46" s="5">
        <v>29.9</v>
      </c>
      <c r="I46" s="5">
        <v>4.4000000000000004</v>
      </c>
      <c r="J46" s="5">
        <v>0</v>
      </c>
      <c r="K46" s="5">
        <v>0</v>
      </c>
      <c r="L46" s="5">
        <v>2.8</v>
      </c>
      <c r="M46" s="5">
        <v>5.1999999999999993</v>
      </c>
      <c r="N46" s="6">
        <v>-2.8</v>
      </c>
      <c r="O46" s="5">
        <f t="shared" ref="O46:O109" si="5">O45+N46</f>
        <v>21.800000000000004</v>
      </c>
      <c r="P46" s="5">
        <v>2</v>
      </c>
      <c r="Q46" s="5">
        <v>0.35</v>
      </c>
      <c r="R46" s="8">
        <f t="shared" si="3"/>
        <v>0.97999999999999987</v>
      </c>
      <c r="S46" s="8">
        <f t="shared" si="4"/>
        <v>-0.97999999999999987</v>
      </c>
      <c r="T46" s="8">
        <f>MIN(153.6,(T45+S46))</f>
        <v>25.18</v>
      </c>
      <c r="U46" s="5">
        <v>52</v>
      </c>
      <c r="V46" s="5">
        <v>1488.5</v>
      </c>
      <c r="W46" s="5">
        <v>97.92763157894737</v>
      </c>
      <c r="X46" s="5">
        <v>2270.1999999999998</v>
      </c>
      <c r="Z46" s="5">
        <v>50931.099999999991</v>
      </c>
      <c r="AA46" s="5">
        <v>12.974506942894701</v>
      </c>
    </row>
    <row r="47" spans="1:27" s="5" customFormat="1" x14ac:dyDescent="0.25">
      <c r="A47" s="75"/>
      <c r="B47" s="10"/>
      <c r="C47" s="4">
        <v>41894</v>
      </c>
      <c r="D47" s="5">
        <v>16.2</v>
      </c>
      <c r="E47" s="5">
        <v>11.8</v>
      </c>
      <c r="F47" s="5">
        <v>20.399999999999999</v>
      </c>
      <c r="G47" s="5">
        <v>46.099999999999994</v>
      </c>
      <c r="I47" s="11" t="s">
        <v>5</v>
      </c>
      <c r="J47" s="5">
        <v>0</v>
      </c>
      <c r="K47" s="5">
        <v>0</v>
      </c>
      <c r="L47" s="5">
        <v>3.3</v>
      </c>
      <c r="M47" s="5">
        <v>8.5</v>
      </c>
      <c r="N47" s="6">
        <v>-3.3</v>
      </c>
      <c r="O47" s="5">
        <f t="shared" si="5"/>
        <v>18.500000000000004</v>
      </c>
      <c r="P47" s="5">
        <v>3</v>
      </c>
      <c r="Q47" s="5">
        <v>0.35</v>
      </c>
      <c r="R47" s="8">
        <f t="shared" si="3"/>
        <v>1.1549999999999998</v>
      </c>
      <c r="S47" s="8">
        <f t="shared" si="4"/>
        <v>-1.1549999999999998</v>
      </c>
      <c r="T47" s="8">
        <f t="shared" ref="T47:T110" si="6">MIN(153.6,(T46+S47))</f>
        <v>24.024999999999999</v>
      </c>
      <c r="U47" s="11" t="s">
        <v>6</v>
      </c>
      <c r="V47" s="5">
        <v>1812.8</v>
      </c>
      <c r="W47" s="5">
        <v>111.90123456790124</v>
      </c>
      <c r="X47" s="5">
        <v>4083</v>
      </c>
      <c r="Z47" s="11" t="s">
        <v>7</v>
      </c>
      <c r="AA47" s="5">
        <v>12.911686431365</v>
      </c>
    </row>
    <row r="48" spans="1:27" s="5" customFormat="1" x14ac:dyDescent="0.25">
      <c r="A48" s="75"/>
      <c r="B48" s="10"/>
      <c r="C48" s="4">
        <v>41895</v>
      </c>
      <c r="D48" s="5">
        <v>16.5</v>
      </c>
      <c r="E48" s="5">
        <v>13.6</v>
      </c>
      <c r="F48" s="5">
        <v>19.5</v>
      </c>
      <c r="G48" s="5">
        <v>62.599999999999994</v>
      </c>
      <c r="I48" s="5">
        <v>26.3</v>
      </c>
      <c r="J48" s="5">
        <v>0</v>
      </c>
      <c r="K48" s="5">
        <v>0</v>
      </c>
      <c r="L48" s="5">
        <v>2.8</v>
      </c>
      <c r="M48" s="5">
        <v>11.3</v>
      </c>
      <c r="N48" s="6">
        <v>-2.8</v>
      </c>
      <c r="O48" s="5">
        <f t="shared" si="5"/>
        <v>15.700000000000003</v>
      </c>
      <c r="P48" s="5">
        <v>4</v>
      </c>
      <c r="Q48" s="5">
        <v>0.35</v>
      </c>
      <c r="R48" s="8">
        <f t="shared" si="3"/>
        <v>0.97999999999999987</v>
      </c>
      <c r="S48" s="8">
        <f t="shared" si="4"/>
        <v>-0.97999999999999987</v>
      </c>
      <c r="T48" s="8">
        <f t="shared" si="6"/>
        <v>23.044999999999998</v>
      </c>
      <c r="U48" s="5">
        <v>0</v>
      </c>
      <c r="V48" s="5">
        <v>1406.9</v>
      </c>
      <c r="W48" s="5">
        <v>85.266666666666666</v>
      </c>
      <c r="X48" s="5">
        <v>5489.9</v>
      </c>
      <c r="Z48" s="13">
        <f>(Z46/100)/I58</f>
        <v>0.49189781726868831</v>
      </c>
      <c r="AA48" s="5">
        <v>12.8487866535064</v>
      </c>
    </row>
    <row r="49" spans="1:27" s="5" customFormat="1" x14ac:dyDescent="0.25">
      <c r="A49" s="75"/>
      <c r="B49" s="10"/>
      <c r="C49" s="4">
        <v>41896</v>
      </c>
      <c r="D49" s="5">
        <v>15.8</v>
      </c>
      <c r="E49" s="5">
        <v>14</v>
      </c>
      <c r="F49" s="5">
        <v>17.5</v>
      </c>
      <c r="G49" s="5">
        <v>78.399999999999991</v>
      </c>
      <c r="I49" s="11" t="s">
        <v>8</v>
      </c>
      <c r="J49" s="5">
        <v>0.1</v>
      </c>
      <c r="K49" s="5">
        <v>0.1</v>
      </c>
      <c r="L49" s="5">
        <v>2.1</v>
      </c>
      <c r="M49" s="5">
        <v>13.4</v>
      </c>
      <c r="N49" s="6">
        <v>-2</v>
      </c>
      <c r="O49" s="5">
        <f t="shared" si="5"/>
        <v>13.700000000000003</v>
      </c>
      <c r="P49" s="5">
        <v>5</v>
      </c>
      <c r="Q49" s="5">
        <v>0.35</v>
      </c>
      <c r="R49" s="8">
        <f t="shared" si="3"/>
        <v>0.73499999999999999</v>
      </c>
      <c r="S49" s="8">
        <f t="shared" si="4"/>
        <v>-0.63500000000000001</v>
      </c>
      <c r="T49" s="8">
        <f t="shared" si="6"/>
        <v>22.409999999999997</v>
      </c>
      <c r="U49" s="11" t="s">
        <v>9</v>
      </c>
      <c r="V49" s="12">
        <v>848.8</v>
      </c>
      <c r="W49" s="5">
        <v>53.721518987341767</v>
      </c>
      <c r="X49" s="5">
        <v>6338.7</v>
      </c>
      <c r="Z49" s="11" t="s">
        <v>10</v>
      </c>
      <c r="AA49" s="5">
        <v>12.785813667348</v>
      </c>
    </row>
    <row r="50" spans="1:27" s="5" customFormat="1" x14ac:dyDescent="0.25">
      <c r="A50" s="75"/>
      <c r="B50" s="10"/>
      <c r="C50" s="4">
        <v>41897</v>
      </c>
      <c r="D50" s="5">
        <v>17.899999999999999</v>
      </c>
      <c r="E50" s="5">
        <v>13.4</v>
      </c>
      <c r="F50" s="5">
        <v>22.6</v>
      </c>
      <c r="G50" s="5">
        <v>96.299999999999983</v>
      </c>
      <c r="I50" s="8">
        <v>12.782716049382721</v>
      </c>
      <c r="J50" s="5">
        <v>0</v>
      </c>
      <c r="K50" s="5">
        <v>0.1</v>
      </c>
      <c r="L50" s="5">
        <v>2.4</v>
      </c>
      <c r="M50" s="5">
        <v>15.8</v>
      </c>
      <c r="N50" s="6">
        <v>-2.4</v>
      </c>
      <c r="O50" s="5">
        <f t="shared" si="5"/>
        <v>11.300000000000002</v>
      </c>
      <c r="P50" s="5">
        <v>6</v>
      </c>
      <c r="Q50" s="5">
        <v>0.35</v>
      </c>
      <c r="R50" s="8">
        <f t="shared" si="3"/>
        <v>0.84</v>
      </c>
      <c r="S50" s="8">
        <f t="shared" si="4"/>
        <v>-0.84</v>
      </c>
      <c r="T50" s="8">
        <f t="shared" si="6"/>
        <v>21.569999999999997</v>
      </c>
      <c r="U50" s="5">
        <v>27</v>
      </c>
      <c r="V50" s="5">
        <v>1224.4000000000001</v>
      </c>
      <c r="W50" s="5">
        <v>68.402234636871512</v>
      </c>
      <c r="X50" s="5">
        <v>7563.1</v>
      </c>
      <c r="Z50" s="5">
        <v>61</v>
      </c>
      <c r="AA50" s="5">
        <v>12.7227733648918</v>
      </c>
    </row>
    <row r="51" spans="1:27" s="5" customFormat="1" x14ac:dyDescent="0.25">
      <c r="A51" s="75"/>
      <c r="B51" s="10"/>
      <c r="C51" s="4">
        <v>41898</v>
      </c>
      <c r="D51" s="5">
        <v>18.399999999999999</v>
      </c>
      <c r="E51" s="5">
        <v>12.4</v>
      </c>
      <c r="F51" s="5">
        <v>23.9</v>
      </c>
      <c r="G51" s="5">
        <v>114.69999999999999</v>
      </c>
      <c r="I51" s="11" t="s">
        <v>11</v>
      </c>
      <c r="J51" s="5">
        <v>0</v>
      </c>
      <c r="K51" s="5">
        <v>0.1</v>
      </c>
      <c r="L51" s="5">
        <v>3.2</v>
      </c>
      <c r="M51" s="5">
        <v>19</v>
      </c>
      <c r="N51" s="6">
        <v>-3.2</v>
      </c>
      <c r="O51" s="5">
        <f t="shared" si="5"/>
        <v>8.1000000000000014</v>
      </c>
      <c r="P51" s="5">
        <v>7</v>
      </c>
      <c r="Q51" s="5">
        <v>0.35</v>
      </c>
      <c r="R51" s="8">
        <f t="shared" si="3"/>
        <v>1.1199999999999999</v>
      </c>
      <c r="S51" s="8">
        <f t="shared" si="4"/>
        <v>-1.1199999999999999</v>
      </c>
      <c r="T51" s="8">
        <f t="shared" si="6"/>
        <v>20.449999999999996</v>
      </c>
      <c r="U51" s="11" t="s">
        <v>12</v>
      </c>
      <c r="V51" s="5">
        <v>1687.3</v>
      </c>
      <c r="W51" s="5">
        <v>91.701086956521749</v>
      </c>
      <c r="X51" s="5">
        <v>9250.4</v>
      </c>
      <c r="AA51" s="5">
        <v>12.659671489917001</v>
      </c>
    </row>
    <row r="52" spans="1:27" s="5" customFormat="1" x14ac:dyDescent="0.25">
      <c r="A52" s="75"/>
      <c r="B52" s="10"/>
      <c r="C52" s="4">
        <v>41899</v>
      </c>
      <c r="D52" s="5">
        <v>20.5</v>
      </c>
      <c r="E52" s="5">
        <v>14.9</v>
      </c>
      <c r="F52" s="14">
        <v>25.7</v>
      </c>
      <c r="G52" s="5">
        <v>135.19999999999999</v>
      </c>
      <c r="I52" s="5">
        <v>0</v>
      </c>
      <c r="J52" s="5">
        <v>1.6</v>
      </c>
      <c r="K52" s="5">
        <v>1.7000000000000002</v>
      </c>
      <c r="L52" s="5">
        <v>3.2</v>
      </c>
      <c r="M52" s="5">
        <v>22.2</v>
      </c>
      <c r="N52" s="6">
        <v>-1.6</v>
      </c>
      <c r="O52" s="5">
        <f t="shared" si="5"/>
        <v>6.5000000000000018</v>
      </c>
      <c r="P52" s="5">
        <v>8</v>
      </c>
      <c r="Q52" s="5">
        <v>0.35</v>
      </c>
      <c r="R52" s="8">
        <f t="shared" si="3"/>
        <v>1.1199999999999999</v>
      </c>
      <c r="S52" s="8">
        <f t="shared" si="4"/>
        <v>0.4800000000000002</v>
      </c>
      <c r="T52" s="8">
        <f t="shared" si="6"/>
        <v>20.929999999999996</v>
      </c>
      <c r="U52" s="8">
        <f>MIN(T45:T125)</f>
        <v>20.449999999999996</v>
      </c>
      <c r="V52" s="5">
        <v>1440.7</v>
      </c>
      <c r="W52" s="5">
        <v>70.278048780487808</v>
      </c>
      <c r="X52" s="5">
        <v>10691.1</v>
      </c>
      <c r="AA52" s="5">
        <v>12.596513655801299</v>
      </c>
    </row>
    <row r="53" spans="1:27" s="5" customFormat="1" x14ac:dyDescent="0.25">
      <c r="A53" s="75"/>
      <c r="B53" s="10"/>
      <c r="C53" s="4">
        <v>41900</v>
      </c>
      <c r="D53" s="5">
        <v>20.5</v>
      </c>
      <c r="E53" s="5">
        <v>17.7</v>
      </c>
      <c r="F53" s="5">
        <v>24.3</v>
      </c>
      <c r="G53" s="5">
        <v>155.69999999999999</v>
      </c>
      <c r="I53" s="11" t="s">
        <v>13</v>
      </c>
      <c r="J53" s="5">
        <v>3.3</v>
      </c>
      <c r="K53" s="5">
        <v>5</v>
      </c>
      <c r="L53" s="5">
        <v>1.9</v>
      </c>
      <c r="M53" s="5">
        <v>24.099999999999998</v>
      </c>
      <c r="N53" s="5">
        <v>1.4</v>
      </c>
      <c r="O53" s="5">
        <f t="shared" si="5"/>
        <v>7.9000000000000021</v>
      </c>
      <c r="P53" s="5">
        <v>9</v>
      </c>
      <c r="Q53" s="5">
        <f>0.35+((P53-8)/73)*(1-0.35)</f>
        <v>0.35890410958904106</v>
      </c>
      <c r="R53" s="8">
        <f t="shared" si="3"/>
        <v>0.68191780821917802</v>
      </c>
      <c r="S53" s="8">
        <f t="shared" si="4"/>
        <v>2.6180821917808217</v>
      </c>
      <c r="T53" s="8">
        <f t="shared" si="6"/>
        <v>23.548082191780818</v>
      </c>
      <c r="U53" s="11" t="s">
        <v>14</v>
      </c>
      <c r="V53" s="12">
        <v>780.9</v>
      </c>
      <c r="W53" s="5">
        <v>38.092682926829269</v>
      </c>
      <c r="X53" s="5">
        <v>11472</v>
      </c>
      <c r="AA53" s="5">
        <v>12.533305363366001</v>
      </c>
    </row>
    <row r="54" spans="1:27" s="5" customFormat="1" x14ac:dyDescent="0.25">
      <c r="A54" s="75"/>
      <c r="B54" s="10"/>
      <c r="C54" s="4">
        <v>41901</v>
      </c>
      <c r="D54" s="5">
        <v>19.3</v>
      </c>
      <c r="E54" s="5">
        <v>15.1</v>
      </c>
      <c r="F54" s="14">
        <v>26.3</v>
      </c>
      <c r="G54" s="5">
        <v>175</v>
      </c>
      <c r="I54" s="5">
        <v>2</v>
      </c>
      <c r="J54" s="5">
        <v>10.4</v>
      </c>
      <c r="K54" s="5">
        <v>15.4</v>
      </c>
      <c r="L54" s="5">
        <v>2.4</v>
      </c>
      <c r="M54" s="5">
        <v>26.499999999999996</v>
      </c>
      <c r="N54" s="5">
        <v>8</v>
      </c>
      <c r="O54" s="5">
        <f t="shared" si="5"/>
        <v>15.900000000000002</v>
      </c>
      <c r="P54" s="5">
        <v>10</v>
      </c>
      <c r="Q54" s="5">
        <f t="shared" ref="Q54:Q117" si="7">0.35+((P54-8)/73)*(1-0.35)</f>
        <v>0.36780821917808215</v>
      </c>
      <c r="R54" s="8">
        <f t="shared" si="3"/>
        <v>0.88273972602739714</v>
      </c>
      <c r="S54" s="8">
        <f t="shared" si="4"/>
        <v>9.5172602739726031</v>
      </c>
      <c r="T54" s="8">
        <f t="shared" si="6"/>
        <v>33.065342465753417</v>
      </c>
      <c r="U54" s="8">
        <f>MAX(T45:T125)</f>
        <v>114.4219863013699</v>
      </c>
      <c r="V54" s="5">
        <v>1098.9000000000001</v>
      </c>
      <c r="W54" s="5">
        <v>56.937823834196891</v>
      </c>
      <c r="X54" s="5">
        <v>12570.9</v>
      </c>
      <c r="AA54" s="5">
        <v>12.470052018750801</v>
      </c>
    </row>
    <row r="55" spans="1:27" s="5" customFormat="1" x14ac:dyDescent="0.25">
      <c r="A55" s="75"/>
      <c r="B55" s="10"/>
      <c r="C55" s="4">
        <v>41902</v>
      </c>
      <c r="D55" s="5">
        <v>19</v>
      </c>
      <c r="E55" s="5">
        <v>16</v>
      </c>
      <c r="F55" s="5">
        <v>24.4</v>
      </c>
      <c r="G55" s="5">
        <v>194</v>
      </c>
      <c r="I55" s="11" t="s">
        <v>15</v>
      </c>
      <c r="J55" s="5">
        <v>10.5</v>
      </c>
      <c r="K55" s="5">
        <v>25.9</v>
      </c>
      <c r="L55" s="5">
        <v>2.2000000000000002</v>
      </c>
      <c r="M55" s="5">
        <v>28.699999999999996</v>
      </c>
      <c r="N55" s="5">
        <v>8.3000000000000007</v>
      </c>
      <c r="O55" s="5">
        <f t="shared" si="5"/>
        <v>24.200000000000003</v>
      </c>
      <c r="P55" s="5">
        <v>11</v>
      </c>
      <c r="Q55" s="5">
        <f t="shared" si="7"/>
        <v>0.37671232876712324</v>
      </c>
      <c r="R55" s="8">
        <f t="shared" si="3"/>
        <v>0.82876712328767121</v>
      </c>
      <c r="S55" s="8">
        <f t="shared" si="4"/>
        <v>9.6712328767123292</v>
      </c>
      <c r="T55" s="8">
        <f t="shared" si="6"/>
        <v>42.736575342465748</v>
      </c>
      <c r="U55" s="11" t="s">
        <v>16</v>
      </c>
      <c r="V55" s="12">
        <v>859.1</v>
      </c>
      <c r="W55" s="5">
        <v>45.215789473684211</v>
      </c>
      <c r="X55" s="5">
        <v>13430</v>
      </c>
      <c r="AA55" s="5">
        <v>12.4067589513265</v>
      </c>
    </row>
    <row r="56" spans="1:27" s="5" customFormat="1" x14ac:dyDescent="0.25">
      <c r="A56" s="75"/>
      <c r="B56" s="10"/>
      <c r="C56" s="4">
        <v>41903</v>
      </c>
      <c r="D56" s="5">
        <v>16.100000000000001</v>
      </c>
      <c r="E56" s="5">
        <v>15</v>
      </c>
      <c r="F56" s="5">
        <v>17.899999999999999</v>
      </c>
      <c r="G56" s="5">
        <v>210.1</v>
      </c>
      <c r="I56" s="5">
        <v>4</v>
      </c>
      <c r="J56" s="5">
        <v>0.4</v>
      </c>
      <c r="K56" s="5">
        <v>26.299999999999997</v>
      </c>
      <c r="L56" s="5">
        <v>2.5</v>
      </c>
      <c r="M56" s="5">
        <v>31.199999999999996</v>
      </c>
      <c r="N56" s="6">
        <v>-2.1</v>
      </c>
      <c r="O56" s="5">
        <f t="shared" si="5"/>
        <v>22.1</v>
      </c>
      <c r="P56" s="5">
        <v>12</v>
      </c>
      <c r="Q56" s="5">
        <f t="shared" si="7"/>
        <v>0.38561643835616438</v>
      </c>
      <c r="R56" s="8">
        <f t="shared" si="3"/>
        <v>0.96404109589041098</v>
      </c>
      <c r="S56" s="8">
        <f t="shared" si="4"/>
        <v>-0.56404109589041096</v>
      </c>
      <c r="T56" s="8">
        <f t="shared" si="6"/>
        <v>42.172534246575339</v>
      </c>
      <c r="U56" s="13">
        <f>AVERAGE(T45:T125)</f>
        <v>70.963495687468281</v>
      </c>
      <c r="V56" s="5">
        <v>1069.5</v>
      </c>
      <c r="W56" s="5">
        <v>66.428571428571416</v>
      </c>
      <c r="X56" s="5">
        <v>14499.5</v>
      </c>
      <c r="AA56" s="5">
        <v>12.343431431654199</v>
      </c>
    </row>
    <row r="57" spans="1:27" s="5" customFormat="1" x14ac:dyDescent="0.25">
      <c r="A57" s="75"/>
      <c r="B57" s="10"/>
      <c r="C57" s="4">
        <v>41904</v>
      </c>
      <c r="D57" s="5">
        <v>13.2</v>
      </c>
      <c r="E57" s="5">
        <v>10.1</v>
      </c>
      <c r="F57" s="5">
        <v>16.600000000000001</v>
      </c>
      <c r="G57" s="5">
        <v>223.29999999999998</v>
      </c>
      <c r="I57" s="11" t="s">
        <v>17</v>
      </c>
      <c r="J57" s="5">
        <v>0</v>
      </c>
      <c r="K57" s="5">
        <v>26.299999999999997</v>
      </c>
      <c r="L57" s="5">
        <v>2.7</v>
      </c>
      <c r="M57" s="5">
        <v>33.9</v>
      </c>
      <c r="N57" s="6">
        <v>-2.7</v>
      </c>
      <c r="O57" s="5">
        <f t="shared" si="5"/>
        <v>19.400000000000002</v>
      </c>
      <c r="P57" s="5">
        <v>13</v>
      </c>
      <c r="Q57" s="5">
        <f t="shared" si="7"/>
        <v>0.39452054794520547</v>
      </c>
      <c r="R57" s="8">
        <f t="shared" si="3"/>
        <v>1.0652054794520549</v>
      </c>
      <c r="S57" s="8">
        <f t="shared" si="4"/>
        <v>-1.0652054794520549</v>
      </c>
      <c r="T57" s="8">
        <f t="shared" si="6"/>
        <v>41.107328767123285</v>
      </c>
      <c r="V57" s="5">
        <v>1228.8</v>
      </c>
      <c r="W57" s="5">
        <v>93.090909090909093</v>
      </c>
      <c r="X57" s="5">
        <v>15728.3</v>
      </c>
      <c r="AA57" s="5">
        <v>12.2800746894998</v>
      </c>
    </row>
    <row r="58" spans="1:27" s="5" customFormat="1" x14ac:dyDescent="0.25">
      <c r="A58" s="75"/>
      <c r="B58" s="10"/>
      <c r="C58" s="4">
        <v>41905</v>
      </c>
      <c r="D58" s="5">
        <v>12.7</v>
      </c>
      <c r="E58" s="5">
        <v>7.8</v>
      </c>
      <c r="F58" s="5">
        <v>17.2</v>
      </c>
      <c r="G58" s="5">
        <v>235.99999999999997</v>
      </c>
      <c r="I58" s="5">
        <v>1035.4000000000001</v>
      </c>
      <c r="J58" s="5">
        <v>0</v>
      </c>
      <c r="K58" s="5">
        <v>26.299999999999997</v>
      </c>
      <c r="L58" s="5">
        <v>2.4</v>
      </c>
      <c r="M58" s="5">
        <v>36.299999999999997</v>
      </c>
      <c r="N58" s="6">
        <v>-2.4</v>
      </c>
      <c r="O58" s="5">
        <f t="shared" si="5"/>
        <v>17.000000000000004</v>
      </c>
      <c r="P58" s="5">
        <v>14</v>
      </c>
      <c r="Q58" s="5">
        <f t="shared" si="7"/>
        <v>0.40342465753424656</v>
      </c>
      <c r="R58" s="8">
        <f t="shared" si="3"/>
        <v>0.96821917808219171</v>
      </c>
      <c r="S58" s="8">
        <f t="shared" si="4"/>
        <v>-0.96821917808219171</v>
      </c>
      <c r="T58" s="8">
        <f t="shared" si="6"/>
        <v>40.139109589041091</v>
      </c>
      <c r="U58" s="8">
        <f>(U56*100)/153.6</f>
        <v>46.200192504862166</v>
      </c>
      <c r="V58" s="5">
        <v>1203.5999999999999</v>
      </c>
      <c r="W58" s="5">
        <v>94.771653543307082</v>
      </c>
      <c r="X58" s="5">
        <v>16931.899999999998</v>
      </c>
      <c r="AA58" s="5">
        <v>12.216693931913801</v>
      </c>
    </row>
    <row r="59" spans="1:27" s="5" customFormat="1" x14ac:dyDescent="0.25">
      <c r="A59" s="75"/>
      <c r="B59" s="10"/>
      <c r="C59" s="4">
        <v>41906</v>
      </c>
      <c r="D59" s="5">
        <v>12.4</v>
      </c>
      <c r="E59" s="5">
        <v>10.6</v>
      </c>
      <c r="F59" s="5">
        <v>14.5</v>
      </c>
      <c r="G59" s="5">
        <v>248.39999999999998</v>
      </c>
      <c r="J59" s="5">
        <v>3.7</v>
      </c>
      <c r="K59" s="5">
        <v>29.999999999999996</v>
      </c>
      <c r="L59" s="5">
        <v>1.6</v>
      </c>
      <c r="M59" s="5">
        <v>37.9</v>
      </c>
      <c r="N59" s="5">
        <v>2.1</v>
      </c>
      <c r="O59" s="5">
        <f t="shared" si="5"/>
        <v>19.100000000000005</v>
      </c>
      <c r="P59" s="5">
        <v>15</v>
      </c>
      <c r="Q59" s="5">
        <f t="shared" si="7"/>
        <v>0.41232876712328764</v>
      </c>
      <c r="R59" s="8">
        <f t="shared" si="3"/>
        <v>0.65972602739726027</v>
      </c>
      <c r="S59" s="8">
        <f t="shared" si="4"/>
        <v>3.0402739726027397</v>
      </c>
      <c r="T59" s="8">
        <f t="shared" si="6"/>
        <v>43.179383561643832</v>
      </c>
      <c r="V59" s="12">
        <v>835.8</v>
      </c>
      <c r="W59" s="5">
        <v>67.403225806451601</v>
      </c>
      <c r="X59" s="5">
        <v>17767.699999999997</v>
      </c>
      <c r="AA59" s="5">
        <v>12.1532943613865</v>
      </c>
    </row>
    <row r="60" spans="1:27" s="5" customFormat="1" x14ac:dyDescent="0.25">
      <c r="A60" s="75"/>
      <c r="B60" s="10"/>
      <c r="C60" s="4">
        <v>41907</v>
      </c>
      <c r="D60" s="5">
        <v>12.4</v>
      </c>
      <c r="E60" s="5">
        <v>7.6</v>
      </c>
      <c r="F60" s="5">
        <v>17.100000000000001</v>
      </c>
      <c r="G60" s="5">
        <v>260.79999999999995</v>
      </c>
      <c r="J60" s="5">
        <v>0</v>
      </c>
      <c r="K60" s="5">
        <v>29.999999999999996</v>
      </c>
      <c r="L60" s="5">
        <v>2</v>
      </c>
      <c r="M60" s="5">
        <v>39.9</v>
      </c>
      <c r="N60" s="6">
        <v>-2</v>
      </c>
      <c r="O60" s="5">
        <f t="shared" si="5"/>
        <v>17.100000000000005</v>
      </c>
      <c r="P60" s="5">
        <v>16</v>
      </c>
      <c r="Q60" s="5">
        <f t="shared" si="7"/>
        <v>0.42123287671232873</v>
      </c>
      <c r="R60" s="8">
        <f t="shared" si="3"/>
        <v>0.84246575342465746</v>
      </c>
      <c r="S60" s="8">
        <f t="shared" si="4"/>
        <v>-0.84246575342465746</v>
      </c>
      <c r="T60" s="8">
        <f t="shared" si="6"/>
        <v>42.336917808219177</v>
      </c>
      <c r="V60" s="5">
        <v>1020.7</v>
      </c>
      <c r="W60" s="5">
        <v>82.314516129032256</v>
      </c>
      <c r="X60" s="5">
        <v>18788.399999999998</v>
      </c>
      <c r="AA60" s="5">
        <v>12.089881194089701</v>
      </c>
    </row>
    <row r="61" spans="1:27" s="5" customFormat="1" x14ac:dyDescent="0.25">
      <c r="A61" s="75"/>
      <c r="B61" s="10"/>
      <c r="C61" s="4">
        <v>41908</v>
      </c>
      <c r="D61" s="5">
        <v>15.8</v>
      </c>
      <c r="E61" s="5">
        <v>11</v>
      </c>
      <c r="F61" s="5">
        <v>19.3</v>
      </c>
      <c r="G61" s="5">
        <v>276.59999999999997</v>
      </c>
      <c r="J61" s="5">
        <v>0</v>
      </c>
      <c r="K61" s="5">
        <v>29.999999999999996</v>
      </c>
      <c r="L61" s="5">
        <v>1.3</v>
      </c>
      <c r="M61" s="5">
        <v>41.199999999999996</v>
      </c>
      <c r="N61" s="6">
        <v>-1.3</v>
      </c>
      <c r="O61" s="5">
        <f t="shared" si="5"/>
        <v>15.800000000000004</v>
      </c>
      <c r="P61" s="5">
        <v>17</v>
      </c>
      <c r="Q61" s="5">
        <f t="shared" si="7"/>
        <v>0.43013698630136987</v>
      </c>
      <c r="R61" s="8">
        <f t="shared" si="3"/>
        <v>0.55917808219178089</v>
      </c>
      <c r="S61" s="8">
        <f t="shared" si="4"/>
        <v>-0.55917808219178089</v>
      </c>
      <c r="T61" s="8">
        <f t="shared" si="6"/>
        <v>41.777739726027399</v>
      </c>
      <c r="V61" s="12">
        <v>439.9</v>
      </c>
      <c r="W61" s="5">
        <v>27.841772151898731</v>
      </c>
      <c r="X61" s="5">
        <v>19228.3</v>
      </c>
      <c r="AA61" s="5">
        <v>12.0264596782143</v>
      </c>
    </row>
    <row r="62" spans="1:27" s="5" customFormat="1" x14ac:dyDescent="0.25">
      <c r="A62" s="75"/>
      <c r="B62" s="10"/>
      <c r="C62" s="4">
        <v>41909</v>
      </c>
      <c r="D62" s="5">
        <v>17.600000000000001</v>
      </c>
      <c r="E62" s="5">
        <v>15.2</v>
      </c>
      <c r="F62" s="5">
        <v>21.7</v>
      </c>
      <c r="G62" s="5">
        <v>294.2</v>
      </c>
      <c r="J62" s="5">
        <v>0</v>
      </c>
      <c r="K62" s="5">
        <v>29.999999999999996</v>
      </c>
      <c r="L62" s="5">
        <v>2.4</v>
      </c>
      <c r="M62" s="5">
        <v>43.599999999999994</v>
      </c>
      <c r="N62" s="6">
        <v>-2.4</v>
      </c>
      <c r="O62" s="5">
        <f t="shared" si="5"/>
        <v>13.400000000000004</v>
      </c>
      <c r="P62" s="5">
        <v>18</v>
      </c>
      <c r="Q62" s="5">
        <f t="shared" si="7"/>
        <v>0.43904109589041096</v>
      </c>
      <c r="R62" s="8">
        <f t="shared" si="3"/>
        <v>1.0536986301369862</v>
      </c>
      <c r="S62" s="8">
        <f t="shared" si="4"/>
        <v>-1.0536986301369862</v>
      </c>
      <c r="T62" s="8">
        <f t="shared" si="6"/>
        <v>40.724041095890414</v>
      </c>
      <c r="V62" s="5">
        <v>1011.4</v>
      </c>
      <c r="W62" s="5">
        <v>57.465909090909086</v>
      </c>
      <c r="X62" s="5">
        <v>20239.7</v>
      </c>
      <c r="AA62" s="5">
        <v>11.9630351124153</v>
      </c>
    </row>
    <row r="63" spans="1:27" s="5" customFormat="1" x14ac:dyDescent="0.25">
      <c r="A63" s="75"/>
      <c r="B63" s="10"/>
      <c r="C63" s="4">
        <v>41910</v>
      </c>
      <c r="D63" s="5">
        <v>17.100000000000001</v>
      </c>
      <c r="E63" s="5">
        <v>13</v>
      </c>
      <c r="F63" s="5">
        <v>21.4</v>
      </c>
      <c r="G63" s="5">
        <v>311.3</v>
      </c>
      <c r="J63" s="5">
        <v>0</v>
      </c>
      <c r="K63" s="5">
        <v>29.999999999999996</v>
      </c>
      <c r="L63" s="5">
        <v>1.7</v>
      </c>
      <c r="M63" s="5">
        <v>45.3</v>
      </c>
      <c r="N63" s="6">
        <v>-1.7</v>
      </c>
      <c r="O63" s="5">
        <f t="shared" si="5"/>
        <v>11.700000000000005</v>
      </c>
      <c r="P63" s="5">
        <v>19</v>
      </c>
      <c r="Q63" s="5">
        <f t="shared" si="7"/>
        <v>0.44794520547945205</v>
      </c>
      <c r="R63" s="8">
        <f t="shared" si="3"/>
        <v>0.76150684931506851</v>
      </c>
      <c r="S63" s="8">
        <f t="shared" si="4"/>
        <v>-0.76150684931506851</v>
      </c>
      <c r="T63" s="8">
        <f t="shared" si="6"/>
        <v>39.962534246575345</v>
      </c>
      <c r="V63" s="5">
        <v>1170.5</v>
      </c>
      <c r="W63" s="5">
        <v>68.450292397660817</v>
      </c>
      <c r="X63" s="5">
        <v>21410.2</v>
      </c>
      <c r="AA63" s="5">
        <v>11.8996128643743</v>
      </c>
    </row>
    <row r="64" spans="1:27" s="5" customFormat="1" x14ac:dyDescent="0.25">
      <c r="A64" s="75"/>
      <c r="B64" s="10"/>
      <c r="C64" s="4">
        <v>41911</v>
      </c>
      <c r="D64" s="5">
        <v>16.5</v>
      </c>
      <c r="E64" s="5">
        <v>13.4</v>
      </c>
      <c r="F64" s="5">
        <v>19.2</v>
      </c>
      <c r="G64" s="5">
        <v>327.8</v>
      </c>
      <c r="J64" s="5">
        <v>7.1</v>
      </c>
      <c r="K64" s="5">
        <v>37.099999999999994</v>
      </c>
      <c r="L64" s="5">
        <v>0.6</v>
      </c>
      <c r="M64" s="5">
        <v>45.9</v>
      </c>
      <c r="N64" s="5">
        <v>6.5</v>
      </c>
      <c r="O64" s="5">
        <f t="shared" si="5"/>
        <v>18.200000000000003</v>
      </c>
      <c r="P64" s="5">
        <v>20</v>
      </c>
      <c r="Q64" s="5">
        <f t="shared" si="7"/>
        <v>0.45684931506849313</v>
      </c>
      <c r="R64" s="8">
        <f t="shared" si="3"/>
        <v>0.27410958904109589</v>
      </c>
      <c r="S64" s="8">
        <f t="shared" si="4"/>
        <v>6.8258904109589036</v>
      </c>
      <c r="T64" s="8">
        <f t="shared" si="6"/>
        <v>46.78842465753425</v>
      </c>
      <c r="V64" s="12">
        <v>285.5</v>
      </c>
      <c r="W64" s="5">
        <v>17.303030303030305</v>
      </c>
      <c r="X64" s="5">
        <v>21695.7</v>
      </c>
      <c r="AA64" s="5">
        <v>11.8361983894897</v>
      </c>
    </row>
    <row r="65" spans="1:27" s="5" customFormat="1" x14ac:dyDescent="0.25">
      <c r="A65" s="75"/>
      <c r="B65" s="10"/>
      <c r="C65" s="4">
        <v>41912</v>
      </c>
      <c r="D65" s="5">
        <v>16.2</v>
      </c>
      <c r="E65" s="5">
        <v>13.4</v>
      </c>
      <c r="F65" s="5">
        <v>20.100000000000001</v>
      </c>
      <c r="G65" s="5">
        <v>344</v>
      </c>
      <c r="J65" s="5">
        <v>0.1</v>
      </c>
      <c r="K65" s="5">
        <v>37.199999999999996</v>
      </c>
      <c r="L65" s="5">
        <v>2</v>
      </c>
      <c r="M65" s="5">
        <v>47.9</v>
      </c>
      <c r="N65" s="6">
        <v>-1.9</v>
      </c>
      <c r="O65" s="5">
        <f t="shared" si="5"/>
        <v>16.300000000000004</v>
      </c>
      <c r="P65" s="5">
        <v>21</v>
      </c>
      <c r="Q65" s="5">
        <f t="shared" si="7"/>
        <v>0.46575342465753422</v>
      </c>
      <c r="R65" s="8">
        <f t="shared" si="3"/>
        <v>0.93150684931506844</v>
      </c>
      <c r="S65" s="8">
        <f t="shared" si="4"/>
        <v>-0.83150684931506846</v>
      </c>
      <c r="T65" s="8">
        <f t="shared" si="6"/>
        <v>45.956917808219181</v>
      </c>
      <c r="V65" s="5">
        <v>973.1</v>
      </c>
      <c r="W65" s="5">
        <v>60.067901234567906</v>
      </c>
      <c r="X65" s="5">
        <v>22668.799999999999</v>
      </c>
      <c r="AA65" s="5">
        <v>11.772797249703199</v>
      </c>
    </row>
    <row r="66" spans="1:27" s="5" customFormat="1" x14ac:dyDescent="0.25">
      <c r="A66" s="75"/>
      <c r="B66" s="10"/>
      <c r="C66" s="4">
        <v>41913</v>
      </c>
      <c r="D66" s="5">
        <v>16.100000000000001</v>
      </c>
      <c r="E66" s="5">
        <v>10</v>
      </c>
      <c r="F66" s="5">
        <v>22</v>
      </c>
      <c r="G66" s="5">
        <v>360.1</v>
      </c>
      <c r="J66" s="5">
        <v>0</v>
      </c>
      <c r="K66" s="5">
        <v>37.199999999999996</v>
      </c>
      <c r="L66" s="5">
        <v>2.1</v>
      </c>
      <c r="M66" s="5">
        <v>50</v>
      </c>
      <c r="N66" s="6">
        <v>-2.1</v>
      </c>
      <c r="O66" s="5">
        <f t="shared" si="5"/>
        <v>14.200000000000005</v>
      </c>
      <c r="P66" s="5">
        <v>22</v>
      </c>
      <c r="Q66" s="5">
        <f t="shared" si="7"/>
        <v>0.47465753424657531</v>
      </c>
      <c r="R66" s="8">
        <f t="shared" si="3"/>
        <v>0.99678082191780815</v>
      </c>
      <c r="S66" s="8">
        <f t="shared" si="4"/>
        <v>-0.99678082191780815</v>
      </c>
      <c r="T66" s="8">
        <f t="shared" si="6"/>
        <v>44.960136986301372</v>
      </c>
      <c r="V66" s="5">
        <v>1062.5</v>
      </c>
      <c r="W66" s="5">
        <v>65.993788819875775</v>
      </c>
      <c r="X66" s="5">
        <v>23731.3</v>
      </c>
      <c r="AA66" s="5">
        <v>11.709415132473501</v>
      </c>
    </row>
    <row r="67" spans="1:27" s="5" customFormat="1" x14ac:dyDescent="0.25">
      <c r="A67" s="75"/>
      <c r="B67" s="10"/>
      <c r="C67" s="4">
        <v>41914</v>
      </c>
      <c r="D67" s="5">
        <v>16.899999999999999</v>
      </c>
      <c r="E67" s="5">
        <v>12.7</v>
      </c>
      <c r="F67" s="5">
        <v>21.3</v>
      </c>
      <c r="G67" s="5">
        <v>377</v>
      </c>
      <c r="J67" s="5">
        <v>0</v>
      </c>
      <c r="K67" s="5">
        <v>37.199999999999996</v>
      </c>
      <c r="L67" s="5">
        <v>2.2000000000000002</v>
      </c>
      <c r="M67" s="5">
        <v>52.2</v>
      </c>
      <c r="N67" s="6">
        <v>-2.2000000000000002</v>
      </c>
      <c r="O67" s="5">
        <f t="shared" si="5"/>
        <v>12.000000000000004</v>
      </c>
      <c r="P67" s="5">
        <v>23</v>
      </c>
      <c r="Q67" s="5">
        <f t="shared" si="7"/>
        <v>0.48356164383561639</v>
      </c>
      <c r="R67" s="8">
        <f t="shared" si="3"/>
        <v>1.0638356164383562</v>
      </c>
      <c r="S67" s="8">
        <f t="shared" si="4"/>
        <v>-1.0638356164383562</v>
      </c>
      <c r="T67" s="8">
        <f t="shared" si="6"/>
        <v>43.896301369863018</v>
      </c>
      <c r="V67" s="12">
        <v>894.7</v>
      </c>
      <c r="W67" s="5">
        <v>52.940828402366868</v>
      </c>
      <c r="X67" s="5">
        <v>24626</v>
      </c>
      <c r="AA67" s="5">
        <v>11.646057869903</v>
      </c>
    </row>
    <row r="68" spans="1:27" s="5" customFormat="1" x14ac:dyDescent="0.25">
      <c r="A68" s="75"/>
      <c r="B68" s="10"/>
      <c r="C68" s="4">
        <v>41915</v>
      </c>
      <c r="D68" s="5">
        <v>16.899999999999999</v>
      </c>
      <c r="E68" s="5">
        <v>13.4</v>
      </c>
      <c r="F68" s="5">
        <v>22.3</v>
      </c>
      <c r="G68" s="5">
        <v>393.9</v>
      </c>
      <c r="J68" s="5">
        <v>0</v>
      </c>
      <c r="K68" s="5">
        <v>37.199999999999996</v>
      </c>
      <c r="L68" s="5">
        <v>2.7</v>
      </c>
      <c r="M68" s="5">
        <v>54.900000000000006</v>
      </c>
      <c r="N68" s="6">
        <v>-2.7</v>
      </c>
      <c r="O68" s="5">
        <f t="shared" si="5"/>
        <v>9.3000000000000043</v>
      </c>
      <c r="P68" s="5">
        <v>24</v>
      </c>
      <c r="Q68" s="5">
        <f t="shared" si="7"/>
        <v>0.49246575342465748</v>
      </c>
      <c r="R68" s="8">
        <f t="shared" si="3"/>
        <v>1.3296575342465753</v>
      </c>
      <c r="S68" s="8">
        <f t="shared" si="4"/>
        <v>-1.3296575342465753</v>
      </c>
      <c r="T68" s="8">
        <f t="shared" si="6"/>
        <v>42.566643835616439</v>
      </c>
      <c r="V68" s="5">
        <v>1316.8</v>
      </c>
      <c r="W68" s="5">
        <v>77.91715976331362</v>
      </c>
      <c r="X68" s="5">
        <v>25942.799999999999</v>
      </c>
      <c r="AA68" s="5">
        <v>11.582731458026</v>
      </c>
    </row>
    <row r="69" spans="1:27" s="5" customFormat="1" x14ac:dyDescent="0.25">
      <c r="A69" s="75"/>
      <c r="B69" s="10"/>
      <c r="C69" s="4">
        <v>41916</v>
      </c>
      <c r="D69" s="5">
        <v>14.5</v>
      </c>
      <c r="E69" s="5">
        <v>11.7</v>
      </c>
      <c r="F69" s="5">
        <v>20.7</v>
      </c>
      <c r="G69" s="5">
        <v>408.4</v>
      </c>
      <c r="J69" s="5">
        <v>6.5</v>
      </c>
      <c r="K69" s="5">
        <v>43.699999999999996</v>
      </c>
      <c r="L69" s="5">
        <v>2.1</v>
      </c>
      <c r="M69" s="5">
        <v>57.000000000000007</v>
      </c>
      <c r="N69" s="5">
        <v>4.4000000000000004</v>
      </c>
      <c r="O69" s="5">
        <f t="shared" si="5"/>
        <v>13.700000000000005</v>
      </c>
      <c r="P69" s="5">
        <v>25</v>
      </c>
      <c r="Q69" s="5">
        <f t="shared" si="7"/>
        <v>0.50136986301369857</v>
      </c>
      <c r="R69" s="8">
        <f t="shared" si="3"/>
        <v>1.052876712328767</v>
      </c>
      <c r="S69" s="8">
        <f t="shared" si="4"/>
        <v>5.447123287671233</v>
      </c>
      <c r="T69" s="8">
        <f t="shared" si="6"/>
        <v>48.013767123287671</v>
      </c>
      <c r="V69" s="12">
        <v>679.6</v>
      </c>
      <c r="W69" s="5">
        <v>46.868965517241378</v>
      </c>
      <c r="X69" s="5">
        <v>26622.399999999998</v>
      </c>
      <c r="AA69" s="5">
        <v>11.5194420762639</v>
      </c>
    </row>
    <row r="70" spans="1:27" s="5" customFormat="1" x14ac:dyDescent="0.25">
      <c r="A70" s="75"/>
      <c r="B70" s="10"/>
      <c r="C70" s="4">
        <v>41917</v>
      </c>
      <c r="D70" s="5">
        <v>12.9</v>
      </c>
      <c r="E70" s="5">
        <v>9.8000000000000007</v>
      </c>
      <c r="F70" s="5">
        <v>15.8</v>
      </c>
      <c r="G70" s="5">
        <v>421.29999999999995</v>
      </c>
      <c r="J70" s="5">
        <v>0</v>
      </c>
      <c r="K70" s="5">
        <v>43.699999999999996</v>
      </c>
      <c r="L70" s="5">
        <v>2.2000000000000002</v>
      </c>
      <c r="M70" s="5">
        <v>59.20000000000001</v>
      </c>
      <c r="N70" s="6">
        <v>-2.2000000000000002</v>
      </c>
      <c r="O70" s="5">
        <f t="shared" si="5"/>
        <v>11.500000000000004</v>
      </c>
      <c r="P70" s="5">
        <v>26</v>
      </c>
      <c r="Q70" s="5">
        <f t="shared" si="7"/>
        <v>0.51027397260273966</v>
      </c>
      <c r="R70" s="8">
        <f t="shared" si="3"/>
        <v>1.1226027397260274</v>
      </c>
      <c r="S70" s="8">
        <f t="shared" si="4"/>
        <v>-1.1226027397260274</v>
      </c>
      <c r="T70" s="8">
        <f t="shared" si="6"/>
        <v>46.891164383561645</v>
      </c>
      <c r="V70" s="12">
        <v>754.2</v>
      </c>
      <c r="W70" s="5">
        <v>58.465116279069768</v>
      </c>
      <c r="X70" s="5">
        <v>27376.6</v>
      </c>
      <c r="AA70" s="5">
        <v>11.4561961070522</v>
      </c>
    </row>
    <row r="71" spans="1:27" s="5" customFormat="1" x14ac:dyDescent="0.25">
      <c r="A71" s="75"/>
      <c r="B71" s="10"/>
      <c r="C71" s="4">
        <v>41918</v>
      </c>
      <c r="D71" s="5">
        <v>12.6</v>
      </c>
      <c r="E71" s="5">
        <v>12</v>
      </c>
      <c r="F71" s="5">
        <v>14</v>
      </c>
      <c r="G71" s="5">
        <v>433.9</v>
      </c>
      <c r="J71" s="5">
        <v>4.4000000000000004</v>
      </c>
      <c r="K71" s="5">
        <v>48.099999999999994</v>
      </c>
      <c r="L71" s="5">
        <v>1.5</v>
      </c>
      <c r="M71" s="5">
        <v>60.70000000000001</v>
      </c>
      <c r="N71" s="5">
        <v>2.9000000000000004</v>
      </c>
      <c r="O71" s="5">
        <f t="shared" si="5"/>
        <v>14.400000000000004</v>
      </c>
      <c r="P71" s="5">
        <v>27</v>
      </c>
      <c r="Q71" s="5">
        <f t="shared" si="7"/>
        <v>0.51917808219178085</v>
      </c>
      <c r="R71" s="8">
        <f t="shared" si="3"/>
        <v>0.77876712328767128</v>
      </c>
      <c r="S71" s="8">
        <f t="shared" si="4"/>
        <v>3.621232876712329</v>
      </c>
      <c r="T71" s="8">
        <f t="shared" si="6"/>
        <v>50.512397260273971</v>
      </c>
      <c r="V71" s="12">
        <v>349.7</v>
      </c>
      <c r="W71" s="5">
        <v>27.753968253968253</v>
      </c>
      <c r="X71" s="5">
        <v>27726.3</v>
      </c>
      <c r="AA71" s="5">
        <v>11.393000155641101</v>
      </c>
    </row>
    <row r="72" spans="1:27" s="5" customFormat="1" x14ac:dyDescent="0.25">
      <c r="A72" s="75"/>
      <c r="B72" s="10"/>
      <c r="C72" s="4">
        <v>41919</v>
      </c>
      <c r="D72" s="5">
        <v>12.1</v>
      </c>
      <c r="E72" s="5">
        <v>10.8</v>
      </c>
      <c r="F72" s="5">
        <v>14.2</v>
      </c>
      <c r="G72" s="5">
        <v>446</v>
      </c>
      <c r="J72" s="5">
        <v>4.0999999999999996</v>
      </c>
      <c r="K72" s="5">
        <v>52.199999999999996</v>
      </c>
      <c r="L72" s="5">
        <v>1.5</v>
      </c>
      <c r="M72" s="5">
        <v>62.20000000000001</v>
      </c>
      <c r="N72" s="5">
        <v>2.5999999999999996</v>
      </c>
      <c r="O72" s="5">
        <f t="shared" si="5"/>
        <v>17.000000000000004</v>
      </c>
      <c r="P72" s="5">
        <v>28</v>
      </c>
      <c r="Q72" s="5">
        <f t="shared" si="7"/>
        <v>0.52808219178082183</v>
      </c>
      <c r="R72" s="8">
        <f t="shared" si="3"/>
        <v>0.79212328767123275</v>
      </c>
      <c r="S72" s="8">
        <f t="shared" si="4"/>
        <v>3.3078767123287669</v>
      </c>
      <c r="T72" s="8">
        <f t="shared" si="6"/>
        <v>53.820273972602735</v>
      </c>
      <c r="V72" s="12">
        <v>528.1</v>
      </c>
      <c r="W72" s="5">
        <v>43.644628099173559</v>
      </c>
      <c r="X72" s="5">
        <v>28254.399999999998</v>
      </c>
      <c r="AA72" s="5">
        <v>11.329861070072299</v>
      </c>
    </row>
    <row r="73" spans="1:27" s="5" customFormat="1" x14ac:dyDescent="0.25">
      <c r="A73" s="75"/>
      <c r="B73" s="10"/>
      <c r="C73" s="4">
        <v>41920</v>
      </c>
      <c r="D73" s="5">
        <v>14.1</v>
      </c>
      <c r="E73" s="5">
        <v>9</v>
      </c>
      <c r="F73" s="5">
        <v>16.8</v>
      </c>
      <c r="G73" s="5">
        <v>460.1</v>
      </c>
      <c r="J73" s="5">
        <v>7.3</v>
      </c>
      <c r="K73" s="5">
        <v>59.499999999999993</v>
      </c>
      <c r="L73" s="5">
        <v>0.4</v>
      </c>
      <c r="M73" s="5">
        <v>62.600000000000009</v>
      </c>
      <c r="N73" s="5">
        <v>6.8999999999999995</v>
      </c>
      <c r="O73" s="5">
        <f t="shared" si="5"/>
        <v>23.900000000000002</v>
      </c>
      <c r="P73" s="5">
        <v>29</v>
      </c>
      <c r="Q73" s="5">
        <f t="shared" si="7"/>
        <v>0.53698630136986303</v>
      </c>
      <c r="R73" s="8">
        <f t="shared" si="3"/>
        <v>0.21479452054794523</v>
      </c>
      <c r="S73" s="8">
        <f t="shared" si="4"/>
        <v>7.0852054794520543</v>
      </c>
      <c r="T73" s="8">
        <f t="shared" si="6"/>
        <v>60.905479452054792</v>
      </c>
      <c r="V73" s="12">
        <v>198.6</v>
      </c>
      <c r="W73" s="5">
        <v>14.085106382978724</v>
      </c>
      <c r="X73" s="5">
        <v>28452.999999999996</v>
      </c>
      <c r="AA73" s="5">
        <v>11.2667859613301</v>
      </c>
    </row>
    <row r="74" spans="1:27" s="5" customFormat="1" x14ac:dyDescent="0.25">
      <c r="A74" s="75"/>
      <c r="B74" s="10"/>
      <c r="C74" s="4">
        <v>41921</v>
      </c>
      <c r="D74" s="5">
        <v>15.1</v>
      </c>
      <c r="E74" s="5">
        <v>13.2</v>
      </c>
      <c r="F74" s="5">
        <v>18.3</v>
      </c>
      <c r="G74" s="5">
        <v>475.20000000000005</v>
      </c>
      <c r="J74" s="5">
        <v>0.1</v>
      </c>
      <c r="K74" s="5">
        <v>59.599999999999994</v>
      </c>
      <c r="L74" s="5">
        <v>2.6</v>
      </c>
      <c r="M74" s="5">
        <v>65.2</v>
      </c>
      <c r="N74" s="6">
        <v>-2.5</v>
      </c>
      <c r="O74" s="5">
        <f t="shared" si="5"/>
        <v>21.400000000000002</v>
      </c>
      <c r="P74" s="5">
        <v>30</v>
      </c>
      <c r="Q74" s="5">
        <f t="shared" si="7"/>
        <v>0.54589041095890412</v>
      </c>
      <c r="R74" s="8">
        <f t="shared" si="3"/>
        <v>1.4193150684931508</v>
      </c>
      <c r="S74" s="8">
        <f t="shared" si="4"/>
        <v>-1.3193150684931507</v>
      </c>
      <c r="T74" s="8">
        <f t="shared" si="6"/>
        <v>59.586164383561638</v>
      </c>
      <c r="V74" s="5">
        <v>1005</v>
      </c>
      <c r="W74" s="5">
        <v>66.556291390728475</v>
      </c>
      <c r="X74" s="5">
        <v>29457.999999999996</v>
      </c>
      <c r="AA74" s="5">
        <v>11.2037822236643</v>
      </c>
    </row>
    <row r="75" spans="1:27" s="5" customFormat="1" x14ac:dyDescent="0.25">
      <c r="A75" s="75"/>
      <c r="B75" s="10"/>
      <c r="C75" s="4">
        <v>41922</v>
      </c>
      <c r="D75" s="5">
        <v>13.3</v>
      </c>
      <c r="E75" s="5">
        <v>10.5</v>
      </c>
      <c r="F75" s="5">
        <v>17.5</v>
      </c>
      <c r="G75" s="5">
        <v>488.50000000000006</v>
      </c>
      <c r="J75" s="5">
        <v>0.2</v>
      </c>
      <c r="K75" s="5">
        <v>59.8</v>
      </c>
      <c r="L75" s="5">
        <v>2</v>
      </c>
      <c r="M75" s="5">
        <v>67.2</v>
      </c>
      <c r="N75" s="6">
        <v>-1.8</v>
      </c>
      <c r="O75" s="5">
        <f t="shared" si="5"/>
        <v>19.600000000000001</v>
      </c>
      <c r="P75" s="5">
        <v>31</v>
      </c>
      <c r="Q75" s="5">
        <f t="shared" si="7"/>
        <v>0.5547945205479452</v>
      </c>
      <c r="R75" s="8">
        <f t="shared" si="3"/>
        <v>1.1095890410958904</v>
      </c>
      <c r="S75" s="8">
        <f t="shared" si="4"/>
        <v>-0.90958904109589045</v>
      </c>
      <c r="T75" s="8">
        <f t="shared" si="6"/>
        <v>58.676575342465746</v>
      </c>
      <c r="V75" s="5">
        <v>1022.5</v>
      </c>
      <c r="W75" s="5">
        <v>76.879699248120303</v>
      </c>
      <c r="X75" s="5">
        <v>30480.499999999996</v>
      </c>
      <c r="AA75" s="5">
        <v>11.140857555077901</v>
      </c>
    </row>
    <row r="76" spans="1:27" s="5" customFormat="1" x14ac:dyDescent="0.25">
      <c r="A76" s="75"/>
      <c r="B76" s="10"/>
      <c r="C76" s="4">
        <v>41923</v>
      </c>
      <c r="D76" s="5">
        <v>12.7</v>
      </c>
      <c r="E76" s="5">
        <v>10.5</v>
      </c>
      <c r="F76" s="5">
        <v>15.6</v>
      </c>
      <c r="G76" s="5">
        <v>501.20000000000005</v>
      </c>
      <c r="J76" s="5">
        <v>10.4</v>
      </c>
      <c r="K76" s="5">
        <v>70.2</v>
      </c>
      <c r="L76" s="5">
        <v>1.2</v>
      </c>
      <c r="M76" s="5">
        <v>68.400000000000006</v>
      </c>
      <c r="N76" s="5">
        <v>9.2000000000000011</v>
      </c>
      <c r="O76" s="5">
        <f t="shared" si="5"/>
        <v>28.800000000000004</v>
      </c>
      <c r="P76" s="5">
        <v>32</v>
      </c>
      <c r="Q76" s="5">
        <f t="shared" si="7"/>
        <v>0.56369863013698629</v>
      </c>
      <c r="R76" s="8">
        <f t="shared" si="3"/>
        <v>0.67643835616438353</v>
      </c>
      <c r="S76" s="8">
        <f t="shared" si="4"/>
        <v>9.7235616438356161</v>
      </c>
      <c r="T76" s="8">
        <f t="shared" si="6"/>
        <v>68.400136986301362</v>
      </c>
      <c r="V76" s="12">
        <v>598.9</v>
      </c>
      <c r="W76" s="5">
        <v>47.15748031496063</v>
      </c>
      <c r="X76" s="5">
        <v>31079.399999999998</v>
      </c>
      <c r="AA76" s="5">
        <v>11.0780199779733</v>
      </c>
    </row>
    <row r="77" spans="1:27" s="5" customFormat="1" x14ac:dyDescent="0.25">
      <c r="A77" s="75"/>
      <c r="B77" s="10"/>
      <c r="C77" s="4">
        <v>41924</v>
      </c>
      <c r="D77" s="5">
        <v>12.6</v>
      </c>
      <c r="E77" s="5">
        <v>8.3000000000000007</v>
      </c>
      <c r="F77" s="5">
        <v>16.8</v>
      </c>
      <c r="G77" s="5">
        <v>513.80000000000007</v>
      </c>
      <c r="J77" s="5">
        <v>4.9000000000000004</v>
      </c>
      <c r="K77" s="5">
        <v>75.100000000000009</v>
      </c>
      <c r="L77" s="5">
        <v>1.3</v>
      </c>
      <c r="M77" s="5">
        <v>69.7</v>
      </c>
      <c r="N77" s="5">
        <v>3.6000000000000005</v>
      </c>
      <c r="O77" s="5">
        <f t="shared" si="5"/>
        <v>32.400000000000006</v>
      </c>
      <c r="P77" s="5">
        <v>33</v>
      </c>
      <c r="Q77" s="5">
        <f t="shared" si="7"/>
        <v>0.57260273972602738</v>
      </c>
      <c r="R77" s="8">
        <f t="shared" si="3"/>
        <v>0.74438356164383557</v>
      </c>
      <c r="S77" s="8">
        <f t="shared" si="4"/>
        <v>4.1556164383561649</v>
      </c>
      <c r="T77" s="8">
        <f t="shared" si="6"/>
        <v>72.555753424657524</v>
      </c>
      <c r="V77" s="12">
        <v>786</v>
      </c>
      <c r="W77" s="5">
        <v>62.38095238095238</v>
      </c>
      <c r="X77" s="5">
        <v>31865.399999999998</v>
      </c>
      <c r="AA77" s="5">
        <v>11.0152778599436</v>
      </c>
    </row>
    <row r="78" spans="1:27" s="5" customFormat="1" x14ac:dyDescent="0.25">
      <c r="A78" s="75"/>
      <c r="B78" s="10"/>
      <c r="C78" s="4">
        <v>41925</v>
      </c>
      <c r="D78" s="5">
        <v>14.6</v>
      </c>
      <c r="E78" s="5">
        <v>13.3</v>
      </c>
      <c r="F78" s="5">
        <v>15.7</v>
      </c>
      <c r="G78" s="5">
        <v>528.40000000000009</v>
      </c>
      <c r="J78" s="5">
        <v>0</v>
      </c>
      <c r="K78" s="5">
        <v>75.100000000000009</v>
      </c>
      <c r="L78" s="5">
        <v>1.7</v>
      </c>
      <c r="M78" s="5">
        <v>71.400000000000006</v>
      </c>
      <c r="N78" s="6">
        <v>-1.7</v>
      </c>
      <c r="O78" s="5">
        <f t="shared" si="5"/>
        <v>30.700000000000006</v>
      </c>
      <c r="P78" s="5">
        <v>34</v>
      </c>
      <c r="Q78" s="5">
        <f t="shared" si="7"/>
        <v>0.58150684931506846</v>
      </c>
      <c r="R78" s="8">
        <f t="shared" si="3"/>
        <v>0.9885616438356164</v>
      </c>
      <c r="S78" s="8">
        <f t="shared" si="4"/>
        <v>-0.9885616438356164</v>
      </c>
      <c r="T78" s="8">
        <f t="shared" si="6"/>
        <v>71.567191780821915</v>
      </c>
      <c r="V78" s="12">
        <v>371.6</v>
      </c>
      <c r="W78" s="5">
        <v>25.452054794520549</v>
      </c>
      <c r="X78" s="5">
        <v>32236.999999999996</v>
      </c>
      <c r="AA78" s="5">
        <v>10.9526399346951</v>
      </c>
    </row>
    <row r="79" spans="1:27" s="5" customFormat="1" x14ac:dyDescent="0.25">
      <c r="A79" s="75"/>
      <c r="B79" s="10"/>
      <c r="C79" s="4">
        <v>41926</v>
      </c>
      <c r="D79" s="5">
        <v>12.7</v>
      </c>
      <c r="E79" s="5">
        <v>11.4</v>
      </c>
      <c r="F79" s="5">
        <v>15</v>
      </c>
      <c r="G79" s="5">
        <v>541.10000000000014</v>
      </c>
      <c r="J79" s="5">
        <v>0.6</v>
      </c>
      <c r="K79" s="5">
        <v>75.7</v>
      </c>
      <c r="L79" s="5">
        <v>1.6</v>
      </c>
      <c r="M79" s="5">
        <v>73</v>
      </c>
      <c r="N79" s="6">
        <v>-1</v>
      </c>
      <c r="O79" s="5">
        <f t="shared" si="5"/>
        <v>29.700000000000006</v>
      </c>
      <c r="P79" s="5">
        <v>35</v>
      </c>
      <c r="Q79" s="5">
        <f t="shared" si="7"/>
        <v>0.59041095890410955</v>
      </c>
      <c r="R79" s="8">
        <f t="shared" si="3"/>
        <v>0.94465753424657528</v>
      </c>
      <c r="S79" s="8">
        <f t="shared" si="4"/>
        <v>-0.3446575342465753</v>
      </c>
      <c r="T79" s="8">
        <f t="shared" si="6"/>
        <v>71.222534246575336</v>
      </c>
      <c r="V79" s="12">
        <v>377.8</v>
      </c>
      <c r="W79" s="5">
        <v>29.748031496062996</v>
      </c>
      <c r="X79" s="5">
        <v>32614.799999999996</v>
      </c>
      <c r="AA79" s="5">
        <v>10.8901153230823</v>
      </c>
    </row>
    <row r="80" spans="1:27" s="5" customFormat="1" x14ac:dyDescent="0.25">
      <c r="A80" s="75"/>
      <c r="B80" s="10"/>
      <c r="C80" s="4">
        <v>41927</v>
      </c>
      <c r="D80" s="5">
        <v>12.3</v>
      </c>
      <c r="E80" s="5">
        <v>8.4</v>
      </c>
      <c r="F80" s="5">
        <v>15.2</v>
      </c>
      <c r="G80" s="5">
        <v>553.40000000000009</v>
      </c>
      <c r="J80" s="5">
        <v>3.1</v>
      </c>
      <c r="K80" s="5">
        <v>78.8</v>
      </c>
      <c r="L80" s="5">
        <v>1.1000000000000001</v>
      </c>
      <c r="M80" s="5">
        <v>74.099999999999994</v>
      </c>
      <c r="N80" s="5">
        <v>2</v>
      </c>
      <c r="O80" s="5">
        <f t="shared" si="5"/>
        <v>31.700000000000006</v>
      </c>
      <c r="P80" s="5">
        <v>36</v>
      </c>
      <c r="Q80" s="5">
        <f t="shared" si="7"/>
        <v>0.59931506849315064</v>
      </c>
      <c r="R80" s="8">
        <f t="shared" si="3"/>
        <v>0.65924657534246578</v>
      </c>
      <c r="S80" s="8">
        <f t="shared" si="4"/>
        <v>2.4407534246575344</v>
      </c>
      <c r="T80" s="8">
        <f t="shared" si="6"/>
        <v>73.663287671232865</v>
      </c>
      <c r="V80" s="12">
        <v>495.1</v>
      </c>
      <c r="W80" s="5">
        <v>40.252032520325201</v>
      </c>
      <c r="X80" s="5">
        <v>33109.899999999994</v>
      </c>
      <c r="AA80" s="5">
        <v>10.827713554233901</v>
      </c>
    </row>
    <row r="81" spans="1:27" s="5" customFormat="1" x14ac:dyDescent="0.25">
      <c r="A81" s="75"/>
      <c r="B81" s="10"/>
      <c r="C81" s="4">
        <v>41928</v>
      </c>
      <c r="D81" s="5">
        <v>15.3</v>
      </c>
      <c r="E81" s="5">
        <v>13.2</v>
      </c>
      <c r="F81" s="5">
        <v>17.899999999999999</v>
      </c>
      <c r="G81" s="5">
        <v>568.70000000000005</v>
      </c>
      <c r="J81" s="5">
        <v>3.2</v>
      </c>
      <c r="K81" s="5">
        <v>82</v>
      </c>
      <c r="L81" s="5">
        <v>1.4</v>
      </c>
      <c r="M81" s="5">
        <v>75.5</v>
      </c>
      <c r="N81" s="5">
        <v>1.8000000000000003</v>
      </c>
      <c r="O81" s="5">
        <f t="shared" si="5"/>
        <v>33.500000000000007</v>
      </c>
      <c r="P81" s="5">
        <v>37</v>
      </c>
      <c r="Q81" s="5">
        <f t="shared" si="7"/>
        <v>0.60821917808219172</v>
      </c>
      <c r="R81" s="8">
        <f t="shared" si="3"/>
        <v>0.85150684931506837</v>
      </c>
      <c r="S81" s="8">
        <f t="shared" si="4"/>
        <v>2.3484931506849316</v>
      </c>
      <c r="T81" s="8">
        <f t="shared" si="6"/>
        <v>76.011780821917796</v>
      </c>
      <c r="V81" s="12">
        <v>488.9</v>
      </c>
      <c r="W81" s="5">
        <v>31.954248366013069</v>
      </c>
      <c r="X81" s="5">
        <v>33598.799999999996</v>
      </c>
      <c r="AA81" s="5">
        <v>10.7654445867412</v>
      </c>
    </row>
    <row r="82" spans="1:27" s="5" customFormat="1" x14ac:dyDescent="0.25">
      <c r="A82" s="75"/>
      <c r="B82" s="10"/>
      <c r="C82" s="4">
        <v>41929</v>
      </c>
      <c r="D82" s="5">
        <v>15.2</v>
      </c>
      <c r="E82" s="5">
        <v>13.3</v>
      </c>
      <c r="F82" s="5">
        <v>17.899999999999999</v>
      </c>
      <c r="G82" s="5">
        <v>583.90000000000009</v>
      </c>
      <c r="J82" s="5">
        <v>0.1</v>
      </c>
      <c r="K82" s="5">
        <v>82.1</v>
      </c>
      <c r="L82" s="5">
        <v>0.9</v>
      </c>
      <c r="M82" s="5">
        <v>76.400000000000006</v>
      </c>
      <c r="N82" s="6">
        <v>-0.8</v>
      </c>
      <c r="O82" s="5">
        <f t="shared" si="5"/>
        <v>32.70000000000001</v>
      </c>
      <c r="P82" s="5">
        <v>38</v>
      </c>
      <c r="Q82" s="5">
        <f t="shared" si="7"/>
        <v>0.61712328767123292</v>
      </c>
      <c r="R82" s="8">
        <f t="shared" si="3"/>
        <v>0.55541095890410963</v>
      </c>
      <c r="S82" s="8">
        <f t="shared" si="4"/>
        <v>-0.45541095890410965</v>
      </c>
      <c r="T82" s="8">
        <f t="shared" si="6"/>
        <v>75.556369863013686</v>
      </c>
      <c r="V82" s="12">
        <v>378.5</v>
      </c>
      <c r="W82" s="5">
        <v>24.901315789473685</v>
      </c>
      <c r="X82" s="5">
        <v>33977.299999999996</v>
      </c>
      <c r="AA82" s="5">
        <v>10.7033188298807</v>
      </c>
    </row>
    <row r="83" spans="1:27" s="5" customFormat="1" x14ac:dyDescent="0.25">
      <c r="A83" s="75"/>
      <c r="B83" s="10"/>
      <c r="C83" s="4">
        <v>41930</v>
      </c>
      <c r="D83" s="5">
        <v>18.100000000000001</v>
      </c>
      <c r="E83" s="5">
        <v>14.6</v>
      </c>
      <c r="F83" s="5">
        <v>21.7</v>
      </c>
      <c r="G83" s="5">
        <v>602.00000000000011</v>
      </c>
      <c r="J83" s="5">
        <v>0</v>
      </c>
      <c r="K83" s="5">
        <v>82.1</v>
      </c>
      <c r="L83" s="5">
        <v>1.7</v>
      </c>
      <c r="M83" s="5">
        <v>78.100000000000009</v>
      </c>
      <c r="N83" s="6">
        <v>-1.7</v>
      </c>
      <c r="O83" s="5">
        <f t="shared" si="5"/>
        <v>31.000000000000011</v>
      </c>
      <c r="P83" s="5">
        <v>39</v>
      </c>
      <c r="Q83" s="5">
        <f t="shared" si="7"/>
        <v>0.6260273972602739</v>
      </c>
      <c r="R83" s="8">
        <f t="shared" si="3"/>
        <v>1.0642465753424657</v>
      </c>
      <c r="S83" s="8">
        <f t="shared" si="4"/>
        <v>-1.0642465753424657</v>
      </c>
      <c r="T83" s="8">
        <f t="shared" si="6"/>
        <v>74.49212328767122</v>
      </c>
      <c r="V83" s="5">
        <v>914.9</v>
      </c>
      <c r="W83" s="5">
        <v>50.546961325966848</v>
      </c>
      <c r="X83" s="5">
        <v>34892.199999999997</v>
      </c>
      <c r="AA83" s="5">
        <v>10.6413471648317</v>
      </c>
    </row>
    <row r="84" spans="1:27" s="5" customFormat="1" x14ac:dyDescent="0.25">
      <c r="A84" s="75"/>
      <c r="B84" s="10"/>
      <c r="C84" s="4">
        <v>41931</v>
      </c>
      <c r="D84" s="5">
        <v>17.2</v>
      </c>
      <c r="E84" s="5">
        <v>15.7</v>
      </c>
      <c r="F84" s="5">
        <v>21.8</v>
      </c>
      <c r="G84" s="5">
        <v>619.20000000000016</v>
      </c>
      <c r="J84" s="5">
        <v>0</v>
      </c>
      <c r="K84" s="5">
        <v>82.1</v>
      </c>
      <c r="L84" s="5">
        <v>2.5</v>
      </c>
      <c r="M84" s="5">
        <v>80.600000000000009</v>
      </c>
      <c r="N84" s="6">
        <v>-2.5</v>
      </c>
      <c r="O84" s="5">
        <f t="shared" si="5"/>
        <v>28.500000000000011</v>
      </c>
      <c r="P84" s="5">
        <v>40</v>
      </c>
      <c r="Q84" s="5">
        <f t="shared" si="7"/>
        <v>0.6349315068493151</v>
      </c>
      <c r="R84" s="8">
        <f t="shared" si="3"/>
        <v>1.5873287671232879</v>
      </c>
      <c r="S84" s="8">
        <f t="shared" si="4"/>
        <v>-1.5873287671232879</v>
      </c>
      <c r="T84" s="8">
        <f t="shared" si="6"/>
        <v>72.904794520547938</v>
      </c>
      <c r="V84" s="5">
        <v>945.7</v>
      </c>
      <c r="W84" s="5">
        <v>54.982558139534888</v>
      </c>
      <c r="X84" s="5">
        <v>35837.899999999994</v>
      </c>
      <c r="AA84" s="5">
        <v>10.5795409658507</v>
      </c>
    </row>
    <row r="85" spans="1:27" s="5" customFormat="1" x14ac:dyDescent="0.25">
      <c r="A85" s="75"/>
      <c r="B85" s="10"/>
      <c r="C85" s="4">
        <v>41932</v>
      </c>
      <c r="D85" s="5">
        <v>14.4</v>
      </c>
      <c r="E85" s="5">
        <v>12.2</v>
      </c>
      <c r="F85" s="5">
        <v>17.7</v>
      </c>
      <c r="G85" s="5">
        <v>633.60000000000014</v>
      </c>
      <c r="J85" s="5">
        <v>0.1</v>
      </c>
      <c r="K85" s="5">
        <v>82.199999999999989</v>
      </c>
      <c r="L85" s="5">
        <v>2.1</v>
      </c>
      <c r="M85" s="5">
        <v>82.7</v>
      </c>
      <c r="N85" s="6">
        <v>-2</v>
      </c>
      <c r="O85" s="5">
        <f t="shared" si="5"/>
        <v>26.500000000000011</v>
      </c>
      <c r="P85" s="5">
        <v>41</v>
      </c>
      <c r="Q85" s="5">
        <f t="shared" si="7"/>
        <v>0.64383561643835607</v>
      </c>
      <c r="R85" s="8">
        <f t="shared" si="3"/>
        <v>1.3520547945205479</v>
      </c>
      <c r="S85" s="8">
        <f t="shared" si="4"/>
        <v>-1.2520547945205478</v>
      </c>
      <c r="T85" s="8">
        <f t="shared" si="6"/>
        <v>71.652739726027391</v>
      </c>
      <c r="V85" s="12">
        <v>780.6</v>
      </c>
      <c r="W85" s="5">
        <v>54.208333333333336</v>
      </c>
      <c r="X85" s="5">
        <v>36618.499999999993</v>
      </c>
      <c r="AA85" s="5">
        <v>10.517912121352399</v>
      </c>
    </row>
    <row r="86" spans="1:27" s="5" customFormat="1" x14ac:dyDescent="0.25">
      <c r="A86" s="75"/>
      <c r="B86" s="10"/>
      <c r="C86" s="4">
        <v>41933</v>
      </c>
      <c r="D86" s="5">
        <v>12</v>
      </c>
      <c r="E86" s="5">
        <v>10.8</v>
      </c>
      <c r="F86" s="5">
        <v>14.5</v>
      </c>
      <c r="G86" s="5">
        <v>645.60000000000014</v>
      </c>
      <c r="J86" s="5">
        <v>3.7</v>
      </c>
      <c r="K86" s="5">
        <v>85.899999999999991</v>
      </c>
      <c r="L86" s="5">
        <v>1.9</v>
      </c>
      <c r="M86" s="5">
        <v>84.600000000000009</v>
      </c>
      <c r="N86" s="5">
        <v>1.8000000000000003</v>
      </c>
      <c r="O86" s="5">
        <f t="shared" si="5"/>
        <v>28.300000000000011</v>
      </c>
      <c r="P86" s="5">
        <v>42</v>
      </c>
      <c r="Q86" s="5">
        <f t="shared" si="7"/>
        <v>0.65273972602739727</v>
      </c>
      <c r="R86" s="8">
        <f t="shared" si="3"/>
        <v>1.2402054794520547</v>
      </c>
      <c r="S86" s="8">
        <f t="shared" si="4"/>
        <v>2.4597945205479457</v>
      </c>
      <c r="T86" s="8">
        <f t="shared" si="6"/>
        <v>74.112534246575336</v>
      </c>
      <c r="V86" s="12">
        <v>382.9</v>
      </c>
      <c r="W86" s="5">
        <v>31.908333333333331</v>
      </c>
      <c r="X86" s="5">
        <v>37001.399999999994</v>
      </c>
      <c r="AA86" s="5">
        <v>10.456473054847701</v>
      </c>
    </row>
    <row r="87" spans="1:27" s="5" customFormat="1" x14ac:dyDescent="0.25">
      <c r="A87" s="75"/>
      <c r="B87" s="10"/>
      <c r="C87" s="4">
        <v>41934</v>
      </c>
      <c r="D87" s="5">
        <v>9.6999999999999993</v>
      </c>
      <c r="E87" s="5">
        <v>7.6</v>
      </c>
      <c r="F87" s="5">
        <v>11.3</v>
      </c>
      <c r="G87" s="5">
        <v>655.30000000000018</v>
      </c>
      <c r="J87" s="5">
        <v>0.3</v>
      </c>
      <c r="K87" s="5">
        <v>86.199999999999989</v>
      </c>
      <c r="L87" s="5">
        <v>1.5</v>
      </c>
      <c r="M87" s="5">
        <v>86.100000000000009</v>
      </c>
      <c r="N87" s="6">
        <v>-1.2</v>
      </c>
      <c r="O87" s="5">
        <f t="shared" si="5"/>
        <v>27.100000000000012</v>
      </c>
      <c r="P87" s="5">
        <v>43</v>
      </c>
      <c r="Q87" s="5">
        <f t="shared" si="7"/>
        <v>0.66164383561643825</v>
      </c>
      <c r="R87" s="8">
        <f t="shared" si="3"/>
        <v>0.99246575342465737</v>
      </c>
      <c r="S87" s="8">
        <f t="shared" si="4"/>
        <v>-0.69246575342465744</v>
      </c>
      <c r="T87" s="8">
        <f t="shared" si="6"/>
        <v>73.42006849315068</v>
      </c>
      <c r="V87" s="12">
        <v>602.1</v>
      </c>
      <c r="W87" s="5">
        <v>62.072164948453619</v>
      </c>
      <c r="X87" s="5">
        <v>37603.499999999993</v>
      </c>
      <c r="AA87" s="5">
        <v>10.3952367456766</v>
      </c>
    </row>
    <row r="88" spans="1:27" s="5" customFormat="1" x14ac:dyDescent="0.25">
      <c r="A88" s="75"/>
      <c r="B88" s="10"/>
      <c r="C88" s="4">
        <v>41935</v>
      </c>
      <c r="D88" s="5">
        <v>12.1</v>
      </c>
      <c r="E88" s="5">
        <v>10.199999999999999</v>
      </c>
      <c r="F88" s="5">
        <v>13.9</v>
      </c>
      <c r="G88" s="5">
        <v>667.4000000000002</v>
      </c>
      <c r="J88" s="5">
        <v>0.2</v>
      </c>
      <c r="K88" s="5">
        <v>86.399999999999991</v>
      </c>
      <c r="L88" s="5">
        <v>1.1000000000000001</v>
      </c>
      <c r="M88" s="5">
        <v>87.2</v>
      </c>
      <c r="N88" s="6">
        <v>-0.90000000000000013</v>
      </c>
      <c r="O88" s="5">
        <f t="shared" si="5"/>
        <v>26.200000000000014</v>
      </c>
      <c r="P88" s="5">
        <v>44</v>
      </c>
      <c r="Q88" s="5">
        <f t="shared" si="7"/>
        <v>0.67054794520547945</v>
      </c>
      <c r="R88" s="8">
        <f t="shared" si="3"/>
        <v>0.73760273972602741</v>
      </c>
      <c r="S88" s="8">
        <f t="shared" si="4"/>
        <v>-0.53760273972602746</v>
      </c>
      <c r="T88" s="8">
        <f t="shared" si="6"/>
        <v>72.882465753424654</v>
      </c>
      <c r="V88" s="12">
        <v>217.1</v>
      </c>
      <c r="W88" s="5">
        <v>17.942148760330578</v>
      </c>
      <c r="X88" s="5">
        <v>37820.599999999991</v>
      </c>
      <c r="AA88" s="5">
        <v>10.3342167494721</v>
      </c>
    </row>
    <row r="89" spans="1:27" s="5" customFormat="1" x14ac:dyDescent="0.25">
      <c r="A89" s="75"/>
      <c r="B89" s="10"/>
      <c r="C89" s="4">
        <v>41936</v>
      </c>
      <c r="D89" s="5">
        <v>12</v>
      </c>
      <c r="E89" s="5">
        <v>11.5</v>
      </c>
      <c r="F89" s="5">
        <v>12.6</v>
      </c>
      <c r="G89" s="5">
        <v>679.4000000000002</v>
      </c>
      <c r="J89" s="5">
        <v>3.3</v>
      </c>
      <c r="K89" s="5">
        <v>89.699999999999989</v>
      </c>
      <c r="L89" s="5">
        <v>0.6</v>
      </c>
      <c r="M89" s="5">
        <v>87.8</v>
      </c>
      <c r="N89" s="5">
        <v>2.6999999999999997</v>
      </c>
      <c r="O89" s="5">
        <f t="shared" si="5"/>
        <v>28.900000000000013</v>
      </c>
      <c r="P89" s="5">
        <v>45</v>
      </c>
      <c r="Q89" s="5">
        <f t="shared" si="7"/>
        <v>0.67945205479452053</v>
      </c>
      <c r="R89" s="8">
        <f t="shared" si="3"/>
        <v>0.40767123287671231</v>
      </c>
      <c r="S89" s="8">
        <f t="shared" si="4"/>
        <v>2.8923287671232876</v>
      </c>
      <c r="T89" s="8">
        <f t="shared" si="6"/>
        <v>75.774794520547943</v>
      </c>
      <c r="V89" s="12">
        <v>129.4</v>
      </c>
      <c r="W89" s="5">
        <v>10.783333333333333</v>
      </c>
      <c r="X89" s="5">
        <v>37949.999999999993</v>
      </c>
      <c r="AA89" s="5">
        <v>10.273427218281</v>
      </c>
    </row>
    <row r="90" spans="1:27" s="5" customFormat="1" x14ac:dyDescent="0.25">
      <c r="A90" s="75"/>
      <c r="B90" s="10"/>
      <c r="C90" s="4">
        <v>41937</v>
      </c>
      <c r="D90" s="5">
        <v>13.4</v>
      </c>
      <c r="E90" s="5">
        <v>12</v>
      </c>
      <c r="F90" s="5">
        <v>15.3</v>
      </c>
      <c r="G90" s="5">
        <v>692.80000000000018</v>
      </c>
      <c r="J90" s="5">
        <v>0</v>
      </c>
      <c r="K90" s="5">
        <v>89.699999999999989</v>
      </c>
      <c r="L90" s="5">
        <v>1.9</v>
      </c>
      <c r="M90" s="5">
        <v>89.7</v>
      </c>
      <c r="N90" s="6">
        <v>-1.9</v>
      </c>
      <c r="O90" s="5">
        <f t="shared" si="5"/>
        <v>27.000000000000014</v>
      </c>
      <c r="P90" s="5">
        <v>46</v>
      </c>
      <c r="Q90" s="5">
        <f t="shared" si="7"/>
        <v>0.68835616438356162</v>
      </c>
      <c r="R90" s="8">
        <f t="shared" si="3"/>
        <v>1.3078767123287671</v>
      </c>
      <c r="S90" s="8">
        <f t="shared" si="4"/>
        <v>-1.3078767123287671</v>
      </c>
      <c r="T90" s="8">
        <f t="shared" si="6"/>
        <v>74.466917808219179</v>
      </c>
      <c r="V90" s="12">
        <v>740.3</v>
      </c>
      <c r="W90" s="5">
        <v>55.24626865671641</v>
      </c>
      <c r="X90" s="5">
        <v>38690.299999999996</v>
      </c>
      <c r="AA90" s="5">
        <v>10.2128829202618</v>
      </c>
    </row>
    <row r="91" spans="1:27" s="5" customFormat="1" x14ac:dyDescent="0.25">
      <c r="A91" s="75"/>
      <c r="B91" s="10"/>
      <c r="C91" s="4">
        <v>41938</v>
      </c>
      <c r="D91" s="5">
        <v>13.3</v>
      </c>
      <c r="E91" s="5">
        <v>11.2</v>
      </c>
      <c r="F91" s="5">
        <v>15.7</v>
      </c>
      <c r="G91" s="5">
        <v>706.10000000000014</v>
      </c>
      <c r="J91" s="5">
        <v>0</v>
      </c>
      <c r="K91" s="5">
        <v>89.699999999999989</v>
      </c>
      <c r="L91" s="5">
        <v>1.5</v>
      </c>
      <c r="M91" s="5">
        <v>91.2</v>
      </c>
      <c r="N91" s="6">
        <v>-1.5</v>
      </c>
      <c r="O91" s="5">
        <f t="shared" si="5"/>
        <v>25.500000000000014</v>
      </c>
      <c r="P91" s="5">
        <v>47</v>
      </c>
      <c r="Q91" s="5">
        <f t="shared" si="7"/>
        <v>0.69726027397260282</v>
      </c>
      <c r="R91" s="8">
        <f t="shared" si="3"/>
        <v>1.0458904109589042</v>
      </c>
      <c r="S91" s="8">
        <f t="shared" si="4"/>
        <v>-1.0458904109589042</v>
      </c>
      <c r="T91" s="8">
        <f t="shared" si="6"/>
        <v>73.421027397260275</v>
      </c>
      <c r="V91" s="12">
        <v>476.7</v>
      </c>
      <c r="W91" s="5">
        <v>35.84210526315789</v>
      </c>
      <c r="X91" s="5">
        <v>39166.999999999993</v>
      </c>
      <c r="AA91" s="5">
        <v>10.152599258871</v>
      </c>
    </row>
    <row r="92" spans="1:27" s="5" customFormat="1" x14ac:dyDescent="0.25">
      <c r="A92" s="75"/>
      <c r="B92" s="10"/>
      <c r="C92" s="4">
        <v>41939</v>
      </c>
      <c r="D92" s="5">
        <v>12</v>
      </c>
      <c r="E92" s="5">
        <v>8.5</v>
      </c>
      <c r="F92" s="5">
        <v>14.3</v>
      </c>
      <c r="G92" s="5">
        <v>718.10000000000014</v>
      </c>
      <c r="J92" s="5">
        <v>0</v>
      </c>
      <c r="K92" s="5">
        <v>89.699999999999989</v>
      </c>
      <c r="L92" s="5">
        <v>0.9</v>
      </c>
      <c r="M92" s="5">
        <v>92.100000000000009</v>
      </c>
      <c r="N92" s="6">
        <v>-0.9</v>
      </c>
      <c r="O92" s="5">
        <f t="shared" si="5"/>
        <v>24.600000000000016</v>
      </c>
      <c r="P92" s="5">
        <v>48</v>
      </c>
      <c r="Q92" s="5">
        <f t="shared" si="7"/>
        <v>0.70616438356164379</v>
      </c>
      <c r="R92" s="8">
        <f t="shared" si="3"/>
        <v>0.63554794520547941</v>
      </c>
      <c r="S92" s="8">
        <f t="shared" si="4"/>
        <v>-0.63554794520547941</v>
      </c>
      <c r="T92" s="8">
        <f t="shared" si="6"/>
        <v>72.785479452054801</v>
      </c>
      <c r="V92" s="12">
        <v>610.4</v>
      </c>
      <c r="W92" s="5">
        <v>50.866666666666667</v>
      </c>
      <c r="X92" s="5">
        <v>39777.399999999994</v>
      </c>
      <c r="AA92" s="5">
        <v>10.0925922914425</v>
      </c>
    </row>
    <row r="93" spans="1:27" s="5" customFormat="1" x14ac:dyDescent="0.25">
      <c r="A93" s="75"/>
      <c r="B93" s="10"/>
      <c r="C93" s="4">
        <v>41940</v>
      </c>
      <c r="D93" s="5">
        <v>10.3</v>
      </c>
      <c r="E93" s="5">
        <v>9.4</v>
      </c>
      <c r="F93" s="5">
        <v>10.9</v>
      </c>
      <c r="G93" s="5">
        <v>728.40000000000009</v>
      </c>
      <c r="J93" s="5">
        <v>0</v>
      </c>
      <c r="K93" s="5">
        <v>89.699999999999989</v>
      </c>
      <c r="L93" s="5">
        <v>0.5</v>
      </c>
      <c r="M93" s="5">
        <v>92.600000000000009</v>
      </c>
      <c r="N93" s="6">
        <v>-0.5</v>
      </c>
      <c r="O93" s="5">
        <f t="shared" si="5"/>
        <v>24.100000000000016</v>
      </c>
      <c r="P93" s="5">
        <v>49</v>
      </c>
      <c r="Q93" s="5">
        <f t="shared" si="7"/>
        <v>0.71506849315068499</v>
      </c>
      <c r="R93" s="8">
        <f t="shared" si="3"/>
        <v>0.3575342465753425</v>
      </c>
      <c r="S93" s="8">
        <f t="shared" si="4"/>
        <v>-0.3575342465753425</v>
      </c>
      <c r="T93" s="8">
        <f t="shared" si="6"/>
        <v>72.42794520547946</v>
      </c>
      <c r="V93" s="12">
        <v>223.8</v>
      </c>
      <c r="W93" s="5">
        <v>21.728155339805824</v>
      </c>
      <c r="X93" s="5">
        <v>40001.199999999997</v>
      </c>
      <c r="AA93" s="5">
        <v>10.032878747055101</v>
      </c>
    </row>
    <row r="94" spans="1:27" s="5" customFormat="1" x14ac:dyDescent="0.25">
      <c r="A94" s="75"/>
      <c r="B94" s="10"/>
      <c r="C94" s="4">
        <v>41941</v>
      </c>
      <c r="D94" s="5">
        <v>11.7</v>
      </c>
      <c r="E94" s="5">
        <v>10.4</v>
      </c>
      <c r="F94" s="5">
        <v>13</v>
      </c>
      <c r="G94" s="5">
        <v>740.10000000000014</v>
      </c>
      <c r="J94" s="5">
        <v>4.4000000000000004</v>
      </c>
      <c r="K94" s="5">
        <v>94.1</v>
      </c>
      <c r="L94" s="5">
        <v>0.4</v>
      </c>
      <c r="M94" s="5">
        <v>93.000000000000014</v>
      </c>
      <c r="N94" s="5">
        <v>4</v>
      </c>
      <c r="O94" s="5">
        <f t="shared" si="5"/>
        <v>28.100000000000016</v>
      </c>
      <c r="P94" s="5">
        <v>50</v>
      </c>
      <c r="Q94" s="5">
        <f t="shared" si="7"/>
        <v>0.72397260273972597</v>
      </c>
      <c r="R94" s="8">
        <f t="shared" si="3"/>
        <v>0.2895890410958904</v>
      </c>
      <c r="S94" s="8">
        <f t="shared" si="4"/>
        <v>4.1104109589041098</v>
      </c>
      <c r="T94" s="8">
        <f t="shared" si="6"/>
        <v>76.538356164383572</v>
      </c>
      <c r="V94" s="12">
        <v>115.1</v>
      </c>
      <c r="W94" s="5">
        <v>9.8376068376068382</v>
      </c>
      <c r="X94" s="5">
        <v>40116.299999999996</v>
      </c>
      <c r="AA94" s="5">
        <v>9.9734760435752197</v>
      </c>
    </row>
    <row r="95" spans="1:27" s="5" customFormat="1" x14ac:dyDescent="0.25">
      <c r="A95" s="75"/>
      <c r="B95" s="10"/>
      <c r="C95" s="4">
        <v>41942</v>
      </c>
      <c r="D95" s="5">
        <v>13.5</v>
      </c>
      <c r="E95" s="5">
        <v>11</v>
      </c>
      <c r="F95" s="5">
        <v>16.7</v>
      </c>
      <c r="G95" s="5">
        <v>753.60000000000014</v>
      </c>
      <c r="J95" s="5">
        <v>0.3</v>
      </c>
      <c r="K95" s="5">
        <v>94.399999999999991</v>
      </c>
      <c r="L95" s="5">
        <v>0.6</v>
      </c>
      <c r="M95" s="5">
        <v>93.600000000000009</v>
      </c>
      <c r="N95" s="6">
        <v>-0.3</v>
      </c>
      <c r="O95" s="5">
        <f t="shared" si="5"/>
        <v>27.800000000000015</v>
      </c>
      <c r="P95" s="5">
        <v>51</v>
      </c>
      <c r="Q95" s="5">
        <f t="shared" si="7"/>
        <v>0.73287671232876717</v>
      </c>
      <c r="R95" s="8">
        <f t="shared" si="3"/>
        <v>0.4397260273972603</v>
      </c>
      <c r="S95" s="8">
        <f t="shared" si="4"/>
        <v>-0.13972602739726031</v>
      </c>
      <c r="T95" s="8">
        <f t="shared" si="6"/>
        <v>76.398630136986313</v>
      </c>
      <c r="V95" s="12">
        <v>251.7</v>
      </c>
      <c r="W95" s="5">
        <v>18.644444444444442</v>
      </c>
      <c r="X95" s="5">
        <v>40367.999999999993</v>
      </c>
      <c r="AA95" s="5">
        <v>9.9144023037533593</v>
      </c>
    </row>
    <row r="96" spans="1:27" s="5" customFormat="1" x14ac:dyDescent="0.25">
      <c r="A96" s="75"/>
      <c r="B96" s="10"/>
      <c r="C96" s="4">
        <v>41943</v>
      </c>
      <c r="D96" s="5">
        <v>14.5</v>
      </c>
      <c r="E96" s="5">
        <v>11.2</v>
      </c>
      <c r="F96" s="5">
        <v>18.600000000000001</v>
      </c>
      <c r="G96" s="5">
        <v>768.10000000000014</v>
      </c>
      <c r="J96" s="5">
        <v>0</v>
      </c>
      <c r="K96" s="5">
        <v>94.399999999999991</v>
      </c>
      <c r="L96" s="5">
        <v>1.3</v>
      </c>
      <c r="M96" s="5">
        <v>94.9</v>
      </c>
      <c r="N96" s="6">
        <v>-1.3</v>
      </c>
      <c r="O96" s="5">
        <f t="shared" si="5"/>
        <v>26.500000000000014</v>
      </c>
      <c r="P96" s="5">
        <v>52</v>
      </c>
      <c r="Q96" s="5">
        <f t="shared" si="7"/>
        <v>0.74178082191780814</v>
      </c>
      <c r="R96" s="8">
        <f t="shared" si="3"/>
        <v>0.96431506849315063</v>
      </c>
      <c r="S96" s="8">
        <f t="shared" si="4"/>
        <v>-0.96431506849315063</v>
      </c>
      <c r="T96" s="8">
        <f t="shared" si="6"/>
        <v>75.434315068493163</v>
      </c>
      <c r="V96" s="12">
        <v>803.1</v>
      </c>
      <c r="W96" s="5">
        <v>55.386206896551727</v>
      </c>
      <c r="X96" s="5">
        <v>41171.099999999991</v>
      </c>
      <c r="AA96" s="5">
        <v>9.8556763702435806</v>
      </c>
    </row>
    <row r="97" spans="1:27" s="5" customFormat="1" x14ac:dyDescent="0.25">
      <c r="A97" s="75"/>
      <c r="B97" s="10"/>
      <c r="C97" s="4">
        <v>41944</v>
      </c>
      <c r="D97" s="5">
        <v>15.2</v>
      </c>
      <c r="E97" s="5">
        <v>11.8</v>
      </c>
      <c r="F97" s="5">
        <v>19</v>
      </c>
      <c r="G97" s="5">
        <v>783.30000000000018</v>
      </c>
      <c r="J97" s="5">
        <v>0.1</v>
      </c>
      <c r="K97" s="5">
        <v>94.499999999999986</v>
      </c>
      <c r="L97" s="5">
        <v>1.6</v>
      </c>
      <c r="M97" s="5">
        <v>96.5</v>
      </c>
      <c r="N97" s="6">
        <v>-1.5</v>
      </c>
      <c r="O97" s="5">
        <f t="shared" si="5"/>
        <v>25.000000000000014</v>
      </c>
      <c r="P97" s="5">
        <v>53</v>
      </c>
      <c r="Q97" s="5">
        <f t="shared" si="7"/>
        <v>0.75068493150684934</v>
      </c>
      <c r="R97" s="8">
        <f t="shared" si="3"/>
        <v>1.201095890410959</v>
      </c>
      <c r="S97" s="8">
        <f t="shared" si="4"/>
        <v>-1.1010958904109589</v>
      </c>
      <c r="T97" s="8">
        <f t="shared" si="6"/>
        <v>74.333219178082203</v>
      </c>
      <c r="V97" s="12">
        <v>865.3</v>
      </c>
      <c r="W97" s="5">
        <v>56.92763157894737</v>
      </c>
      <c r="X97" s="5">
        <v>42036.399999999994</v>
      </c>
      <c r="AA97" s="5">
        <v>9.7973178194064694</v>
      </c>
    </row>
    <row r="98" spans="1:27" s="5" customFormat="1" x14ac:dyDescent="0.25">
      <c r="A98" s="75"/>
      <c r="B98" s="10"/>
      <c r="C98" s="4">
        <v>41945</v>
      </c>
      <c r="D98" s="5">
        <v>13.9</v>
      </c>
      <c r="E98" s="5">
        <v>11.5</v>
      </c>
      <c r="F98" s="5">
        <v>15.8</v>
      </c>
      <c r="G98" s="5">
        <v>797.20000000000016</v>
      </c>
      <c r="J98" s="5">
        <v>8</v>
      </c>
      <c r="K98" s="5">
        <v>102.49999999999999</v>
      </c>
      <c r="L98" s="5">
        <v>1.4</v>
      </c>
      <c r="M98" s="5">
        <v>97.9</v>
      </c>
      <c r="N98" s="5">
        <v>6.6</v>
      </c>
      <c r="O98" s="5">
        <f t="shared" si="5"/>
        <v>31.600000000000016</v>
      </c>
      <c r="P98" s="5">
        <v>54</v>
      </c>
      <c r="Q98" s="5">
        <f t="shared" si="7"/>
        <v>0.75958904109589032</v>
      </c>
      <c r="R98" s="8">
        <f t="shared" si="3"/>
        <v>1.0634246575342463</v>
      </c>
      <c r="S98" s="8">
        <f t="shared" si="4"/>
        <v>6.9365753424657539</v>
      </c>
      <c r="T98" s="8">
        <f t="shared" si="6"/>
        <v>81.269794520547961</v>
      </c>
      <c r="V98" s="12">
        <v>464.7</v>
      </c>
      <c r="W98" s="5">
        <v>33.431654676258994</v>
      </c>
      <c r="X98" s="5">
        <v>42501.099999999991</v>
      </c>
      <c r="AA98" s="5">
        <v>9.7393469737470699</v>
      </c>
    </row>
    <row r="99" spans="1:27" s="5" customFormat="1" x14ac:dyDescent="0.25">
      <c r="A99" s="75"/>
      <c r="B99" s="10"/>
      <c r="C99" s="4">
        <v>41946</v>
      </c>
      <c r="D99" s="5">
        <v>12.3</v>
      </c>
      <c r="E99" s="5">
        <v>11.3</v>
      </c>
      <c r="F99" s="5">
        <v>14.5</v>
      </c>
      <c r="G99" s="5">
        <v>809.50000000000011</v>
      </c>
      <c r="J99" s="5">
        <v>13.8</v>
      </c>
      <c r="K99" s="5">
        <v>116.29999999999998</v>
      </c>
      <c r="L99" s="5">
        <v>1.5</v>
      </c>
      <c r="M99" s="5">
        <v>99.4</v>
      </c>
      <c r="N99" s="5">
        <v>12.3</v>
      </c>
      <c r="O99" s="5">
        <f t="shared" si="5"/>
        <v>43.90000000000002</v>
      </c>
      <c r="P99" s="5">
        <v>55</v>
      </c>
      <c r="Q99" s="5">
        <f t="shared" si="7"/>
        <v>0.76849315068493151</v>
      </c>
      <c r="R99" s="8">
        <f t="shared" si="3"/>
        <v>1.1527397260273973</v>
      </c>
      <c r="S99" s="8">
        <f t="shared" si="4"/>
        <v>12.647260273972604</v>
      </c>
      <c r="T99" s="8">
        <f t="shared" si="6"/>
        <v>93.917054794520567</v>
      </c>
      <c r="V99" s="12">
        <v>168.2</v>
      </c>
      <c r="W99" s="5">
        <v>13.674796747967479</v>
      </c>
      <c r="X99" s="5">
        <v>42669.299999999988</v>
      </c>
      <c r="AA99" s="5">
        <v>9.6817849128304392</v>
      </c>
    </row>
    <row r="100" spans="1:27" s="5" customFormat="1" x14ac:dyDescent="0.25">
      <c r="A100" s="75"/>
      <c r="B100" s="10"/>
      <c r="C100" s="4">
        <v>41947</v>
      </c>
      <c r="D100" s="5">
        <v>8.3000000000000007</v>
      </c>
      <c r="E100" s="5">
        <v>7.3</v>
      </c>
      <c r="F100" s="5">
        <v>10</v>
      </c>
      <c r="G100" s="5">
        <v>817.80000000000007</v>
      </c>
      <c r="J100" s="5">
        <v>0.2</v>
      </c>
      <c r="K100" s="5">
        <v>116.49999999999999</v>
      </c>
      <c r="L100" s="5">
        <v>0.7</v>
      </c>
      <c r="M100" s="5">
        <v>100.10000000000001</v>
      </c>
      <c r="N100" s="6">
        <v>-0.49999999999999994</v>
      </c>
      <c r="O100" s="5">
        <f t="shared" si="5"/>
        <v>43.40000000000002</v>
      </c>
      <c r="P100" s="5">
        <v>56</v>
      </c>
      <c r="Q100" s="5">
        <f t="shared" si="7"/>
        <v>0.77739726027397249</v>
      </c>
      <c r="R100" s="8">
        <f t="shared" si="3"/>
        <v>0.54417808219178065</v>
      </c>
      <c r="S100" s="8">
        <f t="shared" si="4"/>
        <v>-0.34417808219178064</v>
      </c>
      <c r="T100" s="8">
        <f t="shared" si="6"/>
        <v>93.572876712328792</v>
      </c>
      <c r="V100" s="12">
        <v>408.8</v>
      </c>
      <c r="W100" s="5">
        <v>49.253012048192765</v>
      </c>
      <c r="X100" s="5">
        <v>43078.099999999991</v>
      </c>
      <c r="AA100" s="5">
        <v>9.6246534825086503</v>
      </c>
    </row>
    <row r="101" spans="1:27" s="5" customFormat="1" x14ac:dyDescent="0.25">
      <c r="A101" s="75"/>
      <c r="B101" s="10"/>
      <c r="C101" s="4">
        <v>41948</v>
      </c>
      <c r="D101" s="5">
        <v>6.6</v>
      </c>
      <c r="E101" s="15">
        <v>4.5999999999999996</v>
      </c>
      <c r="F101" s="5">
        <v>8.6</v>
      </c>
      <c r="G101" s="5">
        <v>824.40000000000009</v>
      </c>
      <c r="J101" s="5">
        <v>1</v>
      </c>
      <c r="K101" s="5">
        <v>117.49999999999999</v>
      </c>
      <c r="L101" s="5">
        <v>0.5</v>
      </c>
      <c r="M101" s="5">
        <v>100.60000000000001</v>
      </c>
      <c r="N101" s="5">
        <v>0.5</v>
      </c>
      <c r="O101" s="5">
        <f t="shared" si="5"/>
        <v>43.90000000000002</v>
      </c>
      <c r="P101" s="5">
        <v>57</v>
      </c>
      <c r="Q101" s="5">
        <f t="shared" si="7"/>
        <v>0.78630136986301369</v>
      </c>
      <c r="R101" s="8">
        <f t="shared" si="3"/>
        <v>0.39315068493150684</v>
      </c>
      <c r="S101" s="8">
        <f t="shared" si="4"/>
        <v>0.60684931506849316</v>
      </c>
      <c r="T101" s="8">
        <f t="shared" si="6"/>
        <v>94.17972602739728</v>
      </c>
      <c r="V101" s="12">
        <v>236.3</v>
      </c>
      <c r="W101" s="5">
        <v>35.803030303030305</v>
      </c>
      <c r="X101" s="5">
        <v>43314.399999999994</v>
      </c>
      <c r="AA101" s="5">
        <v>9.5679753022847507</v>
      </c>
    </row>
    <row r="102" spans="1:27" s="5" customFormat="1" x14ac:dyDescent="0.25">
      <c r="A102" s="75"/>
      <c r="B102" s="10"/>
      <c r="C102" s="4">
        <v>41949</v>
      </c>
      <c r="D102" s="5">
        <v>7.9</v>
      </c>
      <c r="E102" s="5">
        <v>6.1</v>
      </c>
      <c r="F102" s="5">
        <v>11</v>
      </c>
      <c r="G102" s="5">
        <v>832.30000000000007</v>
      </c>
      <c r="J102" s="5">
        <v>0.2</v>
      </c>
      <c r="K102" s="5">
        <v>117.69999999999999</v>
      </c>
      <c r="L102" s="5">
        <v>1.4</v>
      </c>
      <c r="M102" s="5">
        <v>102.00000000000001</v>
      </c>
      <c r="N102" s="6">
        <v>-1.2</v>
      </c>
      <c r="O102" s="5">
        <f t="shared" si="5"/>
        <v>42.700000000000017</v>
      </c>
      <c r="P102" s="5">
        <v>58</v>
      </c>
      <c r="Q102" s="5">
        <f t="shared" si="7"/>
        <v>0.79520547945205478</v>
      </c>
      <c r="R102" s="8">
        <f t="shared" si="3"/>
        <v>1.1132876712328765</v>
      </c>
      <c r="S102" s="8">
        <f t="shared" si="4"/>
        <v>-0.91328767123287657</v>
      </c>
      <c r="T102" s="8">
        <f t="shared" si="6"/>
        <v>93.2664383561644</v>
      </c>
      <c r="V102" s="12">
        <v>569.9</v>
      </c>
      <c r="W102" s="5">
        <v>72.139240506329102</v>
      </c>
      <c r="X102" s="5">
        <v>43884.299999999996</v>
      </c>
      <c r="AA102" s="5">
        <v>9.5117737706313008</v>
      </c>
    </row>
    <row r="103" spans="1:27" s="5" customFormat="1" x14ac:dyDescent="0.25">
      <c r="A103" s="75"/>
      <c r="B103" s="10"/>
      <c r="C103" s="4">
        <v>41950</v>
      </c>
      <c r="D103" s="5">
        <v>9.1999999999999993</v>
      </c>
      <c r="E103" s="5">
        <v>6.8</v>
      </c>
      <c r="F103" s="5">
        <v>11.1</v>
      </c>
      <c r="G103" s="5">
        <v>841.50000000000011</v>
      </c>
      <c r="J103" s="5">
        <v>2.7</v>
      </c>
      <c r="K103" s="5">
        <v>120.39999999999999</v>
      </c>
      <c r="L103" s="5">
        <v>1</v>
      </c>
      <c r="M103" s="5">
        <v>103.00000000000001</v>
      </c>
      <c r="N103" s="5">
        <v>1.7000000000000002</v>
      </c>
      <c r="O103" s="5">
        <f t="shared" si="5"/>
        <v>44.40000000000002</v>
      </c>
      <c r="P103" s="5">
        <v>59</v>
      </c>
      <c r="Q103" s="5">
        <f t="shared" si="7"/>
        <v>0.80410958904109586</v>
      </c>
      <c r="R103" s="8">
        <f t="shared" si="3"/>
        <v>0.80410958904109586</v>
      </c>
      <c r="S103" s="8">
        <f t="shared" si="4"/>
        <v>1.8958904109589043</v>
      </c>
      <c r="T103" s="8">
        <f t="shared" si="6"/>
        <v>95.162328767123299</v>
      </c>
      <c r="V103" s="12">
        <v>139.69999999999999</v>
      </c>
      <c r="W103" s="5">
        <v>15.184782608695652</v>
      </c>
      <c r="X103" s="5">
        <v>44023.999999999993</v>
      </c>
      <c r="AA103" s="5">
        <v>9.4560730680733904</v>
      </c>
    </row>
    <row r="104" spans="1:27" s="5" customFormat="1" x14ac:dyDescent="0.25">
      <c r="A104" s="75"/>
      <c r="B104" s="10"/>
      <c r="C104" s="4">
        <v>41951</v>
      </c>
      <c r="D104" s="5">
        <v>10.1</v>
      </c>
      <c r="E104" s="5">
        <v>7.4</v>
      </c>
      <c r="F104" s="5">
        <v>11.7</v>
      </c>
      <c r="G104" s="5">
        <v>851.60000000000014</v>
      </c>
      <c r="J104" s="5">
        <v>0</v>
      </c>
      <c r="K104" s="5">
        <v>120.39999999999999</v>
      </c>
      <c r="L104" s="5">
        <v>0.9</v>
      </c>
      <c r="M104" s="5">
        <v>103.90000000000002</v>
      </c>
      <c r="N104" s="6">
        <v>-0.9</v>
      </c>
      <c r="O104" s="5">
        <f t="shared" si="5"/>
        <v>43.500000000000021</v>
      </c>
      <c r="P104" s="5">
        <v>60</v>
      </c>
      <c r="Q104" s="5">
        <f t="shared" si="7"/>
        <v>0.81301369863013695</v>
      </c>
      <c r="R104" s="8">
        <f t="shared" si="3"/>
        <v>0.73171232876712322</v>
      </c>
      <c r="S104" s="8">
        <f t="shared" si="4"/>
        <v>-0.73171232876712322</v>
      </c>
      <c r="T104" s="8">
        <f t="shared" si="6"/>
        <v>94.430616438356182</v>
      </c>
      <c r="V104" s="12">
        <v>487.3</v>
      </c>
      <c r="W104" s="5">
        <v>48.24752475247525</v>
      </c>
      <c r="X104" s="5">
        <v>44511.299999999996</v>
      </c>
      <c r="AA104" s="5">
        <v>9.4008981578398192</v>
      </c>
    </row>
    <row r="105" spans="1:27" s="5" customFormat="1" x14ac:dyDescent="0.25">
      <c r="A105" s="75"/>
      <c r="B105" s="10"/>
      <c r="C105" s="4">
        <v>41952</v>
      </c>
      <c r="D105" s="5">
        <v>9.9</v>
      </c>
      <c r="E105" s="5">
        <v>7.8</v>
      </c>
      <c r="F105" s="5">
        <v>11.9</v>
      </c>
      <c r="G105" s="5">
        <v>861.50000000000011</v>
      </c>
      <c r="J105" s="5">
        <v>0.1</v>
      </c>
      <c r="K105" s="5">
        <v>120.49999999999999</v>
      </c>
      <c r="L105" s="5">
        <v>0.9</v>
      </c>
      <c r="M105" s="5">
        <v>104.80000000000003</v>
      </c>
      <c r="N105" s="6">
        <v>-0.8</v>
      </c>
      <c r="O105" s="5">
        <f t="shared" si="5"/>
        <v>42.700000000000024</v>
      </c>
      <c r="P105" s="5">
        <v>61</v>
      </c>
      <c r="Q105" s="5">
        <f t="shared" si="7"/>
        <v>0.82191780821917804</v>
      </c>
      <c r="R105" s="8">
        <f t="shared" si="3"/>
        <v>0.73972602739726023</v>
      </c>
      <c r="S105" s="8">
        <f t="shared" si="4"/>
        <v>-0.63972602739726026</v>
      </c>
      <c r="T105" s="8">
        <f t="shared" si="6"/>
        <v>93.790890410958923</v>
      </c>
      <c r="V105" s="12">
        <v>421.6</v>
      </c>
      <c r="W105" s="5">
        <v>42.585858585858588</v>
      </c>
      <c r="X105" s="5">
        <v>44932.899999999994</v>
      </c>
      <c r="AA105" s="5">
        <v>9.3462747838799203</v>
      </c>
    </row>
    <row r="106" spans="1:27" s="5" customFormat="1" x14ac:dyDescent="0.25">
      <c r="A106" s="75"/>
      <c r="B106" s="10"/>
      <c r="C106" s="4">
        <v>41953</v>
      </c>
      <c r="D106" s="5">
        <v>8.6</v>
      </c>
      <c r="E106" s="5">
        <v>6</v>
      </c>
      <c r="F106" s="5">
        <v>11.7</v>
      </c>
      <c r="G106" s="5">
        <v>870.10000000000014</v>
      </c>
      <c r="J106" s="5">
        <v>0.1</v>
      </c>
      <c r="K106" s="5">
        <v>120.59999999999998</v>
      </c>
      <c r="L106" s="5">
        <v>1</v>
      </c>
      <c r="M106" s="5">
        <v>105.80000000000003</v>
      </c>
      <c r="N106" s="6">
        <v>-0.9</v>
      </c>
      <c r="O106" s="5">
        <f t="shared" si="5"/>
        <v>41.800000000000026</v>
      </c>
      <c r="P106" s="5">
        <v>62</v>
      </c>
      <c r="Q106" s="5">
        <f t="shared" si="7"/>
        <v>0.83082191780821912</v>
      </c>
      <c r="R106" s="8">
        <f t="shared" si="3"/>
        <v>0.83082191780821912</v>
      </c>
      <c r="S106" s="8">
        <f t="shared" si="4"/>
        <v>-0.73082191780821915</v>
      </c>
      <c r="T106" s="8">
        <f t="shared" si="6"/>
        <v>93.060068493150709</v>
      </c>
      <c r="V106" s="12">
        <v>636.20000000000005</v>
      </c>
      <c r="W106" s="5">
        <v>73.976744186046517</v>
      </c>
      <c r="X106" s="5">
        <v>45569.099999999991</v>
      </c>
      <c r="AA106" s="5">
        <v>9.2922294660391405</v>
      </c>
    </row>
    <row r="107" spans="1:27" s="5" customFormat="1" x14ac:dyDescent="0.25">
      <c r="A107" s="75"/>
      <c r="B107" s="10"/>
      <c r="C107" s="4">
        <v>41954</v>
      </c>
      <c r="D107" s="5">
        <v>9.6999999999999993</v>
      </c>
      <c r="E107" s="15">
        <v>4.9000000000000004</v>
      </c>
      <c r="F107" s="5">
        <v>13.5</v>
      </c>
      <c r="G107" s="5">
        <v>879.80000000000018</v>
      </c>
      <c r="J107" s="5">
        <v>0.3</v>
      </c>
      <c r="K107" s="5">
        <v>120.89999999999998</v>
      </c>
      <c r="L107" s="5">
        <v>0.8</v>
      </c>
      <c r="M107" s="5">
        <v>106.60000000000002</v>
      </c>
      <c r="N107" s="6">
        <v>-0.5</v>
      </c>
      <c r="O107" s="5">
        <f t="shared" si="5"/>
        <v>41.300000000000026</v>
      </c>
      <c r="P107" s="5">
        <v>63</v>
      </c>
      <c r="Q107" s="5">
        <f t="shared" si="7"/>
        <v>0.83972602739726021</v>
      </c>
      <c r="R107" s="8">
        <f t="shared" si="3"/>
        <v>0.67178082191780819</v>
      </c>
      <c r="S107" s="8">
        <f t="shared" si="4"/>
        <v>-0.3717808219178082</v>
      </c>
      <c r="T107" s="8">
        <f t="shared" si="6"/>
        <v>92.688287671232899</v>
      </c>
      <c r="V107" s="12">
        <v>612.9</v>
      </c>
      <c r="W107" s="5">
        <v>63.185567010309278</v>
      </c>
      <c r="X107" s="5">
        <v>46181.999999999993</v>
      </c>
      <c r="AA107" s="5">
        <v>9.2387894921829208</v>
      </c>
    </row>
    <row r="108" spans="1:27" s="5" customFormat="1" x14ac:dyDescent="0.25">
      <c r="A108" s="75"/>
      <c r="B108" s="10"/>
      <c r="C108" s="4">
        <v>41955</v>
      </c>
      <c r="D108" s="5">
        <v>10.4</v>
      </c>
      <c r="E108" s="5">
        <v>9.5</v>
      </c>
      <c r="F108" s="5">
        <v>13.1</v>
      </c>
      <c r="G108" s="5">
        <v>890.20000000000016</v>
      </c>
      <c r="J108" s="5">
        <v>0.2</v>
      </c>
      <c r="K108" s="5">
        <v>121.09999999999998</v>
      </c>
      <c r="L108" s="5">
        <v>1.2</v>
      </c>
      <c r="M108" s="5">
        <v>107.80000000000003</v>
      </c>
      <c r="N108" s="6">
        <v>-1</v>
      </c>
      <c r="O108" s="5">
        <f t="shared" si="5"/>
        <v>40.300000000000026</v>
      </c>
      <c r="P108" s="5">
        <v>64</v>
      </c>
      <c r="Q108" s="5">
        <f t="shared" si="7"/>
        <v>0.84863013698630141</v>
      </c>
      <c r="R108" s="8">
        <f t="shared" si="3"/>
        <v>1.0183561643835617</v>
      </c>
      <c r="S108" s="8">
        <f t="shared" si="4"/>
        <v>-0.81835616438356173</v>
      </c>
      <c r="T108" s="8">
        <f t="shared" si="6"/>
        <v>91.869931506849341</v>
      </c>
      <c r="V108" s="12">
        <v>418.5</v>
      </c>
      <c r="W108" s="5">
        <v>40.240384615384613</v>
      </c>
      <c r="X108" s="5">
        <v>46600.499999999993</v>
      </c>
      <c r="AA108" s="5">
        <v>9.1859829070567294</v>
      </c>
    </row>
    <row r="109" spans="1:27" s="5" customFormat="1" x14ac:dyDescent="0.25">
      <c r="A109" s="75"/>
      <c r="B109" s="10"/>
      <c r="C109" s="4">
        <v>41956</v>
      </c>
      <c r="D109" s="5">
        <v>8.6</v>
      </c>
      <c r="E109" s="5">
        <v>5.4</v>
      </c>
      <c r="F109" s="5">
        <v>10.6</v>
      </c>
      <c r="G109" s="5">
        <v>898.80000000000018</v>
      </c>
      <c r="J109" s="5">
        <v>0.2</v>
      </c>
      <c r="K109" s="5">
        <v>121.29999999999998</v>
      </c>
      <c r="L109" s="5">
        <v>0.2</v>
      </c>
      <c r="M109" s="5">
        <v>108.00000000000003</v>
      </c>
      <c r="N109" s="5">
        <v>0</v>
      </c>
      <c r="O109" s="5">
        <f t="shared" si="5"/>
        <v>40.300000000000026</v>
      </c>
      <c r="P109" s="5">
        <v>65</v>
      </c>
      <c r="Q109" s="5">
        <f t="shared" si="7"/>
        <v>0.8575342465753425</v>
      </c>
      <c r="R109" s="8">
        <f t="shared" ref="R109:R172" si="8">Q109*L109</f>
        <v>0.17150684931506852</v>
      </c>
      <c r="S109" s="8">
        <f t="shared" ref="S109:S172" si="9">J109-R109</f>
        <v>2.8493150684931495E-2</v>
      </c>
      <c r="T109" s="8">
        <f t="shared" si="6"/>
        <v>91.898424657534278</v>
      </c>
      <c r="V109" s="12">
        <v>198</v>
      </c>
      <c r="W109" s="5">
        <v>23.02325581395349</v>
      </c>
      <c r="X109" s="5">
        <v>46798.499999999993</v>
      </c>
      <c r="AA109" s="5">
        <v>9.1338384976699007</v>
      </c>
    </row>
    <row r="110" spans="1:27" s="5" customFormat="1" x14ac:dyDescent="0.25">
      <c r="A110" s="75"/>
      <c r="B110" s="10"/>
      <c r="C110" s="4">
        <v>41957</v>
      </c>
      <c r="D110" s="5">
        <v>9.6999999999999993</v>
      </c>
      <c r="E110" s="5">
        <v>9.4</v>
      </c>
      <c r="F110" s="5">
        <v>10</v>
      </c>
      <c r="G110" s="5">
        <v>908.50000000000023</v>
      </c>
      <c r="J110" s="5">
        <v>13.4</v>
      </c>
      <c r="K110" s="5">
        <v>134.69999999999999</v>
      </c>
      <c r="L110" s="5">
        <v>0.5</v>
      </c>
      <c r="M110" s="5">
        <v>108.50000000000003</v>
      </c>
      <c r="N110" s="5">
        <v>12.9</v>
      </c>
      <c r="O110" s="5">
        <f t="shared" ref="O110:O170" si="10">O109+N110</f>
        <v>53.200000000000024</v>
      </c>
      <c r="P110" s="5">
        <v>66</v>
      </c>
      <c r="Q110" s="5">
        <f t="shared" si="7"/>
        <v>0.86643835616438358</v>
      </c>
      <c r="R110" s="8">
        <f t="shared" si="8"/>
        <v>0.43321917808219179</v>
      </c>
      <c r="S110" s="8">
        <f t="shared" si="9"/>
        <v>12.966780821917808</v>
      </c>
      <c r="T110" s="8">
        <f t="shared" si="6"/>
        <v>104.86520547945209</v>
      </c>
      <c r="V110" s="16">
        <v>89.3</v>
      </c>
      <c r="W110" s="5">
        <v>9.2061855670103103</v>
      </c>
      <c r="X110" s="5">
        <v>46887.799999999996</v>
      </c>
      <c r="AA110" s="5">
        <v>9.0823857749927601</v>
      </c>
    </row>
    <row r="111" spans="1:27" s="5" customFormat="1" x14ac:dyDescent="0.25">
      <c r="A111" s="75"/>
      <c r="B111" s="10"/>
      <c r="C111" s="4">
        <v>41958</v>
      </c>
      <c r="D111" s="5">
        <v>9.6999999999999993</v>
      </c>
      <c r="E111" s="5">
        <v>9.3000000000000007</v>
      </c>
      <c r="F111" s="5">
        <v>11.4</v>
      </c>
      <c r="G111" s="5">
        <v>918.20000000000027</v>
      </c>
      <c r="J111" s="5">
        <v>8.4</v>
      </c>
      <c r="K111" s="5">
        <v>143.1</v>
      </c>
      <c r="L111" s="5">
        <v>0.6</v>
      </c>
      <c r="M111" s="5">
        <v>109.10000000000002</v>
      </c>
      <c r="N111" s="5">
        <v>7.8000000000000007</v>
      </c>
      <c r="O111" s="5">
        <f t="shared" si="10"/>
        <v>61.000000000000028</v>
      </c>
      <c r="P111" s="5">
        <v>67</v>
      </c>
      <c r="Q111" s="5">
        <f t="shared" si="7"/>
        <v>0.87534246575342467</v>
      </c>
      <c r="R111" s="8">
        <f t="shared" si="8"/>
        <v>0.52520547945205476</v>
      </c>
      <c r="S111" s="8">
        <f t="shared" si="9"/>
        <v>7.8747945205479457</v>
      </c>
      <c r="T111" s="8">
        <f t="shared" ref="T111:T174" si="11">MIN(153.6,(T110+S111))</f>
        <v>112.74000000000004</v>
      </c>
      <c r="V111" s="12">
        <v>246.3</v>
      </c>
      <c r="W111" s="5">
        <v>25.39175257731959</v>
      </c>
      <c r="X111" s="5">
        <v>47134.1</v>
      </c>
      <c r="AA111" s="5">
        <v>9.0316549517607907</v>
      </c>
    </row>
    <row r="112" spans="1:27" s="5" customFormat="1" x14ac:dyDescent="0.25">
      <c r="A112" s="75"/>
      <c r="B112" s="10"/>
      <c r="C112" s="4">
        <v>41959</v>
      </c>
      <c r="D112" s="5">
        <v>8</v>
      </c>
      <c r="E112" s="5">
        <v>7.2</v>
      </c>
      <c r="F112" s="5">
        <v>9.6999999999999993</v>
      </c>
      <c r="G112" s="5">
        <v>926.20000000000027</v>
      </c>
      <c r="J112" s="5">
        <v>1.3</v>
      </c>
      <c r="K112" s="5">
        <v>144.4</v>
      </c>
      <c r="L112" s="5">
        <v>0.3</v>
      </c>
      <c r="M112" s="5">
        <v>109.40000000000002</v>
      </c>
      <c r="N112" s="5">
        <v>1</v>
      </c>
      <c r="O112" s="5">
        <f t="shared" si="10"/>
        <v>62.000000000000028</v>
      </c>
      <c r="P112" s="5">
        <v>68</v>
      </c>
      <c r="Q112" s="5">
        <f t="shared" si="7"/>
        <v>0.88424657534246576</v>
      </c>
      <c r="R112" s="8">
        <f t="shared" si="8"/>
        <v>0.26527397260273972</v>
      </c>
      <c r="S112" s="8">
        <f t="shared" si="9"/>
        <v>1.0347260273972603</v>
      </c>
      <c r="T112" s="8">
        <f t="shared" si="11"/>
        <v>113.77472602739729</v>
      </c>
      <c r="V112" s="16">
        <v>57.9</v>
      </c>
      <c r="W112" s="5">
        <v>7.2374999999999998</v>
      </c>
      <c r="X112" s="5">
        <v>47192</v>
      </c>
      <c r="AA112" s="17">
        <v>8.9816769161861192</v>
      </c>
    </row>
    <row r="113" spans="1:27" s="5" customFormat="1" x14ac:dyDescent="0.25">
      <c r="A113" s="75"/>
      <c r="B113" s="10"/>
      <c r="C113" s="4">
        <v>41960</v>
      </c>
      <c r="D113" s="5">
        <v>8.1</v>
      </c>
      <c r="E113" s="5">
        <v>5.3</v>
      </c>
      <c r="F113" s="5">
        <v>10</v>
      </c>
      <c r="G113" s="5">
        <v>934.3000000000003</v>
      </c>
      <c r="J113" s="5">
        <v>0.6</v>
      </c>
      <c r="K113" s="5">
        <v>145</v>
      </c>
      <c r="L113" s="5">
        <v>0.5</v>
      </c>
      <c r="M113" s="5">
        <v>109.90000000000002</v>
      </c>
      <c r="N113" s="5">
        <v>9.9999999999999978E-2</v>
      </c>
      <c r="O113" s="5">
        <f t="shared" si="10"/>
        <v>62.10000000000003</v>
      </c>
      <c r="P113" s="5">
        <v>69</v>
      </c>
      <c r="Q113" s="5">
        <f t="shared" si="7"/>
        <v>0.89315068493150684</v>
      </c>
      <c r="R113" s="8">
        <f t="shared" si="8"/>
        <v>0.44657534246575342</v>
      </c>
      <c r="S113" s="8">
        <f t="shared" si="9"/>
        <v>0.15342465753424656</v>
      </c>
      <c r="T113" s="8">
        <f t="shared" si="11"/>
        <v>113.92815068493154</v>
      </c>
      <c r="V113" s="12">
        <v>174.8</v>
      </c>
      <c r="W113" s="5">
        <v>21.58024691358025</v>
      </c>
      <c r="X113" s="5">
        <v>47366.8</v>
      </c>
      <c r="AA113" s="17">
        <v>8.9324832013857893</v>
      </c>
    </row>
    <row r="114" spans="1:27" s="5" customFormat="1" x14ac:dyDescent="0.25">
      <c r="A114" s="75"/>
      <c r="B114" s="10"/>
      <c r="C114" s="4">
        <v>41961</v>
      </c>
      <c r="D114" s="5">
        <v>8.4</v>
      </c>
      <c r="E114" s="5">
        <v>7.4</v>
      </c>
      <c r="F114" s="5">
        <v>10</v>
      </c>
      <c r="G114" s="5">
        <v>942.70000000000027</v>
      </c>
      <c r="J114" s="5">
        <v>0.4</v>
      </c>
      <c r="K114" s="5">
        <v>145.4</v>
      </c>
      <c r="L114" s="5">
        <v>0.7</v>
      </c>
      <c r="M114" s="5">
        <v>110.60000000000002</v>
      </c>
      <c r="N114" s="6">
        <v>-0.29999999999999993</v>
      </c>
      <c r="O114" s="5">
        <f t="shared" si="10"/>
        <v>61.800000000000033</v>
      </c>
      <c r="P114" s="5">
        <v>70</v>
      </c>
      <c r="Q114" s="5">
        <f t="shared" si="7"/>
        <v>0.90205479452054793</v>
      </c>
      <c r="R114" s="8">
        <f t="shared" si="8"/>
        <v>0.63143835616438349</v>
      </c>
      <c r="S114" s="8">
        <f t="shared" si="9"/>
        <v>-0.23143835616438346</v>
      </c>
      <c r="T114" s="8">
        <f t="shared" si="11"/>
        <v>113.69671232876715</v>
      </c>
      <c r="V114" s="12">
        <v>340.1</v>
      </c>
      <c r="W114" s="5">
        <v>40.488095238095241</v>
      </c>
      <c r="X114" s="5">
        <v>47706.9</v>
      </c>
      <c r="AA114" s="17">
        <v>8.8841059503489408</v>
      </c>
    </row>
    <row r="115" spans="1:27" s="5" customFormat="1" x14ac:dyDescent="0.25">
      <c r="A115" s="75"/>
      <c r="B115" s="10"/>
      <c r="C115" s="4">
        <v>41962</v>
      </c>
      <c r="D115" s="5">
        <v>8.1999999999999993</v>
      </c>
      <c r="E115" s="5">
        <v>7.5</v>
      </c>
      <c r="F115" s="5">
        <v>9.6</v>
      </c>
      <c r="G115" s="5">
        <v>950.90000000000032</v>
      </c>
      <c r="J115" s="5">
        <v>0</v>
      </c>
      <c r="K115" s="5">
        <v>145.4</v>
      </c>
      <c r="L115" s="5">
        <v>0.8</v>
      </c>
      <c r="M115" s="5">
        <v>111.40000000000002</v>
      </c>
      <c r="N115" s="6">
        <v>-0.8</v>
      </c>
      <c r="O115" s="5">
        <f t="shared" si="10"/>
        <v>61.000000000000036</v>
      </c>
      <c r="P115" s="5">
        <v>71</v>
      </c>
      <c r="Q115" s="5">
        <f t="shared" si="7"/>
        <v>0.91095890410958902</v>
      </c>
      <c r="R115" s="8">
        <f t="shared" si="8"/>
        <v>0.72876712328767124</v>
      </c>
      <c r="S115" s="8">
        <f t="shared" si="9"/>
        <v>-0.72876712328767124</v>
      </c>
      <c r="T115" s="8">
        <f t="shared" si="11"/>
        <v>112.96794520547948</v>
      </c>
      <c r="V115" s="12">
        <v>319</v>
      </c>
      <c r="W115" s="5">
        <v>38.902439024390247</v>
      </c>
      <c r="X115" s="5">
        <v>48025.9</v>
      </c>
      <c r="AA115" s="17">
        <v>8.8365778762801703</v>
      </c>
    </row>
    <row r="116" spans="1:27" s="5" customFormat="1" x14ac:dyDescent="0.25">
      <c r="A116" s="75"/>
      <c r="B116" s="10"/>
      <c r="C116" s="4">
        <v>41963</v>
      </c>
      <c r="D116" s="5">
        <v>6.3</v>
      </c>
      <c r="E116" s="5">
        <v>5.6</v>
      </c>
      <c r="F116" s="5">
        <v>7.2</v>
      </c>
      <c r="G116" s="5">
        <v>957.20000000000027</v>
      </c>
      <c r="J116" s="5">
        <v>0.1</v>
      </c>
      <c r="K116" s="5">
        <v>145.5</v>
      </c>
      <c r="L116" s="5">
        <v>0.3</v>
      </c>
      <c r="M116" s="5">
        <v>111.70000000000002</v>
      </c>
      <c r="N116" s="6">
        <v>-0.19999999999999998</v>
      </c>
      <c r="O116" s="5">
        <f t="shared" si="10"/>
        <v>60.800000000000033</v>
      </c>
      <c r="P116" s="5">
        <v>72</v>
      </c>
      <c r="Q116" s="5">
        <f t="shared" si="7"/>
        <v>0.91986301369863011</v>
      </c>
      <c r="R116" s="8">
        <f t="shared" si="8"/>
        <v>0.27595890410958901</v>
      </c>
      <c r="S116" s="8">
        <f t="shared" si="9"/>
        <v>-0.175958904109589</v>
      </c>
      <c r="T116" s="8">
        <f t="shared" si="11"/>
        <v>112.79198630136989</v>
      </c>
      <c r="V116" s="12">
        <v>195.7</v>
      </c>
      <c r="W116" s="5">
        <v>31.063492063492063</v>
      </c>
      <c r="X116" s="5">
        <v>48221.599999999999</v>
      </c>
      <c r="AA116" s="17">
        <v>8.7899322181754904</v>
      </c>
    </row>
    <row r="117" spans="1:27" s="5" customFormat="1" x14ac:dyDescent="0.25">
      <c r="A117" s="75"/>
      <c r="B117" s="18"/>
      <c r="C117" s="4">
        <v>41964</v>
      </c>
      <c r="D117" s="5">
        <v>6.9</v>
      </c>
      <c r="E117" s="15">
        <v>4.4000000000000004</v>
      </c>
      <c r="F117" s="5">
        <v>8.6</v>
      </c>
      <c r="G117" s="5">
        <v>964.10000000000025</v>
      </c>
      <c r="J117" s="5">
        <v>0</v>
      </c>
      <c r="K117" s="5">
        <v>145.5</v>
      </c>
      <c r="L117" s="5">
        <v>0.4</v>
      </c>
      <c r="M117" s="5">
        <v>112.10000000000002</v>
      </c>
      <c r="N117" s="6">
        <v>-0.4</v>
      </c>
      <c r="O117" s="5">
        <f t="shared" si="10"/>
        <v>60.400000000000034</v>
      </c>
      <c r="P117" s="5">
        <v>73</v>
      </c>
      <c r="Q117" s="5">
        <f t="shared" si="7"/>
        <v>0.92876712328767119</v>
      </c>
      <c r="R117" s="8">
        <f t="shared" si="8"/>
        <v>0.3715068493150685</v>
      </c>
      <c r="S117" s="8">
        <f t="shared" si="9"/>
        <v>-0.3715068493150685</v>
      </c>
      <c r="T117" s="8">
        <f t="shared" si="11"/>
        <v>112.42047945205482</v>
      </c>
      <c r="V117" s="12">
        <v>362.8</v>
      </c>
      <c r="W117" s="5">
        <v>52.579710144927532</v>
      </c>
      <c r="X117" s="5">
        <v>48584.4</v>
      </c>
      <c r="AA117" s="17">
        <v>8.7442026915098996</v>
      </c>
    </row>
    <row r="118" spans="1:27" s="5" customFormat="1" x14ac:dyDescent="0.25">
      <c r="A118" s="75"/>
      <c r="B118" s="10"/>
      <c r="C118" s="4">
        <v>41965</v>
      </c>
      <c r="D118" s="5">
        <v>10.1</v>
      </c>
      <c r="E118" s="5">
        <v>6.8</v>
      </c>
      <c r="F118" s="5">
        <v>13.4</v>
      </c>
      <c r="G118" s="5">
        <v>974.20000000000027</v>
      </c>
      <c r="J118" s="5">
        <v>0.1</v>
      </c>
      <c r="K118" s="5">
        <v>145.6</v>
      </c>
      <c r="L118" s="5">
        <v>0.3</v>
      </c>
      <c r="M118" s="5">
        <v>112.40000000000002</v>
      </c>
      <c r="N118" s="6">
        <v>-0.19999999999999998</v>
      </c>
      <c r="O118" s="5">
        <f t="shared" si="10"/>
        <v>60.200000000000031</v>
      </c>
      <c r="P118" s="5">
        <v>74</v>
      </c>
      <c r="Q118" s="5">
        <f t="shared" ref="Q118:Q125" si="12">0.35+((P118-8)/73)*(1-0.35)</f>
        <v>0.93767123287671228</v>
      </c>
      <c r="R118" s="8">
        <f t="shared" si="8"/>
        <v>0.28130136986301368</v>
      </c>
      <c r="S118" s="8">
        <f t="shared" si="9"/>
        <v>-0.18130136986301368</v>
      </c>
      <c r="T118" s="8">
        <f t="shared" si="11"/>
        <v>112.23917808219181</v>
      </c>
      <c r="V118" s="12">
        <v>259.7</v>
      </c>
      <c r="W118" s="5">
        <v>25.712871287128714</v>
      </c>
      <c r="X118" s="5">
        <v>48844.1</v>
      </c>
      <c r="AA118" s="17">
        <v>8.6994234339416092</v>
      </c>
    </row>
    <row r="119" spans="1:27" s="5" customFormat="1" x14ac:dyDescent="0.25">
      <c r="A119" s="75"/>
      <c r="B119" s="10"/>
      <c r="C119" s="4">
        <v>41966</v>
      </c>
      <c r="D119" s="5">
        <v>11.6</v>
      </c>
      <c r="E119" s="5">
        <v>9.6999999999999993</v>
      </c>
      <c r="F119" s="5">
        <v>13.9</v>
      </c>
      <c r="G119" s="5">
        <v>985.8000000000003</v>
      </c>
      <c r="J119" s="5">
        <v>1.1000000000000001</v>
      </c>
      <c r="K119" s="5">
        <v>146.69999999999999</v>
      </c>
      <c r="L119" s="5">
        <v>0.5</v>
      </c>
      <c r="M119" s="5">
        <v>112.90000000000002</v>
      </c>
      <c r="N119" s="5">
        <v>0.60000000000000009</v>
      </c>
      <c r="O119" s="5">
        <f t="shared" si="10"/>
        <v>60.800000000000033</v>
      </c>
      <c r="P119" s="5">
        <v>75</v>
      </c>
      <c r="Q119" s="5">
        <f t="shared" si="12"/>
        <v>0.94657534246575348</v>
      </c>
      <c r="R119" s="8">
        <f t="shared" si="8"/>
        <v>0.47328767123287674</v>
      </c>
      <c r="S119" s="8">
        <f t="shared" si="9"/>
        <v>0.62671232876712335</v>
      </c>
      <c r="T119" s="8">
        <f t="shared" si="11"/>
        <v>112.86589041095894</v>
      </c>
      <c r="V119" s="12">
        <v>300.2</v>
      </c>
      <c r="W119" s="5">
        <v>25.879310344827587</v>
      </c>
      <c r="X119" s="5">
        <v>49144.299999999996</v>
      </c>
      <c r="AA119" s="17">
        <v>8.6556289459685303</v>
      </c>
    </row>
    <row r="120" spans="1:27" s="5" customFormat="1" x14ac:dyDescent="0.25">
      <c r="A120" s="75"/>
      <c r="B120" s="10"/>
      <c r="C120" s="4">
        <v>41967</v>
      </c>
      <c r="D120" s="5">
        <v>7.5</v>
      </c>
      <c r="E120" s="5">
        <v>5.6</v>
      </c>
      <c r="F120" s="5">
        <v>10.5</v>
      </c>
      <c r="G120" s="5">
        <v>993.3000000000003</v>
      </c>
      <c r="J120" s="5">
        <v>0</v>
      </c>
      <c r="K120" s="5">
        <v>146.69999999999999</v>
      </c>
      <c r="L120" s="5">
        <v>0.6</v>
      </c>
      <c r="M120" s="5">
        <v>113.50000000000001</v>
      </c>
      <c r="N120" s="6">
        <v>-0.6</v>
      </c>
      <c r="O120" s="5">
        <f t="shared" si="10"/>
        <v>60.200000000000031</v>
      </c>
      <c r="P120" s="5">
        <v>76</v>
      </c>
      <c r="Q120" s="5">
        <f t="shared" si="12"/>
        <v>0.95547945205479445</v>
      </c>
      <c r="R120" s="8">
        <f t="shared" si="8"/>
        <v>0.57328767123287661</v>
      </c>
      <c r="S120" s="8">
        <f t="shared" si="9"/>
        <v>-0.57328767123287661</v>
      </c>
      <c r="T120" s="8">
        <f t="shared" si="11"/>
        <v>112.29260273972606</v>
      </c>
      <c r="V120" s="12">
        <v>435.2</v>
      </c>
      <c r="W120" s="5">
        <v>58.026666666666664</v>
      </c>
      <c r="X120" s="5">
        <v>49579.499999999993</v>
      </c>
      <c r="AA120" s="17">
        <v>8.6128540265064295</v>
      </c>
    </row>
    <row r="121" spans="1:27" s="5" customFormat="1" x14ac:dyDescent="0.25">
      <c r="A121" s="75"/>
      <c r="B121" s="18"/>
      <c r="C121" s="4">
        <v>41968</v>
      </c>
      <c r="D121" s="5">
        <v>6.7</v>
      </c>
      <c r="E121" s="15">
        <v>4.4000000000000004</v>
      </c>
      <c r="F121" s="5">
        <v>8.3000000000000007</v>
      </c>
      <c r="G121" s="5">
        <v>1000.0000000000003</v>
      </c>
      <c r="J121" s="5">
        <v>0.8</v>
      </c>
      <c r="K121" s="5">
        <v>147.5</v>
      </c>
      <c r="L121" s="5">
        <v>0.6</v>
      </c>
      <c r="M121" s="5">
        <v>114.10000000000001</v>
      </c>
      <c r="N121" s="5">
        <v>0.20000000000000007</v>
      </c>
      <c r="O121" s="5">
        <f t="shared" si="10"/>
        <v>60.400000000000034</v>
      </c>
      <c r="P121" s="5">
        <v>77</v>
      </c>
      <c r="Q121" s="5">
        <f t="shared" si="12"/>
        <v>0.96438356164383565</v>
      </c>
      <c r="R121" s="8">
        <f t="shared" si="8"/>
        <v>0.57863013698630139</v>
      </c>
      <c r="S121" s="8">
        <f t="shared" si="9"/>
        <v>0.22136986301369865</v>
      </c>
      <c r="T121" s="8">
        <f t="shared" si="11"/>
        <v>112.51397260273976</v>
      </c>
      <c r="V121" s="12">
        <v>328.9</v>
      </c>
      <c r="W121" s="5">
        <v>49.089552238805965</v>
      </c>
      <c r="X121" s="5">
        <v>49908.399999999994</v>
      </c>
      <c r="AA121" s="17">
        <v>8.5711337033963506</v>
      </c>
    </row>
    <row r="122" spans="1:27" s="5" customFormat="1" x14ac:dyDescent="0.25">
      <c r="A122" s="75"/>
      <c r="B122" s="10"/>
      <c r="C122" s="4">
        <v>41969</v>
      </c>
      <c r="D122" s="5">
        <v>8.6</v>
      </c>
      <c r="E122" s="5">
        <v>7.1</v>
      </c>
      <c r="F122" s="5">
        <v>10.5</v>
      </c>
      <c r="G122" s="5">
        <v>1008.6000000000004</v>
      </c>
      <c r="J122" s="5">
        <v>2.2000000000000002</v>
      </c>
      <c r="K122" s="5">
        <v>149.69999999999999</v>
      </c>
      <c r="L122" s="5">
        <v>0.3</v>
      </c>
      <c r="M122" s="5">
        <v>114.4</v>
      </c>
      <c r="N122" s="5">
        <v>1.9000000000000001</v>
      </c>
      <c r="O122" s="5">
        <f t="shared" si="10"/>
        <v>62.300000000000033</v>
      </c>
      <c r="P122" s="5">
        <v>78</v>
      </c>
      <c r="Q122" s="5">
        <f t="shared" si="12"/>
        <v>0.97328767123287663</v>
      </c>
      <c r="R122" s="8">
        <f t="shared" si="8"/>
        <v>0.29198630136986298</v>
      </c>
      <c r="S122" s="8">
        <f t="shared" si="9"/>
        <v>1.9080136986301373</v>
      </c>
      <c r="T122" s="8">
        <f t="shared" si="11"/>
        <v>114.4219863013699</v>
      </c>
      <c r="V122" s="16">
        <v>68.5</v>
      </c>
      <c r="W122" s="5">
        <v>7.9651162790697674</v>
      </c>
      <c r="X122" s="5">
        <v>49976.899999999994</v>
      </c>
      <c r="AA122" s="17">
        <v>8.5305031588907401</v>
      </c>
    </row>
    <row r="123" spans="1:27" s="5" customFormat="1" x14ac:dyDescent="0.25">
      <c r="A123" s="75"/>
      <c r="B123" s="10"/>
      <c r="C123" s="4">
        <v>41970</v>
      </c>
      <c r="D123" s="5">
        <v>10</v>
      </c>
      <c r="E123" s="5">
        <v>9.6</v>
      </c>
      <c r="F123" s="5">
        <v>10.5</v>
      </c>
      <c r="G123" s="5">
        <v>1018.6000000000004</v>
      </c>
      <c r="J123" s="5">
        <v>0.2</v>
      </c>
      <c r="K123" s="5">
        <v>149.89999999999998</v>
      </c>
      <c r="L123" s="5">
        <v>0.3</v>
      </c>
      <c r="M123" s="5">
        <v>114.7</v>
      </c>
      <c r="N123" s="6">
        <v>-9.9999999999999978E-2</v>
      </c>
      <c r="O123" s="5">
        <f t="shared" si="10"/>
        <v>62.200000000000031</v>
      </c>
      <c r="P123" s="5">
        <v>79</v>
      </c>
      <c r="Q123" s="5">
        <f t="shared" si="12"/>
        <v>0.98219178082191783</v>
      </c>
      <c r="R123" s="8">
        <f t="shared" si="8"/>
        <v>0.29465753424657531</v>
      </c>
      <c r="S123" s="8">
        <f t="shared" si="9"/>
        <v>-9.4657534246575303E-2</v>
      </c>
      <c r="T123" s="8">
        <f t="shared" si="11"/>
        <v>114.32732876712332</v>
      </c>
      <c r="V123" s="16">
        <v>51.4</v>
      </c>
      <c r="W123" s="5">
        <v>5.14</v>
      </c>
      <c r="X123" s="5">
        <v>50028.299999999996</v>
      </c>
      <c r="AA123" s="17">
        <v>8.4909976502132896</v>
      </c>
    </row>
    <row r="124" spans="1:27" s="5" customFormat="1" x14ac:dyDescent="0.25">
      <c r="A124" s="75"/>
      <c r="B124" s="10"/>
      <c r="C124" s="4">
        <v>41971</v>
      </c>
      <c r="D124" s="5">
        <v>10.6</v>
      </c>
      <c r="E124" s="5">
        <v>8</v>
      </c>
      <c r="F124" s="5">
        <v>14.1</v>
      </c>
      <c r="G124" s="5">
        <v>1029.2000000000003</v>
      </c>
      <c r="J124" s="5">
        <v>0</v>
      </c>
      <c r="K124" s="5">
        <v>149.89999999999998</v>
      </c>
      <c r="L124" s="5">
        <v>1.1000000000000001</v>
      </c>
      <c r="M124" s="5">
        <v>115.8</v>
      </c>
      <c r="N124" s="6">
        <v>-1.1000000000000001</v>
      </c>
      <c r="O124" s="5">
        <f t="shared" si="10"/>
        <v>61.10000000000003</v>
      </c>
      <c r="P124" s="5">
        <v>80</v>
      </c>
      <c r="Q124" s="5">
        <f t="shared" si="12"/>
        <v>0.99109589041095891</v>
      </c>
      <c r="R124" s="8">
        <f t="shared" si="8"/>
        <v>1.0902054794520548</v>
      </c>
      <c r="S124" s="8">
        <f t="shared" si="9"/>
        <v>-1.0902054794520548</v>
      </c>
      <c r="T124" s="8">
        <f t="shared" si="11"/>
        <v>113.23712328767127</v>
      </c>
      <c r="V124" s="12">
        <v>486.7</v>
      </c>
      <c r="W124" s="5">
        <v>45.915094339622641</v>
      </c>
      <c r="X124" s="5">
        <v>50514.999999999993</v>
      </c>
      <c r="AA124" s="17">
        <v>8.4526524253366109</v>
      </c>
    </row>
    <row r="125" spans="1:27" s="44" customFormat="1" ht="15.75" thickBot="1" x14ac:dyDescent="0.3">
      <c r="A125" s="75"/>
      <c r="B125" s="41"/>
      <c r="C125" s="42">
        <v>41972</v>
      </c>
      <c r="D125" s="43">
        <v>6.2</v>
      </c>
      <c r="E125" s="43">
        <v>5.3</v>
      </c>
      <c r="F125" s="43">
        <v>8.9</v>
      </c>
      <c r="G125" s="43">
        <v>1035.4000000000003</v>
      </c>
      <c r="H125" s="43"/>
      <c r="I125" s="43"/>
      <c r="J125" s="43">
        <v>0</v>
      </c>
      <c r="K125" s="43">
        <v>149.89999999999998</v>
      </c>
      <c r="L125" s="43">
        <v>0.5</v>
      </c>
      <c r="M125" s="43">
        <v>116.3</v>
      </c>
      <c r="N125" s="43">
        <v>-0.5</v>
      </c>
      <c r="O125" s="44">
        <f t="shared" si="10"/>
        <v>60.60000000000003</v>
      </c>
      <c r="P125" s="44">
        <v>81</v>
      </c>
      <c r="Q125" s="45">
        <f t="shared" si="12"/>
        <v>1</v>
      </c>
      <c r="R125" s="46">
        <f t="shared" si="8"/>
        <v>0.5</v>
      </c>
      <c r="S125" s="46">
        <f t="shared" si="9"/>
        <v>-0.5</v>
      </c>
      <c r="T125" s="47">
        <f t="shared" si="11"/>
        <v>112.73712328767127</v>
      </c>
      <c r="U125" s="43"/>
      <c r="V125" s="48">
        <v>416.1</v>
      </c>
      <c r="W125" s="43">
        <v>67.112903225806448</v>
      </c>
      <c r="X125" s="43">
        <v>50931.099999999991</v>
      </c>
      <c r="Y125" s="43"/>
      <c r="Z125" s="43"/>
      <c r="AA125" s="49">
        <v>8.4155026341738406</v>
      </c>
    </row>
    <row r="126" spans="1:27" s="5" customFormat="1" x14ac:dyDescent="0.25">
      <c r="A126" s="76" t="s">
        <v>18</v>
      </c>
      <c r="B126" s="18"/>
      <c r="C126" s="4">
        <v>41973</v>
      </c>
      <c r="D126" s="15">
        <v>4.3</v>
      </c>
      <c r="E126" s="15">
        <v>2.5</v>
      </c>
      <c r="F126" s="5">
        <v>6.4</v>
      </c>
      <c r="G126" s="5">
        <v>1039.7000000000003</v>
      </c>
      <c r="H126" s="5">
        <v>4.3</v>
      </c>
      <c r="I126" s="19" t="s">
        <v>2</v>
      </c>
      <c r="J126" s="5">
        <v>1.8</v>
      </c>
      <c r="K126" s="5">
        <v>151.69999999999999</v>
      </c>
      <c r="L126" s="5">
        <v>0.3</v>
      </c>
      <c r="M126" s="5">
        <v>116.6</v>
      </c>
      <c r="N126" s="5">
        <v>1.5</v>
      </c>
      <c r="O126" s="5">
        <f t="shared" si="10"/>
        <v>62.10000000000003</v>
      </c>
      <c r="P126" s="5">
        <v>82</v>
      </c>
      <c r="Q126" s="5">
        <v>1</v>
      </c>
      <c r="R126" s="8">
        <f t="shared" si="8"/>
        <v>0.3</v>
      </c>
      <c r="S126" s="8">
        <f t="shared" si="9"/>
        <v>1.5</v>
      </c>
      <c r="T126" s="8">
        <f t="shared" si="11"/>
        <v>114.23712328767127</v>
      </c>
      <c r="U126" s="19" t="s">
        <v>3</v>
      </c>
      <c r="V126" s="12">
        <v>291.60000000000002</v>
      </c>
      <c r="W126" s="5">
        <v>67.813953488372107</v>
      </c>
      <c r="X126" s="5">
        <v>51222.69999999999</v>
      </c>
      <c r="Y126" s="5">
        <f>V126</f>
        <v>291.60000000000002</v>
      </c>
      <c r="Z126" s="19" t="s">
        <v>4</v>
      </c>
      <c r="AA126" s="17">
        <v>8.3795832354353994</v>
      </c>
    </row>
    <row r="127" spans="1:27" s="5" customFormat="1" x14ac:dyDescent="0.25">
      <c r="A127" s="76"/>
      <c r="B127" s="18"/>
      <c r="C127" s="4">
        <v>41974</v>
      </c>
      <c r="D127" s="15">
        <v>3.5</v>
      </c>
      <c r="E127" s="15">
        <v>3.2</v>
      </c>
      <c r="F127" s="15">
        <v>3.7</v>
      </c>
      <c r="G127" s="5">
        <v>1043.2000000000003</v>
      </c>
      <c r="H127" s="5">
        <f>H126+D127</f>
        <v>7.8</v>
      </c>
      <c r="I127" s="5">
        <v>-3.5</v>
      </c>
      <c r="J127" s="5">
        <v>0.1</v>
      </c>
      <c r="K127" s="5">
        <v>151.79999999999998</v>
      </c>
      <c r="L127" s="5">
        <v>0.2</v>
      </c>
      <c r="M127" s="5">
        <v>116.8</v>
      </c>
      <c r="N127" s="6">
        <v>-0.1</v>
      </c>
      <c r="O127" s="5">
        <f t="shared" si="10"/>
        <v>62.000000000000028</v>
      </c>
      <c r="P127" s="5">
        <v>83</v>
      </c>
      <c r="Q127" s="5">
        <v>1</v>
      </c>
      <c r="R127" s="8">
        <f t="shared" si="8"/>
        <v>0.2</v>
      </c>
      <c r="S127" s="8">
        <f t="shared" si="9"/>
        <v>-0.1</v>
      </c>
      <c r="T127" s="8">
        <f t="shared" si="11"/>
        <v>114.13712328767127</v>
      </c>
      <c r="U127" s="5">
        <v>46</v>
      </c>
      <c r="V127" s="12">
        <v>113.4</v>
      </c>
      <c r="W127" s="5">
        <v>32.4</v>
      </c>
      <c r="X127" s="5">
        <v>51336.099999999991</v>
      </c>
      <c r="Y127" s="5">
        <f>Y126+V127</f>
        <v>405</v>
      </c>
      <c r="Z127" s="5">
        <v>31498.100000000006</v>
      </c>
      <c r="AA127" s="17">
        <v>8.3449288994587008</v>
      </c>
    </row>
    <row r="128" spans="1:27" s="5" customFormat="1" x14ac:dyDescent="0.25">
      <c r="A128" s="76"/>
      <c r="B128" s="18"/>
      <c r="C128" s="4">
        <v>41975</v>
      </c>
      <c r="D128" s="15">
        <v>3.3</v>
      </c>
      <c r="E128" s="15">
        <v>2.9</v>
      </c>
      <c r="F128" s="15">
        <v>3.9</v>
      </c>
      <c r="G128" s="5">
        <v>1046.5000000000002</v>
      </c>
      <c r="H128" s="5">
        <f t="shared" ref="H128:H191" si="13">H127+D128</f>
        <v>11.1</v>
      </c>
      <c r="I128" s="19" t="s">
        <v>5</v>
      </c>
      <c r="J128" s="5">
        <v>0.4</v>
      </c>
      <c r="K128" s="5">
        <v>152.19999999999999</v>
      </c>
      <c r="L128" s="5">
        <v>0.4</v>
      </c>
      <c r="M128" s="5">
        <v>117.2</v>
      </c>
      <c r="N128" s="5">
        <v>0</v>
      </c>
      <c r="O128" s="5">
        <f t="shared" si="10"/>
        <v>62.000000000000028</v>
      </c>
      <c r="P128" s="5">
        <v>84</v>
      </c>
      <c r="Q128" s="5">
        <v>1</v>
      </c>
      <c r="R128" s="8">
        <f t="shared" si="8"/>
        <v>0.4</v>
      </c>
      <c r="S128" s="8">
        <f t="shared" si="9"/>
        <v>0</v>
      </c>
      <c r="T128" s="8">
        <f t="shared" si="11"/>
        <v>114.13712328767127</v>
      </c>
      <c r="U128" s="19" t="s">
        <v>6</v>
      </c>
      <c r="V128" s="12">
        <v>132.5</v>
      </c>
      <c r="W128" s="5">
        <v>40.151515151515156</v>
      </c>
      <c r="X128" s="5">
        <v>51468.599999999991</v>
      </c>
      <c r="Y128" s="5">
        <f t="shared" ref="Y128:Y191" si="14">Y127+V128</f>
        <v>537.5</v>
      </c>
      <c r="Z128" s="19" t="s">
        <v>7</v>
      </c>
      <c r="AA128" s="17">
        <v>8.3115739073772108</v>
      </c>
    </row>
    <row r="129" spans="1:27" s="5" customFormat="1" x14ac:dyDescent="0.25">
      <c r="A129" s="76"/>
      <c r="B129" s="18"/>
      <c r="C129" s="4">
        <v>41976</v>
      </c>
      <c r="D129" s="15">
        <v>1.5</v>
      </c>
      <c r="E129" s="15">
        <v>0.6</v>
      </c>
      <c r="F129" s="15">
        <v>2.5</v>
      </c>
      <c r="G129" s="5">
        <v>1048.0000000000002</v>
      </c>
      <c r="H129" s="5">
        <f t="shared" si="13"/>
        <v>12.6</v>
      </c>
      <c r="I129" s="5">
        <v>13.6</v>
      </c>
      <c r="J129" s="5">
        <v>0</v>
      </c>
      <c r="K129" s="5">
        <v>152.19999999999999</v>
      </c>
      <c r="L129" s="5">
        <v>0.4</v>
      </c>
      <c r="M129" s="5">
        <v>117.60000000000001</v>
      </c>
      <c r="N129" s="6">
        <v>-0.4</v>
      </c>
      <c r="O129" s="5">
        <f t="shared" si="10"/>
        <v>61.60000000000003</v>
      </c>
      <c r="P129" s="5">
        <v>85</v>
      </c>
      <c r="Q129" s="5">
        <v>1</v>
      </c>
      <c r="R129" s="8">
        <f t="shared" si="8"/>
        <v>0.4</v>
      </c>
      <c r="S129" s="8">
        <f t="shared" si="9"/>
        <v>-0.4</v>
      </c>
      <c r="T129" s="8">
        <f t="shared" si="11"/>
        <v>113.73712328767127</v>
      </c>
      <c r="U129" s="5">
        <v>0</v>
      </c>
      <c r="V129" s="12">
        <v>139.30000000000001</v>
      </c>
      <c r="W129" s="5">
        <v>92.866666666666674</v>
      </c>
      <c r="X129" s="5">
        <v>51607.899999999994</v>
      </c>
      <c r="Y129" s="5">
        <f t="shared" si="14"/>
        <v>676.8</v>
      </c>
      <c r="Z129" s="13">
        <f>(Z127/100)/I139</f>
        <v>0.73817904851183513</v>
      </c>
      <c r="AA129" s="17">
        <v>8.2795520470546098</v>
      </c>
    </row>
    <row r="130" spans="1:27" s="5" customFormat="1" x14ac:dyDescent="0.25">
      <c r="A130" s="76"/>
      <c r="B130" s="18"/>
      <c r="C130" s="4">
        <v>41977</v>
      </c>
      <c r="D130" s="15">
        <v>1</v>
      </c>
      <c r="E130" s="15">
        <v>0.1</v>
      </c>
      <c r="F130" s="15">
        <v>2.6</v>
      </c>
      <c r="G130" s="5">
        <v>1049.0000000000002</v>
      </c>
      <c r="H130" s="5">
        <f t="shared" si="13"/>
        <v>13.6</v>
      </c>
      <c r="I130" s="19" t="s">
        <v>8</v>
      </c>
      <c r="J130" s="5">
        <v>0</v>
      </c>
      <c r="K130" s="5">
        <v>152.19999999999999</v>
      </c>
      <c r="L130" s="5">
        <v>0.3</v>
      </c>
      <c r="M130" s="5">
        <v>117.9</v>
      </c>
      <c r="N130" s="6">
        <v>-0.3</v>
      </c>
      <c r="O130" s="5">
        <f t="shared" si="10"/>
        <v>61.300000000000033</v>
      </c>
      <c r="P130" s="5">
        <v>86</v>
      </c>
      <c r="Q130" s="5">
        <v>1</v>
      </c>
      <c r="R130" s="8">
        <f t="shared" si="8"/>
        <v>0.3</v>
      </c>
      <c r="S130" s="8">
        <f t="shared" si="9"/>
        <v>-0.3</v>
      </c>
      <c r="T130" s="8">
        <f t="shared" si="11"/>
        <v>113.43712328767127</v>
      </c>
      <c r="U130" s="19" t="s">
        <v>9</v>
      </c>
      <c r="V130" s="12">
        <v>146.5</v>
      </c>
      <c r="W130" s="5">
        <v>146.5</v>
      </c>
      <c r="X130" s="5">
        <v>51754.399999999994</v>
      </c>
      <c r="Y130" s="5">
        <f t="shared" si="14"/>
        <v>823.3</v>
      </c>
      <c r="Z130" s="19" t="s">
        <v>10</v>
      </c>
      <c r="AA130" s="17">
        <v>8.2488965062682293</v>
      </c>
    </row>
    <row r="131" spans="1:27" s="5" customFormat="1" x14ac:dyDescent="0.25">
      <c r="A131" s="76"/>
      <c r="B131" s="18"/>
      <c r="C131" s="4">
        <v>41978</v>
      </c>
      <c r="D131" s="15">
        <v>3.7</v>
      </c>
      <c r="E131" s="15">
        <v>1.6</v>
      </c>
      <c r="F131" s="15">
        <v>4.5999999999999996</v>
      </c>
      <c r="G131" s="5">
        <v>1052.7000000000003</v>
      </c>
      <c r="H131" s="5">
        <f t="shared" si="13"/>
        <v>17.3</v>
      </c>
      <c r="I131" s="13">
        <v>4.368041237113399</v>
      </c>
      <c r="J131" s="5">
        <v>1.2</v>
      </c>
      <c r="K131" s="5">
        <v>153.39999999999998</v>
      </c>
      <c r="L131" s="5">
        <v>0.4</v>
      </c>
      <c r="M131" s="5">
        <v>118.30000000000001</v>
      </c>
      <c r="N131" s="5">
        <v>0.79999999999999993</v>
      </c>
      <c r="O131" s="5">
        <f t="shared" si="10"/>
        <v>62.10000000000003</v>
      </c>
      <c r="P131" s="5">
        <v>87</v>
      </c>
      <c r="Q131" s="5">
        <v>1</v>
      </c>
      <c r="R131" s="8">
        <f t="shared" si="8"/>
        <v>0.4</v>
      </c>
      <c r="S131" s="8">
        <f t="shared" si="9"/>
        <v>0.79999999999999993</v>
      </c>
      <c r="T131" s="8">
        <f t="shared" si="11"/>
        <v>114.23712328767127</v>
      </c>
      <c r="U131" s="5">
        <v>0</v>
      </c>
      <c r="V131" s="12">
        <v>210.5</v>
      </c>
      <c r="W131" s="5">
        <v>56.891891891891888</v>
      </c>
      <c r="X131" s="5">
        <v>51964.899999999994</v>
      </c>
      <c r="Y131" s="5">
        <f t="shared" si="14"/>
        <v>1033.8</v>
      </c>
      <c r="Z131" s="5">
        <v>94</v>
      </c>
      <c r="AA131" s="17">
        <v>8.2196397636843805</v>
      </c>
    </row>
    <row r="132" spans="1:27" s="5" customFormat="1" x14ac:dyDescent="0.25">
      <c r="A132" s="76"/>
      <c r="B132" s="18"/>
      <c r="C132" s="4">
        <v>41979</v>
      </c>
      <c r="D132" s="15">
        <v>4.2</v>
      </c>
      <c r="E132" s="15">
        <v>2.1</v>
      </c>
      <c r="F132" s="5">
        <v>8.3000000000000007</v>
      </c>
      <c r="G132" s="5">
        <v>1056.9000000000003</v>
      </c>
      <c r="H132" s="5">
        <f t="shared" si="13"/>
        <v>21.5</v>
      </c>
      <c r="I132" s="19" t="s">
        <v>11</v>
      </c>
      <c r="J132" s="5">
        <v>0.3</v>
      </c>
      <c r="K132" s="5">
        <v>153.69999999999999</v>
      </c>
      <c r="L132" s="5">
        <v>0.8</v>
      </c>
      <c r="M132" s="5">
        <v>119.10000000000001</v>
      </c>
      <c r="N132" s="6">
        <v>-0.5</v>
      </c>
      <c r="O132" s="5">
        <f t="shared" si="10"/>
        <v>61.60000000000003</v>
      </c>
      <c r="P132" s="5">
        <v>88</v>
      </c>
      <c r="Q132" s="5">
        <v>1</v>
      </c>
      <c r="R132" s="8">
        <f t="shared" si="8"/>
        <v>0.8</v>
      </c>
      <c r="S132" s="8">
        <f t="shared" si="9"/>
        <v>-0.5</v>
      </c>
      <c r="T132" s="8">
        <f t="shared" si="11"/>
        <v>113.73712328767127</v>
      </c>
      <c r="U132" s="19" t="s">
        <v>12</v>
      </c>
      <c r="V132" s="12">
        <v>378.9</v>
      </c>
      <c r="W132" s="5">
        <v>90.214285714285708</v>
      </c>
      <c r="X132" s="5">
        <v>52343.799999999996</v>
      </c>
      <c r="Y132" s="5">
        <f t="shared" si="14"/>
        <v>1412.6999999999998</v>
      </c>
      <c r="AA132" s="17">
        <v>8.1918134782235494</v>
      </c>
    </row>
    <row r="133" spans="1:27" s="5" customFormat="1" x14ac:dyDescent="0.25">
      <c r="A133" s="76"/>
      <c r="B133" s="18"/>
      <c r="C133" s="4">
        <v>41980</v>
      </c>
      <c r="D133" s="15">
        <v>2.8</v>
      </c>
      <c r="E133" s="20">
        <v>-0.3</v>
      </c>
      <c r="F133" s="5">
        <v>6.7</v>
      </c>
      <c r="G133" s="5">
        <v>1059.7000000000003</v>
      </c>
      <c r="H133" s="5">
        <f t="shared" si="13"/>
        <v>24.3</v>
      </c>
      <c r="I133" s="5">
        <v>22</v>
      </c>
      <c r="J133" s="5">
        <v>3.1</v>
      </c>
      <c r="K133" s="5">
        <v>156.79999999999998</v>
      </c>
      <c r="L133" s="5">
        <v>0.4</v>
      </c>
      <c r="M133" s="5">
        <v>119.50000000000001</v>
      </c>
      <c r="N133" s="5">
        <v>2.7</v>
      </c>
      <c r="O133" s="5">
        <f t="shared" si="10"/>
        <v>64.300000000000026</v>
      </c>
      <c r="P133" s="5">
        <v>89</v>
      </c>
      <c r="Q133" s="5">
        <v>1</v>
      </c>
      <c r="R133" s="8">
        <f t="shared" si="8"/>
        <v>0.4</v>
      </c>
      <c r="S133" s="8">
        <f t="shared" si="9"/>
        <v>2.7</v>
      </c>
      <c r="T133" s="8">
        <f t="shared" si="11"/>
        <v>116.43712328767127</v>
      </c>
      <c r="U133" s="8">
        <f>MIN(T126:T222)</f>
        <v>113.43712328767127</v>
      </c>
      <c r="V133" s="12">
        <v>102.6</v>
      </c>
      <c r="W133" s="5">
        <v>36.642857142857146</v>
      </c>
      <c r="X133" s="5">
        <v>52446.399999999994</v>
      </c>
      <c r="Y133" s="5">
        <f t="shared" si="14"/>
        <v>1515.2999999999997</v>
      </c>
      <c r="AA133" s="17">
        <v>8.1654483774662392</v>
      </c>
    </row>
    <row r="134" spans="1:27" s="5" customFormat="1" x14ac:dyDescent="0.25">
      <c r="A134" s="76"/>
      <c r="B134" s="18"/>
      <c r="C134" s="4">
        <v>41981</v>
      </c>
      <c r="D134" s="15">
        <v>2.2000000000000002</v>
      </c>
      <c r="E134" s="15">
        <v>0.2</v>
      </c>
      <c r="F134" s="15">
        <v>3.5</v>
      </c>
      <c r="G134" s="5">
        <v>1061.9000000000003</v>
      </c>
      <c r="H134" s="5">
        <f t="shared" si="13"/>
        <v>26.5</v>
      </c>
      <c r="I134" s="19" t="s">
        <v>13</v>
      </c>
      <c r="J134" s="5">
        <v>4.5999999999999996</v>
      </c>
      <c r="K134" s="5">
        <v>161.39999999999998</v>
      </c>
      <c r="L134" s="5">
        <v>0.3</v>
      </c>
      <c r="M134" s="5">
        <v>119.80000000000001</v>
      </c>
      <c r="N134" s="5">
        <v>4.3</v>
      </c>
      <c r="O134" s="5">
        <f t="shared" si="10"/>
        <v>68.600000000000023</v>
      </c>
      <c r="P134" s="5">
        <v>90</v>
      </c>
      <c r="Q134" s="5">
        <v>1</v>
      </c>
      <c r="R134" s="8">
        <f t="shared" si="8"/>
        <v>0.3</v>
      </c>
      <c r="S134" s="8">
        <f t="shared" si="9"/>
        <v>4.3</v>
      </c>
      <c r="T134" s="8">
        <f t="shared" si="11"/>
        <v>120.73712328767127</v>
      </c>
      <c r="U134" s="19" t="s">
        <v>14</v>
      </c>
      <c r="V134" s="16">
        <v>80</v>
      </c>
      <c r="W134" s="5">
        <v>36.36363636363636</v>
      </c>
      <c r="X134" s="5">
        <v>52526.399999999994</v>
      </c>
      <c r="Y134" s="5">
        <f t="shared" si="14"/>
        <v>1595.2999999999997</v>
      </c>
      <c r="AA134" s="17">
        <v>8.1405741457981406</v>
      </c>
    </row>
    <row r="135" spans="1:27" s="5" customFormat="1" x14ac:dyDescent="0.25">
      <c r="A135" s="76"/>
      <c r="B135" s="18"/>
      <c r="C135" s="4">
        <v>41982</v>
      </c>
      <c r="D135" s="15">
        <v>4.2</v>
      </c>
      <c r="E135" s="15">
        <v>2.1</v>
      </c>
      <c r="F135" s="5">
        <v>7.2</v>
      </c>
      <c r="G135" s="5">
        <v>1066.1000000000004</v>
      </c>
      <c r="H135" s="5">
        <f t="shared" si="13"/>
        <v>30.7</v>
      </c>
      <c r="I135" s="5">
        <v>0</v>
      </c>
      <c r="J135" s="5">
        <v>2.2999999999999998</v>
      </c>
      <c r="K135" s="5">
        <v>163.69999999999999</v>
      </c>
      <c r="L135" s="5">
        <v>0.7</v>
      </c>
      <c r="M135" s="5">
        <v>120.50000000000001</v>
      </c>
      <c r="N135" s="5">
        <v>1.5999999999999999</v>
      </c>
      <c r="O135" s="5">
        <f t="shared" si="10"/>
        <v>70.200000000000017</v>
      </c>
      <c r="P135" s="5">
        <v>91</v>
      </c>
      <c r="Q135" s="5">
        <v>1</v>
      </c>
      <c r="R135" s="8">
        <f t="shared" si="8"/>
        <v>0.7</v>
      </c>
      <c r="S135" s="8">
        <f t="shared" si="9"/>
        <v>1.5999999999999999</v>
      </c>
      <c r="T135" s="8">
        <f t="shared" si="11"/>
        <v>122.33712328767126</v>
      </c>
      <c r="U135" s="5">
        <v>153.6</v>
      </c>
      <c r="V135" s="12">
        <v>309.5</v>
      </c>
      <c r="W135" s="5">
        <v>73.69047619047619</v>
      </c>
      <c r="X135" s="5">
        <v>52835.899999999994</v>
      </c>
      <c r="Y135" s="5">
        <f t="shared" si="14"/>
        <v>1904.7999999999997</v>
      </c>
      <c r="AA135" s="17">
        <v>8.1172193130361894</v>
      </c>
    </row>
    <row r="136" spans="1:27" s="5" customFormat="1" x14ac:dyDescent="0.25">
      <c r="A136" s="76"/>
      <c r="B136" s="18"/>
      <c r="C136" s="4">
        <v>41983</v>
      </c>
      <c r="D136" s="5">
        <v>7.1</v>
      </c>
      <c r="E136" s="15">
        <v>4.7</v>
      </c>
      <c r="F136" s="5">
        <v>9.6</v>
      </c>
      <c r="G136" s="5">
        <v>1073.2000000000003</v>
      </c>
      <c r="H136" s="5">
        <f t="shared" si="13"/>
        <v>37.799999999999997</v>
      </c>
      <c r="I136" s="19" t="s">
        <v>15</v>
      </c>
      <c r="J136" s="5">
        <v>2.8</v>
      </c>
      <c r="K136" s="5">
        <v>166.5</v>
      </c>
      <c r="L136" s="5">
        <v>1.2</v>
      </c>
      <c r="M136" s="5">
        <v>121.70000000000002</v>
      </c>
      <c r="N136" s="5">
        <v>1.5999999999999999</v>
      </c>
      <c r="O136" s="5">
        <f t="shared" si="10"/>
        <v>71.800000000000011</v>
      </c>
      <c r="P136" s="5">
        <v>92</v>
      </c>
      <c r="Q136" s="5">
        <v>1</v>
      </c>
      <c r="R136" s="8">
        <f t="shared" si="8"/>
        <v>1.2</v>
      </c>
      <c r="S136" s="8">
        <f t="shared" si="9"/>
        <v>1.5999999999999999</v>
      </c>
      <c r="T136" s="8">
        <f t="shared" si="11"/>
        <v>123.93712328767126</v>
      </c>
      <c r="U136" s="19" t="s">
        <v>16</v>
      </c>
      <c r="V136" s="12">
        <v>408.4</v>
      </c>
      <c r="W136" s="5">
        <v>57.521126760563376</v>
      </c>
      <c r="X136" s="5">
        <v>53244.299999999996</v>
      </c>
      <c r="Y136" s="5">
        <f t="shared" si="14"/>
        <v>2313.1999999999998</v>
      </c>
      <c r="AA136" s="17">
        <v>8.0954111443129992</v>
      </c>
    </row>
    <row r="137" spans="1:27" s="5" customFormat="1" x14ac:dyDescent="0.25">
      <c r="A137" s="76"/>
      <c r="B137" s="10"/>
      <c r="C137" s="4">
        <v>41984</v>
      </c>
      <c r="D137" s="5">
        <v>7.4</v>
      </c>
      <c r="E137" s="5">
        <v>5.3</v>
      </c>
      <c r="F137" s="5">
        <v>9.6999999999999993</v>
      </c>
      <c r="G137" s="5">
        <v>1080.6000000000004</v>
      </c>
      <c r="H137" s="5">
        <f t="shared" si="13"/>
        <v>45.199999999999996</v>
      </c>
      <c r="I137" s="5">
        <v>61</v>
      </c>
      <c r="J137" s="5">
        <v>2.9</v>
      </c>
      <c r="K137" s="5">
        <v>169.4</v>
      </c>
      <c r="L137" s="5">
        <v>1</v>
      </c>
      <c r="M137" s="5">
        <v>122.70000000000002</v>
      </c>
      <c r="N137" s="5">
        <v>1.9</v>
      </c>
      <c r="O137" s="5">
        <f t="shared" si="10"/>
        <v>73.700000000000017</v>
      </c>
      <c r="P137" s="5">
        <v>93</v>
      </c>
      <c r="Q137" s="5">
        <v>1</v>
      </c>
      <c r="R137" s="8">
        <f t="shared" si="8"/>
        <v>1</v>
      </c>
      <c r="S137" s="8">
        <f t="shared" si="9"/>
        <v>1.9</v>
      </c>
      <c r="T137" s="8">
        <f t="shared" si="11"/>
        <v>125.83712328767126</v>
      </c>
      <c r="U137" s="13">
        <f>AVERAGE(T126:T222)</f>
        <v>146.18727015958208</v>
      </c>
      <c r="V137" s="12">
        <v>197.3</v>
      </c>
      <c r="W137" s="5">
        <v>26.662162162162161</v>
      </c>
      <c r="X137" s="5">
        <v>53441.599999999999</v>
      </c>
      <c r="Y137" s="5">
        <f t="shared" si="14"/>
        <v>2510.5</v>
      </c>
      <c r="AA137" s="17">
        <v>8.0751755320254404</v>
      </c>
    </row>
    <row r="138" spans="1:27" s="5" customFormat="1" x14ac:dyDescent="0.25">
      <c r="A138" s="76"/>
      <c r="B138" s="10"/>
      <c r="C138" s="4">
        <v>41985</v>
      </c>
      <c r="D138" s="5">
        <v>8.5</v>
      </c>
      <c r="E138" s="5">
        <v>7.6</v>
      </c>
      <c r="F138" s="5">
        <v>9.8000000000000007</v>
      </c>
      <c r="G138" s="5">
        <v>1089.1000000000004</v>
      </c>
      <c r="H138" s="5">
        <f t="shared" si="13"/>
        <v>53.699999999999996</v>
      </c>
      <c r="I138" s="19" t="s">
        <v>17</v>
      </c>
      <c r="J138" s="5">
        <v>6.7</v>
      </c>
      <c r="K138" s="5">
        <v>176.1</v>
      </c>
      <c r="L138" s="5">
        <v>0.8</v>
      </c>
      <c r="M138" s="5">
        <v>123.50000000000001</v>
      </c>
      <c r="N138" s="5">
        <v>5.9</v>
      </c>
      <c r="O138" s="5">
        <f t="shared" si="10"/>
        <v>79.600000000000023</v>
      </c>
      <c r="P138" s="5">
        <v>94</v>
      </c>
      <c r="Q138" s="5">
        <v>1</v>
      </c>
      <c r="R138" s="8">
        <f t="shared" si="8"/>
        <v>0.8</v>
      </c>
      <c r="S138" s="8">
        <f t="shared" si="9"/>
        <v>5.9</v>
      </c>
      <c r="T138" s="8">
        <f t="shared" si="11"/>
        <v>131.73712328767127</v>
      </c>
      <c r="U138" s="19" t="s">
        <v>19</v>
      </c>
      <c r="V138" s="16">
        <v>67.900000000000006</v>
      </c>
      <c r="W138" s="5">
        <v>7.988235294117648</v>
      </c>
      <c r="X138" s="5">
        <v>53509.5</v>
      </c>
      <c r="Y138" s="5">
        <f t="shared" si="14"/>
        <v>2578.4</v>
      </c>
      <c r="AA138" s="17">
        <v>8.0565368906726302</v>
      </c>
    </row>
    <row r="139" spans="1:27" s="5" customFormat="1" x14ac:dyDescent="0.25">
      <c r="A139" s="76"/>
      <c r="B139" s="18"/>
      <c r="C139" s="4">
        <v>41986</v>
      </c>
      <c r="D139" s="15">
        <v>3.9</v>
      </c>
      <c r="E139" s="15">
        <v>3.5</v>
      </c>
      <c r="F139" s="5">
        <v>5.4</v>
      </c>
      <c r="G139" s="5">
        <v>1093.0000000000005</v>
      </c>
      <c r="H139" s="5">
        <f t="shared" si="13"/>
        <v>57.599999999999994</v>
      </c>
      <c r="I139" s="5">
        <v>426.7</v>
      </c>
      <c r="J139" s="5">
        <v>0.1</v>
      </c>
      <c r="K139" s="5">
        <v>176.2</v>
      </c>
      <c r="L139" s="5">
        <v>0.5</v>
      </c>
      <c r="M139" s="5">
        <v>124.00000000000001</v>
      </c>
      <c r="N139" s="6">
        <v>-0.4</v>
      </c>
      <c r="O139" s="5">
        <f t="shared" si="10"/>
        <v>79.200000000000017</v>
      </c>
      <c r="P139" s="5">
        <v>95</v>
      </c>
      <c r="Q139" s="5">
        <v>1</v>
      </c>
      <c r="R139" s="8">
        <f t="shared" si="8"/>
        <v>0.5</v>
      </c>
      <c r="S139" s="8">
        <f t="shared" si="9"/>
        <v>-0.4</v>
      </c>
      <c r="T139" s="8">
        <f t="shared" si="11"/>
        <v>131.33712328767126</v>
      </c>
      <c r="U139" s="8">
        <v>49</v>
      </c>
      <c r="V139" s="16">
        <v>89.2</v>
      </c>
      <c r="W139" s="5">
        <v>22.871794871794872</v>
      </c>
      <c r="X139" s="5">
        <v>53598.7</v>
      </c>
      <c r="Y139" s="5">
        <f t="shared" si="14"/>
        <v>2667.6</v>
      </c>
      <c r="AA139" s="17">
        <v>8.0395180554186396</v>
      </c>
    </row>
    <row r="140" spans="1:27" s="5" customFormat="1" x14ac:dyDescent="0.25">
      <c r="A140" s="76"/>
      <c r="B140" s="18"/>
      <c r="C140" s="4">
        <v>41987</v>
      </c>
      <c r="D140" s="15">
        <v>1</v>
      </c>
      <c r="E140" s="20">
        <v>-1.5</v>
      </c>
      <c r="F140" s="15">
        <v>4.7</v>
      </c>
      <c r="G140" s="5">
        <v>1094.0000000000005</v>
      </c>
      <c r="H140" s="5">
        <f t="shared" si="13"/>
        <v>58.599999999999994</v>
      </c>
      <c r="J140" s="5">
        <v>0.9</v>
      </c>
      <c r="K140" s="5">
        <v>177.1</v>
      </c>
      <c r="L140" s="5">
        <v>0.3</v>
      </c>
      <c r="M140" s="5">
        <v>124.30000000000001</v>
      </c>
      <c r="N140" s="5">
        <v>0.60000000000000009</v>
      </c>
      <c r="O140" s="5">
        <f t="shared" si="10"/>
        <v>79.800000000000011</v>
      </c>
      <c r="P140" s="5">
        <v>96</v>
      </c>
      <c r="Q140" s="5">
        <v>1</v>
      </c>
      <c r="R140" s="8">
        <f t="shared" si="8"/>
        <v>0.3</v>
      </c>
      <c r="S140" s="8">
        <f t="shared" si="9"/>
        <v>0.60000000000000009</v>
      </c>
      <c r="T140" s="8">
        <f t="shared" si="11"/>
        <v>131.93712328767126</v>
      </c>
      <c r="V140" s="12">
        <v>144</v>
      </c>
      <c r="W140" s="5">
        <v>144</v>
      </c>
      <c r="X140" s="5">
        <v>53742.7</v>
      </c>
      <c r="Y140" s="5">
        <f t="shared" si="14"/>
        <v>2811.6</v>
      </c>
      <c r="AA140" s="17">
        <v>8.0241401852142502</v>
      </c>
    </row>
    <row r="141" spans="1:27" s="5" customFormat="1" x14ac:dyDescent="0.25">
      <c r="A141" s="76"/>
      <c r="B141" s="18"/>
      <c r="C141" s="4">
        <v>41988</v>
      </c>
      <c r="D141" s="5">
        <v>6.1</v>
      </c>
      <c r="E141" s="15">
        <v>1.6</v>
      </c>
      <c r="F141" s="5">
        <v>7.9</v>
      </c>
      <c r="G141" s="5">
        <v>1100.1000000000004</v>
      </c>
      <c r="H141" s="5">
        <f t="shared" si="13"/>
        <v>64.699999999999989</v>
      </c>
      <c r="J141" s="5">
        <v>1</v>
      </c>
      <c r="K141" s="5">
        <v>178.1</v>
      </c>
      <c r="L141" s="5">
        <v>0.3</v>
      </c>
      <c r="M141" s="5">
        <v>124.60000000000001</v>
      </c>
      <c r="N141" s="5">
        <v>0.7</v>
      </c>
      <c r="O141" s="5">
        <f t="shared" si="10"/>
        <v>80.500000000000014</v>
      </c>
      <c r="P141" s="5">
        <v>97</v>
      </c>
      <c r="Q141" s="5">
        <v>1</v>
      </c>
      <c r="R141" s="8">
        <f t="shared" si="8"/>
        <v>0.3</v>
      </c>
      <c r="S141" s="8">
        <f t="shared" si="9"/>
        <v>0.7</v>
      </c>
      <c r="T141" s="8">
        <f t="shared" si="11"/>
        <v>132.63712328767124</v>
      </c>
      <c r="U141" s="8">
        <f>(U137*100)/153.6</f>
        <v>95.174004010144586</v>
      </c>
      <c r="V141" s="12">
        <v>255.1</v>
      </c>
      <c r="W141" s="5">
        <v>41.819672131147541</v>
      </c>
      <c r="X141" s="5">
        <v>53997.799999999996</v>
      </c>
      <c r="Y141" s="5">
        <f t="shared" si="14"/>
        <v>3066.7</v>
      </c>
      <c r="AA141" s="17">
        <v>8.0104226713010398</v>
      </c>
    </row>
    <row r="142" spans="1:27" s="5" customFormat="1" x14ac:dyDescent="0.25">
      <c r="A142" s="76"/>
      <c r="B142" s="18"/>
      <c r="C142" s="4">
        <v>41989</v>
      </c>
      <c r="D142" s="5">
        <v>5.3</v>
      </c>
      <c r="E142" s="15">
        <v>4.4000000000000004</v>
      </c>
      <c r="F142" s="5">
        <v>7.3</v>
      </c>
      <c r="G142" s="5">
        <v>1105.4000000000003</v>
      </c>
      <c r="H142" s="5">
        <f t="shared" si="13"/>
        <v>69.999999999999986</v>
      </c>
      <c r="J142" s="5">
        <v>7.9</v>
      </c>
      <c r="K142" s="5">
        <v>186</v>
      </c>
      <c r="L142" s="5">
        <v>0.7</v>
      </c>
      <c r="M142" s="5">
        <v>125.30000000000001</v>
      </c>
      <c r="N142" s="5">
        <v>7.2</v>
      </c>
      <c r="O142" s="5">
        <f t="shared" si="10"/>
        <v>87.700000000000017</v>
      </c>
      <c r="P142" s="5">
        <v>98</v>
      </c>
      <c r="Q142" s="5">
        <v>1</v>
      </c>
      <c r="R142" s="8">
        <f t="shared" si="8"/>
        <v>0.7</v>
      </c>
      <c r="S142" s="8">
        <f t="shared" si="9"/>
        <v>7.2</v>
      </c>
      <c r="T142" s="8">
        <f t="shared" si="11"/>
        <v>139.83712328767123</v>
      </c>
      <c r="V142" s="12">
        <v>263.89999999999998</v>
      </c>
      <c r="W142" s="5">
        <v>49.79245283018868</v>
      </c>
      <c r="X142" s="5">
        <v>54261.7</v>
      </c>
      <c r="Y142" s="5">
        <f t="shared" si="14"/>
        <v>3330.6</v>
      </c>
      <c r="AA142" s="17">
        <v>7.9983830518974104</v>
      </c>
    </row>
    <row r="143" spans="1:27" s="5" customFormat="1" x14ac:dyDescent="0.25">
      <c r="A143" s="76"/>
      <c r="B143" s="18"/>
      <c r="C143" s="4">
        <v>41990</v>
      </c>
      <c r="D143" s="5">
        <v>8.9</v>
      </c>
      <c r="E143" s="15">
        <v>3.9</v>
      </c>
      <c r="F143" s="5">
        <v>12.2</v>
      </c>
      <c r="G143" s="5">
        <v>1114.3000000000004</v>
      </c>
      <c r="H143" s="5">
        <f t="shared" si="13"/>
        <v>78.899999999999991</v>
      </c>
      <c r="J143" s="5">
        <v>2.9</v>
      </c>
      <c r="K143" s="5">
        <v>188.9</v>
      </c>
      <c r="L143" s="5">
        <v>0.1</v>
      </c>
      <c r="M143" s="5">
        <v>125.4</v>
      </c>
      <c r="N143" s="5">
        <v>2.8</v>
      </c>
      <c r="O143" s="5">
        <f t="shared" si="10"/>
        <v>90.500000000000014</v>
      </c>
      <c r="P143" s="5">
        <v>99</v>
      </c>
      <c r="Q143" s="5">
        <v>1</v>
      </c>
      <c r="R143" s="8">
        <f t="shared" si="8"/>
        <v>0.1</v>
      </c>
      <c r="S143" s="8">
        <f t="shared" si="9"/>
        <v>2.8</v>
      </c>
      <c r="T143" s="8">
        <f t="shared" si="11"/>
        <v>142.63712328767124</v>
      </c>
      <c r="V143" s="16">
        <v>60.5</v>
      </c>
      <c r="W143" s="5">
        <v>6.797752808988764</v>
      </c>
      <c r="X143" s="5">
        <v>54322.2</v>
      </c>
      <c r="Y143" s="5">
        <f t="shared" si="14"/>
        <v>3391.1</v>
      </c>
      <c r="AA143" s="17">
        <v>7.9880369338321104</v>
      </c>
    </row>
    <row r="144" spans="1:27" s="5" customFormat="1" x14ac:dyDescent="0.25">
      <c r="A144" s="76"/>
      <c r="B144" s="10"/>
      <c r="C144" s="4">
        <v>41991</v>
      </c>
      <c r="D144" s="5">
        <v>12.5</v>
      </c>
      <c r="E144" s="5">
        <v>10</v>
      </c>
      <c r="F144" s="5">
        <v>13.3</v>
      </c>
      <c r="G144" s="5">
        <v>1126.8000000000004</v>
      </c>
      <c r="H144" s="5">
        <f t="shared" si="13"/>
        <v>91.399999999999991</v>
      </c>
      <c r="J144" s="5">
        <v>1.8</v>
      </c>
      <c r="K144" s="5">
        <v>190.70000000000002</v>
      </c>
      <c r="L144" s="5">
        <v>0.2</v>
      </c>
      <c r="M144" s="5">
        <v>125.60000000000001</v>
      </c>
      <c r="N144" s="5">
        <v>1.6</v>
      </c>
      <c r="O144" s="5">
        <f t="shared" si="10"/>
        <v>92.100000000000009</v>
      </c>
      <c r="P144" s="5">
        <v>100</v>
      </c>
      <c r="Q144" s="5">
        <v>1</v>
      </c>
      <c r="R144" s="8">
        <f t="shared" si="8"/>
        <v>0.2</v>
      </c>
      <c r="S144" s="8">
        <f t="shared" si="9"/>
        <v>1.6</v>
      </c>
      <c r="T144" s="8">
        <f t="shared" si="11"/>
        <v>144.23712328767124</v>
      </c>
      <c r="V144" s="16">
        <v>71.5</v>
      </c>
      <c r="W144" s="5">
        <v>5.72</v>
      </c>
      <c r="X144" s="5">
        <v>54393.7</v>
      </c>
      <c r="Y144" s="5">
        <f t="shared" si="14"/>
        <v>3462.6</v>
      </c>
      <c r="AA144" s="17">
        <v>7.9793979218443702</v>
      </c>
    </row>
    <row r="145" spans="1:27" s="5" customFormat="1" x14ac:dyDescent="0.25">
      <c r="A145" s="76"/>
      <c r="B145" s="10"/>
      <c r="C145" s="4">
        <v>41992</v>
      </c>
      <c r="D145" s="5">
        <v>8.9</v>
      </c>
      <c r="E145" s="5">
        <v>6.4</v>
      </c>
      <c r="F145" s="5">
        <v>11.1</v>
      </c>
      <c r="G145" s="5">
        <v>1135.7000000000005</v>
      </c>
      <c r="H145" s="5">
        <f t="shared" si="13"/>
        <v>100.3</v>
      </c>
      <c r="J145" s="5">
        <v>6.2</v>
      </c>
      <c r="K145" s="5">
        <v>196.9</v>
      </c>
      <c r="L145" s="5">
        <v>0.3</v>
      </c>
      <c r="M145" s="5">
        <v>125.9</v>
      </c>
      <c r="N145" s="5">
        <v>5.9</v>
      </c>
      <c r="O145" s="5">
        <f t="shared" si="10"/>
        <v>98.000000000000014</v>
      </c>
      <c r="P145" s="5">
        <v>101</v>
      </c>
      <c r="Q145" s="5">
        <v>1</v>
      </c>
      <c r="R145" s="8">
        <f t="shared" si="8"/>
        <v>0.3</v>
      </c>
      <c r="S145" s="8">
        <f t="shared" si="9"/>
        <v>5.9</v>
      </c>
      <c r="T145" s="8">
        <f t="shared" si="11"/>
        <v>150.13712328767124</v>
      </c>
      <c r="V145" s="16">
        <v>64.099999999999994</v>
      </c>
      <c r="W145" s="5">
        <v>7.2022471910112351</v>
      </c>
      <c r="X145" s="5">
        <v>54457.799999999996</v>
      </c>
      <c r="Y145" s="5">
        <f t="shared" si="14"/>
        <v>3526.7</v>
      </c>
      <c r="AA145" s="17">
        <v>7.9724775562125698</v>
      </c>
    </row>
    <row r="146" spans="1:27" s="5" customFormat="1" x14ac:dyDescent="0.25">
      <c r="A146" s="76"/>
      <c r="B146" s="18"/>
      <c r="C146" s="4">
        <v>41993</v>
      </c>
      <c r="D146" s="5">
        <v>6.2</v>
      </c>
      <c r="E146" s="15">
        <v>4.7</v>
      </c>
      <c r="F146" s="5">
        <v>9.1999999999999993</v>
      </c>
      <c r="G146" s="5">
        <v>1141.9000000000005</v>
      </c>
      <c r="H146" s="5">
        <f t="shared" si="13"/>
        <v>106.5</v>
      </c>
      <c r="J146" s="5">
        <v>0</v>
      </c>
      <c r="K146" s="5">
        <v>196.9</v>
      </c>
      <c r="L146" s="5">
        <v>1.2</v>
      </c>
      <c r="M146" s="5">
        <v>127.10000000000001</v>
      </c>
      <c r="N146" s="6">
        <v>-1.2</v>
      </c>
      <c r="O146" s="5">
        <f t="shared" si="10"/>
        <v>96.800000000000011</v>
      </c>
      <c r="P146" s="5">
        <v>102</v>
      </c>
      <c r="Q146" s="5">
        <v>1</v>
      </c>
      <c r="R146" s="8">
        <f t="shared" si="8"/>
        <v>1.2</v>
      </c>
      <c r="S146" s="8">
        <f t="shared" si="9"/>
        <v>-1.2</v>
      </c>
      <c r="T146" s="8">
        <f t="shared" si="11"/>
        <v>148.93712328767126</v>
      </c>
      <c r="V146" s="12">
        <v>341.8</v>
      </c>
      <c r="W146" s="5">
        <v>55.12903225806452</v>
      </c>
      <c r="X146" s="5">
        <v>54799.6</v>
      </c>
      <c r="Y146" s="5">
        <f t="shared" si="14"/>
        <v>3868.5</v>
      </c>
      <c r="AA146" s="17">
        <v>7.9672852593054602</v>
      </c>
    </row>
    <row r="147" spans="1:27" s="5" customFormat="1" x14ac:dyDescent="0.25">
      <c r="A147" s="76"/>
      <c r="B147" s="18"/>
      <c r="C147" s="4">
        <v>41994</v>
      </c>
      <c r="D147" s="5">
        <v>6.6</v>
      </c>
      <c r="E147" s="15">
        <v>3.2</v>
      </c>
      <c r="F147" s="5">
        <v>9.9</v>
      </c>
      <c r="G147" s="5">
        <v>1148.5000000000005</v>
      </c>
      <c r="H147" s="5">
        <f t="shared" si="13"/>
        <v>113.1</v>
      </c>
      <c r="J147" s="5">
        <v>0.6</v>
      </c>
      <c r="K147" s="5">
        <v>197.5</v>
      </c>
      <c r="L147" s="5">
        <v>0.7</v>
      </c>
      <c r="M147" s="5">
        <v>127.80000000000001</v>
      </c>
      <c r="N147" s="6">
        <v>-9.9999999999999978E-2</v>
      </c>
      <c r="O147" s="5">
        <f t="shared" si="10"/>
        <v>96.700000000000017</v>
      </c>
      <c r="P147" s="5">
        <v>103</v>
      </c>
      <c r="Q147" s="5">
        <v>1</v>
      </c>
      <c r="R147" s="8">
        <f t="shared" si="8"/>
        <v>0.7</v>
      </c>
      <c r="S147" s="8">
        <f t="shared" si="9"/>
        <v>-9.9999999999999978E-2</v>
      </c>
      <c r="T147" s="8">
        <f t="shared" si="11"/>
        <v>148.83712328767126</v>
      </c>
      <c r="V147" s="12">
        <v>252.1</v>
      </c>
      <c r="W147" s="5">
        <v>38.196969696969695</v>
      </c>
      <c r="X147" s="5">
        <v>55051.7</v>
      </c>
      <c r="Y147" s="5">
        <f t="shared" si="14"/>
        <v>4120.6000000000004</v>
      </c>
      <c r="AA147" s="17">
        <v>7.9638282915724998</v>
      </c>
    </row>
    <row r="148" spans="1:27" s="5" customFormat="1" x14ac:dyDescent="0.25">
      <c r="A148" s="76"/>
      <c r="B148" s="10"/>
      <c r="C148" s="4">
        <v>41995</v>
      </c>
      <c r="D148" s="5">
        <v>11.3</v>
      </c>
      <c r="E148" s="5">
        <v>8.1999999999999993</v>
      </c>
      <c r="F148" s="5">
        <v>12.2</v>
      </c>
      <c r="G148" s="5">
        <v>1159.8000000000004</v>
      </c>
      <c r="H148" s="5">
        <f t="shared" si="13"/>
        <v>124.39999999999999</v>
      </c>
      <c r="J148" s="5">
        <v>0.1</v>
      </c>
      <c r="K148" s="5">
        <v>197.6</v>
      </c>
      <c r="L148" s="5">
        <v>0.6</v>
      </c>
      <c r="M148" s="5">
        <v>128.4</v>
      </c>
      <c r="N148" s="6">
        <v>-0.5</v>
      </c>
      <c r="O148" s="5">
        <f t="shared" si="10"/>
        <v>96.200000000000017</v>
      </c>
      <c r="P148" s="5">
        <v>104</v>
      </c>
      <c r="Q148" s="5">
        <v>1</v>
      </c>
      <c r="R148" s="8">
        <f t="shared" si="8"/>
        <v>0.6</v>
      </c>
      <c r="S148" s="8">
        <f t="shared" si="9"/>
        <v>-0.5</v>
      </c>
      <c r="T148" s="8">
        <f t="shared" si="11"/>
        <v>148.33712328767126</v>
      </c>
      <c r="V148" s="16">
        <v>94.6</v>
      </c>
      <c r="W148" s="5">
        <v>8.3716814159292028</v>
      </c>
      <c r="X148" s="5">
        <v>55146.299999999996</v>
      </c>
      <c r="Y148" s="5">
        <f t="shared" si="14"/>
        <v>4215.2000000000007</v>
      </c>
      <c r="AA148" s="17">
        <v>7.9621117174038103</v>
      </c>
    </row>
    <row r="149" spans="1:27" s="5" customFormat="1" x14ac:dyDescent="0.25">
      <c r="A149" s="76"/>
      <c r="B149" s="10"/>
      <c r="C149" s="4">
        <v>41996</v>
      </c>
      <c r="D149" s="5">
        <v>10.9</v>
      </c>
      <c r="E149" s="5">
        <v>10.3</v>
      </c>
      <c r="F149" s="5">
        <v>11.7</v>
      </c>
      <c r="G149" s="5">
        <v>1170.7000000000005</v>
      </c>
      <c r="H149" s="5">
        <f t="shared" si="13"/>
        <v>135.29999999999998</v>
      </c>
      <c r="J149" s="5">
        <v>0.2</v>
      </c>
      <c r="K149" s="5">
        <v>197.79999999999998</v>
      </c>
      <c r="L149" s="5">
        <v>1.2</v>
      </c>
      <c r="M149" s="5">
        <v>129.6</v>
      </c>
      <c r="N149" s="6">
        <v>-1</v>
      </c>
      <c r="O149" s="5">
        <f t="shared" si="10"/>
        <v>95.200000000000017</v>
      </c>
      <c r="P149" s="5">
        <v>105</v>
      </c>
      <c r="Q149" s="5">
        <v>1</v>
      </c>
      <c r="R149" s="8">
        <f t="shared" si="8"/>
        <v>1.2</v>
      </c>
      <c r="S149" s="8">
        <f t="shared" si="9"/>
        <v>-1</v>
      </c>
      <c r="T149" s="8">
        <f t="shared" si="11"/>
        <v>147.33712328767126</v>
      </c>
      <c r="V149" s="12">
        <v>119</v>
      </c>
      <c r="W149" s="5">
        <v>10.917431192660549</v>
      </c>
      <c r="X149" s="5">
        <v>55265.299999999996</v>
      </c>
      <c r="Y149" s="5">
        <f t="shared" si="14"/>
        <v>4334.2000000000007</v>
      </c>
      <c r="AA149" s="17">
        <v>7.9621383811963797</v>
      </c>
    </row>
    <row r="150" spans="1:27" s="5" customFormat="1" x14ac:dyDescent="0.25">
      <c r="A150" s="76"/>
      <c r="B150" s="10"/>
      <c r="C150" s="4">
        <v>41997</v>
      </c>
      <c r="D150" s="5">
        <v>8.1</v>
      </c>
      <c r="E150" s="5">
        <v>7.2</v>
      </c>
      <c r="F150" s="5">
        <v>10</v>
      </c>
      <c r="G150" s="5">
        <v>1178.8000000000004</v>
      </c>
      <c r="H150" s="5">
        <f t="shared" si="13"/>
        <v>143.39999999999998</v>
      </c>
      <c r="J150" s="5">
        <v>2</v>
      </c>
      <c r="K150" s="5">
        <v>199.79999999999998</v>
      </c>
      <c r="L150" s="5">
        <v>0.9</v>
      </c>
      <c r="M150" s="5">
        <v>130.5</v>
      </c>
      <c r="N150" s="5">
        <v>1.1000000000000001</v>
      </c>
      <c r="O150" s="5">
        <f t="shared" si="10"/>
        <v>96.300000000000011</v>
      </c>
      <c r="P150" s="5">
        <v>106</v>
      </c>
      <c r="Q150" s="5">
        <v>1</v>
      </c>
      <c r="R150" s="8">
        <f t="shared" si="8"/>
        <v>0.9</v>
      </c>
      <c r="S150" s="8">
        <f t="shared" si="9"/>
        <v>1.1000000000000001</v>
      </c>
      <c r="T150" s="8">
        <f t="shared" si="11"/>
        <v>148.43712328767126</v>
      </c>
      <c r="V150" s="16">
        <v>73.8</v>
      </c>
      <c r="W150" s="5">
        <v>9.1111111111111107</v>
      </c>
      <c r="X150" s="5">
        <v>55339.1</v>
      </c>
      <c r="Y150" s="5">
        <f t="shared" si="14"/>
        <v>4408.0000000000009</v>
      </c>
      <c r="AA150" s="17">
        <v>7.9639088938645202</v>
      </c>
    </row>
    <row r="151" spans="1:27" s="5" customFormat="1" x14ac:dyDescent="0.25">
      <c r="A151" s="76"/>
      <c r="B151" s="18"/>
      <c r="C151" s="4">
        <v>41998</v>
      </c>
      <c r="D151" s="15">
        <v>4.8</v>
      </c>
      <c r="E151" s="15">
        <v>3.6</v>
      </c>
      <c r="F151" s="5">
        <v>7.9</v>
      </c>
      <c r="G151" s="5">
        <v>1183.6000000000004</v>
      </c>
      <c r="H151" s="5">
        <f t="shared" si="13"/>
        <v>148.19999999999999</v>
      </c>
      <c r="J151" s="5">
        <v>0.7</v>
      </c>
      <c r="K151" s="5">
        <v>200.49999999999997</v>
      </c>
      <c r="L151" s="5">
        <v>0.9</v>
      </c>
      <c r="M151" s="5">
        <v>131.4</v>
      </c>
      <c r="N151" s="6">
        <v>-0.20000000000000007</v>
      </c>
      <c r="O151" s="5">
        <f t="shared" si="10"/>
        <v>96.100000000000009</v>
      </c>
      <c r="P151" s="5">
        <v>107</v>
      </c>
      <c r="Q151" s="5">
        <v>1</v>
      </c>
      <c r="R151" s="8">
        <f t="shared" si="8"/>
        <v>0.9</v>
      </c>
      <c r="S151" s="8">
        <f t="shared" si="9"/>
        <v>-0.20000000000000007</v>
      </c>
      <c r="T151" s="8">
        <f t="shared" si="11"/>
        <v>148.23712328767127</v>
      </c>
      <c r="V151" s="12">
        <v>495.2</v>
      </c>
      <c r="W151" s="5">
        <v>103.16666666666667</v>
      </c>
      <c r="X151" s="5">
        <v>55834.299999999996</v>
      </c>
      <c r="Y151" s="5">
        <f t="shared" si="14"/>
        <v>4903.2000000000007</v>
      </c>
      <c r="AA151" s="17">
        <v>7.9674216299288902</v>
      </c>
    </row>
    <row r="152" spans="1:27" s="5" customFormat="1" x14ac:dyDescent="0.25">
      <c r="A152" s="76"/>
      <c r="B152" s="18"/>
      <c r="C152" s="4">
        <v>41999</v>
      </c>
      <c r="D152" s="15">
        <v>3.2</v>
      </c>
      <c r="E152" s="15">
        <v>1.8</v>
      </c>
      <c r="F152" s="5">
        <v>5.2</v>
      </c>
      <c r="G152" s="5">
        <v>1186.8000000000004</v>
      </c>
      <c r="H152" s="5">
        <f t="shared" si="13"/>
        <v>151.39999999999998</v>
      </c>
      <c r="J152" s="5">
        <v>15.2</v>
      </c>
      <c r="K152" s="5">
        <v>215.69999999999996</v>
      </c>
      <c r="L152" s="5">
        <v>0.5</v>
      </c>
      <c r="M152" s="5">
        <v>131.9</v>
      </c>
      <c r="N152" s="5">
        <v>14.7</v>
      </c>
      <c r="O152" s="5">
        <f t="shared" si="10"/>
        <v>110.80000000000001</v>
      </c>
      <c r="P152" s="5">
        <v>108</v>
      </c>
      <c r="Q152" s="5">
        <v>1</v>
      </c>
      <c r="R152" s="8">
        <f t="shared" si="8"/>
        <v>0.5</v>
      </c>
      <c r="S152" s="8">
        <f t="shared" si="9"/>
        <v>14.7</v>
      </c>
      <c r="T152" s="8">
        <f t="shared" si="11"/>
        <v>153.6</v>
      </c>
      <c r="V152" s="12">
        <v>125.7</v>
      </c>
      <c r="W152" s="5">
        <v>39.28125</v>
      </c>
      <c r="X152" s="5">
        <v>55959.999999999993</v>
      </c>
      <c r="Y152" s="5">
        <f t="shared" si="14"/>
        <v>5028.9000000000005</v>
      </c>
      <c r="AA152" s="17">
        <v>7.9726727352127904</v>
      </c>
    </row>
    <row r="153" spans="1:27" s="5" customFormat="1" x14ac:dyDescent="0.25">
      <c r="A153" s="76"/>
      <c r="B153" s="18"/>
      <c r="C153" s="4">
        <v>42000</v>
      </c>
      <c r="D153" s="15">
        <v>2.5</v>
      </c>
      <c r="E153" s="15">
        <v>1.7</v>
      </c>
      <c r="F153" s="15">
        <v>3.7</v>
      </c>
      <c r="G153" s="5">
        <v>1189.3000000000004</v>
      </c>
      <c r="H153" s="5">
        <f t="shared" si="13"/>
        <v>153.89999999999998</v>
      </c>
      <c r="J153" s="5">
        <v>1.4</v>
      </c>
      <c r="K153" s="5">
        <v>217.09999999999997</v>
      </c>
      <c r="L153" s="5">
        <v>0.6</v>
      </c>
      <c r="M153" s="5">
        <v>132.5</v>
      </c>
      <c r="N153" s="5">
        <v>0.79999999999999993</v>
      </c>
      <c r="O153" s="5">
        <f t="shared" si="10"/>
        <v>111.60000000000001</v>
      </c>
      <c r="P153" s="5">
        <v>109</v>
      </c>
      <c r="Q153" s="5">
        <v>1</v>
      </c>
      <c r="R153" s="8">
        <f t="shared" si="8"/>
        <v>0.6</v>
      </c>
      <c r="S153" s="8">
        <f t="shared" si="9"/>
        <v>0.79999999999999993</v>
      </c>
      <c r="T153" s="8">
        <f t="shared" si="11"/>
        <v>153.6</v>
      </c>
      <c r="V153" s="16">
        <v>60.3</v>
      </c>
      <c r="W153" s="5">
        <v>24.119999999999997</v>
      </c>
      <c r="X153" s="5">
        <v>56020.299999999996</v>
      </c>
      <c r="Y153" s="5">
        <f t="shared" si="14"/>
        <v>5089.2000000000007</v>
      </c>
      <c r="AA153" s="17">
        <v>7.9796561450684704</v>
      </c>
    </row>
    <row r="154" spans="1:27" s="5" customFormat="1" x14ac:dyDescent="0.25">
      <c r="A154" s="76"/>
      <c r="B154" s="18"/>
      <c r="C154" s="4">
        <v>42001</v>
      </c>
      <c r="D154" s="20">
        <v>-1.5</v>
      </c>
      <c r="E154" s="20">
        <v>-2.2000000000000002</v>
      </c>
      <c r="F154" s="15">
        <v>0.3</v>
      </c>
      <c r="G154" s="5">
        <v>1189.3</v>
      </c>
      <c r="H154" s="5">
        <v>153.9</v>
      </c>
      <c r="J154" s="5">
        <v>0</v>
      </c>
      <c r="K154" s="5">
        <v>217.09999999999997</v>
      </c>
      <c r="L154" s="5">
        <v>1</v>
      </c>
      <c r="M154" s="5">
        <v>133.5</v>
      </c>
      <c r="N154" s="6">
        <v>-1</v>
      </c>
      <c r="O154" s="5">
        <f t="shared" si="10"/>
        <v>110.60000000000001</v>
      </c>
      <c r="P154" s="5">
        <v>110</v>
      </c>
      <c r="Q154" s="5">
        <v>1</v>
      </c>
      <c r="R154" s="8">
        <f t="shared" si="8"/>
        <v>1</v>
      </c>
      <c r="S154" s="8">
        <f t="shared" si="9"/>
        <v>-1</v>
      </c>
      <c r="T154" s="8">
        <f t="shared" si="11"/>
        <v>152.6</v>
      </c>
      <c r="V154" s="12">
        <v>564.5</v>
      </c>
      <c r="W154" s="5">
        <v>-376.33333333333331</v>
      </c>
      <c r="X154" s="5">
        <v>56584.799999999996</v>
      </c>
      <c r="Y154" s="5">
        <f t="shared" si="14"/>
        <v>5653.7000000000007</v>
      </c>
      <c r="AA154" s="17">
        <v>7.9883636129512103</v>
      </c>
    </row>
    <row r="155" spans="1:27" s="5" customFormat="1" x14ac:dyDescent="0.25">
      <c r="A155" s="76"/>
      <c r="B155" s="18"/>
      <c r="C155" s="4">
        <v>42002</v>
      </c>
      <c r="D155" s="15">
        <v>2.2000000000000002</v>
      </c>
      <c r="E155" s="20">
        <v>-3.5</v>
      </c>
      <c r="F155" s="15">
        <v>4.9000000000000004</v>
      </c>
      <c r="G155" s="5">
        <v>1191.5</v>
      </c>
      <c r="H155" s="5">
        <f t="shared" si="13"/>
        <v>156.1</v>
      </c>
      <c r="J155" s="5">
        <v>1</v>
      </c>
      <c r="K155" s="5">
        <v>218.09999999999997</v>
      </c>
      <c r="L155" s="5">
        <v>0.2</v>
      </c>
      <c r="M155" s="5">
        <v>133.69999999999999</v>
      </c>
      <c r="N155" s="5">
        <v>0.8</v>
      </c>
      <c r="O155" s="5">
        <f t="shared" si="10"/>
        <v>111.4</v>
      </c>
      <c r="P155" s="5">
        <v>111</v>
      </c>
      <c r="Q155" s="5">
        <v>1</v>
      </c>
      <c r="R155" s="8">
        <f t="shared" si="8"/>
        <v>0.2</v>
      </c>
      <c r="S155" s="8">
        <f t="shared" si="9"/>
        <v>0.8</v>
      </c>
      <c r="T155" s="8">
        <f t="shared" si="11"/>
        <v>153.4</v>
      </c>
      <c r="V155" s="12">
        <v>147.30000000000001</v>
      </c>
      <c r="W155" s="5">
        <v>66.954545454545453</v>
      </c>
      <c r="X155" s="5">
        <v>56732.1</v>
      </c>
      <c r="Y155" s="5">
        <f t="shared" si="14"/>
        <v>5801.0000000000009</v>
      </c>
      <c r="AA155" s="17">
        <v>7.9987847490574904</v>
      </c>
    </row>
    <row r="156" spans="1:27" s="5" customFormat="1" x14ac:dyDescent="0.25">
      <c r="A156" s="76"/>
      <c r="B156" s="18"/>
      <c r="C156" s="4">
        <v>42003</v>
      </c>
      <c r="D156" s="15">
        <v>3</v>
      </c>
      <c r="E156" s="15">
        <v>1.3</v>
      </c>
      <c r="F156" s="15">
        <v>4.4000000000000004</v>
      </c>
      <c r="G156" s="5">
        <v>1194.5</v>
      </c>
      <c r="H156" s="5">
        <f t="shared" si="13"/>
        <v>159.1</v>
      </c>
      <c r="J156" s="5">
        <v>0</v>
      </c>
      <c r="K156" s="5">
        <v>218.09999999999997</v>
      </c>
      <c r="L156" s="5">
        <v>0.5</v>
      </c>
      <c r="M156" s="5">
        <v>134.19999999999999</v>
      </c>
      <c r="N156" s="6">
        <v>-0.5</v>
      </c>
      <c r="O156" s="5">
        <f t="shared" si="10"/>
        <v>110.9</v>
      </c>
      <c r="P156" s="5">
        <v>112</v>
      </c>
      <c r="Q156" s="5">
        <v>1</v>
      </c>
      <c r="R156" s="8">
        <f t="shared" si="8"/>
        <v>0.5</v>
      </c>
      <c r="S156" s="8">
        <f t="shared" si="9"/>
        <v>-0.5</v>
      </c>
      <c r="T156" s="8">
        <f t="shared" si="11"/>
        <v>152.9</v>
      </c>
      <c r="V156" s="12">
        <v>306.2</v>
      </c>
      <c r="W156" s="5">
        <v>102.06666666666666</v>
      </c>
      <c r="X156" s="5">
        <v>57038.299999999996</v>
      </c>
      <c r="Y156" s="5">
        <f t="shared" si="14"/>
        <v>6107.2000000000007</v>
      </c>
      <c r="AA156" s="17">
        <v>8.0109070686467803</v>
      </c>
    </row>
    <row r="157" spans="1:27" s="5" customFormat="1" x14ac:dyDescent="0.25">
      <c r="A157" s="76"/>
      <c r="B157" s="18"/>
      <c r="C157" s="4">
        <v>42004</v>
      </c>
      <c r="D157" s="15">
        <v>3.3</v>
      </c>
      <c r="E157" s="15">
        <v>2</v>
      </c>
      <c r="F157" s="5">
        <v>6</v>
      </c>
      <c r="G157" s="5">
        <v>1197.8</v>
      </c>
      <c r="H157" s="5">
        <f t="shared" si="13"/>
        <v>162.4</v>
      </c>
      <c r="J157" s="5">
        <v>0</v>
      </c>
      <c r="K157" s="5">
        <v>218.09999999999997</v>
      </c>
      <c r="L157" s="5">
        <v>0.6</v>
      </c>
      <c r="M157" s="5">
        <v>134.79999999999998</v>
      </c>
      <c r="N157" s="6">
        <v>-0.6</v>
      </c>
      <c r="O157" s="5">
        <f t="shared" si="10"/>
        <v>110.30000000000001</v>
      </c>
      <c r="P157" s="5">
        <v>113</v>
      </c>
      <c r="Q157" s="5">
        <v>1</v>
      </c>
      <c r="R157" s="8">
        <f t="shared" si="8"/>
        <v>0.6</v>
      </c>
      <c r="S157" s="8">
        <f t="shared" si="9"/>
        <v>-0.6</v>
      </c>
      <c r="T157" s="8">
        <f t="shared" si="11"/>
        <v>152.30000000000001</v>
      </c>
      <c r="V157" s="12">
        <v>156.19999999999999</v>
      </c>
      <c r="W157" s="5">
        <v>47.333333333333336</v>
      </c>
      <c r="X157" s="5">
        <v>57194.499999999993</v>
      </c>
      <c r="Y157" s="5">
        <f t="shared" si="14"/>
        <v>6263.4000000000005</v>
      </c>
      <c r="AA157" s="17">
        <v>8.0247160495763499</v>
      </c>
    </row>
    <row r="158" spans="1:27" s="5" customFormat="1" x14ac:dyDescent="0.25">
      <c r="A158" s="76"/>
      <c r="B158" s="18"/>
      <c r="C158" s="4">
        <v>42005</v>
      </c>
      <c r="D158" s="15">
        <v>2.2000000000000002</v>
      </c>
      <c r="E158" s="20">
        <v>-0.5</v>
      </c>
      <c r="F158" s="5">
        <v>6.9</v>
      </c>
      <c r="G158" s="5">
        <v>1200</v>
      </c>
      <c r="H158" s="5">
        <f t="shared" si="13"/>
        <v>164.6</v>
      </c>
      <c r="J158" s="5">
        <v>0.4</v>
      </c>
      <c r="K158" s="5">
        <v>218.49999999999997</v>
      </c>
      <c r="L158" s="5">
        <v>1</v>
      </c>
      <c r="M158" s="5">
        <v>135.79999999999998</v>
      </c>
      <c r="N158" s="6">
        <v>-0.6</v>
      </c>
      <c r="O158" s="5">
        <f t="shared" si="10"/>
        <v>109.70000000000002</v>
      </c>
      <c r="P158" s="5">
        <v>114</v>
      </c>
      <c r="Q158" s="5">
        <v>1</v>
      </c>
      <c r="R158" s="8">
        <f t="shared" si="8"/>
        <v>1</v>
      </c>
      <c r="S158" s="8">
        <f t="shared" si="9"/>
        <v>-0.6</v>
      </c>
      <c r="T158" s="8">
        <f t="shared" si="11"/>
        <v>151.70000000000002</v>
      </c>
      <c r="V158" s="12">
        <v>330.3</v>
      </c>
      <c r="W158" s="5">
        <v>150.13636363636363</v>
      </c>
      <c r="X158" s="5">
        <v>57524.799999999996</v>
      </c>
      <c r="Y158" s="5">
        <f t="shared" si="14"/>
        <v>6593.7000000000007</v>
      </c>
      <c r="AA158" s="17">
        <v>8.0451866496054194</v>
      </c>
    </row>
    <row r="159" spans="1:27" s="5" customFormat="1" x14ac:dyDescent="0.25">
      <c r="A159" s="76"/>
      <c r="B159" s="18"/>
      <c r="C159" s="4">
        <v>42006</v>
      </c>
      <c r="D159" s="5">
        <v>5.6</v>
      </c>
      <c r="E159" s="15">
        <v>3.1</v>
      </c>
      <c r="F159" s="5">
        <v>8.9</v>
      </c>
      <c r="G159" s="5">
        <v>1205.5999999999999</v>
      </c>
      <c r="H159" s="5">
        <f t="shared" si="13"/>
        <v>170.2</v>
      </c>
      <c r="J159" s="5">
        <v>0.6</v>
      </c>
      <c r="K159" s="5">
        <v>219.09999999999997</v>
      </c>
      <c r="L159" s="5">
        <v>1</v>
      </c>
      <c r="M159" s="5">
        <v>136.79999999999998</v>
      </c>
      <c r="N159" s="6">
        <v>-0.4</v>
      </c>
      <c r="O159" s="5">
        <f t="shared" si="10"/>
        <v>109.30000000000001</v>
      </c>
      <c r="P159" s="5">
        <v>115</v>
      </c>
      <c r="Q159" s="5">
        <v>1</v>
      </c>
      <c r="R159" s="8">
        <f t="shared" si="8"/>
        <v>1</v>
      </c>
      <c r="S159" s="8">
        <f t="shared" si="9"/>
        <v>-0.4</v>
      </c>
      <c r="T159" s="8">
        <f t="shared" si="11"/>
        <v>151.30000000000001</v>
      </c>
      <c r="V159" s="12">
        <v>308.2</v>
      </c>
      <c r="W159" s="5">
        <v>55.035714285714285</v>
      </c>
      <c r="X159" s="5">
        <v>57832.999999999993</v>
      </c>
      <c r="Y159" s="5">
        <f t="shared" si="14"/>
        <v>6901.9000000000005</v>
      </c>
      <c r="AA159" s="17">
        <v>8.0628116565634098</v>
      </c>
    </row>
    <row r="160" spans="1:27" s="5" customFormat="1" x14ac:dyDescent="0.25">
      <c r="A160" s="76"/>
      <c r="B160" s="18"/>
      <c r="C160" s="4">
        <v>42007</v>
      </c>
      <c r="D160" s="15">
        <v>3.6</v>
      </c>
      <c r="E160" s="15">
        <v>3.1</v>
      </c>
      <c r="F160" s="15">
        <v>4.2</v>
      </c>
      <c r="G160" s="5">
        <v>1209.1999999999998</v>
      </c>
      <c r="H160" s="5">
        <f t="shared" si="13"/>
        <v>173.79999999999998</v>
      </c>
      <c r="J160" s="5">
        <v>10.199999999999999</v>
      </c>
      <c r="K160" s="5">
        <v>229.29999999999995</v>
      </c>
      <c r="L160" s="5">
        <v>0.3</v>
      </c>
      <c r="M160" s="5">
        <v>137.1</v>
      </c>
      <c r="N160" s="5">
        <v>9.8999999999999986</v>
      </c>
      <c r="O160" s="5">
        <f t="shared" si="10"/>
        <v>119.20000000000002</v>
      </c>
      <c r="P160" s="5">
        <v>116</v>
      </c>
      <c r="Q160" s="5">
        <v>1</v>
      </c>
      <c r="R160" s="8">
        <f t="shared" si="8"/>
        <v>0.3</v>
      </c>
      <c r="S160" s="8">
        <f t="shared" si="9"/>
        <v>9.8999999999999986</v>
      </c>
      <c r="T160" s="8">
        <f t="shared" si="11"/>
        <v>153.6</v>
      </c>
      <c r="V160" s="16">
        <v>61.7</v>
      </c>
      <c r="W160" s="5">
        <v>17.138888888888889</v>
      </c>
      <c r="X160" s="5">
        <v>57894.69999999999</v>
      </c>
      <c r="Y160" s="5">
        <f t="shared" si="14"/>
        <v>6963.6</v>
      </c>
      <c r="AA160" s="17">
        <v>8.0820618009671996</v>
      </c>
    </row>
    <row r="161" spans="1:27" s="5" customFormat="1" x14ac:dyDescent="0.25">
      <c r="A161" s="76"/>
      <c r="B161" s="18"/>
      <c r="C161" s="4">
        <v>42008</v>
      </c>
      <c r="D161" s="15">
        <v>1.9</v>
      </c>
      <c r="E161" s="15">
        <v>0.5</v>
      </c>
      <c r="F161" s="5">
        <v>5.0999999999999996</v>
      </c>
      <c r="G161" s="5">
        <v>1211.0999999999999</v>
      </c>
      <c r="H161" s="5">
        <f t="shared" si="13"/>
        <v>175.7</v>
      </c>
      <c r="J161" s="5">
        <v>0</v>
      </c>
      <c r="K161" s="5">
        <v>229.29999999999995</v>
      </c>
      <c r="L161" s="5">
        <v>0.5</v>
      </c>
      <c r="M161" s="5">
        <v>137.6</v>
      </c>
      <c r="N161" s="6">
        <v>-0.5</v>
      </c>
      <c r="O161" s="5">
        <f t="shared" si="10"/>
        <v>118.70000000000002</v>
      </c>
      <c r="P161" s="5">
        <v>117</v>
      </c>
      <c r="Q161" s="5">
        <v>1</v>
      </c>
      <c r="R161" s="8">
        <f t="shared" si="8"/>
        <v>0.5</v>
      </c>
      <c r="S161" s="8">
        <f t="shared" si="9"/>
        <v>-0.5</v>
      </c>
      <c r="T161" s="8">
        <f t="shared" si="11"/>
        <v>153.1</v>
      </c>
      <c r="V161" s="12">
        <v>469.5</v>
      </c>
      <c r="W161" s="5">
        <v>247.10526315789474</v>
      </c>
      <c r="X161" s="5">
        <v>58364.19999999999</v>
      </c>
      <c r="Y161" s="5">
        <f t="shared" si="14"/>
        <v>7433.1</v>
      </c>
      <c r="AA161" s="17">
        <v>8.1029146473420504</v>
      </c>
    </row>
    <row r="162" spans="1:27" s="5" customFormat="1" x14ac:dyDescent="0.25">
      <c r="A162" s="76"/>
      <c r="B162" s="18"/>
      <c r="C162" s="4">
        <v>42009</v>
      </c>
      <c r="D162" s="15">
        <v>0.5</v>
      </c>
      <c r="E162" s="20">
        <v>-0.9</v>
      </c>
      <c r="F162" s="15">
        <v>3.5</v>
      </c>
      <c r="G162" s="5">
        <v>1211.5999999999999</v>
      </c>
      <c r="H162" s="5">
        <f t="shared" si="13"/>
        <v>176.2</v>
      </c>
      <c r="J162" s="5">
        <v>0.1</v>
      </c>
      <c r="K162" s="5">
        <v>229.39999999999995</v>
      </c>
      <c r="L162" s="5">
        <v>0.6</v>
      </c>
      <c r="M162" s="5">
        <v>138.19999999999999</v>
      </c>
      <c r="N162" s="6">
        <v>-0.5</v>
      </c>
      <c r="O162" s="5">
        <f t="shared" si="10"/>
        <v>118.20000000000002</v>
      </c>
      <c r="P162" s="5">
        <v>118</v>
      </c>
      <c r="Q162" s="5">
        <v>1</v>
      </c>
      <c r="R162" s="8">
        <f t="shared" si="8"/>
        <v>0.6</v>
      </c>
      <c r="S162" s="8">
        <f t="shared" si="9"/>
        <v>-0.5</v>
      </c>
      <c r="T162" s="8">
        <f t="shared" si="11"/>
        <v>152.6</v>
      </c>
      <c r="V162" s="12">
        <v>217.5</v>
      </c>
      <c r="W162" s="5">
        <v>435</v>
      </c>
      <c r="X162" s="5">
        <v>58581.69999999999</v>
      </c>
      <c r="Y162" s="5">
        <f t="shared" si="14"/>
        <v>7650.6</v>
      </c>
      <c r="AA162" s="17">
        <v>8.1253461563436407</v>
      </c>
    </row>
    <row r="163" spans="1:27" s="5" customFormat="1" x14ac:dyDescent="0.25">
      <c r="A163" s="76"/>
      <c r="B163" s="18"/>
      <c r="C163" s="4">
        <v>42010</v>
      </c>
      <c r="D163" s="15">
        <v>0.9</v>
      </c>
      <c r="E163" s="20">
        <v>-1.1000000000000001</v>
      </c>
      <c r="F163" s="15">
        <v>3.2</v>
      </c>
      <c r="G163" s="5">
        <v>1212.5</v>
      </c>
      <c r="H163" s="5">
        <f t="shared" si="13"/>
        <v>177.1</v>
      </c>
      <c r="J163" s="5">
        <v>0</v>
      </c>
      <c r="K163" s="5">
        <v>229.39999999999995</v>
      </c>
      <c r="L163" s="5">
        <v>0.1</v>
      </c>
      <c r="M163" s="5">
        <v>138.29999999999998</v>
      </c>
      <c r="N163" s="6">
        <v>-0.1</v>
      </c>
      <c r="O163" s="5">
        <f t="shared" si="10"/>
        <v>118.10000000000002</v>
      </c>
      <c r="P163" s="5">
        <v>119</v>
      </c>
      <c r="Q163" s="5">
        <v>1</v>
      </c>
      <c r="R163" s="8">
        <f t="shared" si="8"/>
        <v>0.1</v>
      </c>
      <c r="S163" s="8">
        <f t="shared" si="9"/>
        <v>-0.1</v>
      </c>
      <c r="T163" s="8">
        <f t="shared" si="11"/>
        <v>152.5</v>
      </c>
      <c r="V163" s="12">
        <v>108.6</v>
      </c>
      <c r="W163" s="5">
        <v>120.66666666666666</v>
      </c>
      <c r="X163" s="5">
        <v>58690.299999999988</v>
      </c>
      <c r="Y163" s="5">
        <f t="shared" si="14"/>
        <v>7759.2000000000007</v>
      </c>
      <c r="AA163" s="17">
        <v>8.14933078511595</v>
      </c>
    </row>
    <row r="164" spans="1:27" s="5" customFormat="1" x14ac:dyDescent="0.25">
      <c r="A164" s="76"/>
      <c r="B164" s="18"/>
      <c r="C164" s="4">
        <v>42011</v>
      </c>
      <c r="D164" s="15">
        <v>2.7</v>
      </c>
      <c r="E164" s="20">
        <v>-0.4</v>
      </c>
      <c r="F164" s="5">
        <v>7</v>
      </c>
      <c r="G164" s="5">
        <v>1215.2</v>
      </c>
      <c r="H164" s="5">
        <f t="shared" si="13"/>
        <v>179.79999999999998</v>
      </c>
      <c r="J164" s="5">
        <v>2.4</v>
      </c>
      <c r="K164" s="5">
        <v>231.79999999999995</v>
      </c>
      <c r="L164" s="5">
        <v>0.7</v>
      </c>
      <c r="M164" s="5">
        <v>138.99999999999997</v>
      </c>
      <c r="N164" s="5">
        <v>1.7</v>
      </c>
      <c r="O164" s="5">
        <f t="shared" si="10"/>
        <v>119.80000000000003</v>
      </c>
      <c r="P164" s="5">
        <v>120</v>
      </c>
      <c r="Q164" s="5">
        <v>1</v>
      </c>
      <c r="R164" s="8">
        <f t="shared" si="8"/>
        <v>0.7</v>
      </c>
      <c r="S164" s="8">
        <f t="shared" si="9"/>
        <v>1.7</v>
      </c>
      <c r="T164" s="8">
        <f t="shared" si="11"/>
        <v>153.6</v>
      </c>
      <c r="V164" s="12">
        <v>322.5</v>
      </c>
      <c r="W164" s="5">
        <v>119.44444444444444</v>
      </c>
      <c r="X164" s="5">
        <v>59012.799999999988</v>
      </c>
      <c r="Y164" s="5">
        <f t="shared" si="14"/>
        <v>8081.7000000000007</v>
      </c>
      <c r="AA164" s="17">
        <v>8.1748415915789199</v>
      </c>
    </row>
    <row r="165" spans="1:27" s="5" customFormat="1" x14ac:dyDescent="0.25">
      <c r="A165" s="76"/>
      <c r="B165" s="18"/>
      <c r="C165" s="4">
        <v>42012</v>
      </c>
      <c r="D165" s="15">
        <v>7.3</v>
      </c>
      <c r="E165" s="15">
        <v>3.3</v>
      </c>
      <c r="F165" s="5">
        <v>9.3000000000000007</v>
      </c>
      <c r="G165" s="5">
        <v>1222.5</v>
      </c>
      <c r="H165" s="5">
        <f t="shared" si="13"/>
        <v>187.1</v>
      </c>
      <c r="J165" s="5">
        <v>13.7</v>
      </c>
      <c r="K165" s="5">
        <v>245.49999999999994</v>
      </c>
      <c r="L165" s="5">
        <v>0.2</v>
      </c>
      <c r="M165" s="5">
        <v>139.19999999999996</v>
      </c>
      <c r="N165" s="5">
        <v>13.5</v>
      </c>
      <c r="O165" s="5">
        <f t="shared" si="10"/>
        <v>133.30000000000001</v>
      </c>
      <c r="P165" s="5">
        <v>121</v>
      </c>
      <c r="Q165" s="5">
        <v>1</v>
      </c>
      <c r="R165" s="8">
        <f t="shared" si="8"/>
        <v>0.2</v>
      </c>
      <c r="S165" s="8">
        <f t="shared" si="9"/>
        <v>13.5</v>
      </c>
      <c r="T165" s="8">
        <f t="shared" si="11"/>
        <v>153.6</v>
      </c>
      <c r="V165" s="16">
        <v>69.5</v>
      </c>
      <c r="W165" s="5">
        <v>9.5205479452054789</v>
      </c>
      <c r="X165" s="5">
        <v>59082.299999999988</v>
      </c>
      <c r="Y165" s="5">
        <f t="shared" si="14"/>
        <v>8151.2000000000007</v>
      </c>
      <c r="AA165" s="17">
        <v>8.2018503418103901</v>
      </c>
    </row>
    <row r="166" spans="1:27" s="5" customFormat="1" x14ac:dyDescent="0.25">
      <c r="A166" s="76"/>
      <c r="B166" s="10"/>
      <c r="C166" s="4">
        <v>42013</v>
      </c>
      <c r="D166" s="5">
        <v>10.7</v>
      </c>
      <c r="E166" s="5">
        <v>6.5</v>
      </c>
      <c r="F166" s="5">
        <v>13.6</v>
      </c>
      <c r="G166" s="5">
        <v>1233.2</v>
      </c>
      <c r="H166" s="5">
        <f t="shared" si="13"/>
        <v>197.79999999999998</v>
      </c>
      <c r="J166" s="5">
        <v>0.3</v>
      </c>
      <c r="K166" s="5">
        <v>245.79999999999995</v>
      </c>
      <c r="L166" s="5">
        <v>0.5</v>
      </c>
      <c r="M166" s="5">
        <v>139.69999999999996</v>
      </c>
      <c r="N166" s="6">
        <v>-0.2</v>
      </c>
      <c r="O166" s="5">
        <f t="shared" si="10"/>
        <v>133.10000000000002</v>
      </c>
      <c r="P166" s="5">
        <v>122</v>
      </c>
      <c r="Q166" s="5">
        <v>1</v>
      </c>
      <c r="R166" s="8">
        <f t="shared" si="8"/>
        <v>0.5</v>
      </c>
      <c r="S166" s="8">
        <f t="shared" si="9"/>
        <v>-0.2</v>
      </c>
      <c r="T166" s="8">
        <f t="shared" si="11"/>
        <v>153.4</v>
      </c>
      <c r="V166" s="16">
        <v>57</v>
      </c>
      <c r="W166" s="5">
        <v>5.3271028037383177</v>
      </c>
      <c r="X166" s="5">
        <v>59139.299999999988</v>
      </c>
      <c r="Y166" s="5">
        <f t="shared" si="14"/>
        <v>8208.2000000000007</v>
      </c>
      <c r="AA166" s="17">
        <v>8.2303276196945099</v>
      </c>
    </row>
    <row r="167" spans="1:27" s="5" customFormat="1" x14ac:dyDescent="0.25">
      <c r="A167" s="76"/>
      <c r="B167" s="10"/>
      <c r="C167" s="4">
        <v>42014</v>
      </c>
      <c r="D167" s="5">
        <v>10.4</v>
      </c>
      <c r="E167" s="5">
        <v>8.5</v>
      </c>
      <c r="F167" s="5">
        <v>12.8</v>
      </c>
      <c r="G167" s="5">
        <v>1243.6000000000001</v>
      </c>
      <c r="H167" s="5">
        <f t="shared" si="13"/>
        <v>208.2</v>
      </c>
      <c r="J167" s="5">
        <v>1</v>
      </c>
      <c r="K167" s="5">
        <v>246.79999999999995</v>
      </c>
      <c r="L167" s="5">
        <v>1.1000000000000001</v>
      </c>
      <c r="M167" s="5">
        <v>140.79999999999995</v>
      </c>
      <c r="N167" s="6">
        <v>-0.10000000000000009</v>
      </c>
      <c r="O167" s="5">
        <f t="shared" si="10"/>
        <v>133.00000000000003</v>
      </c>
      <c r="P167" s="5">
        <v>123</v>
      </c>
      <c r="Q167" s="5">
        <v>1</v>
      </c>
      <c r="R167" s="8">
        <f t="shared" si="8"/>
        <v>1.1000000000000001</v>
      </c>
      <c r="S167" s="8">
        <f t="shared" si="9"/>
        <v>-0.10000000000000009</v>
      </c>
      <c r="T167" s="8">
        <f t="shared" si="11"/>
        <v>153.30000000000001</v>
      </c>
      <c r="V167" s="16">
        <v>90.7</v>
      </c>
      <c r="W167" s="5">
        <v>8.7211538461538467</v>
      </c>
      <c r="X167" s="5">
        <v>59229.999999999985</v>
      </c>
      <c r="Y167" s="5">
        <f t="shared" si="14"/>
        <v>8298.9000000000015</v>
      </c>
      <c r="AA167" s="17">
        <v>8.2602429380258098</v>
      </c>
    </row>
    <row r="168" spans="1:27" s="5" customFormat="1" x14ac:dyDescent="0.25">
      <c r="A168" s="76"/>
      <c r="B168" s="18"/>
      <c r="C168" s="4">
        <v>42015</v>
      </c>
      <c r="D168" s="5">
        <v>6.2</v>
      </c>
      <c r="E168" s="15">
        <v>3.7</v>
      </c>
      <c r="F168" s="5">
        <v>7.5</v>
      </c>
      <c r="G168" s="5">
        <v>1249.8000000000002</v>
      </c>
      <c r="H168" s="5">
        <f t="shared" si="13"/>
        <v>214.39999999999998</v>
      </c>
      <c r="J168" s="5">
        <v>2.8</v>
      </c>
      <c r="K168" s="5">
        <v>249.59999999999997</v>
      </c>
      <c r="L168" s="5">
        <v>1.2</v>
      </c>
      <c r="M168" s="5">
        <v>141.99999999999994</v>
      </c>
      <c r="N168" s="5">
        <v>1.5999999999999999</v>
      </c>
      <c r="O168" s="5">
        <f t="shared" si="10"/>
        <v>134.60000000000002</v>
      </c>
      <c r="P168" s="5">
        <v>124</v>
      </c>
      <c r="Q168" s="5">
        <v>1</v>
      </c>
      <c r="R168" s="8">
        <f t="shared" si="8"/>
        <v>1.2</v>
      </c>
      <c r="S168" s="8">
        <f t="shared" si="9"/>
        <v>1.5999999999999999</v>
      </c>
      <c r="T168" s="8">
        <f t="shared" si="11"/>
        <v>153.6</v>
      </c>
      <c r="V168" s="12">
        <v>462.8</v>
      </c>
      <c r="W168" s="5">
        <v>74.645161290322577</v>
      </c>
      <c r="X168" s="5">
        <v>59692.799999999988</v>
      </c>
      <c r="Y168" s="5">
        <f t="shared" si="14"/>
        <v>8761.7000000000007</v>
      </c>
      <c r="AA168" s="17">
        <v>8.2915648502844892</v>
      </c>
    </row>
    <row r="169" spans="1:27" s="5" customFormat="1" x14ac:dyDescent="0.25">
      <c r="A169" s="76"/>
      <c r="B169" s="10"/>
      <c r="C169" s="4">
        <v>42016</v>
      </c>
      <c r="D169" s="5">
        <v>8.1999999999999993</v>
      </c>
      <c r="E169" s="5">
        <v>6.9</v>
      </c>
      <c r="F169" s="5">
        <v>10.199999999999999</v>
      </c>
      <c r="G169" s="5">
        <v>1258.0000000000002</v>
      </c>
      <c r="H169" s="5">
        <f t="shared" si="13"/>
        <v>222.59999999999997</v>
      </c>
      <c r="J169" s="5">
        <v>0</v>
      </c>
      <c r="K169" s="5">
        <v>249.59999999999997</v>
      </c>
      <c r="L169" s="5">
        <v>1.2</v>
      </c>
      <c r="M169" s="5">
        <v>143.19999999999993</v>
      </c>
      <c r="N169" s="6">
        <v>-1.2</v>
      </c>
      <c r="O169" s="5">
        <f t="shared" si="10"/>
        <v>133.40000000000003</v>
      </c>
      <c r="P169" s="5">
        <v>125</v>
      </c>
      <c r="Q169" s="5">
        <v>1</v>
      </c>
      <c r="R169" s="8">
        <f t="shared" si="8"/>
        <v>1.2</v>
      </c>
      <c r="S169" s="8">
        <f t="shared" si="9"/>
        <v>-1.2</v>
      </c>
      <c r="T169" s="8">
        <f t="shared" si="11"/>
        <v>152.4</v>
      </c>
      <c r="V169" s="16">
        <v>76.099999999999994</v>
      </c>
      <c r="W169" s="5">
        <v>9.2804878048780495</v>
      </c>
      <c r="X169" s="5">
        <v>59768.899999999987</v>
      </c>
      <c r="Y169" s="5">
        <f t="shared" si="14"/>
        <v>8837.8000000000011</v>
      </c>
      <c r="AA169" s="17">
        <v>8.3242610623324307</v>
      </c>
    </row>
    <row r="170" spans="1:27" s="5" customFormat="1" x14ac:dyDescent="0.25">
      <c r="A170" s="76"/>
      <c r="B170" s="10"/>
      <c r="C170" s="4">
        <v>42017</v>
      </c>
      <c r="D170" s="5">
        <v>8.6</v>
      </c>
      <c r="E170" s="5">
        <v>8.3000000000000007</v>
      </c>
      <c r="F170" s="5">
        <v>9.9</v>
      </c>
      <c r="G170" s="5">
        <v>1266.6000000000001</v>
      </c>
      <c r="H170" s="5">
        <f t="shared" si="13"/>
        <v>231.19999999999996</v>
      </c>
      <c r="J170" s="5">
        <v>10.5</v>
      </c>
      <c r="K170" s="5">
        <v>260.09999999999997</v>
      </c>
      <c r="L170" s="5">
        <v>0.9</v>
      </c>
      <c r="M170" s="5">
        <v>144.09999999999994</v>
      </c>
      <c r="N170" s="5">
        <v>9.6</v>
      </c>
      <c r="O170" s="5">
        <f t="shared" si="10"/>
        <v>143.00000000000003</v>
      </c>
      <c r="P170" s="5">
        <v>126</v>
      </c>
      <c r="Q170" s="5">
        <v>1</v>
      </c>
      <c r="R170" s="8">
        <f t="shared" si="8"/>
        <v>0.9</v>
      </c>
      <c r="S170" s="8">
        <f t="shared" si="9"/>
        <v>9.6</v>
      </c>
      <c r="T170" s="8">
        <f t="shared" si="11"/>
        <v>153.6</v>
      </c>
      <c r="V170" s="16">
        <v>92.6</v>
      </c>
      <c r="W170" s="5">
        <v>10.767441860465116</v>
      </c>
      <c r="X170" s="5">
        <v>59861.499999999985</v>
      </c>
      <c r="Y170" s="5">
        <f t="shared" si="14"/>
        <v>8930.4000000000015</v>
      </c>
      <c r="AA170" s="17">
        <v>8.3582985433207195</v>
      </c>
    </row>
    <row r="171" spans="1:27" s="5" customFormat="1" x14ac:dyDescent="0.25">
      <c r="A171" s="76"/>
      <c r="B171" s="18"/>
      <c r="C171" s="4">
        <v>42018</v>
      </c>
      <c r="D171" s="5">
        <v>4.5999999999999996</v>
      </c>
      <c r="E171" s="15">
        <v>3.3</v>
      </c>
      <c r="F171" s="5">
        <v>9.8000000000000007</v>
      </c>
      <c r="G171" s="5">
        <v>1271.2</v>
      </c>
      <c r="H171" s="5">
        <f t="shared" si="13"/>
        <v>235.79999999999995</v>
      </c>
      <c r="J171" s="5">
        <v>7.8</v>
      </c>
      <c r="K171" s="5">
        <v>267.89999999999998</v>
      </c>
      <c r="L171" s="5">
        <v>1.4</v>
      </c>
      <c r="M171" s="5">
        <v>145.49999999999994</v>
      </c>
      <c r="N171" s="5">
        <v>6.4</v>
      </c>
      <c r="O171" s="5">
        <v>153.6</v>
      </c>
      <c r="P171" s="5">
        <v>127</v>
      </c>
      <c r="Q171" s="5">
        <v>1</v>
      </c>
      <c r="R171" s="8">
        <f t="shared" si="8"/>
        <v>1.4</v>
      </c>
      <c r="S171" s="8">
        <f t="shared" si="9"/>
        <v>6.4</v>
      </c>
      <c r="T171" s="8">
        <f t="shared" si="11"/>
        <v>153.6</v>
      </c>
      <c r="V171" s="12">
        <v>304</v>
      </c>
      <c r="W171" s="5">
        <v>66.08695652173914</v>
      </c>
      <c r="X171" s="5">
        <v>60165.499999999985</v>
      </c>
      <c r="Y171" s="5">
        <f t="shared" si="14"/>
        <v>9234.4000000000015</v>
      </c>
      <c r="AA171" s="17">
        <v>8.3936436351461392</v>
      </c>
    </row>
    <row r="172" spans="1:27" s="5" customFormat="1" x14ac:dyDescent="0.25">
      <c r="A172" s="76"/>
      <c r="B172" s="10"/>
      <c r="C172" s="4">
        <v>42019</v>
      </c>
      <c r="D172" s="5">
        <v>8.1</v>
      </c>
      <c r="E172" s="5">
        <v>5.5</v>
      </c>
      <c r="F172" s="5">
        <v>9.5</v>
      </c>
      <c r="G172" s="5">
        <v>1279.3</v>
      </c>
      <c r="H172" s="5">
        <f t="shared" si="13"/>
        <v>243.89999999999995</v>
      </c>
      <c r="J172" s="5">
        <v>3.1</v>
      </c>
      <c r="K172" s="5">
        <v>271</v>
      </c>
      <c r="L172" s="5">
        <v>0.8</v>
      </c>
      <c r="M172" s="5">
        <v>146.29999999999995</v>
      </c>
      <c r="N172" s="5">
        <v>2.2999999999999998</v>
      </c>
      <c r="O172" s="5">
        <v>153.6</v>
      </c>
      <c r="P172" s="5">
        <v>128</v>
      </c>
      <c r="Q172" s="5">
        <v>1</v>
      </c>
      <c r="R172" s="8">
        <f t="shared" si="8"/>
        <v>0.8</v>
      </c>
      <c r="S172" s="8">
        <f t="shared" si="9"/>
        <v>2.2999999999999998</v>
      </c>
      <c r="T172" s="8">
        <f t="shared" si="11"/>
        <v>153.6</v>
      </c>
      <c r="V172" s="16">
        <v>81.400000000000006</v>
      </c>
      <c r="W172" s="5">
        <v>10.049382716049385</v>
      </c>
      <c r="X172" s="5">
        <v>60246.899999999987</v>
      </c>
      <c r="Y172" s="5">
        <f t="shared" si="14"/>
        <v>9315.8000000000011</v>
      </c>
      <c r="AA172" s="17">
        <v>8.4302621598455207</v>
      </c>
    </row>
    <row r="173" spans="1:27" s="5" customFormat="1" x14ac:dyDescent="0.25">
      <c r="A173" s="76"/>
      <c r="B173" s="18"/>
      <c r="C173" s="4">
        <v>42020</v>
      </c>
      <c r="D173" s="15">
        <v>5</v>
      </c>
      <c r="E173" s="15">
        <v>3.7</v>
      </c>
      <c r="F173" s="5">
        <v>8</v>
      </c>
      <c r="G173" s="5">
        <v>1284.3</v>
      </c>
      <c r="H173" s="5">
        <f t="shared" si="13"/>
        <v>248.89999999999995</v>
      </c>
      <c r="J173" s="5">
        <v>0.1</v>
      </c>
      <c r="K173" s="5">
        <v>271.10000000000002</v>
      </c>
      <c r="L173" s="5">
        <v>1</v>
      </c>
      <c r="M173" s="5">
        <v>147.29999999999995</v>
      </c>
      <c r="N173" s="6">
        <v>-0.9</v>
      </c>
      <c r="O173" s="5">
        <f>O172+N173</f>
        <v>152.69999999999999</v>
      </c>
      <c r="P173" s="5">
        <v>129</v>
      </c>
      <c r="Q173" s="5">
        <v>1</v>
      </c>
      <c r="R173" s="8">
        <f t="shared" ref="R173:R236" si="15">Q173*L173</f>
        <v>1</v>
      </c>
      <c r="S173" s="8">
        <f t="shared" ref="S173:S236" si="16">J173-R173</f>
        <v>-0.9</v>
      </c>
      <c r="T173" s="8">
        <f t="shared" si="11"/>
        <v>152.69999999999999</v>
      </c>
      <c r="V173" s="12">
        <v>546.70000000000005</v>
      </c>
      <c r="W173" s="5">
        <v>109.34</v>
      </c>
      <c r="X173" s="5">
        <v>60793.599999999984</v>
      </c>
      <c r="Y173" s="5">
        <f t="shared" si="14"/>
        <v>9862.5000000000018</v>
      </c>
      <c r="AA173" s="17">
        <v>8.4681195243717404</v>
      </c>
    </row>
    <row r="174" spans="1:27" s="5" customFormat="1" x14ac:dyDescent="0.25">
      <c r="A174" s="76"/>
      <c r="B174" s="18"/>
      <c r="C174" s="4">
        <v>42021</v>
      </c>
      <c r="D174" s="15">
        <v>2.7</v>
      </c>
      <c r="E174" s="20">
        <v>-0.3</v>
      </c>
      <c r="F174" s="15">
        <v>5</v>
      </c>
      <c r="G174" s="5">
        <v>1287</v>
      </c>
      <c r="H174" s="5">
        <f t="shared" si="13"/>
        <v>251.59999999999994</v>
      </c>
      <c r="J174" s="5">
        <v>1.6</v>
      </c>
      <c r="K174" s="5">
        <v>272.70000000000005</v>
      </c>
      <c r="L174" s="5">
        <v>0.8</v>
      </c>
      <c r="M174" s="5">
        <v>148.09999999999997</v>
      </c>
      <c r="N174" s="5">
        <v>0.8</v>
      </c>
      <c r="O174" s="5">
        <f>O173+N174</f>
        <v>153.5</v>
      </c>
      <c r="P174" s="5">
        <v>130</v>
      </c>
      <c r="Q174" s="5">
        <v>1</v>
      </c>
      <c r="R174" s="8">
        <f t="shared" si="15"/>
        <v>0.8</v>
      </c>
      <c r="S174" s="8">
        <f t="shared" si="16"/>
        <v>0.8</v>
      </c>
      <c r="T174" s="8">
        <f t="shared" si="11"/>
        <v>153.5</v>
      </c>
      <c r="V174" s="12">
        <v>565.20000000000005</v>
      </c>
      <c r="W174" s="5">
        <v>209.33333333333334</v>
      </c>
      <c r="X174" s="5">
        <v>61358.799999999981</v>
      </c>
      <c r="Y174" s="5">
        <f t="shared" si="14"/>
        <v>10427.700000000003</v>
      </c>
      <c r="AA174" s="17">
        <v>8.5071808222526695</v>
      </c>
    </row>
    <row r="175" spans="1:27" s="5" customFormat="1" x14ac:dyDescent="0.25">
      <c r="A175" s="76"/>
      <c r="B175" s="18"/>
      <c r="C175" s="4">
        <v>42022</v>
      </c>
      <c r="D175" s="15">
        <v>2.8</v>
      </c>
      <c r="E175" s="15">
        <v>2.5</v>
      </c>
      <c r="F175" s="15">
        <v>4</v>
      </c>
      <c r="G175" s="5">
        <v>1289.8</v>
      </c>
      <c r="H175" s="5">
        <f t="shared" si="13"/>
        <v>254.39999999999995</v>
      </c>
      <c r="J175" s="5">
        <v>6.8</v>
      </c>
      <c r="K175" s="5">
        <v>279.50000000000006</v>
      </c>
      <c r="L175" s="5">
        <v>0.5</v>
      </c>
      <c r="M175" s="5">
        <v>148.59999999999997</v>
      </c>
      <c r="N175" s="5">
        <v>6.3</v>
      </c>
      <c r="O175" s="5">
        <v>153.6</v>
      </c>
      <c r="P175" s="5">
        <v>131</v>
      </c>
      <c r="Q175" s="5">
        <v>1</v>
      </c>
      <c r="R175" s="8">
        <f t="shared" si="15"/>
        <v>0.5</v>
      </c>
      <c r="S175" s="8">
        <f t="shared" si="16"/>
        <v>6.3</v>
      </c>
      <c r="T175" s="8">
        <f t="shared" ref="T175:T238" si="17">MIN(153.6,(T174+S175))</f>
        <v>153.6</v>
      </c>
      <c r="V175" s="16">
        <v>73.3</v>
      </c>
      <c r="W175" s="5">
        <v>26.178571428571431</v>
      </c>
      <c r="X175" s="5">
        <v>61432.099999999984</v>
      </c>
      <c r="Y175" s="5">
        <f t="shared" si="14"/>
        <v>10501.000000000002</v>
      </c>
      <c r="AA175" s="17">
        <v>8.5474109316925695</v>
      </c>
    </row>
    <row r="176" spans="1:27" s="5" customFormat="1" x14ac:dyDescent="0.25">
      <c r="A176" s="76"/>
      <c r="B176" s="18"/>
      <c r="C176" s="4">
        <v>42023</v>
      </c>
      <c r="D176" s="15">
        <v>1.7</v>
      </c>
      <c r="E176" s="15">
        <v>0.4</v>
      </c>
      <c r="F176" s="15">
        <v>3.2</v>
      </c>
      <c r="G176" s="5">
        <v>1291.5</v>
      </c>
      <c r="H176" s="5">
        <f t="shared" si="13"/>
        <v>256.09999999999997</v>
      </c>
      <c r="J176" s="5">
        <v>0.8</v>
      </c>
      <c r="K176" s="5">
        <v>280.30000000000007</v>
      </c>
      <c r="L176" s="5">
        <v>0.3</v>
      </c>
      <c r="M176" s="5">
        <v>148.89999999999998</v>
      </c>
      <c r="N176" s="5">
        <v>0.5</v>
      </c>
      <c r="O176" s="5">
        <v>153.6</v>
      </c>
      <c r="P176" s="5">
        <v>132</v>
      </c>
      <c r="Q176" s="5">
        <v>1</v>
      </c>
      <c r="R176" s="8">
        <f t="shared" si="15"/>
        <v>0.3</v>
      </c>
      <c r="S176" s="8">
        <f t="shared" si="16"/>
        <v>0.5</v>
      </c>
      <c r="T176" s="8">
        <f t="shared" si="17"/>
        <v>153.6</v>
      </c>
      <c r="V176" s="16">
        <v>92.4</v>
      </c>
      <c r="W176" s="5">
        <v>54.352941176470594</v>
      </c>
      <c r="X176" s="5">
        <v>61524.499999999985</v>
      </c>
      <c r="Y176" s="5">
        <f t="shared" si="14"/>
        <v>10593.400000000001</v>
      </c>
      <c r="AA176" s="17">
        <v>8.5887746097350206</v>
      </c>
    </row>
    <row r="177" spans="1:27" s="5" customFormat="1" x14ac:dyDescent="0.25">
      <c r="A177" s="76"/>
      <c r="B177" s="18"/>
      <c r="C177" s="4">
        <v>42024</v>
      </c>
      <c r="D177" s="15">
        <v>0.6</v>
      </c>
      <c r="E177" s="20">
        <v>-0.7</v>
      </c>
      <c r="F177" s="15">
        <v>3.5</v>
      </c>
      <c r="G177" s="5">
        <v>1292.0999999999999</v>
      </c>
      <c r="H177" s="5">
        <f t="shared" si="13"/>
        <v>256.7</v>
      </c>
      <c r="J177" s="5">
        <v>0</v>
      </c>
      <c r="K177" s="5">
        <v>280.30000000000007</v>
      </c>
      <c r="L177" s="5">
        <v>0.8</v>
      </c>
      <c r="M177" s="5">
        <v>149.69999999999999</v>
      </c>
      <c r="N177" s="6">
        <v>-0.8</v>
      </c>
      <c r="O177" s="5">
        <f>O176+N177</f>
        <v>152.79999999999998</v>
      </c>
      <c r="P177" s="5">
        <v>133</v>
      </c>
      <c r="Q177" s="5">
        <v>1</v>
      </c>
      <c r="R177" s="8">
        <f t="shared" si="15"/>
        <v>0.8</v>
      </c>
      <c r="S177" s="8">
        <f t="shared" si="16"/>
        <v>-0.8</v>
      </c>
      <c r="T177" s="8">
        <f t="shared" si="17"/>
        <v>152.79999999999998</v>
      </c>
      <c r="V177" s="12">
        <v>445.9</v>
      </c>
      <c r="W177" s="5">
        <v>743.16666666666663</v>
      </c>
      <c r="X177" s="5">
        <v>61970.399999999987</v>
      </c>
      <c r="Y177" s="5">
        <f t="shared" si="14"/>
        <v>11039.300000000001</v>
      </c>
      <c r="AA177" s="17">
        <v>8.6312365821643198</v>
      </c>
    </row>
    <row r="178" spans="1:27" s="5" customFormat="1" x14ac:dyDescent="0.25">
      <c r="A178" s="76"/>
      <c r="B178" s="18"/>
      <c r="C178" s="4">
        <v>42025</v>
      </c>
      <c r="D178" s="15">
        <v>0.3</v>
      </c>
      <c r="E178" s="20">
        <v>-0.6</v>
      </c>
      <c r="F178" s="15">
        <v>2.2999999999999998</v>
      </c>
      <c r="G178" s="5">
        <v>1292.3999999999999</v>
      </c>
      <c r="H178" s="5">
        <f t="shared" si="13"/>
        <v>257</v>
      </c>
      <c r="J178" s="5">
        <v>0</v>
      </c>
      <c r="K178" s="5">
        <v>280.30000000000007</v>
      </c>
      <c r="L178" s="5">
        <v>0.4</v>
      </c>
      <c r="M178" s="5">
        <v>150.1</v>
      </c>
      <c r="N178" s="6">
        <v>-0.4</v>
      </c>
      <c r="O178" s="5">
        <f>O177+N178</f>
        <v>152.39999999999998</v>
      </c>
      <c r="P178" s="5">
        <v>134</v>
      </c>
      <c r="Q178" s="5">
        <v>1</v>
      </c>
      <c r="R178" s="8">
        <f t="shared" si="15"/>
        <v>0.4</v>
      </c>
      <c r="S178" s="8">
        <f t="shared" si="16"/>
        <v>-0.4</v>
      </c>
      <c r="T178" s="8">
        <f t="shared" si="17"/>
        <v>152.39999999999998</v>
      </c>
      <c r="V178" s="12">
        <v>285.8</v>
      </c>
      <c r="W178" s="5">
        <v>952.66666666666674</v>
      </c>
      <c r="X178" s="5">
        <v>62256.19999999999</v>
      </c>
      <c r="Y178" s="5">
        <f t="shared" si="14"/>
        <v>11325.1</v>
      </c>
      <c r="AA178" s="17">
        <v>8.6747616288802494</v>
      </c>
    </row>
    <row r="179" spans="1:27" s="5" customFormat="1" x14ac:dyDescent="0.25">
      <c r="A179" s="76"/>
      <c r="B179" s="18"/>
      <c r="C179" s="4">
        <v>42026</v>
      </c>
      <c r="D179" s="20">
        <v>-0.9</v>
      </c>
      <c r="E179" s="20">
        <v>-2.1</v>
      </c>
      <c r="F179" s="15">
        <v>0.4</v>
      </c>
      <c r="G179" s="5">
        <v>1292.4000000000001</v>
      </c>
      <c r="H179" s="5">
        <v>257</v>
      </c>
      <c r="J179" s="5">
        <v>0</v>
      </c>
      <c r="K179" s="5">
        <v>280.30000000000007</v>
      </c>
      <c r="L179" s="5">
        <v>0.3</v>
      </c>
      <c r="M179" s="5">
        <v>150.4</v>
      </c>
      <c r="N179" s="6">
        <v>-0.3</v>
      </c>
      <c r="O179" s="5">
        <f>O178+N179</f>
        <v>152.09999999999997</v>
      </c>
      <c r="P179" s="5">
        <v>135</v>
      </c>
      <c r="Q179" s="5">
        <v>1</v>
      </c>
      <c r="R179" s="8">
        <f t="shared" si="15"/>
        <v>0.3</v>
      </c>
      <c r="S179" s="8">
        <f t="shared" si="16"/>
        <v>-0.3</v>
      </c>
      <c r="T179" s="8">
        <f t="shared" si="17"/>
        <v>152.09999999999997</v>
      </c>
      <c r="V179" s="12">
        <v>195.4</v>
      </c>
      <c r="W179" s="5">
        <v>-217.11111111111111</v>
      </c>
      <c r="X179" s="5">
        <v>62451.599999999991</v>
      </c>
      <c r="Y179" s="5">
        <f t="shared" si="14"/>
        <v>11520.5</v>
      </c>
      <c r="AA179" s="17">
        <v>8.7193146645356201</v>
      </c>
    </row>
    <row r="180" spans="1:27" s="5" customFormat="1" x14ac:dyDescent="0.25">
      <c r="A180" s="76"/>
      <c r="B180" s="18"/>
      <c r="C180" s="4">
        <v>42027</v>
      </c>
      <c r="D180" s="15">
        <v>0.5</v>
      </c>
      <c r="E180" s="20">
        <v>-0.8</v>
      </c>
      <c r="F180" s="15">
        <v>3.2</v>
      </c>
      <c r="G180" s="5">
        <v>1292.9000000000001</v>
      </c>
      <c r="H180" s="5">
        <f t="shared" si="13"/>
        <v>257.5</v>
      </c>
      <c r="J180" s="5">
        <v>7.1</v>
      </c>
      <c r="K180" s="5">
        <v>287.40000000000009</v>
      </c>
      <c r="L180" s="5">
        <v>0.7</v>
      </c>
      <c r="M180" s="5">
        <v>151.1</v>
      </c>
      <c r="N180" s="5">
        <v>6.3999999999999995</v>
      </c>
      <c r="O180" s="5">
        <v>153.6</v>
      </c>
      <c r="P180" s="5">
        <v>136</v>
      </c>
      <c r="Q180" s="5">
        <v>1</v>
      </c>
      <c r="R180" s="8">
        <f t="shared" si="15"/>
        <v>0.7</v>
      </c>
      <c r="S180" s="8">
        <f t="shared" si="16"/>
        <v>6.3999999999999995</v>
      </c>
      <c r="T180" s="8">
        <f t="shared" si="17"/>
        <v>153.6</v>
      </c>
      <c r="V180" s="12">
        <v>654.29999999999995</v>
      </c>
      <c r="W180" s="5">
        <v>1308.5999999999999</v>
      </c>
      <c r="X180" s="5">
        <v>63105.899999999994</v>
      </c>
      <c r="Y180" s="5">
        <f t="shared" si="14"/>
        <v>12174.8</v>
      </c>
      <c r="AA180" s="17">
        <v>8.7648608142793094</v>
      </c>
    </row>
    <row r="181" spans="1:27" s="5" customFormat="1" x14ac:dyDescent="0.25">
      <c r="A181" s="76"/>
      <c r="B181" s="18"/>
      <c r="C181" s="4">
        <v>42028</v>
      </c>
      <c r="D181" s="15">
        <v>2.2000000000000002</v>
      </c>
      <c r="E181" s="20">
        <v>-0.8</v>
      </c>
      <c r="F181" s="5">
        <v>5.7</v>
      </c>
      <c r="G181" s="5">
        <v>1295.1000000000001</v>
      </c>
      <c r="H181" s="5">
        <f t="shared" si="13"/>
        <v>259.7</v>
      </c>
      <c r="J181" s="5">
        <v>0.2</v>
      </c>
      <c r="K181" s="5">
        <v>287.60000000000008</v>
      </c>
      <c r="L181" s="5">
        <v>0.7</v>
      </c>
      <c r="M181" s="5">
        <v>151.79999999999998</v>
      </c>
      <c r="N181" s="6">
        <v>-0.49999999999999994</v>
      </c>
      <c r="O181" s="5">
        <f>O180+N181</f>
        <v>153.1</v>
      </c>
      <c r="P181" s="5">
        <v>137</v>
      </c>
      <c r="Q181" s="5">
        <v>1</v>
      </c>
      <c r="R181" s="8">
        <f t="shared" si="15"/>
        <v>0.7</v>
      </c>
      <c r="S181" s="8">
        <f t="shared" si="16"/>
        <v>-0.49999999999999994</v>
      </c>
      <c r="T181" s="8">
        <f t="shared" si="17"/>
        <v>153.1</v>
      </c>
      <c r="V181" s="12">
        <v>298.3</v>
      </c>
      <c r="W181" s="5">
        <v>135.59090909090909</v>
      </c>
      <c r="X181" s="5">
        <v>63404.2</v>
      </c>
      <c r="Y181" s="5">
        <f t="shared" si="14"/>
        <v>12473.099999999999</v>
      </c>
      <c r="AA181" s="17">
        <v>8.81136548449693</v>
      </c>
    </row>
    <row r="182" spans="1:27" s="5" customFormat="1" x14ac:dyDescent="0.25">
      <c r="A182" s="76"/>
      <c r="B182" s="18"/>
      <c r="C182" s="4">
        <v>42029</v>
      </c>
      <c r="D182" s="15">
        <v>3.6</v>
      </c>
      <c r="E182" s="15">
        <v>0.3</v>
      </c>
      <c r="F182" s="5">
        <v>6.9</v>
      </c>
      <c r="G182" s="5">
        <v>1298.7</v>
      </c>
      <c r="H182" s="5">
        <f t="shared" si="13"/>
        <v>263.3</v>
      </c>
      <c r="J182" s="5">
        <v>0.8</v>
      </c>
      <c r="K182" s="5">
        <v>288.40000000000009</v>
      </c>
      <c r="L182" s="5">
        <v>0.4</v>
      </c>
      <c r="M182" s="5">
        <v>152.19999999999999</v>
      </c>
      <c r="N182" s="5">
        <v>0.4</v>
      </c>
      <c r="O182" s="5">
        <f>O181+N182</f>
        <v>153.5</v>
      </c>
      <c r="P182" s="5">
        <v>138</v>
      </c>
      <c r="Q182" s="5">
        <v>1</v>
      </c>
      <c r="R182" s="8">
        <f t="shared" si="15"/>
        <v>0.4</v>
      </c>
      <c r="S182" s="8">
        <f t="shared" si="16"/>
        <v>0.4</v>
      </c>
      <c r="T182" s="8">
        <f t="shared" si="17"/>
        <v>153.5</v>
      </c>
      <c r="V182" s="12">
        <v>125.5</v>
      </c>
      <c r="W182" s="5">
        <v>34.861111111111107</v>
      </c>
      <c r="X182" s="5">
        <v>63529.7</v>
      </c>
      <c r="Y182" s="5">
        <f t="shared" si="14"/>
        <v>12598.599999999999</v>
      </c>
      <c r="AA182" s="17">
        <v>8.8587944284877995</v>
      </c>
    </row>
    <row r="183" spans="1:27" s="5" customFormat="1" x14ac:dyDescent="0.25">
      <c r="A183" s="76"/>
      <c r="B183" s="18"/>
      <c r="C183" s="4">
        <v>42030</v>
      </c>
      <c r="D183" s="5">
        <v>6.9</v>
      </c>
      <c r="E183" s="15">
        <v>5</v>
      </c>
      <c r="F183" s="5">
        <v>9.1</v>
      </c>
      <c r="G183" s="5">
        <v>1305.6000000000001</v>
      </c>
      <c r="H183" s="5">
        <f t="shared" si="13"/>
        <v>270.2</v>
      </c>
      <c r="J183" s="5">
        <v>0.9</v>
      </c>
      <c r="K183" s="5">
        <v>289.30000000000007</v>
      </c>
      <c r="L183" s="5">
        <v>0.6</v>
      </c>
      <c r="M183" s="5">
        <v>152.79999999999998</v>
      </c>
      <c r="N183" s="5">
        <v>0.30000000000000004</v>
      </c>
      <c r="O183" s="5">
        <v>153.6</v>
      </c>
      <c r="P183" s="5">
        <v>139</v>
      </c>
      <c r="Q183" s="5">
        <v>1</v>
      </c>
      <c r="R183" s="8">
        <f t="shared" si="15"/>
        <v>0.6</v>
      </c>
      <c r="S183" s="8">
        <f t="shared" si="16"/>
        <v>0.30000000000000004</v>
      </c>
      <c r="T183" s="8">
        <f t="shared" si="17"/>
        <v>153.6</v>
      </c>
      <c r="V183" s="12">
        <v>123.7</v>
      </c>
      <c r="W183" s="5">
        <v>17.927536231884059</v>
      </c>
      <c r="X183" s="5">
        <v>63653.399999999994</v>
      </c>
      <c r="Y183" s="5">
        <f t="shared" si="14"/>
        <v>12722.3</v>
      </c>
      <c r="AA183" s="17">
        <v>8.9071138070593996</v>
      </c>
    </row>
    <row r="184" spans="1:27" s="5" customFormat="1" x14ac:dyDescent="0.25">
      <c r="A184" s="76"/>
      <c r="B184" s="18"/>
      <c r="C184" s="4">
        <v>42031</v>
      </c>
      <c r="D184" s="15">
        <v>4.7</v>
      </c>
      <c r="E184" s="15">
        <v>1.5</v>
      </c>
      <c r="F184" s="5">
        <v>6</v>
      </c>
      <c r="G184" s="5">
        <v>1310.3000000000002</v>
      </c>
      <c r="H184" s="5">
        <f t="shared" si="13"/>
        <v>274.89999999999998</v>
      </c>
      <c r="J184" s="5">
        <v>0.2</v>
      </c>
      <c r="K184" s="5">
        <v>289.50000000000006</v>
      </c>
      <c r="L184" s="5">
        <v>0.3</v>
      </c>
      <c r="M184" s="5">
        <v>153.1</v>
      </c>
      <c r="N184" s="6">
        <v>-9.9999999999999978E-2</v>
      </c>
      <c r="O184" s="5">
        <f>O183+N184</f>
        <v>153.5</v>
      </c>
      <c r="P184" s="5">
        <v>140</v>
      </c>
      <c r="Q184" s="5">
        <v>1</v>
      </c>
      <c r="R184" s="8">
        <f t="shared" si="15"/>
        <v>0.3</v>
      </c>
      <c r="S184" s="8">
        <f t="shared" si="16"/>
        <v>-9.9999999999999978E-2</v>
      </c>
      <c r="T184" s="8">
        <f t="shared" si="17"/>
        <v>153.5</v>
      </c>
      <c r="V184" s="16">
        <v>90.1</v>
      </c>
      <c r="W184" s="5">
        <v>19.170212765957444</v>
      </c>
      <c r="X184" s="5">
        <v>63743.499999999993</v>
      </c>
      <c r="Y184" s="5">
        <f t="shared" si="14"/>
        <v>12812.4</v>
      </c>
      <c r="AA184" s="17">
        <v>8.9562902440598293</v>
      </c>
    </row>
    <row r="185" spans="1:27" s="5" customFormat="1" x14ac:dyDescent="0.25">
      <c r="A185" s="76"/>
      <c r="B185" s="10">
        <v>8</v>
      </c>
      <c r="C185" s="4">
        <v>42032</v>
      </c>
      <c r="D185" s="15">
        <v>5</v>
      </c>
      <c r="E185" s="15">
        <v>4.5999999999999996</v>
      </c>
      <c r="F185" s="5">
        <v>6.7</v>
      </c>
      <c r="G185" s="5">
        <v>1315.3000000000002</v>
      </c>
      <c r="H185" s="5">
        <f t="shared" si="13"/>
        <v>279.89999999999998</v>
      </c>
      <c r="J185" s="5">
        <v>2.9</v>
      </c>
      <c r="K185" s="5">
        <v>292.40000000000003</v>
      </c>
      <c r="L185" s="5">
        <v>0.9</v>
      </c>
      <c r="M185" s="5">
        <v>154</v>
      </c>
      <c r="N185" s="5">
        <v>2</v>
      </c>
      <c r="O185" s="5">
        <v>153.6</v>
      </c>
      <c r="P185" s="5">
        <v>141</v>
      </c>
      <c r="Q185" s="5">
        <v>1</v>
      </c>
      <c r="R185" s="8">
        <f t="shared" si="15"/>
        <v>0.9</v>
      </c>
      <c r="S185" s="8">
        <f t="shared" si="16"/>
        <v>2</v>
      </c>
      <c r="T185" s="8">
        <f t="shared" si="17"/>
        <v>153.6</v>
      </c>
      <c r="V185" s="12">
        <v>180.1</v>
      </c>
      <c r="W185" s="5">
        <v>36.019999999999996</v>
      </c>
      <c r="X185" s="5">
        <v>63923.599999999991</v>
      </c>
      <c r="Y185" s="5">
        <f t="shared" si="14"/>
        <v>12992.5</v>
      </c>
      <c r="AA185" s="5">
        <v>9.0062908769033498</v>
      </c>
    </row>
    <row r="186" spans="1:27" s="5" customFormat="1" x14ac:dyDescent="0.25">
      <c r="A186" s="76"/>
      <c r="B186" s="10"/>
      <c r="C186" s="4">
        <v>42033</v>
      </c>
      <c r="D186" s="15">
        <v>2.5</v>
      </c>
      <c r="E186" s="15">
        <v>1.4</v>
      </c>
      <c r="F186" s="15">
        <v>4.0999999999999996</v>
      </c>
      <c r="G186" s="5">
        <v>1317.8000000000002</v>
      </c>
      <c r="H186" s="5">
        <f t="shared" si="13"/>
        <v>282.39999999999998</v>
      </c>
      <c r="J186" s="5">
        <v>4.4000000000000004</v>
      </c>
      <c r="K186" s="5">
        <v>296.8</v>
      </c>
      <c r="L186" s="5">
        <v>0.7</v>
      </c>
      <c r="M186" s="5">
        <v>154.69999999999999</v>
      </c>
      <c r="N186" s="5">
        <v>3.7</v>
      </c>
      <c r="O186" s="5">
        <v>153.6</v>
      </c>
      <c r="P186" s="5">
        <v>142</v>
      </c>
      <c r="Q186" s="5">
        <v>1</v>
      </c>
      <c r="R186" s="8">
        <f t="shared" si="15"/>
        <v>0.7</v>
      </c>
      <c r="S186" s="8">
        <f t="shared" si="16"/>
        <v>3.7</v>
      </c>
      <c r="T186" s="8">
        <f t="shared" si="17"/>
        <v>153.6</v>
      </c>
      <c r="V186" s="12">
        <v>259.89999999999998</v>
      </c>
      <c r="W186" s="5">
        <v>103.96</v>
      </c>
      <c r="X186" s="5">
        <v>64183.499999999993</v>
      </c>
      <c r="Y186" s="5">
        <f t="shared" si="14"/>
        <v>13252.4</v>
      </c>
      <c r="AA186" s="5">
        <v>9.0570834021756195</v>
      </c>
    </row>
    <row r="187" spans="1:27" s="5" customFormat="1" x14ac:dyDescent="0.25">
      <c r="A187" s="76"/>
      <c r="B187" s="10"/>
      <c r="C187" s="4">
        <v>42034</v>
      </c>
      <c r="D187" s="15">
        <v>2</v>
      </c>
      <c r="E187" s="15">
        <v>1.1000000000000001</v>
      </c>
      <c r="F187" s="15">
        <v>2.5</v>
      </c>
      <c r="G187" s="5">
        <v>1319.8000000000002</v>
      </c>
      <c r="H187" s="5">
        <f t="shared" si="13"/>
        <v>284.39999999999998</v>
      </c>
      <c r="J187" s="5">
        <v>4</v>
      </c>
      <c r="K187" s="5">
        <v>300.8</v>
      </c>
      <c r="L187" s="5">
        <v>0.3</v>
      </c>
      <c r="M187" s="5">
        <v>155</v>
      </c>
      <c r="N187" s="5">
        <v>3.7</v>
      </c>
      <c r="O187" s="5">
        <v>153.6</v>
      </c>
      <c r="P187" s="5">
        <v>143</v>
      </c>
      <c r="Q187" s="5">
        <v>1</v>
      </c>
      <c r="R187" s="8">
        <f t="shared" si="15"/>
        <v>0.3</v>
      </c>
      <c r="S187" s="8">
        <f t="shared" si="16"/>
        <v>3.7</v>
      </c>
      <c r="T187" s="8">
        <f t="shared" si="17"/>
        <v>153.6</v>
      </c>
      <c r="V187" s="12">
        <v>210.4</v>
      </c>
      <c r="W187" s="5">
        <v>105.2</v>
      </c>
      <c r="X187" s="5">
        <v>64393.899999999994</v>
      </c>
      <c r="Y187" s="5">
        <f t="shared" si="14"/>
        <v>13462.8</v>
      </c>
      <c r="AA187" s="5">
        <v>9.1086361164323808</v>
      </c>
    </row>
    <row r="188" spans="1:27" s="5" customFormat="1" x14ac:dyDescent="0.25">
      <c r="A188" s="76"/>
      <c r="B188" s="10"/>
      <c r="C188" s="4">
        <v>42035</v>
      </c>
      <c r="D188" s="15">
        <v>2</v>
      </c>
      <c r="E188" s="15">
        <v>0.9</v>
      </c>
      <c r="F188" s="15">
        <v>2.8</v>
      </c>
      <c r="G188" s="5">
        <v>1321.8000000000002</v>
      </c>
      <c r="H188" s="5">
        <f t="shared" si="13"/>
        <v>286.39999999999998</v>
      </c>
      <c r="J188" s="5">
        <v>3.3</v>
      </c>
      <c r="K188" s="5">
        <v>304.10000000000002</v>
      </c>
      <c r="L188" s="5">
        <v>0.3</v>
      </c>
      <c r="M188" s="5">
        <v>155.30000000000001</v>
      </c>
      <c r="N188" s="5">
        <v>3</v>
      </c>
      <c r="O188" s="5">
        <v>153.6</v>
      </c>
      <c r="P188" s="5">
        <v>144</v>
      </c>
      <c r="Q188" s="5">
        <v>1</v>
      </c>
      <c r="R188" s="8">
        <f t="shared" si="15"/>
        <v>0.3</v>
      </c>
      <c r="S188" s="8">
        <f t="shared" si="16"/>
        <v>3</v>
      </c>
      <c r="T188" s="8">
        <f t="shared" si="17"/>
        <v>153.6</v>
      </c>
      <c r="V188" s="12">
        <v>216.2</v>
      </c>
      <c r="W188" s="5">
        <v>108.1</v>
      </c>
      <c r="X188" s="5">
        <v>64610.099999999991</v>
      </c>
      <c r="Y188" s="5">
        <f t="shared" si="14"/>
        <v>13679</v>
      </c>
      <c r="AA188" s="5">
        <v>9.1609179523286706</v>
      </c>
    </row>
    <row r="189" spans="1:27" s="5" customFormat="1" x14ac:dyDescent="0.25">
      <c r="A189" s="76"/>
      <c r="B189" s="10"/>
      <c r="C189" s="4">
        <v>42036</v>
      </c>
      <c r="D189" s="15">
        <v>3.2</v>
      </c>
      <c r="E189" s="15">
        <v>2.2000000000000002</v>
      </c>
      <c r="F189" s="15">
        <v>4.5</v>
      </c>
      <c r="G189" s="5">
        <v>1325.0000000000002</v>
      </c>
      <c r="H189" s="5">
        <f t="shared" si="13"/>
        <v>289.59999999999997</v>
      </c>
      <c r="J189" s="5">
        <v>14</v>
      </c>
      <c r="K189" s="5">
        <v>318.10000000000002</v>
      </c>
      <c r="L189" s="5">
        <v>0.6</v>
      </c>
      <c r="M189" s="5">
        <v>155.9</v>
      </c>
      <c r="N189" s="5">
        <v>13.4</v>
      </c>
      <c r="O189" s="5">
        <v>153.6</v>
      </c>
      <c r="P189" s="5">
        <v>145</v>
      </c>
      <c r="Q189" s="5">
        <v>1</v>
      </c>
      <c r="R189" s="8">
        <f t="shared" si="15"/>
        <v>0.6</v>
      </c>
      <c r="S189" s="8">
        <f t="shared" si="16"/>
        <v>13.4</v>
      </c>
      <c r="T189" s="8">
        <f t="shared" si="17"/>
        <v>153.6</v>
      </c>
      <c r="V189" s="12">
        <v>113.7</v>
      </c>
      <c r="W189" s="5">
        <v>35.53125</v>
      </c>
      <c r="X189" s="5">
        <v>64723.799999999988</v>
      </c>
      <c r="Y189" s="5">
        <f t="shared" si="14"/>
        <v>13792.7</v>
      </c>
      <c r="AA189" s="5">
        <v>9.2138985102356603</v>
      </c>
    </row>
    <row r="190" spans="1:27" s="5" customFormat="1" x14ac:dyDescent="0.25">
      <c r="A190" s="76"/>
      <c r="B190" s="10"/>
      <c r="C190" s="4">
        <v>42037</v>
      </c>
      <c r="D190" s="15">
        <v>1.2</v>
      </c>
      <c r="E190" s="20">
        <v>-0.2</v>
      </c>
      <c r="F190" s="15">
        <v>3.2</v>
      </c>
      <c r="G190" s="5">
        <v>1326.2000000000003</v>
      </c>
      <c r="H190" s="5">
        <f t="shared" si="13"/>
        <v>290.79999999999995</v>
      </c>
      <c r="J190" s="5">
        <v>0</v>
      </c>
      <c r="K190" s="5">
        <v>318.10000000000002</v>
      </c>
      <c r="L190" s="5">
        <v>0.8</v>
      </c>
      <c r="M190" s="5">
        <v>156.70000000000002</v>
      </c>
      <c r="N190" s="6">
        <v>-0.8</v>
      </c>
      <c r="O190" s="5">
        <f t="shared" ref="O190:O207" si="18">O189+N190</f>
        <v>152.79999999999998</v>
      </c>
      <c r="P190" s="5">
        <v>146</v>
      </c>
      <c r="Q190" s="5">
        <v>1</v>
      </c>
      <c r="R190" s="8">
        <f t="shared" si="15"/>
        <v>0.8</v>
      </c>
      <c r="S190" s="8">
        <f t="shared" si="16"/>
        <v>-0.8</v>
      </c>
      <c r="T190" s="8">
        <f t="shared" si="17"/>
        <v>152.79999999999998</v>
      </c>
      <c r="V190" s="12">
        <v>620.1</v>
      </c>
      <c r="W190" s="5">
        <v>516.75</v>
      </c>
      <c r="X190" s="5">
        <v>65343.899999999987</v>
      </c>
      <c r="Y190" s="5">
        <f t="shared" si="14"/>
        <v>14412.800000000001</v>
      </c>
      <c r="AA190" s="5">
        <v>9.2675480855186407</v>
      </c>
    </row>
    <row r="191" spans="1:27" s="5" customFormat="1" x14ac:dyDescent="0.25">
      <c r="A191" s="76"/>
      <c r="B191" s="10"/>
      <c r="C191" s="4">
        <v>42038</v>
      </c>
      <c r="D191" s="15">
        <v>1</v>
      </c>
      <c r="E191" s="20">
        <v>-0.5</v>
      </c>
      <c r="F191" s="15">
        <v>3</v>
      </c>
      <c r="G191" s="5">
        <v>1327.2000000000003</v>
      </c>
      <c r="H191" s="5">
        <f t="shared" si="13"/>
        <v>291.79999999999995</v>
      </c>
      <c r="J191" s="5">
        <v>0</v>
      </c>
      <c r="K191" s="5">
        <v>318.10000000000002</v>
      </c>
      <c r="L191" s="5">
        <v>0.4</v>
      </c>
      <c r="M191" s="5">
        <v>157.10000000000002</v>
      </c>
      <c r="N191" s="6">
        <v>-0.4</v>
      </c>
      <c r="O191" s="5">
        <f t="shared" si="18"/>
        <v>152.39999999999998</v>
      </c>
      <c r="P191" s="5">
        <v>147</v>
      </c>
      <c r="Q191" s="5">
        <v>1</v>
      </c>
      <c r="R191" s="8">
        <f t="shared" si="15"/>
        <v>0.4</v>
      </c>
      <c r="S191" s="8">
        <f t="shared" si="16"/>
        <v>-0.4</v>
      </c>
      <c r="T191" s="8">
        <f t="shared" si="17"/>
        <v>152.39999999999998</v>
      </c>
      <c r="V191" s="12">
        <v>430.7</v>
      </c>
      <c r="W191" s="5">
        <v>430.7</v>
      </c>
      <c r="X191" s="5">
        <v>65774.599999999991</v>
      </c>
      <c r="Y191" s="5">
        <f t="shared" si="14"/>
        <v>14843.500000000002</v>
      </c>
      <c r="AA191" s="5">
        <v>9.32183769166266</v>
      </c>
    </row>
    <row r="192" spans="1:27" s="5" customFormat="1" x14ac:dyDescent="0.25">
      <c r="A192" s="76"/>
      <c r="B192" s="10">
        <v>9</v>
      </c>
      <c r="C192" s="4">
        <v>42039</v>
      </c>
      <c r="D192" s="15">
        <v>1.8</v>
      </c>
      <c r="E192" s="15">
        <v>0.1</v>
      </c>
      <c r="F192" s="5">
        <v>5.2</v>
      </c>
      <c r="G192" s="5">
        <v>1329.0000000000002</v>
      </c>
      <c r="H192" s="5">
        <f t="shared" ref="H192:H255" si="19">H191+D192</f>
        <v>293.59999999999997</v>
      </c>
      <c r="J192" s="5">
        <v>0</v>
      </c>
      <c r="K192" s="5">
        <v>318.10000000000002</v>
      </c>
      <c r="L192" s="5">
        <v>1.1000000000000001</v>
      </c>
      <c r="M192" s="5">
        <v>158.20000000000002</v>
      </c>
      <c r="N192" s="6">
        <v>-1.1000000000000001</v>
      </c>
      <c r="O192" s="5">
        <f t="shared" si="18"/>
        <v>151.29999999999998</v>
      </c>
      <c r="P192" s="5">
        <v>148</v>
      </c>
      <c r="Q192" s="5">
        <v>1</v>
      </c>
      <c r="R192" s="8">
        <f t="shared" si="15"/>
        <v>1.1000000000000001</v>
      </c>
      <c r="S192" s="8">
        <f t="shared" si="16"/>
        <v>-1.1000000000000001</v>
      </c>
      <c r="T192" s="8">
        <f t="shared" si="17"/>
        <v>151.29999999999998</v>
      </c>
      <c r="V192" s="12">
        <v>819</v>
      </c>
      <c r="W192" s="5">
        <v>455</v>
      </c>
      <c r="X192" s="5">
        <v>66593.599999999991</v>
      </c>
      <c r="Y192" s="5">
        <f t="shared" ref="Y192:Y255" si="20">Y191+V192</f>
        <v>15662.500000000002</v>
      </c>
      <c r="AA192" s="5">
        <v>9.3767390794424692</v>
      </c>
    </row>
    <row r="193" spans="1:27" s="5" customFormat="1" x14ac:dyDescent="0.25">
      <c r="A193" s="76"/>
      <c r="B193" s="10"/>
      <c r="C193" s="4">
        <v>42040</v>
      </c>
      <c r="D193" s="20">
        <v>-0.3</v>
      </c>
      <c r="E193" s="20">
        <v>-2.5</v>
      </c>
      <c r="F193" s="15">
        <v>1.2</v>
      </c>
      <c r="G193" s="5">
        <v>1329</v>
      </c>
      <c r="H193" s="5">
        <v>293.60000000000002</v>
      </c>
      <c r="J193" s="5">
        <v>0</v>
      </c>
      <c r="K193" s="5">
        <v>318.10000000000002</v>
      </c>
      <c r="L193" s="5">
        <v>0.6</v>
      </c>
      <c r="M193" s="5">
        <v>158.80000000000001</v>
      </c>
      <c r="N193" s="6">
        <v>-0.6</v>
      </c>
      <c r="O193" s="5">
        <f t="shared" si="18"/>
        <v>150.69999999999999</v>
      </c>
      <c r="P193" s="5">
        <v>149</v>
      </c>
      <c r="Q193" s="5">
        <v>1</v>
      </c>
      <c r="R193" s="8">
        <f t="shared" si="15"/>
        <v>0.6</v>
      </c>
      <c r="S193" s="8">
        <f t="shared" si="16"/>
        <v>-0.6</v>
      </c>
      <c r="T193" s="8">
        <f t="shared" si="17"/>
        <v>150.69999999999999</v>
      </c>
      <c r="V193" s="12">
        <v>508</v>
      </c>
      <c r="W193" s="5">
        <v>-1693.3333333333335</v>
      </c>
      <c r="X193" s="5">
        <v>67101.599999999991</v>
      </c>
      <c r="Y193" s="5">
        <f t="shared" si="20"/>
        <v>16170.500000000002</v>
      </c>
      <c r="AA193" s="5">
        <v>9.4322247523409892</v>
      </c>
    </row>
    <row r="194" spans="1:27" s="5" customFormat="1" x14ac:dyDescent="0.25">
      <c r="A194" s="76"/>
      <c r="B194" s="10"/>
      <c r="C194" s="4">
        <v>42041</v>
      </c>
      <c r="D194" s="20">
        <v>-0.3</v>
      </c>
      <c r="E194" s="20">
        <v>-1.5</v>
      </c>
      <c r="F194" s="15">
        <v>0.7</v>
      </c>
      <c r="G194" s="5">
        <v>1329</v>
      </c>
      <c r="H194" s="5">
        <v>293.60000000000002</v>
      </c>
      <c r="J194" s="5">
        <v>0</v>
      </c>
      <c r="K194" s="5">
        <v>318.10000000000002</v>
      </c>
      <c r="L194" s="5">
        <v>1</v>
      </c>
      <c r="M194" s="5">
        <v>159.80000000000001</v>
      </c>
      <c r="N194" s="6">
        <v>-1</v>
      </c>
      <c r="O194" s="5">
        <f t="shared" si="18"/>
        <v>149.69999999999999</v>
      </c>
      <c r="P194" s="5">
        <v>150</v>
      </c>
      <c r="Q194" s="5">
        <v>1</v>
      </c>
      <c r="R194" s="8">
        <f t="shared" si="15"/>
        <v>1</v>
      </c>
      <c r="S194" s="8">
        <f t="shared" si="16"/>
        <v>-1</v>
      </c>
      <c r="T194" s="8">
        <f t="shared" si="17"/>
        <v>149.69999999999999</v>
      </c>
      <c r="V194" s="12">
        <v>822.5</v>
      </c>
      <c r="W194" s="5">
        <v>-2741.666666666667</v>
      </c>
      <c r="X194" s="5">
        <v>67924.099999999991</v>
      </c>
      <c r="Y194" s="5">
        <f t="shared" si="20"/>
        <v>16993</v>
      </c>
      <c r="AA194" s="5">
        <v>9.4882679784247994</v>
      </c>
    </row>
    <row r="195" spans="1:27" s="5" customFormat="1" x14ac:dyDescent="0.25">
      <c r="A195" s="76"/>
      <c r="B195" s="10"/>
      <c r="C195" s="4">
        <v>42042</v>
      </c>
      <c r="D195" s="15">
        <v>2.5</v>
      </c>
      <c r="E195" s="20">
        <v>-2.2999999999999998</v>
      </c>
      <c r="F195" s="15">
        <v>5</v>
      </c>
      <c r="G195" s="5">
        <v>1331.5</v>
      </c>
      <c r="H195" s="5">
        <f t="shared" si="19"/>
        <v>296.10000000000002</v>
      </c>
      <c r="J195" s="5">
        <v>0</v>
      </c>
      <c r="K195" s="5">
        <v>318.10000000000002</v>
      </c>
      <c r="L195" s="5">
        <v>1</v>
      </c>
      <c r="M195" s="5">
        <v>160.80000000000001</v>
      </c>
      <c r="N195" s="6">
        <v>-1</v>
      </c>
      <c r="O195" s="5">
        <f t="shared" si="18"/>
        <v>148.69999999999999</v>
      </c>
      <c r="P195" s="5">
        <v>151</v>
      </c>
      <c r="Q195" s="5">
        <v>1</v>
      </c>
      <c r="R195" s="8">
        <f t="shared" si="15"/>
        <v>1</v>
      </c>
      <c r="S195" s="8">
        <f t="shared" si="16"/>
        <v>-1</v>
      </c>
      <c r="T195" s="8">
        <f t="shared" si="17"/>
        <v>148.69999999999999</v>
      </c>
      <c r="V195" s="12">
        <v>702.2</v>
      </c>
      <c r="W195" s="5">
        <v>280.88</v>
      </c>
      <c r="X195" s="5">
        <v>68626.299999999988</v>
      </c>
      <c r="Y195" s="5">
        <f t="shared" si="20"/>
        <v>17695.2</v>
      </c>
      <c r="AA195" s="5">
        <v>9.5448427988882596</v>
      </c>
    </row>
    <row r="196" spans="1:27" s="5" customFormat="1" x14ac:dyDescent="0.25">
      <c r="A196" s="76"/>
      <c r="B196" s="10"/>
      <c r="C196" s="4">
        <v>42043</v>
      </c>
      <c r="D196" s="15">
        <v>4.3</v>
      </c>
      <c r="E196" s="15">
        <v>4.2</v>
      </c>
      <c r="F196" s="5">
        <v>6.4</v>
      </c>
      <c r="G196" s="5">
        <v>1335.8</v>
      </c>
      <c r="H196" s="5">
        <f t="shared" si="19"/>
        <v>300.40000000000003</v>
      </c>
      <c r="J196" s="5">
        <v>0.1</v>
      </c>
      <c r="K196" s="5">
        <v>318.20000000000005</v>
      </c>
      <c r="L196" s="5">
        <v>1.2</v>
      </c>
      <c r="M196" s="5">
        <v>162</v>
      </c>
      <c r="N196" s="6">
        <v>-1.0999999999999999</v>
      </c>
      <c r="O196" s="5">
        <f t="shared" si="18"/>
        <v>147.6</v>
      </c>
      <c r="P196" s="5">
        <v>152</v>
      </c>
      <c r="Q196" s="5">
        <v>1</v>
      </c>
      <c r="R196" s="8">
        <f t="shared" si="15"/>
        <v>1.2</v>
      </c>
      <c r="S196" s="8">
        <f t="shared" si="16"/>
        <v>-1.0999999999999999</v>
      </c>
      <c r="T196" s="8">
        <f t="shared" si="17"/>
        <v>147.6</v>
      </c>
      <c r="V196" s="12">
        <v>583.70000000000005</v>
      </c>
      <c r="W196" s="5">
        <v>135.74418604651166</v>
      </c>
      <c r="X196" s="5">
        <v>69209.999999999985</v>
      </c>
      <c r="Y196" s="5">
        <f t="shared" si="20"/>
        <v>18278.900000000001</v>
      </c>
      <c r="AA196" s="5">
        <v>9.6019240334778306</v>
      </c>
    </row>
    <row r="197" spans="1:27" s="5" customFormat="1" x14ac:dyDescent="0.25">
      <c r="A197" s="76"/>
      <c r="B197" s="10"/>
      <c r="C197" s="4">
        <v>42044</v>
      </c>
      <c r="D197" s="15">
        <v>3</v>
      </c>
      <c r="E197" s="15">
        <v>0.2</v>
      </c>
      <c r="F197" s="15">
        <v>4.7</v>
      </c>
      <c r="G197" s="5">
        <v>1338.8</v>
      </c>
      <c r="H197" s="5">
        <f t="shared" si="19"/>
        <v>303.40000000000003</v>
      </c>
      <c r="J197" s="5">
        <v>0.1</v>
      </c>
      <c r="K197" s="5">
        <v>318.30000000000007</v>
      </c>
      <c r="L197" s="5">
        <v>0.3</v>
      </c>
      <c r="M197" s="5">
        <v>162.30000000000001</v>
      </c>
      <c r="N197" s="6">
        <v>-0.19999999999999998</v>
      </c>
      <c r="O197" s="5">
        <f t="shared" si="18"/>
        <v>147.4</v>
      </c>
      <c r="P197" s="5">
        <v>153</v>
      </c>
      <c r="Q197" s="5">
        <v>1</v>
      </c>
      <c r="R197" s="8">
        <f t="shared" si="15"/>
        <v>0.3</v>
      </c>
      <c r="S197" s="8">
        <f t="shared" si="16"/>
        <v>-0.19999999999999998</v>
      </c>
      <c r="T197" s="8">
        <f t="shared" si="17"/>
        <v>147.4</v>
      </c>
      <c r="V197" s="12">
        <v>214.2</v>
      </c>
      <c r="W197" s="5">
        <v>71.399999999999991</v>
      </c>
      <c r="X197" s="5">
        <v>69424.199999999983</v>
      </c>
      <c r="Y197" s="5">
        <f t="shared" si="20"/>
        <v>18493.100000000002</v>
      </c>
      <c r="AA197" s="5">
        <v>9.6594872830069605</v>
      </c>
    </row>
    <row r="198" spans="1:27" s="5" customFormat="1" x14ac:dyDescent="0.25">
      <c r="A198" s="76"/>
      <c r="B198" s="10"/>
      <c r="C198" s="4">
        <v>42045</v>
      </c>
      <c r="D198" s="15">
        <v>4.9000000000000004</v>
      </c>
      <c r="E198" s="15">
        <v>3.5</v>
      </c>
      <c r="F198" s="5">
        <v>5.9</v>
      </c>
      <c r="G198" s="5">
        <v>1343.7</v>
      </c>
      <c r="H198" s="5">
        <f t="shared" si="19"/>
        <v>308.3</v>
      </c>
      <c r="J198" s="5">
        <v>0</v>
      </c>
      <c r="K198" s="5">
        <v>318.30000000000007</v>
      </c>
      <c r="L198" s="5">
        <v>0.5</v>
      </c>
      <c r="M198" s="5">
        <v>162.80000000000001</v>
      </c>
      <c r="N198" s="6">
        <v>-0.5</v>
      </c>
      <c r="O198" s="5">
        <f t="shared" si="18"/>
        <v>146.9</v>
      </c>
      <c r="P198" s="5">
        <v>154</v>
      </c>
      <c r="Q198" s="5">
        <v>1</v>
      </c>
      <c r="R198" s="8">
        <f t="shared" si="15"/>
        <v>0.5</v>
      </c>
      <c r="S198" s="8">
        <f t="shared" si="16"/>
        <v>-0.5</v>
      </c>
      <c r="T198" s="8">
        <f t="shared" si="17"/>
        <v>146.9</v>
      </c>
      <c r="V198" s="12">
        <v>227.5</v>
      </c>
      <c r="W198" s="5">
        <v>46.428571428571423</v>
      </c>
      <c r="X198" s="5">
        <v>69651.699999999983</v>
      </c>
      <c r="Y198" s="5">
        <f t="shared" si="20"/>
        <v>18720.600000000002</v>
      </c>
      <c r="AA198" s="5">
        <v>9.7175089291691101</v>
      </c>
    </row>
    <row r="199" spans="1:27" s="5" customFormat="1" x14ac:dyDescent="0.25">
      <c r="A199" s="76"/>
      <c r="B199" s="10">
        <v>10</v>
      </c>
      <c r="C199" s="4">
        <v>42046</v>
      </c>
      <c r="D199" s="5">
        <v>6</v>
      </c>
      <c r="E199" s="15">
        <v>3.3</v>
      </c>
      <c r="F199" s="5">
        <v>11.8</v>
      </c>
      <c r="G199" s="5">
        <v>1349.7</v>
      </c>
      <c r="H199" s="5">
        <f t="shared" si="19"/>
        <v>314.3</v>
      </c>
      <c r="J199" s="5">
        <v>0</v>
      </c>
      <c r="K199" s="5">
        <v>318.30000000000007</v>
      </c>
      <c r="L199" s="5">
        <v>0.8</v>
      </c>
      <c r="M199" s="5">
        <v>163.60000000000002</v>
      </c>
      <c r="N199" s="6">
        <v>-0.8</v>
      </c>
      <c r="O199" s="5">
        <f t="shared" si="18"/>
        <v>146.1</v>
      </c>
      <c r="P199" s="5">
        <v>155</v>
      </c>
      <c r="Q199" s="5">
        <v>1</v>
      </c>
      <c r="R199" s="8">
        <f t="shared" si="15"/>
        <v>0.8</v>
      </c>
      <c r="S199" s="8">
        <f t="shared" si="16"/>
        <v>-0.8</v>
      </c>
      <c r="T199" s="8">
        <f t="shared" si="17"/>
        <v>146.1</v>
      </c>
      <c r="V199" s="12">
        <v>269.39999999999998</v>
      </c>
      <c r="W199" s="5">
        <v>44.9</v>
      </c>
      <c r="X199" s="5">
        <v>69921.099999999977</v>
      </c>
      <c r="Y199" s="5">
        <f t="shared" si="20"/>
        <v>18990.000000000004</v>
      </c>
      <c r="AA199" s="5">
        <v>9.7759661318519395</v>
      </c>
    </row>
    <row r="200" spans="1:27" s="5" customFormat="1" x14ac:dyDescent="0.25">
      <c r="A200" s="76"/>
      <c r="B200" s="10"/>
      <c r="C200" s="4">
        <v>42047</v>
      </c>
      <c r="D200" s="15">
        <v>3.5</v>
      </c>
      <c r="E200" s="15">
        <v>0.7</v>
      </c>
      <c r="F200" s="5">
        <v>7.2</v>
      </c>
      <c r="G200" s="5">
        <v>1353.2</v>
      </c>
      <c r="H200" s="5">
        <f t="shared" si="19"/>
        <v>317.8</v>
      </c>
      <c r="J200" s="5">
        <v>0</v>
      </c>
      <c r="K200" s="5">
        <v>318.30000000000007</v>
      </c>
      <c r="L200" s="5">
        <v>0.5</v>
      </c>
      <c r="M200" s="5">
        <v>164.10000000000002</v>
      </c>
      <c r="N200" s="6">
        <v>-0.5</v>
      </c>
      <c r="O200" s="5">
        <f t="shared" si="18"/>
        <v>145.6</v>
      </c>
      <c r="P200" s="5">
        <v>156</v>
      </c>
      <c r="Q200" s="5">
        <v>1</v>
      </c>
      <c r="R200" s="8">
        <f t="shared" si="15"/>
        <v>0.5</v>
      </c>
      <c r="S200" s="8">
        <f t="shared" si="16"/>
        <v>-0.5</v>
      </c>
      <c r="T200" s="8">
        <f t="shared" si="17"/>
        <v>145.6</v>
      </c>
      <c r="V200" s="12">
        <v>272.7</v>
      </c>
      <c r="W200" s="5">
        <v>77.914285714285711</v>
      </c>
      <c r="X200" s="5">
        <v>70193.799999999974</v>
      </c>
      <c r="Y200" s="5">
        <f t="shared" si="20"/>
        <v>19262.700000000004</v>
      </c>
      <c r="AA200" s="5">
        <v>9.8348368241504005</v>
      </c>
    </row>
    <row r="201" spans="1:27" s="5" customFormat="1" x14ac:dyDescent="0.25">
      <c r="A201" s="76"/>
      <c r="B201" s="10"/>
      <c r="C201" s="4">
        <v>42048</v>
      </c>
      <c r="D201" s="5">
        <v>5.8</v>
      </c>
      <c r="E201" s="15">
        <v>0.8</v>
      </c>
      <c r="F201" s="5">
        <v>9</v>
      </c>
      <c r="G201" s="5">
        <v>1359</v>
      </c>
      <c r="H201" s="5">
        <f t="shared" si="19"/>
        <v>323.60000000000002</v>
      </c>
      <c r="J201" s="5">
        <v>1.8</v>
      </c>
      <c r="K201" s="5">
        <v>320.10000000000008</v>
      </c>
      <c r="L201" s="5">
        <v>1</v>
      </c>
      <c r="M201" s="5">
        <v>165.10000000000002</v>
      </c>
      <c r="N201" s="5">
        <v>0.8</v>
      </c>
      <c r="O201" s="5">
        <f t="shared" si="18"/>
        <v>146.4</v>
      </c>
      <c r="P201" s="5">
        <v>157</v>
      </c>
      <c r="Q201" s="5">
        <v>1</v>
      </c>
      <c r="R201" s="8">
        <f t="shared" si="15"/>
        <v>1</v>
      </c>
      <c r="S201" s="8">
        <f t="shared" si="16"/>
        <v>0.8</v>
      </c>
      <c r="T201" s="8">
        <f t="shared" si="17"/>
        <v>146.4</v>
      </c>
      <c r="V201" s="12">
        <v>651.4</v>
      </c>
      <c r="W201" s="5">
        <v>112.31034482758621</v>
      </c>
      <c r="X201" s="5">
        <v>70845.199999999968</v>
      </c>
      <c r="Y201" s="5">
        <f t="shared" si="20"/>
        <v>19914.100000000006</v>
      </c>
      <c r="AA201" s="5">
        <v>9.8940997052701096</v>
      </c>
    </row>
    <row r="202" spans="1:27" s="5" customFormat="1" x14ac:dyDescent="0.25">
      <c r="A202" s="76"/>
      <c r="B202" s="10"/>
      <c r="C202" s="4">
        <v>42049</v>
      </c>
      <c r="D202" s="5">
        <v>6.9</v>
      </c>
      <c r="E202" s="5">
        <v>6.1</v>
      </c>
      <c r="F202" s="5">
        <v>8.9</v>
      </c>
      <c r="G202" s="5">
        <v>1365.9</v>
      </c>
      <c r="H202" s="5">
        <f t="shared" si="19"/>
        <v>330.5</v>
      </c>
      <c r="J202" s="5">
        <v>1</v>
      </c>
      <c r="K202" s="5">
        <v>321.10000000000008</v>
      </c>
      <c r="L202" s="5">
        <v>0.9</v>
      </c>
      <c r="M202" s="5">
        <v>166.00000000000003</v>
      </c>
      <c r="N202" s="5">
        <v>9.9999999999999978E-2</v>
      </c>
      <c r="O202" s="5">
        <f t="shared" si="18"/>
        <v>146.5</v>
      </c>
      <c r="P202" s="5">
        <v>158</v>
      </c>
      <c r="Q202" s="5">
        <v>1</v>
      </c>
      <c r="R202" s="8">
        <f t="shared" si="15"/>
        <v>0.9</v>
      </c>
      <c r="S202" s="8">
        <f t="shared" si="16"/>
        <v>9.9999999999999978E-2</v>
      </c>
      <c r="T202" s="8">
        <f t="shared" si="17"/>
        <v>146.5</v>
      </c>
      <c r="V202" s="12">
        <v>157.69999999999999</v>
      </c>
      <c r="W202" s="5">
        <v>22.855072463768114</v>
      </c>
      <c r="X202" s="5">
        <v>71002.899999999965</v>
      </c>
      <c r="Y202" s="5">
        <f t="shared" si="20"/>
        <v>20071.800000000007</v>
      </c>
      <c r="AA202" s="5">
        <v>9.9537342315050203</v>
      </c>
    </row>
    <row r="203" spans="1:27" s="5" customFormat="1" x14ac:dyDescent="0.25">
      <c r="A203" s="76"/>
      <c r="B203" s="10"/>
      <c r="C203" s="4">
        <v>42050</v>
      </c>
      <c r="D203" s="5">
        <v>6.2</v>
      </c>
      <c r="E203" s="15">
        <v>3.8</v>
      </c>
      <c r="F203" s="5">
        <v>9.3000000000000007</v>
      </c>
      <c r="G203" s="5">
        <v>1372.1000000000001</v>
      </c>
      <c r="H203" s="5">
        <f t="shared" si="19"/>
        <v>336.7</v>
      </c>
      <c r="J203" s="5">
        <v>0</v>
      </c>
      <c r="K203" s="5">
        <v>321.10000000000008</v>
      </c>
      <c r="L203" s="5">
        <v>0.8</v>
      </c>
      <c r="M203" s="5">
        <v>166.80000000000004</v>
      </c>
      <c r="N203" s="6">
        <v>-0.8</v>
      </c>
      <c r="O203" s="5">
        <f t="shared" si="18"/>
        <v>145.69999999999999</v>
      </c>
      <c r="P203" s="5">
        <v>159</v>
      </c>
      <c r="Q203" s="5">
        <v>1</v>
      </c>
      <c r="R203" s="8">
        <f t="shared" si="15"/>
        <v>0.8</v>
      </c>
      <c r="S203" s="8">
        <f t="shared" si="16"/>
        <v>-0.8</v>
      </c>
      <c r="T203" s="8">
        <f t="shared" si="17"/>
        <v>145.69999999999999</v>
      </c>
      <c r="V203" s="12">
        <v>614.6</v>
      </c>
      <c r="W203" s="5">
        <v>99.129032258064512</v>
      </c>
      <c r="X203" s="5">
        <v>71617.499999999971</v>
      </c>
      <c r="Y203" s="5">
        <f t="shared" si="20"/>
        <v>20686.400000000005</v>
      </c>
      <c r="AA203" s="5">
        <v>10.013720605465799</v>
      </c>
    </row>
    <row r="204" spans="1:27" s="5" customFormat="1" x14ac:dyDescent="0.25">
      <c r="A204" s="76"/>
      <c r="B204" s="10"/>
      <c r="C204" s="4">
        <v>42051</v>
      </c>
      <c r="D204" s="15">
        <v>2.8</v>
      </c>
      <c r="E204" s="20">
        <v>-0.5</v>
      </c>
      <c r="F204" s="15">
        <v>4.5</v>
      </c>
      <c r="G204" s="5">
        <v>1374.9</v>
      </c>
      <c r="H204" s="5">
        <f t="shared" si="19"/>
        <v>339.5</v>
      </c>
      <c r="J204" s="5">
        <v>1.5</v>
      </c>
      <c r="K204" s="5">
        <v>322.60000000000008</v>
      </c>
      <c r="L204" s="5">
        <v>0.5</v>
      </c>
      <c r="M204" s="5">
        <v>167.30000000000004</v>
      </c>
      <c r="N204" s="5">
        <v>1</v>
      </c>
      <c r="O204" s="5">
        <f t="shared" si="18"/>
        <v>146.69999999999999</v>
      </c>
      <c r="P204" s="5">
        <v>160</v>
      </c>
      <c r="Q204" s="5">
        <v>1</v>
      </c>
      <c r="R204" s="8">
        <f t="shared" si="15"/>
        <v>0.5</v>
      </c>
      <c r="S204" s="8">
        <f t="shared" si="16"/>
        <v>1</v>
      </c>
      <c r="T204" s="8">
        <f t="shared" si="17"/>
        <v>146.69999999999999</v>
      </c>
      <c r="V204" s="12">
        <v>365.1</v>
      </c>
      <c r="W204" s="5">
        <v>130.39285714285717</v>
      </c>
      <c r="X204" s="5">
        <v>71982.599999999977</v>
      </c>
      <c r="Y204" s="5">
        <f t="shared" si="20"/>
        <v>21051.500000000004</v>
      </c>
      <c r="AA204" s="5">
        <v>10.074039763726899</v>
      </c>
    </row>
    <row r="205" spans="1:27" s="5" customFormat="1" x14ac:dyDescent="0.25">
      <c r="A205" s="76"/>
      <c r="B205" s="10"/>
      <c r="C205" s="4">
        <v>42052</v>
      </c>
      <c r="D205" s="15">
        <v>4.2</v>
      </c>
      <c r="E205" s="15">
        <v>3.7</v>
      </c>
      <c r="F205" s="5">
        <v>7.1</v>
      </c>
      <c r="G205" s="5">
        <v>1379.1000000000001</v>
      </c>
      <c r="H205" s="5">
        <f t="shared" si="19"/>
        <v>343.7</v>
      </c>
      <c r="J205" s="5">
        <v>0.8</v>
      </c>
      <c r="K205" s="5">
        <v>323.40000000000009</v>
      </c>
      <c r="L205" s="5">
        <v>0.6</v>
      </c>
      <c r="M205" s="5">
        <v>167.90000000000003</v>
      </c>
      <c r="N205" s="5">
        <v>0.20000000000000007</v>
      </c>
      <c r="O205" s="5">
        <f t="shared" si="18"/>
        <v>146.89999999999998</v>
      </c>
      <c r="P205" s="5">
        <v>161</v>
      </c>
      <c r="Q205" s="5">
        <v>1</v>
      </c>
      <c r="R205" s="8">
        <f t="shared" si="15"/>
        <v>0.6</v>
      </c>
      <c r="S205" s="8">
        <f t="shared" si="16"/>
        <v>0.20000000000000007</v>
      </c>
      <c r="T205" s="8">
        <f t="shared" si="17"/>
        <v>146.89999999999998</v>
      </c>
      <c r="V205" s="12">
        <v>194.8</v>
      </c>
      <c r="W205" s="5">
        <v>46.38095238095238</v>
      </c>
      <c r="X205" s="5">
        <v>72177.39999999998</v>
      </c>
      <c r="Y205" s="5">
        <f t="shared" si="20"/>
        <v>21246.300000000003</v>
      </c>
      <c r="AA205" s="5">
        <v>10.134673363052</v>
      </c>
    </row>
    <row r="206" spans="1:27" s="5" customFormat="1" x14ac:dyDescent="0.25">
      <c r="A206" s="76"/>
      <c r="B206" s="10"/>
      <c r="C206" s="4">
        <v>42053</v>
      </c>
      <c r="D206" s="15">
        <v>0.7</v>
      </c>
      <c r="E206" s="20">
        <v>-2.4</v>
      </c>
      <c r="F206" s="15">
        <v>4</v>
      </c>
      <c r="G206" s="5">
        <v>1379.8000000000002</v>
      </c>
      <c r="H206" s="5">
        <f t="shared" si="19"/>
        <v>344.4</v>
      </c>
      <c r="J206" s="5">
        <v>0</v>
      </c>
      <c r="K206" s="5">
        <v>323.40000000000009</v>
      </c>
      <c r="L206" s="5">
        <v>0.7</v>
      </c>
      <c r="M206" s="5">
        <v>168.60000000000002</v>
      </c>
      <c r="N206" s="6">
        <v>-0.7</v>
      </c>
      <c r="O206" s="5">
        <f t="shared" si="18"/>
        <v>146.19999999999999</v>
      </c>
      <c r="P206" s="5">
        <v>162</v>
      </c>
      <c r="Q206" s="5">
        <v>1</v>
      </c>
      <c r="R206" s="8">
        <f t="shared" si="15"/>
        <v>0.7</v>
      </c>
      <c r="S206" s="8">
        <f t="shared" si="16"/>
        <v>-0.7</v>
      </c>
      <c r="T206" s="8">
        <f t="shared" si="17"/>
        <v>146.19999999999999</v>
      </c>
      <c r="V206" s="12">
        <v>614.29999999999995</v>
      </c>
      <c r="W206" s="5">
        <v>877.57142857142856</v>
      </c>
      <c r="X206" s="5">
        <v>72791.699999999983</v>
      </c>
      <c r="Y206" s="5">
        <f t="shared" si="20"/>
        <v>21860.600000000002</v>
      </c>
      <c r="AA206" s="5">
        <v>10.195603765348601</v>
      </c>
    </row>
    <row r="207" spans="1:27" s="5" customFormat="1" x14ac:dyDescent="0.25">
      <c r="A207" s="76"/>
      <c r="B207" s="10"/>
      <c r="C207" s="4">
        <v>42054</v>
      </c>
      <c r="D207" s="15">
        <v>3.9</v>
      </c>
      <c r="E207" s="15">
        <v>0.7</v>
      </c>
      <c r="F207" s="5">
        <v>7</v>
      </c>
      <c r="G207" s="5">
        <v>1383.7000000000003</v>
      </c>
      <c r="H207" s="5">
        <f t="shared" si="19"/>
        <v>348.29999999999995</v>
      </c>
      <c r="J207" s="5">
        <v>2.4</v>
      </c>
      <c r="K207" s="5">
        <v>325.80000000000007</v>
      </c>
      <c r="L207" s="5">
        <v>0.8</v>
      </c>
      <c r="M207" s="5">
        <v>169.40000000000003</v>
      </c>
      <c r="N207" s="5">
        <v>1.5999999999999999</v>
      </c>
      <c r="O207" s="5">
        <f t="shared" si="18"/>
        <v>147.79999999999998</v>
      </c>
      <c r="P207" s="5">
        <v>163</v>
      </c>
      <c r="Q207" s="5">
        <v>1</v>
      </c>
      <c r="R207" s="8">
        <f t="shared" si="15"/>
        <v>0.8</v>
      </c>
      <c r="S207" s="8">
        <f t="shared" si="16"/>
        <v>1.5999999999999999</v>
      </c>
      <c r="T207" s="8">
        <f t="shared" si="17"/>
        <v>147.79999999999998</v>
      </c>
      <c r="V207" s="12">
        <v>515.4</v>
      </c>
      <c r="W207" s="5">
        <v>132.15384615384616</v>
      </c>
      <c r="X207" s="5">
        <v>73307.099999999977</v>
      </c>
      <c r="Y207" s="5">
        <f t="shared" si="20"/>
        <v>22376.000000000004</v>
      </c>
      <c r="AA207" s="5">
        <v>10.2568140214922</v>
      </c>
    </row>
    <row r="208" spans="1:27" s="5" customFormat="1" x14ac:dyDescent="0.25">
      <c r="A208" s="76"/>
      <c r="B208" s="10"/>
      <c r="C208" s="4">
        <v>42055</v>
      </c>
      <c r="D208" s="5">
        <v>6.1</v>
      </c>
      <c r="E208" s="15">
        <v>4.4000000000000004</v>
      </c>
      <c r="F208" s="5">
        <v>7.7</v>
      </c>
      <c r="G208" s="5">
        <v>1389.8000000000002</v>
      </c>
      <c r="H208" s="5">
        <f t="shared" si="19"/>
        <v>354.4</v>
      </c>
      <c r="J208" s="5">
        <v>13.2</v>
      </c>
      <c r="K208" s="5">
        <v>339.00000000000006</v>
      </c>
      <c r="L208" s="5">
        <v>0.4</v>
      </c>
      <c r="M208" s="5">
        <v>169.80000000000004</v>
      </c>
      <c r="N208" s="5">
        <v>12.799999999999999</v>
      </c>
      <c r="O208" s="5">
        <v>153.6</v>
      </c>
      <c r="P208" s="5">
        <v>164</v>
      </c>
      <c r="Q208" s="5">
        <v>1</v>
      </c>
      <c r="R208" s="8">
        <f t="shared" si="15"/>
        <v>0.4</v>
      </c>
      <c r="S208" s="8">
        <f t="shared" si="16"/>
        <v>12.799999999999999</v>
      </c>
      <c r="T208" s="8">
        <f t="shared" si="17"/>
        <v>153.6</v>
      </c>
      <c r="V208" s="12">
        <v>118.1</v>
      </c>
      <c r="W208" s="5">
        <v>19.360655737704917</v>
      </c>
      <c r="X208" s="5">
        <v>73425.199999999983</v>
      </c>
      <c r="Y208" s="5">
        <f t="shared" si="20"/>
        <v>22494.100000000002</v>
      </c>
      <c r="AA208" s="5">
        <v>10.318287854155701</v>
      </c>
    </row>
    <row r="209" spans="1:27" s="5" customFormat="1" x14ac:dyDescent="0.25">
      <c r="A209" s="76"/>
      <c r="B209" s="10"/>
      <c r="C209" s="4">
        <v>42056</v>
      </c>
      <c r="D209" s="15">
        <v>3</v>
      </c>
      <c r="E209" s="15">
        <v>1.2</v>
      </c>
      <c r="F209" s="5">
        <v>5.7</v>
      </c>
      <c r="G209" s="5">
        <v>1392.8000000000002</v>
      </c>
      <c r="H209" s="5">
        <f t="shared" si="19"/>
        <v>357.4</v>
      </c>
      <c r="J209" s="5">
        <v>0</v>
      </c>
      <c r="K209" s="5">
        <v>339.00000000000006</v>
      </c>
      <c r="L209" s="5">
        <v>0.5</v>
      </c>
      <c r="M209" s="5">
        <v>170.30000000000004</v>
      </c>
      <c r="N209" s="6">
        <v>-0.5</v>
      </c>
      <c r="O209" s="5">
        <f>O208+N209</f>
        <v>153.1</v>
      </c>
      <c r="P209" s="5">
        <v>165</v>
      </c>
      <c r="Q209" s="5">
        <v>1</v>
      </c>
      <c r="R209" s="8">
        <f t="shared" si="15"/>
        <v>0.5</v>
      </c>
      <c r="S209" s="8">
        <f t="shared" si="16"/>
        <v>-0.5</v>
      </c>
      <c r="T209" s="8">
        <f t="shared" si="17"/>
        <v>153.1</v>
      </c>
      <c r="V209" s="12">
        <v>177</v>
      </c>
      <c r="W209" s="5">
        <v>59</v>
      </c>
      <c r="X209" s="5">
        <v>73602.199999999983</v>
      </c>
      <c r="Y209" s="5">
        <f t="shared" si="20"/>
        <v>22671.100000000002</v>
      </c>
      <c r="AA209" s="5">
        <v>10.3800096397642</v>
      </c>
    </row>
    <row r="210" spans="1:27" s="5" customFormat="1" x14ac:dyDescent="0.25">
      <c r="A210" s="76"/>
      <c r="B210" s="10"/>
      <c r="C210" s="4">
        <v>42057</v>
      </c>
      <c r="D210" s="15">
        <v>3.5</v>
      </c>
      <c r="E210" s="20">
        <v>-0.6</v>
      </c>
      <c r="F210" s="5">
        <v>7</v>
      </c>
      <c r="G210" s="5">
        <v>1396.3000000000002</v>
      </c>
      <c r="H210" s="5">
        <f t="shared" si="19"/>
        <v>360.9</v>
      </c>
      <c r="J210" s="5">
        <v>5.0999999999999996</v>
      </c>
      <c r="K210" s="5">
        <v>344.10000000000008</v>
      </c>
      <c r="L210" s="5">
        <v>1</v>
      </c>
      <c r="M210" s="5">
        <v>171.30000000000004</v>
      </c>
      <c r="N210" s="5">
        <v>4.0999999999999996</v>
      </c>
      <c r="O210" s="5">
        <v>153.6</v>
      </c>
      <c r="P210" s="5">
        <v>166</v>
      </c>
      <c r="Q210" s="5">
        <v>1</v>
      </c>
      <c r="R210" s="8">
        <f t="shared" si="15"/>
        <v>1</v>
      </c>
      <c r="S210" s="8">
        <f t="shared" si="16"/>
        <v>4.0999999999999996</v>
      </c>
      <c r="T210" s="8">
        <f t="shared" si="17"/>
        <v>153.6</v>
      </c>
      <c r="V210" s="12">
        <v>820.1</v>
      </c>
      <c r="W210" s="5">
        <v>234.31428571428572</v>
      </c>
      <c r="X210" s="5">
        <v>74422.299999999988</v>
      </c>
      <c r="Y210" s="5">
        <f t="shared" si="20"/>
        <v>23491.200000000001</v>
      </c>
      <c r="AA210" s="5">
        <v>10.4419643896941</v>
      </c>
    </row>
    <row r="211" spans="1:27" s="5" customFormat="1" x14ac:dyDescent="0.25">
      <c r="A211" s="76"/>
      <c r="B211" s="10"/>
      <c r="C211" s="4">
        <v>42058</v>
      </c>
      <c r="D211" s="5">
        <v>5.8</v>
      </c>
      <c r="E211" s="15">
        <v>4.0999999999999996</v>
      </c>
      <c r="F211" s="5">
        <v>9.5</v>
      </c>
      <c r="G211" s="5">
        <v>1402.1000000000001</v>
      </c>
      <c r="H211" s="5">
        <f t="shared" si="19"/>
        <v>366.7</v>
      </c>
      <c r="J211" s="5">
        <v>3.5</v>
      </c>
      <c r="K211" s="5">
        <v>347.60000000000008</v>
      </c>
      <c r="L211" s="5">
        <v>1.6</v>
      </c>
      <c r="M211" s="5">
        <v>172.90000000000003</v>
      </c>
      <c r="N211" s="5">
        <v>1.9</v>
      </c>
      <c r="O211" s="5">
        <v>153.6</v>
      </c>
      <c r="P211" s="5">
        <v>167</v>
      </c>
      <c r="Q211" s="5">
        <v>1</v>
      </c>
      <c r="R211" s="8">
        <f t="shared" si="15"/>
        <v>1.6</v>
      </c>
      <c r="S211" s="8">
        <f t="shared" si="16"/>
        <v>1.9</v>
      </c>
      <c r="T211" s="8">
        <f t="shared" si="17"/>
        <v>153.6</v>
      </c>
      <c r="V211" s="12">
        <v>524.20000000000005</v>
      </c>
      <c r="W211" s="5">
        <v>90.379310344827601</v>
      </c>
      <c r="X211" s="5">
        <v>74946.499999999985</v>
      </c>
      <c r="Y211" s="5">
        <f t="shared" si="20"/>
        <v>24015.4</v>
      </c>
      <c r="AA211" s="5">
        <v>10.504137730819901</v>
      </c>
    </row>
    <row r="212" spans="1:27" s="5" customFormat="1" x14ac:dyDescent="0.25">
      <c r="A212" s="76"/>
      <c r="B212" s="10"/>
      <c r="C212" s="4">
        <v>42059</v>
      </c>
      <c r="D212" s="15">
        <v>4.9000000000000004</v>
      </c>
      <c r="E212" s="15">
        <v>3</v>
      </c>
      <c r="F212" s="5">
        <v>8.6</v>
      </c>
      <c r="G212" s="5">
        <v>1407.0000000000002</v>
      </c>
      <c r="H212" s="5">
        <f t="shared" si="19"/>
        <v>371.59999999999997</v>
      </c>
      <c r="J212" s="5">
        <v>3</v>
      </c>
      <c r="K212" s="5">
        <v>350.60000000000008</v>
      </c>
      <c r="L212" s="5">
        <v>1.6</v>
      </c>
      <c r="M212" s="5">
        <v>174.50000000000003</v>
      </c>
      <c r="N212" s="5">
        <v>1.4</v>
      </c>
      <c r="O212" s="5">
        <v>153.6</v>
      </c>
      <c r="P212" s="5">
        <v>168</v>
      </c>
      <c r="Q212" s="5">
        <v>1</v>
      </c>
      <c r="R212" s="8">
        <f t="shared" si="15"/>
        <v>1.6</v>
      </c>
      <c r="S212" s="8">
        <f t="shared" si="16"/>
        <v>1.4</v>
      </c>
      <c r="T212" s="8">
        <f t="shared" si="17"/>
        <v>153.6</v>
      </c>
      <c r="V212" s="12">
        <v>818.8</v>
      </c>
      <c r="W212" s="5">
        <v>167.10204081632651</v>
      </c>
      <c r="X212" s="5">
        <v>75765.299999999988</v>
      </c>
      <c r="Y212" s="5">
        <f t="shared" si="20"/>
        <v>24834.2</v>
      </c>
      <c r="AA212" s="5">
        <v>10.566515885508799</v>
      </c>
    </row>
    <row r="213" spans="1:27" s="5" customFormat="1" x14ac:dyDescent="0.25">
      <c r="A213" s="76"/>
      <c r="B213" s="10"/>
      <c r="C213" s="4">
        <v>42060</v>
      </c>
      <c r="D213" s="15">
        <v>5</v>
      </c>
      <c r="E213" s="15">
        <v>2.5</v>
      </c>
      <c r="F213" s="5">
        <v>7.3</v>
      </c>
      <c r="G213" s="5">
        <v>1412.0000000000002</v>
      </c>
      <c r="H213" s="5">
        <f t="shared" si="19"/>
        <v>376.59999999999997</v>
      </c>
      <c r="J213" s="5">
        <v>5</v>
      </c>
      <c r="K213" s="5">
        <v>355.60000000000008</v>
      </c>
      <c r="L213" s="5">
        <v>0.4</v>
      </c>
      <c r="M213" s="5">
        <v>174.90000000000003</v>
      </c>
      <c r="N213" s="5">
        <v>4.5999999999999996</v>
      </c>
      <c r="O213" s="5">
        <v>153.6</v>
      </c>
      <c r="P213" s="5">
        <v>169</v>
      </c>
      <c r="Q213" s="5">
        <v>1</v>
      </c>
      <c r="R213" s="8">
        <f t="shared" si="15"/>
        <v>0.4</v>
      </c>
      <c r="S213" s="8">
        <f t="shared" si="16"/>
        <v>4.5999999999999996</v>
      </c>
      <c r="T213" s="8">
        <f t="shared" si="17"/>
        <v>153.6</v>
      </c>
      <c r="V213" s="12">
        <v>171.1</v>
      </c>
      <c r="W213" s="5">
        <v>34.22</v>
      </c>
      <c r="X213" s="5">
        <v>75936.399999999994</v>
      </c>
      <c r="Y213" s="5">
        <f t="shared" si="20"/>
        <v>25005.3</v>
      </c>
      <c r="AA213" s="5">
        <v>10.6290856511529</v>
      </c>
    </row>
    <row r="214" spans="1:27" s="5" customFormat="1" x14ac:dyDescent="0.25">
      <c r="A214" s="76"/>
      <c r="B214" s="10"/>
      <c r="C214" s="4">
        <v>42061</v>
      </c>
      <c r="D214" s="5">
        <v>7.7</v>
      </c>
      <c r="E214" s="15">
        <v>4.8</v>
      </c>
      <c r="F214" s="5">
        <v>11</v>
      </c>
      <c r="G214" s="5">
        <v>1419.7000000000003</v>
      </c>
      <c r="H214" s="5">
        <f t="shared" si="19"/>
        <v>384.29999999999995</v>
      </c>
      <c r="J214" s="5">
        <v>9.8000000000000007</v>
      </c>
      <c r="K214" s="5">
        <v>365.40000000000009</v>
      </c>
      <c r="L214" s="5">
        <v>0.4</v>
      </c>
      <c r="M214" s="5">
        <v>175.30000000000004</v>
      </c>
      <c r="N214" s="5">
        <v>9.4</v>
      </c>
      <c r="O214" s="5">
        <v>153.6</v>
      </c>
      <c r="P214" s="5">
        <v>170</v>
      </c>
      <c r="Q214" s="5">
        <v>1</v>
      </c>
      <c r="R214" s="8">
        <f t="shared" si="15"/>
        <v>0.4</v>
      </c>
      <c r="S214" s="8">
        <f t="shared" si="16"/>
        <v>9.4</v>
      </c>
      <c r="T214" s="8">
        <f t="shared" si="17"/>
        <v>153.6</v>
      </c>
      <c r="V214" s="12">
        <v>201.7</v>
      </c>
      <c r="W214" s="5">
        <v>26.194805194805191</v>
      </c>
      <c r="X214" s="5">
        <v>76138.099999999991</v>
      </c>
      <c r="Y214" s="5">
        <f t="shared" si="20"/>
        <v>25207</v>
      </c>
      <c r="AA214" s="5">
        <v>10.6918343793206</v>
      </c>
    </row>
    <row r="215" spans="1:27" s="5" customFormat="1" x14ac:dyDescent="0.25">
      <c r="A215" s="76"/>
      <c r="B215" s="10"/>
      <c r="C215" s="4">
        <v>42062</v>
      </c>
      <c r="D215" s="15">
        <v>3.6</v>
      </c>
      <c r="E215" s="15">
        <v>2.2999999999999998</v>
      </c>
      <c r="F215" s="5">
        <v>7</v>
      </c>
      <c r="G215" s="5">
        <v>1423.3000000000002</v>
      </c>
      <c r="H215" s="5">
        <f t="shared" si="19"/>
        <v>387.9</v>
      </c>
      <c r="J215" s="5">
        <v>0</v>
      </c>
      <c r="K215" s="5">
        <v>365.40000000000009</v>
      </c>
      <c r="L215" s="5">
        <v>1.6</v>
      </c>
      <c r="M215" s="5">
        <v>176.90000000000003</v>
      </c>
      <c r="N215" s="6">
        <v>-1.6</v>
      </c>
      <c r="O215" s="5">
        <f>O214+N215</f>
        <v>152</v>
      </c>
      <c r="P215" s="5">
        <v>171</v>
      </c>
      <c r="Q215" s="5">
        <v>1</v>
      </c>
      <c r="R215" s="8">
        <f t="shared" si="15"/>
        <v>1.6</v>
      </c>
      <c r="S215" s="8">
        <f t="shared" si="16"/>
        <v>-1.6</v>
      </c>
      <c r="T215" s="8">
        <f t="shared" si="17"/>
        <v>152</v>
      </c>
      <c r="V215" s="5">
        <v>1042</v>
      </c>
      <c r="W215" s="5">
        <v>289.44444444444446</v>
      </c>
      <c r="X215" s="5">
        <v>77180.099999999991</v>
      </c>
      <c r="Y215" s="5">
        <f t="shared" si="20"/>
        <v>26249</v>
      </c>
      <c r="AA215" s="5">
        <v>10.7547499546026</v>
      </c>
    </row>
    <row r="216" spans="1:27" s="5" customFormat="1" x14ac:dyDescent="0.25">
      <c r="A216" s="76"/>
      <c r="B216" s="10"/>
      <c r="C216" s="4">
        <v>42063</v>
      </c>
      <c r="D216" s="5">
        <v>5.9</v>
      </c>
      <c r="E216" s="15">
        <v>0.6</v>
      </c>
      <c r="F216" s="5">
        <v>9.6999999999999993</v>
      </c>
      <c r="G216" s="5">
        <v>1429.2000000000003</v>
      </c>
      <c r="H216" s="5">
        <f t="shared" si="19"/>
        <v>393.79999999999995</v>
      </c>
      <c r="J216" s="5">
        <v>3</v>
      </c>
      <c r="K216" s="5">
        <v>368.40000000000009</v>
      </c>
      <c r="L216" s="5">
        <v>1</v>
      </c>
      <c r="M216" s="5">
        <v>177.90000000000003</v>
      </c>
      <c r="N216" s="5">
        <v>2</v>
      </c>
      <c r="O216" s="5">
        <v>153.6</v>
      </c>
      <c r="P216" s="5">
        <v>172</v>
      </c>
      <c r="Q216" s="5">
        <v>1</v>
      </c>
      <c r="R216" s="8">
        <f t="shared" si="15"/>
        <v>1</v>
      </c>
      <c r="S216" s="8">
        <f t="shared" si="16"/>
        <v>2</v>
      </c>
      <c r="T216" s="8">
        <f t="shared" si="17"/>
        <v>153.6</v>
      </c>
      <c r="V216" s="12">
        <v>605.20000000000005</v>
      </c>
      <c r="W216" s="5">
        <v>102.57627118644068</v>
      </c>
      <c r="X216" s="5">
        <v>77785.299999999988</v>
      </c>
      <c r="Y216" s="5">
        <f t="shared" si="20"/>
        <v>26854.2</v>
      </c>
      <c r="AA216" s="5">
        <v>10.817820773220401</v>
      </c>
    </row>
    <row r="217" spans="1:27" s="5" customFormat="1" x14ac:dyDescent="0.25">
      <c r="A217" s="76"/>
      <c r="B217" s="10"/>
      <c r="C217" s="4">
        <v>42064</v>
      </c>
      <c r="D217" s="5">
        <v>9</v>
      </c>
      <c r="E217" s="5">
        <v>7.1</v>
      </c>
      <c r="F217" s="5">
        <v>10.4</v>
      </c>
      <c r="G217" s="5">
        <v>1438.2000000000003</v>
      </c>
      <c r="H217" s="5">
        <f t="shared" si="19"/>
        <v>402.79999999999995</v>
      </c>
      <c r="J217" s="5">
        <v>3</v>
      </c>
      <c r="K217" s="5">
        <v>371.40000000000009</v>
      </c>
      <c r="L217" s="5">
        <v>1.5</v>
      </c>
      <c r="M217" s="5">
        <v>179.40000000000003</v>
      </c>
      <c r="N217" s="5">
        <v>1.5</v>
      </c>
      <c r="O217" s="5">
        <v>153.6</v>
      </c>
      <c r="P217" s="5">
        <v>173</v>
      </c>
      <c r="Q217" s="5">
        <v>1</v>
      </c>
      <c r="R217" s="8">
        <f t="shared" si="15"/>
        <v>1.5</v>
      </c>
      <c r="S217" s="8">
        <f t="shared" si="16"/>
        <v>1.5</v>
      </c>
      <c r="T217" s="8">
        <f t="shared" si="17"/>
        <v>153.6</v>
      </c>
      <c r="V217" s="12">
        <v>563.20000000000005</v>
      </c>
      <c r="W217" s="5">
        <v>62.577777777777783</v>
      </c>
      <c r="X217" s="5">
        <v>78348.499999999985</v>
      </c>
      <c r="Y217" s="5">
        <f t="shared" si="20"/>
        <v>27417.4</v>
      </c>
      <c r="AA217" s="5">
        <v>10.881035721457801</v>
      </c>
    </row>
    <row r="218" spans="1:27" s="5" customFormat="1" x14ac:dyDescent="0.25">
      <c r="A218" s="76"/>
      <c r="B218" s="10"/>
      <c r="C218" s="4">
        <v>42065</v>
      </c>
      <c r="D218" s="15">
        <v>5</v>
      </c>
      <c r="E218" s="15">
        <v>4.2</v>
      </c>
      <c r="F218" s="5">
        <v>6.7</v>
      </c>
      <c r="G218" s="5">
        <v>1443.2000000000003</v>
      </c>
      <c r="H218" s="5">
        <f t="shared" si="19"/>
        <v>407.79999999999995</v>
      </c>
      <c r="J218" s="5">
        <v>2.7</v>
      </c>
      <c r="K218" s="5">
        <v>374.10000000000008</v>
      </c>
      <c r="L218" s="5">
        <v>1.5</v>
      </c>
      <c r="M218" s="5">
        <v>180.90000000000003</v>
      </c>
      <c r="N218" s="5">
        <v>1.2000000000000002</v>
      </c>
      <c r="O218" s="5">
        <v>153.6</v>
      </c>
      <c r="P218" s="5">
        <v>174</v>
      </c>
      <c r="Q218" s="5">
        <v>1</v>
      </c>
      <c r="R218" s="8">
        <f t="shared" si="15"/>
        <v>1.5</v>
      </c>
      <c r="S218" s="8">
        <f t="shared" si="16"/>
        <v>1.2000000000000002</v>
      </c>
      <c r="T218" s="8">
        <f t="shared" si="17"/>
        <v>153.6</v>
      </c>
      <c r="V218" s="12">
        <v>753.4</v>
      </c>
      <c r="W218" s="5">
        <v>150.68</v>
      </c>
      <c r="X218" s="5">
        <v>79101.89999999998</v>
      </c>
      <c r="Y218" s="5">
        <f t="shared" si="20"/>
        <v>28170.800000000003</v>
      </c>
      <c r="AA218" s="5">
        <v>10.9443841539697</v>
      </c>
    </row>
    <row r="219" spans="1:27" s="5" customFormat="1" x14ac:dyDescent="0.25">
      <c r="A219" s="76"/>
      <c r="B219" s="10"/>
      <c r="C219" s="4">
        <v>42066</v>
      </c>
      <c r="D219" s="15">
        <v>4.4000000000000004</v>
      </c>
      <c r="E219" s="15">
        <v>2.7</v>
      </c>
      <c r="F219" s="5">
        <v>8</v>
      </c>
      <c r="G219" s="5">
        <v>1447.6000000000004</v>
      </c>
      <c r="H219" s="5">
        <f t="shared" si="19"/>
        <v>412.19999999999993</v>
      </c>
      <c r="J219" s="5">
        <v>1.9</v>
      </c>
      <c r="K219" s="5">
        <v>376.00000000000006</v>
      </c>
      <c r="L219" s="5">
        <v>1.1000000000000001</v>
      </c>
      <c r="M219" s="5">
        <v>182.00000000000003</v>
      </c>
      <c r="N219" s="5">
        <v>0.79999999999999982</v>
      </c>
      <c r="O219" s="5">
        <v>153.6</v>
      </c>
      <c r="P219" s="5">
        <v>175</v>
      </c>
      <c r="Q219" s="5">
        <v>1</v>
      </c>
      <c r="R219" s="8">
        <f t="shared" si="15"/>
        <v>1.1000000000000001</v>
      </c>
      <c r="S219" s="8">
        <f t="shared" si="16"/>
        <v>0.79999999999999982</v>
      </c>
      <c r="T219" s="8">
        <f t="shared" si="17"/>
        <v>153.6</v>
      </c>
      <c r="V219" s="12">
        <v>386.8</v>
      </c>
      <c r="W219" s="5">
        <v>87.909090909090907</v>
      </c>
      <c r="X219" s="5">
        <v>79488.699999999983</v>
      </c>
      <c r="Y219" s="5">
        <f t="shared" si="20"/>
        <v>28557.600000000002</v>
      </c>
      <c r="AA219" s="5">
        <v>11.007855872017499</v>
      </c>
    </row>
    <row r="220" spans="1:27" s="5" customFormat="1" x14ac:dyDescent="0.25">
      <c r="A220" s="76"/>
      <c r="B220" s="10"/>
      <c r="C220" s="4">
        <v>42067</v>
      </c>
      <c r="D220" s="15">
        <v>4.4000000000000004</v>
      </c>
      <c r="E220" s="15">
        <v>1.3</v>
      </c>
      <c r="F220" s="5">
        <v>8.6999999999999993</v>
      </c>
      <c r="G220" s="5">
        <v>1452.0000000000005</v>
      </c>
      <c r="H220" s="5">
        <f t="shared" si="19"/>
        <v>416.59999999999991</v>
      </c>
      <c r="J220" s="5">
        <v>0</v>
      </c>
      <c r="K220" s="5">
        <v>376.00000000000006</v>
      </c>
      <c r="L220" s="5">
        <v>1.6</v>
      </c>
      <c r="M220" s="5">
        <v>183.60000000000002</v>
      </c>
      <c r="N220" s="6">
        <v>-1.6</v>
      </c>
      <c r="O220" s="5">
        <f t="shared" ref="O220:O247" si="21">O219+N220</f>
        <v>152</v>
      </c>
      <c r="P220" s="5">
        <v>176</v>
      </c>
      <c r="Q220" s="5">
        <v>1</v>
      </c>
      <c r="R220" s="8">
        <f t="shared" si="15"/>
        <v>1.6</v>
      </c>
      <c r="S220" s="8">
        <f t="shared" si="16"/>
        <v>-1.6</v>
      </c>
      <c r="T220" s="8">
        <f t="shared" si="17"/>
        <v>152</v>
      </c>
      <c r="V220" s="5">
        <v>1080.4000000000001</v>
      </c>
      <c r="W220" s="5">
        <v>245.54545454545453</v>
      </c>
      <c r="X220" s="5">
        <v>80569.099999999977</v>
      </c>
      <c r="Y220" s="5">
        <f t="shared" si="20"/>
        <v>29638.000000000004</v>
      </c>
      <c r="AA220" s="5">
        <v>11.0714411016731</v>
      </c>
    </row>
    <row r="221" spans="1:27" s="5" customFormat="1" x14ac:dyDescent="0.25">
      <c r="A221" s="76"/>
      <c r="B221" s="10"/>
      <c r="C221" s="4">
        <v>42068</v>
      </c>
      <c r="D221" s="15">
        <v>4.7</v>
      </c>
      <c r="E221" s="15">
        <v>0.5</v>
      </c>
      <c r="F221" s="5">
        <v>9.4</v>
      </c>
      <c r="G221" s="5">
        <v>1456.7000000000005</v>
      </c>
      <c r="H221" s="5">
        <f t="shared" si="19"/>
        <v>421.2999999999999</v>
      </c>
      <c r="J221" s="5">
        <v>0.2</v>
      </c>
      <c r="K221" s="5">
        <v>376.20000000000005</v>
      </c>
      <c r="L221" s="5">
        <v>1.4</v>
      </c>
      <c r="M221" s="5">
        <v>185.00000000000003</v>
      </c>
      <c r="N221" s="6">
        <v>-1.2</v>
      </c>
      <c r="O221" s="5">
        <f t="shared" si="21"/>
        <v>150.80000000000001</v>
      </c>
      <c r="P221" s="5">
        <v>177</v>
      </c>
      <c r="Q221" s="5">
        <v>1</v>
      </c>
      <c r="R221" s="8">
        <f t="shared" si="15"/>
        <v>1.4</v>
      </c>
      <c r="S221" s="8">
        <f t="shared" si="16"/>
        <v>-1.2</v>
      </c>
      <c r="T221" s="8">
        <f t="shared" si="17"/>
        <v>150.80000000000001</v>
      </c>
      <c r="V221" s="5">
        <v>990.7</v>
      </c>
      <c r="W221" s="5">
        <v>210.78723404255319</v>
      </c>
      <c r="X221" s="5">
        <v>81559.799999999974</v>
      </c>
      <c r="Y221" s="5">
        <f t="shared" si="20"/>
        <v>30628.700000000004</v>
      </c>
      <c r="AA221" s="5">
        <v>11.1351304720285</v>
      </c>
    </row>
    <row r="222" spans="1:27" s="44" customFormat="1" ht="15.75" thickBot="1" x14ac:dyDescent="0.3">
      <c r="A222" s="76"/>
      <c r="B222" s="50"/>
      <c r="C222" s="42">
        <v>42069</v>
      </c>
      <c r="D222" s="43">
        <v>5.4</v>
      </c>
      <c r="E222" s="43">
        <v>1.4</v>
      </c>
      <c r="F222" s="43">
        <v>9.5</v>
      </c>
      <c r="G222" s="43">
        <v>1462.1000000000006</v>
      </c>
      <c r="H222" s="44">
        <f t="shared" si="19"/>
        <v>426.69999999999987</v>
      </c>
      <c r="I222" s="43"/>
      <c r="J222" s="43">
        <v>0</v>
      </c>
      <c r="K222" s="43">
        <v>376.20000000000005</v>
      </c>
      <c r="L222" s="43">
        <v>1.4</v>
      </c>
      <c r="M222" s="43">
        <v>186.40000000000003</v>
      </c>
      <c r="N222" s="43">
        <v>-1.4</v>
      </c>
      <c r="O222" s="44">
        <f t="shared" si="21"/>
        <v>149.4</v>
      </c>
      <c r="P222" s="44">
        <v>178</v>
      </c>
      <c r="Q222" s="45">
        <v>1</v>
      </c>
      <c r="R222" s="46">
        <f t="shared" si="15"/>
        <v>1.4</v>
      </c>
      <c r="S222" s="46">
        <f t="shared" si="16"/>
        <v>-1.4</v>
      </c>
      <c r="T222" s="47">
        <f t="shared" si="17"/>
        <v>149.4</v>
      </c>
      <c r="U222" s="43"/>
      <c r="V222" s="48">
        <v>869.4</v>
      </c>
      <c r="W222" s="43">
        <v>160.99999999999997</v>
      </c>
      <c r="X222" s="43">
        <v>82429.199999999968</v>
      </c>
      <c r="Y222" s="45">
        <f t="shared" si="20"/>
        <v>31498.100000000006</v>
      </c>
      <c r="Z222" s="43"/>
      <c r="AA222" s="45">
        <v>11.1989149934452</v>
      </c>
    </row>
    <row r="223" spans="1:27" s="5" customFormat="1" ht="15" customHeight="1" x14ac:dyDescent="0.25">
      <c r="A223" s="77" t="s">
        <v>20</v>
      </c>
      <c r="B223" s="10"/>
      <c r="C223" s="4">
        <v>42070</v>
      </c>
      <c r="D223" s="5">
        <v>7</v>
      </c>
      <c r="E223" s="15">
        <v>2.2000000000000002</v>
      </c>
      <c r="F223" s="5">
        <v>11.3</v>
      </c>
      <c r="G223" s="5">
        <v>1469.1000000000006</v>
      </c>
      <c r="H223" s="5">
        <v>7</v>
      </c>
      <c r="I223" s="21" t="s">
        <v>2</v>
      </c>
      <c r="J223" s="5">
        <v>0</v>
      </c>
      <c r="K223" s="5">
        <v>376.20000000000005</v>
      </c>
      <c r="L223" s="5">
        <v>2</v>
      </c>
      <c r="M223" s="5">
        <v>188.40000000000003</v>
      </c>
      <c r="N223" s="6">
        <v>-2</v>
      </c>
      <c r="O223" s="5">
        <f t="shared" si="21"/>
        <v>147.4</v>
      </c>
      <c r="P223" s="5">
        <v>179</v>
      </c>
      <c r="Q223" s="13">
        <f>1+((P223-178)/41)*(1.15-1)</f>
        <v>1.0036585365853659</v>
      </c>
      <c r="R223" s="8">
        <f t="shared" si="15"/>
        <v>2.0073170731707317</v>
      </c>
      <c r="S223" s="8">
        <f t="shared" si="16"/>
        <v>-2.0073170731707317</v>
      </c>
      <c r="T223" s="8">
        <f t="shared" si="17"/>
        <v>147.39268292682928</v>
      </c>
      <c r="U223" s="21" t="s">
        <v>3</v>
      </c>
      <c r="V223" s="5">
        <v>1294.5</v>
      </c>
      <c r="W223" s="5">
        <v>184.92857142857142</v>
      </c>
      <c r="X223" s="5">
        <v>83723.699999999968</v>
      </c>
      <c r="Y223" s="5">
        <v>1294.5</v>
      </c>
      <c r="Z223" s="21" t="s">
        <v>4</v>
      </c>
      <c r="AA223" s="5">
        <v>11.262786035868301</v>
      </c>
    </row>
    <row r="224" spans="1:27" s="5" customFormat="1" x14ac:dyDescent="0.25">
      <c r="A224" s="77"/>
      <c r="B224" s="10"/>
      <c r="C224" s="4">
        <v>42071</v>
      </c>
      <c r="D224" s="5">
        <v>9.6</v>
      </c>
      <c r="E224" s="15">
        <v>2.6</v>
      </c>
      <c r="F224" s="5">
        <v>14.8</v>
      </c>
      <c r="G224" s="5">
        <v>1478.7000000000005</v>
      </c>
      <c r="H224" s="5">
        <f t="shared" si="19"/>
        <v>16.600000000000001</v>
      </c>
      <c r="I224" s="5">
        <f>MIN(E223:E263)</f>
        <v>-1.6</v>
      </c>
      <c r="J224" s="5">
        <v>0</v>
      </c>
      <c r="K224" s="5">
        <v>376.20000000000005</v>
      </c>
      <c r="L224" s="5">
        <v>2</v>
      </c>
      <c r="M224" s="5">
        <v>190.40000000000003</v>
      </c>
      <c r="N224" s="6">
        <v>-2</v>
      </c>
      <c r="O224" s="5">
        <f t="shared" si="21"/>
        <v>145.4</v>
      </c>
      <c r="P224" s="5">
        <v>180</v>
      </c>
      <c r="Q224" s="13">
        <f t="shared" ref="Q224:Q263" si="22">1+((P224-178)/41)*(1.15-1)</f>
        <v>1.0073170731707317</v>
      </c>
      <c r="R224" s="8">
        <f t="shared" si="15"/>
        <v>2.0146341463414634</v>
      </c>
      <c r="S224" s="8">
        <f t="shared" si="16"/>
        <v>-2.0146341463414634</v>
      </c>
      <c r="T224" s="8">
        <f t="shared" si="17"/>
        <v>145.37804878048783</v>
      </c>
      <c r="V224" s="5">
        <v>1356.6</v>
      </c>
      <c r="W224" s="5">
        <v>141.3125</v>
      </c>
      <c r="X224" s="5">
        <v>85080.299999999974</v>
      </c>
      <c r="Y224" s="5">
        <f t="shared" si="20"/>
        <v>2651.1</v>
      </c>
      <c r="Z224" s="5">
        <v>45159.4</v>
      </c>
      <c r="AA224" s="5">
        <v>11.326735307231599</v>
      </c>
    </row>
    <row r="225" spans="1:28" s="5" customFormat="1" x14ac:dyDescent="0.25">
      <c r="A225" s="77"/>
      <c r="B225" s="10"/>
      <c r="C225" s="4">
        <v>42072</v>
      </c>
      <c r="D225" s="5">
        <v>10</v>
      </c>
      <c r="E225" s="5">
        <v>7.4</v>
      </c>
      <c r="F225" s="5">
        <v>13.6</v>
      </c>
      <c r="G225" s="5">
        <v>1488.7000000000005</v>
      </c>
      <c r="H225" s="5">
        <f t="shared" si="19"/>
        <v>26.6</v>
      </c>
      <c r="I225" s="21" t="s">
        <v>5</v>
      </c>
      <c r="J225" s="5">
        <v>0</v>
      </c>
      <c r="K225" s="5">
        <v>376.20000000000005</v>
      </c>
      <c r="L225" s="5">
        <v>1</v>
      </c>
      <c r="M225" s="5">
        <v>191.40000000000003</v>
      </c>
      <c r="N225" s="6">
        <v>-1</v>
      </c>
      <c r="O225" s="5">
        <f t="shared" si="21"/>
        <v>144.4</v>
      </c>
      <c r="P225" s="5">
        <v>181</v>
      </c>
      <c r="Q225" s="13">
        <f t="shared" si="22"/>
        <v>1.0109756097560976</v>
      </c>
      <c r="R225" s="8">
        <f t="shared" si="15"/>
        <v>1.0109756097560976</v>
      </c>
      <c r="S225" s="8">
        <f t="shared" si="16"/>
        <v>-1.0109756097560976</v>
      </c>
      <c r="T225" s="8">
        <f t="shared" si="17"/>
        <v>144.36707317073174</v>
      </c>
      <c r="U225" s="21" t="s">
        <v>6</v>
      </c>
      <c r="V225" s="12">
        <v>416.9</v>
      </c>
      <c r="W225" s="5">
        <v>41.69</v>
      </c>
      <c r="X225" s="5">
        <v>85497.199999999968</v>
      </c>
      <c r="Y225" s="5">
        <f t="shared" si="20"/>
        <v>3068</v>
      </c>
      <c r="Z225" s="21" t="s">
        <v>7</v>
      </c>
      <c r="AA225" s="5">
        <v>11.3907548319714</v>
      </c>
    </row>
    <row r="226" spans="1:28" s="5" customFormat="1" x14ac:dyDescent="0.25">
      <c r="A226" s="77"/>
      <c r="B226" s="10"/>
      <c r="C226" s="4">
        <v>42073</v>
      </c>
      <c r="D226" s="5">
        <v>8.9</v>
      </c>
      <c r="E226" s="5">
        <v>7.9</v>
      </c>
      <c r="F226" s="5">
        <v>12.4</v>
      </c>
      <c r="G226" s="5">
        <v>1497.6000000000006</v>
      </c>
      <c r="H226" s="5">
        <f t="shared" si="19"/>
        <v>35.5</v>
      </c>
      <c r="I226" s="5">
        <f>MAX(F223:F263)</f>
        <v>24.2</v>
      </c>
      <c r="J226" s="5">
        <v>0</v>
      </c>
      <c r="K226" s="5">
        <v>376.20000000000005</v>
      </c>
      <c r="L226" s="5">
        <v>1.8</v>
      </c>
      <c r="M226" s="5">
        <v>193.20000000000005</v>
      </c>
      <c r="N226" s="6">
        <v>-1.8</v>
      </c>
      <c r="O226" s="5">
        <f t="shared" si="21"/>
        <v>142.6</v>
      </c>
      <c r="P226" s="5">
        <v>182</v>
      </c>
      <c r="Q226" s="13">
        <f t="shared" si="22"/>
        <v>1.0146341463414634</v>
      </c>
      <c r="R226" s="8">
        <f t="shared" si="15"/>
        <v>1.8263414634146342</v>
      </c>
      <c r="S226" s="8">
        <f t="shared" si="16"/>
        <v>-1.8263414634146342</v>
      </c>
      <c r="T226" s="8">
        <f t="shared" si="17"/>
        <v>142.54073170731712</v>
      </c>
      <c r="U226" s="5">
        <v>0</v>
      </c>
      <c r="V226" s="5">
        <v>995.3</v>
      </c>
      <c r="W226" s="5">
        <v>111.8314606741573</v>
      </c>
      <c r="X226" s="5">
        <v>86492.499999999971</v>
      </c>
      <c r="Y226" s="5">
        <f t="shared" si="20"/>
        <v>4063.3</v>
      </c>
      <c r="Z226" s="13">
        <f>(Z224/100)/I236</f>
        <v>1.3784920634920634</v>
      </c>
      <c r="AA226" s="5">
        <v>11.454836929664401</v>
      </c>
    </row>
    <row r="227" spans="1:28" s="5" customFormat="1" x14ac:dyDescent="0.25">
      <c r="A227" s="77"/>
      <c r="B227" s="10"/>
      <c r="C227" s="4">
        <v>42074</v>
      </c>
      <c r="D227" s="5">
        <v>5.9</v>
      </c>
      <c r="E227" s="15">
        <v>1.8</v>
      </c>
      <c r="F227" s="5">
        <v>9.6999999999999993</v>
      </c>
      <c r="G227" s="5">
        <v>1503.5000000000007</v>
      </c>
      <c r="H227" s="5">
        <f t="shared" si="19"/>
        <v>41.4</v>
      </c>
      <c r="I227" s="21" t="s">
        <v>8</v>
      </c>
      <c r="J227" s="5">
        <v>0</v>
      </c>
      <c r="K227" s="5">
        <v>376.20000000000005</v>
      </c>
      <c r="L227" s="5">
        <v>1.5</v>
      </c>
      <c r="M227" s="5">
        <v>194.70000000000005</v>
      </c>
      <c r="N227" s="6">
        <v>-1.5</v>
      </c>
      <c r="O227" s="5">
        <f t="shared" si="21"/>
        <v>141.1</v>
      </c>
      <c r="P227" s="5">
        <v>183</v>
      </c>
      <c r="Q227" s="13">
        <f t="shared" si="22"/>
        <v>1.0182926829268293</v>
      </c>
      <c r="R227" s="8">
        <f t="shared" si="15"/>
        <v>1.5274390243902438</v>
      </c>
      <c r="S227" s="8">
        <f t="shared" si="16"/>
        <v>-1.5274390243902438</v>
      </c>
      <c r="T227" s="8">
        <f t="shared" si="17"/>
        <v>141.01329268292687</v>
      </c>
      <c r="U227" s="21" t="s">
        <v>9</v>
      </c>
      <c r="V227" s="5">
        <v>1053.7</v>
      </c>
      <c r="W227" s="5">
        <v>178.59322033898306</v>
      </c>
      <c r="X227" s="5">
        <v>87546.199999999968</v>
      </c>
      <c r="Y227" s="5">
        <f t="shared" si="20"/>
        <v>5117</v>
      </c>
      <c r="Z227" s="21" t="s">
        <v>10</v>
      </c>
      <c r="AA227" s="5">
        <v>11.518974193804301</v>
      </c>
    </row>
    <row r="228" spans="1:28" s="5" customFormat="1" x14ac:dyDescent="0.25">
      <c r="A228" s="77"/>
      <c r="B228" s="10"/>
      <c r="C228" s="4">
        <v>42075</v>
      </c>
      <c r="D228" s="5">
        <v>6.5</v>
      </c>
      <c r="E228" s="20">
        <v>-0.5</v>
      </c>
      <c r="F228" s="5">
        <v>13</v>
      </c>
      <c r="G228" s="5">
        <v>1510.0000000000007</v>
      </c>
      <c r="H228" s="5">
        <f t="shared" si="19"/>
        <v>47.9</v>
      </c>
      <c r="I228" s="8">
        <f>AVERAGE(D223:D263)</f>
        <v>7.9902439024390235</v>
      </c>
      <c r="J228" s="5">
        <v>0</v>
      </c>
      <c r="K228" s="5">
        <v>376.20000000000005</v>
      </c>
      <c r="L228" s="5">
        <v>2.1</v>
      </c>
      <c r="M228" s="5">
        <v>196.80000000000004</v>
      </c>
      <c r="N228" s="6">
        <v>-2.1</v>
      </c>
      <c r="O228" s="5">
        <f t="shared" si="21"/>
        <v>139</v>
      </c>
      <c r="P228" s="5">
        <v>184</v>
      </c>
      <c r="Q228" s="13">
        <f t="shared" si="22"/>
        <v>1.0219512195121951</v>
      </c>
      <c r="R228" s="8">
        <f t="shared" si="15"/>
        <v>2.1460975609756101</v>
      </c>
      <c r="S228" s="8">
        <f t="shared" si="16"/>
        <v>-2.1460975609756101</v>
      </c>
      <c r="T228" s="8">
        <f t="shared" si="17"/>
        <v>138.86719512195126</v>
      </c>
      <c r="U228" s="5">
        <v>0</v>
      </c>
      <c r="V228" s="5">
        <v>1420.6</v>
      </c>
      <c r="W228" s="5">
        <v>218.55384615384614</v>
      </c>
      <c r="X228" s="5">
        <v>88966.799999999974</v>
      </c>
      <c r="Y228" s="5">
        <f t="shared" si="20"/>
        <v>6537.6</v>
      </c>
      <c r="Z228" s="5">
        <v>15</v>
      </c>
      <c r="AA228" s="5">
        <v>11.5831594707238</v>
      </c>
    </row>
    <row r="229" spans="1:28" s="5" customFormat="1" x14ac:dyDescent="0.25">
      <c r="A229" s="77"/>
      <c r="B229" s="10"/>
      <c r="C229" s="4">
        <v>42076</v>
      </c>
      <c r="D229" s="5">
        <v>6.5</v>
      </c>
      <c r="E229" s="15">
        <v>2.5</v>
      </c>
      <c r="F229" s="5">
        <v>11.4</v>
      </c>
      <c r="G229" s="5">
        <v>1516.5000000000007</v>
      </c>
      <c r="H229" s="5">
        <f t="shared" si="19"/>
        <v>54.4</v>
      </c>
      <c r="I229" s="21" t="s">
        <v>11</v>
      </c>
      <c r="J229" s="5">
        <v>0</v>
      </c>
      <c r="K229" s="5">
        <v>376.20000000000005</v>
      </c>
      <c r="L229" s="5">
        <v>2.1</v>
      </c>
      <c r="M229" s="5">
        <v>198.90000000000003</v>
      </c>
      <c r="N229" s="6">
        <v>-2.1</v>
      </c>
      <c r="O229" s="5">
        <f t="shared" si="21"/>
        <v>136.9</v>
      </c>
      <c r="P229" s="5">
        <v>185</v>
      </c>
      <c r="Q229" s="13">
        <f t="shared" si="22"/>
        <v>1.025609756097561</v>
      </c>
      <c r="R229" s="8">
        <f t="shared" si="15"/>
        <v>2.1537804878048781</v>
      </c>
      <c r="S229" s="8">
        <f t="shared" si="16"/>
        <v>-2.1537804878048781</v>
      </c>
      <c r="T229" s="8">
        <f t="shared" si="17"/>
        <v>136.71341463414637</v>
      </c>
      <c r="U229" s="21" t="s">
        <v>12</v>
      </c>
      <c r="V229" s="5">
        <v>1433.3</v>
      </c>
      <c r="W229" s="5">
        <v>220.50769230769231</v>
      </c>
      <c r="X229" s="5">
        <v>90400.099999999977</v>
      </c>
      <c r="Y229" s="5">
        <f t="shared" si="20"/>
        <v>7970.9000000000005</v>
      </c>
      <c r="AA229" s="5">
        <v>11.6473858386702</v>
      </c>
    </row>
    <row r="230" spans="1:28" s="5" customFormat="1" x14ac:dyDescent="0.25">
      <c r="A230" s="77"/>
      <c r="B230" s="10"/>
      <c r="C230" s="4">
        <v>42077</v>
      </c>
      <c r="D230" s="15">
        <v>4.9000000000000004</v>
      </c>
      <c r="E230" s="15">
        <v>2.2999999999999998</v>
      </c>
      <c r="F230" s="5">
        <v>8.1</v>
      </c>
      <c r="G230" s="5">
        <v>1521.4000000000008</v>
      </c>
      <c r="H230" s="5">
        <f t="shared" si="19"/>
        <v>59.3</v>
      </c>
      <c r="I230" s="5">
        <v>2</v>
      </c>
      <c r="J230" s="5">
        <v>1.2</v>
      </c>
      <c r="K230" s="5">
        <v>377.40000000000003</v>
      </c>
      <c r="L230" s="5">
        <v>1.9</v>
      </c>
      <c r="M230" s="5">
        <v>200.80000000000004</v>
      </c>
      <c r="N230" s="6">
        <v>-0.7</v>
      </c>
      <c r="O230" s="5">
        <f t="shared" si="21"/>
        <v>136.20000000000002</v>
      </c>
      <c r="P230" s="5">
        <v>186</v>
      </c>
      <c r="Q230" s="13">
        <f t="shared" si="22"/>
        <v>1.0292682926829269</v>
      </c>
      <c r="R230" s="8">
        <f t="shared" si="15"/>
        <v>1.9556097560975609</v>
      </c>
      <c r="S230" s="8">
        <f t="shared" si="16"/>
        <v>-0.75560975609756098</v>
      </c>
      <c r="T230" s="8">
        <f t="shared" si="17"/>
        <v>135.95780487804882</v>
      </c>
      <c r="U230" s="8">
        <f>MIN(T223:T263)</f>
        <v>119.05378048780487</v>
      </c>
      <c r="V230" s="5">
        <v>1359.7</v>
      </c>
      <c r="W230" s="5">
        <v>277.48979591836735</v>
      </c>
      <c r="X230" s="5">
        <v>91759.799999999974</v>
      </c>
      <c r="Y230" s="5">
        <f t="shared" si="20"/>
        <v>9330.6</v>
      </c>
      <c r="AA230" s="5">
        <v>11.711646587038601</v>
      </c>
    </row>
    <row r="231" spans="1:28" s="5" customFormat="1" x14ac:dyDescent="0.25">
      <c r="A231" s="77"/>
      <c r="B231" s="10"/>
      <c r="C231" s="4">
        <v>42078</v>
      </c>
      <c r="D231" s="5">
        <v>5.0999999999999996</v>
      </c>
      <c r="E231" s="15">
        <v>3.9</v>
      </c>
      <c r="F231" s="5">
        <v>6.6</v>
      </c>
      <c r="G231" s="5">
        <v>1526.5000000000007</v>
      </c>
      <c r="H231" s="5">
        <f t="shared" si="19"/>
        <v>64.399999999999991</v>
      </c>
      <c r="I231" s="21" t="s">
        <v>13</v>
      </c>
      <c r="J231" s="5">
        <v>0</v>
      </c>
      <c r="K231" s="5">
        <v>377.40000000000003</v>
      </c>
      <c r="L231" s="5">
        <v>0.7</v>
      </c>
      <c r="M231" s="5">
        <v>201.50000000000003</v>
      </c>
      <c r="N231" s="6">
        <v>-0.7</v>
      </c>
      <c r="O231" s="5">
        <f t="shared" si="21"/>
        <v>135.50000000000003</v>
      </c>
      <c r="P231" s="5">
        <v>187</v>
      </c>
      <c r="Q231" s="13">
        <f t="shared" si="22"/>
        <v>1.0329268292682927</v>
      </c>
      <c r="R231" s="8">
        <f t="shared" si="15"/>
        <v>0.72304878048780485</v>
      </c>
      <c r="S231" s="8">
        <f t="shared" si="16"/>
        <v>-0.72304878048780485</v>
      </c>
      <c r="T231" s="8">
        <f t="shared" si="17"/>
        <v>135.23475609756102</v>
      </c>
      <c r="U231" s="21" t="s">
        <v>14</v>
      </c>
      <c r="V231" s="12">
        <v>200.6</v>
      </c>
      <c r="W231" s="5">
        <v>39.333333333333336</v>
      </c>
      <c r="X231" s="5">
        <v>91960.39999999998</v>
      </c>
      <c r="Y231" s="5">
        <f t="shared" si="20"/>
        <v>9531.2000000000007</v>
      </c>
      <c r="AA231" s="5">
        <v>11.775935195762401</v>
      </c>
    </row>
    <row r="232" spans="1:28" s="5" customFormat="1" x14ac:dyDescent="0.25">
      <c r="A232" s="77"/>
      <c r="B232" s="10"/>
      <c r="C232" s="4">
        <v>42079</v>
      </c>
      <c r="D232" s="5">
        <v>6.1</v>
      </c>
      <c r="E232" s="15">
        <v>1.5</v>
      </c>
      <c r="F232" s="5">
        <v>9.9</v>
      </c>
      <c r="G232" s="5">
        <v>1532.6000000000006</v>
      </c>
      <c r="H232" s="5">
        <f t="shared" si="19"/>
        <v>70.499999999999986</v>
      </c>
      <c r="I232" s="5">
        <v>0</v>
      </c>
      <c r="J232" s="5">
        <v>0</v>
      </c>
      <c r="K232" s="5">
        <v>377.40000000000003</v>
      </c>
      <c r="L232" s="5">
        <v>1.3</v>
      </c>
      <c r="M232" s="5">
        <v>202.80000000000004</v>
      </c>
      <c r="N232" s="6">
        <v>-1.3</v>
      </c>
      <c r="O232" s="5">
        <f t="shared" si="21"/>
        <v>134.20000000000002</v>
      </c>
      <c r="P232" s="5">
        <v>188</v>
      </c>
      <c r="Q232" s="13">
        <f t="shared" si="22"/>
        <v>1.0365853658536586</v>
      </c>
      <c r="R232" s="8">
        <f t="shared" si="15"/>
        <v>1.3475609756097562</v>
      </c>
      <c r="S232" s="8">
        <f t="shared" si="16"/>
        <v>-1.3475609756097562</v>
      </c>
      <c r="T232" s="8">
        <f t="shared" si="17"/>
        <v>133.88719512195127</v>
      </c>
      <c r="U232" s="8">
        <f>MAX(T223:T263)</f>
        <v>153.6</v>
      </c>
      <c r="V232" s="5">
        <v>1263.2</v>
      </c>
      <c r="W232" s="5">
        <v>207.08196721311478</v>
      </c>
      <c r="X232" s="5">
        <v>93223.599999999977</v>
      </c>
      <c r="Y232" s="5">
        <f t="shared" si="20"/>
        <v>10794.400000000001</v>
      </c>
      <c r="AA232" s="5">
        <v>11.840245314864701</v>
      </c>
    </row>
    <row r="233" spans="1:28" s="5" customFormat="1" x14ac:dyDescent="0.25">
      <c r="A233" s="77"/>
      <c r="B233" s="10"/>
      <c r="C233" s="4">
        <v>42080</v>
      </c>
      <c r="D233" s="5">
        <v>9</v>
      </c>
      <c r="E233" s="15">
        <v>3.6</v>
      </c>
      <c r="F233" s="5">
        <v>14.5</v>
      </c>
      <c r="G233" s="5">
        <v>1541.6000000000006</v>
      </c>
      <c r="H233" s="5">
        <f t="shared" si="19"/>
        <v>79.499999999999986</v>
      </c>
      <c r="I233" s="21" t="s">
        <v>15</v>
      </c>
      <c r="J233" s="93">
        <v>0</v>
      </c>
      <c r="K233" s="5">
        <v>377.40000000000003</v>
      </c>
      <c r="L233" s="5">
        <v>2.4</v>
      </c>
      <c r="M233" s="5">
        <v>205.20000000000005</v>
      </c>
      <c r="N233" s="6">
        <v>-2.4</v>
      </c>
      <c r="O233" s="5">
        <f t="shared" si="21"/>
        <v>131.80000000000001</v>
      </c>
      <c r="P233" s="5">
        <v>189</v>
      </c>
      <c r="Q233" s="13">
        <f t="shared" si="22"/>
        <v>1.0402439024390244</v>
      </c>
      <c r="R233" s="8">
        <f t="shared" si="15"/>
        <v>2.4965853658536585</v>
      </c>
      <c r="S233" s="8">
        <f t="shared" si="16"/>
        <v>-2.4965853658536585</v>
      </c>
      <c r="T233" s="8">
        <f t="shared" si="17"/>
        <v>131.3906097560976</v>
      </c>
      <c r="U233" s="21" t="s">
        <v>16</v>
      </c>
      <c r="V233" s="5">
        <v>1616.4</v>
      </c>
      <c r="W233" s="5">
        <v>179.60000000000002</v>
      </c>
      <c r="X233" s="5">
        <v>94839.999999999971</v>
      </c>
      <c r="Y233" s="5">
        <f t="shared" si="20"/>
        <v>12410.800000000001</v>
      </c>
      <c r="AA233" s="5">
        <v>11.9045707441638</v>
      </c>
      <c r="AB233" s="92" t="s">
        <v>56</v>
      </c>
    </row>
    <row r="234" spans="1:28" s="5" customFormat="1" x14ac:dyDescent="0.25">
      <c r="A234" s="77"/>
      <c r="B234" s="10"/>
      <c r="C234" s="4">
        <v>42081</v>
      </c>
      <c r="D234" s="5">
        <v>7.5</v>
      </c>
      <c r="E234" s="5">
        <v>5.5</v>
      </c>
      <c r="F234" s="5">
        <v>10.8</v>
      </c>
      <c r="G234" s="5">
        <v>1549.1000000000006</v>
      </c>
      <c r="H234" s="5">
        <f t="shared" si="19"/>
        <v>86.999999999999986</v>
      </c>
      <c r="I234" s="5">
        <v>22</v>
      </c>
      <c r="J234" s="93">
        <v>0</v>
      </c>
      <c r="K234" s="5">
        <v>377.40000000000003</v>
      </c>
      <c r="L234" s="5">
        <v>2.2000000000000002</v>
      </c>
      <c r="M234" s="5">
        <v>207.40000000000003</v>
      </c>
      <c r="N234" s="6">
        <v>-2.2000000000000002</v>
      </c>
      <c r="O234" s="5">
        <f t="shared" si="21"/>
        <v>129.60000000000002</v>
      </c>
      <c r="P234" s="5">
        <v>190</v>
      </c>
      <c r="Q234" s="13">
        <f t="shared" si="22"/>
        <v>1.0439024390243903</v>
      </c>
      <c r="R234" s="8">
        <f t="shared" si="15"/>
        <v>2.2965853658536588</v>
      </c>
      <c r="S234" s="8">
        <f t="shared" si="16"/>
        <v>-2.2965853658536588</v>
      </c>
      <c r="T234" s="8">
        <f t="shared" si="17"/>
        <v>129.09402439024393</v>
      </c>
      <c r="U234" s="13">
        <f>AVERAGE(T223:T263)</f>
        <v>137.97126710291494</v>
      </c>
      <c r="V234" s="5">
        <v>1501.6</v>
      </c>
      <c r="W234" s="5">
        <v>200.21333333333331</v>
      </c>
      <c r="X234" s="5">
        <v>96341.599999999977</v>
      </c>
      <c r="Y234" s="5">
        <f t="shared" si="20"/>
        <v>13912.400000000001</v>
      </c>
      <c r="AA234" s="5">
        <v>11.9689054131336</v>
      </c>
      <c r="AB234" s="13">
        <f>AVERAGE(T240:T253)</f>
        <v>144.77270034843204</v>
      </c>
    </row>
    <row r="235" spans="1:28" s="5" customFormat="1" x14ac:dyDescent="0.25">
      <c r="A235" s="77"/>
      <c r="B235" s="10"/>
      <c r="C235" s="4">
        <v>42082</v>
      </c>
      <c r="D235" s="5">
        <v>6.6</v>
      </c>
      <c r="E235" s="5">
        <v>5.8</v>
      </c>
      <c r="F235" s="5">
        <v>7.1</v>
      </c>
      <c r="G235" s="5">
        <v>1555.7000000000005</v>
      </c>
      <c r="H235" s="5">
        <f t="shared" si="19"/>
        <v>93.59999999999998</v>
      </c>
      <c r="I235" s="21" t="s">
        <v>17</v>
      </c>
      <c r="J235" s="93">
        <v>0.2</v>
      </c>
      <c r="K235" s="5">
        <v>377.6</v>
      </c>
      <c r="L235" s="5">
        <v>0.8</v>
      </c>
      <c r="M235" s="5">
        <v>208.20000000000005</v>
      </c>
      <c r="N235" s="6">
        <v>-0.60000000000000009</v>
      </c>
      <c r="O235" s="5">
        <f t="shared" si="21"/>
        <v>129.00000000000003</v>
      </c>
      <c r="P235" s="5">
        <v>191</v>
      </c>
      <c r="Q235" s="13">
        <f t="shared" si="22"/>
        <v>1.0475609756097561</v>
      </c>
      <c r="R235" s="8">
        <f t="shared" si="15"/>
        <v>0.83804878048780496</v>
      </c>
      <c r="S235" s="8">
        <f t="shared" si="16"/>
        <v>-0.638048780487805</v>
      </c>
      <c r="T235" s="8">
        <f t="shared" si="17"/>
        <v>128.45597560975614</v>
      </c>
      <c r="V235" s="12">
        <v>454.7</v>
      </c>
      <c r="W235" s="5">
        <v>68.893939393939391</v>
      </c>
      <c r="X235" s="5">
        <v>96796.299999999974</v>
      </c>
      <c r="Y235" s="5">
        <f t="shared" si="20"/>
        <v>14367.100000000002</v>
      </c>
      <c r="AA235" s="5">
        <v>12.0332433609106</v>
      </c>
      <c r="AB235" s="92" t="s">
        <v>57</v>
      </c>
    </row>
    <row r="236" spans="1:28" s="5" customFormat="1" x14ac:dyDescent="0.25">
      <c r="A236" s="77"/>
      <c r="B236" s="10"/>
      <c r="C236" s="4">
        <v>42083</v>
      </c>
      <c r="D236" s="5">
        <v>7.3</v>
      </c>
      <c r="E236" s="5">
        <v>6.4</v>
      </c>
      <c r="F236" s="5">
        <v>10</v>
      </c>
      <c r="G236" s="5">
        <v>1563.0000000000005</v>
      </c>
      <c r="H236" s="5">
        <f t="shared" si="19"/>
        <v>100.89999999999998</v>
      </c>
      <c r="I236" s="5">
        <v>327.60000000000002</v>
      </c>
      <c r="J236" s="93">
        <v>0</v>
      </c>
      <c r="K236" s="5">
        <v>377.6</v>
      </c>
      <c r="L236" s="5">
        <v>1.6</v>
      </c>
      <c r="M236" s="5">
        <v>209.80000000000004</v>
      </c>
      <c r="N236" s="6">
        <v>-1.6</v>
      </c>
      <c r="O236" s="5">
        <f t="shared" si="21"/>
        <v>127.40000000000003</v>
      </c>
      <c r="P236" s="5">
        <v>192</v>
      </c>
      <c r="Q236" s="13">
        <f t="shared" si="22"/>
        <v>1.051219512195122</v>
      </c>
      <c r="R236" s="8">
        <f t="shared" si="15"/>
        <v>1.6819512195121953</v>
      </c>
      <c r="S236" s="8">
        <f t="shared" si="16"/>
        <v>-1.6819512195121953</v>
      </c>
      <c r="T236" s="8">
        <f t="shared" si="17"/>
        <v>126.77402439024394</v>
      </c>
      <c r="U236" s="8">
        <f>(U234*100)/153.6</f>
        <v>89.825043686793578</v>
      </c>
      <c r="V236" s="5">
        <v>909</v>
      </c>
      <c r="W236" s="5">
        <v>124.52054794520548</v>
      </c>
      <c r="X236" s="5">
        <v>97705.299999999974</v>
      </c>
      <c r="Y236" s="5">
        <f t="shared" si="20"/>
        <v>15276.100000000002</v>
      </c>
      <c r="AA236" s="5">
        <v>12.0975787164433</v>
      </c>
      <c r="AB236" s="5">
        <v>2</v>
      </c>
    </row>
    <row r="237" spans="1:28" s="5" customFormat="1" x14ac:dyDescent="0.25">
      <c r="A237" s="77"/>
      <c r="B237" s="10"/>
      <c r="C237" s="4">
        <v>42084</v>
      </c>
      <c r="D237" s="5">
        <v>5.8</v>
      </c>
      <c r="E237" s="15">
        <v>4</v>
      </c>
      <c r="F237" s="5">
        <v>8</v>
      </c>
      <c r="G237" s="5">
        <v>1568.8000000000004</v>
      </c>
      <c r="H237" s="5">
        <f t="shared" si="19"/>
        <v>106.69999999999997</v>
      </c>
      <c r="J237" s="93">
        <v>0.4</v>
      </c>
      <c r="K237" s="5">
        <v>378</v>
      </c>
      <c r="L237" s="5">
        <v>1.3</v>
      </c>
      <c r="M237" s="5">
        <v>211.10000000000005</v>
      </c>
      <c r="N237" s="6">
        <v>-0.9</v>
      </c>
      <c r="O237" s="5">
        <f t="shared" si="21"/>
        <v>126.50000000000003</v>
      </c>
      <c r="P237" s="5">
        <v>193</v>
      </c>
      <c r="Q237" s="13">
        <f t="shared" si="22"/>
        <v>1.0548780487804879</v>
      </c>
      <c r="R237" s="8">
        <f t="shared" ref="R237:R300" si="23">Q237*L237</f>
        <v>1.3713414634146344</v>
      </c>
      <c r="S237" s="8">
        <f t="shared" ref="S237:S300" si="24">J237-R237</f>
        <v>-0.97134146341463434</v>
      </c>
      <c r="T237" s="8">
        <f t="shared" si="17"/>
        <v>125.80268292682931</v>
      </c>
      <c r="V237" s="12">
        <v>613.1</v>
      </c>
      <c r="W237" s="5">
        <v>105.70689655172414</v>
      </c>
      <c r="X237" s="5">
        <v>98318.39999999998</v>
      </c>
      <c r="Y237" s="5">
        <f t="shared" si="20"/>
        <v>15889.200000000003</v>
      </c>
      <c r="AA237" s="5">
        <v>12.1619056787767</v>
      </c>
      <c r="AB237" s="92" t="s">
        <v>58</v>
      </c>
    </row>
    <row r="238" spans="1:28" s="5" customFormat="1" x14ac:dyDescent="0.25">
      <c r="A238" s="77"/>
      <c r="B238" s="10"/>
      <c r="C238" s="4">
        <v>42085</v>
      </c>
      <c r="D238" s="5">
        <v>5.6</v>
      </c>
      <c r="E238" s="5">
        <v>5.5</v>
      </c>
      <c r="F238" s="5">
        <v>7.6</v>
      </c>
      <c r="G238" s="5">
        <v>1574.4000000000003</v>
      </c>
      <c r="H238" s="5">
        <f t="shared" si="19"/>
        <v>112.29999999999997</v>
      </c>
      <c r="J238" s="93">
        <v>0</v>
      </c>
      <c r="K238" s="5">
        <v>378</v>
      </c>
      <c r="L238" s="5">
        <v>1.3</v>
      </c>
      <c r="M238" s="5">
        <v>212.40000000000006</v>
      </c>
      <c r="N238" s="6">
        <v>-1.3</v>
      </c>
      <c r="O238" s="5">
        <f t="shared" si="21"/>
        <v>125.20000000000003</v>
      </c>
      <c r="P238" s="5">
        <v>194</v>
      </c>
      <c r="Q238" s="13">
        <f t="shared" si="22"/>
        <v>1.0585365853658537</v>
      </c>
      <c r="R238" s="8">
        <f t="shared" si="23"/>
        <v>1.3760975609756099</v>
      </c>
      <c r="S238" s="8">
        <f t="shared" si="24"/>
        <v>-1.3760975609756099</v>
      </c>
      <c r="T238" s="8">
        <f t="shared" si="17"/>
        <v>124.4265853658537</v>
      </c>
      <c r="V238" s="12">
        <v>611.5</v>
      </c>
      <c r="W238" s="5">
        <v>109.19642857142858</v>
      </c>
      <c r="X238" s="5">
        <v>98929.89999999998</v>
      </c>
      <c r="Y238" s="5">
        <f t="shared" si="20"/>
        <v>16500.700000000004</v>
      </c>
      <c r="AA238" s="5">
        <v>12.226218497462799</v>
      </c>
      <c r="AB238" s="5">
        <v>2</v>
      </c>
    </row>
    <row r="239" spans="1:28" s="5" customFormat="1" x14ac:dyDescent="0.25">
      <c r="A239" s="77"/>
      <c r="B239" s="10"/>
      <c r="C239" s="4">
        <v>42086</v>
      </c>
      <c r="D239" s="15">
        <v>4.4000000000000004</v>
      </c>
      <c r="E239" s="20">
        <v>-1.6</v>
      </c>
      <c r="F239" s="5">
        <v>10.199999999999999</v>
      </c>
      <c r="G239" s="5">
        <v>1578.8000000000004</v>
      </c>
      <c r="H239" s="5">
        <f t="shared" si="19"/>
        <v>116.69999999999997</v>
      </c>
      <c r="J239" s="93">
        <v>0</v>
      </c>
      <c r="K239" s="5">
        <v>378</v>
      </c>
      <c r="L239" s="5">
        <v>1.7</v>
      </c>
      <c r="M239" s="5">
        <v>214.10000000000005</v>
      </c>
      <c r="N239" s="6">
        <v>-1.7</v>
      </c>
      <c r="O239" s="5">
        <f t="shared" si="21"/>
        <v>123.50000000000003</v>
      </c>
      <c r="P239" s="5">
        <v>195</v>
      </c>
      <c r="Q239" s="13">
        <f t="shared" si="22"/>
        <v>1.0621951219512196</v>
      </c>
      <c r="R239" s="8">
        <f t="shared" si="23"/>
        <v>1.8057317073170731</v>
      </c>
      <c r="S239" s="8">
        <f t="shared" si="24"/>
        <v>-1.8057317073170731</v>
      </c>
      <c r="T239" s="8">
        <f t="shared" ref="T239:T302" si="25">MIN(153.6,(T238+S239))</f>
        <v>122.62085365853662</v>
      </c>
      <c r="V239" s="5">
        <v>1315.6</v>
      </c>
      <c r="W239" s="5">
        <v>298.99999999999994</v>
      </c>
      <c r="X239" s="5">
        <v>100245.49999999999</v>
      </c>
      <c r="Y239" s="5">
        <f t="shared" si="20"/>
        <v>17816.300000000003</v>
      </c>
      <c r="AA239" s="5">
        <v>12.290511453091099</v>
      </c>
      <c r="AB239" s="92" t="s">
        <v>59</v>
      </c>
    </row>
    <row r="240" spans="1:28" s="5" customFormat="1" x14ac:dyDescent="0.25">
      <c r="A240" s="77"/>
      <c r="B240" s="10"/>
      <c r="C240" s="4">
        <v>42087</v>
      </c>
      <c r="D240" s="15">
        <v>4.8</v>
      </c>
      <c r="E240" s="15">
        <v>0.6</v>
      </c>
      <c r="F240" s="5">
        <v>10.1</v>
      </c>
      <c r="G240" s="5">
        <v>1583.6000000000004</v>
      </c>
      <c r="H240" s="5">
        <f t="shared" si="19"/>
        <v>121.49999999999997</v>
      </c>
      <c r="J240" s="93">
        <v>11.8</v>
      </c>
      <c r="K240" s="5">
        <v>389.8</v>
      </c>
      <c r="L240" s="5">
        <v>1.1000000000000001</v>
      </c>
      <c r="M240" s="5">
        <v>215.20000000000005</v>
      </c>
      <c r="N240" s="5">
        <v>10.700000000000001</v>
      </c>
      <c r="O240" s="5">
        <f t="shared" si="21"/>
        <v>134.20000000000002</v>
      </c>
      <c r="P240" s="5">
        <v>196</v>
      </c>
      <c r="Q240" s="13">
        <f t="shared" si="22"/>
        <v>1.0658536585365854</v>
      </c>
      <c r="R240" s="8">
        <f t="shared" si="23"/>
        <v>1.1724390243902441</v>
      </c>
      <c r="S240" s="8">
        <f t="shared" si="24"/>
        <v>10.627560975609757</v>
      </c>
      <c r="T240" s="94">
        <f t="shared" si="25"/>
        <v>133.24841463414637</v>
      </c>
      <c r="V240" s="12">
        <v>792.5</v>
      </c>
      <c r="W240" s="5">
        <v>165.10416666666669</v>
      </c>
      <c r="X240" s="5">
        <v>101037.99999999999</v>
      </c>
      <c r="Y240" s="5">
        <f t="shared" si="20"/>
        <v>18608.800000000003</v>
      </c>
      <c r="AA240" s="5">
        <v>12.354778837928301</v>
      </c>
      <c r="AB240" s="5">
        <v>3</v>
      </c>
    </row>
    <row r="241" spans="1:28" s="5" customFormat="1" x14ac:dyDescent="0.25">
      <c r="A241" s="77"/>
      <c r="B241" s="10"/>
      <c r="C241" s="4">
        <v>42088</v>
      </c>
      <c r="D241" s="15">
        <v>4.5999999999999996</v>
      </c>
      <c r="E241" s="15">
        <v>4</v>
      </c>
      <c r="F241" s="5">
        <v>6.7</v>
      </c>
      <c r="G241" s="5">
        <v>1588.2000000000003</v>
      </c>
      <c r="H241" s="5">
        <f t="shared" si="19"/>
        <v>126.09999999999997</v>
      </c>
      <c r="J241" s="93">
        <v>1.7</v>
      </c>
      <c r="K241" s="5">
        <v>391.5</v>
      </c>
      <c r="L241" s="5">
        <v>0.7</v>
      </c>
      <c r="M241" s="5">
        <v>215.90000000000003</v>
      </c>
      <c r="N241" s="5">
        <v>1</v>
      </c>
      <c r="O241" s="5">
        <f t="shared" si="21"/>
        <v>135.20000000000002</v>
      </c>
      <c r="P241" s="5">
        <v>197</v>
      </c>
      <c r="Q241" s="13">
        <f t="shared" si="22"/>
        <v>1.0695121951219513</v>
      </c>
      <c r="R241" s="8">
        <f t="shared" si="23"/>
        <v>0.74865853658536585</v>
      </c>
      <c r="S241" s="8">
        <f t="shared" si="24"/>
        <v>0.9513414634146341</v>
      </c>
      <c r="T241" s="94">
        <f t="shared" si="25"/>
        <v>134.19975609756099</v>
      </c>
      <c r="V241" s="12">
        <v>240.5</v>
      </c>
      <c r="W241" s="5">
        <v>52.282608695652179</v>
      </c>
      <c r="X241" s="5">
        <v>101278.49999999999</v>
      </c>
      <c r="Y241" s="5">
        <f t="shared" si="20"/>
        <v>18849.300000000003</v>
      </c>
      <c r="AA241" s="5">
        <v>12.419014936659099</v>
      </c>
      <c r="AB241" s="92" t="s">
        <v>60</v>
      </c>
    </row>
    <row r="242" spans="1:28" s="5" customFormat="1" x14ac:dyDescent="0.25">
      <c r="A242" s="77"/>
      <c r="B242" s="10"/>
      <c r="C242" s="4">
        <v>42089</v>
      </c>
      <c r="D242" s="15">
        <v>4.4000000000000004</v>
      </c>
      <c r="E242" s="15">
        <v>0.4</v>
      </c>
      <c r="F242" s="5">
        <v>7.8</v>
      </c>
      <c r="G242" s="5">
        <v>1592.6000000000004</v>
      </c>
      <c r="H242" s="5">
        <f t="shared" si="19"/>
        <v>130.49999999999997</v>
      </c>
      <c r="J242" s="93">
        <v>3.5</v>
      </c>
      <c r="K242" s="5">
        <v>395</v>
      </c>
      <c r="L242" s="5">
        <v>0.6</v>
      </c>
      <c r="M242" s="5">
        <v>216.50000000000003</v>
      </c>
      <c r="N242" s="5">
        <v>2.9</v>
      </c>
      <c r="O242" s="5">
        <f t="shared" si="21"/>
        <v>138.10000000000002</v>
      </c>
      <c r="P242" s="5">
        <v>198</v>
      </c>
      <c r="Q242" s="13">
        <f t="shared" si="22"/>
        <v>1.0731707317073171</v>
      </c>
      <c r="R242" s="8">
        <f t="shared" si="23"/>
        <v>0.64390243902439026</v>
      </c>
      <c r="S242" s="8">
        <f t="shared" si="24"/>
        <v>2.8560975609756096</v>
      </c>
      <c r="T242" s="94">
        <f t="shared" si="25"/>
        <v>137.05585365853659</v>
      </c>
      <c r="V242" s="12">
        <v>376.6</v>
      </c>
      <c r="W242" s="5">
        <v>85.590909090909093</v>
      </c>
      <c r="X242" s="5">
        <v>101655.09999999999</v>
      </c>
      <c r="Y242" s="5">
        <f t="shared" si="20"/>
        <v>19225.900000000001</v>
      </c>
      <c r="AA242" s="5">
        <v>12.4832140072194</v>
      </c>
      <c r="AB242" s="5">
        <f>SUM(J244:J253)</f>
        <v>34.400000000000006</v>
      </c>
    </row>
    <row r="243" spans="1:28" s="85" customFormat="1" x14ac:dyDescent="0.25">
      <c r="A243" s="77"/>
      <c r="B243" s="83"/>
      <c r="C243" s="84">
        <v>42090</v>
      </c>
      <c r="D243" s="85">
        <v>6.1</v>
      </c>
      <c r="E243" s="86">
        <v>3</v>
      </c>
      <c r="F243" s="85">
        <v>9.9</v>
      </c>
      <c r="G243" s="85">
        <v>1598.7000000000003</v>
      </c>
      <c r="H243" s="85">
        <f t="shared" si="19"/>
        <v>136.59999999999997</v>
      </c>
      <c r="J243" s="85">
        <v>0</v>
      </c>
      <c r="K243" s="85">
        <v>395</v>
      </c>
      <c r="L243" s="85">
        <v>2.1</v>
      </c>
      <c r="M243" s="85">
        <v>218.60000000000002</v>
      </c>
      <c r="N243" s="86">
        <v>-2.1</v>
      </c>
      <c r="O243" s="85">
        <f t="shared" si="21"/>
        <v>136.00000000000003</v>
      </c>
      <c r="P243" s="85">
        <v>199</v>
      </c>
      <c r="Q243" s="87">
        <f t="shared" si="22"/>
        <v>1.0768292682926828</v>
      </c>
      <c r="R243" s="88">
        <f t="shared" si="23"/>
        <v>2.261341463414634</v>
      </c>
      <c r="S243" s="88">
        <f t="shared" si="24"/>
        <v>-2.261341463414634</v>
      </c>
      <c r="T243" s="88">
        <f t="shared" si="25"/>
        <v>134.79451219512197</v>
      </c>
      <c r="V243" s="85">
        <v>1163.8</v>
      </c>
      <c r="W243" s="85">
        <v>190.78688524590163</v>
      </c>
      <c r="X243" s="85">
        <v>102818.9</v>
      </c>
      <c r="Y243" s="85">
        <f t="shared" si="20"/>
        <v>20389.7</v>
      </c>
      <c r="AA243" s="85">
        <v>12.5473702617134</v>
      </c>
    </row>
    <row r="244" spans="1:28" s="5" customFormat="1" x14ac:dyDescent="0.25">
      <c r="A244" s="77"/>
      <c r="B244" s="10"/>
      <c r="C244" s="4">
        <v>42091</v>
      </c>
      <c r="D244" s="5">
        <v>9.9</v>
      </c>
      <c r="E244" s="15">
        <v>5</v>
      </c>
      <c r="F244" s="5">
        <v>13.6</v>
      </c>
      <c r="G244" s="5">
        <v>1608.6000000000004</v>
      </c>
      <c r="H244" s="5">
        <f t="shared" si="19"/>
        <v>146.49999999999997</v>
      </c>
      <c r="J244" s="93">
        <v>2.6</v>
      </c>
      <c r="K244" s="5">
        <v>397.6</v>
      </c>
      <c r="L244" s="5">
        <v>0.7</v>
      </c>
      <c r="M244" s="5">
        <v>219.3</v>
      </c>
      <c r="N244" s="5">
        <v>1.9000000000000001</v>
      </c>
      <c r="O244" s="5">
        <f t="shared" si="21"/>
        <v>137.90000000000003</v>
      </c>
      <c r="P244" s="5">
        <v>200</v>
      </c>
      <c r="Q244" s="13">
        <f t="shared" si="22"/>
        <v>1.0804878048780489</v>
      </c>
      <c r="R244" s="8">
        <f t="shared" si="23"/>
        <v>0.75634146341463415</v>
      </c>
      <c r="S244" s="8">
        <f t="shared" si="24"/>
        <v>1.8436585365853659</v>
      </c>
      <c r="T244" s="94">
        <f t="shared" si="25"/>
        <v>136.63817073170733</v>
      </c>
      <c r="V244" s="12">
        <v>346.1</v>
      </c>
      <c r="W244" s="5">
        <v>34.959595959595958</v>
      </c>
      <c r="X244" s="5">
        <v>103165</v>
      </c>
      <c r="Y244" s="5">
        <f t="shared" si="20"/>
        <v>20735.8</v>
      </c>
      <c r="AA244" s="5">
        <v>12.6114778474041</v>
      </c>
    </row>
    <row r="245" spans="1:28" s="5" customFormat="1" x14ac:dyDescent="0.25">
      <c r="A245" s="77"/>
      <c r="B245" s="10"/>
      <c r="C245" s="4">
        <v>42092</v>
      </c>
      <c r="D245" s="5">
        <v>10.199999999999999</v>
      </c>
      <c r="E245" s="5">
        <v>9.3000000000000007</v>
      </c>
      <c r="F245" s="5">
        <v>11.3</v>
      </c>
      <c r="G245" s="5">
        <v>1618.8000000000004</v>
      </c>
      <c r="H245" s="5">
        <f t="shared" si="19"/>
        <v>156.69999999999996</v>
      </c>
      <c r="J245" s="93">
        <v>10.9</v>
      </c>
      <c r="K245" s="5">
        <v>408.5</v>
      </c>
      <c r="L245" s="5">
        <v>1</v>
      </c>
      <c r="M245" s="5">
        <v>220.3</v>
      </c>
      <c r="N245" s="5">
        <v>9.9</v>
      </c>
      <c r="O245" s="5">
        <f t="shared" si="21"/>
        <v>147.80000000000004</v>
      </c>
      <c r="P245" s="5">
        <v>201</v>
      </c>
      <c r="Q245" s="13">
        <f t="shared" si="22"/>
        <v>1.0841463414634145</v>
      </c>
      <c r="R245" s="8">
        <f t="shared" si="23"/>
        <v>1.0841463414634145</v>
      </c>
      <c r="S245" s="8">
        <f t="shared" si="24"/>
        <v>9.8158536585365859</v>
      </c>
      <c r="T245" s="94">
        <f t="shared" si="25"/>
        <v>146.45402439024392</v>
      </c>
      <c r="V245" s="12">
        <v>356.1</v>
      </c>
      <c r="W245" s="5">
        <v>34.911764705882355</v>
      </c>
      <c r="X245" s="5">
        <v>103521.1</v>
      </c>
      <c r="Y245" s="5">
        <f t="shared" si="20"/>
        <v>21091.899999999998</v>
      </c>
      <c r="AA245" s="5">
        <v>12.6755308277724</v>
      </c>
    </row>
    <row r="246" spans="1:28" s="5" customFormat="1" x14ac:dyDescent="0.25">
      <c r="A246" s="77"/>
      <c r="B246" s="10"/>
      <c r="C246" s="4">
        <v>42093</v>
      </c>
      <c r="D246" s="5">
        <v>8.6999999999999993</v>
      </c>
      <c r="E246" s="5">
        <v>7.2</v>
      </c>
      <c r="F246" s="5">
        <v>11.7</v>
      </c>
      <c r="G246" s="5">
        <v>1627.5000000000005</v>
      </c>
      <c r="H246" s="5">
        <f t="shared" si="19"/>
        <v>165.39999999999995</v>
      </c>
      <c r="J246" s="93">
        <v>1.8</v>
      </c>
      <c r="K246" s="5">
        <v>410.3</v>
      </c>
      <c r="L246" s="5">
        <v>2.6</v>
      </c>
      <c r="M246" s="5">
        <v>222.9</v>
      </c>
      <c r="N246" s="6">
        <v>-0.8</v>
      </c>
      <c r="O246" s="5">
        <f t="shared" si="21"/>
        <v>147.00000000000003</v>
      </c>
      <c r="P246" s="5">
        <v>202</v>
      </c>
      <c r="Q246" s="13">
        <f t="shared" si="22"/>
        <v>1.0878048780487803</v>
      </c>
      <c r="R246" s="8">
        <f t="shared" si="23"/>
        <v>2.8282926829268291</v>
      </c>
      <c r="S246" s="8">
        <f t="shared" si="24"/>
        <v>-1.0282926829268291</v>
      </c>
      <c r="T246" s="94">
        <f t="shared" si="25"/>
        <v>145.42573170731708</v>
      </c>
      <c r="V246" s="5">
        <v>1168.4000000000001</v>
      </c>
      <c r="W246" s="5">
        <v>134.29885057471267</v>
      </c>
      <c r="X246" s="5">
        <v>104689.5</v>
      </c>
      <c r="Y246" s="5">
        <f t="shared" si="20"/>
        <v>22260.3</v>
      </c>
      <c r="AA246" s="5">
        <v>12.7395231636344</v>
      </c>
    </row>
    <row r="247" spans="1:28" s="5" customFormat="1" x14ac:dyDescent="0.25">
      <c r="A247" s="77"/>
      <c r="B247" s="10"/>
      <c r="C247" s="4">
        <v>42094</v>
      </c>
      <c r="D247" s="5">
        <v>9</v>
      </c>
      <c r="E247" s="5">
        <v>7.3</v>
      </c>
      <c r="F247" s="5">
        <v>11.5</v>
      </c>
      <c r="G247" s="5">
        <v>1636.5000000000005</v>
      </c>
      <c r="H247" s="5">
        <f t="shared" si="19"/>
        <v>174.39999999999995</v>
      </c>
      <c r="J247" s="93">
        <v>2.2999999999999998</v>
      </c>
      <c r="K247" s="5">
        <v>412.6</v>
      </c>
      <c r="L247" s="5">
        <v>1.9</v>
      </c>
      <c r="M247" s="5">
        <v>224.8</v>
      </c>
      <c r="N247" s="5">
        <v>0.39999999999999991</v>
      </c>
      <c r="O247" s="5">
        <f t="shared" si="21"/>
        <v>147.40000000000003</v>
      </c>
      <c r="P247" s="5">
        <v>203</v>
      </c>
      <c r="Q247" s="13">
        <f t="shared" si="22"/>
        <v>1.0914634146341462</v>
      </c>
      <c r="R247" s="8">
        <f t="shared" si="23"/>
        <v>2.0737804878048776</v>
      </c>
      <c r="S247" s="8">
        <f t="shared" si="24"/>
        <v>0.22621951219512226</v>
      </c>
      <c r="T247" s="94">
        <f t="shared" si="25"/>
        <v>145.6519512195122</v>
      </c>
      <c r="V247" s="12">
        <v>832.3</v>
      </c>
      <c r="W247" s="5">
        <v>92.477777777777774</v>
      </c>
      <c r="X247" s="5">
        <v>105521.8</v>
      </c>
      <c r="Y247" s="5">
        <f t="shared" si="20"/>
        <v>23092.6</v>
      </c>
      <c r="AA247" s="5">
        <v>12.8034486943122</v>
      </c>
    </row>
    <row r="248" spans="1:28" s="5" customFormat="1" x14ac:dyDescent="0.25">
      <c r="A248" s="77"/>
      <c r="B248" s="10"/>
      <c r="C248" s="4">
        <v>42095</v>
      </c>
      <c r="D248" s="5">
        <v>6.5</v>
      </c>
      <c r="E248" s="15">
        <v>3.5</v>
      </c>
      <c r="F248" s="5">
        <v>10</v>
      </c>
      <c r="G248" s="5">
        <v>1643.0000000000005</v>
      </c>
      <c r="H248" s="5">
        <f t="shared" si="19"/>
        <v>180.89999999999995</v>
      </c>
      <c r="J248" s="93">
        <v>11.8</v>
      </c>
      <c r="K248" s="5">
        <v>424.40000000000003</v>
      </c>
      <c r="L248" s="5">
        <v>2.5</v>
      </c>
      <c r="M248" s="5">
        <v>227.3</v>
      </c>
      <c r="N248" s="5">
        <v>9.3000000000000007</v>
      </c>
      <c r="O248" s="5">
        <v>153.6</v>
      </c>
      <c r="P248" s="5">
        <v>204</v>
      </c>
      <c r="Q248" s="13">
        <f t="shared" si="22"/>
        <v>1.0951219512195121</v>
      </c>
      <c r="R248" s="8">
        <f t="shared" si="23"/>
        <v>2.73780487804878</v>
      </c>
      <c r="S248" s="8">
        <f t="shared" si="24"/>
        <v>9.0621951219512198</v>
      </c>
      <c r="T248" s="94">
        <f t="shared" si="25"/>
        <v>153.6</v>
      </c>
      <c r="V248" s="5">
        <v>1457.7</v>
      </c>
      <c r="W248" s="5">
        <v>224.26153846153846</v>
      </c>
      <c r="X248" s="5">
        <v>106979.5</v>
      </c>
      <c r="Y248" s="5">
        <f t="shared" si="20"/>
        <v>24550.3</v>
      </c>
      <c r="AA248" s="5">
        <v>12.8673011188519</v>
      </c>
    </row>
    <row r="249" spans="1:28" s="5" customFormat="1" x14ac:dyDescent="0.25">
      <c r="A249" s="77"/>
      <c r="B249" s="10"/>
      <c r="C249" s="4">
        <v>42096</v>
      </c>
      <c r="D249" s="5">
        <v>6.8</v>
      </c>
      <c r="E249" s="5">
        <v>6.4</v>
      </c>
      <c r="F249" s="5">
        <v>9.1</v>
      </c>
      <c r="G249" s="5">
        <v>1649.8000000000004</v>
      </c>
      <c r="H249" s="5">
        <f t="shared" si="19"/>
        <v>187.69999999999996</v>
      </c>
      <c r="J249" s="93">
        <v>0.5</v>
      </c>
      <c r="K249" s="5">
        <v>424.90000000000003</v>
      </c>
      <c r="L249" s="5">
        <v>1.9</v>
      </c>
      <c r="M249" s="5">
        <v>229.20000000000002</v>
      </c>
      <c r="N249" s="6">
        <v>-1.4</v>
      </c>
      <c r="O249" s="5">
        <f>O248+N249</f>
        <v>152.19999999999999</v>
      </c>
      <c r="P249" s="5">
        <v>205</v>
      </c>
      <c r="Q249" s="13">
        <f t="shared" si="22"/>
        <v>1.0987804878048779</v>
      </c>
      <c r="R249" s="8">
        <f t="shared" si="23"/>
        <v>2.087682926829268</v>
      </c>
      <c r="S249" s="8">
        <f t="shared" si="24"/>
        <v>-1.587682926829268</v>
      </c>
      <c r="T249" s="94">
        <f t="shared" si="25"/>
        <v>152.01231707317072</v>
      </c>
      <c r="V249" s="5">
        <v>1124.5999999999999</v>
      </c>
      <c r="W249" s="5">
        <v>165.38235294117646</v>
      </c>
      <c r="X249" s="5">
        <v>108104.1</v>
      </c>
      <c r="Y249" s="5">
        <f t="shared" si="20"/>
        <v>25674.899999999998</v>
      </c>
      <c r="AA249" s="5">
        <v>12.931073977284401</v>
      </c>
    </row>
    <row r="250" spans="1:28" s="5" customFormat="1" x14ac:dyDescent="0.25">
      <c r="A250" s="77"/>
      <c r="B250" s="10"/>
      <c r="C250" s="4">
        <v>42097</v>
      </c>
      <c r="D250" s="5">
        <v>6.2</v>
      </c>
      <c r="E250" s="15">
        <v>1.9</v>
      </c>
      <c r="F250" s="5">
        <v>8.6999999999999993</v>
      </c>
      <c r="G250" s="5">
        <v>1656.0000000000005</v>
      </c>
      <c r="H250" s="5">
        <f t="shared" si="19"/>
        <v>193.89999999999995</v>
      </c>
      <c r="J250" s="93">
        <v>3.5</v>
      </c>
      <c r="K250" s="5">
        <v>428.40000000000003</v>
      </c>
      <c r="L250" s="5">
        <v>0.3</v>
      </c>
      <c r="M250" s="5">
        <v>229.50000000000003</v>
      </c>
      <c r="N250" s="5">
        <v>3.2</v>
      </c>
      <c r="O250" s="5">
        <v>153.6</v>
      </c>
      <c r="P250" s="5">
        <v>206</v>
      </c>
      <c r="Q250" s="13">
        <f t="shared" si="22"/>
        <v>1.1024390243902438</v>
      </c>
      <c r="R250" s="8">
        <f t="shared" si="23"/>
        <v>0.33073170731707313</v>
      </c>
      <c r="S250" s="8">
        <f t="shared" si="24"/>
        <v>3.169268292682927</v>
      </c>
      <c r="T250" s="94">
        <f t="shared" si="25"/>
        <v>153.6</v>
      </c>
      <c r="V250" s="12">
        <v>293.2</v>
      </c>
      <c r="W250" s="5">
        <v>47.29032258064516</v>
      </c>
      <c r="X250" s="5">
        <v>108397.3</v>
      </c>
      <c r="Y250" s="5">
        <f t="shared" si="20"/>
        <v>25968.1</v>
      </c>
      <c r="AA250" s="5">
        <v>12.9947606319252</v>
      </c>
    </row>
    <row r="251" spans="1:28" s="5" customFormat="1" x14ac:dyDescent="0.25">
      <c r="A251" s="77"/>
      <c r="B251" s="10"/>
      <c r="C251" s="4">
        <v>42098</v>
      </c>
      <c r="D251" s="5">
        <v>5.9</v>
      </c>
      <c r="E251" s="15">
        <v>5</v>
      </c>
      <c r="F251" s="5">
        <v>7.2</v>
      </c>
      <c r="G251" s="5">
        <v>1661.9000000000005</v>
      </c>
      <c r="H251" s="5">
        <f t="shared" si="19"/>
        <v>199.79999999999995</v>
      </c>
      <c r="J251" s="93">
        <v>1</v>
      </c>
      <c r="K251" s="5">
        <v>429.40000000000003</v>
      </c>
      <c r="L251" s="5">
        <v>0.7</v>
      </c>
      <c r="M251" s="5">
        <v>230.20000000000002</v>
      </c>
      <c r="N251" s="5">
        <v>0.30000000000000004</v>
      </c>
      <c r="O251" s="5">
        <v>153.6</v>
      </c>
      <c r="P251" s="5">
        <v>207</v>
      </c>
      <c r="Q251" s="13">
        <f t="shared" si="22"/>
        <v>1.1060975609756096</v>
      </c>
      <c r="R251" s="8">
        <f t="shared" si="23"/>
        <v>0.77426829268292674</v>
      </c>
      <c r="S251" s="8">
        <f t="shared" si="24"/>
        <v>0.22573170731707326</v>
      </c>
      <c r="T251" s="94">
        <f t="shared" si="25"/>
        <v>153.6</v>
      </c>
      <c r="V251" s="12">
        <v>439.3</v>
      </c>
      <c r="W251" s="5">
        <v>74.457627118644069</v>
      </c>
      <c r="X251" s="5">
        <v>108836.6</v>
      </c>
      <c r="Y251" s="5">
        <f t="shared" si="20"/>
        <v>26407.399999999998</v>
      </c>
      <c r="AA251" s="5">
        <v>13.0583542487133</v>
      </c>
    </row>
    <row r="252" spans="1:28" s="5" customFormat="1" x14ac:dyDescent="0.25">
      <c r="A252" s="77"/>
      <c r="B252" s="10"/>
      <c r="C252" s="4">
        <v>42099</v>
      </c>
      <c r="D252" s="5">
        <v>5.3</v>
      </c>
      <c r="E252" s="15">
        <v>1.9</v>
      </c>
      <c r="F252" s="5">
        <v>8.6</v>
      </c>
      <c r="G252" s="5">
        <v>1667.2000000000005</v>
      </c>
      <c r="H252" s="5">
        <f t="shared" si="19"/>
        <v>205.09999999999997</v>
      </c>
      <c r="J252" s="93">
        <v>0</v>
      </c>
      <c r="K252" s="5">
        <v>429.40000000000003</v>
      </c>
      <c r="L252" s="5">
        <v>2.4</v>
      </c>
      <c r="M252" s="5">
        <v>232.60000000000002</v>
      </c>
      <c r="N252" s="6">
        <v>-2.4</v>
      </c>
      <c r="O252" s="5">
        <f t="shared" ref="O252:O315" si="26">O251+N252</f>
        <v>151.19999999999999</v>
      </c>
      <c r="P252" s="5">
        <v>208</v>
      </c>
      <c r="Q252" s="13">
        <f t="shared" si="22"/>
        <v>1.1097560975609755</v>
      </c>
      <c r="R252" s="8">
        <f t="shared" si="23"/>
        <v>2.6634146341463412</v>
      </c>
      <c r="S252" s="8">
        <f t="shared" si="24"/>
        <v>-2.6634146341463412</v>
      </c>
      <c r="T252" s="94">
        <f t="shared" si="25"/>
        <v>150.93658536585366</v>
      </c>
      <c r="V252" s="5">
        <v>1945.4</v>
      </c>
      <c r="W252" s="5">
        <v>367.05660377358492</v>
      </c>
      <c r="X252" s="5">
        <v>110782</v>
      </c>
      <c r="Y252" s="5">
        <f t="shared" si="20"/>
        <v>28352.799999999999</v>
      </c>
      <c r="AA252" s="5">
        <v>13.121847778586201</v>
      </c>
    </row>
    <row r="253" spans="1:28" s="5" customFormat="1" x14ac:dyDescent="0.25">
      <c r="A253" s="77"/>
      <c r="B253" s="10"/>
      <c r="C253" s="4">
        <v>42100</v>
      </c>
      <c r="D253" s="5">
        <v>5.8</v>
      </c>
      <c r="E253" s="15">
        <v>1.2</v>
      </c>
      <c r="F253" s="5">
        <v>9.5</v>
      </c>
      <c r="G253" s="5">
        <v>1673.0000000000005</v>
      </c>
      <c r="H253" s="5">
        <f t="shared" si="19"/>
        <v>210.89999999999998</v>
      </c>
      <c r="J253" s="93">
        <v>0</v>
      </c>
      <c r="K253" s="5">
        <v>429.40000000000003</v>
      </c>
      <c r="L253" s="5">
        <v>1.2</v>
      </c>
      <c r="M253" s="5">
        <v>233.8</v>
      </c>
      <c r="N253" s="6">
        <v>-1.2</v>
      </c>
      <c r="O253" s="5">
        <f t="shared" si="26"/>
        <v>150</v>
      </c>
      <c r="P253" s="5">
        <v>209</v>
      </c>
      <c r="Q253" s="13">
        <f t="shared" si="22"/>
        <v>1.1134146341463413</v>
      </c>
      <c r="R253" s="8">
        <f t="shared" si="23"/>
        <v>1.3360975609756096</v>
      </c>
      <c r="S253" s="8">
        <f t="shared" si="24"/>
        <v>-1.3360975609756096</v>
      </c>
      <c r="T253" s="94">
        <f t="shared" si="25"/>
        <v>149.60048780487804</v>
      </c>
      <c r="V253" s="12">
        <v>851</v>
      </c>
      <c r="W253" s="5">
        <v>146.72413793103448</v>
      </c>
      <c r="X253" s="5">
        <v>111633</v>
      </c>
      <c r="Y253" s="5">
        <f t="shared" si="20"/>
        <v>29203.8</v>
      </c>
      <c r="AA253" s="5">
        <v>13.185233938895999</v>
      </c>
    </row>
    <row r="254" spans="1:28" s="5" customFormat="1" x14ac:dyDescent="0.25">
      <c r="A254" s="77"/>
      <c r="B254" s="10"/>
      <c r="C254" s="4">
        <v>42101</v>
      </c>
      <c r="D254" s="5">
        <v>7.9</v>
      </c>
      <c r="E254" s="15">
        <v>1.5</v>
      </c>
      <c r="F254" s="5">
        <v>13.5</v>
      </c>
      <c r="G254" s="5">
        <v>1680.9000000000005</v>
      </c>
      <c r="H254" s="5">
        <f t="shared" si="19"/>
        <v>218.79999999999998</v>
      </c>
      <c r="J254" s="5">
        <v>0</v>
      </c>
      <c r="K254" s="5">
        <v>429.40000000000003</v>
      </c>
      <c r="L254" s="5">
        <v>2.2999999999999998</v>
      </c>
      <c r="M254" s="5">
        <v>236.10000000000002</v>
      </c>
      <c r="N254" s="6">
        <v>-2.2999999999999998</v>
      </c>
      <c r="O254" s="5">
        <f t="shared" si="26"/>
        <v>147.69999999999999</v>
      </c>
      <c r="P254" s="5">
        <v>210</v>
      </c>
      <c r="Q254" s="13">
        <f t="shared" si="22"/>
        <v>1.1170731707317072</v>
      </c>
      <c r="R254" s="8">
        <f t="shared" si="23"/>
        <v>2.5692682926829264</v>
      </c>
      <c r="S254" s="8">
        <f t="shared" si="24"/>
        <v>-2.5692682926829264</v>
      </c>
      <c r="T254" s="8">
        <f t="shared" si="25"/>
        <v>147.03121951219512</v>
      </c>
      <c r="V254" s="5">
        <v>1759.4</v>
      </c>
      <c r="W254" s="5">
        <v>222.70886075949366</v>
      </c>
      <c r="X254" s="5">
        <v>113392.4</v>
      </c>
      <c r="Y254" s="5">
        <f t="shared" si="20"/>
        <v>30963.200000000001</v>
      </c>
      <c r="AA254" s="5">
        <v>13.2485051948674</v>
      </c>
    </row>
    <row r="255" spans="1:28" s="24" customFormat="1" x14ac:dyDescent="0.25">
      <c r="A255" s="77"/>
      <c r="B255" s="22"/>
      <c r="C255" s="23">
        <v>42102</v>
      </c>
      <c r="D255" s="24">
        <v>9.1</v>
      </c>
      <c r="E255" s="25">
        <v>3.7</v>
      </c>
      <c r="F255" s="24">
        <v>12.9</v>
      </c>
      <c r="G255" s="24">
        <v>1690.0000000000005</v>
      </c>
      <c r="H255" s="24">
        <f t="shared" si="19"/>
        <v>227.89999999999998</v>
      </c>
      <c r="J255" s="24">
        <v>0</v>
      </c>
      <c r="K255" s="24">
        <v>429.40000000000003</v>
      </c>
      <c r="L255" s="24">
        <v>2</v>
      </c>
      <c r="M255" s="24">
        <v>238.10000000000002</v>
      </c>
      <c r="N255" s="26">
        <v>-2</v>
      </c>
      <c r="O255" s="24">
        <f t="shared" si="26"/>
        <v>145.69999999999999</v>
      </c>
      <c r="P255" s="24">
        <v>211</v>
      </c>
      <c r="Q255" s="13">
        <f t="shared" si="22"/>
        <v>1.1207317073170731</v>
      </c>
      <c r="R255" s="27">
        <f t="shared" si="23"/>
        <v>2.2414634146341461</v>
      </c>
      <c r="S255" s="27">
        <f t="shared" si="24"/>
        <v>-2.2414634146341461</v>
      </c>
      <c r="T255" s="8">
        <f t="shared" si="25"/>
        <v>144.78975609756097</v>
      </c>
      <c r="V255" s="24">
        <v>1465.8</v>
      </c>
      <c r="W255" s="24">
        <v>161.07692307692307</v>
      </c>
      <c r="X255" s="24">
        <v>114858.2</v>
      </c>
      <c r="Y255" s="5">
        <f t="shared" si="20"/>
        <v>32429</v>
      </c>
      <c r="AA255" s="5">
        <v>13.311653741106101</v>
      </c>
    </row>
    <row r="256" spans="1:28" s="5" customFormat="1" ht="15" customHeight="1" x14ac:dyDescent="0.25">
      <c r="A256" s="77"/>
      <c r="B256" s="10"/>
      <c r="C256" s="28">
        <v>42103</v>
      </c>
      <c r="D256" s="5">
        <v>11</v>
      </c>
      <c r="E256" s="5">
        <v>4.0999999999999996</v>
      </c>
      <c r="F256" s="5">
        <v>17</v>
      </c>
      <c r="G256" s="5">
        <v>1701.0000000000005</v>
      </c>
      <c r="H256" s="5">
        <f t="shared" ref="H256:H319" si="27">H255+D256</f>
        <v>238.89999999999998</v>
      </c>
      <c r="J256" s="5">
        <v>0</v>
      </c>
      <c r="K256" s="5">
        <v>429.40000000000003</v>
      </c>
      <c r="L256" s="5">
        <v>3.2</v>
      </c>
      <c r="M256" s="5">
        <v>241.3</v>
      </c>
      <c r="N256" s="5">
        <v>-3.2</v>
      </c>
      <c r="O256" s="5">
        <f t="shared" si="26"/>
        <v>142.5</v>
      </c>
      <c r="P256" s="5">
        <v>212</v>
      </c>
      <c r="Q256" s="13">
        <f t="shared" si="22"/>
        <v>1.1243902439024389</v>
      </c>
      <c r="R256" s="8">
        <f t="shared" si="23"/>
        <v>3.5980487804878045</v>
      </c>
      <c r="S256" s="8">
        <f t="shared" si="24"/>
        <v>-3.5980487804878045</v>
      </c>
      <c r="T256" s="8">
        <f t="shared" si="25"/>
        <v>141.19170731707317</v>
      </c>
      <c r="V256" s="5">
        <v>2194.8000000000002</v>
      </c>
      <c r="W256" s="5">
        <v>199.52727272727273</v>
      </c>
      <c r="X256" s="5">
        <v>117053</v>
      </c>
      <c r="Y256" s="5">
        <f t="shared" ref="Y256:Y319" si="28">Y255+V256</f>
        <v>34623.800000000003</v>
      </c>
      <c r="AA256" s="5">
        <v>13.374671483163199</v>
      </c>
    </row>
    <row r="257" spans="1:27" s="5" customFormat="1" x14ac:dyDescent="0.25">
      <c r="A257" s="77"/>
      <c r="B257" s="10"/>
      <c r="C257" s="4">
        <v>42104</v>
      </c>
      <c r="D257" s="5">
        <v>12.8</v>
      </c>
      <c r="E257" s="5">
        <v>5.3</v>
      </c>
      <c r="F257" s="5">
        <v>20.3</v>
      </c>
      <c r="G257" s="5">
        <v>1713.8000000000004</v>
      </c>
      <c r="H257" s="5">
        <f t="shared" si="27"/>
        <v>251.7</v>
      </c>
      <c r="J257" s="5">
        <v>0.1</v>
      </c>
      <c r="K257" s="5">
        <v>429.50000000000006</v>
      </c>
      <c r="L257" s="5">
        <v>2.8</v>
      </c>
      <c r="M257" s="5">
        <v>244.10000000000002</v>
      </c>
      <c r="N257" s="6">
        <v>-2.6999999999999997</v>
      </c>
      <c r="O257" s="5">
        <f t="shared" si="26"/>
        <v>139.80000000000001</v>
      </c>
      <c r="P257" s="5">
        <v>213</v>
      </c>
      <c r="Q257" s="13">
        <f t="shared" si="22"/>
        <v>1.1280487804878048</v>
      </c>
      <c r="R257" s="8">
        <f t="shared" si="23"/>
        <v>3.1585365853658534</v>
      </c>
      <c r="S257" s="8">
        <f t="shared" si="24"/>
        <v>-3.0585365853658533</v>
      </c>
      <c r="T257" s="8">
        <f t="shared" si="25"/>
        <v>138.13317073170731</v>
      </c>
      <c r="U257" s="29"/>
      <c r="V257" s="5">
        <v>1501.6</v>
      </c>
      <c r="W257" s="5">
        <v>117.31249999999999</v>
      </c>
      <c r="X257" s="5">
        <v>118554.6</v>
      </c>
      <c r="Y257" s="5">
        <f t="shared" si="28"/>
        <v>36125.4</v>
      </c>
      <c r="AA257" s="5">
        <v>13.4375500191694</v>
      </c>
    </row>
    <row r="258" spans="1:27" s="5" customFormat="1" x14ac:dyDescent="0.25">
      <c r="A258" s="77"/>
      <c r="B258" s="10"/>
      <c r="C258" s="4">
        <v>42105</v>
      </c>
      <c r="D258" s="5">
        <v>10.199999999999999</v>
      </c>
      <c r="E258" s="5">
        <v>8.6</v>
      </c>
      <c r="F258" s="5">
        <v>13.2</v>
      </c>
      <c r="G258" s="5">
        <v>1724.0000000000005</v>
      </c>
      <c r="H258" s="5">
        <f t="shared" si="27"/>
        <v>261.89999999999998</v>
      </c>
      <c r="J258" s="5">
        <v>0.9</v>
      </c>
      <c r="K258" s="5">
        <v>430.40000000000003</v>
      </c>
      <c r="L258" s="5">
        <v>1.8</v>
      </c>
      <c r="M258" s="5">
        <v>245.90000000000003</v>
      </c>
      <c r="N258" s="6">
        <v>-0.9</v>
      </c>
      <c r="O258" s="5">
        <f t="shared" si="26"/>
        <v>138.9</v>
      </c>
      <c r="P258" s="5">
        <v>214</v>
      </c>
      <c r="Q258" s="13">
        <f t="shared" si="22"/>
        <v>1.1317073170731706</v>
      </c>
      <c r="R258" s="8">
        <f t="shared" si="23"/>
        <v>2.0370731707317074</v>
      </c>
      <c r="S258" s="8">
        <f t="shared" si="24"/>
        <v>-1.1370731707317074</v>
      </c>
      <c r="T258" s="8">
        <f t="shared" si="25"/>
        <v>136.99609756097561</v>
      </c>
      <c r="V258" s="12">
        <v>691</v>
      </c>
      <c r="W258" s="5">
        <v>67.745098039215691</v>
      </c>
      <c r="X258" s="5">
        <v>119245.6</v>
      </c>
      <c r="Y258" s="5">
        <f t="shared" si="28"/>
        <v>36816.400000000001</v>
      </c>
      <c r="AA258" s="5">
        <v>13.500280621550599</v>
      </c>
    </row>
    <row r="259" spans="1:27" s="5" customFormat="1" x14ac:dyDescent="0.25">
      <c r="A259" s="77"/>
      <c r="B259" s="10"/>
      <c r="C259" s="4">
        <v>42106</v>
      </c>
      <c r="D259" s="5">
        <v>10.3</v>
      </c>
      <c r="E259" s="15">
        <v>3.1</v>
      </c>
      <c r="F259" s="5">
        <v>15.7</v>
      </c>
      <c r="G259" s="5">
        <v>1734.3000000000004</v>
      </c>
      <c r="H259" s="5">
        <f t="shared" si="27"/>
        <v>272.2</v>
      </c>
      <c r="J259" s="5">
        <v>0</v>
      </c>
      <c r="K259" s="5">
        <v>430.40000000000003</v>
      </c>
      <c r="L259" s="5">
        <v>3.2</v>
      </c>
      <c r="M259" s="5">
        <v>249.10000000000002</v>
      </c>
      <c r="N259" s="6">
        <v>-3.2</v>
      </c>
      <c r="O259" s="5">
        <f t="shared" si="26"/>
        <v>135.70000000000002</v>
      </c>
      <c r="P259" s="5">
        <v>215</v>
      </c>
      <c r="Q259" s="13">
        <f t="shared" si="22"/>
        <v>1.1353658536585365</v>
      </c>
      <c r="R259" s="8">
        <f t="shared" si="23"/>
        <v>3.6331707317073167</v>
      </c>
      <c r="S259" s="8">
        <f t="shared" si="24"/>
        <v>-3.6331707317073167</v>
      </c>
      <c r="T259" s="8">
        <f t="shared" si="25"/>
        <v>133.3629268292683</v>
      </c>
      <c r="V259" s="5">
        <v>1968.4</v>
      </c>
      <c r="W259" s="5">
        <v>191.10679611650485</v>
      </c>
      <c r="X259" s="5">
        <v>121214</v>
      </c>
      <c r="Y259" s="5">
        <f t="shared" si="28"/>
        <v>38784.800000000003</v>
      </c>
      <c r="AA259" s="5">
        <v>13.5628542188418</v>
      </c>
    </row>
    <row r="260" spans="1:27" s="5" customFormat="1" x14ac:dyDescent="0.25">
      <c r="A260" s="77"/>
      <c r="B260" s="10"/>
      <c r="C260" s="4">
        <v>42107</v>
      </c>
      <c r="D260" s="5">
        <v>10.9</v>
      </c>
      <c r="E260" s="5">
        <v>7.8</v>
      </c>
      <c r="F260" s="5">
        <v>13.6</v>
      </c>
      <c r="G260" s="5">
        <v>1745.2000000000005</v>
      </c>
      <c r="H260" s="5">
        <f t="shared" si="27"/>
        <v>283.09999999999997</v>
      </c>
      <c r="J260" s="5">
        <v>0</v>
      </c>
      <c r="K260" s="5">
        <v>430.40000000000003</v>
      </c>
      <c r="L260" s="5">
        <v>2.1</v>
      </c>
      <c r="M260" s="5">
        <v>251.20000000000002</v>
      </c>
      <c r="N260" s="6">
        <v>-2.1</v>
      </c>
      <c r="O260" s="5">
        <f t="shared" si="26"/>
        <v>133.60000000000002</v>
      </c>
      <c r="P260" s="5">
        <v>216</v>
      </c>
      <c r="Q260" s="13">
        <f t="shared" si="22"/>
        <v>1.1390243902439023</v>
      </c>
      <c r="R260" s="8">
        <f t="shared" si="23"/>
        <v>2.3919512195121948</v>
      </c>
      <c r="S260" s="8">
        <f t="shared" si="24"/>
        <v>-2.3919512195121948</v>
      </c>
      <c r="T260" s="8">
        <f t="shared" si="25"/>
        <v>130.9709756097561</v>
      </c>
      <c r="V260" s="5">
        <v>1113.5999999999999</v>
      </c>
      <c r="W260" s="5">
        <v>102.16513761467888</v>
      </c>
      <c r="X260" s="5">
        <v>122327.6</v>
      </c>
      <c r="Y260" s="5">
        <f t="shared" si="28"/>
        <v>39898.400000000001</v>
      </c>
      <c r="AA260" s="5">
        <v>13.6252613776202</v>
      </c>
    </row>
    <row r="261" spans="1:27" s="24" customFormat="1" x14ac:dyDescent="0.25">
      <c r="A261" s="77"/>
      <c r="B261" s="62"/>
      <c r="C261" s="23">
        <v>42108</v>
      </c>
      <c r="D261" s="24">
        <v>14.4</v>
      </c>
      <c r="E261" s="24">
        <v>7.8</v>
      </c>
      <c r="F261" s="24">
        <v>21.7</v>
      </c>
      <c r="G261" s="24">
        <v>1759.6000000000006</v>
      </c>
      <c r="H261" s="24">
        <f t="shared" si="27"/>
        <v>297.49999999999994</v>
      </c>
      <c r="J261" s="24">
        <v>0</v>
      </c>
      <c r="K261" s="24">
        <v>430.40000000000003</v>
      </c>
      <c r="L261" s="24">
        <v>3.8</v>
      </c>
      <c r="M261" s="24">
        <v>255.00000000000003</v>
      </c>
      <c r="N261" s="26">
        <v>-3.8</v>
      </c>
      <c r="O261" s="24">
        <f t="shared" si="26"/>
        <v>129.80000000000001</v>
      </c>
      <c r="P261" s="24">
        <v>217</v>
      </c>
      <c r="Q261" s="13">
        <f t="shared" si="22"/>
        <v>1.1426829268292682</v>
      </c>
      <c r="R261" s="27">
        <f t="shared" si="23"/>
        <v>4.3421951219512191</v>
      </c>
      <c r="S261" s="27">
        <f t="shared" si="24"/>
        <v>-4.3421951219512191</v>
      </c>
      <c r="T261" s="8">
        <f t="shared" si="25"/>
        <v>126.62878048780487</v>
      </c>
      <c r="V261" s="24">
        <v>2015</v>
      </c>
      <c r="W261" s="24">
        <v>139.93055555555554</v>
      </c>
      <c r="X261" s="24">
        <v>124342.6</v>
      </c>
      <c r="Y261" s="5">
        <f t="shared" si="28"/>
        <v>41913.4</v>
      </c>
      <c r="AA261" s="24">
        <v>13.6874922845799</v>
      </c>
    </row>
    <row r="262" spans="1:27" s="5" customFormat="1" x14ac:dyDescent="0.25">
      <c r="A262" s="77"/>
      <c r="B262" s="9"/>
      <c r="C262" s="4">
        <v>42109</v>
      </c>
      <c r="D262" s="5">
        <v>16</v>
      </c>
      <c r="E262" s="5">
        <v>9</v>
      </c>
      <c r="F262" s="5">
        <v>24.2</v>
      </c>
      <c r="G262" s="5">
        <v>1775.6000000000006</v>
      </c>
      <c r="H262" s="24">
        <f t="shared" si="27"/>
        <v>313.49999999999994</v>
      </c>
      <c r="J262" s="5">
        <v>0</v>
      </c>
      <c r="K262" s="5">
        <v>430.40000000000003</v>
      </c>
      <c r="L262" s="5">
        <v>4.0999999999999996</v>
      </c>
      <c r="M262" s="5">
        <v>259.10000000000002</v>
      </c>
      <c r="N262" s="6">
        <v>-4.0999999999999996</v>
      </c>
      <c r="O262" s="5">
        <f t="shared" si="26"/>
        <v>125.70000000000002</v>
      </c>
      <c r="P262" s="5">
        <v>218</v>
      </c>
      <c r="Q262" s="13">
        <f t="shared" si="22"/>
        <v>1.1463414634146341</v>
      </c>
      <c r="R262" s="8">
        <f t="shared" si="23"/>
        <v>4.6999999999999993</v>
      </c>
      <c r="S262" s="8">
        <f t="shared" si="24"/>
        <v>-4.6999999999999993</v>
      </c>
      <c r="T262" s="8">
        <f t="shared" si="25"/>
        <v>121.92878048780487</v>
      </c>
      <c r="V262" s="5">
        <v>2021.5</v>
      </c>
      <c r="W262" s="5">
        <v>126.34375</v>
      </c>
      <c r="X262" s="5">
        <v>126364.1</v>
      </c>
      <c r="Y262" s="5">
        <f t="shared" si="28"/>
        <v>43934.9</v>
      </c>
      <c r="AA262" s="5">
        <v>13.7495367287754</v>
      </c>
    </row>
    <row r="263" spans="1:27" s="45" customFormat="1" ht="15.75" thickBot="1" x14ac:dyDescent="0.3">
      <c r="A263" s="77"/>
      <c r="B263" s="57"/>
      <c r="C263" s="58">
        <v>42110</v>
      </c>
      <c r="D263" s="45">
        <v>14.1</v>
      </c>
      <c r="E263" s="45">
        <v>9.1</v>
      </c>
      <c r="F263" s="45">
        <v>18.3</v>
      </c>
      <c r="G263" s="45">
        <v>1789.7000000000005</v>
      </c>
      <c r="H263" s="68">
        <f t="shared" si="27"/>
        <v>327.59999999999997</v>
      </c>
      <c r="J263" s="45">
        <v>0</v>
      </c>
      <c r="K263" s="45">
        <v>430.40000000000003</v>
      </c>
      <c r="L263" s="45">
        <v>2.5</v>
      </c>
      <c r="M263" s="45">
        <v>261.60000000000002</v>
      </c>
      <c r="N263" s="59">
        <v>-2.5</v>
      </c>
      <c r="O263" s="45">
        <f t="shared" si="26"/>
        <v>123.20000000000002</v>
      </c>
      <c r="P263" s="45">
        <v>219</v>
      </c>
      <c r="Q263" s="53">
        <f t="shared" si="22"/>
        <v>1.1499999999999999</v>
      </c>
      <c r="R263" s="47">
        <f t="shared" si="23"/>
        <v>2.875</v>
      </c>
      <c r="S263" s="47">
        <f t="shared" si="24"/>
        <v>-2.875</v>
      </c>
      <c r="T263" s="47">
        <f t="shared" si="25"/>
        <v>119.05378048780487</v>
      </c>
      <c r="V263" s="45">
        <v>1224.5</v>
      </c>
      <c r="W263" s="45">
        <v>86.843971631205676</v>
      </c>
      <c r="X263" s="45">
        <v>127588.6</v>
      </c>
      <c r="Y263" s="45">
        <f t="shared" si="28"/>
        <v>45159.4</v>
      </c>
      <c r="AA263" s="45">
        <v>13.811384084064301</v>
      </c>
    </row>
    <row r="264" spans="1:27" s="5" customFormat="1" x14ac:dyDescent="0.25">
      <c r="A264" s="30" t="s">
        <v>21</v>
      </c>
      <c r="B264" s="9" t="s">
        <v>49</v>
      </c>
      <c r="C264" s="4">
        <v>42111</v>
      </c>
      <c r="D264" s="5">
        <v>11</v>
      </c>
      <c r="E264" s="5">
        <v>9</v>
      </c>
      <c r="F264" s="5">
        <v>13.9</v>
      </c>
      <c r="G264" s="5">
        <v>1800.7000000000005</v>
      </c>
      <c r="H264" s="5">
        <f>D264</f>
        <v>11</v>
      </c>
      <c r="I264" s="31" t="s">
        <v>2</v>
      </c>
      <c r="J264" s="5">
        <v>0</v>
      </c>
      <c r="K264" s="5">
        <v>430.40000000000003</v>
      </c>
      <c r="L264" s="5">
        <v>3.6</v>
      </c>
      <c r="M264" s="5">
        <v>265.20000000000005</v>
      </c>
      <c r="N264" s="6">
        <v>-3.6</v>
      </c>
      <c r="O264" s="5">
        <f t="shared" si="26"/>
        <v>119.60000000000002</v>
      </c>
      <c r="P264" s="5">
        <v>220</v>
      </c>
      <c r="Q264" s="5">
        <v>1.1499999999999999</v>
      </c>
      <c r="R264" s="8">
        <f t="shared" si="23"/>
        <v>4.1399999999999997</v>
      </c>
      <c r="S264" s="8">
        <f t="shared" si="24"/>
        <v>-4.1399999999999997</v>
      </c>
      <c r="T264" s="8">
        <f t="shared" si="25"/>
        <v>114.91378048780487</v>
      </c>
      <c r="U264" s="31" t="s">
        <v>3</v>
      </c>
      <c r="V264" s="5">
        <v>1625.6</v>
      </c>
      <c r="W264" s="5">
        <v>147.78181818181818</v>
      </c>
      <c r="X264" s="5">
        <v>129214.20000000001</v>
      </c>
      <c r="Y264" s="5">
        <f>V264</f>
        <v>1625.6</v>
      </c>
      <c r="Z264" s="31" t="s">
        <v>4</v>
      </c>
      <c r="AA264" s="5">
        <v>13.873023291784399</v>
      </c>
    </row>
    <row r="265" spans="1:27" s="5" customFormat="1" ht="15.75" thickBot="1" x14ac:dyDescent="0.3">
      <c r="A265" s="30"/>
      <c r="B265" s="9"/>
      <c r="C265" s="4">
        <v>42112</v>
      </c>
      <c r="D265" s="5">
        <v>10.1</v>
      </c>
      <c r="E265" s="15">
        <v>4.9000000000000004</v>
      </c>
      <c r="F265" s="5">
        <v>14.2</v>
      </c>
      <c r="G265" s="5">
        <v>1810.8000000000004</v>
      </c>
      <c r="H265" s="5">
        <f t="shared" si="27"/>
        <v>21.1</v>
      </c>
      <c r="I265" s="45">
        <f>MIN(E264:E284)</f>
        <v>2.6</v>
      </c>
      <c r="J265" s="5">
        <v>0</v>
      </c>
      <c r="K265" s="5">
        <v>430.40000000000003</v>
      </c>
      <c r="L265" s="5">
        <v>3.8</v>
      </c>
      <c r="M265" s="5">
        <v>269.00000000000006</v>
      </c>
      <c r="N265" s="6">
        <v>-3.8</v>
      </c>
      <c r="O265" s="5">
        <f t="shared" si="26"/>
        <v>115.80000000000003</v>
      </c>
      <c r="P265" s="5">
        <v>221</v>
      </c>
      <c r="Q265" s="5">
        <v>1.1499999999999999</v>
      </c>
      <c r="R265" s="8">
        <f t="shared" si="23"/>
        <v>4.3699999999999992</v>
      </c>
      <c r="S265" s="8">
        <f t="shared" si="24"/>
        <v>-4.3699999999999992</v>
      </c>
      <c r="T265" s="8">
        <f t="shared" si="25"/>
        <v>110.54378048780487</v>
      </c>
      <c r="U265" s="45"/>
      <c r="V265" s="5">
        <v>2315.4</v>
      </c>
      <c r="W265" s="5">
        <v>229.24752475247527</v>
      </c>
      <c r="X265" s="5">
        <v>131529.60000000001</v>
      </c>
      <c r="Y265" s="5">
        <f t="shared" si="28"/>
        <v>3941</v>
      </c>
      <c r="Z265" s="45">
        <v>32231</v>
      </c>
      <c r="AA265" s="5">
        <v>13.9344428437046</v>
      </c>
    </row>
    <row r="266" spans="1:27" s="5" customFormat="1" x14ac:dyDescent="0.25">
      <c r="A266" s="30"/>
      <c r="B266" s="9"/>
      <c r="C266" s="4">
        <v>42113</v>
      </c>
      <c r="D266" s="5">
        <v>9.4</v>
      </c>
      <c r="E266" s="15">
        <v>4.7</v>
      </c>
      <c r="F266" s="5">
        <v>13.1</v>
      </c>
      <c r="G266" s="5">
        <v>1820.2000000000005</v>
      </c>
      <c r="H266" s="5">
        <f t="shared" si="27"/>
        <v>30.5</v>
      </c>
      <c r="I266" s="31" t="s">
        <v>5</v>
      </c>
      <c r="J266" s="5">
        <v>0</v>
      </c>
      <c r="K266" s="5">
        <v>430.40000000000003</v>
      </c>
      <c r="L266" s="5">
        <v>2.8</v>
      </c>
      <c r="M266" s="5">
        <v>271.80000000000007</v>
      </c>
      <c r="N266" s="6">
        <v>-2.8</v>
      </c>
      <c r="O266" s="5">
        <f t="shared" si="26"/>
        <v>113.00000000000003</v>
      </c>
      <c r="P266" s="5">
        <v>222</v>
      </c>
      <c r="Q266" s="5">
        <v>1.1499999999999999</v>
      </c>
      <c r="R266" s="8">
        <f t="shared" si="23"/>
        <v>3.2199999999999998</v>
      </c>
      <c r="S266" s="8">
        <f t="shared" si="24"/>
        <v>-3.2199999999999998</v>
      </c>
      <c r="T266" s="8">
        <f t="shared" si="25"/>
        <v>107.32378048780487</v>
      </c>
      <c r="U266" s="32" t="s">
        <v>6</v>
      </c>
      <c r="V266" s="5">
        <v>1982.5</v>
      </c>
      <c r="W266" s="5">
        <v>210.90425531914892</v>
      </c>
      <c r="X266" s="5">
        <v>133512.1</v>
      </c>
      <c r="Y266" s="5">
        <f t="shared" si="28"/>
        <v>5923.5</v>
      </c>
      <c r="Z266" s="31" t="s">
        <v>7</v>
      </c>
      <c r="AA266" s="5">
        <v>13.995630765292001</v>
      </c>
    </row>
    <row r="267" spans="1:27" s="5" customFormat="1" x14ac:dyDescent="0.25">
      <c r="A267" s="30"/>
      <c r="B267" s="9"/>
      <c r="C267" s="4">
        <v>42114</v>
      </c>
      <c r="D267" s="5">
        <v>12.1</v>
      </c>
      <c r="E267" s="5">
        <v>5.3</v>
      </c>
      <c r="F267" s="5">
        <v>18.399999999999999</v>
      </c>
      <c r="G267" s="5">
        <v>1832.3000000000004</v>
      </c>
      <c r="H267" s="5">
        <f t="shared" si="27"/>
        <v>42.6</v>
      </c>
      <c r="I267" s="5">
        <f>MAX(F264:F284)</f>
        <v>22.5</v>
      </c>
      <c r="J267" s="5">
        <v>0</v>
      </c>
      <c r="K267" s="5">
        <v>430.40000000000003</v>
      </c>
      <c r="L267" s="5">
        <v>3.8</v>
      </c>
      <c r="M267" s="5">
        <v>275.60000000000008</v>
      </c>
      <c r="N267" s="6">
        <v>-3.8</v>
      </c>
      <c r="O267" s="5">
        <f t="shared" si="26"/>
        <v>109.20000000000003</v>
      </c>
      <c r="P267" s="5">
        <v>223</v>
      </c>
      <c r="Q267" s="5">
        <v>1.1499999999999999</v>
      </c>
      <c r="R267" s="8">
        <f t="shared" si="23"/>
        <v>4.3699999999999992</v>
      </c>
      <c r="S267" s="8">
        <f t="shared" si="24"/>
        <v>-4.3699999999999992</v>
      </c>
      <c r="T267" s="8">
        <f t="shared" si="25"/>
        <v>102.95378048780486</v>
      </c>
      <c r="U267" s="5">
        <v>0</v>
      </c>
      <c r="V267" s="5">
        <v>2071.6999999999998</v>
      </c>
      <c r="W267" s="5">
        <v>171.21487603305783</v>
      </c>
      <c r="X267" s="5">
        <v>135583.80000000002</v>
      </c>
      <c r="Y267" s="5">
        <f t="shared" si="28"/>
        <v>7995.2</v>
      </c>
      <c r="Z267" s="13">
        <f>(Z265/100)/I277</f>
        <v>1.3236550308008215</v>
      </c>
      <c r="AA267" s="5">
        <v>14.0565745993449</v>
      </c>
    </row>
    <row r="268" spans="1:27" s="5" customFormat="1" x14ac:dyDescent="0.25">
      <c r="A268" s="30"/>
      <c r="B268" s="9"/>
      <c r="C268" s="4">
        <v>42115</v>
      </c>
      <c r="D268" s="5">
        <v>12.2</v>
      </c>
      <c r="E268" s="5">
        <v>7.4</v>
      </c>
      <c r="F268" s="5">
        <v>18.5</v>
      </c>
      <c r="G268" s="5">
        <v>1844.5000000000005</v>
      </c>
      <c r="H268" s="5">
        <f t="shared" si="27"/>
        <v>54.8</v>
      </c>
      <c r="I268" s="31" t="s">
        <v>8</v>
      </c>
      <c r="J268" s="5">
        <v>0</v>
      </c>
      <c r="K268" s="5">
        <v>430.40000000000003</v>
      </c>
      <c r="L268" s="5">
        <v>3.9</v>
      </c>
      <c r="M268" s="5">
        <v>279.50000000000006</v>
      </c>
      <c r="N268" s="6">
        <v>-3.9</v>
      </c>
      <c r="O268" s="5">
        <f t="shared" si="26"/>
        <v>105.30000000000003</v>
      </c>
      <c r="P268" s="5">
        <v>224</v>
      </c>
      <c r="Q268" s="5">
        <v>1.1499999999999999</v>
      </c>
      <c r="R268" s="8">
        <f t="shared" si="23"/>
        <v>4.4849999999999994</v>
      </c>
      <c r="S268" s="8">
        <f t="shared" si="24"/>
        <v>-4.4849999999999994</v>
      </c>
      <c r="T268" s="8">
        <f t="shared" si="25"/>
        <v>98.468780487804864</v>
      </c>
      <c r="U268" s="31" t="s">
        <v>9</v>
      </c>
      <c r="V268" s="5">
        <v>2078.5</v>
      </c>
      <c r="W268" s="5">
        <v>170.36885245901641</v>
      </c>
      <c r="X268" s="5">
        <v>137662.30000000002</v>
      </c>
      <c r="Y268" s="5">
        <f t="shared" si="28"/>
        <v>10073.700000000001</v>
      </c>
      <c r="Z268" s="32" t="s">
        <v>10</v>
      </c>
      <c r="AA268" s="5">
        <v>14.1172613900444</v>
      </c>
    </row>
    <row r="269" spans="1:27" s="5" customFormat="1" x14ac:dyDescent="0.25">
      <c r="A269" s="30"/>
      <c r="B269" s="9"/>
      <c r="C269" s="4">
        <v>42116</v>
      </c>
      <c r="D269" s="5">
        <v>9.9</v>
      </c>
      <c r="E269" s="5">
        <v>6.3</v>
      </c>
      <c r="F269" s="5">
        <v>13.7</v>
      </c>
      <c r="G269" s="5">
        <v>1854.4000000000005</v>
      </c>
      <c r="H269" s="5">
        <f t="shared" si="27"/>
        <v>64.7</v>
      </c>
      <c r="I269" s="8">
        <f>AVERAGE(D264:D284)</f>
        <v>11.595238095238095</v>
      </c>
      <c r="J269" s="5">
        <v>0</v>
      </c>
      <c r="K269" s="5">
        <v>430.40000000000003</v>
      </c>
      <c r="L269" s="5">
        <v>2.9</v>
      </c>
      <c r="M269" s="5">
        <v>282.40000000000003</v>
      </c>
      <c r="N269" s="6">
        <v>-2.9</v>
      </c>
      <c r="O269" s="5">
        <f t="shared" si="26"/>
        <v>102.40000000000002</v>
      </c>
      <c r="P269" s="5">
        <v>225</v>
      </c>
      <c r="Q269" s="5">
        <v>1.1499999999999999</v>
      </c>
      <c r="R269" s="8">
        <f t="shared" si="23"/>
        <v>3.3349999999999995</v>
      </c>
      <c r="S269" s="8">
        <f t="shared" si="24"/>
        <v>-3.3349999999999995</v>
      </c>
      <c r="T269" s="8">
        <f t="shared" si="25"/>
        <v>95.13378048780487</v>
      </c>
      <c r="U269" s="5">
        <v>0</v>
      </c>
      <c r="V269" s="5">
        <v>2034.5</v>
      </c>
      <c r="W269" s="5">
        <v>205.50505050505049</v>
      </c>
      <c r="X269" s="5">
        <v>139696.80000000002</v>
      </c>
      <c r="Y269" s="5">
        <f t="shared" si="28"/>
        <v>12108.2</v>
      </c>
      <c r="Z269" s="5">
        <v>4</v>
      </c>
      <c r="AA269" s="5">
        <v>14.1776776674823</v>
      </c>
    </row>
    <row r="270" spans="1:27" s="5" customFormat="1" x14ac:dyDescent="0.25">
      <c r="A270" s="30"/>
      <c r="B270" s="9"/>
      <c r="C270" s="4">
        <v>42117</v>
      </c>
      <c r="D270" s="5">
        <v>11.6</v>
      </c>
      <c r="E270" s="5">
        <v>6.4</v>
      </c>
      <c r="F270" s="5">
        <v>16.399999999999999</v>
      </c>
      <c r="G270" s="5">
        <v>1866.0000000000005</v>
      </c>
      <c r="H270" s="5">
        <f t="shared" si="27"/>
        <v>76.3</v>
      </c>
      <c r="I270" s="31" t="s">
        <v>11</v>
      </c>
      <c r="J270" s="5">
        <v>0</v>
      </c>
      <c r="K270" s="5">
        <v>430.40000000000003</v>
      </c>
      <c r="L270" s="5">
        <v>3.6</v>
      </c>
      <c r="M270" s="5">
        <v>286.00000000000006</v>
      </c>
      <c r="N270" s="6">
        <v>-3.6</v>
      </c>
      <c r="O270" s="5">
        <f t="shared" si="26"/>
        <v>98.800000000000026</v>
      </c>
      <c r="P270" s="5">
        <v>226</v>
      </c>
      <c r="Q270" s="5">
        <v>1.1499999999999999</v>
      </c>
      <c r="R270" s="8">
        <f t="shared" si="23"/>
        <v>4.1399999999999997</v>
      </c>
      <c r="S270" s="8">
        <f t="shared" si="24"/>
        <v>-4.1399999999999997</v>
      </c>
      <c r="T270" s="8">
        <f t="shared" si="25"/>
        <v>90.993780487804869</v>
      </c>
      <c r="U270" s="31" t="s">
        <v>12</v>
      </c>
      <c r="V270" s="5">
        <v>2570.8000000000002</v>
      </c>
      <c r="W270" s="5">
        <v>221.62068965517244</v>
      </c>
      <c r="X270" s="5">
        <v>142267.6</v>
      </c>
      <c r="Y270" s="5">
        <f t="shared" si="28"/>
        <v>14679</v>
      </c>
      <c r="AA270" s="5">
        <v>14.237809432730399</v>
      </c>
    </row>
    <row r="271" spans="1:27" s="5" customFormat="1" x14ac:dyDescent="0.25">
      <c r="A271" s="30"/>
      <c r="B271" s="9"/>
      <c r="C271" s="4">
        <v>42118</v>
      </c>
      <c r="D271" s="5">
        <v>13.5</v>
      </c>
      <c r="E271" s="5">
        <v>6.5</v>
      </c>
      <c r="F271" s="5">
        <v>22.5</v>
      </c>
      <c r="G271" s="5">
        <v>1879.5000000000005</v>
      </c>
      <c r="H271" s="5">
        <f t="shared" si="27"/>
        <v>89.8</v>
      </c>
      <c r="I271" s="5">
        <v>0</v>
      </c>
      <c r="J271" s="5">
        <v>2.9</v>
      </c>
      <c r="K271" s="5">
        <v>433.3</v>
      </c>
      <c r="L271" s="5">
        <v>3.7</v>
      </c>
      <c r="M271" s="5">
        <v>289.70000000000005</v>
      </c>
      <c r="N271" s="6">
        <v>-0.80000000000000027</v>
      </c>
      <c r="O271" s="5">
        <f t="shared" si="26"/>
        <v>98.000000000000028</v>
      </c>
      <c r="P271" s="5">
        <v>227</v>
      </c>
      <c r="Q271" s="5">
        <v>1.1499999999999999</v>
      </c>
      <c r="R271" s="8">
        <f t="shared" si="23"/>
        <v>4.2549999999999999</v>
      </c>
      <c r="S271" s="8">
        <f t="shared" si="24"/>
        <v>-1.355</v>
      </c>
      <c r="T271" s="8">
        <f t="shared" si="25"/>
        <v>89.638780487804866</v>
      </c>
      <c r="U271" s="8">
        <f>MIN(T264:T284)</f>
        <v>78.233780487804879</v>
      </c>
      <c r="V271" s="5">
        <v>1854.4</v>
      </c>
      <c r="W271" s="5">
        <v>137.36296296296297</v>
      </c>
      <c r="X271" s="5">
        <v>144122</v>
      </c>
      <c r="Y271" s="5">
        <f t="shared" si="28"/>
        <v>16533.400000000001</v>
      </c>
      <c r="AA271" s="5">
        <v>14.2976421435191</v>
      </c>
    </row>
    <row r="272" spans="1:27" s="5" customFormat="1" x14ac:dyDescent="0.25">
      <c r="A272" s="30"/>
      <c r="B272" s="9"/>
      <c r="C272" s="4">
        <v>42119</v>
      </c>
      <c r="D272" s="5">
        <v>13.7</v>
      </c>
      <c r="E272" s="5">
        <v>11.9</v>
      </c>
      <c r="F272" s="5">
        <v>15.9</v>
      </c>
      <c r="G272" s="5">
        <v>1893.2000000000005</v>
      </c>
      <c r="H272" s="5">
        <f t="shared" si="27"/>
        <v>103.5</v>
      </c>
      <c r="I272" s="31" t="s">
        <v>13</v>
      </c>
      <c r="J272" s="5">
        <v>2</v>
      </c>
      <c r="K272" s="5">
        <v>435.3</v>
      </c>
      <c r="L272" s="5">
        <v>1.7</v>
      </c>
      <c r="M272" s="5">
        <v>291.40000000000003</v>
      </c>
      <c r="N272" s="5">
        <v>0.30000000000000004</v>
      </c>
      <c r="O272" s="5">
        <f t="shared" si="26"/>
        <v>98.300000000000026</v>
      </c>
      <c r="P272" s="5">
        <v>228</v>
      </c>
      <c r="Q272" s="5">
        <v>1.1499999999999999</v>
      </c>
      <c r="R272" s="8">
        <f t="shared" si="23"/>
        <v>1.9549999999999998</v>
      </c>
      <c r="S272" s="8">
        <f t="shared" si="24"/>
        <v>4.5000000000000151E-2</v>
      </c>
      <c r="T272" s="8">
        <f t="shared" si="25"/>
        <v>89.683780487804867</v>
      </c>
      <c r="U272" s="31" t="s">
        <v>14</v>
      </c>
      <c r="V272" s="12">
        <v>403.8</v>
      </c>
      <c r="W272" s="5">
        <v>29.474452554744527</v>
      </c>
      <c r="X272" s="5">
        <v>144525.79999999999</v>
      </c>
      <c r="Y272" s="5">
        <f t="shared" si="28"/>
        <v>16937.2</v>
      </c>
      <c r="AA272" s="5">
        <v>14.3571607006006</v>
      </c>
    </row>
    <row r="273" spans="1:27" s="24" customFormat="1" x14ac:dyDescent="0.25">
      <c r="A273" s="30"/>
      <c r="B273" s="33"/>
      <c r="C273" s="4">
        <v>42120</v>
      </c>
      <c r="D273" s="24">
        <v>12.5</v>
      </c>
      <c r="E273" s="24">
        <v>11.4</v>
      </c>
      <c r="F273" s="24">
        <v>16.2</v>
      </c>
      <c r="G273" s="24">
        <v>1905.7000000000005</v>
      </c>
      <c r="H273" s="5">
        <f t="shared" si="27"/>
        <v>116</v>
      </c>
      <c r="I273" s="5">
        <v>0</v>
      </c>
      <c r="J273" s="24">
        <v>5.8</v>
      </c>
      <c r="K273" s="24">
        <v>441.1</v>
      </c>
      <c r="L273" s="24">
        <v>1.5</v>
      </c>
      <c r="M273" s="24">
        <v>292.90000000000003</v>
      </c>
      <c r="N273" s="24">
        <v>4.3</v>
      </c>
      <c r="O273" s="24">
        <f t="shared" si="26"/>
        <v>102.60000000000002</v>
      </c>
      <c r="P273" s="24">
        <v>229</v>
      </c>
      <c r="Q273" s="5">
        <v>1.1499999999999999</v>
      </c>
      <c r="R273" s="27">
        <f t="shared" si="23"/>
        <v>1.7249999999999999</v>
      </c>
      <c r="S273" s="27">
        <f t="shared" si="24"/>
        <v>4.0750000000000002</v>
      </c>
      <c r="T273" s="8">
        <f t="shared" si="25"/>
        <v>93.75878048780487</v>
      </c>
      <c r="U273" s="8">
        <f>MAX(T264:T284)</f>
        <v>114.91378048780487</v>
      </c>
      <c r="V273" s="24">
        <v>516.6</v>
      </c>
      <c r="W273" s="24">
        <v>41.328000000000003</v>
      </c>
      <c r="X273" s="24">
        <v>145042.4</v>
      </c>
      <c r="Y273" s="5">
        <f t="shared" si="28"/>
        <v>17453.8</v>
      </c>
      <c r="AA273" s="5">
        <v>14.4163494348774</v>
      </c>
    </row>
    <row r="274" spans="1:27" s="5" customFormat="1" ht="15" customHeight="1" x14ac:dyDescent="0.25">
      <c r="A274" s="30"/>
      <c r="B274" s="9"/>
      <c r="C274" s="4">
        <v>42121</v>
      </c>
      <c r="D274" s="5">
        <v>8.6</v>
      </c>
      <c r="E274" s="5">
        <v>6.6</v>
      </c>
      <c r="F274" s="5">
        <v>12.6</v>
      </c>
      <c r="G274" s="5">
        <v>1914.3000000000004</v>
      </c>
      <c r="H274" s="5">
        <f t="shared" si="27"/>
        <v>124.6</v>
      </c>
      <c r="I274" s="31" t="s">
        <v>15</v>
      </c>
      <c r="J274" s="5">
        <v>0</v>
      </c>
      <c r="K274" s="5">
        <v>441.1</v>
      </c>
      <c r="L274" s="5">
        <v>3.1</v>
      </c>
      <c r="M274" s="5">
        <v>296.00000000000006</v>
      </c>
      <c r="N274" s="6">
        <v>-3.1</v>
      </c>
      <c r="O274" s="5">
        <f t="shared" si="26"/>
        <v>99.500000000000028</v>
      </c>
      <c r="P274" s="5">
        <v>230</v>
      </c>
      <c r="Q274" s="5">
        <v>1.1499999999999999</v>
      </c>
      <c r="R274" s="8">
        <f t="shared" si="23"/>
        <v>3.5649999999999999</v>
      </c>
      <c r="S274" s="8">
        <f t="shared" si="24"/>
        <v>-3.5649999999999999</v>
      </c>
      <c r="T274" s="8">
        <f t="shared" si="25"/>
        <v>90.193780487804872</v>
      </c>
      <c r="U274" s="31" t="s">
        <v>16</v>
      </c>
      <c r="V274" s="5">
        <v>1719.1</v>
      </c>
      <c r="W274" s="5">
        <v>199.8953488372093</v>
      </c>
      <c r="X274" s="5">
        <v>146761.5</v>
      </c>
      <c r="Y274" s="5">
        <f t="shared" si="28"/>
        <v>19172.899999999998</v>
      </c>
      <c r="AA274" s="5">
        <v>14.475192095382001</v>
      </c>
    </row>
    <row r="275" spans="1:27" s="5" customFormat="1" x14ac:dyDescent="0.25">
      <c r="A275" s="30"/>
      <c r="B275" s="9"/>
      <c r="C275" s="4">
        <v>42122</v>
      </c>
      <c r="D275" s="5">
        <v>8.1999999999999993</v>
      </c>
      <c r="E275" s="15">
        <v>2.6</v>
      </c>
      <c r="F275" s="5">
        <v>12.8</v>
      </c>
      <c r="G275" s="5">
        <v>1922.5000000000005</v>
      </c>
      <c r="H275" s="5">
        <f t="shared" si="27"/>
        <v>132.79999999999998</v>
      </c>
      <c r="I275" s="24">
        <v>5</v>
      </c>
      <c r="J275" s="5">
        <v>0</v>
      </c>
      <c r="K275" s="5">
        <v>441.1</v>
      </c>
      <c r="L275" s="5">
        <v>3.3</v>
      </c>
      <c r="M275" s="5">
        <v>299.30000000000007</v>
      </c>
      <c r="N275" s="6">
        <v>-3.3</v>
      </c>
      <c r="O275" s="5">
        <f t="shared" si="26"/>
        <v>96.200000000000031</v>
      </c>
      <c r="P275" s="5">
        <v>231</v>
      </c>
      <c r="Q275" s="5">
        <v>1.1499999999999999</v>
      </c>
      <c r="R275" s="8">
        <f t="shared" si="23"/>
        <v>3.7949999999999995</v>
      </c>
      <c r="S275" s="8">
        <f t="shared" si="24"/>
        <v>-3.7949999999999995</v>
      </c>
      <c r="T275" s="8">
        <f t="shared" si="25"/>
        <v>86.398780487804871</v>
      </c>
      <c r="U275" s="13">
        <f>AVERAGE(T264:T284)</f>
        <v>93.884970963995357</v>
      </c>
      <c r="V275" s="5">
        <v>2038.6</v>
      </c>
      <c r="W275" s="5">
        <v>248.60975609756099</v>
      </c>
      <c r="X275" s="5">
        <v>148800.1</v>
      </c>
      <c r="Y275" s="5">
        <f t="shared" si="28"/>
        <v>21211.499999999996</v>
      </c>
      <c r="AA275" s="5">
        <v>14.5336718382007</v>
      </c>
    </row>
    <row r="276" spans="1:27" s="5" customFormat="1" x14ac:dyDescent="0.25">
      <c r="A276" s="30"/>
      <c r="B276" s="9"/>
      <c r="C276" s="4">
        <v>42123</v>
      </c>
      <c r="D276" s="5">
        <v>9.8000000000000007</v>
      </c>
      <c r="E276" s="15">
        <v>3.7</v>
      </c>
      <c r="F276" s="5">
        <v>14.7</v>
      </c>
      <c r="G276" s="5">
        <v>1932.3000000000004</v>
      </c>
      <c r="H276" s="5">
        <f t="shared" si="27"/>
        <v>142.6</v>
      </c>
      <c r="I276" s="31" t="s">
        <v>17</v>
      </c>
      <c r="J276" s="5">
        <v>2.2000000000000002</v>
      </c>
      <c r="K276" s="5">
        <v>443.3</v>
      </c>
      <c r="L276" s="5">
        <v>2.5</v>
      </c>
      <c r="M276" s="5">
        <v>301.80000000000007</v>
      </c>
      <c r="N276" s="6">
        <v>-0.29999999999999982</v>
      </c>
      <c r="O276" s="5">
        <f t="shared" si="26"/>
        <v>95.900000000000034</v>
      </c>
      <c r="P276" s="5">
        <v>232</v>
      </c>
      <c r="Q276" s="5">
        <v>1.1499999999999999</v>
      </c>
      <c r="R276" s="8">
        <f t="shared" si="23"/>
        <v>2.875</v>
      </c>
      <c r="S276" s="8">
        <f t="shared" si="24"/>
        <v>-0.67499999999999982</v>
      </c>
      <c r="T276" s="8">
        <f t="shared" si="25"/>
        <v>85.723780487804873</v>
      </c>
      <c r="U276" s="29"/>
      <c r="V276" s="5">
        <v>1314.2</v>
      </c>
      <c r="W276" s="5">
        <v>134.10204081632654</v>
      </c>
      <c r="X276" s="5">
        <v>150114.30000000002</v>
      </c>
      <c r="Y276" s="5">
        <f t="shared" si="28"/>
        <v>22525.699999999997</v>
      </c>
      <c r="AA276" s="5">
        <v>14.591771216438801</v>
      </c>
    </row>
    <row r="277" spans="1:27" s="5" customFormat="1" x14ac:dyDescent="0.25">
      <c r="A277" s="30"/>
      <c r="B277" s="9"/>
      <c r="C277" s="4">
        <v>42124</v>
      </c>
      <c r="D277" s="5">
        <v>9.5</v>
      </c>
      <c r="E277" s="5">
        <v>7.5</v>
      </c>
      <c r="F277" s="5">
        <v>13.2</v>
      </c>
      <c r="G277" s="5">
        <v>1941.8000000000004</v>
      </c>
      <c r="H277" s="5">
        <f t="shared" si="27"/>
        <v>152.1</v>
      </c>
      <c r="I277" s="5">
        <v>243.5</v>
      </c>
      <c r="J277" s="5">
        <v>0.1</v>
      </c>
      <c r="K277" s="5">
        <v>443.40000000000003</v>
      </c>
      <c r="L277" s="5">
        <v>3.2</v>
      </c>
      <c r="M277" s="5">
        <v>305.00000000000006</v>
      </c>
      <c r="N277" s="6">
        <v>-3.1</v>
      </c>
      <c r="O277" s="5">
        <f t="shared" si="26"/>
        <v>92.80000000000004</v>
      </c>
      <c r="P277" s="5">
        <v>233</v>
      </c>
      <c r="Q277" s="5">
        <v>1.1499999999999999</v>
      </c>
      <c r="R277" s="8">
        <f t="shared" si="23"/>
        <v>3.6799999999999997</v>
      </c>
      <c r="S277" s="8">
        <f t="shared" si="24"/>
        <v>-3.5799999999999996</v>
      </c>
      <c r="T277" s="8">
        <f t="shared" si="25"/>
        <v>82.143780487804875</v>
      </c>
      <c r="U277" s="8">
        <f>(U275*100)/153.6</f>
        <v>61.123027971351149</v>
      </c>
      <c r="V277" s="5">
        <v>1958.3</v>
      </c>
      <c r="W277" s="5">
        <v>206.13684210526316</v>
      </c>
      <c r="X277" s="5">
        <v>152072.6</v>
      </c>
      <c r="Y277" s="5">
        <f t="shared" si="28"/>
        <v>24483.999999999996</v>
      </c>
      <c r="AA277" s="5">
        <v>14.649472171332301</v>
      </c>
    </row>
    <row r="278" spans="1:27" s="5" customFormat="1" x14ac:dyDescent="0.25">
      <c r="A278" s="30"/>
      <c r="B278" s="9"/>
      <c r="C278" s="4">
        <v>42125</v>
      </c>
      <c r="D278" s="5">
        <v>9.8000000000000007</v>
      </c>
      <c r="E278" s="15">
        <v>4</v>
      </c>
      <c r="F278" s="5">
        <v>13.2</v>
      </c>
      <c r="G278" s="5">
        <v>1951.6000000000004</v>
      </c>
      <c r="H278" s="5">
        <f t="shared" si="27"/>
        <v>161.9</v>
      </c>
      <c r="J278" s="5">
        <v>0</v>
      </c>
      <c r="K278" s="5">
        <v>443.40000000000003</v>
      </c>
      <c r="L278" s="5">
        <v>1.7</v>
      </c>
      <c r="M278" s="5">
        <v>306.70000000000005</v>
      </c>
      <c r="N278" s="6">
        <v>-1.7</v>
      </c>
      <c r="O278" s="5">
        <f t="shared" si="26"/>
        <v>91.100000000000037</v>
      </c>
      <c r="P278" s="5">
        <v>234</v>
      </c>
      <c r="Q278" s="5">
        <v>1.1499999999999999</v>
      </c>
      <c r="R278" s="8">
        <f t="shared" si="23"/>
        <v>1.9549999999999998</v>
      </c>
      <c r="S278" s="8">
        <f t="shared" si="24"/>
        <v>-1.9549999999999998</v>
      </c>
      <c r="T278" s="8">
        <f t="shared" si="25"/>
        <v>80.188780487804877</v>
      </c>
      <c r="V278" s="12">
        <v>892.9</v>
      </c>
      <c r="W278" s="5">
        <v>91.112244897959172</v>
      </c>
      <c r="X278" s="5">
        <v>152965.5</v>
      </c>
      <c r="Y278" s="5">
        <f t="shared" si="28"/>
        <v>25376.899999999998</v>
      </c>
      <c r="AA278" s="5">
        <v>14.706756024615499</v>
      </c>
    </row>
    <row r="279" spans="1:27" s="5" customFormat="1" x14ac:dyDescent="0.25">
      <c r="A279" s="30"/>
      <c r="B279" s="9"/>
      <c r="C279" s="4">
        <v>42126</v>
      </c>
      <c r="D279" s="5">
        <v>11.9</v>
      </c>
      <c r="E279" s="5">
        <v>8.1</v>
      </c>
      <c r="F279" s="5">
        <v>14.6</v>
      </c>
      <c r="G279" s="5">
        <v>1963.5000000000005</v>
      </c>
      <c r="H279" s="5">
        <f t="shared" si="27"/>
        <v>173.8</v>
      </c>
      <c r="J279" s="5">
        <v>0</v>
      </c>
      <c r="K279" s="5">
        <v>443.40000000000003</v>
      </c>
      <c r="L279" s="5">
        <v>1.7</v>
      </c>
      <c r="M279" s="5">
        <v>308.40000000000003</v>
      </c>
      <c r="N279" s="6">
        <v>-1.7</v>
      </c>
      <c r="O279" s="5">
        <f t="shared" si="26"/>
        <v>89.400000000000034</v>
      </c>
      <c r="P279" s="5">
        <v>235</v>
      </c>
      <c r="Q279" s="5">
        <v>1.1499999999999999</v>
      </c>
      <c r="R279" s="8">
        <f t="shared" si="23"/>
        <v>1.9549999999999998</v>
      </c>
      <c r="S279" s="8">
        <f t="shared" si="24"/>
        <v>-1.9549999999999998</v>
      </c>
      <c r="T279" s="8">
        <f t="shared" si="25"/>
        <v>78.233780487804879</v>
      </c>
      <c r="V279" s="12">
        <v>850.9</v>
      </c>
      <c r="W279" s="5">
        <v>71.504201680672267</v>
      </c>
      <c r="X279" s="5">
        <v>153816.4</v>
      </c>
      <c r="Y279" s="5">
        <f t="shared" si="28"/>
        <v>26227.8</v>
      </c>
      <c r="AA279" s="5">
        <v>14.7636034722596</v>
      </c>
    </row>
    <row r="280" spans="1:27" s="5" customFormat="1" x14ac:dyDescent="0.25">
      <c r="A280" s="30"/>
      <c r="B280" s="9"/>
      <c r="C280" s="4">
        <v>42127</v>
      </c>
      <c r="D280" s="5">
        <v>14.3</v>
      </c>
      <c r="E280" s="5">
        <v>12.1</v>
      </c>
      <c r="F280" s="5">
        <v>17</v>
      </c>
      <c r="G280" s="5">
        <v>1977.8000000000004</v>
      </c>
      <c r="H280" s="5">
        <f t="shared" si="27"/>
        <v>188.10000000000002</v>
      </c>
      <c r="J280" s="5">
        <v>4.5</v>
      </c>
      <c r="K280" s="5">
        <v>447.90000000000003</v>
      </c>
      <c r="L280" s="5">
        <v>1.3</v>
      </c>
      <c r="M280" s="5">
        <v>309.70000000000005</v>
      </c>
      <c r="N280" s="5">
        <v>3.2</v>
      </c>
      <c r="O280" s="5">
        <f t="shared" si="26"/>
        <v>92.600000000000037</v>
      </c>
      <c r="P280" s="5">
        <v>236</v>
      </c>
      <c r="Q280" s="5">
        <v>1.1499999999999999</v>
      </c>
      <c r="R280" s="8">
        <f t="shared" si="23"/>
        <v>1.4949999999999999</v>
      </c>
      <c r="S280" s="8">
        <f t="shared" si="24"/>
        <v>3.0049999999999999</v>
      </c>
      <c r="T280" s="8">
        <f t="shared" si="25"/>
        <v>81.238780487804874</v>
      </c>
      <c r="V280" s="12">
        <v>449.7</v>
      </c>
      <c r="W280" s="5">
        <v>31.447552447552447</v>
      </c>
      <c r="X280" s="5">
        <v>154266.1</v>
      </c>
      <c r="Y280" s="5">
        <f t="shared" si="28"/>
        <v>26677.5</v>
      </c>
      <c r="AA280" s="5">
        <v>14.8199945797039</v>
      </c>
    </row>
    <row r="281" spans="1:27" s="5" customFormat="1" x14ac:dyDescent="0.25">
      <c r="A281" s="30"/>
      <c r="B281" s="9"/>
      <c r="C281" s="4">
        <v>42128</v>
      </c>
      <c r="D281" s="5">
        <v>15.2</v>
      </c>
      <c r="E281" s="5">
        <v>11.7</v>
      </c>
      <c r="F281" s="5">
        <v>18.600000000000001</v>
      </c>
      <c r="G281" s="5">
        <v>1993.0000000000005</v>
      </c>
      <c r="H281" s="5">
        <f t="shared" si="27"/>
        <v>203.3</v>
      </c>
      <c r="J281" s="5">
        <v>21.8</v>
      </c>
      <c r="K281" s="5">
        <v>469.70000000000005</v>
      </c>
      <c r="L281" s="5">
        <v>2.6</v>
      </c>
      <c r="M281" s="5">
        <v>312.30000000000007</v>
      </c>
      <c r="N281" s="5">
        <v>19.2</v>
      </c>
      <c r="O281" s="5">
        <f t="shared" si="26"/>
        <v>111.80000000000004</v>
      </c>
      <c r="P281" s="5">
        <v>237</v>
      </c>
      <c r="Q281" s="5">
        <v>1.1499999999999999</v>
      </c>
      <c r="R281" s="8">
        <f t="shared" si="23"/>
        <v>2.9899999999999998</v>
      </c>
      <c r="S281" s="8">
        <f t="shared" si="24"/>
        <v>18.810000000000002</v>
      </c>
      <c r="T281" s="8">
        <f t="shared" si="25"/>
        <v>100.04878048780488</v>
      </c>
      <c r="V281" s="5">
        <v>1081.7</v>
      </c>
      <c r="W281" s="5">
        <v>71.164473684210535</v>
      </c>
      <c r="X281" s="5">
        <v>155347.80000000002</v>
      </c>
      <c r="Y281" s="5">
        <f t="shared" si="28"/>
        <v>27759.200000000001</v>
      </c>
      <c r="AA281" s="5">
        <v>14.875908778705799</v>
      </c>
    </row>
    <row r="282" spans="1:27" s="24" customFormat="1" x14ac:dyDescent="0.25">
      <c r="A282" s="63"/>
      <c r="B282" s="33"/>
      <c r="C282" s="23">
        <v>42129</v>
      </c>
      <c r="D282" s="24">
        <v>15.7</v>
      </c>
      <c r="E282" s="24">
        <v>15.5</v>
      </c>
      <c r="F282" s="24">
        <v>17</v>
      </c>
      <c r="G282" s="24">
        <v>2008.7000000000005</v>
      </c>
      <c r="H282" s="5">
        <f t="shared" si="27"/>
        <v>219</v>
      </c>
      <c r="J282" s="24">
        <v>4.8</v>
      </c>
      <c r="K282" s="24">
        <v>474.50000000000006</v>
      </c>
      <c r="L282" s="24">
        <v>3.5</v>
      </c>
      <c r="M282" s="24">
        <v>315.80000000000007</v>
      </c>
      <c r="N282" s="24">
        <v>1.2999999999999998</v>
      </c>
      <c r="O282" s="24">
        <f t="shared" si="26"/>
        <v>113.10000000000004</v>
      </c>
      <c r="P282" s="24">
        <v>238</v>
      </c>
      <c r="Q282" s="24">
        <v>1.1499999999999999</v>
      </c>
      <c r="R282" s="27">
        <f t="shared" si="23"/>
        <v>4.0249999999999995</v>
      </c>
      <c r="S282" s="27">
        <f t="shared" si="24"/>
        <v>0.77500000000000036</v>
      </c>
      <c r="T282" s="8">
        <f t="shared" si="25"/>
        <v>100.82378048780488</v>
      </c>
      <c r="V282" s="24">
        <v>1203.0999999999999</v>
      </c>
      <c r="W282" s="24">
        <v>76.630573248407643</v>
      </c>
      <c r="X282" s="24">
        <v>156550.90000000002</v>
      </c>
      <c r="Y282" s="5">
        <f t="shared" si="28"/>
        <v>28962.3</v>
      </c>
      <c r="AA282" s="24">
        <v>14.931324865939599</v>
      </c>
    </row>
    <row r="283" spans="1:27" s="5" customFormat="1" ht="15" customHeight="1" x14ac:dyDescent="0.25">
      <c r="A283" s="30"/>
      <c r="B283" s="10"/>
      <c r="C283" s="4">
        <v>42130</v>
      </c>
      <c r="D283" s="5">
        <v>12.2</v>
      </c>
      <c r="E283" s="5">
        <v>10.4</v>
      </c>
      <c r="F283" s="5">
        <v>14.3</v>
      </c>
      <c r="G283" s="5">
        <v>2020.9000000000005</v>
      </c>
      <c r="H283" s="5">
        <f t="shared" si="27"/>
        <v>231.2</v>
      </c>
      <c r="J283" s="5">
        <v>1.4</v>
      </c>
      <c r="K283" s="5">
        <v>475.90000000000003</v>
      </c>
      <c r="L283" s="5">
        <v>3.2</v>
      </c>
      <c r="M283" s="5">
        <v>319.00000000000006</v>
      </c>
      <c r="N283" s="6">
        <v>-1.8000000000000003</v>
      </c>
      <c r="O283" s="5">
        <f t="shared" si="26"/>
        <v>111.30000000000004</v>
      </c>
      <c r="P283" s="5">
        <v>239</v>
      </c>
      <c r="Q283" s="5">
        <v>1.1499999999999999</v>
      </c>
      <c r="R283" s="8">
        <f t="shared" si="23"/>
        <v>3.6799999999999997</v>
      </c>
      <c r="S283" s="8">
        <f t="shared" si="24"/>
        <v>-2.2799999999999998</v>
      </c>
      <c r="T283" s="8">
        <f t="shared" si="25"/>
        <v>98.543780487804881</v>
      </c>
      <c r="V283" s="5">
        <v>1369.5</v>
      </c>
      <c r="W283" s="5">
        <v>112.25409836065575</v>
      </c>
      <c r="X283" s="5">
        <v>157920.40000000002</v>
      </c>
      <c r="Y283" s="5">
        <f t="shared" si="28"/>
        <v>30331.8</v>
      </c>
      <c r="AA283" s="5">
        <v>14.9862210034795</v>
      </c>
    </row>
    <row r="284" spans="1:27" s="45" customFormat="1" ht="15.75" thickBot="1" x14ac:dyDescent="0.3">
      <c r="A284" s="54" t="s">
        <v>23</v>
      </c>
      <c r="B284" s="41" t="s">
        <v>50</v>
      </c>
      <c r="C284" s="58">
        <v>42131</v>
      </c>
      <c r="D284" s="45">
        <v>12.3</v>
      </c>
      <c r="E284" s="45">
        <v>9.1999999999999993</v>
      </c>
      <c r="F284" s="45">
        <v>14.6</v>
      </c>
      <c r="G284" s="45">
        <v>2033.2000000000005</v>
      </c>
      <c r="H284" s="45">
        <f t="shared" si="27"/>
        <v>243.5</v>
      </c>
      <c r="J284" s="45">
        <v>0</v>
      </c>
      <c r="K284" s="45">
        <v>475.90000000000003</v>
      </c>
      <c r="L284" s="45">
        <v>3.4</v>
      </c>
      <c r="M284" s="45">
        <v>322.40000000000003</v>
      </c>
      <c r="N284" s="59">
        <v>-3.4</v>
      </c>
      <c r="O284" s="45">
        <f t="shared" si="26"/>
        <v>107.90000000000003</v>
      </c>
      <c r="P284" s="45">
        <v>240</v>
      </c>
      <c r="Q284" s="45">
        <v>1.1499999999999999</v>
      </c>
      <c r="R284" s="47">
        <f t="shared" si="23"/>
        <v>3.9099999999999997</v>
      </c>
      <c r="S284" s="47">
        <f t="shared" si="24"/>
        <v>-3.9099999999999997</v>
      </c>
      <c r="T284" s="47">
        <f t="shared" si="25"/>
        <v>94.633780487804884</v>
      </c>
      <c r="V284" s="45">
        <v>1899.2</v>
      </c>
      <c r="W284" s="45">
        <v>154.40650406504065</v>
      </c>
      <c r="X284" s="45">
        <v>159819.60000000003</v>
      </c>
      <c r="Y284" s="45">
        <f t="shared" si="28"/>
        <v>32231</v>
      </c>
      <c r="AA284" s="45">
        <v>15.0405747213068</v>
      </c>
    </row>
    <row r="285" spans="1:27" s="5" customFormat="1" x14ac:dyDescent="0.25">
      <c r="A285" s="80" t="s">
        <v>51</v>
      </c>
      <c r="B285" s="10"/>
      <c r="C285" s="4">
        <v>42132</v>
      </c>
      <c r="D285" s="5">
        <v>15.4</v>
      </c>
      <c r="E285" s="5">
        <v>11.2</v>
      </c>
      <c r="F285" s="5">
        <v>19.100000000000001</v>
      </c>
      <c r="G285" s="5">
        <v>2048.6000000000004</v>
      </c>
      <c r="H285" s="5">
        <f>D285</f>
        <v>15.4</v>
      </c>
      <c r="I285" s="34" t="s">
        <v>2</v>
      </c>
      <c r="J285" s="5">
        <v>0.7</v>
      </c>
      <c r="K285" s="5">
        <v>476.6</v>
      </c>
      <c r="L285" s="5">
        <v>2.8</v>
      </c>
      <c r="M285" s="5">
        <v>325.20000000000005</v>
      </c>
      <c r="N285" s="6">
        <v>-2.0999999999999996</v>
      </c>
      <c r="O285" s="5">
        <f t="shared" si="26"/>
        <v>105.80000000000004</v>
      </c>
      <c r="P285" s="5">
        <v>241</v>
      </c>
      <c r="Q285" s="5">
        <v>1.1499999999999999</v>
      </c>
      <c r="R285" s="8">
        <f t="shared" si="23"/>
        <v>3.2199999999999998</v>
      </c>
      <c r="S285" s="8">
        <f t="shared" si="24"/>
        <v>-2.5199999999999996</v>
      </c>
      <c r="T285" s="8">
        <f t="shared" si="25"/>
        <v>92.113780487804888</v>
      </c>
      <c r="U285" s="34"/>
      <c r="V285" s="5">
        <v>1362.4</v>
      </c>
      <c r="W285" s="5">
        <v>88.467532467532465</v>
      </c>
      <c r="X285" s="5">
        <v>161182.00000000003</v>
      </c>
      <c r="Y285" s="5">
        <f>V285</f>
        <v>1362.4</v>
      </c>
      <c r="Z285" s="34" t="s">
        <v>4</v>
      </c>
      <c r="AA285" s="5">
        <v>15.094362921979901</v>
      </c>
    </row>
    <row r="286" spans="1:27" s="5" customFormat="1" x14ac:dyDescent="0.25">
      <c r="A286" s="78"/>
      <c r="B286" s="10"/>
      <c r="C286" s="4">
        <v>42133</v>
      </c>
      <c r="D286" s="5">
        <v>13.9</v>
      </c>
      <c r="E286" s="5">
        <v>13.3</v>
      </c>
      <c r="F286" s="5">
        <v>15.3</v>
      </c>
      <c r="G286" s="5">
        <v>2062.5000000000005</v>
      </c>
      <c r="H286" s="5">
        <f t="shared" si="27"/>
        <v>29.3</v>
      </c>
      <c r="I286" s="5">
        <f>MIN(E285:E307)</f>
        <v>6.3</v>
      </c>
      <c r="J286" s="5">
        <v>0</v>
      </c>
      <c r="K286" s="5">
        <v>476.6</v>
      </c>
      <c r="L286" s="5">
        <v>3.1</v>
      </c>
      <c r="M286" s="5">
        <v>328.30000000000007</v>
      </c>
      <c r="N286" s="6">
        <v>-3.1</v>
      </c>
      <c r="O286" s="5">
        <f t="shared" si="26"/>
        <v>102.70000000000005</v>
      </c>
      <c r="P286" s="5">
        <v>242</v>
      </c>
      <c r="Q286" s="5">
        <v>1.1499999999999999</v>
      </c>
      <c r="R286" s="8">
        <f t="shared" si="23"/>
        <v>3.5649999999999999</v>
      </c>
      <c r="S286" s="8">
        <f t="shared" si="24"/>
        <v>-3.5649999999999999</v>
      </c>
      <c r="T286" s="8">
        <f t="shared" si="25"/>
        <v>88.548780487804891</v>
      </c>
      <c r="U286" s="5">
        <v>21</v>
      </c>
      <c r="V286" s="5">
        <v>934.5</v>
      </c>
      <c r="W286" s="5">
        <v>67.230215827338128</v>
      </c>
      <c r="X286" s="5">
        <v>162116.50000000003</v>
      </c>
      <c r="Y286" s="5">
        <f t="shared" si="28"/>
        <v>2296.9</v>
      </c>
      <c r="Z286" s="5">
        <v>36677.9</v>
      </c>
      <c r="AA286" s="5">
        <v>15.147561887615099</v>
      </c>
    </row>
    <row r="287" spans="1:27" s="5" customFormat="1" x14ac:dyDescent="0.25">
      <c r="A287" s="78"/>
      <c r="B287" s="10"/>
      <c r="C287" s="4">
        <v>42134</v>
      </c>
      <c r="D287" s="5">
        <v>15</v>
      </c>
      <c r="E287" s="5">
        <v>9.4</v>
      </c>
      <c r="F287" s="5">
        <v>18.899999999999999</v>
      </c>
      <c r="G287" s="5">
        <v>2077.5000000000005</v>
      </c>
      <c r="H287" s="5">
        <f t="shared" si="27"/>
        <v>44.3</v>
      </c>
      <c r="I287" s="34" t="s">
        <v>5</v>
      </c>
      <c r="J287" s="5">
        <v>0</v>
      </c>
      <c r="K287" s="5">
        <v>476.6</v>
      </c>
      <c r="L287" s="5">
        <v>3.3</v>
      </c>
      <c r="M287" s="5">
        <v>331.60000000000008</v>
      </c>
      <c r="N287" s="6">
        <v>-3.3</v>
      </c>
      <c r="O287" s="5">
        <f t="shared" si="26"/>
        <v>99.400000000000048</v>
      </c>
      <c r="P287" s="5">
        <v>243</v>
      </c>
      <c r="Q287" s="5">
        <v>1.1499999999999999</v>
      </c>
      <c r="R287" s="8">
        <f t="shared" si="23"/>
        <v>3.7949999999999995</v>
      </c>
      <c r="S287" s="8">
        <f t="shared" si="24"/>
        <v>-3.7949999999999995</v>
      </c>
      <c r="T287" s="8">
        <f t="shared" si="25"/>
        <v>84.753780487804889</v>
      </c>
      <c r="U287" s="34" t="s">
        <v>6</v>
      </c>
      <c r="V287" s="5">
        <v>1796.1</v>
      </c>
      <c r="W287" s="5">
        <v>119.74</v>
      </c>
      <c r="X287" s="5">
        <v>163912.60000000003</v>
      </c>
      <c r="Y287" s="5">
        <f t="shared" si="28"/>
        <v>4093</v>
      </c>
      <c r="Z287" s="34" t="s">
        <v>7</v>
      </c>
      <c r="AA287" s="5">
        <v>15.200147289318901</v>
      </c>
    </row>
    <row r="288" spans="1:27" s="5" customFormat="1" x14ac:dyDescent="0.25">
      <c r="A288" s="78"/>
      <c r="B288" s="10"/>
      <c r="C288" s="4">
        <v>42135</v>
      </c>
      <c r="D288" s="5">
        <v>18.3</v>
      </c>
      <c r="E288" s="5">
        <v>13.3</v>
      </c>
      <c r="F288" s="5">
        <v>23.6</v>
      </c>
      <c r="G288" s="5">
        <v>2095.8000000000006</v>
      </c>
      <c r="H288" s="5">
        <f t="shared" si="27"/>
        <v>62.599999999999994</v>
      </c>
      <c r="I288" s="5">
        <f>MAX(F285:F307)</f>
        <v>23.6</v>
      </c>
      <c r="J288" s="5">
        <v>0</v>
      </c>
      <c r="K288" s="5">
        <v>476.6</v>
      </c>
      <c r="L288" s="5">
        <v>3.5</v>
      </c>
      <c r="M288" s="5">
        <v>335.10000000000008</v>
      </c>
      <c r="N288" s="6">
        <v>-3.5</v>
      </c>
      <c r="O288" s="5">
        <f t="shared" si="26"/>
        <v>95.900000000000048</v>
      </c>
      <c r="P288" s="5">
        <v>244</v>
      </c>
      <c r="Q288" s="5">
        <v>1.1499999999999999</v>
      </c>
      <c r="R288" s="8">
        <f t="shared" si="23"/>
        <v>4.0249999999999995</v>
      </c>
      <c r="S288" s="8">
        <f t="shared" si="24"/>
        <v>-4.0249999999999995</v>
      </c>
      <c r="T288" s="8">
        <f t="shared" si="25"/>
        <v>80.728780487804883</v>
      </c>
      <c r="U288" s="5">
        <v>0</v>
      </c>
      <c r="V288" s="5">
        <v>1826.1</v>
      </c>
      <c r="W288" s="5">
        <v>99.78688524590163</v>
      </c>
      <c r="X288" s="5">
        <v>165738.70000000004</v>
      </c>
      <c r="Y288" s="5">
        <f t="shared" si="28"/>
        <v>5919.1</v>
      </c>
      <c r="Z288" s="13">
        <f>(Z286/100)/I298</f>
        <v>1.2029485077074451</v>
      </c>
      <c r="AA288" s="5">
        <v>15.2520941992197</v>
      </c>
    </row>
    <row r="289" spans="1:27" s="5" customFormat="1" x14ac:dyDescent="0.25">
      <c r="A289" s="78"/>
      <c r="B289" s="10"/>
      <c r="C289" s="4">
        <v>42136</v>
      </c>
      <c r="D289" s="5">
        <v>14.7</v>
      </c>
      <c r="E289" s="5">
        <v>13.7</v>
      </c>
      <c r="F289" s="5">
        <v>18.3</v>
      </c>
      <c r="G289" s="5">
        <v>2110.5000000000005</v>
      </c>
      <c r="H289" s="5">
        <f t="shared" si="27"/>
        <v>77.3</v>
      </c>
      <c r="I289" s="34" t="s">
        <v>8</v>
      </c>
      <c r="J289" s="5">
        <v>0</v>
      </c>
      <c r="K289" s="5">
        <v>476.6</v>
      </c>
      <c r="L289" s="5">
        <v>4</v>
      </c>
      <c r="M289" s="5">
        <v>339.10000000000008</v>
      </c>
      <c r="N289" s="6">
        <v>-4</v>
      </c>
      <c r="O289" s="5">
        <f t="shared" si="26"/>
        <v>91.900000000000048</v>
      </c>
      <c r="P289" s="5">
        <v>245</v>
      </c>
      <c r="Q289" s="5">
        <v>1.1499999999999999</v>
      </c>
      <c r="R289" s="8">
        <f t="shared" si="23"/>
        <v>4.5999999999999996</v>
      </c>
      <c r="S289" s="8">
        <f t="shared" si="24"/>
        <v>-4.5999999999999996</v>
      </c>
      <c r="T289" s="8">
        <f t="shared" si="25"/>
        <v>76.128780487804889</v>
      </c>
      <c r="U289" s="34" t="s">
        <v>9</v>
      </c>
      <c r="V289" s="5">
        <v>2070.1999999999998</v>
      </c>
      <c r="W289" s="5">
        <v>140.8299319727891</v>
      </c>
      <c r="X289" s="5">
        <v>167808.90000000005</v>
      </c>
      <c r="Y289" s="5">
        <f t="shared" si="28"/>
        <v>7989.3</v>
      </c>
      <c r="Z289" s="34" t="s">
        <v>10</v>
      </c>
      <c r="AA289" s="5">
        <v>15.3033771052422</v>
      </c>
    </row>
    <row r="290" spans="1:27" s="5" customFormat="1" x14ac:dyDescent="0.25">
      <c r="A290" s="78"/>
      <c r="B290" s="10"/>
      <c r="C290" s="4">
        <v>42137</v>
      </c>
      <c r="D290" s="5">
        <v>13.2</v>
      </c>
      <c r="E290" s="5">
        <v>8.6</v>
      </c>
      <c r="F290" s="5">
        <v>18.399999999999999</v>
      </c>
      <c r="G290" s="5">
        <v>2123.7000000000003</v>
      </c>
      <c r="H290" s="5">
        <f t="shared" si="27"/>
        <v>90.5</v>
      </c>
      <c r="I290" s="5">
        <f>AVERAGE(D285:D307)</f>
        <v>13.256521739130434</v>
      </c>
      <c r="J290" s="5">
        <v>0</v>
      </c>
      <c r="K290" s="5">
        <v>476.6</v>
      </c>
      <c r="L290" s="5">
        <v>4.4000000000000004</v>
      </c>
      <c r="M290" s="5">
        <v>343.50000000000006</v>
      </c>
      <c r="N290" s="6">
        <v>-4.4000000000000004</v>
      </c>
      <c r="O290" s="5">
        <f t="shared" si="26"/>
        <v>87.500000000000043</v>
      </c>
      <c r="P290" s="5">
        <v>246</v>
      </c>
      <c r="Q290" s="5">
        <v>1.1499999999999999</v>
      </c>
      <c r="R290" s="8">
        <f t="shared" si="23"/>
        <v>5.0599999999999996</v>
      </c>
      <c r="S290" s="8">
        <f t="shared" si="24"/>
        <v>-5.0599999999999996</v>
      </c>
      <c r="T290" s="8">
        <f t="shared" si="25"/>
        <v>71.068780487804887</v>
      </c>
      <c r="U290" s="5">
        <v>6</v>
      </c>
      <c r="V290" s="5">
        <v>2425.9</v>
      </c>
      <c r="W290" s="5">
        <v>183.78030303030306</v>
      </c>
      <c r="X290" s="5">
        <v>170234.80000000005</v>
      </c>
      <c r="Y290" s="5">
        <f t="shared" si="28"/>
        <v>10415.200000000001</v>
      </c>
      <c r="Z290" s="5">
        <v>4</v>
      </c>
      <c r="AA290" s="5">
        <v>15.3539699287636</v>
      </c>
    </row>
    <row r="291" spans="1:27" s="5" customFormat="1" x14ac:dyDescent="0.25">
      <c r="A291" s="78"/>
      <c r="B291" s="10"/>
      <c r="C291" s="4">
        <v>42138</v>
      </c>
      <c r="D291" s="5">
        <v>10.4</v>
      </c>
      <c r="E291" s="5">
        <v>9</v>
      </c>
      <c r="F291" s="5">
        <v>14</v>
      </c>
      <c r="G291" s="5">
        <v>2134.1000000000004</v>
      </c>
      <c r="H291" s="5">
        <f t="shared" si="27"/>
        <v>100.9</v>
      </c>
      <c r="I291" s="34" t="s">
        <v>11</v>
      </c>
      <c r="J291" s="5">
        <v>9.1999999999999993</v>
      </c>
      <c r="K291" s="5">
        <v>485.8</v>
      </c>
      <c r="L291" s="5">
        <v>2.2999999999999998</v>
      </c>
      <c r="M291" s="5">
        <v>345.80000000000007</v>
      </c>
      <c r="N291" s="5">
        <v>6.8999999999999995</v>
      </c>
      <c r="O291" s="5">
        <f t="shared" si="26"/>
        <v>94.400000000000048</v>
      </c>
      <c r="P291" s="5">
        <v>247</v>
      </c>
      <c r="Q291" s="5">
        <v>1.1499999999999999</v>
      </c>
      <c r="R291" s="8">
        <f t="shared" si="23"/>
        <v>2.6449999999999996</v>
      </c>
      <c r="S291" s="8">
        <f t="shared" si="24"/>
        <v>6.5549999999999997</v>
      </c>
      <c r="T291" s="8">
        <f t="shared" si="25"/>
        <v>77.623780487804879</v>
      </c>
      <c r="U291" s="34" t="s">
        <v>12</v>
      </c>
      <c r="V291" s="5">
        <v>1025.5999999999999</v>
      </c>
      <c r="W291" s="5">
        <v>98.615384615384599</v>
      </c>
      <c r="X291" s="5">
        <v>171260.40000000005</v>
      </c>
      <c r="Y291" s="5">
        <f t="shared" si="28"/>
        <v>11440.800000000001</v>
      </c>
      <c r="AA291" s="5">
        <v>15.4038460452922</v>
      </c>
    </row>
    <row r="292" spans="1:27" s="5" customFormat="1" x14ac:dyDescent="0.25">
      <c r="A292" s="78"/>
      <c r="B292" s="10"/>
      <c r="C292" s="4">
        <v>42139</v>
      </c>
      <c r="D292" s="5">
        <v>11.2</v>
      </c>
      <c r="E292" s="5">
        <v>9.4</v>
      </c>
      <c r="F292" s="5">
        <v>14.1</v>
      </c>
      <c r="G292" s="5">
        <v>2145.3000000000002</v>
      </c>
      <c r="H292" s="5">
        <f t="shared" si="27"/>
        <v>112.10000000000001</v>
      </c>
      <c r="I292" s="5">
        <v>0</v>
      </c>
      <c r="J292" s="5">
        <v>0</v>
      </c>
      <c r="K292" s="5">
        <v>485.8</v>
      </c>
      <c r="L292" s="5">
        <v>2.1</v>
      </c>
      <c r="M292" s="5">
        <v>347.90000000000009</v>
      </c>
      <c r="N292" s="6">
        <v>-2.1</v>
      </c>
      <c r="O292" s="5">
        <f t="shared" si="26"/>
        <v>92.300000000000054</v>
      </c>
      <c r="P292" s="5">
        <v>248</v>
      </c>
      <c r="Q292" s="5">
        <v>1.1499999999999999</v>
      </c>
      <c r="R292" s="8">
        <f t="shared" si="23"/>
        <v>2.415</v>
      </c>
      <c r="S292" s="8">
        <f t="shared" si="24"/>
        <v>-2.415</v>
      </c>
      <c r="T292" s="8">
        <f t="shared" si="25"/>
        <v>75.208780487804873</v>
      </c>
      <c r="U292" s="8">
        <f>MIN(T285:T307)</f>
        <v>34.368780487804848</v>
      </c>
      <c r="V292" s="12">
        <v>878.5</v>
      </c>
      <c r="W292" s="5">
        <v>78.4375</v>
      </c>
      <c r="X292" s="5">
        <v>172138.90000000005</v>
      </c>
      <c r="Y292" s="5">
        <f t="shared" si="28"/>
        <v>12319.300000000001</v>
      </c>
      <c r="AA292" s="5">
        <v>15.452978308296199</v>
      </c>
    </row>
    <row r="293" spans="1:27" s="5" customFormat="1" x14ac:dyDescent="0.25">
      <c r="A293" s="78"/>
      <c r="B293" s="10"/>
      <c r="C293" s="4">
        <v>42140</v>
      </c>
      <c r="D293" s="5">
        <v>12</v>
      </c>
      <c r="E293" s="5">
        <v>8</v>
      </c>
      <c r="F293" s="5">
        <v>15.5</v>
      </c>
      <c r="G293" s="5">
        <v>2157.3000000000002</v>
      </c>
      <c r="H293" s="5">
        <f t="shared" si="27"/>
        <v>124.10000000000001</v>
      </c>
      <c r="I293" s="34" t="s">
        <v>13</v>
      </c>
      <c r="J293" s="5">
        <v>0.2</v>
      </c>
      <c r="K293" s="5">
        <v>486</v>
      </c>
      <c r="L293" s="5">
        <v>1</v>
      </c>
      <c r="M293" s="5">
        <v>348.90000000000009</v>
      </c>
      <c r="N293" s="6">
        <v>-0.8</v>
      </c>
      <c r="O293" s="5">
        <f t="shared" si="26"/>
        <v>91.500000000000057</v>
      </c>
      <c r="P293" s="5">
        <v>249</v>
      </c>
      <c r="Q293" s="5">
        <v>1.1499999999999999</v>
      </c>
      <c r="R293" s="8">
        <f t="shared" si="23"/>
        <v>1.1499999999999999</v>
      </c>
      <c r="S293" s="8">
        <f t="shared" si="24"/>
        <v>-0.95</v>
      </c>
      <c r="T293" s="8">
        <f t="shared" si="25"/>
        <v>74.25878048780487</v>
      </c>
      <c r="U293" s="34" t="s">
        <v>14</v>
      </c>
      <c r="V293" s="12">
        <v>488.5</v>
      </c>
      <c r="W293" s="5">
        <v>40.708333333333336</v>
      </c>
      <c r="X293" s="5">
        <v>172627.40000000005</v>
      </c>
      <c r="Y293" s="5">
        <f t="shared" si="28"/>
        <v>12807.800000000001</v>
      </c>
      <c r="AA293" s="5">
        <v>15.5013390763079</v>
      </c>
    </row>
    <row r="294" spans="1:27" s="5" customFormat="1" x14ac:dyDescent="0.25">
      <c r="A294" s="78"/>
      <c r="B294" s="10"/>
      <c r="C294" s="4">
        <v>42141</v>
      </c>
      <c r="D294" s="5">
        <v>12.6</v>
      </c>
      <c r="E294" s="5">
        <v>9</v>
      </c>
      <c r="F294" s="5">
        <v>17.2</v>
      </c>
      <c r="G294" s="5">
        <v>2169.9</v>
      </c>
      <c r="H294" s="5">
        <f t="shared" si="27"/>
        <v>136.70000000000002</v>
      </c>
      <c r="I294" s="5">
        <v>0</v>
      </c>
      <c r="J294" s="5">
        <v>0</v>
      </c>
      <c r="K294" s="5">
        <v>486</v>
      </c>
      <c r="L294" s="5">
        <v>3.5</v>
      </c>
      <c r="M294" s="5">
        <v>352.40000000000009</v>
      </c>
      <c r="N294" s="6">
        <v>-3.5</v>
      </c>
      <c r="O294" s="5">
        <f t="shared" si="26"/>
        <v>88.000000000000057</v>
      </c>
      <c r="P294" s="5">
        <v>250</v>
      </c>
      <c r="Q294" s="5">
        <v>1.1499999999999999</v>
      </c>
      <c r="R294" s="8">
        <f t="shared" si="23"/>
        <v>4.0249999999999995</v>
      </c>
      <c r="S294" s="8">
        <f t="shared" si="24"/>
        <v>-4.0249999999999995</v>
      </c>
      <c r="T294" s="8">
        <f t="shared" si="25"/>
        <v>70.233780487804864</v>
      </c>
      <c r="U294" s="8">
        <f>MAX(T285:T307)</f>
        <v>92.113780487804888</v>
      </c>
      <c r="V294" s="5">
        <v>1912.2</v>
      </c>
      <c r="W294" s="5">
        <v>151.76190476190476</v>
      </c>
      <c r="X294" s="5">
        <v>174539.60000000006</v>
      </c>
      <c r="Y294" s="5">
        <f t="shared" si="28"/>
        <v>14720.000000000002</v>
      </c>
      <c r="AA294" s="5">
        <v>15.548900243417201</v>
      </c>
    </row>
    <row r="295" spans="1:27" s="5" customFormat="1" x14ac:dyDescent="0.25">
      <c r="A295" s="78"/>
      <c r="B295" s="10"/>
      <c r="C295" s="4">
        <v>42142</v>
      </c>
      <c r="D295" s="5">
        <v>11.8</v>
      </c>
      <c r="E295" s="5">
        <v>8.3000000000000007</v>
      </c>
      <c r="F295" s="5">
        <v>16.600000000000001</v>
      </c>
      <c r="G295" s="5">
        <v>2181.7000000000003</v>
      </c>
      <c r="H295" s="5">
        <f t="shared" si="27"/>
        <v>148.50000000000003</v>
      </c>
      <c r="I295" s="34" t="s">
        <v>15</v>
      </c>
      <c r="J295" s="5">
        <v>0.8</v>
      </c>
      <c r="K295" s="5">
        <v>486.8</v>
      </c>
      <c r="L295" s="5">
        <v>2.7</v>
      </c>
      <c r="M295" s="5">
        <v>355.10000000000008</v>
      </c>
      <c r="N295" s="6">
        <v>-1.9000000000000001</v>
      </c>
      <c r="O295" s="5">
        <f t="shared" si="26"/>
        <v>86.100000000000051</v>
      </c>
      <c r="P295" s="5">
        <v>251</v>
      </c>
      <c r="Q295" s="5">
        <v>1.1499999999999999</v>
      </c>
      <c r="R295" s="8">
        <f t="shared" si="23"/>
        <v>3.105</v>
      </c>
      <c r="S295" s="8">
        <f t="shared" si="24"/>
        <v>-2.3049999999999997</v>
      </c>
      <c r="T295" s="8">
        <f t="shared" si="25"/>
        <v>67.928780487804858</v>
      </c>
      <c r="U295" s="34" t="s">
        <v>16</v>
      </c>
      <c r="V295" s="5">
        <v>1218.5</v>
      </c>
      <c r="W295" s="5">
        <v>103.26271186440677</v>
      </c>
      <c r="X295" s="5">
        <v>175758.10000000006</v>
      </c>
      <c r="Y295" s="5">
        <f t="shared" si="28"/>
        <v>15938.500000000002</v>
      </c>
      <c r="AA295" s="5">
        <v>15.595633273255</v>
      </c>
    </row>
    <row r="296" spans="1:27" s="5" customFormat="1" x14ac:dyDescent="0.25">
      <c r="A296" s="78"/>
      <c r="B296" s="10"/>
      <c r="C296" s="4">
        <v>42143</v>
      </c>
      <c r="D296" s="5">
        <v>10.1</v>
      </c>
      <c r="E296" s="5">
        <v>8.1999999999999993</v>
      </c>
      <c r="F296" s="5">
        <v>12.9</v>
      </c>
      <c r="G296" s="5">
        <v>2191.8000000000002</v>
      </c>
      <c r="H296" s="5">
        <f t="shared" si="27"/>
        <v>158.60000000000002</v>
      </c>
      <c r="I296" s="5">
        <v>0</v>
      </c>
      <c r="J296" s="5">
        <v>3.6</v>
      </c>
      <c r="K296" s="5">
        <v>490.40000000000003</v>
      </c>
      <c r="L296" s="5">
        <v>2.8</v>
      </c>
      <c r="M296" s="5">
        <v>357.90000000000009</v>
      </c>
      <c r="N296" s="5">
        <v>0.80000000000000027</v>
      </c>
      <c r="O296" s="5">
        <f t="shared" si="26"/>
        <v>86.900000000000048</v>
      </c>
      <c r="P296" s="5">
        <v>252</v>
      </c>
      <c r="Q296" s="5">
        <v>1.1499999999999999</v>
      </c>
      <c r="R296" s="8">
        <f t="shared" si="23"/>
        <v>3.2199999999999998</v>
      </c>
      <c r="S296" s="8">
        <f t="shared" si="24"/>
        <v>0.38000000000000034</v>
      </c>
      <c r="T296" s="8">
        <f t="shared" si="25"/>
        <v>68.308780487804853</v>
      </c>
      <c r="U296" s="13">
        <f>AVERAGE(T285:T307)</f>
        <v>63.53551961823964</v>
      </c>
      <c r="V296" s="5">
        <v>1514.5</v>
      </c>
      <c r="W296" s="5">
        <v>149.95049504950495</v>
      </c>
      <c r="X296" s="5">
        <v>177272.60000000006</v>
      </c>
      <c r="Y296" s="5">
        <f t="shared" si="28"/>
        <v>17453</v>
      </c>
      <c r="AA296" s="5">
        <v>15.6415092365555</v>
      </c>
    </row>
    <row r="297" spans="1:27" s="5" customFormat="1" x14ac:dyDescent="0.25">
      <c r="A297" s="78"/>
      <c r="B297" s="10"/>
      <c r="C297" s="4">
        <v>42144</v>
      </c>
      <c r="D297" s="5">
        <v>10.199999999999999</v>
      </c>
      <c r="E297" s="5">
        <v>6.3</v>
      </c>
      <c r="F297" s="5">
        <v>13.3</v>
      </c>
      <c r="G297" s="5">
        <v>2202</v>
      </c>
      <c r="H297" s="5">
        <f t="shared" si="27"/>
        <v>168.8</v>
      </c>
      <c r="I297" s="34" t="s">
        <v>17</v>
      </c>
      <c r="J297" s="5">
        <v>0.6</v>
      </c>
      <c r="K297" s="5">
        <v>491.00000000000006</v>
      </c>
      <c r="L297" s="5">
        <v>3.1</v>
      </c>
      <c r="M297" s="5">
        <v>361.00000000000011</v>
      </c>
      <c r="N297" s="6">
        <v>-2.5</v>
      </c>
      <c r="O297" s="5">
        <f t="shared" si="26"/>
        <v>84.400000000000048</v>
      </c>
      <c r="P297" s="5">
        <v>253</v>
      </c>
      <c r="Q297" s="5">
        <v>1.1499999999999999</v>
      </c>
      <c r="R297" s="8">
        <f t="shared" si="23"/>
        <v>3.5649999999999999</v>
      </c>
      <c r="S297" s="8">
        <f t="shared" si="24"/>
        <v>-2.9649999999999999</v>
      </c>
      <c r="T297" s="8">
        <f t="shared" si="25"/>
        <v>65.34378048780485</v>
      </c>
      <c r="V297" s="5">
        <v>2031.7</v>
      </c>
      <c r="W297" s="5">
        <v>199.18627450980395</v>
      </c>
      <c r="X297" s="5">
        <v>179304.30000000008</v>
      </c>
      <c r="Y297" s="5">
        <f t="shared" si="28"/>
        <v>19484.7</v>
      </c>
      <c r="AA297" s="5">
        <v>15.6864988523675</v>
      </c>
    </row>
    <row r="298" spans="1:27" s="24" customFormat="1" x14ac:dyDescent="0.25">
      <c r="A298" s="78"/>
      <c r="B298" s="22"/>
      <c r="C298" s="23">
        <v>42145</v>
      </c>
      <c r="D298" s="24">
        <v>12.9</v>
      </c>
      <c r="E298" s="24">
        <v>7</v>
      </c>
      <c r="F298" s="24">
        <v>16.600000000000001</v>
      </c>
      <c r="G298" s="24">
        <v>2214.9</v>
      </c>
      <c r="H298" s="5">
        <f t="shared" si="27"/>
        <v>181.70000000000002</v>
      </c>
      <c r="I298" s="5">
        <v>304.89999999999998</v>
      </c>
      <c r="J298" s="24">
        <v>0</v>
      </c>
      <c r="K298" s="24">
        <v>491.00000000000006</v>
      </c>
      <c r="L298" s="24">
        <v>3.3</v>
      </c>
      <c r="M298" s="24">
        <v>364.30000000000013</v>
      </c>
      <c r="N298" s="26">
        <v>-3.3</v>
      </c>
      <c r="O298" s="24">
        <f t="shared" si="26"/>
        <v>81.100000000000051</v>
      </c>
      <c r="P298" s="24">
        <v>254</v>
      </c>
      <c r="Q298" s="5">
        <v>1.1499999999999999</v>
      </c>
      <c r="R298" s="27">
        <f t="shared" si="23"/>
        <v>3.7949999999999995</v>
      </c>
      <c r="S298" s="27">
        <f t="shared" si="24"/>
        <v>-3.7949999999999995</v>
      </c>
      <c r="T298" s="8">
        <f t="shared" si="25"/>
        <v>61.548780487804848</v>
      </c>
      <c r="U298" s="8">
        <f>(U296*100)/153.6</f>
        <v>41.364270584791434</v>
      </c>
      <c r="V298" s="24">
        <v>2132.5</v>
      </c>
      <c r="W298" s="24">
        <v>165.31007751937983</v>
      </c>
      <c r="X298" s="24">
        <v>181436.80000000008</v>
      </c>
      <c r="Y298" s="5">
        <f t="shared" si="28"/>
        <v>21617.200000000001</v>
      </c>
      <c r="AA298" s="5">
        <v>15.7305725329682</v>
      </c>
    </row>
    <row r="299" spans="1:27" s="5" customFormat="1" ht="15" customHeight="1" x14ac:dyDescent="0.25">
      <c r="A299" s="78"/>
      <c r="B299" s="10"/>
      <c r="C299" s="4">
        <v>42146</v>
      </c>
      <c r="D299" s="5">
        <v>13.8</v>
      </c>
      <c r="E299" s="5">
        <v>9.5</v>
      </c>
      <c r="F299" s="5">
        <v>17.600000000000001</v>
      </c>
      <c r="G299" s="5">
        <v>2228.7000000000003</v>
      </c>
      <c r="H299" s="5">
        <f t="shared" si="27"/>
        <v>195.50000000000003</v>
      </c>
      <c r="J299" s="5">
        <v>0</v>
      </c>
      <c r="K299" s="5">
        <v>491.00000000000006</v>
      </c>
      <c r="L299" s="5">
        <v>2.5</v>
      </c>
      <c r="M299" s="5">
        <v>366.80000000000013</v>
      </c>
      <c r="N299" s="6">
        <v>-2.5</v>
      </c>
      <c r="O299" s="5">
        <f t="shared" si="26"/>
        <v>78.600000000000051</v>
      </c>
      <c r="P299" s="5">
        <v>255</v>
      </c>
      <c r="Q299" s="5">
        <v>1.1499999999999999</v>
      </c>
      <c r="R299" s="8">
        <f t="shared" si="23"/>
        <v>2.875</v>
      </c>
      <c r="S299" s="8">
        <f t="shared" si="24"/>
        <v>-2.875</v>
      </c>
      <c r="T299" s="8">
        <f t="shared" si="25"/>
        <v>58.673780487804848</v>
      </c>
      <c r="V299" s="5">
        <v>1333.4</v>
      </c>
      <c r="W299" s="5">
        <v>96.623188405797109</v>
      </c>
      <c r="X299" s="5">
        <v>182770.20000000007</v>
      </c>
      <c r="Y299" s="5">
        <f t="shared" si="28"/>
        <v>22950.600000000002</v>
      </c>
      <c r="AA299" s="5">
        <v>15.773700432508999</v>
      </c>
    </row>
    <row r="300" spans="1:27" s="5" customFormat="1" x14ac:dyDescent="0.25">
      <c r="A300" s="78"/>
      <c r="B300" s="10"/>
      <c r="C300" s="4">
        <v>42147</v>
      </c>
      <c r="D300" s="5">
        <v>14.2</v>
      </c>
      <c r="E300" s="5">
        <v>12</v>
      </c>
      <c r="F300" s="5">
        <v>17.899999999999999</v>
      </c>
      <c r="G300" s="5">
        <v>2242.9</v>
      </c>
      <c r="H300" s="5">
        <f t="shared" si="27"/>
        <v>209.70000000000002</v>
      </c>
      <c r="J300" s="5">
        <v>0</v>
      </c>
      <c r="K300" s="5">
        <v>491.00000000000006</v>
      </c>
      <c r="L300" s="5">
        <v>2</v>
      </c>
      <c r="M300" s="5">
        <v>368.80000000000013</v>
      </c>
      <c r="N300" s="6">
        <v>-2</v>
      </c>
      <c r="O300" s="5">
        <f t="shared" si="26"/>
        <v>76.600000000000051</v>
      </c>
      <c r="P300" s="5">
        <v>256</v>
      </c>
      <c r="Q300" s="5">
        <v>1.1499999999999999</v>
      </c>
      <c r="R300" s="8">
        <f t="shared" si="23"/>
        <v>2.2999999999999998</v>
      </c>
      <c r="S300" s="8">
        <f t="shared" si="24"/>
        <v>-2.2999999999999998</v>
      </c>
      <c r="T300" s="8">
        <f t="shared" si="25"/>
        <v>56.373780487804851</v>
      </c>
      <c r="V300" s="12">
        <v>883.6</v>
      </c>
      <c r="W300" s="5">
        <v>62.225352112676063</v>
      </c>
      <c r="X300" s="5">
        <v>183653.80000000008</v>
      </c>
      <c r="Y300" s="5">
        <f t="shared" si="28"/>
        <v>23834.2</v>
      </c>
      <c r="AA300" s="5">
        <v>15.815852499400799</v>
      </c>
    </row>
    <row r="301" spans="1:27" s="5" customFormat="1" x14ac:dyDescent="0.25">
      <c r="A301" s="78"/>
      <c r="B301" s="10"/>
      <c r="C301" s="4">
        <v>42148</v>
      </c>
      <c r="D301" s="5">
        <v>14.5</v>
      </c>
      <c r="E301" s="5">
        <v>8.6</v>
      </c>
      <c r="F301" s="5">
        <v>18.600000000000001</v>
      </c>
      <c r="G301" s="5">
        <v>2257.4</v>
      </c>
      <c r="H301" s="5">
        <f t="shared" si="27"/>
        <v>224.20000000000002</v>
      </c>
      <c r="J301" s="5">
        <v>1</v>
      </c>
      <c r="K301" s="5">
        <v>492.00000000000006</v>
      </c>
      <c r="L301" s="5">
        <v>4.2</v>
      </c>
      <c r="M301" s="5">
        <v>373.00000000000011</v>
      </c>
      <c r="N301" s="6">
        <v>-3.2</v>
      </c>
      <c r="O301" s="5">
        <f t="shared" si="26"/>
        <v>73.400000000000048</v>
      </c>
      <c r="P301" s="5">
        <v>257</v>
      </c>
      <c r="Q301" s="5">
        <v>1.1499999999999999</v>
      </c>
      <c r="R301" s="8">
        <f t="shared" ref="R301:R361" si="29">Q301*L301</f>
        <v>4.83</v>
      </c>
      <c r="S301" s="8">
        <f t="shared" ref="S301:S361" si="30">J301-R301</f>
        <v>-3.83</v>
      </c>
      <c r="T301" s="8">
        <f t="shared" si="25"/>
        <v>52.543780487804852</v>
      </c>
      <c r="V301" s="5">
        <v>2472.1999999999998</v>
      </c>
      <c r="W301" s="5">
        <v>170.49655172413793</v>
      </c>
      <c r="X301" s="5">
        <v>186126.00000000009</v>
      </c>
      <c r="Y301" s="5">
        <f t="shared" si="28"/>
        <v>26306.400000000001</v>
      </c>
      <c r="AA301" s="5">
        <v>15.8569985324188</v>
      </c>
    </row>
    <row r="302" spans="1:27" s="5" customFormat="1" x14ac:dyDescent="0.25">
      <c r="A302" s="78"/>
      <c r="B302" s="10"/>
      <c r="C302" s="4">
        <v>42149</v>
      </c>
      <c r="D302" s="5">
        <v>13.6</v>
      </c>
      <c r="E302" s="5">
        <v>13.1</v>
      </c>
      <c r="F302" s="5">
        <v>15.3</v>
      </c>
      <c r="G302" s="5">
        <v>2271</v>
      </c>
      <c r="H302" s="5">
        <f t="shared" si="27"/>
        <v>237.8</v>
      </c>
      <c r="J302" s="5">
        <v>0</v>
      </c>
      <c r="K302" s="5">
        <v>492.00000000000006</v>
      </c>
      <c r="L302" s="5">
        <v>3.6</v>
      </c>
      <c r="M302" s="5">
        <v>376.60000000000014</v>
      </c>
      <c r="N302" s="6">
        <v>-3.6</v>
      </c>
      <c r="O302" s="5">
        <f t="shared" si="26"/>
        <v>69.800000000000054</v>
      </c>
      <c r="P302" s="5">
        <v>258</v>
      </c>
      <c r="Q302" s="5">
        <v>1.1499999999999999</v>
      </c>
      <c r="R302" s="8">
        <f t="shared" si="29"/>
        <v>4.1399999999999997</v>
      </c>
      <c r="S302" s="8">
        <f t="shared" si="30"/>
        <v>-4.1399999999999997</v>
      </c>
      <c r="T302" s="8">
        <f t="shared" si="25"/>
        <v>48.403780487804852</v>
      </c>
      <c r="V302" s="5">
        <v>1713.6</v>
      </c>
      <c r="W302" s="5">
        <v>126</v>
      </c>
      <c r="X302" s="5">
        <v>187839.60000000009</v>
      </c>
      <c r="Y302" s="5">
        <f t="shared" si="28"/>
        <v>28020</v>
      </c>
      <c r="AA302" s="5">
        <v>15.8971082404776</v>
      </c>
    </row>
    <row r="303" spans="1:27" s="5" customFormat="1" x14ac:dyDescent="0.25">
      <c r="A303" s="78"/>
      <c r="B303" s="10"/>
      <c r="C303" s="4">
        <v>42150</v>
      </c>
      <c r="D303" s="5">
        <v>14.2</v>
      </c>
      <c r="E303" s="5">
        <v>11.2</v>
      </c>
      <c r="F303" s="5">
        <v>16.399999999999999</v>
      </c>
      <c r="G303" s="5">
        <v>2285.1999999999998</v>
      </c>
      <c r="H303" s="5">
        <f t="shared" si="27"/>
        <v>252</v>
      </c>
      <c r="J303" s="5">
        <v>0</v>
      </c>
      <c r="K303" s="5">
        <v>492.00000000000006</v>
      </c>
      <c r="L303" s="5">
        <v>3.2</v>
      </c>
      <c r="M303" s="5">
        <v>379.80000000000013</v>
      </c>
      <c r="N303" s="6">
        <v>-3.2</v>
      </c>
      <c r="O303" s="5">
        <f t="shared" si="26"/>
        <v>66.600000000000051</v>
      </c>
      <c r="P303" s="5">
        <v>259</v>
      </c>
      <c r="Q303" s="5">
        <v>1.1499999999999999</v>
      </c>
      <c r="R303" s="8">
        <f t="shared" si="29"/>
        <v>3.6799999999999997</v>
      </c>
      <c r="S303" s="8">
        <f t="shared" si="30"/>
        <v>-3.6799999999999997</v>
      </c>
      <c r="T303" s="8">
        <f t="shared" ref="T303:T361" si="31">MIN(153.6,(T302+S303))</f>
        <v>44.723780487804852</v>
      </c>
      <c r="V303" s="5">
        <v>1732.7</v>
      </c>
      <c r="W303" s="5">
        <v>122.02112676056339</v>
      </c>
      <c r="X303" s="5">
        <v>189572.3000000001</v>
      </c>
      <c r="Y303" s="5">
        <f t="shared" si="28"/>
        <v>29752.7</v>
      </c>
      <c r="AA303" s="5">
        <v>15.9361513059972</v>
      </c>
    </row>
    <row r="304" spans="1:27" s="5" customFormat="1" x14ac:dyDescent="0.25">
      <c r="A304" s="78"/>
      <c r="B304" s="10"/>
      <c r="C304" s="4">
        <v>42151</v>
      </c>
      <c r="D304" s="5">
        <v>15.6</v>
      </c>
      <c r="E304" s="5">
        <v>11.8</v>
      </c>
      <c r="F304" s="5">
        <v>19</v>
      </c>
      <c r="G304" s="5">
        <v>2300.7999999999997</v>
      </c>
      <c r="H304" s="5">
        <f t="shared" si="27"/>
        <v>267.60000000000002</v>
      </c>
      <c r="J304" s="5">
        <v>0</v>
      </c>
      <c r="K304" s="5">
        <v>492.00000000000006</v>
      </c>
      <c r="L304" s="5">
        <v>4.8</v>
      </c>
      <c r="M304" s="5">
        <v>384.60000000000014</v>
      </c>
      <c r="N304" s="6">
        <v>-4.8</v>
      </c>
      <c r="O304" s="5">
        <f t="shared" si="26"/>
        <v>61.800000000000054</v>
      </c>
      <c r="P304" s="5">
        <v>260</v>
      </c>
      <c r="Q304" s="5">
        <v>1.1499999999999999</v>
      </c>
      <c r="R304" s="8">
        <f t="shared" si="29"/>
        <v>5.52</v>
      </c>
      <c r="S304" s="8">
        <f t="shared" si="30"/>
        <v>-5.52</v>
      </c>
      <c r="T304" s="8">
        <f t="shared" si="31"/>
        <v>39.203780487804849</v>
      </c>
      <c r="V304" s="5">
        <v>2666.8</v>
      </c>
      <c r="W304" s="5">
        <v>170.94871794871796</v>
      </c>
      <c r="X304" s="5">
        <v>192239.10000000009</v>
      </c>
      <c r="Y304" s="5">
        <f t="shared" si="28"/>
        <v>32419.5</v>
      </c>
      <c r="AA304" s="5">
        <v>15.9740974517452</v>
      </c>
    </row>
    <row r="305" spans="1:27" s="24" customFormat="1" x14ac:dyDescent="0.25">
      <c r="A305" s="78"/>
      <c r="B305" s="62">
        <v>300</v>
      </c>
      <c r="C305" s="23">
        <v>42152</v>
      </c>
      <c r="D305" s="24">
        <v>13.7</v>
      </c>
      <c r="E305" s="24">
        <v>13.3</v>
      </c>
      <c r="F305" s="24">
        <v>16.3</v>
      </c>
      <c r="G305" s="24">
        <v>2314.4999999999995</v>
      </c>
      <c r="H305" s="5">
        <f t="shared" si="27"/>
        <v>281.3</v>
      </c>
      <c r="J305" s="24">
        <v>0</v>
      </c>
      <c r="K305" s="24">
        <v>492.00000000000006</v>
      </c>
      <c r="L305" s="24">
        <v>3.6</v>
      </c>
      <c r="M305" s="24">
        <v>388.20000000000016</v>
      </c>
      <c r="N305" s="26">
        <v>-3.6</v>
      </c>
      <c r="O305" s="24">
        <f t="shared" si="26"/>
        <v>58.200000000000053</v>
      </c>
      <c r="P305" s="24">
        <v>261</v>
      </c>
      <c r="Q305" s="5">
        <v>1.1499999999999999</v>
      </c>
      <c r="R305" s="27">
        <f t="shared" si="29"/>
        <v>4.1399999999999997</v>
      </c>
      <c r="S305" s="27">
        <f t="shared" si="30"/>
        <v>-4.1399999999999997</v>
      </c>
      <c r="T305" s="8">
        <f t="shared" si="31"/>
        <v>35.063780487804848</v>
      </c>
      <c r="V305" s="24">
        <v>1607.3</v>
      </c>
      <c r="W305" s="24">
        <v>117.32116788321169</v>
      </c>
      <c r="X305" s="24">
        <v>193846.40000000008</v>
      </c>
      <c r="Y305" s="5">
        <f t="shared" si="28"/>
        <v>34026.800000000003</v>
      </c>
      <c r="AA305" s="24">
        <v>16.0109165110057</v>
      </c>
    </row>
    <row r="306" spans="1:27" s="5" customFormat="1" ht="15" customHeight="1" x14ac:dyDescent="0.25">
      <c r="A306" s="78"/>
      <c r="B306" s="10"/>
      <c r="C306" s="4">
        <v>42153</v>
      </c>
      <c r="D306" s="5">
        <v>11.2</v>
      </c>
      <c r="E306" s="5">
        <v>8.6</v>
      </c>
      <c r="F306" s="5">
        <v>14.4</v>
      </c>
      <c r="G306" s="5">
        <v>2325.6999999999994</v>
      </c>
      <c r="H306" s="5">
        <f t="shared" si="27"/>
        <v>292.5</v>
      </c>
      <c r="J306" s="5">
        <v>5.4</v>
      </c>
      <c r="K306" s="5">
        <v>497.40000000000003</v>
      </c>
      <c r="L306" s="5">
        <v>2</v>
      </c>
      <c r="M306" s="5">
        <v>390.20000000000016</v>
      </c>
      <c r="N306" s="5">
        <v>3.4000000000000004</v>
      </c>
      <c r="O306" s="5">
        <f t="shared" si="26"/>
        <v>61.600000000000051</v>
      </c>
      <c r="P306" s="5">
        <v>262</v>
      </c>
      <c r="Q306" s="5">
        <v>1.1499999999999999</v>
      </c>
      <c r="R306" s="8">
        <f t="shared" si="29"/>
        <v>2.2999999999999998</v>
      </c>
      <c r="S306" s="8">
        <f t="shared" si="30"/>
        <v>3.1000000000000005</v>
      </c>
      <c r="T306" s="8">
        <f t="shared" si="31"/>
        <v>38.16378048780485</v>
      </c>
      <c r="V306" s="12">
        <v>876.3</v>
      </c>
      <c r="W306" s="5">
        <v>78.241071428571431</v>
      </c>
      <c r="X306" s="5">
        <v>194722.70000000007</v>
      </c>
      <c r="Y306" s="5">
        <f t="shared" si="28"/>
        <v>34903.100000000006</v>
      </c>
      <c r="AA306" s="5">
        <v>16.0465785008894</v>
      </c>
    </row>
    <row r="307" spans="1:27" s="61" customFormat="1" ht="15.75" thickBot="1" x14ac:dyDescent="0.3">
      <c r="A307" s="78"/>
      <c r="B307" s="67"/>
      <c r="C307" s="65">
        <v>42154</v>
      </c>
      <c r="D307" s="61">
        <v>12.4</v>
      </c>
      <c r="E307" s="61">
        <v>8.6999999999999993</v>
      </c>
      <c r="F307" s="61">
        <v>15.3</v>
      </c>
      <c r="G307" s="61">
        <v>2338.0999999999995</v>
      </c>
      <c r="H307" s="45">
        <f t="shared" si="27"/>
        <v>304.89999999999998</v>
      </c>
      <c r="J307" s="61">
        <v>0</v>
      </c>
      <c r="K307" s="61">
        <v>497.40000000000003</v>
      </c>
      <c r="L307" s="61">
        <v>3.3</v>
      </c>
      <c r="M307" s="61">
        <v>393.50000000000017</v>
      </c>
      <c r="N307" s="66">
        <v>-3.3</v>
      </c>
      <c r="O307" s="61">
        <f t="shared" si="26"/>
        <v>58.300000000000054</v>
      </c>
      <c r="P307" s="61">
        <v>263</v>
      </c>
      <c r="Q307" s="61">
        <v>1.1499999999999999</v>
      </c>
      <c r="R307" s="60">
        <f t="shared" si="29"/>
        <v>3.7949999999999995</v>
      </c>
      <c r="S307" s="60">
        <f t="shared" si="30"/>
        <v>-3.7949999999999995</v>
      </c>
      <c r="T307" s="47">
        <f t="shared" si="31"/>
        <v>34.368780487804848</v>
      </c>
      <c r="V307" s="61">
        <v>1774.8</v>
      </c>
      <c r="W307" s="61">
        <v>143.12903225806451</v>
      </c>
      <c r="X307" s="61">
        <v>196497.50000000006</v>
      </c>
      <c r="Y307" s="45">
        <f t="shared" si="28"/>
        <v>36677.900000000009</v>
      </c>
      <c r="AA307" s="61">
        <v>16.081053698558001</v>
      </c>
    </row>
    <row r="308" spans="1:27" s="5" customFormat="1" x14ac:dyDescent="0.25">
      <c r="A308" s="79" t="s">
        <v>52</v>
      </c>
      <c r="B308" s="10"/>
      <c r="C308" s="4">
        <v>42155</v>
      </c>
      <c r="D308" s="5">
        <v>13</v>
      </c>
      <c r="E308" s="5">
        <v>8.8000000000000007</v>
      </c>
      <c r="F308" s="5">
        <v>15.3</v>
      </c>
      <c r="G308" s="5">
        <v>2351.0999999999995</v>
      </c>
      <c r="H308" s="5">
        <f>D308</f>
        <v>13</v>
      </c>
      <c r="I308" s="35" t="s">
        <v>2</v>
      </c>
      <c r="J308" s="5">
        <v>7</v>
      </c>
      <c r="K308" s="5">
        <v>504.40000000000003</v>
      </c>
      <c r="L308" s="5">
        <v>1.2</v>
      </c>
      <c r="M308" s="5">
        <v>394.70000000000016</v>
      </c>
      <c r="N308" s="5">
        <v>5.8</v>
      </c>
      <c r="O308" s="5">
        <f t="shared" si="26"/>
        <v>64.100000000000051</v>
      </c>
      <c r="P308" s="5">
        <v>264</v>
      </c>
      <c r="Q308" s="13">
        <f>1.15+((P308-263)/54)*(0.35-1.15)</f>
        <v>1.1351851851851851</v>
      </c>
      <c r="R308" s="8">
        <f t="shared" si="29"/>
        <v>1.362222222222222</v>
      </c>
      <c r="S308" s="8">
        <f t="shared" si="30"/>
        <v>5.637777777777778</v>
      </c>
      <c r="T308" s="8">
        <f t="shared" si="31"/>
        <v>40.006558265582626</v>
      </c>
      <c r="U308" s="35" t="s">
        <v>3</v>
      </c>
      <c r="V308" s="12">
        <v>763.1</v>
      </c>
      <c r="W308" s="5">
        <v>58.7</v>
      </c>
      <c r="X308" s="5">
        <v>197260.60000000006</v>
      </c>
      <c r="Y308" s="5">
        <f>V308</f>
        <v>763.1</v>
      </c>
      <c r="Z308" s="35" t="s">
        <v>4</v>
      </c>
      <c r="AA308" s="5">
        <v>16.114312720099299</v>
      </c>
    </row>
    <row r="309" spans="1:27" s="5" customFormat="1" x14ac:dyDescent="0.25">
      <c r="A309" s="79"/>
      <c r="B309" s="10"/>
      <c r="C309" s="4">
        <v>42156</v>
      </c>
      <c r="D309" s="5">
        <v>12.7</v>
      </c>
      <c r="E309" s="5">
        <v>9.1</v>
      </c>
      <c r="F309" s="5">
        <v>15.3</v>
      </c>
      <c r="G309" s="5">
        <v>2363.7999999999993</v>
      </c>
      <c r="H309" s="5">
        <f t="shared" si="27"/>
        <v>25.7</v>
      </c>
      <c r="I309" s="5">
        <f>MIN(E308:E326)</f>
        <v>8.6</v>
      </c>
      <c r="J309" s="5">
        <v>2.4</v>
      </c>
      <c r="K309" s="5">
        <v>506.8</v>
      </c>
      <c r="L309" s="5">
        <v>2.5</v>
      </c>
      <c r="M309" s="5">
        <v>397.20000000000016</v>
      </c>
      <c r="N309" s="6">
        <v>-0.10000000000000009</v>
      </c>
      <c r="O309" s="5">
        <f t="shared" si="26"/>
        <v>64.000000000000057</v>
      </c>
      <c r="P309" s="5">
        <v>265</v>
      </c>
      <c r="Q309" s="13">
        <f t="shared" ref="Q309:Q361" si="32">1.15+((P309-263)/54)*(0.35-1.15)</f>
        <v>1.1203703703703702</v>
      </c>
      <c r="R309" s="8">
        <f t="shared" si="29"/>
        <v>2.8009259259259256</v>
      </c>
      <c r="S309" s="8">
        <f t="shared" si="30"/>
        <v>-0.40092592592592569</v>
      </c>
      <c r="T309" s="8">
        <f t="shared" si="31"/>
        <v>39.605632339656701</v>
      </c>
      <c r="V309" s="5">
        <v>1111.3</v>
      </c>
      <c r="W309" s="5">
        <v>87.503937007874015</v>
      </c>
      <c r="X309" s="5">
        <v>198371.90000000005</v>
      </c>
      <c r="Y309" s="5">
        <f t="shared" si="28"/>
        <v>1874.4</v>
      </c>
      <c r="Z309" s="5">
        <v>39258.6</v>
      </c>
      <c r="AA309" s="5">
        <v>16.146326601746999</v>
      </c>
    </row>
    <row r="310" spans="1:27" s="5" customFormat="1" x14ac:dyDescent="0.25">
      <c r="A310" s="79"/>
      <c r="B310" s="10"/>
      <c r="C310" s="4">
        <v>42157</v>
      </c>
      <c r="D310" s="5">
        <v>15.2</v>
      </c>
      <c r="E310" s="5">
        <v>12.2</v>
      </c>
      <c r="F310" s="5">
        <v>18.7</v>
      </c>
      <c r="G310" s="5">
        <v>2378.9999999999991</v>
      </c>
      <c r="H310" s="5">
        <f t="shared" si="27"/>
        <v>40.9</v>
      </c>
      <c r="I310" s="35" t="s">
        <v>5</v>
      </c>
      <c r="J310" s="5">
        <v>0.6</v>
      </c>
      <c r="K310" s="5">
        <v>507.40000000000003</v>
      </c>
      <c r="L310" s="5">
        <v>2.1</v>
      </c>
      <c r="M310" s="5">
        <v>399.30000000000018</v>
      </c>
      <c r="N310" s="6">
        <v>-1.5</v>
      </c>
      <c r="O310" s="5">
        <f t="shared" si="26"/>
        <v>62.500000000000057</v>
      </c>
      <c r="P310" s="5">
        <v>266</v>
      </c>
      <c r="Q310" s="13">
        <f t="shared" si="32"/>
        <v>1.1055555555555554</v>
      </c>
      <c r="R310" s="8">
        <f t="shared" si="29"/>
        <v>2.3216666666666663</v>
      </c>
      <c r="S310" s="8">
        <f t="shared" si="30"/>
        <v>-1.7216666666666662</v>
      </c>
      <c r="T310" s="8">
        <f t="shared" si="31"/>
        <v>37.883965672990037</v>
      </c>
      <c r="U310" s="35" t="s">
        <v>6</v>
      </c>
      <c r="V310" s="12">
        <v>562.20000000000005</v>
      </c>
      <c r="W310" s="5">
        <v>36.986842105263165</v>
      </c>
      <c r="X310" s="5">
        <v>198934.10000000006</v>
      </c>
      <c r="Y310" s="5">
        <f t="shared" si="28"/>
        <v>2436.6000000000004</v>
      </c>
      <c r="Z310" s="35" t="s">
        <v>7</v>
      </c>
      <c r="AA310" s="5">
        <v>16.1770668831014</v>
      </c>
    </row>
    <row r="311" spans="1:27" s="5" customFormat="1" x14ac:dyDescent="0.25">
      <c r="A311" s="79"/>
      <c r="B311" s="10"/>
      <c r="C311" s="4">
        <v>42158</v>
      </c>
      <c r="D311" s="5">
        <v>14.7</v>
      </c>
      <c r="E311" s="5">
        <v>13.6</v>
      </c>
      <c r="F311" s="5">
        <v>17.7</v>
      </c>
      <c r="G311" s="5">
        <v>2393.6999999999989</v>
      </c>
      <c r="H311" s="5">
        <f t="shared" si="27"/>
        <v>55.599999999999994</v>
      </c>
      <c r="I311" s="5">
        <f>MAX(F308:F326)</f>
        <v>31.1</v>
      </c>
      <c r="J311" s="5">
        <v>0</v>
      </c>
      <c r="K311" s="5">
        <v>507.40000000000003</v>
      </c>
      <c r="L311" s="5">
        <v>4.2</v>
      </c>
      <c r="M311" s="5">
        <v>403.50000000000017</v>
      </c>
      <c r="N311" s="6">
        <v>-4.2</v>
      </c>
      <c r="O311" s="5">
        <f t="shared" si="26"/>
        <v>58.300000000000054</v>
      </c>
      <c r="P311" s="5">
        <v>267</v>
      </c>
      <c r="Q311" s="13">
        <f t="shared" si="32"/>
        <v>1.0907407407407406</v>
      </c>
      <c r="R311" s="8">
        <f t="shared" si="29"/>
        <v>4.5811111111111105</v>
      </c>
      <c r="S311" s="8">
        <f t="shared" si="30"/>
        <v>-4.5811111111111105</v>
      </c>
      <c r="T311" s="8">
        <f t="shared" si="31"/>
        <v>33.302854561878924</v>
      </c>
      <c r="U311" s="5">
        <v>7</v>
      </c>
      <c r="V311" s="5">
        <v>1828.2</v>
      </c>
      <c r="W311" s="5">
        <v>124.36734693877553</v>
      </c>
      <c r="X311" s="5">
        <v>200762.30000000008</v>
      </c>
      <c r="Y311" s="5">
        <f t="shared" si="28"/>
        <v>4264.8</v>
      </c>
      <c r="Z311" s="13">
        <f>(Z309/100)/I321</f>
        <v>1.2705048543689321</v>
      </c>
      <c r="AA311" s="5">
        <v>16.206505691965599</v>
      </c>
    </row>
    <row r="312" spans="1:27" s="5" customFormat="1" x14ac:dyDescent="0.25">
      <c r="A312" s="79"/>
      <c r="B312" s="10"/>
      <c r="C312" s="4">
        <v>42159</v>
      </c>
      <c r="D312" s="5">
        <v>17.600000000000001</v>
      </c>
      <c r="E312" s="5">
        <v>8.6</v>
      </c>
      <c r="F312" s="5">
        <v>24.2</v>
      </c>
      <c r="G312" s="5">
        <v>2411.2999999999988</v>
      </c>
      <c r="H312" s="5">
        <f t="shared" si="27"/>
        <v>73.199999999999989</v>
      </c>
      <c r="I312" s="35" t="s">
        <v>8</v>
      </c>
      <c r="J312" s="5">
        <v>0</v>
      </c>
      <c r="K312" s="5">
        <v>507.40000000000003</v>
      </c>
      <c r="L312" s="5">
        <v>5.3</v>
      </c>
      <c r="M312" s="5">
        <v>408.80000000000018</v>
      </c>
      <c r="N312" s="6">
        <v>-5.3</v>
      </c>
      <c r="O312" s="5">
        <f t="shared" si="26"/>
        <v>53.000000000000057</v>
      </c>
      <c r="P312" s="5">
        <v>268</v>
      </c>
      <c r="Q312" s="13">
        <f t="shared" si="32"/>
        <v>1.075925925925926</v>
      </c>
      <c r="R312" s="8">
        <f t="shared" si="29"/>
        <v>5.7024074074074074</v>
      </c>
      <c r="S312" s="8">
        <f t="shared" si="30"/>
        <v>-5.7024074074074074</v>
      </c>
      <c r="T312" s="8">
        <f t="shared" si="31"/>
        <v>27.600447154471517</v>
      </c>
      <c r="U312" s="35" t="s">
        <v>9</v>
      </c>
      <c r="V312" s="5">
        <v>2940.3</v>
      </c>
      <c r="W312" s="5">
        <v>167.0625</v>
      </c>
      <c r="X312" s="5">
        <v>203702.60000000006</v>
      </c>
      <c r="Y312" s="5">
        <f t="shared" si="28"/>
        <v>7205.1</v>
      </c>
      <c r="Z312" s="35" t="s">
        <v>10</v>
      </c>
      <c r="AA312" s="5">
        <v>16.234615830375802</v>
      </c>
    </row>
    <row r="313" spans="1:27" s="5" customFormat="1" x14ac:dyDescent="0.25">
      <c r="A313" s="79"/>
      <c r="B313" s="10"/>
      <c r="C313" s="4">
        <v>42160</v>
      </c>
      <c r="D313" s="5">
        <v>21.6</v>
      </c>
      <c r="E313" s="5">
        <v>16.600000000000001</v>
      </c>
      <c r="F313" s="14">
        <v>31.1</v>
      </c>
      <c r="G313" s="5">
        <v>2432.8999999999987</v>
      </c>
      <c r="H313" s="5">
        <f t="shared" si="27"/>
        <v>94.799999999999983</v>
      </c>
      <c r="I313" s="8">
        <f>AVERAGE(D308:D326)</f>
        <v>16.263157894736839</v>
      </c>
      <c r="J313" s="5">
        <v>6.7</v>
      </c>
      <c r="K313" s="5">
        <v>514.1</v>
      </c>
      <c r="L313" s="5">
        <v>7</v>
      </c>
      <c r="M313" s="5">
        <v>415.80000000000018</v>
      </c>
      <c r="N313" s="6">
        <v>-0.29999999999999982</v>
      </c>
      <c r="O313" s="5">
        <f t="shared" si="26"/>
        <v>52.70000000000006</v>
      </c>
      <c r="P313" s="5">
        <v>269</v>
      </c>
      <c r="Q313" s="13">
        <f t="shared" si="32"/>
        <v>1.0611111111111111</v>
      </c>
      <c r="R313" s="8">
        <f t="shared" si="29"/>
        <v>7.427777777777778</v>
      </c>
      <c r="S313" s="8">
        <f t="shared" si="30"/>
        <v>-0.72777777777777786</v>
      </c>
      <c r="T313" s="8">
        <f t="shared" si="31"/>
        <v>26.872669376693739</v>
      </c>
      <c r="U313" s="5">
        <v>12</v>
      </c>
      <c r="V313" s="5">
        <v>2894.1</v>
      </c>
      <c r="W313" s="5">
        <v>133.98611111111109</v>
      </c>
      <c r="X313" s="5">
        <v>206596.70000000007</v>
      </c>
      <c r="Y313" s="5">
        <f t="shared" si="28"/>
        <v>10099.200000000001</v>
      </c>
      <c r="Z313" s="5">
        <v>2</v>
      </c>
      <c r="AA313" s="5">
        <v>16.2613708613668</v>
      </c>
    </row>
    <row r="314" spans="1:27" s="5" customFormat="1" x14ac:dyDescent="0.25">
      <c r="A314" s="79"/>
      <c r="B314" s="10"/>
      <c r="C314" s="4">
        <v>42161</v>
      </c>
      <c r="D314" s="5">
        <v>15.1</v>
      </c>
      <c r="E314" s="5">
        <v>12.4</v>
      </c>
      <c r="F314" s="5">
        <v>18.600000000000001</v>
      </c>
      <c r="G314" s="5">
        <v>2447.9999999999986</v>
      </c>
      <c r="H314" s="5">
        <f t="shared" si="27"/>
        <v>109.89999999999998</v>
      </c>
      <c r="I314" s="35" t="s">
        <v>11</v>
      </c>
      <c r="J314" s="5">
        <v>0</v>
      </c>
      <c r="K314" s="5">
        <v>514.1</v>
      </c>
      <c r="L314" s="5">
        <v>6</v>
      </c>
      <c r="M314" s="5">
        <v>421.80000000000018</v>
      </c>
      <c r="N314" s="6">
        <v>-6</v>
      </c>
      <c r="O314" s="5">
        <f t="shared" si="26"/>
        <v>46.70000000000006</v>
      </c>
      <c r="P314" s="5">
        <v>270</v>
      </c>
      <c r="Q314" s="13">
        <f t="shared" si="32"/>
        <v>1.0462962962962963</v>
      </c>
      <c r="R314" s="8">
        <f t="shared" si="29"/>
        <v>6.2777777777777777</v>
      </c>
      <c r="S314" s="8">
        <f t="shared" si="30"/>
        <v>-6.2777777777777777</v>
      </c>
      <c r="T314" s="8">
        <f t="shared" si="31"/>
        <v>20.594891598915961</v>
      </c>
      <c r="U314" s="35" t="s">
        <v>12</v>
      </c>
      <c r="V314" s="5">
        <v>3263.2</v>
      </c>
      <c r="W314" s="5">
        <v>216.10596026490066</v>
      </c>
      <c r="X314" s="5">
        <v>209859.90000000008</v>
      </c>
      <c r="Y314" s="5">
        <f t="shared" si="28"/>
        <v>13362.400000000001</v>
      </c>
      <c r="AA314" s="5">
        <v>16.286745195982501</v>
      </c>
    </row>
    <row r="315" spans="1:27" s="5" customFormat="1" x14ac:dyDescent="0.25">
      <c r="A315" s="79"/>
      <c r="B315" s="10"/>
      <c r="C315" s="4">
        <v>42162</v>
      </c>
      <c r="D315" s="5">
        <v>15.2</v>
      </c>
      <c r="E315" s="5">
        <v>9.6</v>
      </c>
      <c r="F315" s="5">
        <v>20</v>
      </c>
      <c r="G315" s="5">
        <v>2463.1999999999985</v>
      </c>
      <c r="H315" s="5">
        <f t="shared" si="27"/>
        <v>125.09999999999998</v>
      </c>
      <c r="I315" s="5">
        <v>0</v>
      </c>
      <c r="J315" s="5">
        <v>0</v>
      </c>
      <c r="K315" s="5">
        <v>514.1</v>
      </c>
      <c r="L315" s="5">
        <v>3.7</v>
      </c>
      <c r="M315" s="5">
        <v>425.50000000000017</v>
      </c>
      <c r="N315" s="6">
        <v>-3.7</v>
      </c>
      <c r="O315" s="5">
        <f t="shared" si="26"/>
        <v>43.000000000000057</v>
      </c>
      <c r="P315" s="5">
        <v>271</v>
      </c>
      <c r="Q315" s="13">
        <f t="shared" si="32"/>
        <v>1.0314814814814814</v>
      </c>
      <c r="R315" s="8">
        <f t="shared" si="29"/>
        <v>3.8164814814814814</v>
      </c>
      <c r="S315" s="8">
        <f t="shared" si="30"/>
        <v>-3.8164814814814814</v>
      </c>
      <c r="T315" s="8">
        <f t="shared" si="31"/>
        <v>16.778410117434479</v>
      </c>
      <c r="U315" s="8">
        <v>0</v>
      </c>
      <c r="V315" s="5">
        <v>1987.6</v>
      </c>
      <c r="W315" s="5">
        <v>130.76315789473685</v>
      </c>
      <c r="X315" s="5">
        <v>211847.50000000009</v>
      </c>
      <c r="Y315" s="5">
        <f t="shared" si="28"/>
        <v>15350.000000000002</v>
      </c>
      <c r="AA315" s="5">
        <v>16.310714180007601</v>
      </c>
    </row>
    <row r="316" spans="1:27" s="5" customFormat="1" x14ac:dyDescent="0.25">
      <c r="A316" s="79"/>
      <c r="B316" s="10"/>
      <c r="C316" s="4">
        <v>42163</v>
      </c>
      <c r="D316" s="5">
        <v>13.7</v>
      </c>
      <c r="E316" s="5">
        <v>10.199999999999999</v>
      </c>
      <c r="F316" s="5">
        <v>17.399999999999999</v>
      </c>
      <c r="G316" s="5">
        <v>2476.8999999999983</v>
      </c>
      <c r="H316" s="5">
        <f t="shared" si="27"/>
        <v>138.79999999999998</v>
      </c>
      <c r="I316" s="35" t="s">
        <v>13</v>
      </c>
      <c r="J316" s="5">
        <v>0</v>
      </c>
      <c r="K316" s="5">
        <v>514.1</v>
      </c>
      <c r="L316" s="5">
        <v>4.3</v>
      </c>
      <c r="M316" s="5">
        <v>429.80000000000018</v>
      </c>
      <c r="N316" s="6">
        <v>-4.3</v>
      </c>
      <c r="O316" s="5">
        <f t="shared" ref="O316:O325" si="33">O315+N316</f>
        <v>38.70000000000006</v>
      </c>
      <c r="P316" s="5">
        <v>272</v>
      </c>
      <c r="Q316" s="13">
        <f t="shared" si="32"/>
        <v>1.0166666666666666</v>
      </c>
      <c r="R316" s="8">
        <f t="shared" si="29"/>
        <v>4.3716666666666661</v>
      </c>
      <c r="S316" s="8">
        <f t="shared" si="30"/>
        <v>-4.3716666666666661</v>
      </c>
      <c r="T316" s="8">
        <f t="shared" si="31"/>
        <v>12.406743450767813</v>
      </c>
      <c r="U316" s="35" t="s">
        <v>14</v>
      </c>
      <c r="V316" s="5">
        <v>2161.6999999999998</v>
      </c>
      <c r="W316" s="5">
        <v>157.7883211678832</v>
      </c>
      <c r="X316" s="5">
        <v>214009.2000000001</v>
      </c>
      <c r="Y316" s="5">
        <f t="shared" si="28"/>
        <v>17511.7</v>
      </c>
      <c r="AA316" s="5">
        <v>16.333254179875901</v>
      </c>
    </row>
    <row r="317" spans="1:27" s="5" customFormat="1" x14ac:dyDescent="0.25">
      <c r="A317" s="79"/>
      <c r="B317" s="10"/>
      <c r="C317" s="4">
        <v>42164</v>
      </c>
      <c r="D317" s="5">
        <v>13</v>
      </c>
      <c r="E317" s="5">
        <v>10.4</v>
      </c>
      <c r="F317" s="5">
        <v>15.7</v>
      </c>
      <c r="G317" s="5">
        <v>2489.8999999999983</v>
      </c>
      <c r="H317" s="5">
        <f t="shared" si="27"/>
        <v>151.79999999999998</v>
      </c>
      <c r="I317" s="5">
        <v>3</v>
      </c>
      <c r="J317" s="5">
        <v>0</v>
      </c>
      <c r="K317" s="5">
        <v>514.1</v>
      </c>
      <c r="L317" s="5">
        <v>5.0999999999999996</v>
      </c>
      <c r="M317" s="5">
        <v>434.9000000000002</v>
      </c>
      <c r="N317" s="6">
        <v>-5.0999999999999996</v>
      </c>
      <c r="O317" s="5">
        <f t="shared" si="33"/>
        <v>33.600000000000058</v>
      </c>
      <c r="P317" s="5">
        <v>273</v>
      </c>
      <c r="Q317" s="13">
        <f t="shared" si="32"/>
        <v>1.0018518518518518</v>
      </c>
      <c r="R317" s="8">
        <f t="shared" si="29"/>
        <v>5.1094444444444438</v>
      </c>
      <c r="S317" s="8">
        <f t="shared" si="30"/>
        <v>-5.1094444444444438</v>
      </c>
      <c r="T317" s="8">
        <f t="shared" si="31"/>
        <v>7.2972990063233691</v>
      </c>
      <c r="U317" s="8">
        <f>MAX(T308:T326)</f>
        <v>40.006558265582626</v>
      </c>
      <c r="V317" s="5">
        <v>3063.6</v>
      </c>
      <c r="W317" s="5">
        <v>235.66153846153844</v>
      </c>
      <c r="X317" s="5">
        <v>217072.8000000001</v>
      </c>
      <c r="Y317" s="5">
        <f t="shared" si="28"/>
        <v>20575.3</v>
      </c>
      <c r="AA317" s="5">
        <v>16.3543426671852</v>
      </c>
    </row>
    <row r="318" spans="1:27" s="5" customFormat="1" x14ac:dyDescent="0.25">
      <c r="A318" s="79"/>
      <c r="B318" s="10"/>
      <c r="C318" s="4">
        <v>42165</v>
      </c>
      <c r="D318" s="5">
        <v>16.5</v>
      </c>
      <c r="E318" s="5">
        <v>10.199999999999999</v>
      </c>
      <c r="F318" s="5">
        <v>21.3</v>
      </c>
      <c r="G318" s="5">
        <v>2506.3999999999983</v>
      </c>
      <c r="H318" s="5">
        <f t="shared" si="27"/>
        <v>168.29999999999998</v>
      </c>
      <c r="I318" s="35" t="s">
        <v>15</v>
      </c>
      <c r="J318" s="5">
        <v>0</v>
      </c>
      <c r="K318" s="5">
        <v>514.1</v>
      </c>
      <c r="L318" s="5">
        <v>5.8</v>
      </c>
      <c r="M318" s="5">
        <v>440.70000000000022</v>
      </c>
      <c r="N318" s="6">
        <v>-5.8</v>
      </c>
      <c r="O318" s="5">
        <f t="shared" si="33"/>
        <v>27.800000000000058</v>
      </c>
      <c r="P318" s="5">
        <v>274</v>
      </c>
      <c r="Q318" s="13">
        <f t="shared" si="32"/>
        <v>0.98703703703703694</v>
      </c>
      <c r="R318" s="8">
        <f t="shared" si="29"/>
        <v>5.7248148148148141</v>
      </c>
      <c r="S318" s="8">
        <f t="shared" si="30"/>
        <v>-5.7248148148148141</v>
      </c>
      <c r="T318" s="8">
        <f t="shared" si="31"/>
        <v>1.572484191508555</v>
      </c>
      <c r="U318" s="35" t="s">
        <v>16</v>
      </c>
      <c r="V318" s="5">
        <v>3055.7</v>
      </c>
      <c r="W318" s="5">
        <v>185.19393939393939</v>
      </c>
      <c r="X318" s="5">
        <v>220128.50000000012</v>
      </c>
      <c r="Y318" s="5">
        <f t="shared" si="28"/>
        <v>23631</v>
      </c>
      <c r="AA318" s="5">
        <v>16.373958301237</v>
      </c>
    </row>
    <row r="319" spans="1:27" s="24" customFormat="1" x14ac:dyDescent="0.25">
      <c r="A319" s="79"/>
      <c r="B319" s="22"/>
      <c r="C319" s="23">
        <v>42166</v>
      </c>
      <c r="D319" s="24">
        <v>20.5</v>
      </c>
      <c r="E319" s="24">
        <v>14.9</v>
      </c>
      <c r="F319" s="36">
        <v>25.2</v>
      </c>
      <c r="G319" s="24">
        <v>2526.8999999999983</v>
      </c>
      <c r="H319" s="5">
        <f t="shared" si="27"/>
        <v>188.79999999999998</v>
      </c>
      <c r="I319" s="5">
        <v>0</v>
      </c>
      <c r="J319" s="24">
        <v>0</v>
      </c>
      <c r="K319" s="24">
        <v>514.1</v>
      </c>
      <c r="L319" s="24">
        <v>7.2</v>
      </c>
      <c r="M319" s="24">
        <v>447.9000000000002</v>
      </c>
      <c r="N319" s="26">
        <v>-7.2</v>
      </c>
      <c r="O319" s="24">
        <f t="shared" si="33"/>
        <v>20.600000000000058</v>
      </c>
      <c r="P319" s="24">
        <v>275</v>
      </c>
      <c r="Q319" s="13">
        <f t="shared" si="32"/>
        <v>0.9722222222222221</v>
      </c>
      <c r="R319" s="27">
        <f t="shared" si="29"/>
        <v>6.9999999999999991</v>
      </c>
      <c r="S319" s="27">
        <f t="shared" si="30"/>
        <v>-6.9999999999999991</v>
      </c>
      <c r="T319" s="8">
        <v>0</v>
      </c>
      <c r="U319" s="13">
        <f>AVERAGE(T308:T326)</f>
        <v>13.930716968573178</v>
      </c>
      <c r="V319" s="24">
        <v>3241.4</v>
      </c>
      <c r="W319" s="24">
        <v>158.11707317073171</v>
      </c>
      <c r="X319" s="24">
        <v>223369.90000000011</v>
      </c>
      <c r="Y319" s="5">
        <f t="shared" si="28"/>
        <v>26872.400000000001</v>
      </c>
      <c r="AA319" s="5">
        <v>16.3920810090065</v>
      </c>
    </row>
    <row r="320" spans="1:27" s="5" customFormat="1" ht="15" customHeight="1" x14ac:dyDescent="0.25">
      <c r="A320" s="79"/>
      <c r="B320" s="10"/>
      <c r="C320" s="4">
        <v>42167</v>
      </c>
      <c r="D320" s="5">
        <v>21.9</v>
      </c>
      <c r="E320" s="5">
        <v>18.399999999999999</v>
      </c>
      <c r="F320" s="14">
        <v>27.2</v>
      </c>
      <c r="G320" s="5">
        <v>2548.7999999999984</v>
      </c>
      <c r="H320" s="5">
        <f t="shared" ref="H320:H361" si="34">H319+D320</f>
        <v>210.7</v>
      </c>
      <c r="I320" s="35" t="s">
        <v>17</v>
      </c>
      <c r="J320" s="5">
        <v>0.6</v>
      </c>
      <c r="K320" s="5">
        <v>514.70000000000005</v>
      </c>
      <c r="L320" s="5">
        <v>4.7</v>
      </c>
      <c r="M320" s="5">
        <v>452.60000000000019</v>
      </c>
      <c r="N320" s="6">
        <v>-4.1000000000000005</v>
      </c>
      <c r="O320" s="5">
        <f t="shared" si="33"/>
        <v>16.500000000000057</v>
      </c>
      <c r="P320" s="5">
        <v>276</v>
      </c>
      <c r="Q320" s="13">
        <f t="shared" si="32"/>
        <v>0.95740740740740737</v>
      </c>
      <c r="R320" s="8">
        <f t="shared" si="29"/>
        <v>4.4998148148148145</v>
      </c>
      <c r="S320" s="8">
        <f t="shared" si="30"/>
        <v>-3.8998148148148144</v>
      </c>
      <c r="T320" s="8">
        <v>0</v>
      </c>
      <c r="V320" s="5">
        <v>1835.6</v>
      </c>
      <c r="W320" s="5">
        <v>83.817351598173516</v>
      </c>
      <c r="X320" s="5">
        <v>225205.50000000012</v>
      </c>
      <c r="Y320" s="5">
        <f t="shared" ref="Y320:Y361" si="35">Y319+V320</f>
        <v>28708</v>
      </c>
      <c r="AA320" s="5">
        <v>16.408692061950099</v>
      </c>
    </row>
    <row r="321" spans="1:27" s="5" customFormat="1" x14ac:dyDescent="0.25">
      <c r="A321" s="79"/>
      <c r="B321" s="10"/>
      <c r="C321" s="4">
        <v>42168</v>
      </c>
      <c r="D321" s="5">
        <v>17.100000000000001</v>
      </c>
      <c r="E321" s="5">
        <v>14.8</v>
      </c>
      <c r="F321" s="5">
        <v>20.399999999999999</v>
      </c>
      <c r="G321" s="5">
        <v>2565.8999999999983</v>
      </c>
      <c r="H321" s="5">
        <f t="shared" si="34"/>
        <v>227.79999999999998</v>
      </c>
      <c r="I321" s="24">
        <v>309</v>
      </c>
      <c r="J321" s="5">
        <v>0</v>
      </c>
      <c r="K321" s="5">
        <v>514.70000000000005</v>
      </c>
      <c r="L321" s="5">
        <v>3.9</v>
      </c>
      <c r="M321" s="5">
        <v>456.50000000000017</v>
      </c>
      <c r="N321" s="6">
        <v>-3.9</v>
      </c>
      <c r="O321" s="5">
        <f t="shared" si="33"/>
        <v>12.600000000000056</v>
      </c>
      <c r="P321" s="5">
        <v>277</v>
      </c>
      <c r="Q321" s="13">
        <f t="shared" si="32"/>
        <v>0.94259259259259254</v>
      </c>
      <c r="R321" s="8">
        <f t="shared" si="29"/>
        <v>3.6761111111111107</v>
      </c>
      <c r="S321" s="8">
        <f t="shared" si="30"/>
        <v>-3.6761111111111107</v>
      </c>
      <c r="T321" s="8">
        <v>0</v>
      </c>
      <c r="U321" s="8">
        <f>(U319*100)/153.6</f>
        <v>9.0694771930814948</v>
      </c>
      <c r="V321" s="5">
        <v>1690.5</v>
      </c>
      <c r="W321" s="5">
        <v>98.859649122807014</v>
      </c>
      <c r="X321" s="5">
        <v>226896.00000000012</v>
      </c>
      <c r="Y321" s="5">
        <f t="shared" si="35"/>
        <v>30398.5</v>
      </c>
      <c r="AA321" s="5">
        <v>16.423774149057699</v>
      </c>
    </row>
    <row r="322" spans="1:27" s="5" customFormat="1" x14ac:dyDescent="0.25">
      <c r="A322" s="79"/>
      <c r="B322" s="10"/>
      <c r="C322" s="4">
        <v>42169</v>
      </c>
      <c r="D322" s="5">
        <v>17.100000000000001</v>
      </c>
      <c r="E322" s="5">
        <v>11.8</v>
      </c>
      <c r="F322" s="5">
        <v>21.3</v>
      </c>
      <c r="G322" s="5">
        <v>2582.9999999999982</v>
      </c>
      <c r="H322" s="5">
        <f t="shared" si="34"/>
        <v>244.89999999999998</v>
      </c>
      <c r="J322" s="5">
        <v>0</v>
      </c>
      <c r="K322" s="5">
        <v>514.70000000000005</v>
      </c>
      <c r="L322" s="5">
        <v>4.3</v>
      </c>
      <c r="M322" s="5">
        <v>460.80000000000018</v>
      </c>
      <c r="N322" s="6">
        <v>-4.3</v>
      </c>
      <c r="O322" s="5">
        <f t="shared" si="33"/>
        <v>8.3000000000000576</v>
      </c>
      <c r="P322" s="5">
        <v>278</v>
      </c>
      <c r="Q322" s="13">
        <f t="shared" si="32"/>
        <v>0.9277777777777777</v>
      </c>
      <c r="R322" s="8">
        <f t="shared" si="29"/>
        <v>3.9894444444444441</v>
      </c>
      <c r="S322" s="8">
        <f t="shared" si="30"/>
        <v>-3.9894444444444441</v>
      </c>
      <c r="T322" s="8">
        <v>0</v>
      </c>
      <c r="V322" s="5">
        <v>2440.5</v>
      </c>
      <c r="W322" s="5">
        <v>142.71929824561403</v>
      </c>
      <c r="X322" s="5">
        <v>229336.50000000012</v>
      </c>
      <c r="Y322" s="5">
        <f t="shared" si="35"/>
        <v>32839</v>
      </c>
      <c r="AA322" s="5">
        <v>16.437311445572501</v>
      </c>
    </row>
    <row r="323" spans="1:27" s="5" customFormat="1" x14ac:dyDescent="0.25">
      <c r="A323" s="79"/>
      <c r="B323" s="10"/>
      <c r="C323" s="4">
        <v>42170</v>
      </c>
      <c r="D323" s="5">
        <v>16</v>
      </c>
      <c r="E323" s="5">
        <v>14.8</v>
      </c>
      <c r="F323" s="5">
        <v>18.899999999999999</v>
      </c>
      <c r="G323" s="5">
        <v>2598.9999999999982</v>
      </c>
      <c r="H323" s="5">
        <f t="shared" si="34"/>
        <v>260.89999999999998</v>
      </c>
      <c r="J323" s="5">
        <v>0</v>
      </c>
      <c r="K323" s="5">
        <v>514.70000000000005</v>
      </c>
      <c r="L323" s="5">
        <v>3.8</v>
      </c>
      <c r="M323" s="5">
        <v>464.60000000000019</v>
      </c>
      <c r="N323" s="6">
        <v>-3.8</v>
      </c>
      <c r="O323" s="5">
        <f t="shared" si="33"/>
        <v>4.5000000000000577</v>
      </c>
      <c r="P323" s="5">
        <v>279</v>
      </c>
      <c r="Q323" s="13">
        <f t="shared" si="32"/>
        <v>0.91296296296296298</v>
      </c>
      <c r="R323" s="8">
        <f t="shared" si="29"/>
        <v>3.469259259259259</v>
      </c>
      <c r="S323" s="8">
        <f t="shared" si="30"/>
        <v>-3.469259259259259</v>
      </c>
      <c r="T323" s="8">
        <v>0</v>
      </c>
      <c r="V323" s="5">
        <v>1829.6</v>
      </c>
      <c r="W323" s="5">
        <v>114.35</v>
      </c>
      <c r="X323" s="5">
        <v>231166.10000000012</v>
      </c>
      <c r="Y323" s="5">
        <f t="shared" si="35"/>
        <v>34668.6</v>
      </c>
      <c r="AA323" s="5">
        <v>16.449289676818601</v>
      </c>
    </row>
    <row r="324" spans="1:27" s="5" customFormat="1" x14ac:dyDescent="0.25">
      <c r="A324" s="79"/>
      <c r="B324" s="10"/>
      <c r="C324" s="4">
        <v>42171</v>
      </c>
      <c r="D324" s="5">
        <v>15</v>
      </c>
      <c r="E324" s="5">
        <v>10.7</v>
      </c>
      <c r="F324" s="5">
        <v>18.7</v>
      </c>
      <c r="G324" s="5">
        <v>2613.9999999999982</v>
      </c>
      <c r="H324" s="5">
        <f t="shared" si="34"/>
        <v>275.89999999999998</v>
      </c>
      <c r="J324" s="5">
        <v>0</v>
      </c>
      <c r="K324" s="5">
        <v>514.70000000000005</v>
      </c>
      <c r="L324" s="5">
        <v>3.6</v>
      </c>
      <c r="M324" s="5">
        <v>468.20000000000022</v>
      </c>
      <c r="N324" s="6">
        <v>-3.6</v>
      </c>
      <c r="O324" s="5">
        <f t="shared" si="33"/>
        <v>0.90000000000005764</v>
      </c>
      <c r="P324" s="5">
        <v>280</v>
      </c>
      <c r="Q324" s="13">
        <f t="shared" si="32"/>
        <v>0.89814814814814814</v>
      </c>
      <c r="R324" s="8">
        <f t="shared" si="29"/>
        <v>3.2333333333333334</v>
      </c>
      <c r="S324" s="8">
        <f t="shared" si="30"/>
        <v>-3.2333333333333334</v>
      </c>
      <c r="T324" s="8">
        <v>0</v>
      </c>
      <c r="V324" s="5">
        <v>1735.7</v>
      </c>
      <c r="W324" s="5">
        <v>115.71333333333334</v>
      </c>
      <c r="X324" s="5">
        <v>232901.80000000013</v>
      </c>
      <c r="Y324" s="5">
        <f t="shared" si="35"/>
        <v>36404.299999999996</v>
      </c>
      <c r="AA324" s="5">
        <v>16.4596961766044</v>
      </c>
    </row>
    <row r="325" spans="1:27" s="24" customFormat="1" x14ac:dyDescent="0.25">
      <c r="A325" s="79"/>
      <c r="B325" s="62">
        <v>600</v>
      </c>
      <c r="C325" s="23">
        <v>42172</v>
      </c>
      <c r="D325" s="24">
        <v>17.399999999999999</v>
      </c>
      <c r="E325" s="24">
        <v>11.3</v>
      </c>
      <c r="F325" s="24">
        <v>22.6</v>
      </c>
      <c r="G325" s="24">
        <v>2631.3999999999983</v>
      </c>
      <c r="H325" s="5">
        <f t="shared" si="34"/>
        <v>293.29999999999995</v>
      </c>
      <c r="J325" s="24">
        <v>3.5</v>
      </c>
      <c r="K325" s="24">
        <v>518.20000000000005</v>
      </c>
      <c r="L325" s="24">
        <v>3.1</v>
      </c>
      <c r="M325" s="24">
        <v>471.30000000000024</v>
      </c>
      <c r="N325" s="24">
        <v>0.39999999999999991</v>
      </c>
      <c r="O325" s="24">
        <f t="shared" si="33"/>
        <v>1.3000000000000576</v>
      </c>
      <c r="P325" s="24">
        <v>281</v>
      </c>
      <c r="Q325" s="13">
        <f t="shared" si="32"/>
        <v>0.8833333333333333</v>
      </c>
      <c r="R325" s="27">
        <f t="shared" si="29"/>
        <v>2.7383333333333333</v>
      </c>
      <c r="S325" s="27">
        <f t="shared" si="30"/>
        <v>0.76166666666666671</v>
      </c>
      <c r="T325" s="8">
        <f t="shared" si="31"/>
        <v>0.76166666666666671</v>
      </c>
      <c r="V325" s="24">
        <v>1537.2</v>
      </c>
      <c r="W325" s="24">
        <v>88.344827586206904</v>
      </c>
      <c r="X325" s="24">
        <v>234439.00000000015</v>
      </c>
      <c r="Y325" s="5">
        <f t="shared" si="35"/>
        <v>37941.499999999993</v>
      </c>
      <c r="AA325" s="24">
        <v>16.468519939705399</v>
      </c>
    </row>
    <row r="326" spans="1:27" s="45" customFormat="1" ht="15" customHeight="1" thickBot="1" x14ac:dyDescent="0.3">
      <c r="A326" s="81"/>
      <c r="B326" s="41"/>
      <c r="C326" s="58">
        <v>42173</v>
      </c>
      <c r="D326" s="45">
        <v>15.7</v>
      </c>
      <c r="E326" s="45">
        <v>15.2</v>
      </c>
      <c r="F326" s="45">
        <v>18.600000000000001</v>
      </c>
      <c r="G326" s="45">
        <v>2647.0999999999981</v>
      </c>
      <c r="H326" s="45">
        <f t="shared" si="34"/>
        <v>308.99999999999994</v>
      </c>
      <c r="J326" s="45">
        <v>0</v>
      </c>
      <c r="K326" s="45">
        <v>518.20000000000005</v>
      </c>
      <c r="L326" s="45">
        <v>3.2</v>
      </c>
      <c r="M326" s="45">
        <v>474.50000000000023</v>
      </c>
      <c r="N326" s="59">
        <v>-3.2</v>
      </c>
      <c r="O326" s="45">
        <v>0</v>
      </c>
      <c r="P326" s="45">
        <v>282</v>
      </c>
      <c r="Q326" s="53">
        <f t="shared" si="32"/>
        <v>0.86851851851851847</v>
      </c>
      <c r="R326" s="47">
        <f t="shared" si="29"/>
        <v>2.7792592592592591</v>
      </c>
      <c r="S326" s="47">
        <f t="shared" si="30"/>
        <v>-2.7792592592592591</v>
      </c>
      <c r="T326" s="47">
        <v>0</v>
      </c>
      <c r="V326" s="45">
        <v>1317.1</v>
      </c>
      <c r="W326" s="45">
        <v>83.891719745222929</v>
      </c>
      <c r="X326" s="45">
        <v>235756.10000000015</v>
      </c>
      <c r="Y326" s="45">
        <f t="shared" si="35"/>
        <v>39258.599999999991</v>
      </c>
      <c r="AA326" s="45">
        <v>16.475751667970201</v>
      </c>
    </row>
    <row r="327" spans="1:27" s="5" customFormat="1" x14ac:dyDescent="0.25">
      <c r="A327" s="82" t="s">
        <v>53</v>
      </c>
      <c r="B327" s="10"/>
      <c r="C327" s="4">
        <v>42174</v>
      </c>
      <c r="D327" s="5">
        <v>15</v>
      </c>
      <c r="E327" s="5">
        <v>10.8</v>
      </c>
      <c r="F327" s="5">
        <v>16.600000000000001</v>
      </c>
      <c r="G327" s="5">
        <v>2662.0999999999981</v>
      </c>
      <c r="H327" s="5">
        <f>D327</f>
        <v>15</v>
      </c>
      <c r="I327" s="37" t="s">
        <v>2</v>
      </c>
      <c r="J327" s="5">
        <v>0</v>
      </c>
      <c r="K327" s="5">
        <v>518.20000000000005</v>
      </c>
      <c r="L327" s="5">
        <v>1.7</v>
      </c>
      <c r="M327" s="5">
        <v>476.20000000000022</v>
      </c>
      <c r="N327" s="6">
        <v>-1.7</v>
      </c>
      <c r="O327" s="5">
        <v>0</v>
      </c>
      <c r="P327" s="5">
        <v>283</v>
      </c>
      <c r="Q327" s="13">
        <f t="shared" si="32"/>
        <v>0.85370370370370363</v>
      </c>
      <c r="R327" s="8">
        <f t="shared" si="29"/>
        <v>1.4512962962962961</v>
      </c>
      <c r="S327" s="8">
        <f t="shared" si="30"/>
        <v>-1.4512962962962961</v>
      </c>
      <c r="T327" s="8">
        <v>0</v>
      </c>
      <c r="U327" s="37" t="s">
        <v>3</v>
      </c>
      <c r="V327" s="5">
        <v>917.8</v>
      </c>
      <c r="W327" s="5">
        <v>61.18666666666666</v>
      </c>
      <c r="X327" s="5">
        <v>236673.90000000014</v>
      </c>
      <c r="Y327" s="5">
        <f>V327</f>
        <v>917.8</v>
      </c>
      <c r="Z327" s="37" t="s">
        <v>4</v>
      </c>
      <c r="AA327" s="5">
        <v>16.4813838096435</v>
      </c>
    </row>
    <row r="328" spans="1:27" s="5" customFormat="1" x14ac:dyDescent="0.25">
      <c r="A328" s="70"/>
      <c r="B328" s="10"/>
      <c r="C328" s="4">
        <v>42175</v>
      </c>
      <c r="D328" s="5">
        <v>15.8</v>
      </c>
      <c r="E328" s="5">
        <v>13.4</v>
      </c>
      <c r="F328" s="5">
        <v>19.399999999999999</v>
      </c>
      <c r="G328" s="5">
        <v>2677.8999999999983</v>
      </c>
      <c r="H328" s="5">
        <f t="shared" si="34"/>
        <v>30.8</v>
      </c>
      <c r="I328" s="5">
        <f>MIN(E327:E347)</f>
        <v>9.6</v>
      </c>
      <c r="J328" s="5">
        <v>8.1999999999999993</v>
      </c>
      <c r="K328" s="5">
        <v>526.40000000000009</v>
      </c>
      <c r="L328" s="5">
        <v>3.2</v>
      </c>
      <c r="M328" s="5">
        <v>479.4000000000002</v>
      </c>
      <c r="N328" s="5">
        <v>4.9999999999999991</v>
      </c>
      <c r="O328" s="5">
        <f t="shared" ref="O328:O335" si="36">O327+N328</f>
        <v>4.9999999999999991</v>
      </c>
      <c r="P328" s="5">
        <v>284</v>
      </c>
      <c r="Q328" s="13">
        <f t="shared" si="32"/>
        <v>0.8388888888888888</v>
      </c>
      <c r="R328" s="8">
        <f t="shared" si="29"/>
        <v>2.6844444444444444</v>
      </c>
      <c r="S328" s="8">
        <f t="shared" si="30"/>
        <v>5.5155555555555544</v>
      </c>
      <c r="T328" s="8">
        <f t="shared" si="31"/>
        <v>5.5155555555555544</v>
      </c>
      <c r="V328" s="5">
        <v>1642.8</v>
      </c>
      <c r="W328" s="5">
        <v>103.97468354430379</v>
      </c>
      <c r="X328" s="5">
        <v>238316.70000000013</v>
      </c>
      <c r="Y328" s="5">
        <f t="shared" si="35"/>
        <v>2560.6</v>
      </c>
      <c r="Z328" s="5">
        <v>40621.300000000003</v>
      </c>
      <c r="AA328" s="5">
        <v>16.485410591554601</v>
      </c>
    </row>
    <row r="329" spans="1:27" s="5" customFormat="1" x14ac:dyDescent="0.25">
      <c r="A329" s="70"/>
      <c r="B329" s="10"/>
      <c r="C329" s="4">
        <v>42176</v>
      </c>
      <c r="D329" s="5">
        <v>16.3</v>
      </c>
      <c r="E329" s="5">
        <v>14.3</v>
      </c>
      <c r="F329" s="5">
        <v>18.2</v>
      </c>
      <c r="G329" s="5">
        <v>2694.1999999999985</v>
      </c>
      <c r="H329" s="5">
        <f t="shared" si="34"/>
        <v>47.1</v>
      </c>
      <c r="I329" s="37" t="s">
        <v>5</v>
      </c>
      <c r="J329" s="5">
        <v>3.1</v>
      </c>
      <c r="K329" s="5">
        <v>529.50000000000011</v>
      </c>
      <c r="L329" s="5">
        <v>2.5</v>
      </c>
      <c r="M329" s="5">
        <v>481.9000000000002</v>
      </c>
      <c r="N329" s="5">
        <v>0.60000000000000009</v>
      </c>
      <c r="O329" s="5">
        <f t="shared" si="36"/>
        <v>5.6</v>
      </c>
      <c r="P329" s="5">
        <v>285</v>
      </c>
      <c r="Q329" s="13">
        <f t="shared" si="32"/>
        <v>0.82407407407407396</v>
      </c>
      <c r="R329" s="8">
        <f t="shared" si="29"/>
        <v>2.0601851851851851</v>
      </c>
      <c r="S329" s="8">
        <f t="shared" si="30"/>
        <v>1.039814814814815</v>
      </c>
      <c r="T329" s="8">
        <f t="shared" si="31"/>
        <v>6.555370370370369</v>
      </c>
      <c r="U329" s="37" t="s">
        <v>6</v>
      </c>
      <c r="V329" s="5">
        <v>1304</v>
      </c>
      <c r="W329" s="5">
        <v>80</v>
      </c>
      <c r="X329" s="5">
        <v>239620.70000000013</v>
      </c>
      <c r="Y329" s="5">
        <f t="shared" si="35"/>
        <v>3864.6</v>
      </c>
      <c r="Z329" s="37" t="s">
        <v>7</v>
      </c>
      <c r="AA329" s="5">
        <v>16.4878280438807</v>
      </c>
    </row>
    <row r="330" spans="1:27" s="5" customFormat="1" x14ac:dyDescent="0.25">
      <c r="A330" s="70"/>
      <c r="B330" s="10"/>
      <c r="C330" s="4">
        <v>42177</v>
      </c>
      <c r="D330" s="5">
        <v>12.7</v>
      </c>
      <c r="E330" s="5">
        <v>11.8</v>
      </c>
      <c r="F330" s="5">
        <v>14.4</v>
      </c>
      <c r="G330" s="5">
        <v>2706.8999999999983</v>
      </c>
      <c r="H330" s="5">
        <f t="shared" si="34"/>
        <v>59.8</v>
      </c>
      <c r="I330" s="5">
        <f>MAX(F327:F347)</f>
        <v>33.6</v>
      </c>
      <c r="J330" s="5">
        <v>16.100000000000001</v>
      </c>
      <c r="K330" s="5">
        <v>545.60000000000014</v>
      </c>
      <c r="L330" s="5">
        <v>1.4</v>
      </c>
      <c r="M330" s="5">
        <v>483.30000000000018</v>
      </c>
      <c r="N330" s="5">
        <v>14.700000000000001</v>
      </c>
      <c r="O330" s="5">
        <f t="shared" si="36"/>
        <v>20.3</v>
      </c>
      <c r="P330" s="5">
        <v>286</v>
      </c>
      <c r="Q330" s="13">
        <f t="shared" si="32"/>
        <v>0.80925925925925912</v>
      </c>
      <c r="R330" s="8">
        <f t="shared" si="29"/>
        <v>1.1329629629629627</v>
      </c>
      <c r="S330" s="8">
        <f t="shared" si="30"/>
        <v>14.967037037037038</v>
      </c>
      <c r="T330" s="8">
        <f t="shared" si="31"/>
        <v>21.522407407407407</v>
      </c>
      <c r="U330" s="5">
        <v>8</v>
      </c>
      <c r="V330" s="12">
        <v>577.4</v>
      </c>
      <c r="W330" s="5">
        <v>45.464566929133859</v>
      </c>
      <c r="X330" s="5">
        <v>240198.10000000012</v>
      </c>
      <c r="Y330" s="5">
        <f t="shared" si="35"/>
        <v>4442</v>
      </c>
      <c r="Z330" s="13">
        <f>(Z328/100)/I340</f>
        <v>1.0099776230730981</v>
      </c>
      <c r="AA330" s="5">
        <v>16.488634017258001</v>
      </c>
    </row>
    <row r="331" spans="1:27" s="5" customFormat="1" x14ac:dyDescent="0.25">
      <c r="A331" s="70"/>
      <c r="B331" s="10"/>
      <c r="C331" s="4">
        <v>42178</v>
      </c>
      <c r="D331" s="5">
        <v>13.1</v>
      </c>
      <c r="E331" s="5">
        <v>11.7</v>
      </c>
      <c r="F331" s="5">
        <v>16.5</v>
      </c>
      <c r="G331" s="5">
        <v>2719.9999999999982</v>
      </c>
      <c r="H331" s="5">
        <f t="shared" si="34"/>
        <v>72.899999999999991</v>
      </c>
      <c r="I331" s="37" t="s">
        <v>8</v>
      </c>
      <c r="J331" s="5">
        <v>0.5</v>
      </c>
      <c r="K331" s="5">
        <v>546.10000000000014</v>
      </c>
      <c r="L331" s="5">
        <v>2.6</v>
      </c>
      <c r="M331" s="5">
        <v>485.9000000000002</v>
      </c>
      <c r="N331" s="6">
        <v>-2.1</v>
      </c>
      <c r="O331" s="5">
        <f t="shared" si="36"/>
        <v>18.2</v>
      </c>
      <c r="P331" s="5">
        <v>287</v>
      </c>
      <c r="Q331" s="13">
        <f t="shared" si="32"/>
        <v>0.7944444444444444</v>
      </c>
      <c r="R331" s="8">
        <f t="shared" si="29"/>
        <v>2.0655555555555556</v>
      </c>
      <c r="S331" s="8">
        <f t="shared" si="30"/>
        <v>-1.5655555555555556</v>
      </c>
      <c r="T331" s="8">
        <f t="shared" si="31"/>
        <v>19.956851851851852</v>
      </c>
      <c r="U331" s="37" t="s">
        <v>9</v>
      </c>
      <c r="V331" s="5">
        <v>1511.7</v>
      </c>
      <c r="W331" s="5">
        <v>115.3969465648855</v>
      </c>
      <c r="X331" s="5">
        <v>241709.80000000013</v>
      </c>
      <c r="Y331" s="5">
        <f t="shared" si="35"/>
        <v>5953.7</v>
      </c>
      <c r="Z331" s="37" t="s">
        <v>10</v>
      </c>
      <c r="AA331" s="5">
        <v>16.4878281920837</v>
      </c>
    </row>
    <row r="332" spans="1:27" s="5" customFormat="1" x14ac:dyDescent="0.25">
      <c r="A332" s="70"/>
      <c r="B332" s="10"/>
      <c r="C332" s="4">
        <v>42179</v>
      </c>
      <c r="D332" s="5">
        <v>16.3</v>
      </c>
      <c r="E332" s="5">
        <v>9.6</v>
      </c>
      <c r="F332" s="5">
        <v>20.7</v>
      </c>
      <c r="G332" s="5">
        <v>2736.2999999999984</v>
      </c>
      <c r="H332" s="5">
        <f t="shared" si="34"/>
        <v>89.199999999999989</v>
      </c>
      <c r="I332" s="8">
        <f>AVERAGE(D327:D347)</f>
        <v>19.152380952380952</v>
      </c>
      <c r="J332" s="5">
        <v>0</v>
      </c>
      <c r="K332" s="5">
        <v>546.10000000000014</v>
      </c>
      <c r="L332" s="5">
        <v>2.8</v>
      </c>
      <c r="M332" s="5">
        <v>488.70000000000022</v>
      </c>
      <c r="N332" s="6">
        <v>-2.8</v>
      </c>
      <c r="O332" s="5">
        <f t="shared" si="36"/>
        <v>15.399999999999999</v>
      </c>
      <c r="P332" s="5">
        <v>288</v>
      </c>
      <c r="Q332" s="13">
        <f t="shared" si="32"/>
        <v>0.77962962962962956</v>
      </c>
      <c r="R332" s="8">
        <f t="shared" si="29"/>
        <v>2.1829629629629625</v>
      </c>
      <c r="S332" s="8">
        <f t="shared" si="30"/>
        <v>-2.1829629629629625</v>
      </c>
      <c r="T332" s="8">
        <f t="shared" si="31"/>
        <v>17.773888888888891</v>
      </c>
      <c r="U332" s="5">
        <v>13</v>
      </c>
      <c r="V332" s="5">
        <v>1722.8</v>
      </c>
      <c r="W332" s="5">
        <v>105.69325153374233</v>
      </c>
      <c r="X332" s="5">
        <v>243432.60000000012</v>
      </c>
      <c r="Y332" s="5">
        <f t="shared" si="35"/>
        <v>7676.5</v>
      </c>
      <c r="Z332" s="5">
        <v>2</v>
      </c>
      <c r="AA332" s="5">
        <v>16.4854120799234</v>
      </c>
    </row>
    <row r="333" spans="1:27" s="5" customFormat="1" x14ac:dyDescent="0.25">
      <c r="A333" s="70"/>
      <c r="B333" s="10"/>
      <c r="C333" s="4">
        <v>42180</v>
      </c>
      <c r="D333" s="5">
        <v>20.399999999999999</v>
      </c>
      <c r="E333" s="5">
        <v>15.3</v>
      </c>
      <c r="F333" s="5">
        <v>24.5</v>
      </c>
      <c r="G333" s="5">
        <v>2756.6999999999985</v>
      </c>
      <c r="H333" s="5">
        <f t="shared" si="34"/>
        <v>109.6</v>
      </c>
      <c r="I333" s="37" t="s">
        <v>11</v>
      </c>
      <c r="J333" s="5">
        <v>0</v>
      </c>
      <c r="K333" s="5">
        <v>546.10000000000014</v>
      </c>
      <c r="L333" s="5">
        <v>4.5</v>
      </c>
      <c r="M333" s="5">
        <v>493.20000000000022</v>
      </c>
      <c r="N333" s="6">
        <v>-4.5</v>
      </c>
      <c r="O333" s="5">
        <f t="shared" si="36"/>
        <v>10.899999999999999</v>
      </c>
      <c r="P333" s="5">
        <v>289</v>
      </c>
      <c r="Q333" s="13">
        <f t="shared" si="32"/>
        <v>0.76481481481481484</v>
      </c>
      <c r="R333" s="8">
        <f t="shared" si="29"/>
        <v>3.4416666666666669</v>
      </c>
      <c r="S333" s="8">
        <f t="shared" si="30"/>
        <v>-3.4416666666666669</v>
      </c>
      <c r="T333" s="8">
        <f t="shared" si="31"/>
        <v>14.332222222222224</v>
      </c>
      <c r="U333" s="37" t="s">
        <v>12</v>
      </c>
      <c r="V333" s="5">
        <v>2366.4</v>
      </c>
      <c r="W333" s="5">
        <v>116.00000000000001</v>
      </c>
      <c r="X333" s="5">
        <v>245799.00000000012</v>
      </c>
      <c r="Y333" s="5">
        <f t="shared" si="35"/>
        <v>10042.9</v>
      </c>
      <c r="AA333" s="5">
        <v>16.481389017008599</v>
      </c>
    </row>
    <row r="334" spans="1:27" s="5" customFormat="1" x14ac:dyDescent="0.25">
      <c r="A334" s="70"/>
      <c r="B334" s="10"/>
      <c r="C334" s="4">
        <v>42181</v>
      </c>
      <c r="D334" s="5">
        <v>21.5</v>
      </c>
      <c r="E334" s="5">
        <v>16.8</v>
      </c>
      <c r="F334" s="14">
        <v>27</v>
      </c>
      <c r="G334" s="5">
        <v>2778.1999999999985</v>
      </c>
      <c r="H334" s="5">
        <f t="shared" si="34"/>
        <v>131.1</v>
      </c>
      <c r="I334" s="5">
        <v>0</v>
      </c>
      <c r="J334" s="5">
        <v>0</v>
      </c>
      <c r="K334" s="5">
        <v>546.10000000000014</v>
      </c>
      <c r="L334" s="5">
        <v>4.9000000000000004</v>
      </c>
      <c r="M334" s="5">
        <v>498.10000000000019</v>
      </c>
      <c r="N334" s="6">
        <v>-4.9000000000000004</v>
      </c>
      <c r="O334" s="5">
        <f t="shared" si="36"/>
        <v>5.9999999999999982</v>
      </c>
      <c r="P334" s="5">
        <v>290</v>
      </c>
      <c r="Q334" s="13">
        <f t="shared" si="32"/>
        <v>0.75</v>
      </c>
      <c r="R334" s="8">
        <f t="shared" si="29"/>
        <v>3.6750000000000003</v>
      </c>
      <c r="S334" s="8">
        <f t="shared" si="30"/>
        <v>-3.6750000000000003</v>
      </c>
      <c r="T334" s="8">
        <f t="shared" si="31"/>
        <v>10.657222222222224</v>
      </c>
      <c r="U334" s="5">
        <v>0</v>
      </c>
      <c r="V334" s="5">
        <v>2159.1</v>
      </c>
      <c r="W334" s="5">
        <v>100.42325581395349</v>
      </c>
      <c r="X334" s="5">
        <v>247958.10000000012</v>
      </c>
      <c r="Y334" s="5">
        <f t="shared" si="35"/>
        <v>12202</v>
      </c>
      <c r="AA334" s="5">
        <v>16.475764149885499</v>
      </c>
    </row>
    <row r="335" spans="1:27" s="5" customFormat="1" x14ac:dyDescent="0.25">
      <c r="A335" s="70"/>
      <c r="B335" s="10"/>
      <c r="C335" s="4">
        <v>42182</v>
      </c>
      <c r="D335" s="5">
        <v>18.8</v>
      </c>
      <c r="E335" s="5">
        <v>16.600000000000001</v>
      </c>
      <c r="F335" s="5">
        <v>21.9</v>
      </c>
      <c r="G335" s="5">
        <v>2796.9999999999986</v>
      </c>
      <c r="H335" s="5">
        <f t="shared" si="34"/>
        <v>149.9</v>
      </c>
      <c r="I335" s="37" t="s">
        <v>13</v>
      </c>
      <c r="J335" s="5">
        <v>0</v>
      </c>
      <c r="K335" s="5">
        <v>546.10000000000014</v>
      </c>
      <c r="L335" s="5">
        <v>4.8</v>
      </c>
      <c r="M335" s="5">
        <v>502.9000000000002</v>
      </c>
      <c r="N335" s="6">
        <v>-4.8</v>
      </c>
      <c r="O335" s="5">
        <f t="shared" si="36"/>
        <v>1.1999999999999984</v>
      </c>
      <c r="P335" s="5">
        <v>291</v>
      </c>
      <c r="Q335" s="13">
        <f t="shared" si="32"/>
        <v>0.73518518518518516</v>
      </c>
      <c r="R335" s="8">
        <f t="shared" si="29"/>
        <v>3.5288888888888885</v>
      </c>
      <c r="S335" s="8">
        <f t="shared" si="30"/>
        <v>-3.5288888888888885</v>
      </c>
      <c r="T335" s="8">
        <f t="shared" si="31"/>
        <v>7.1283333333333356</v>
      </c>
      <c r="U335" s="37" t="s">
        <v>14</v>
      </c>
      <c r="V335" s="5">
        <v>2214.4</v>
      </c>
      <c r="W335" s="5">
        <v>117.78723404255319</v>
      </c>
      <c r="X335" s="5">
        <v>250172.50000000012</v>
      </c>
      <c r="Y335" s="5">
        <f t="shared" si="35"/>
        <v>14416.4</v>
      </c>
      <c r="AA335" s="5">
        <v>16.468544413345001</v>
      </c>
    </row>
    <row r="336" spans="1:27" s="5" customFormat="1" x14ac:dyDescent="0.25">
      <c r="A336" s="70"/>
      <c r="B336" s="10"/>
      <c r="C336" s="4">
        <v>42183</v>
      </c>
      <c r="D336" s="5">
        <v>19.899999999999999</v>
      </c>
      <c r="E336" s="5">
        <v>13.8</v>
      </c>
      <c r="F336" s="5">
        <v>24.7</v>
      </c>
      <c r="G336" s="5">
        <v>2816.8999999999987</v>
      </c>
      <c r="H336" s="5">
        <f t="shared" si="34"/>
        <v>169.8</v>
      </c>
      <c r="I336" s="5">
        <v>7</v>
      </c>
      <c r="J336" s="5">
        <v>0</v>
      </c>
      <c r="K336" s="5">
        <v>546.10000000000014</v>
      </c>
      <c r="L336" s="5">
        <v>3.4</v>
      </c>
      <c r="M336" s="5">
        <v>506.30000000000018</v>
      </c>
      <c r="N336" s="6">
        <v>-3.4</v>
      </c>
      <c r="O336" s="5">
        <v>0</v>
      </c>
      <c r="P336" s="5">
        <v>292</v>
      </c>
      <c r="Q336" s="13">
        <f t="shared" si="32"/>
        <v>0.72037037037037033</v>
      </c>
      <c r="R336" s="8">
        <f t="shared" si="29"/>
        <v>2.449259259259259</v>
      </c>
      <c r="S336" s="8">
        <f t="shared" si="30"/>
        <v>-2.449259259259259</v>
      </c>
      <c r="T336" s="8">
        <f t="shared" si="31"/>
        <v>4.6790740740740766</v>
      </c>
      <c r="U336" s="8">
        <f>MAX(T327:T347)</f>
        <v>21.522407407407407</v>
      </c>
      <c r="V336" s="5">
        <v>1737.4</v>
      </c>
      <c r="W336" s="5">
        <v>87.306532663316588</v>
      </c>
      <c r="X336" s="5">
        <v>251909.90000000011</v>
      </c>
      <c r="Y336" s="5">
        <f t="shared" si="35"/>
        <v>16153.8</v>
      </c>
      <c r="AA336" s="5">
        <v>16.459738500835499</v>
      </c>
    </row>
    <row r="337" spans="1:27" s="5" customFormat="1" x14ac:dyDescent="0.25">
      <c r="A337" s="70"/>
      <c r="B337" s="10"/>
      <c r="C337" s="4">
        <v>42184</v>
      </c>
      <c r="D337" s="5">
        <v>20.2</v>
      </c>
      <c r="E337" s="5">
        <v>16.5</v>
      </c>
      <c r="F337" s="5">
        <v>24</v>
      </c>
      <c r="G337" s="5">
        <v>2837.0999999999985</v>
      </c>
      <c r="H337" s="5">
        <f t="shared" si="34"/>
        <v>190</v>
      </c>
      <c r="I337" s="37" t="s">
        <v>15</v>
      </c>
      <c r="J337" s="5">
        <v>0</v>
      </c>
      <c r="K337" s="5">
        <v>546.10000000000014</v>
      </c>
      <c r="L337" s="5">
        <v>6.3</v>
      </c>
      <c r="M337" s="5">
        <v>512.60000000000014</v>
      </c>
      <c r="N337" s="6">
        <v>-6.3</v>
      </c>
      <c r="O337" s="5">
        <v>0</v>
      </c>
      <c r="P337" s="5">
        <v>293</v>
      </c>
      <c r="Q337" s="13">
        <f t="shared" si="32"/>
        <v>0.70555555555555549</v>
      </c>
      <c r="R337" s="8">
        <f t="shared" si="29"/>
        <v>4.4449999999999994</v>
      </c>
      <c r="S337" s="8">
        <f t="shared" si="30"/>
        <v>-4.4449999999999994</v>
      </c>
      <c r="T337" s="8">
        <f t="shared" si="31"/>
        <v>0.23407407407407721</v>
      </c>
      <c r="U337" s="37" t="s">
        <v>16</v>
      </c>
      <c r="V337" s="5">
        <v>3129.2</v>
      </c>
      <c r="W337" s="5">
        <v>154.9108910891089</v>
      </c>
      <c r="X337" s="5">
        <v>255039.10000000012</v>
      </c>
      <c r="Y337" s="5">
        <f t="shared" si="35"/>
        <v>19283</v>
      </c>
      <c r="AA337" s="5">
        <v>16.449356827625301</v>
      </c>
    </row>
    <row r="338" spans="1:27" s="5" customFormat="1" x14ac:dyDescent="0.25">
      <c r="A338" s="70"/>
      <c r="B338" s="10"/>
      <c r="C338" s="4">
        <v>42185</v>
      </c>
      <c r="D338" s="5">
        <v>23.1</v>
      </c>
      <c r="E338" s="5">
        <v>16</v>
      </c>
      <c r="F338" s="14">
        <v>28.9</v>
      </c>
      <c r="G338" s="5">
        <v>2860.1999999999985</v>
      </c>
      <c r="H338" s="5">
        <f t="shared" si="34"/>
        <v>213.1</v>
      </c>
      <c r="I338" s="5">
        <v>0</v>
      </c>
      <c r="J338" s="5">
        <v>0</v>
      </c>
      <c r="K338" s="5">
        <v>546.10000000000014</v>
      </c>
      <c r="L338" s="5">
        <v>7.2</v>
      </c>
      <c r="M338" s="5">
        <v>519.80000000000018</v>
      </c>
      <c r="N338" s="6">
        <v>-7.2</v>
      </c>
      <c r="O338" s="5">
        <v>0</v>
      </c>
      <c r="P338" s="5">
        <v>294</v>
      </c>
      <c r="Q338" s="13">
        <f t="shared" si="32"/>
        <v>0.69074074074074066</v>
      </c>
      <c r="R338" s="8">
        <f t="shared" si="29"/>
        <v>4.9733333333333327</v>
      </c>
      <c r="S338" s="8">
        <f t="shared" si="30"/>
        <v>-4.9733333333333327</v>
      </c>
      <c r="T338" s="8">
        <v>0</v>
      </c>
      <c r="U338" s="13">
        <f>AVERAGE(T327:T347)</f>
        <v>5.3867901234567901</v>
      </c>
      <c r="V338" s="5">
        <v>3208.9</v>
      </c>
      <c r="W338" s="5">
        <v>138.91341991341992</v>
      </c>
      <c r="X338" s="5">
        <v>258248.00000000012</v>
      </c>
      <c r="Y338" s="5">
        <f t="shared" si="35"/>
        <v>22491.9</v>
      </c>
      <c r="AA338" s="5">
        <v>16.4374114870458</v>
      </c>
    </row>
    <row r="339" spans="1:27" s="5" customFormat="1" x14ac:dyDescent="0.25">
      <c r="A339" s="70"/>
      <c r="B339" s="10"/>
      <c r="C339" s="4">
        <v>42186</v>
      </c>
      <c r="D339" s="5">
        <v>27.8</v>
      </c>
      <c r="E339" s="5">
        <v>21</v>
      </c>
      <c r="F339" s="14">
        <v>33.6</v>
      </c>
      <c r="G339" s="5">
        <v>2887.9999999999986</v>
      </c>
      <c r="H339" s="5">
        <f t="shared" si="34"/>
        <v>240.9</v>
      </c>
      <c r="I339" s="37" t="s">
        <v>17</v>
      </c>
      <c r="J339" s="5">
        <v>0</v>
      </c>
      <c r="K339" s="5">
        <v>546.10000000000014</v>
      </c>
      <c r="L339" s="5">
        <v>7.8</v>
      </c>
      <c r="M339" s="5">
        <v>527.60000000000014</v>
      </c>
      <c r="N339" s="6">
        <v>-7.8</v>
      </c>
      <c r="O339" s="5">
        <v>0</v>
      </c>
      <c r="P339" s="5">
        <v>295</v>
      </c>
      <c r="Q339" s="13">
        <f t="shared" si="32"/>
        <v>0.67592592592592593</v>
      </c>
      <c r="R339" s="8">
        <f t="shared" si="29"/>
        <v>5.2722222222222221</v>
      </c>
      <c r="S339" s="8">
        <f t="shared" si="30"/>
        <v>-5.2722222222222221</v>
      </c>
      <c r="T339" s="8">
        <v>0</v>
      </c>
      <c r="V339" s="5">
        <v>2829</v>
      </c>
      <c r="W339" s="5">
        <v>101.76258992805755</v>
      </c>
      <c r="X339" s="5">
        <v>261077.00000000012</v>
      </c>
      <c r="Y339" s="5">
        <f t="shared" si="35"/>
        <v>25320.9</v>
      </c>
      <c r="AA339" s="5">
        <v>16.4239162002015</v>
      </c>
    </row>
    <row r="340" spans="1:27" s="5" customFormat="1" x14ac:dyDescent="0.25">
      <c r="A340" s="70"/>
      <c r="B340" s="10"/>
      <c r="C340" s="4">
        <v>42187</v>
      </c>
      <c r="D340" s="5">
        <v>22.7</v>
      </c>
      <c r="E340" s="5">
        <v>21.9</v>
      </c>
      <c r="F340" s="14">
        <v>25.6</v>
      </c>
      <c r="G340" s="5">
        <v>2910.6999999999985</v>
      </c>
      <c r="H340" s="5">
        <f t="shared" si="34"/>
        <v>263.60000000000002</v>
      </c>
      <c r="I340" s="5">
        <v>402.2</v>
      </c>
      <c r="J340" s="5">
        <v>2.7</v>
      </c>
      <c r="K340" s="5">
        <v>548.80000000000018</v>
      </c>
      <c r="L340" s="5">
        <v>5.2</v>
      </c>
      <c r="M340" s="5">
        <v>532.80000000000018</v>
      </c>
      <c r="N340" s="6">
        <v>-2.5</v>
      </c>
      <c r="O340" s="38">
        <v>0</v>
      </c>
      <c r="P340" s="5">
        <v>296</v>
      </c>
      <c r="Q340" s="13">
        <f t="shared" si="32"/>
        <v>0.66111111111111098</v>
      </c>
      <c r="R340" s="8">
        <f t="shared" si="29"/>
        <v>3.4377777777777774</v>
      </c>
      <c r="S340" s="8">
        <f t="shared" si="30"/>
        <v>-0.7377777777777772</v>
      </c>
      <c r="T340" s="8">
        <v>0</v>
      </c>
      <c r="U340" s="8">
        <f>(U338*100)/153.6</f>
        <v>3.5070248199588478</v>
      </c>
      <c r="V340" s="5">
        <v>2435.9</v>
      </c>
      <c r="W340" s="5">
        <v>107.30837004405286</v>
      </c>
      <c r="X340" s="5">
        <v>263512.90000000014</v>
      </c>
      <c r="Y340" s="5">
        <f t="shared" si="35"/>
        <v>27756.800000000003</v>
      </c>
      <c r="AA340" s="5">
        <v>16.408886259585</v>
      </c>
    </row>
    <row r="341" spans="1:27" s="24" customFormat="1" x14ac:dyDescent="0.25">
      <c r="A341" s="70"/>
      <c r="B341" s="22"/>
      <c r="C341" s="23">
        <v>42188</v>
      </c>
      <c r="D341" s="24">
        <v>24.9</v>
      </c>
      <c r="E341" s="24">
        <v>18.2</v>
      </c>
      <c r="F341" s="36">
        <v>30.1</v>
      </c>
      <c r="G341" s="24">
        <v>2935.5999999999985</v>
      </c>
      <c r="H341" s="5">
        <f t="shared" si="34"/>
        <v>288.5</v>
      </c>
      <c r="J341" s="24">
        <v>0</v>
      </c>
      <c r="K341" s="24">
        <v>548.80000000000018</v>
      </c>
      <c r="L341" s="24">
        <v>6.3</v>
      </c>
      <c r="M341" s="24">
        <v>539.10000000000014</v>
      </c>
      <c r="N341" s="26">
        <v>-6.3</v>
      </c>
      <c r="O341" s="24">
        <v>0</v>
      </c>
      <c r="P341" s="24">
        <v>297</v>
      </c>
      <c r="Q341" s="13">
        <f t="shared" si="32"/>
        <v>0.64629629629629626</v>
      </c>
      <c r="R341" s="27">
        <f t="shared" si="29"/>
        <v>4.0716666666666663</v>
      </c>
      <c r="S341" s="27">
        <f t="shared" si="30"/>
        <v>-4.0716666666666663</v>
      </c>
      <c r="T341" s="8">
        <v>0</v>
      </c>
      <c r="V341" s="24">
        <v>2733.3</v>
      </c>
      <c r="W341" s="24">
        <v>109.77108433734941</v>
      </c>
      <c r="X341" s="24">
        <v>266246.20000000013</v>
      </c>
      <c r="Y341" s="5">
        <f t="shared" si="35"/>
        <v>30490.100000000002</v>
      </c>
      <c r="AA341" s="5">
        <v>16.392338467081402</v>
      </c>
    </row>
    <row r="342" spans="1:27" s="5" customFormat="1" ht="15" customHeight="1" x14ac:dyDescent="0.25">
      <c r="A342" s="70"/>
      <c r="B342" s="3"/>
      <c r="C342" s="4">
        <v>42189</v>
      </c>
      <c r="D342" s="5">
        <v>25.1</v>
      </c>
      <c r="E342" s="5">
        <v>24.6</v>
      </c>
      <c r="F342" s="14">
        <v>28.6</v>
      </c>
      <c r="G342" s="5">
        <v>2960.6999999999985</v>
      </c>
      <c r="H342" s="5">
        <f t="shared" si="34"/>
        <v>313.60000000000002</v>
      </c>
      <c r="J342" s="5">
        <v>0</v>
      </c>
      <c r="K342" s="5">
        <v>548.80000000000018</v>
      </c>
      <c r="L342" s="5">
        <v>5.6</v>
      </c>
      <c r="M342" s="5">
        <v>544.70000000000016</v>
      </c>
      <c r="N342" s="6">
        <v>-5.6</v>
      </c>
      <c r="O342" s="5">
        <v>0</v>
      </c>
      <c r="P342" s="5">
        <v>298</v>
      </c>
      <c r="Q342" s="13">
        <f t="shared" si="32"/>
        <v>0.63148148148148142</v>
      </c>
      <c r="R342" s="8">
        <f t="shared" si="29"/>
        <v>3.5362962962962956</v>
      </c>
      <c r="S342" s="8">
        <f t="shared" si="30"/>
        <v>-3.5362962962962956</v>
      </c>
      <c r="T342" s="8">
        <v>0</v>
      </c>
      <c r="V342" s="5">
        <v>2078.8000000000002</v>
      </c>
      <c r="W342" s="5">
        <v>82.820717131474112</v>
      </c>
      <c r="X342" s="5">
        <v>268325.00000000012</v>
      </c>
      <c r="Y342" s="5">
        <f t="shared" si="35"/>
        <v>32568.9</v>
      </c>
      <c r="AA342" s="5">
        <v>16.374291066880701</v>
      </c>
    </row>
    <row r="343" spans="1:27" s="5" customFormat="1" x14ac:dyDescent="0.25">
      <c r="A343" s="70"/>
      <c r="B343" s="3"/>
      <c r="C343" s="4">
        <v>42190</v>
      </c>
      <c r="D343" s="5">
        <v>18.5</v>
      </c>
      <c r="E343" s="5">
        <v>18.600000000000001</v>
      </c>
      <c r="F343" s="5">
        <v>19.899999999999999</v>
      </c>
      <c r="G343" s="5">
        <v>2979.1999999999985</v>
      </c>
      <c r="H343" s="5">
        <f t="shared" si="34"/>
        <v>332.1</v>
      </c>
      <c r="J343" s="5">
        <v>3.8</v>
      </c>
      <c r="K343" s="5">
        <v>552.60000000000014</v>
      </c>
      <c r="L343" s="5">
        <v>2.5</v>
      </c>
      <c r="M343" s="5">
        <v>547.20000000000016</v>
      </c>
      <c r="N343" s="5">
        <v>1.2999999999999998</v>
      </c>
      <c r="O343" s="5">
        <f>O342+N343</f>
        <v>1.2999999999999998</v>
      </c>
      <c r="P343" s="5">
        <v>299</v>
      </c>
      <c r="Q343" s="13">
        <f t="shared" si="32"/>
        <v>0.6166666666666667</v>
      </c>
      <c r="R343" s="8">
        <f t="shared" si="29"/>
        <v>1.5416666666666667</v>
      </c>
      <c r="S343" s="8">
        <f t="shared" si="30"/>
        <v>2.2583333333333329</v>
      </c>
      <c r="T343" s="8">
        <f t="shared" si="31"/>
        <v>2.2583333333333329</v>
      </c>
      <c r="V343" s="12">
        <v>873.7</v>
      </c>
      <c r="W343" s="5">
        <v>47.227027027027027</v>
      </c>
      <c r="X343" s="5">
        <v>269198.70000000013</v>
      </c>
      <c r="Y343" s="5">
        <f t="shared" si="35"/>
        <v>33442.6</v>
      </c>
      <c r="AA343" s="5">
        <v>16.3547636738504</v>
      </c>
    </row>
    <row r="344" spans="1:27" s="5" customFormat="1" x14ac:dyDescent="0.25">
      <c r="A344" s="70"/>
      <c r="B344" s="3"/>
      <c r="C344" s="4">
        <v>42191</v>
      </c>
      <c r="D344" s="5">
        <v>20.100000000000001</v>
      </c>
      <c r="E344" s="5">
        <v>13.9</v>
      </c>
      <c r="F344" s="14">
        <v>26</v>
      </c>
      <c r="G344" s="5">
        <v>2999.2999999999984</v>
      </c>
      <c r="H344" s="5">
        <f t="shared" si="34"/>
        <v>352.20000000000005</v>
      </c>
      <c r="J344" s="5">
        <v>0</v>
      </c>
      <c r="K344" s="5">
        <v>552.60000000000014</v>
      </c>
      <c r="L344" s="5">
        <v>4.3</v>
      </c>
      <c r="M344" s="5">
        <v>551.50000000000011</v>
      </c>
      <c r="N344" s="6">
        <v>-4.3</v>
      </c>
      <c r="O344" s="5">
        <v>0</v>
      </c>
      <c r="P344" s="5">
        <v>300</v>
      </c>
      <c r="Q344" s="13">
        <f t="shared" si="32"/>
        <v>0.60185185185185175</v>
      </c>
      <c r="R344" s="8">
        <f t="shared" si="29"/>
        <v>2.5879629629629624</v>
      </c>
      <c r="S344" s="8">
        <f t="shared" si="30"/>
        <v>-2.5879629629629624</v>
      </c>
      <c r="T344" s="8">
        <v>0</v>
      </c>
      <c r="V344" s="5">
        <v>1789.3</v>
      </c>
      <c r="W344" s="5">
        <v>89.019900497512424</v>
      </c>
      <c r="X344" s="5">
        <v>270988.00000000012</v>
      </c>
      <c r="Y344" s="5">
        <f t="shared" si="35"/>
        <v>35231.9</v>
      </c>
      <c r="AA344" s="5">
        <v>16.333777197940002</v>
      </c>
    </row>
    <row r="345" spans="1:27" s="5" customFormat="1" x14ac:dyDescent="0.25">
      <c r="A345" s="70"/>
      <c r="B345" s="3"/>
      <c r="C345" s="4">
        <v>42192</v>
      </c>
      <c r="D345" s="5">
        <v>18.7</v>
      </c>
      <c r="E345" s="5">
        <v>17.100000000000001</v>
      </c>
      <c r="F345" s="5">
        <v>23</v>
      </c>
      <c r="G345" s="5">
        <v>3017.9999999999982</v>
      </c>
      <c r="H345" s="5">
        <f t="shared" si="34"/>
        <v>370.90000000000003</v>
      </c>
      <c r="J345" s="5">
        <v>0</v>
      </c>
      <c r="K345" s="5">
        <v>552.60000000000014</v>
      </c>
      <c r="L345" s="5">
        <v>4</v>
      </c>
      <c r="M345" s="5">
        <v>555.50000000000011</v>
      </c>
      <c r="N345" s="6">
        <v>-4</v>
      </c>
      <c r="O345" s="5">
        <v>0</v>
      </c>
      <c r="P345" s="5">
        <v>301</v>
      </c>
      <c r="Q345" s="13">
        <f t="shared" si="32"/>
        <v>0.58703703703703702</v>
      </c>
      <c r="R345" s="8">
        <f t="shared" si="29"/>
        <v>2.3481481481481481</v>
      </c>
      <c r="S345" s="8">
        <f t="shared" si="30"/>
        <v>-2.3481481481481481</v>
      </c>
      <c r="T345" s="8">
        <v>0</v>
      </c>
      <c r="V345" s="5">
        <v>1732.5</v>
      </c>
      <c r="W345" s="5">
        <v>92.64705882352942</v>
      </c>
      <c r="X345" s="5">
        <v>272720.50000000012</v>
      </c>
      <c r="Y345" s="5">
        <f t="shared" si="35"/>
        <v>36964.400000000001</v>
      </c>
      <c r="AA345" s="5">
        <v>16.311353765206501</v>
      </c>
    </row>
    <row r="346" spans="1:27" s="24" customFormat="1" x14ac:dyDescent="0.25">
      <c r="A346" s="70"/>
      <c r="B346" s="64">
        <v>1000</v>
      </c>
      <c r="C346" s="23">
        <v>42193</v>
      </c>
      <c r="D346" s="24">
        <v>15.4</v>
      </c>
      <c r="E346" s="24">
        <v>13.8</v>
      </c>
      <c r="F346" s="24">
        <v>17.600000000000001</v>
      </c>
      <c r="G346" s="24">
        <v>3033.3999999999983</v>
      </c>
      <c r="H346" s="5">
        <f t="shared" si="34"/>
        <v>386.3</v>
      </c>
      <c r="J346" s="24">
        <v>3.8</v>
      </c>
      <c r="K346" s="24">
        <v>556.40000000000009</v>
      </c>
      <c r="L346" s="24">
        <v>2.5</v>
      </c>
      <c r="M346" s="24">
        <v>558.00000000000011</v>
      </c>
      <c r="N346" s="24">
        <v>1.2999999999999998</v>
      </c>
      <c r="O346" s="24">
        <f>O345+N346</f>
        <v>1.2999999999999998</v>
      </c>
      <c r="P346" s="24">
        <v>302</v>
      </c>
      <c r="Q346" s="13">
        <f t="shared" si="32"/>
        <v>0.57222222222222219</v>
      </c>
      <c r="R346" s="27">
        <f t="shared" si="29"/>
        <v>1.4305555555555554</v>
      </c>
      <c r="S346" s="27">
        <f t="shared" si="30"/>
        <v>2.3694444444444445</v>
      </c>
      <c r="T346" s="8">
        <f t="shared" si="31"/>
        <v>2.3694444444444445</v>
      </c>
      <c r="V346" s="24">
        <v>1422.7</v>
      </c>
      <c r="W346" s="24">
        <v>92.383116883116884</v>
      </c>
      <c r="X346" s="24">
        <v>274143.20000000013</v>
      </c>
      <c r="Y346" s="5">
        <f t="shared" si="35"/>
        <v>38387.1</v>
      </c>
      <c r="AA346" s="24">
        <v>16.287516636055202</v>
      </c>
    </row>
    <row r="347" spans="1:27" s="45" customFormat="1" ht="15.75" thickBot="1" x14ac:dyDescent="0.3">
      <c r="A347" s="70"/>
      <c r="B347" s="69"/>
      <c r="C347" s="58">
        <v>42194</v>
      </c>
      <c r="D347" s="45">
        <v>15.9</v>
      </c>
      <c r="E347" s="45">
        <v>12.6</v>
      </c>
      <c r="F347" s="45">
        <v>18.7</v>
      </c>
      <c r="G347" s="45">
        <v>3049.2999999999984</v>
      </c>
      <c r="H347" s="45">
        <f t="shared" si="34"/>
        <v>402.2</v>
      </c>
      <c r="J347" s="45">
        <v>0</v>
      </c>
      <c r="K347" s="45">
        <v>556.40000000000009</v>
      </c>
      <c r="L347" s="45">
        <v>4</v>
      </c>
      <c r="M347" s="45">
        <v>562.00000000000011</v>
      </c>
      <c r="N347" s="59">
        <v>-4</v>
      </c>
      <c r="O347" s="45">
        <v>0</v>
      </c>
      <c r="P347" s="45">
        <v>303</v>
      </c>
      <c r="Q347" s="53">
        <f t="shared" si="32"/>
        <v>0.55740740740740735</v>
      </c>
      <c r="R347" s="47">
        <f t="shared" si="29"/>
        <v>2.2296296296296294</v>
      </c>
      <c r="S347" s="47">
        <f t="shared" si="30"/>
        <v>-2.2296296296296294</v>
      </c>
      <c r="T347" s="47">
        <f t="shared" si="31"/>
        <v>0.13981481481481506</v>
      </c>
      <c r="V347" s="45">
        <v>2234.1999999999998</v>
      </c>
      <c r="W347" s="45">
        <v>140.51572327044025</v>
      </c>
      <c r="X347" s="45">
        <v>276377.40000000014</v>
      </c>
      <c r="Y347" s="45">
        <f t="shared" si="35"/>
        <v>40621.299999999996</v>
      </c>
      <c r="AA347" s="45">
        <v>16.2622901212915</v>
      </c>
    </row>
    <row r="348" spans="1:27" s="5" customFormat="1" x14ac:dyDescent="0.25">
      <c r="A348" s="2"/>
      <c r="B348" s="3"/>
      <c r="C348" s="4">
        <v>42195</v>
      </c>
      <c r="D348" s="5">
        <v>19.5</v>
      </c>
      <c r="E348" s="5">
        <v>11.1</v>
      </c>
      <c r="F348" s="14">
        <v>25.3</v>
      </c>
      <c r="G348" s="5">
        <v>3068.7999999999984</v>
      </c>
      <c r="H348" s="5">
        <f t="shared" si="34"/>
        <v>421.7</v>
      </c>
      <c r="J348" s="5">
        <v>0</v>
      </c>
      <c r="K348" s="5">
        <v>556.40000000000009</v>
      </c>
      <c r="L348" s="5">
        <v>5.9</v>
      </c>
      <c r="M348" s="5">
        <v>567.90000000000009</v>
      </c>
      <c r="N348" s="6">
        <v>-5.9</v>
      </c>
      <c r="O348" s="5">
        <v>0</v>
      </c>
      <c r="P348" s="5">
        <v>304</v>
      </c>
      <c r="Q348" s="13">
        <f t="shared" si="32"/>
        <v>0.54259259259259252</v>
      </c>
      <c r="R348" s="8">
        <f t="shared" si="29"/>
        <v>3.2012962962962961</v>
      </c>
      <c r="S348" s="8">
        <f t="shared" si="30"/>
        <v>-3.2012962962962961</v>
      </c>
      <c r="T348" s="8">
        <f t="shared" si="31"/>
        <v>-3.061481481481481</v>
      </c>
      <c r="V348" s="5">
        <v>2778.4</v>
      </c>
      <c r="W348" s="5">
        <v>142.48205128205129</v>
      </c>
      <c r="X348" s="5">
        <v>279155.80000000016</v>
      </c>
      <c r="Y348" s="5">
        <f t="shared" si="35"/>
        <v>43399.7</v>
      </c>
      <c r="AA348" s="5">
        <v>16.235699496571499</v>
      </c>
    </row>
    <row r="349" spans="1:27" s="5" customFormat="1" x14ac:dyDescent="0.25">
      <c r="A349" s="2"/>
      <c r="B349" s="3"/>
      <c r="C349" s="4">
        <v>42196</v>
      </c>
      <c r="D349" s="5">
        <v>20.5</v>
      </c>
      <c r="E349" s="5">
        <v>17.8</v>
      </c>
      <c r="F349" s="14">
        <v>27</v>
      </c>
      <c r="G349" s="5">
        <v>3089.2999999999984</v>
      </c>
      <c r="H349" s="5">
        <f t="shared" si="34"/>
        <v>442.2</v>
      </c>
      <c r="J349" s="5">
        <v>0</v>
      </c>
      <c r="K349" s="5">
        <v>556.40000000000009</v>
      </c>
      <c r="L349" s="5">
        <v>7.6</v>
      </c>
      <c r="M349" s="5">
        <v>575.50000000000011</v>
      </c>
      <c r="N349" s="6">
        <v>-7.6</v>
      </c>
      <c r="O349" s="5">
        <v>0</v>
      </c>
      <c r="P349" s="5">
        <v>305</v>
      </c>
      <c r="Q349" s="13">
        <f t="shared" si="32"/>
        <v>0.52777777777777768</v>
      </c>
      <c r="R349" s="8">
        <f t="shared" si="29"/>
        <v>4.0111111111111102</v>
      </c>
      <c r="S349" s="8">
        <f t="shared" si="30"/>
        <v>-4.0111111111111102</v>
      </c>
      <c r="T349" s="8">
        <f t="shared" si="31"/>
        <v>-7.0725925925925912</v>
      </c>
      <c r="V349" s="5">
        <v>3143</v>
      </c>
      <c r="W349" s="5">
        <v>153.3170731707317</v>
      </c>
      <c r="X349" s="5">
        <v>282298.80000000016</v>
      </c>
      <c r="Y349" s="5">
        <f t="shared" si="35"/>
        <v>46542.7</v>
      </c>
      <c r="AA349" s="5">
        <v>16.207770915827901</v>
      </c>
    </row>
    <row r="350" spans="1:27" s="5" customFormat="1" x14ac:dyDescent="0.25">
      <c r="A350" s="2"/>
      <c r="B350" s="3"/>
      <c r="C350" s="4">
        <v>42197</v>
      </c>
      <c r="D350" s="5">
        <v>17.2</v>
      </c>
      <c r="E350" s="5">
        <v>14.1</v>
      </c>
      <c r="F350" s="5">
        <v>20.399999999999999</v>
      </c>
      <c r="G350" s="5">
        <v>3106.4999999999982</v>
      </c>
      <c r="H350" s="5">
        <f t="shared" si="34"/>
        <v>459.4</v>
      </c>
      <c r="J350" s="5">
        <v>1.1000000000000001</v>
      </c>
      <c r="K350" s="5">
        <v>557.50000000000011</v>
      </c>
      <c r="L350" s="5">
        <v>2.6</v>
      </c>
      <c r="M350" s="5">
        <v>578.10000000000014</v>
      </c>
      <c r="N350" s="6">
        <v>-1.5</v>
      </c>
      <c r="O350" s="5">
        <v>0</v>
      </c>
      <c r="P350" s="5">
        <v>306</v>
      </c>
      <c r="Q350" s="13">
        <f t="shared" si="32"/>
        <v>0.51296296296296295</v>
      </c>
      <c r="R350" s="8">
        <f t="shared" si="29"/>
        <v>1.3337037037037038</v>
      </c>
      <c r="S350" s="8">
        <f t="shared" si="30"/>
        <v>-0.23370370370370375</v>
      </c>
      <c r="T350" s="8">
        <f t="shared" si="31"/>
        <v>-7.3062962962962947</v>
      </c>
      <c r="V350" s="5">
        <v>1094.5999999999999</v>
      </c>
      <c r="W350" s="5">
        <v>63.639534883720927</v>
      </c>
      <c r="X350" s="5">
        <v>283393.40000000014</v>
      </c>
      <c r="Y350" s="5">
        <f t="shared" si="35"/>
        <v>47637.299999999996</v>
      </c>
      <c r="AA350" s="5">
        <v>16.178531324226</v>
      </c>
    </row>
    <row r="351" spans="1:27" s="5" customFormat="1" x14ac:dyDescent="0.25">
      <c r="A351" s="2"/>
      <c r="B351" s="3"/>
      <c r="C351" s="4">
        <v>42198</v>
      </c>
      <c r="D351" s="5">
        <v>17.600000000000001</v>
      </c>
      <c r="E351" s="5">
        <v>16.2</v>
      </c>
      <c r="F351" s="5">
        <v>18.7</v>
      </c>
      <c r="G351" s="5">
        <v>3124.0999999999981</v>
      </c>
      <c r="H351" s="5">
        <f t="shared" si="34"/>
        <v>477</v>
      </c>
      <c r="J351" s="5">
        <v>1.6</v>
      </c>
      <c r="K351" s="5">
        <v>559.10000000000014</v>
      </c>
      <c r="L351" s="5">
        <v>1.6</v>
      </c>
      <c r="M351" s="5">
        <v>579.70000000000016</v>
      </c>
      <c r="N351" s="5">
        <v>0</v>
      </c>
      <c r="O351" s="5">
        <f>O350+N351</f>
        <v>0</v>
      </c>
      <c r="P351" s="5">
        <v>307</v>
      </c>
      <c r="Q351" s="13">
        <f t="shared" si="32"/>
        <v>0.49814814814814812</v>
      </c>
      <c r="R351" s="8">
        <f t="shared" si="29"/>
        <v>0.79703703703703699</v>
      </c>
      <c r="S351" s="8">
        <f t="shared" si="30"/>
        <v>0.8029629629629631</v>
      </c>
      <c r="T351" s="8">
        <f t="shared" si="31"/>
        <v>-6.5033333333333321</v>
      </c>
      <c r="V351" s="12">
        <v>635.79999999999995</v>
      </c>
      <c r="W351" s="5">
        <v>36.124999999999993</v>
      </c>
      <c r="X351" s="5">
        <v>284029.20000000013</v>
      </c>
      <c r="Y351" s="5">
        <f t="shared" si="35"/>
        <v>48273.1</v>
      </c>
      <c r="AA351" s="5">
        <v>16.148008371183</v>
      </c>
    </row>
    <row r="352" spans="1:27" s="5" customFormat="1" x14ac:dyDescent="0.25">
      <c r="A352" s="2"/>
      <c r="B352" s="3"/>
      <c r="C352" s="4">
        <v>42199</v>
      </c>
      <c r="D352" s="5">
        <v>18.399999999999999</v>
      </c>
      <c r="E352" s="5">
        <v>17</v>
      </c>
      <c r="F352" s="5">
        <v>20.3</v>
      </c>
      <c r="G352" s="5">
        <v>3142.4999999999982</v>
      </c>
      <c r="H352" s="5">
        <f t="shared" si="34"/>
        <v>495.4</v>
      </c>
      <c r="J352" s="5">
        <v>0.3</v>
      </c>
      <c r="K352" s="5">
        <v>559.40000000000009</v>
      </c>
      <c r="L352" s="5">
        <v>2.2999999999999998</v>
      </c>
      <c r="M352" s="5">
        <v>582.00000000000011</v>
      </c>
      <c r="N352" s="6">
        <v>-1.9999999999999998</v>
      </c>
      <c r="O352" s="5">
        <v>0</v>
      </c>
      <c r="P352" s="5">
        <v>308</v>
      </c>
      <c r="Q352" s="13">
        <f t="shared" si="32"/>
        <v>0.48333333333333328</v>
      </c>
      <c r="R352" s="8">
        <f t="shared" si="29"/>
        <v>1.1116666666666664</v>
      </c>
      <c r="S352" s="8">
        <f t="shared" si="30"/>
        <v>-0.81166666666666631</v>
      </c>
      <c r="T352" s="8">
        <f t="shared" si="31"/>
        <v>-7.3149999999999986</v>
      </c>
      <c r="V352" s="12">
        <v>796.8</v>
      </c>
      <c r="W352" s="5">
        <v>43.304347826086961</v>
      </c>
      <c r="X352" s="5">
        <v>284826.00000000012</v>
      </c>
      <c r="Y352" s="5">
        <f t="shared" si="35"/>
        <v>49069.9</v>
      </c>
      <c r="AA352" s="5">
        <v>16.116230323953499</v>
      </c>
    </row>
    <row r="353" spans="1:27" s="5" customFormat="1" x14ac:dyDescent="0.25">
      <c r="A353" s="2"/>
      <c r="B353" s="3"/>
      <c r="C353" s="4">
        <v>42200</v>
      </c>
      <c r="D353" s="5">
        <v>19</v>
      </c>
      <c r="E353" s="5">
        <v>16.3</v>
      </c>
      <c r="F353" s="5">
        <v>21.7</v>
      </c>
      <c r="G353" s="5">
        <v>3161.4999999999982</v>
      </c>
      <c r="H353" s="5">
        <f t="shared" si="34"/>
        <v>514.4</v>
      </c>
      <c r="J353" s="5">
        <v>1.3</v>
      </c>
      <c r="K353" s="5">
        <v>560.70000000000005</v>
      </c>
      <c r="L353" s="5">
        <v>1.4</v>
      </c>
      <c r="M353" s="5">
        <v>583.40000000000009</v>
      </c>
      <c r="N353" s="6">
        <v>-9.9999999999999867E-2</v>
      </c>
      <c r="O353" s="5">
        <v>0</v>
      </c>
      <c r="P353" s="5">
        <v>309</v>
      </c>
      <c r="Q353" s="13">
        <f t="shared" si="32"/>
        <v>0.46851851851851845</v>
      </c>
      <c r="R353" s="8">
        <f t="shared" si="29"/>
        <v>0.6559259259259258</v>
      </c>
      <c r="S353" s="8">
        <f t="shared" si="30"/>
        <v>0.64407407407407424</v>
      </c>
      <c r="T353" s="8">
        <f t="shared" si="31"/>
        <v>-6.6709259259259248</v>
      </c>
      <c r="V353" s="12">
        <v>668.4</v>
      </c>
      <c r="W353" s="5">
        <v>35.178947368421049</v>
      </c>
      <c r="X353" s="5">
        <v>285494.40000000014</v>
      </c>
      <c r="Y353" s="5">
        <f t="shared" si="35"/>
        <v>49738.3</v>
      </c>
      <c r="AA353" s="5">
        <v>16.083225982254302</v>
      </c>
    </row>
    <row r="354" spans="1:27" s="5" customFormat="1" x14ac:dyDescent="0.25">
      <c r="A354" s="2"/>
      <c r="B354" s="3"/>
      <c r="C354" s="4">
        <v>42201</v>
      </c>
      <c r="D354" s="5">
        <v>22.6</v>
      </c>
      <c r="E354" s="5">
        <v>17.600000000000001</v>
      </c>
      <c r="F354" s="14">
        <v>25.9</v>
      </c>
      <c r="G354" s="5">
        <v>3184.0999999999981</v>
      </c>
      <c r="H354" s="5">
        <f t="shared" si="34"/>
        <v>537</v>
      </c>
      <c r="J354" s="5">
        <v>0.7</v>
      </c>
      <c r="K354" s="5">
        <v>561.40000000000009</v>
      </c>
      <c r="L354" s="5">
        <v>3.6</v>
      </c>
      <c r="M354" s="5">
        <v>587.00000000000011</v>
      </c>
      <c r="N354" s="6">
        <v>-2.9000000000000004</v>
      </c>
      <c r="O354" s="5">
        <v>0</v>
      </c>
      <c r="P354" s="5">
        <v>310</v>
      </c>
      <c r="Q354" s="13">
        <f t="shared" si="32"/>
        <v>0.45370370370370372</v>
      </c>
      <c r="R354" s="8">
        <f t="shared" si="29"/>
        <v>1.6333333333333335</v>
      </c>
      <c r="S354" s="8">
        <f t="shared" si="30"/>
        <v>-0.93333333333333357</v>
      </c>
      <c r="T354" s="8">
        <f t="shared" si="31"/>
        <v>-7.6042592592592584</v>
      </c>
      <c r="V354" s="5">
        <v>1664.6</v>
      </c>
      <c r="W354" s="5">
        <v>73.654867256637161</v>
      </c>
      <c r="X354" s="5">
        <v>287159.00000000012</v>
      </c>
      <c r="Y354" s="5">
        <f t="shared" si="35"/>
        <v>51402.9</v>
      </c>
      <c r="AA354" s="5">
        <v>16.0490245943618</v>
      </c>
    </row>
    <row r="355" spans="1:27" s="5" customFormat="1" x14ac:dyDescent="0.25">
      <c r="A355" s="2"/>
      <c r="B355" s="3"/>
      <c r="C355" s="4">
        <v>42202</v>
      </c>
      <c r="D355" s="5">
        <v>21.7</v>
      </c>
      <c r="E355" s="5">
        <v>20.399999999999999</v>
      </c>
      <c r="F355" s="14">
        <v>26</v>
      </c>
      <c r="G355" s="5">
        <v>3205.7999999999979</v>
      </c>
      <c r="H355" s="5">
        <f t="shared" si="34"/>
        <v>558.70000000000005</v>
      </c>
      <c r="J355" s="5">
        <v>1.3</v>
      </c>
      <c r="K355" s="5">
        <v>562.70000000000005</v>
      </c>
      <c r="L355" s="5">
        <v>4.2</v>
      </c>
      <c r="M355" s="5">
        <v>591.20000000000016</v>
      </c>
      <c r="N355" s="6">
        <v>-2.9000000000000004</v>
      </c>
      <c r="O355" s="5">
        <v>0</v>
      </c>
      <c r="P355" s="5">
        <v>311</v>
      </c>
      <c r="Q355" s="13">
        <f t="shared" si="32"/>
        <v>0.43888888888888888</v>
      </c>
      <c r="R355" s="8">
        <f t="shared" si="29"/>
        <v>1.8433333333333335</v>
      </c>
      <c r="S355" s="8">
        <f t="shared" si="30"/>
        <v>-0.54333333333333345</v>
      </c>
      <c r="T355" s="8">
        <f t="shared" si="31"/>
        <v>-8.1475925925925914</v>
      </c>
      <c r="V355" s="5">
        <v>1326.7</v>
      </c>
      <c r="W355" s="5">
        <v>61.13824884792627</v>
      </c>
      <c r="X355" s="5">
        <v>288485.70000000013</v>
      </c>
      <c r="Y355" s="5">
        <f t="shared" si="35"/>
        <v>52729.599999999999</v>
      </c>
      <c r="AA355" s="5">
        <v>16.0136557750835</v>
      </c>
    </row>
    <row r="356" spans="1:27" s="5" customFormat="1" x14ac:dyDescent="0.25">
      <c r="A356" s="2"/>
      <c r="B356" s="3"/>
      <c r="C356" s="4">
        <v>42203</v>
      </c>
      <c r="D356" s="5">
        <v>19.100000000000001</v>
      </c>
      <c r="E356" s="5">
        <v>15.1</v>
      </c>
      <c r="F356" s="5">
        <v>23</v>
      </c>
      <c r="G356" s="5">
        <v>3224.8999999999978</v>
      </c>
      <c r="H356" s="5">
        <f t="shared" si="34"/>
        <v>577.80000000000007</v>
      </c>
      <c r="J356" s="5">
        <v>6.1</v>
      </c>
      <c r="K356" s="5">
        <v>568.80000000000007</v>
      </c>
      <c r="L356" s="5">
        <v>4.4000000000000004</v>
      </c>
      <c r="M356" s="5">
        <v>595.60000000000014</v>
      </c>
      <c r="N356" s="5">
        <v>1.6999999999999993</v>
      </c>
      <c r="O356" s="5">
        <f>O355+N356</f>
        <v>1.6999999999999993</v>
      </c>
      <c r="P356" s="5">
        <v>312</v>
      </c>
      <c r="Q356" s="13">
        <f t="shared" si="32"/>
        <v>0.42407407407407405</v>
      </c>
      <c r="R356" s="8">
        <f t="shared" si="29"/>
        <v>1.865925925925926</v>
      </c>
      <c r="S356" s="8">
        <f t="shared" si="30"/>
        <v>4.2340740740740737</v>
      </c>
      <c r="T356" s="8">
        <f t="shared" si="31"/>
        <v>-3.9135185185185177</v>
      </c>
      <c r="V356" s="5">
        <v>1871.8</v>
      </c>
      <c r="W356" s="5">
        <v>97.999999999999986</v>
      </c>
      <c r="X356" s="5">
        <v>290357.50000000012</v>
      </c>
      <c r="Y356" s="5">
        <f t="shared" si="35"/>
        <v>54601.4</v>
      </c>
      <c r="AA356" s="5">
        <v>15.977149425961599</v>
      </c>
    </row>
    <row r="357" spans="1:27" s="5" customFormat="1" x14ac:dyDescent="0.25">
      <c r="A357" s="2"/>
      <c r="B357" s="3"/>
      <c r="C357" s="4">
        <v>42204</v>
      </c>
      <c r="D357" s="5">
        <v>18.5</v>
      </c>
      <c r="E357" s="5">
        <v>15.6</v>
      </c>
      <c r="F357" s="5">
        <v>22.1</v>
      </c>
      <c r="G357" s="5">
        <v>3243.3999999999978</v>
      </c>
      <c r="H357" s="5">
        <f t="shared" si="34"/>
        <v>596.30000000000007</v>
      </c>
      <c r="J357" s="5">
        <v>1.2</v>
      </c>
      <c r="K357" s="5">
        <v>570.00000000000011</v>
      </c>
      <c r="L357" s="5">
        <v>1.8</v>
      </c>
      <c r="M357" s="5">
        <v>597.40000000000009</v>
      </c>
      <c r="N357" s="6">
        <v>-0.60000000000000009</v>
      </c>
      <c r="O357" s="5">
        <f>O356+N357</f>
        <v>1.0999999999999992</v>
      </c>
      <c r="P357" s="5">
        <v>313</v>
      </c>
      <c r="Q357" s="13">
        <f t="shared" si="32"/>
        <v>0.40925925925925921</v>
      </c>
      <c r="R357" s="8">
        <f t="shared" si="29"/>
        <v>0.73666666666666658</v>
      </c>
      <c r="S357" s="8">
        <f t="shared" si="30"/>
        <v>0.46333333333333337</v>
      </c>
      <c r="T357" s="8">
        <f t="shared" si="31"/>
        <v>-3.4501851851851844</v>
      </c>
      <c r="V357" s="12">
        <v>658.6</v>
      </c>
      <c r="W357" s="5">
        <v>35.6</v>
      </c>
      <c r="X357" s="5">
        <v>291016.10000000009</v>
      </c>
      <c r="Y357" s="5">
        <f t="shared" si="35"/>
        <v>55260</v>
      </c>
      <c r="AA357" s="5">
        <v>15.9395356580286</v>
      </c>
    </row>
    <row r="358" spans="1:27" s="5" customFormat="1" x14ac:dyDescent="0.25">
      <c r="A358" s="2"/>
      <c r="B358" s="3"/>
      <c r="C358" s="4">
        <v>42205</v>
      </c>
      <c r="D358" s="5">
        <v>20.5</v>
      </c>
      <c r="E358" s="5">
        <v>16.3</v>
      </c>
      <c r="F358" s="5">
        <v>23.2</v>
      </c>
      <c r="G358" s="5">
        <v>3263.8999999999978</v>
      </c>
      <c r="H358" s="5">
        <f t="shared" si="34"/>
        <v>616.80000000000007</v>
      </c>
      <c r="J358" s="5">
        <v>2.6</v>
      </c>
      <c r="K358" s="5">
        <v>572.60000000000014</v>
      </c>
      <c r="L358" s="5">
        <v>1.7</v>
      </c>
      <c r="M358" s="5">
        <v>599.10000000000014</v>
      </c>
      <c r="N358" s="5">
        <v>0.90000000000000013</v>
      </c>
      <c r="O358" s="5">
        <f>O357+N358</f>
        <v>1.9999999999999993</v>
      </c>
      <c r="P358" s="5">
        <v>314</v>
      </c>
      <c r="Q358" s="13">
        <f t="shared" si="32"/>
        <v>0.39444444444444449</v>
      </c>
      <c r="R358" s="8">
        <f t="shared" si="29"/>
        <v>0.67055555555555557</v>
      </c>
      <c r="S358" s="8">
        <f t="shared" si="30"/>
        <v>1.9294444444444445</v>
      </c>
      <c r="T358" s="8">
        <f t="shared" si="31"/>
        <v>-1.5207407407407398</v>
      </c>
      <c r="V358" s="12">
        <v>674.2</v>
      </c>
      <c r="W358" s="5">
        <v>32.887804878048783</v>
      </c>
      <c r="X358" s="5">
        <v>291690.3000000001</v>
      </c>
      <c r="Y358" s="5">
        <f t="shared" si="35"/>
        <v>55934.2</v>
      </c>
      <c r="AA358" s="5">
        <v>15.900844717394801</v>
      </c>
    </row>
    <row r="359" spans="1:27" s="5" customFormat="1" x14ac:dyDescent="0.25">
      <c r="A359" s="2"/>
      <c r="B359" s="3"/>
      <c r="C359" s="4">
        <v>42206</v>
      </c>
      <c r="D359" s="5">
        <v>20.8</v>
      </c>
      <c r="E359" s="5">
        <v>18.2</v>
      </c>
      <c r="F359" s="5">
        <v>23.8</v>
      </c>
      <c r="G359" s="5">
        <v>3284.699999999998</v>
      </c>
      <c r="H359" s="5">
        <f t="shared" si="34"/>
        <v>637.6</v>
      </c>
      <c r="J359" s="5">
        <v>0</v>
      </c>
      <c r="K359" s="5">
        <v>572.60000000000014</v>
      </c>
      <c r="L359" s="5">
        <v>2.7</v>
      </c>
      <c r="M359" s="5">
        <v>601.80000000000018</v>
      </c>
      <c r="N359" s="6">
        <v>-2.7</v>
      </c>
      <c r="O359" s="5">
        <v>0</v>
      </c>
      <c r="P359" s="5">
        <v>315</v>
      </c>
      <c r="Q359" s="13">
        <f t="shared" si="32"/>
        <v>0.37962962962962965</v>
      </c>
      <c r="R359" s="8">
        <f t="shared" si="29"/>
        <v>1.0250000000000001</v>
      </c>
      <c r="S359" s="8">
        <f t="shared" si="30"/>
        <v>-1.0250000000000001</v>
      </c>
      <c r="T359" s="8">
        <f t="shared" si="31"/>
        <v>-2.5457407407407402</v>
      </c>
      <c r="V359" s="5">
        <v>1290</v>
      </c>
      <c r="W359" s="5">
        <v>62.019230769230766</v>
      </c>
      <c r="X359" s="5">
        <v>292980.3000000001</v>
      </c>
      <c r="Y359" s="5">
        <f t="shared" si="35"/>
        <v>57224.2</v>
      </c>
      <c r="AA359" s="5">
        <v>15.861106913906299</v>
      </c>
    </row>
    <row r="360" spans="1:27" s="5" customFormat="1" x14ac:dyDescent="0.25">
      <c r="A360" s="2"/>
      <c r="B360" s="3"/>
      <c r="C360" s="4">
        <v>42207</v>
      </c>
      <c r="D360" s="5">
        <v>19.5</v>
      </c>
      <c r="E360" s="5">
        <v>17.3</v>
      </c>
      <c r="F360" s="5">
        <v>23.5</v>
      </c>
      <c r="G360" s="5">
        <v>3304.199999999998</v>
      </c>
      <c r="H360" s="5">
        <f t="shared" si="34"/>
        <v>657.1</v>
      </c>
      <c r="J360" s="5">
        <v>0</v>
      </c>
      <c r="K360" s="5">
        <v>572.60000000000014</v>
      </c>
      <c r="L360" s="5">
        <v>4.3</v>
      </c>
      <c r="M360" s="5">
        <v>606.10000000000014</v>
      </c>
      <c r="N360" s="6">
        <v>-4.3</v>
      </c>
      <c r="O360" s="5">
        <v>0</v>
      </c>
      <c r="P360" s="5">
        <v>316</v>
      </c>
      <c r="Q360" s="13">
        <f t="shared" si="32"/>
        <v>0.36481481481481481</v>
      </c>
      <c r="R360" s="8">
        <f t="shared" si="29"/>
        <v>1.5687037037037037</v>
      </c>
      <c r="S360" s="8">
        <f t="shared" si="30"/>
        <v>-1.5687037037037037</v>
      </c>
      <c r="T360" s="8">
        <f t="shared" si="31"/>
        <v>-4.1144444444444437</v>
      </c>
      <c r="V360" s="5">
        <v>1403.2</v>
      </c>
      <c r="W360" s="5">
        <v>71.958974358974359</v>
      </c>
      <c r="X360" s="5">
        <v>294383.50000000012</v>
      </c>
      <c r="Y360" s="5">
        <f t="shared" si="35"/>
        <v>58627.399999999994</v>
      </c>
      <c r="AA360" s="5">
        <v>15.8203525530745</v>
      </c>
    </row>
    <row r="361" spans="1:27" s="5" customFormat="1" x14ac:dyDescent="0.25">
      <c r="A361" s="2"/>
      <c r="B361" s="3"/>
      <c r="C361" s="4">
        <v>42208</v>
      </c>
      <c r="D361" s="5">
        <v>18.2</v>
      </c>
      <c r="E361" s="5">
        <v>14.6</v>
      </c>
      <c r="F361" s="5">
        <v>21.4</v>
      </c>
      <c r="G361" s="5">
        <v>3322.3999999999978</v>
      </c>
      <c r="H361" s="5">
        <f t="shared" si="34"/>
        <v>675.30000000000007</v>
      </c>
      <c r="J361" s="5">
        <v>0</v>
      </c>
      <c r="K361" s="5">
        <v>572.60000000000014</v>
      </c>
      <c r="L361" s="5">
        <v>2.8</v>
      </c>
      <c r="M361" s="5">
        <v>608.90000000000009</v>
      </c>
      <c r="N361" s="6">
        <v>-2.8</v>
      </c>
      <c r="O361" s="5">
        <v>0</v>
      </c>
      <c r="P361" s="5">
        <v>317</v>
      </c>
      <c r="Q361" s="13">
        <f t="shared" si="32"/>
        <v>0.35</v>
      </c>
      <c r="R361" s="8">
        <f t="shared" si="29"/>
        <v>0.97999999999999987</v>
      </c>
      <c r="S361" s="8">
        <f t="shared" si="30"/>
        <v>-0.97999999999999987</v>
      </c>
      <c r="T361" s="8">
        <f t="shared" si="31"/>
        <v>-5.0944444444444432</v>
      </c>
      <c r="V361" s="5">
        <v>1180.0999999999999</v>
      </c>
      <c r="W361" s="5">
        <v>64.840659340659343</v>
      </c>
      <c r="X361" s="5">
        <v>295563.60000000009</v>
      </c>
      <c r="Y361" s="5">
        <f t="shared" si="35"/>
        <v>59807.499999999993</v>
      </c>
      <c r="AA361" s="5">
        <v>15.7786118714384</v>
      </c>
    </row>
    <row r="362" spans="1:27" s="5" customFormat="1" x14ac:dyDescent="0.25">
      <c r="A362" s="71" t="s">
        <v>24</v>
      </c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</sheetData>
  <mergeCells count="13">
    <mergeCell ref="A45:A125"/>
    <mergeCell ref="A126:A222"/>
    <mergeCell ref="D1:I2"/>
    <mergeCell ref="J1:U2"/>
    <mergeCell ref="V1:Z2"/>
    <mergeCell ref="G4:H4"/>
    <mergeCell ref="X4:Y4"/>
    <mergeCell ref="A44:Z44"/>
    <mergeCell ref="A362:Z362"/>
    <mergeCell ref="A223:A263"/>
    <mergeCell ref="A285:A307"/>
    <mergeCell ref="A308:A326"/>
    <mergeCell ref="A327:A347"/>
  </mergeCells>
  <conditionalFormatting sqref="T1:T4">
    <cfRule type="cellIs" dxfId="5" priority="1" operator="equal">
      <formula>0</formula>
    </cfRule>
    <cfRule type="cellIs" dxfId="4" priority="2" operator="lessThanOrEqual">
      <formula>51.2</formula>
    </cfRule>
  </conditionalFormatting>
  <conditionalFormatting sqref="S5">
    <cfRule type="cellIs" dxfId="3" priority="6" operator="lessThanOrEqual">
      <formula>0</formula>
    </cfRule>
  </conditionalFormatting>
  <conditionalFormatting sqref="S45:S361">
    <cfRule type="cellIs" dxfId="2" priority="5" operator="lessThanOrEqual">
      <formula>0</formula>
    </cfRule>
  </conditionalFormatting>
  <conditionalFormatting sqref="T5:T362">
    <cfRule type="cellIs" dxfId="1" priority="3" operator="equal">
      <formula>0</formula>
    </cfRule>
    <cfRule type="cellIs" dxfId="0" priority="4" operator="lessThanOrEqual">
      <formula>51.2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2019-11-06T11:57:11Z</dcterms:created>
  <dcterms:modified xsi:type="dcterms:W3CDTF">2019-11-27T09:43:46Z</dcterms:modified>
</cp:coreProperties>
</file>