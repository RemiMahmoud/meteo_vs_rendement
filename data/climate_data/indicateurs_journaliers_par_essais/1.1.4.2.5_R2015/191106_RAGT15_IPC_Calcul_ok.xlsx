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+" sheetId="1" state="visible" r:id="rId3"/>
    <sheet name="N-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<sst xmlns="http://schemas.openxmlformats.org/spreadsheetml/2006/main" count="320" uniqueCount="65">
  <si>
    <t xml:space="preserve">TEMPERATURE</t>
  </si>
  <si>
    <t xml:space="preserve">ETAT HYDRIQUE</t>
  </si>
  <si>
    <t xml:space="preserve">RAYONNEMENT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</si>
  <si>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</si>
  <si>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</si>
  <si>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</si>
  <si>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</si>
  <si>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</si>
  <si>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</si>
  <si>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</si>
  <si>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</si>
  <si>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</si>
  <si>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</si>
  <si>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</si>
  <si>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</si>
  <si>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</si>
  <si>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</si>
  <si>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</si>
  <si>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</si>
  <si>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</si>
  <si>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</si>
  <si>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</si>
  <si>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</si>
  <si>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</si>
  <si>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</si>
  <si>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SEMIS RAGT15</t>
  </si>
  <si>
    <t xml:space="preserve">AUTOMNE</t>
  </si>
  <si>
    <t xml:space="preserve">Tmin</t>
  </si>
  <si>
    <t xml:space="preserve">nbj_sec</t>
  </si>
  <si>
    <t xml:space="preserve">crg</t>
  </si>
  <si>
    <t xml:space="preserve">Tmax</t>
  </si>
  <si>
    <t xml:space="preserve">nbj_water_deficit</t>
  </si>
  <si>
    <t xml:space="preserve">qpt_p</t>
  </si>
  <si>
    <t xml:space="preserve">Tmoy</t>
  </si>
  <si>
    <t xml:space="preserve">nbj_stress_hydro</t>
  </si>
  <si>
    <t xml:space="preserve">nbj_radinf_900</t>
  </si>
  <si>
    <t xml:space="preserve">nbj_tgel</t>
  </si>
  <si>
    <t xml:space="preserve">water_soil_content_min</t>
  </si>
  <si>
    <t xml:space="preserve">nbj_tsup25</t>
  </si>
  <si>
    <t xml:space="preserve">water_soil_content_max</t>
  </si>
  <si>
    <t xml:space="preserve">nbj_tinf5</t>
  </si>
  <si>
    <t xml:space="preserve">water_soil_content_moy</t>
  </si>
  <si>
    <t xml:space="preserve">gdd_p</t>
  </si>
  <si>
    <t xml:space="preserve">HIVER</t>
  </si>
  <si>
    <t xml:space="preserve">nbj_vern_opti</t>
  </si>
  <si>
    <t xml:space="preserve">MONTAISON</t>
  </si>
  <si>
    <t xml:space="preserve">WSC_I</t>
  </si>
  <si>
    <t xml:space="preserve">BI</t>
  </si>
  <si>
    <t xml:space="preserve">DRF</t>
  </si>
  <si>
    <t xml:space="preserve">TS</t>
  </si>
  <si>
    <t xml:space="preserve">IRF</t>
  </si>
  <si>
    <t xml:space="preserve">N75</t>
  </si>
  <si>
    <t xml:space="preserve">Montego</t>
  </si>
  <si>
    <t xml:space="preserve">N100</t>
  </si>
  <si>
    <t xml:space="preserve">Aviso</t>
  </si>
  <si>
    <t xml:space="preserve">Fin FLO</t>
  </si>
  <si>
    <t xml:space="preserve">RECOLTE RAGT15</t>
  </si>
  <si>
    <t xml:space="preserve">PRELIQ_Q (mm)</t>
  </si>
  <si>
    <t xml:space="preserve">ETP_Q (mm)</t>
  </si>
  <si>
    <t xml:space="preserve">Etat RU_1</t>
  </si>
  <si>
    <t xml:space="preserve">FLO</t>
  </si>
  <si>
    <t xml:space="preserve">Fin Flo</t>
  </si>
  <si>
    <t xml:space="preserve">P300</t>
  </si>
  <si>
    <t xml:space="preserve">P600</t>
  </si>
  <si>
    <t xml:space="preserve">P1000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</si>
</sst>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i val="true"/>
      <u val="single"/>
      <sz val="11"/>
      <color rgb="FFFFC000"/>
      <name val="Calibri"/>
      <family val="2"/>
      <charset val="1"/>
    </font>
    <font>
      <sz val="11"/>
      <color rgb="FF00000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D9D9D9"/>
        <bgColor rgb="FFDDD9C4"/>
      </patternFill>
    </fill>
    <fill>
      <patternFill patternType="solid">
        <fgColor rgb="FFF2DCDB"/>
        <bgColor rgb="FFFDE9D9"/>
      </patternFill>
    </fill>
    <fill>
      <patternFill patternType="solid">
        <fgColor rgb="FFFDE9D9"/>
        <bgColor rgb="FFF2DCDB"/>
      </patternFill>
    </fill>
    <fill>
      <patternFill patternType="solid">
        <fgColor rgb="FF00B050"/>
        <bgColor rgb="FF008080"/>
      </patternFill>
    </fill>
    <fill>
      <patternFill patternType="solid">
        <fgColor rgb="FFB1A0C7"/>
        <bgColor rgb="FF9999FF"/>
      </patternFill>
    </fill>
    <fill>
      <patternFill patternType="solid">
        <fgColor rgb="FFFFC000"/>
        <bgColor rgb="FFFF9900"/>
      </patternFill>
    </fill>
    <fill>
      <patternFill patternType="solid">
        <fgColor rgb="FFDAEEF3"/>
        <bgColor rgb="FFCCECFF"/>
      </patternFill>
    </fill>
    <fill>
      <patternFill patternType="solid">
        <fgColor rgb="FF60497A"/>
        <bgColor rgb="FF44546A"/>
      </patternFill>
    </fill>
    <fill>
      <patternFill patternType="solid">
        <fgColor rgb="FFDDD9C4"/>
        <bgColor rgb="FFD9D9D9"/>
      </patternFill>
    </fill>
    <fill>
      <patternFill patternType="solid">
        <fgColor rgb="FFC0C0C0"/>
        <bgColor rgb="FFA9D18E"/>
      </patternFill>
    </fill>
    <fill>
      <patternFill patternType="solid">
        <fgColor rgb="FFCCECFF"/>
        <bgColor rgb="FFDAEEF3"/>
      </patternFill>
    </fill>
    <fill>
      <patternFill patternType="solid">
        <fgColor rgb="FF0070C0"/>
        <bgColor rgb="FF0563C1"/>
      </patternFill>
    </fill>
    <fill>
      <patternFill patternType="solid">
        <fgColor rgb="FF4F81BD"/>
        <bgColor rgb="FF3366FF"/>
      </patternFill>
    </fill>
    <fill>
      <patternFill patternType="solid">
        <fgColor rgb="FF92D050"/>
        <bgColor rgb="FFA9D18E"/>
      </patternFill>
    </fill>
    <fill>
      <patternFill patternType="solid">
        <fgColor theme="3"/>
        <bgColor rgb="FF60497A"/>
      </patternFill>
    </fill>
    <fill>
      <patternFill patternType="solid">
        <fgColor rgb="FFFFFF00"/>
        <bgColor rgb="FFFFFF00"/>
      </patternFill>
    </fill>
    <fill>
      <patternFill patternType="solid">
        <fgColor rgb="FFE26B0A"/>
        <bgColor rgb="FFFF990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1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9" borderId="2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2"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rgb="FFF2DCDB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rgb="FFF2DCDB"/>
        </patternFill>
      </fill>
    </dxf>
  </dxf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70C0"/>
      <rgbColor rgb="FFC0C0C0"/>
      <rgbColor rgb="FF4F81BD"/>
      <rgbColor rgb="FF9999FF"/>
      <rgbColor rgb="FF993366"/>
      <rgbColor rgb="FFFDE9D9"/>
      <rgbColor rgb="FFCCECFF"/>
      <rgbColor rgb="FF660066"/>
      <rgbColor rgb="FFDA9694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EF3"/>
      <rgbColor rgb="FFDDD9C4"/>
      <rgbColor rgb="FFFFFF99"/>
      <rgbColor rgb="FFA9D18E"/>
      <rgbColor rgb="FFF4B183"/>
      <rgbColor rgb="FFCC99FF"/>
      <rgbColor rgb="FFFABF8F"/>
      <rgbColor rgb="FF3366FF"/>
      <rgbColor rgb="FF33CCCC"/>
      <rgbColor rgb="FF92D050"/>
      <rgbColor rgb="FFFFC000"/>
      <rgbColor rgb="FFFF9900"/>
      <rgbColor rgb="FFE26B0A"/>
      <rgbColor rgb="FF60497A"/>
      <rgbColor rgb="FFB1A0C7"/>
      <rgbColor rgb="FF003366"/>
      <rgbColor rgb="FF00B050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62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3" ySplit="4" topLeftCell="G233" activePane="bottomRight" state="frozen"/>
      <selection pane="topLeft" activeCell="A1" activeCellId="0" sqref="A1"/>
      <selection pane="topRight" activeCell="G1" activeCellId="0" sqref="G1"/>
      <selection pane="bottomLeft" activeCell="A233" activeCellId="0" sqref="A233"/>
      <selection pane="bottomRight" activeCell="O4" activeCellId="0" sqref="O4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3</v>
      </c>
      <c r="B4" s="1" t="n">
        <v>5</v>
      </c>
      <c r="C4" s="1" t="s">
        <v>4</v>
      </c>
      <c r="D4" s="1" t="s">
        <v>5</v>
      </c>
      <c r="E4" s="1" t="s">
        <v>6</v>
      </c>
      <c r="F4" s="1" t="s">
        <v>7</v>
      </c>
      <c r="G4" s="5" t="s">
        <v>8</v>
      </c>
      <c r="H4" s="5"/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6" t="s">
        <v>20</v>
      </c>
      <c r="U4" s="1" t="s">
        <v>9</v>
      </c>
      <c r="V4" s="1" t="s">
        <v>21</v>
      </c>
      <c r="W4" s="1" t="s">
        <v>22</v>
      </c>
      <c r="X4" s="5" t="s">
        <v>23</v>
      </c>
      <c r="Y4" s="5"/>
      <c r="Z4" s="1" t="s">
        <v>9</v>
      </c>
      <c r="AA4" s="1" t="s">
        <v>24</v>
      </c>
    </row>
    <row r="5" s="10" customFormat="true" ht="15" hidden="false" customHeight="false" outlineLevel="0" collapsed="false">
      <c r="A5" s="7"/>
      <c r="B5" s="8"/>
      <c r="C5" s="9" t="n">
        <v>41853</v>
      </c>
      <c r="D5" s="10" t="n">
        <v>20.1</v>
      </c>
      <c r="E5" s="10" t="n">
        <v>18.9</v>
      </c>
      <c r="F5" s="10" t="n">
        <v>23.8</v>
      </c>
      <c r="G5" s="10" t="e">
        <f aca="false">#REF!+D5</f>
        <v>#REF!</v>
      </c>
      <c r="H5" s="10" t="e">
        <f aca="false">#REF!+D5</f>
        <v>#REF!</v>
      </c>
      <c r="J5" s="10" t="n">
        <v>1.6</v>
      </c>
      <c r="K5" s="10" t="e">
        <f aca="false">#REF!+J5</f>
        <v>#REF!</v>
      </c>
      <c r="L5" s="10" t="n">
        <v>4</v>
      </c>
      <c r="M5" s="10" t="e">
        <f aca="false">#REF!+L5</f>
        <v>#REF!</v>
      </c>
      <c r="N5" s="11" t="n">
        <f aca="false">J5-L5</f>
        <v>-2.4</v>
      </c>
      <c r="O5" s="12" t="n">
        <v>0</v>
      </c>
      <c r="R5" s="13"/>
      <c r="S5" s="13"/>
      <c r="T5" s="13"/>
      <c r="V5" s="10" t="n">
        <v>1460.2</v>
      </c>
      <c r="W5" s="10" t="n">
        <f aca="false">V5/D5</f>
        <v>72.6467661691542</v>
      </c>
      <c r="X5" s="10" t="e">
        <f aca="false">#REF!+V5</f>
        <v>#REF!</v>
      </c>
      <c r="Y5" s="10" t="e">
        <f aca="false">#REF!+V5</f>
        <v>#REF!</v>
      </c>
    </row>
    <row r="6" s="10" customFormat="true" ht="15" hidden="false" customHeight="false" outlineLevel="0" collapsed="false">
      <c r="C6" s="9" t="n">
        <v>41854</v>
      </c>
      <c r="D6" s="10" t="n">
        <v>18.5</v>
      </c>
      <c r="E6" s="10" t="n">
        <v>16.1</v>
      </c>
      <c r="F6" s="10" t="n">
        <v>22.6</v>
      </c>
      <c r="J6" s="10" t="n">
        <v>0.1</v>
      </c>
      <c r="L6" s="10" t="n">
        <v>3.1</v>
      </c>
      <c r="N6" s="11" t="n">
        <f aca="false">J6-L6</f>
        <v>-3</v>
      </c>
      <c r="O6" s="10" t="n">
        <v>0</v>
      </c>
      <c r="T6" s="13"/>
      <c r="V6" s="10" t="n">
        <v>1303.3</v>
      </c>
    </row>
    <row r="7" s="10" customFormat="true" ht="15" hidden="false" customHeight="false" outlineLevel="0" collapsed="false">
      <c r="C7" s="9" t="n">
        <v>41855</v>
      </c>
      <c r="D7" s="10" t="n">
        <v>18.3</v>
      </c>
      <c r="E7" s="10" t="n">
        <v>13.3</v>
      </c>
      <c r="F7" s="10" t="n">
        <v>23.2</v>
      </c>
      <c r="J7" s="10" t="n">
        <v>0.1</v>
      </c>
      <c r="L7" s="10" t="n">
        <v>3.1</v>
      </c>
      <c r="N7" s="11" t="n">
        <f aca="false">J7-L7</f>
        <v>-3</v>
      </c>
      <c r="O7" s="10" t="n">
        <v>0</v>
      </c>
      <c r="T7" s="13"/>
      <c r="V7" s="10" t="n">
        <v>1469.6</v>
      </c>
    </row>
    <row r="8" s="10" customFormat="true" ht="15" hidden="false" customHeight="false" outlineLevel="0" collapsed="false">
      <c r="C8" s="9" t="n">
        <v>41856</v>
      </c>
      <c r="D8" s="10" t="n">
        <v>18.7</v>
      </c>
      <c r="E8" s="10" t="n">
        <v>13.1</v>
      </c>
      <c r="F8" s="10" t="n">
        <v>23.2</v>
      </c>
      <c r="J8" s="10" t="n">
        <v>0.4</v>
      </c>
      <c r="L8" s="10" t="n">
        <v>4</v>
      </c>
      <c r="N8" s="11" t="n">
        <f aca="false">J8-L8</f>
        <v>-3.6</v>
      </c>
      <c r="O8" s="10" t="n">
        <v>0</v>
      </c>
      <c r="T8" s="13"/>
      <c r="V8" s="10" t="n">
        <v>2118.9</v>
      </c>
    </row>
    <row r="9" s="10" customFormat="true" ht="15" hidden="false" customHeight="false" outlineLevel="0" collapsed="false">
      <c r="C9" s="9" t="n">
        <v>41857</v>
      </c>
      <c r="D9" s="10" t="n">
        <v>17.7</v>
      </c>
      <c r="E9" s="10" t="n">
        <v>16.7</v>
      </c>
      <c r="F9" s="10" t="n">
        <v>19.9</v>
      </c>
      <c r="J9" s="10" t="n">
        <v>2.7</v>
      </c>
      <c r="L9" s="10" t="n">
        <v>1.5</v>
      </c>
      <c r="N9" s="10" t="n">
        <f aca="false">J9-L9</f>
        <v>1.2</v>
      </c>
      <c r="O9" s="10" t="n">
        <f aca="false">O8+N9</f>
        <v>1.2</v>
      </c>
      <c r="T9" s="13"/>
      <c r="V9" s="10" t="n">
        <v>486.8</v>
      </c>
    </row>
    <row r="10" s="10" customFormat="true" ht="15" hidden="false" customHeight="false" outlineLevel="0" collapsed="false">
      <c r="C10" s="9" t="n">
        <v>41858</v>
      </c>
      <c r="D10" s="10" t="n">
        <v>19.6</v>
      </c>
      <c r="E10" s="10" t="n">
        <v>14.8</v>
      </c>
      <c r="F10" s="10" t="n">
        <v>24.3</v>
      </c>
      <c r="J10" s="10" t="n">
        <v>0.7</v>
      </c>
      <c r="L10" s="10" t="n">
        <v>3.2</v>
      </c>
      <c r="N10" s="11" t="n">
        <f aca="false">J10-L10</f>
        <v>-2.5</v>
      </c>
      <c r="O10" s="10" t="n">
        <v>0</v>
      </c>
      <c r="T10" s="13"/>
      <c r="V10" s="10" t="n">
        <v>1423.5</v>
      </c>
    </row>
    <row r="11" s="10" customFormat="true" ht="15" hidden="false" customHeight="false" outlineLevel="0" collapsed="false">
      <c r="C11" s="9" t="n">
        <v>41859</v>
      </c>
      <c r="D11" s="10" t="n">
        <v>19.1</v>
      </c>
      <c r="E11" s="10" t="n">
        <v>17.8</v>
      </c>
      <c r="F11" s="10" t="n">
        <v>20.1</v>
      </c>
      <c r="J11" s="10" t="n">
        <v>15.1</v>
      </c>
      <c r="L11" s="10" t="n">
        <v>1.4</v>
      </c>
      <c r="N11" s="10" t="n">
        <f aca="false">J11-L11</f>
        <v>13.7</v>
      </c>
      <c r="O11" s="10" t="n">
        <f aca="false">O10+N11</f>
        <v>13.7</v>
      </c>
      <c r="T11" s="13"/>
      <c r="V11" s="10" t="n">
        <v>492.5</v>
      </c>
    </row>
    <row r="12" s="10" customFormat="true" ht="15" hidden="false" customHeight="false" outlineLevel="0" collapsed="false">
      <c r="C12" s="9" t="n">
        <v>41860</v>
      </c>
      <c r="D12" s="10" t="n">
        <v>18.8</v>
      </c>
      <c r="E12" s="10" t="n">
        <v>16</v>
      </c>
      <c r="F12" s="10" t="n">
        <v>21.3</v>
      </c>
      <c r="J12" s="10" t="n">
        <v>0.1</v>
      </c>
      <c r="L12" s="10" t="n">
        <v>3.6</v>
      </c>
      <c r="N12" s="11" t="n">
        <f aca="false">J12-L12</f>
        <v>-3.5</v>
      </c>
      <c r="O12" s="10" t="n">
        <f aca="false">O11+N12</f>
        <v>10.2</v>
      </c>
      <c r="T12" s="13"/>
      <c r="V12" s="10" t="n">
        <v>1726.9</v>
      </c>
    </row>
    <row r="13" s="10" customFormat="true" ht="15" hidden="false" customHeight="false" outlineLevel="0" collapsed="false">
      <c r="C13" s="9" t="n">
        <v>41861</v>
      </c>
      <c r="D13" s="10" t="n">
        <v>17.7</v>
      </c>
      <c r="E13" s="10" t="n">
        <v>15.9</v>
      </c>
      <c r="F13" s="10" t="n">
        <v>19.3</v>
      </c>
      <c r="J13" s="10" t="n">
        <v>16.6</v>
      </c>
      <c r="L13" s="10" t="n">
        <v>1.7</v>
      </c>
      <c r="N13" s="10" t="n">
        <f aca="false">J13-L13</f>
        <v>14.9</v>
      </c>
      <c r="O13" s="10" t="n">
        <f aca="false">O12+N13</f>
        <v>25.1</v>
      </c>
      <c r="T13" s="13"/>
      <c r="V13" s="10" t="n">
        <v>667.8</v>
      </c>
    </row>
    <row r="14" s="10" customFormat="true" ht="15" hidden="false" customHeight="false" outlineLevel="0" collapsed="false">
      <c r="C14" s="9" t="n">
        <v>41862</v>
      </c>
      <c r="D14" s="10" t="n">
        <v>16.7</v>
      </c>
      <c r="E14" s="10" t="n">
        <v>14.2</v>
      </c>
      <c r="F14" s="10" t="n">
        <v>20</v>
      </c>
      <c r="J14" s="10" t="n">
        <v>1.6</v>
      </c>
      <c r="L14" s="10" t="n">
        <v>3.5</v>
      </c>
      <c r="N14" s="11" t="n">
        <f aca="false">J14-L14</f>
        <v>-1.9</v>
      </c>
      <c r="O14" s="10" t="n">
        <f aca="false">O13+N14</f>
        <v>23.2</v>
      </c>
      <c r="T14" s="13"/>
      <c r="V14" s="10" t="n">
        <v>1388.2</v>
      </c>
    </row>
    <row r="15" s="10" customFormat="true" ht="15" hidden="false" customHeight="false" outlineLevel="0" collapsed="false">
      <c r="C15" s="9" t="n">
        <v>41863</v>
      </c>
      <c r="D15" s="10" t="n">
        <v>16.2</v>
      </c>
      <c r="E15" s="10" t="n">
        <v>14</v>
      </c>
      <c r="F15" s="10" t="n">
        <v>19</v>
      </c>
      <c r="J15" s="10" t="n">
        <v>4.4</v>
      </c>
      <c r="L15" s="10" t="n">
        <v>3</v>
      </c>
      <c r="N15" s="10" t="n">
        <f aca="false">J15-L15</f>
        <v>1.4</v>
      </c>
      <c r="O15" s="10" t="n">
        <f aca="false">O14+N15</f>
        <v>24.6</v>
      </c>
      <c r="T15" s="13"/>
      <c r="V15" s="10" t="n">
        <v>1299.5</v>
      </c>
    </row>
    <row r="16" s="10" customFormat="true" ht="15" hidden="false" customHeight="false" outlineLevel="0" collapsed="false">
      <c r="C16" s="9" t="n">
        <v>41864</v>
      </c>
      <c r="D16" s="10" t="n">
        <v>16</v>
      </c>
      <c r="E16" s="10" t="n">
        <v>11.5</v>
      </c>
      <c r="F16" s="10" t="n">
        <v>20.1</v>
      </c>
      <c r="J16" s="10" t="n">
        <v>1.4</v>
      </c>
      <c r="L16" s="10" t="n">
        <v>3</v>
      </c>
      <c r="N16" s="11" t="n">
        <f aca="false">J16-L16</f>
        <v>-1.6</v>
      </c>
      <c r="O16" s="10" t="n">
        <f aca="false">O15+N16</f>
        <v>23</v>
      </c>
      <c r="T16" s="13"/>
      <c r="V16" s="10" t="n">
        <v>1615.4</v>
      </c>
    </row>
    <row r="17" s="10" customFormat="true" ht="15" hidden="false" customHeight="false" outlineLevel="0" collapsed="false">
      <c r="C17" s="9" t="n">
        <v>41865</v>
      </c>
      <c r="D17" s="10" t="n">
        <v>15.8</v>
      </c>
      <c r="E17" s="10" t="n">
        <v>14.2</v>
      </c>
      <c r="F17" s="10" t="n">
        <v>18.5</v>
      </c>
      <c r="J17" s="10" t="n">
        <v>4</v>
      </c>
      <c r="L17" s="10" t="n">
        <v>2.4</v>
      </c>
      <c r="N17" s="10" t="n">
        <f aca="false">J17-L17</f>
        <v>1.6</v>
      </c>
      <c r="O17" s="10" t="n">
        <f aca="false">O16+N17</f>
        <v>24.6</v>
      </c>
      <c r="T17" s="13"/>
      <c r="V17" s="10" t="n">
        <v>1194.2</v>
      </c>
    </row>
    <row r="18" s="10" customFormat="true" ht="15" hidden="false" customHeight="false" outlineLevel="0" collapsed="false">
      <c r="C18" s="9" t="n">
        <v>41866</v>
      </c>
      <c r="D18" s="10" t="n">
        <v>15.2</v>
      </c>
      <c r="E18" s="10" t="n">
        <v>13</v>
      </c>
      <c r="F18" s="10" t="n">
        <v>18.4</v>
      </c>
      <c r="J18" s="10" t="n">
        <v>6.1</v>
      </c>
      <c r="L18" s="10" t="n">
        <v>2</v>
      </c>
      <c r="N18" s="10" t="n">
        <f aca="false">J18-L18</f>
        <v>4.1</v>
      </c>
      <c r="O18" s="10" t="n">
        <f aca="false">O17+N18</f>
        <v>28.7</v>
      </c>
      <c r="T18" s="13"/>
      <c r="V18" s="10" t="n">
        <v>885.9</v>
      </c>
    </row>
    <row r="19" s="10" customFormat="true" ht="15" hidden="false" customHeight="false" outlineLevel="0" collapsed="false">
      <c r="C19" s="9" t="n">
        <v>41867</v>
      </c>
      <c r="D19" s="10" t="n">
        <v>16</v>
      </c>
      <c r="E19" s="10" t="n">
        <v>12.2</v>
      </c>
      <c r="F19" s="10" t="n">
        <v>19.3</v>
      </c>
      <c r="J19" s="10" t="n">
        <v>0.1</v>
      </c>
      <c r="L19" s="10" t="n">
        <v>2.8</v>
      </c>
      <c r="N19" s="11" t="n">
        <f aca="false">J19-L19</f>
        <v>-2.7</v>
      </c>
      <c r="O19" s="10" t="n">
        <f aca="false">O18+N19</f>
        <v>26</v>
      </c>
      <c r="T19" s="13"/>
      <c r="V19" s="10" t="n">
        <v>1659.6</v>
      </c>
    </row>
    <row r="20" s="10" customFormat="true" ht="15" hidden="false" customHeight="false" outlineLevel="0" collapsed="false">
      <c r="C20" s="9" t="n">
        <v>41868</v>
      </c>
      <c r="D20" s="10" t="n">
        <v>14.8</v>
      </c>
      <c r="E20" s="10" t="n">
        <v>12.6</v>
      </c>
      <c r="F20" s="10" t="n">
        <v>16.6</v>
      </c>
      <c r="J20" s="10" t="n">
        <v>3.6</v>
      </c>
      <c r="L20" s="10" t="n">
        <v>1.6</v>
      </c>
      <c r="N20" s="10" t="n">
        <f aca="false">J20-L20</f>
        <v>2</v>
      </c>
      <c r="O20" s="10" t="n">
        <f aca="false">O19+N20</f>
        <v>28</v>
      </c>
      <c r="T20" s="13"/>
      <c r="V20" s="10" t="n">
        <v>622.4</v>
      </c>
    </row>
    <row r="21" s="10" customFormat="true" ht="15" hidden="false" customHeight="false" outlineLevel="0" collapsed="false">
      <c r="C21" s="9" t="n">
        <v>41869</v>
      </c>
      <c r="D21" s="10" t="n">
        <v>15.3</v>
      </c>
      <c r="E21" s="10" t="n">
        <v>12.8</v>
      </c>
      <c r="F21" s="10" t="n">
        <v>17.8</v>
      </c>
      <c r="J21" s="10" t="n">
        <v>1.9</v>
      </c>
      <c r="L21" s="10" t="n">
        <v>2.8</v>
      </c>
      <c r="N21" s="11" t="n">
        <f aca="false">J21-L21</f>
        <v>-0.9</v>
      </c>
      <c r="O21" s="10" t="n">
        <f aca="false">O20+N21</f>
        <v>27.1</v>
      </c>
      <c r="T21" s="13"/>
      <c r="V21" s="10" t="n">
        <v>1132.8</v>
      </c>
    </row>
    <row r="22" s="10" customFormat="true" ht="15" hidden="false" customHeight="false" outlineLevel="0" collapsed="false">
      <c r="C22" s="9" t="n">
        <v>41870</v>
      </c>
      <c r="D22" s="10" t="n">
        <v>14.1</v>
      </c>
      <c r="E22" s="10" t="n">
        <v>12.7</v>
      </c>
      <c r="F22" s="10" t="n">
        <v>16.3</v>
      </c>
      <c r="J22" s="10" t="n">
        <v>4.1</v>
      </c>
      <c r="L22" s="10" t="n">
        <v>2.7</v>
      </c>
      <c r="N22" s="10" t="n">
        <f aca="false">J22-L22</f>
        <v>1.4</v>
      </c>
      <c r="O22" s="10" t="n">
        <f aca="false">O21+N22</f>
        <v>28.5</v>
      </c>
      <c r="T22" s="13"/>
      <c r="V22" s="10" t="n">
        <v>1132.2</v>
      </c>
    </row>
    <row r="23" s="10" customFormat="true" ht="15" hidden="false" customHeight="false" outlineLevel="0" collapsed="false">
      <c r="C23" s="9" t="n">
        <v>41871</v>
      </c>
      <c r="D23" s="10" t="n">
        <v>13.2</v>
      </c>
      <c r="E23" s="10" t="n">
        <v>9</v>
      </c>
      <c r="F23" s="10" t="n">
        <v>17.9</v>
      </c>
      <c r="J23" s="10" t="n">
        <v>2.3</v>
      </c>
      <c r="L23" s="10" t="n">
        <v>2.9</v>
      </c>
      <c r="N23" s="11" t="n">
        <f aca="false">J23-L23</f>
        <v>-0.6</v>
      </c>
      <c r="O23" s="10" t="n">
        <f aca="false">O22+N23</f>
        <v>27.9</v>
      </c>
      <c r="T23" s="13"/>
      <c r="V23" s="10" t="n">
        <v>1649.1</v>
      </c>
    </row>
    <row r="24" s="10" customFormat="true" ht="15" hidden="false" customHeight="false" outlineLevel="0" collapsed="false">
      <c r="C24" s="9" t="n">
        <v>41872</v>
      </c>
      <c r="D24" s="10" t="n">
        <v>13.4</v>
      </c>
      <c r="E24" s="10" t="n">
        <v>9.2</v>
      </c>
      <c r="F24" s="10" t="n">
        <v>17.2</v>
      </c>
      <c r="J24" s="10" t="n">
        <v>0</v>
      </c>
      <c r="L24" s="10" t="n">
        <v>2</v>
      </c>
      <c r="N24" s="11" t="n">
        <f aca="false">J24-L24</f>
        <v>-2</v>
      </c>
      <c r="O24" s="10" t="n">
        <f aca="false">O23+N24</f>
        <v>25.9</v>
      </c>
      <c r="T24" s="13"/>
      <c r="V24" s="10" t="n">
        <v>1099.8</v>
      </c>
    </row>
    <row r="25" s="10" customFormat="true" ht="15" hidden="false" customHeight="false" outlineLevel="0" collapsed="false">
      <c r="C25" s="9" t="n">
        <v>41873</v>
      </c>
      <c r="D25" s="10" t="n">
        <v>14</v>
      </c>
      <c r="E25" s="10" t="n">
        <v>11.2</v>
      </c>
      <c r="F25" s="10" t="n">
        <v>16.2</v>
      </c>
      <c r="J25" s="10" t="n">
        <v>4.6</v>
      </c>
      <c r="L25" s="10" t="n">
        <v>1.4</v>
      </c>
      <c r="N25" s="10" t="n">
        <f aca="false">J25-L25</f>
        <v>3.2</v>
      </c>
      <c r="O25" s="10" t="n">
        <f aca="false">O24+N25</f>
        <v>29.1</v>
      </c>
      <c r="T25" s="13"/>
      <c r="V25" s="10" t="n">
        <v>642.5</v>
      </c>
    </row>
    <row r="26" s="10" customFormat="true" ht="15" hidden="false" customHeight="false" outlineLevel="0" collapsed="false">
      <c r="C26" s="9" t="n">
        <v>41874</v>
      </c>
      <c r="D26" s="10" t="n">
        <v>13.2</v>
      </c>
      <c r="E26" s="10" t="n">
        <v>10.4</v>
      </c>
      <c r="F26" s="10" t="n">
        <v>17.9</v>
      </c>
      <c r="J26" s="10" t="n">
        <v>2.1</v>
      </c>
      <c r="L26" s="10" t="n">
        <v>2.9</v>
      </c>
      <c r="N26" s="11" t="n">
        <f aca="false">J26-L26</f>
        <v>-0.8</v>
      </c>
      <c r="O26" s="10" t="n">
        <f aca="false">O25+N26</f>
        <v>28.3</v>
      </c>
      <c r="T26" s="13"/>
      <c r="V26" s="10" t="n">
        <v>1369.1</v>
      </c>
    </row>
    <row r="27" s="10" customFormat="true" ht="15" hidden="false" customHeight="false" outlineLevel="0" collapsed="false">
      <c r="C27" s="9" t="n">
        <v>41875</v>
      </c>
      <c r="D27" s="10" t="n">
        <v>14</v>
      </c>
      <c r="E27" s="10" t="n">
        <v>9.3</v>
      </c>
      <c r="F27" s="10" t="n">
        <v>18</v>
      </c>
      <c r="J27" s="10" t="n">
        <v>0</v>
      </c>
      <c r="L27" s="10" t="n">
        <v>2.4</v>
      </c>
      <c r="N27" s="11" t="n">
        <f aca="false">J27-L27</f>
        <v>-2.4</v>
      </c>
      <c r="O27" s="10" t="n">
        <f aca="false">O26+N27</f>
        <v>25.9</v>
      </c>
      <c r="T27" s="13"/>
      <c r="V27" s="10" t="n">
        <v>1442.9</v>
      </c>
    </row>
    <row r="28" s="10" customFormat="true" ht="15" hidden="false" customHeight="false" outlineLevel="0" collapsed="false">
      <c r="C28" s="9" t="n">
        <v>41876</v>
      </c>
      <c r="D28" s="10" t="n">
        <v>14</v>
      </c>
      <c r="E28" s="10" t="n">
        <v>12.1</v>
      </c>
      <c r="F28" s="10" t="n">
        <v>15.8</v>
      </c>
      <c r="J28" s="10" t="n">
        <v>27.2</v>
      </c>
      <c r="L28" s="10" t="n">
        <v>0.7</v>
      </c>
      <c r="N28" s="10" t="n">
        <f aca="false">J28-L28</f>
        <v>26.5</v>
      </c>
      <c r="O28" s="10" t="n">
        <f aca="false">O27+N28</f>
        <v>52.4</v>
      </c>
      <c r="T28" s="13"/>
      <c r="V28" s="10" t="n">
        <v>380</v>
      </c>
    </row>
    <row r="29" s="10" customFormat="true" ht="15" hidden="false" customHeight="false" outlineLevel="0" collapsed="false">
      <c r="C29" s="9" t="n">
        <v>41877</v>
      </c>
      <c r="D29" s="10" t="n">
        <v>16.2</v>
      </c>
      <c r="E29" s="10" t="n">
        <v>14.5</v>
      </c>
      <c r="F29" s="10" t="n">
        <v>18.1</v>
      </c>
      <c r="J29" s="10" t="n">
        <v>8.4</v>
      </c>
      <c r="L29" s="10" t="n">
        <v>1.1</v>
      </c>
      <c r="N29" s="10" t="n">
        <f aca="false">J29-L29</f>
        <v>7.3</v>
      </c>
      <c r="O29" s="10" t="n">
        <f aca="false">O28+N29</f>
        <v>59.7</v>
      </c>
      <c r="T29" s="13"/>
      <c r="V29" s="10" t="n">
        <v>421.5</v>
      </c>
    </row>
    <row r="30" s="10" customFormat="true" ht="15" hidden="false" customHeight="false" outlineLevel="0" collapsed="false">
      <c r="C30" s="9" t="n">
        <v>41878</v>
      </c>
      <c r="D30" s="10" t="n">
        <v>16.3</v>
      </c>
      <c r="E30" s="10" t="n">
        <v>13.3</v>
      </c>
      <c r="F30" s="10" t="n">
        <v>18.5</v>
      </c>
      <c r="J30" s="10" t="n">
        <v>0.3</v>
      </c>
      <c r="L30" s="10" t="n">
        <v>2.6</v>
      </c>
      <c r="N30" s="11" t="n">
        <f aca="false">J30-L30</f>
        <v>-2.3</v>
      </c>
      <c r="O30" s="10" t="n">
        <f aca="false">O29+N30</f>
        <v>57.4</v>
      </c>
      <c r="T30" s="13"/>
      <c r="V30" s="10" t="n">
        <v>1205.4</v>
      </c>
    </row>
    <row r="31" s="10" customFormat="true" ht="15" hidden="false" customHeight="false" outlineLevel="0" collapsed="false">
      <c r="C31" s="9" t="n">
        <v>41879</v>
      </c>
      <c r="D31" s="10" t="n">
        <v>18</v>
      </c>
      <c r="E31" s="10" t="n">
        <v>15.7</v>
      </c>
      <c r="F31" s="10" t="n">
        <v>21.1</v>
      </c>
      <c r="J31" s="10" t="n">
        <v>1.6</v>
      </c>
      <c r="L31" s="10" t="n">
        <v>1.9</v>
      </c>
      <c r="N31" s="11" t="n">
        <f aca="false">J31-L31</f>
        <v>-0.3</v>
      </c>
      <c r="O31" s="10" t="n">
        <f aca="false">O30+N31</f>
        <v>57.1</v>
      </c>
      <c r="T31" s="13"/>
      <c r="V31" s="10" t="n">
        <v>510.5</v>
      </c>
    </row>
    <row r="32" s="10" customFormat="true" ht="15" hidden="false" customHeight="false" outlineLevel="0" collapsed="false">
      <c r="C32" s="9" t="n">
        <v>41880</v>
      </c>
      <c r="D32" s="10" t="n">
        <v>17.7</v>
      </c>
      <c r="E32" s="10" t="n">
        <v>15.4</v>
      </c>
      <c r="F32" s="10" t="n">
        <v>20.7</v>
      </c>
      <c r="J32" s="10" t="n">
        <v>0</v>
      </c>
      <c r="L32" s="10" t="n">
        <v>3.5</v>
      </c>
      <c r="N32" s="11" t="n">
        <f aca="false">J32-L32</f>
        <v>-3.5</v>
      </c>
      <c r="O32" s="10" t="n">
        <f aca="false">O31+N32</f>
        <v>53.6</v>
      </c>
      <c r="T32" s="13"/>
      <c r="V32" s="10" t="n">
        <v>1236.9</v>
      </c>
    </row>
    <row r="33" s="10" customFormat="true" ht="15" hidden="false" customHeight="false" outlineLevel="0" collapsed="false">
      <c r="C33" s="9" t="n">
        <v>41881</v>
      </c>
      <c r="D33" s="10" t="n">
        <v>16.5</v>
      </c>
      <c r="E33" s="10" t="n">
        <v>16</v>
      </c>
      <c r="F33" s="10" t="n">
        <v>17.9</v>
      </c>
      <c r="J33" s="10" t="n">
        <v>2</v>
      </c>
      <c r="L33" s="10" t="n">
        <v>1.6</v>
      </c>
      <c r="N33" s="10" t="n">
        <f aca="false">J33-L33</f>
        <v>0.4</v>
      </c>
      <c r="O33" s="10" t="n">
        <f aca="false">O32+N33</f>
        <v>54</v>
      </c>
      <c r="T33" s="13"/>
      <c r="V33" s="10" t="n">
        <v>364.5</v>
      </c>
    </row>
    <row r="34" s="10" customFormat="true" ht="15" hidden="false" customHeight="false" outlineLevel="0" collapsed="false">
      <c r="C34" s="9" t="n">
        <v>41882</v>
      </c>
      <c r="D34" s="10" t="n">
        <v>15.9</v>
      </c>
      <c r="E34" s="10" t="n">
        <v>14.4</v>
      </c>
      <c r="F34" s="10" t="n">
        <v>19.5</v>
      </c>
      <c r="J34" s="10" t="n">
        <v>0.3</v>
      </c>
      <c r="L34" s="10" t="n">
        <v>2.5</v>
      </c>
      <c r="N34" s="11" t="n">
        <f aca="false">J34-L34</f>
        <v>-2.2</v>
      </c>
      <c r="O34" s="10" t="n">
        <f aca="false">O33+N34</f>
        <v>51.8</v>
      </c>
      <c r="T34" s="13"/>
      <c r="V34" s="10" t="n">
        <v>898.7</v>
      </c>
    </row>
    <row r="35" s="10" customFormat="true" ht="15" hidden="false" customHeight="false" outlineLevel="0" collapsed="false">
      <c r="C35" s="9" t="n">
        <v>41883</v>
      </c>
      <c r="D35" s="10" t="n">
        <v>16.1</v>
      </c>
      <c r="E35" s="10" t="n">
        <v>11</v>
      </c>
      <c r="F35" s="10" t="n">
        <v>20.9</v>
      </c>
      <c r="J35" s="10" t="n">
        <v>1.2</v>
      </c>
      <c r="L35" s="10" t="n">
        <v>2.2</v>
      </c>
      <c r="N35" s="11" t="n">
        <f aca="false">J35-L35</f>
        <v>-1</v>
      </c>
      <c r="O35" s="10" t="n">
        <f aca="false">O34+N35</f>
        <v>50.8</v>
      </c>
      <c r="T35" s="13"/>
      <c r="V35" s="10" t="n">
        <v>1140.4</v>
      </c>
    </row>
    <row r="36" s="10" customFormat="true" ht="15" hidden="false" customHeight="false" outlineLevel="0" collapsed="false">
      <c r="C36" s="9" t="n">
        <v>41884</v>
      </c>
      <c r="D36" s="10" t="n">
        <v>18</v>
      </c>
      <c r="E36" s="10" t="n">
        <v>15.6</v>
      </c>
      <c r="F36" s="10" t="n">
        <v>20.4</v>
      </c>
      <c r="J36" s="10" t="n">
        <v>0</v>
      </c>
      <c r="L36" s="10" t="n">
        <v>3.1</v>
      </c>
      <c r="N36" s="11" t="n">
        <f aca="false">J36-L36</f>
        <v>-3.1</v>
      </c>
      <c r="O36" s="10" t="n">
        <f aca="false">O35+N36</f>
        <v>47.7</v>
      </c>
      <c r="T36" s="13"/>
      <c r="V36" s="10" t="n">
        <v>1544.3</v>
      </c>
    </row>
    <row r="37" s="10" customFormat="true" ht="15" hidden="false" customHeight="false" outlineLevel="0" collapsed="false">
      <c r="C37" s="9" t="n">
        <v>41885</v>
      </c>
      <c r="D37" s="10" t="n">
        <v>17.3</v>
      </c>
      <c r="E37" s="10" t="n">
        <v>14</v>
      </c>
      <c r="F37" s="10" t="n">
        <v>20.3</v>
      </c>
      <c r="J37" s="10" t="n">
        <v>0</v>
      </c>
      <c r="L37" s="10" t="n">
        <v>3.4</v>
      </c>
      <c r="N37" s="11" t="n">
        <f aca="false">J37-L37</f>
        <v>-3.4</v>
      </c>
      <c r="O37" s="10" t="n">
        <f aca="false">O36+N37</f>
        <v>44.3</v>
      </c>
      <c r="T37" s="13"/>
      <c r="V37" s="10" t="n">
        <v>1901.3</v>
      </c>
    </row>
    <row r="38" s="10" customFormat="true" ht="15" hidden="false" customHeight="false" outlineLevel="0" collapsed="false">
      <c r="C38" s="9" t="n">
        <v>41886</v>
      </c>
      <c r="D38" s="10" t="n">
        <v>18</v>
      </c>
      <c r="E38" s="10" t="n">
        <v>13.7</v>
      </c>
      <c r="F38" s="10" t="n">
        <v>22.2</v>
      </c>
      <c r="J38" s="10" t="n">
        <v>0</v>
      </c>
      <c r="L38" s="10" t="n">
        <v>3.4</v>
      </c>
      <c r="N38" s="11" t="n">
        <f aca="false">J38-L38</f>
        <v>-3.4</v>
      </c>
      <c r="O38" s="10" t="n">
        <f aca="false">O37+N38</f>
        <v>40.9</v>
      </c>
      <c r="T38" s="13"/>
      <c r="V38" s="10" t="n">
        <v>1763.7</v>
      </c>
    </row>
    <row r="39" s="10" customFormat="true" ht="15" hidden="false" customHeight="false" outlineLevel="0" collapsed="false">
      <c r="C39" s="9" t="n">
        <v>41887</v>
      </c>
      <c r="D39" s="10" t="n">
        <v>19.1</v>
      </c>
      <c r="E39" s="10" t="n">
        <v>17</v>
      </c>
      <c r="F39" s="10" t="n">
        <v>22.4</v>
      </c>
      <c r="J39" s="10" t="n">
        <v>0</v>
      </c>
      <c r="L39" s="10" t="n">
        <v>2.8</v>
      </c>
      <c r="N39" s="11" t="n">
        <f aca="false">J39-L39</f>
        <v>-2.8</v>
      </c>
      <c r="O39" s="10" t="n">
        <f aca="false">O38+N39</f>
        <v>38.1</v>
      </c>
      <c r="T39" s="13"/>
      <c r="V39" s="10" t="n">
        <v>1069.3</v>
      </c>
    </row>
    <row r="40" s="10" customFormat="true" ht="15" hidden="false" customHeight="false" outlineLevel="0" collapsed="false">
      <c r="C40" s="9" t="n">
        <v>41888</v>
      </c>
      <c r="D40" s="10" t="n">
        <v>18</v>
      </c>
      <c r="E40" s="10" t="n">
        <v>17.5</v>
      </c>
      <c r="F40" s="10" t="n">
        <v>19.4</v>
      </c>
      <c r="J40" s="10" t="n">
        <v>0</v>
      </c>
      <c r="L40" s="10" t="n">
        <v>1.7</v>
      </c>
      <c r="N40" s="11" t="n">
        <f aca="false">J40-L40</f>
        <v>-1.7</v>
      </c>
      <c r="O40" s="10" t="n">
        <f aca="false">O39+N40</f>
        <v>36.4</v>
      </c>
      <c r="T40" s="13"/>
      <c r="V40" s="10" t="n">
        <v>591.3</v>
      </c>
    </row>
    <row r="41" s="10" customFormat="true" ht="15" hidden="false" customHeight="false" outlineLevel="0" collapsed="false">
      <c r="C41" s="9" t="n">
        <v>41889</v>
      </c>
      <c r="D41" s="10" t="n">
        <v>17.9</v>
      </c>
      <c r="E41" s="10" t="n">
        <v>14.3</v>
      </c>
      <c r="F41" s="10" t="n">
        <v>22.1</v>
      </c>
      <c r="J41" s="10" t="n">
        <v>0</v>
      </c>
      <c r="L41" s="10" t="n">
        <v>3.1</v>
      </c>
      <c r="N41" s="11" t="n">
        <f aca="false">J41-L41</f>
        <v>-3.1</v>
      </c>
      <c r="O41" s="10" t="n">
        <f aca="false">O40+N41</f>
        <v>33.3</v>
      </c>
      <c r="T41" s="13"/>
      <c r="V41" s="10" t="n">
        <v>1498.6</v>
      </c>
    </row>
    <row r="42" s="10" customFormat="true" ht="15" hidden="false" customHeight="false" outlineLevel="0" collapsed="false">
      <c r="C42" s="9" t="n">
        <v>41890</v>
      </c>
      <c r="D42" s="10" t="n">
        <v>16.8</v>
      </c>
      <c r="E42" s="10" t="n">
        <v>15.1</v>
      </c>
      <c r="F42" s="10" t="n">
        <v>19.9</v>
      </c>
      <c r="J42" s="10" t="n">
        <v>0</v>
      </c>
      <c r="L42" s="10" t="n">
        <v>3.1</v>
      </c>
      <c r="N42" s="11" t="n">
        <f aca="false">J42-L42</f>
        <v>-3.1</v>
      </c>
      <c r="O42" s="10" t="n">
        <f aca="false">O41+N42</f>
        <v>30.2</v>
      </c>
      <c r="T42" s="13"/>
      <c r="V42" s="10" t="n">
        <v>1401.1</v>
      </c>
    </row>
    <row r="43" s="10" customFormat="true" ht="15" hidden="false" customHeight="false" outlineLevel="0" collapsed="false">
      <c r="C43" s="9" t="n">
        <v>41891</v>
      </c>
      <c r="D43" s="10" t="n">
        <v>15</v>
      </c>
      <c r="E43" s="10" t="n">
        <v>11.3</v>
      </c>
      <c r="F43" s="10" t="n">
        <v>19.8</v>
      </c>
      <c r="J43" s="10" t="n">
        <v>0</v>
      </c>
      <c r="L43" s="10" t="n">
        <v>3.2</v>
      </c>
      <c r="N43" s="11" t="n">
        <f aca="false">J43-L43</f>
        <v>-3.2</v>
      </c>
      <c r="O43" s="10" t="n">
        <f aca="false">O42+N43</f>
        <v>27</v>
      </c>
      <c r="T43" s="13" t="n">
        <v>27</v>
      </c>
      <c r="V43" s="10" t="n">
        <v>1739.1</v>
      </c>
    </row>
    <row r="44" s="10" customFormat="true" ht="15" hidden="false" customHeight="false" outlineLevel="0" collapsed="false">
      <c r="A44" s="14" t="s">
        <v>25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="10" customFormat="true" ht="15" hidden="false" customHeight="false" outlineLevel="0" collapsed="false">
      <c r="A45" s="15" t="s">
        <v>26</v>
      </c>
      <c r="B45" s="16"/>
      <c r="C45" s="9" t="n">
        <v>41892</v>
      </c>
      <c r="D45" s="10" t="n">
        <v>14.7</v>
      </c>
      <c r="E45" s="10" t="n">
        <v>12.3</v>
      </c>
      <c r="F45" s="10" t="n">
        <v>17.9</v>
      </c>
      <c r="G45" s="10" t="n">
        <v>14.7</v>
      </c>
      <c r="I45" s="17" t="s">
        <v>27</v>
      </c>
      <c r="J45" s="10" t="n">
        <v>0</v>
      </c>
      <c r="K45" s="10" t="n">
        <v>0</v>
      </c>
      <c r="L45" s="10" t="n">
        <v>2.4</v>
      </c>
      <c r="M45" s="10" t="n">
        <v>2.4</v>
      </c>
      <c r="N45" s="11" t="n">
        <v>-2.4</v>
      </c>
      <c r="O45" s="10" t="n">
        <f aca="false">O43+N45</f>
        <v>24.6</v>
      </c>
      <c r="P45" s="10" t="n">
        <v>1</v>
      </c>
      <c r="Q45" s="10" t="n">
        <v>0.35</v>
      </c>
      <c r="R45" s="13" t="n">
        <f aca="false">Q45*L45</f>
        <v>0.84</v>
      </c>
      <c r="S45" s="13" t="n">
        <f aca="false">J45-R45</f>
        <v>-0.84</v>
      </c>
      <c r="T45" s="13" t="n">
        <f aca="false">T43+S45</f>
        <v>26.16</v>
      </c>
      <c r="U45" s="17" t="s">
        <v>28</v>
      </c>
      <c r="V45" s="18" t="n">
        <v>781.7</v>
      </c>
      <c r="W45" s="10" t="n">
        <v>53.1768707482993</v>
      </c>
      <c r="X45" s="10" t="n">
        <v>781.7</v>
      </c>
      <c r="Z45" s="17" t="s">
        <v>29</v>
      </c>
      <c r="AA45" s="10" t="n">
        <v>13.0372419462499</v>
      </c>
    </row>
    <row r="46" s="10" customFormat="true" ht="15" hidden="false" customHeight="false" outlineLevel="0" collapsed="false">
      <c r="A46" s="15"/>
      <c r="B46" s="16"/>
      <c r="C46" s="9" t="n">
        <v>41893</v>
      </c>
      <c r="D46" s="10" t="n">
        <v>15.2</v>
      </c>
      <c r="E46" s="10" t="n">
        <v>11.2</v>
      </c>
      <c r="F46" s="10" t="n">
        <v>19.2</v>
      </c>
      <c r="G46" s="10" t="n">
        <v>29.9</v>
      </c>
      <c r="I46" s="10" t="n">
        <v>4.4</v>
      </c>
      <c r="J46" s="10" t="n">
        <v>0</v>
      </c>
      <c r="K46" s="10" t="n">
        <v>0</v>
      </c>
      <c r="L46" s="10" t="n">
        <v>2.8</v>
      </c>
      <c r="M46" s="10" t="n">
        <v>5.2</v>
      </c>
      <c r="N46" s="11" t="n">
        <v>-2.8</v>
      </c>
      <c r="O46" s="10" t="n">
        <f aca="false">O45+N46</f>
        <v>21.8</v>
      </c>
      <c r="P46" s="10" t="n">
        <v>2</v>
      </c>
      <c r="Q46" s="10" t="n">
        <v>0.35</v>
      </c>
      <c r="R46" s="13" t="n">
        <f aca="false">Q46*L46</f>
        <v>0.98</v>
      </c>
      <c r="S46" s="13" t="n">
        <f aca="false">J46-R46</f>
        <v>-0.98</v>
      </c>
      <c r="T46" s="13" t="n">
        <f aca="false">MIN(153.6,(T45+S46))</f>
        <v>25.18</v>
      </c>
      <c r="U46" s="10" t="n">
        <v>52</v>
      </c>
      <c r="V46" s="10" t="n">
        <v>1488.5</v>
      </c>
      <c r="W46" s="10" t="n">
        <v>97.9276315789474</v>
      </c>
      <c r="X46" s="10" t="n">
        <v>2270.2</v>
      </c>
      <c r="Z46" s="10" t="n">
        <v>50931.1</v>
      </c>
      <c r="AA46" s="10" t="n">
        <v>12.9745069428947</v>
      </c>
    </row>
    <row r="47" s="10" customFormat="true" ht="15" hidden="false" customHeight="false" outlineLevel="0" collapsed="false">
      <c r="A47" s="15"/>
      <c r="B47" s="16"/>
      <c r="C47" s="9" t="n">
        <v>41894</v>
      </c>
      <c r="D47" s="10" t="n">
        <v>16.2</v>
      </c>
      <c r="E47" s="10" t="n">
        <v>11.8</v>
      </c>
      <c r="F47" s="10" t="n">
        <v>20.4</v>
      </c>
      <c r="G47" s="10" t="n">
        <v>46.1</v>
      </c>
      <c r="I47" s="17" t="s">
        <v>30</v>
      </c>
      <c r="J47" s="10" t="n">
        <v>0</v>
      </c>
      <c r="K47" s="10" t="n">
        <v>0</v>
      </c>
      <c r="L47" s="10" t="n">
        <v>3.3</v>
      </c>
      <c r="M47" s="10" t="n">
        <v>8.5</v>
      </c>
      <c r="N47" s="11" t="n">
        <v>-3.3</v>
      </c>
      <c r="O47" s="10" t="n">
        <f aca="false">O46+N47</f>
        <v>18.5</v>
      </c>
      <c r="P47" s="10" t="n">
        <v>3</v>
      </c>
      <c r="Q47" s="10" t="n">
        <v>0.35</v>
      </c>
      <c r="R47" s="13" t="n">
        <f aca="false">Q47*L47</f>
        <v>1.155</v>
      </c>
      <c r="S47" s="13" t="n">
        <f aca="false">J47-R47</f>
        <v>-1.155</v>
      </c>
      <c r="T47" s="13" t="n">
        <f aca="false">MIN(153.6,(T46+S47))</f>
        <v>24.025</v>
      </c>
      <c r="U47" s="17" t="s">
        <v>31</v>
      </c>
      <c r="V47" s="10" t="n">
        <v>1812.8</v>
      </c>
      <c r="W47" s="10" t="n">
        <v>111.901234567901</v>
      </c>
      <c r="X47" s="10" t="n">
        <v>4083</v>
      </c>
      <c r="Z47" s="17" t="s">
        <v>32</v>
      </c>
      <c r="AA47" s="10" t="n">
        <v>12.911686431365</v>
      </c>
    </row>
    <row r="48" s="10" customFormat="true" ht="15" hidden="false" customHeight="false" outlineLevel="0" collapsed="false">
      <c r="A48" s="15"/>
      <c r="B48" s="16"/>
      <c r="C48" s="9" t="n">
        <v>41895</v>
      </c>
      <c r="D48" s="10" t="n">
        <v>16.5</v>
      </c>
      <c r="E48" s="10" t="n">
        <v>13.6</v>
      </c>
      <c r="F48" s="10" t="n">
        <v>19.5</v>
      </c>
      <c r="G48" s="10" t="n">
        <v>62.6</v>
      </c>
      <c r="I48" s="10" t="n">
        <v>26.3</v>
      </c>
      <c r="J48" s="10" t="n">
        <v>0</v>
      </c>
      <c r="K48" s="10" t="n">
        <v>0</v>
      </c>
      <c r="L48" s="10" t="n">
        <v>2.8</v>
      </c>
      <c r="M48" s="10" t="n">
        <v>11.3</v>
      </c>
      <c r="N48" s="11" t="n">
        <v>-2.8</v>
      </c>
      <c r="O48" s="10" t="n">
        <f aca="false">O47+N48</f>
        <v>15.7</v>
      </c>
      <c r="P48" s="10" t="n">
        <v>4</v>
      </c>
      <c r="Q48" s="10" t="n">
        <v>0.35</v>
      </c>
      <c r="R48" s="13" t="n">
        <f aca="false">Q48*L48</f>
        <v>0.98</v>
      </c>
      <c r="S48" s="13" t="n">
        <f aca="false">J48-R48</f>
        <v>-0.98</v>
      </c>
      <c r="T48" s="13" t="n">
        <f aca="false">MIN(153.6,(T47+S48))</f>
        <v>23.045</v>
      </c>
      <c r="U48" s="10" t="n">
        <v>0</v>
      </c>
      <c r="V48" s="10" t="n">
        <v>1406.9</v>
      </c>
      <c r="W48" s="10" t="n">
        <v>85.2666666666667</v>
      </c>
      <c r="X48" s="10" t="n">
        <v>5489.9</v>
      </c>
      <c r="Z48" s="19" t="n">
        <f aca="false">(Z46/100)/I58</f>
        <v>0.491897817268688</v>
      </c>
      <c r="AA48" s="10" t="n">
        <v>12.8487866535064</v>
      </c>
    </row>
    <row r="49" s="10" customFormat="true" ht="15" hidden="false" customHeight="false" outlineLevel="0" collapsed="false">
      <c r="A49" s="15"/>
      <c r="B49" s="16"/>
      <c r="C49" s="9" t="n">
        <v>41896</v>
      </c>
      <c r="D49" s="10" t="n">
        <v>15.8</v>
      </c>
      <c r="E49" s="10" t="n">
        <v>14</v>
      </c>
      <c r="F49" s="10" t="n">
        <v>17.5</v>
      </c>
      <c r="G49" s="10" t="n">
        <v>78.4</v>
      </c>
      <c r="I49" s="17" t="s">
        <v>33</v>
      </c>
      <c r="J49" s="10" t="n">
        <v>0.1</v>
      </c>
      <c r="K49" s="10" t="n">
        <v>0.1</v>
      </c>
      <c r="L49" s="10" t="n">
        <v>2.1</v>
      </c>
      <c r="M49" s="10" t="n">
        <v>13.4</v>
      </c>
      <c r="N49" s="11" t="n">
        <v>-2</v>
      </c>
      <c r="O49" s="10" t="n">
        <f aca="false">O48+N49</f>
        <v>13.7</v>
      </c>
      <c r="P49" s="10" t="n">
        <v>5</v>
      </c>
      <c r="Q49" s="10" t="n">
        <v>0.35</v>
      </c>
      <c r="R49" s="13" t="n">
        <f aca="false">Q49*L49</f>
        <v>0.735</v>
      </c>
      <c r="S49" s="13" t="n">
        <f aca="false">J49-R49</f>
        <v>-0.635</v>
      </c>
      <c r="T49" s="13" t="n">
        <f aca="false">MIN(153.6,(T48+S49))</f>
        <v>22.41</v>
      </c>
      <c r="U49" s="17" t="s">
        <v>34</v>
      </c>
      <c r="V49" s="18" t="n">
        <v>848.8</v>
      </c>
      <c r="W49" s="10" t="n">
        <v>53.7215189873418</v>
      </c>
      <c r="X49" s="10" t="n">
        <v>6338.7</v>
      </c>
      <c r="Z49" s="17" t="s">
        <v>35</v>
      </c>
      <c r="AA49" s="10" t="n">
        <v>12.785813667348</v>
      </c>
    </row>
    <row r="50" s="10" customFormat="true" ht="15" hidden="false" customHeight="false" outlineLevel="0" collapsed="false">
      <c r="A50" s="15"/>
      <c r="B50" s="16"/>
      <c r="C50" s="9" t="n">
        <v>41897</v>
      </c>
      <c r="D50" s="10" t="n">
        <v>17.9</v>
      </c>
      <c r="E50" s="10" t="n">
        <v>13.4</v>
      </c>
      <c r="F50" s="10" t="n">
        <v>22.6</v>
      </c>
      <c r="G50" s="10" t="n">
        <v>96.3</v>
      </c>
      <c r="I50" s="13" t="n">
        <v>12.7827160493827</v>
      </c>
      <c r="J50" s="10" t="n">
        <v>0</v>
      </c>
      <c r="K50" s="10" t="n">
        <v>0.1</v>
      </c>
      <c r="L50" s="10" t="n">
        <v>2.4</v>
      </c>
      <c r="M50" s="10" t="n">
        <v>15.8</v>
      </c>
      <c r="N50" s="11" t="n">
        <v>-2.4</v>
      </c>
      <c r="O50" s="10" t="n">
        <f aca="false">O49+N50</f>
        <v>11.3</v>
      </c>
      <c r="P50" s="10" t="n">
        <v>6</v>
      </c>
      <c r="Q50" s="10" t="n">
        <v>0.35</v>
      </c>
      <c r="R50" s="13" t="n">
        <f aca="false">Q50*L50</f>
        <v>0.84</v>
      </c>
      <c r="S50" s="13" t="n">
        <f aca="false">J50-R50</f>
        <v>-0.84</v>
      </c>
      <c r="T50" s="13" t="n">
        <f aca="false">MIN(153.6,(T49+S50))</f>
        <v>21.57</v>
      </c>
      <c r="U50" s="10" t="n">
        <v>27</v>
      </c>
      <c r="V50" s="10" t="n">
        <v>1224.4</v>
      </c>
      <c r="W50" s="10" t="n">
        <v>68.4022346368715</v>
      </c>
      <c r="X50" s="10" t="n">
        <v>7563.1</v>
      </c>
      <c r="Z50" s="10" t="n">
        <v>61</v>
      </c>
      <c r="AA50" s="10" t="n">
        <v>12.7227733648918</v>
      </c>
    </row>
    <row r="51" s="10" customFormat="true" ht="15" hidden="false" customHeight="false" outlineLevel="0" collapsed="false">
      <c r="A51" s="15"/>
      <c r="B51" s="16"/>
      <c r="C51" s="9" t="n">
        <v>41898</v>
      </c>
      <c r="D51" s="10" t="n">
        <v>18.4</v>
      </c>
      <c r="E51" s="10" t="n">
        <v>12.4</v>
      </c>
      <c r="F51" s="10" t="n">
        <v>23.9</v>
      </c>
      <c r="G51" s="10" t="n">
        <v>114.7</v>
      </c>
      <c r="I51" s="17" t="s">
        <v>36</v>
      </c>
      <c r="J51" s="10" t="n">
        <v>0</v>
      </c>
      <c r="K51" s="10" t="n">
        <v>0.1</v>
      </c>
      <c r="L51" s="10" t="n">
        <v>3.2</v>
      </c>
      <c r="M51" s="10" t="n">
        <v>19</v>
      </c>
      <c r="N51" s="11" t="n">
        <v>-3.2</v>
      </c>
      <c r="O51" s="10" t="n">
        <f aca="false">O50+N51</f>
        <v>8.1</v>
      </c>
      <c r="P51" s="10" t="n">
        <v>7</v>
      </c>
      <c r="Q51" s="10" t="n">
        <v>0.35</v>
      </c>
      <c r="R51" s="13" t="n">
        <f aca="false">Q51*L51</f>
        <v>1.12</v>
      </c>
      <c r="S51" s="13" t="n">
        <f aca="false">J51-R51</f>
        <v>-1.12</v>
      </c>
      <c r="T51" s="13" t="n">
        <f aca="false">MIN(153.6,(T50+S51))</f>
        <v>20.45</v>
      </c>
      <c r="U51" s="17" t="s">
        <v>37</v>
      </c>
      <c r="V51" s="10" t="n">
        <v>1687.3</v>
      </c>
      <c r="W51" s="10" t="n">
        <v>91.7010869565218</v>
      </c>
      <c r="X51" s="10" t="n">
        <v>9250.4</v>
      </c>
      <c r="AA51" s="10" t="n">
        <v>12.659671489917</v>
      </c>
    </row>
    <row r="52" s="10" customFormat="true" ht="15" hidden="false" customHeight="false" outlineLevel="0" collapsed="false">
      <c r="A52" s="15"/>
      <c r="B52" s="16"/>
      <c r="C52" s="9" t="n">
        <v>41899</v>
      </c>
      <c r="D52" s="10" t="n">
        <v>20.5</v>
      </c>
      <c r="E52" s="10" t="n">
        <v>14.9</v>
      </c>
      <c r="F52" s="20" t="n">
        <v>25.7</v>
      </c>
      <c r="G52" s="10" t="n">
        <v>135.2</v>
      </c>
      <c r="I52" s="10" t="n">
        <v>0</v>
      </c>
      <c r="J52" s="10" t="n">
        <v>1.6</v>
      </c>
      <c r="K52" s="10" t="n">
        <v>1.7</v>
      </c>
      <c r="L52" s="10" t="n">
        <v>3.2</v>
      </c>
      <c r="M52" s="10" t="n">
        <v>22.2</v>
      </c>
      <c r="N52" s="11" t="n">
        <v>-1.6</v>
      </c>
      <c r="O52" s="10" t="n">
        <f aca="false">O51+N52</f>
        <v>6.5</v>
      </c>
      <c r="P52" s="10" t="n">
        <v>8</v>
      </c>
      <c r="Q52" s="10" t="n">
        <v>0.35</v>
      </c>
      <c r="R52" s="13" t="n">
        <f aca="false">Q52*L52</f>
        <v>1.12</v>
      </c>
      <c r="S52" s="13" t="n">
        <f aca="false">J52-R52</f>
        <v>0.48</v>
      </c>
      <c r="T52" s="13" t="n">
        <f aca="false">MIN(153.6,(T51+S52))</f>
        <v>20.93</v>
      </c>
      <c r="U52" s="13" t="n">
        <f aca="false">MIN(T45:T125)</f>
        <v>20.45</v>
      </c>
      <c r="V52" s="10" t="n">
        <v>1440.7</v>
      </c>
      <c r="W52" s="10" t="n">
        <v>70.2780487804878</v>
      </c>
      <c r="X52" s="10" t="n">
        <v>10691.1</v>
      </c>
      <c r="AA52" s="10" t="n">
        <v>12.5965136558013</v>
      </c>
    </row>
    <row r="53" s="10" customFormat="true" ht="15" hidden="false" customHeight="false" outlineLevel="0" collapsed="false">
      <c r="A53" s="15"/>
      <c r="B53" s="16"/>
      <c r="C53" s="9" t="n">
        <v>41900</v>
      </c>
      <c r="D53" s="10" t="n">
        <v>20.5</v>
      </c>
      <c r="E53" s="10" t="n">
        <v>17.7</v>
      </c>
      <c r="F53" s="10" t="n">
        <v>24.3</v>
      </c>
      <c r="G53" s="10" t="n">
        <v>155.7</v>
      </c>
      <c r="I53" s="17" t="s">
        <v>38</v>
      </c>
      <c r="J53" s="10" t="n">
        <v>3.3</v>
      </c>
      <c r="K53" s="10" t="n">
        <v>5</v>
      </c>
      <c r="L53" s="10" t="n">
        <v>1.9</v>
      </c>
      <c r="M53" s="10" t="n">
        <v>24.1</v>
      </c>
      <c r="N53" s="10" t="n">
        <v>1.4</v>
      </c>
      <c r="O53" s="10" t="n">
        <f aca="false">O52+N53</f>
        <v>7.9</v>
      </c>
      <c r="P53" s="10" t="n">
        <v>9</v>
      </c>
      <c r="Q53" s="10" t="n">
        <f aca="false">0.35+((P53-8)/73)*(1-0.35)</f>
        <v>0.358904109589041</v>
      </c>
      <c r="R53" s="13" t="n">
        <f aca="false">Q53*L53</f>
        <v>0.681917808219178</v>
      </c>
      <c r="S53" s="13" t="n">
        <f aca="false">J53-R53</f>
        <v>2.61808219178082</v>
      </c>
      <c r="T53" s="13" t="n">
        <f aca="false">MIN(153.6,(T52+S53))</f>
        <v>23.5480821917808</v>
      </c>
      <c r="U53" s="17" t="s">
        <v>39</v>
      </c>
      <c r="V53" s="18" t="n">
        <v>780.9</v>
      </c>
      <c r="W53" s="10" t="n">
        <v>38.0926829268293</v>
      </c>
      <c r="X53" s="10" t="n">
        <v>11472</v>
      </c>
      <c r="AA53" s="10" t="n">
        <v>12.533305363366</v>
      </c>
    </row>
    <row r="54" s="10" customFormat="true" ht="15" hidden="false" customHeight="false" outlineLevel="0" collapsed="false">
      <c r="A54" s="15"/>
      <c r="B54" s="16"/>
      <c r="C54" s="9" t="n">
        <v>41901</v>
      </c>
      <c r="D54" s="10" t="n">
        <v>19.3</v>
      </c>
      <c r="E54" s="10" t="n">
        <v>15.1</v>
      </c>
      <c r="F54" s="20" t="n">
        <v>26.3</v>
      </c>
      <c r="G54" s="10" t="n">
        <v>175</v>
      </c>
      <c r="I54" s="10" t="n">
        <v>2</v>
      </c>
      <c r="J54" s="10" t="n">
        <v>10.4</v>
      </c>
      <c r="K54" s="10" t="n">
        <v>15.4</v>
      </c>
      <c r="L54" s="10" t="n">
        <v>2.4</v>
      </c>
      <c r="M54" s="10" t="n">
        <v>26.5</v>
      </c>
      <c r="N54" s="10" t="n">
        <v>8</v>
      </c>
      <c r="O54" s="10" t="n">
        <f aca="false">O53+N54</f>
        <v>15.9</v>
      </c>
      <c r="P54" s="10" t="n">
        <v>10</v>
      </c>
      <c r="Q54" s="10" t="n">
        <f aca="false">0.35+((P54-8)/73)*(1-0.35)</f>
        <v>0.367808219178082</v>
      </c>
      <c r="R54" s="13" t="n">
        <f aca="false">Q54*L54</f>
        <v>0.882739726027397</v>
      </c>
      <c r="S54" s="13" t="n">
        <f aca="false">J54-R54</f>
        <v>9.5172602739726</v>
      </c>
      <c r="T54" s="13" t="n">
        <f aca="false">MIN(153.6,(T53+S54))</f>
        <v>33.0653424657534</v>
      </c>
      <c r="U54" s="13" t="n">
        <f aca="false">MAX(T45:T125)</f>
        <v>114.42198630137</v>
      </c>
      <c r="V54" s="10" t="n">
        <v>1098.9</v>
      </c>
      <c r="W54" s="10" t="n">
        <v>56.9378238341969</v>
      </c>
      <c r="X54" s="10" t="n">
        <v>12570.9</v>
      </c>
      <c r="AA54" s="10" t="n">
        <v>12.4700520187508</v>
      </c>
    </row>
    <row r="55" s="10" customFormat="true" ht="15" hidden="false" customHeight="false" outlineLevel="0" collapsed="false">
      <c r="A55" s="15"/>
      <c r="B55" s="16"/>
      <c r="C55" s="9" t="n">
        <v>41902</v>
      </c>
      <c r="D55" s="10" t="n">
        <v>19</v>
      </c>
      <c r="E55" s="10" t="n">
        <v>16</v>
      </c>
      <c r="F55" s="10" t="n">
        <v>24.4</v>
      </c>
      <c r="G55" s="10" t="n">
        <v>194</v>
      </c>
      <c r="I55" s="17" t="s">
        <v>40</v>
      </c>
      <c r="J55" s="10" t="n">
        <v>10.5</v>
      </c>
      <c r="K55" s="10" t="n">
        <v>25.9</v>
      </c>
      <c r="L55" s="10" t="n">
        <v>2.2</v>
      </c>
      <c r="M55" s="10" t="n">
        <v>28.7</v>
      </c>
      <c r="N55" s="10" t="n">
        <v>8.3</v>
      </c>
      <c r="O55" s="10" t="n">
        <f aca="false">O54+N55</f>
        <v>24.2</v>
      </c>
      <c r="P55" s="10" t="n">
        <v>11</v>
      </c>
      <c r="Q55" s="10" t="n">
        <f aca="false">0.35+((P55-8)/73)*(1-0.35)</f>
        <v>0.376712328767123</v>
      </c>
      <c r="R55" s="13" t="n">
        <f aca="false">Q55*L55</f>
        <v>0.828767123287671</v>
      </c>
      <c r="S55" s="13" t="n">
        <f aca="false">J55-R55</f>
        <v>9.67123287671233</v>
      </c>
      <c r="T55" s="13" t="n">
        <f aca="false">MIN(153.6,(T54+S55))</f>
        <v>42.7365753424658</v>
      </c>
      <c r="U55" s="17" t="s">
        <v>41</v>
      </c>
      <c r="V55" s="18" t="n">
        <v>859.1</v>
      </c>
      <c r="W55" s="10" t="n">
        <v>45.2157894736842</v>
      </c>
      <c r="X55" s="10" t="n">
        <v>13430</v>
      </c>
      <c r="AA55" s="10" t="n">
        <v>12.4067589513265</v>
      </c>
    </row>
    <row r="56" s="10" customFormat="true" ht="15" hidden="false" customHeight="false" outlineLevel="0" collapsed="false">
      <c r="A56" s="15"/>
      <c r="B56" s="16"/>
      <c r="C56" s="9" t="n">
        <v>41903</v>
      </c>
      <c r="D56" s="10" t="n">
        <v>16.1</v>
      </c>
      <c r="E56" s="10" t="n">
        <v>15</v>
      </c>
      <c r="F56" s="10" t="n">
        <v>17.9</v>
      </c>
      <c r="G56" s="10" t="n">
        <v>210.1</v>
      </c>
      <c r="I56" s="10" t="n">
        <v>4</v>
      </c>
      <c r="J56" s="10" t="n">
        <v>0.4</v>
      </c>
      <c r="K56" s="10" t="n">
        <v>26.3</v>
      </c>
      <c r="L56" s="10" t="n">
        <v>2.5</v>
      </c>
      <c r="M56" s="10" t="n">
        <v>31.2</v>
      </c>
      <c r="N56" s="11" t="n">
        <v>-2.1</v>
      </c>
      <c r="O56" s="10" t="n">
        <f aca="false">O55+N56</f>
        <v>22.1</v>
      </c>
      <c r="P56" s="10" t="n">
        <v>12</v>
      </c>
      <c r="Q56" s="10" t="n">
        <f aca="false">0.35+((P56-8)/73)*(1-0.35)</f>
        <v>0.385616438356164</v>
      </c>
      <c r="R56" s="13" t="n">
        <f aca="false">Q56*L56</f>
        <v>0.964041095890411</v>
      </c>
      <c r="S56" s="13" t="n">
        <f aca="false">J56-R56</f>
        <v>-0.564041095890411</v>
      </c>
      <c r="T56" s="13" t="n">
        <f aca="false">MIN(153.6,(T55+S56))</f>
        <v>42.1725342465753</v>
      </c>
      <c r="U56" s="19" t="n">
        <f aca="false">AVERAGE(T45:T125)</f>
        <v>70.9634956874683</v>
      </c>
      <c r="V56" s="10" t="n">
        <v>1069.5</v>
      </c>
      <c r="W56" s="10" t="n">
        <v>66.4285714285714</v>
      </c>
      <c r="X56" s="10" t="n">
        <v>14499.5</v>
      </c>
      <c r="AA56" s="10" t="n">
        <v>12.3434314316542</v>
      </c>
    </row>
    <row r="57" s="10" customFormat="true" ht="15" hidden="false" customHeight="false" outlineLevel="0" collapsed="false">
      <c r="A57" s="15"/>
      <c r="B57" s="16"/>
      <c r="C57" s="9" t="n">
        <v>41904</v>
      </c>
      <c r="D57" s="10" t="n">
        <v>13.2</v>
      </c>
      <c r="E57" s="10" t="n">
        <v>10.1</v>
      </c>
      <c r="F57" s="10" t="n">
        <v>16.6</v>
      </c>
      <c r="G57" s="10" t="n">
        <v>223.3</v>
      </c>
      <c r="I57" s="17" t="s">
        <v>42</v>
      </c>
      <c r="J57" s="10" t="n">
        <v>0</v>
      </c>
      <c r="K57" s="10" t="n">
        <v>26.3</v>
      </c>
      <c r="L57" s="10" t="n">
        <v>2.7</v>
      </c>
      <c r="M57" s="10" t="n">
        <v>33.9</v>
      </c>
      <c r="N57" s="11" t="n">
        <v>-2.7</v>
      </c>
      <c r="O57" s="10" t="n">
        <f aca="false">O56+N57</f>
        <v>19.4</v>
      </c>
      <c r="P57" s="10" t="n">
        <v>13</v>
      </c>
      <c r="Q57" s="10" t="n">
        <f aca="false">0.35+((P57-8)/73)*(1-0.35)</f>
        <v>0.394520547945205</v>
      </c>
      <c r="R57" s="13" t="n">
        <f aca="false">Q57*L57</f>
        <v>1.06520547945206</v>
      </c>
      <c r="S57" s="13" t="n">
        <f aca="false">J57-R57</f>
        <v>-1.06520547945206</v>
      </c>
      <c r="T57" s="13" t="n">
        <f aca="false">MIN(153.6,(T56+S57))</f>
        <v>41.1073287671233</v>
      </c>
      <c r="V57" s="10" t="n">
        <v>1228.8</v>
      </c>
      <c r="W57" s="10" t="n">
        <v>93.0909090909091</v>
      </c>
      <c r="X57" s="10" t="n">
        <v>15728.3</v>
      </c>
      <c r="AA57" s="10" t="n">
        <v>12.2800746894998</v>
      </c>
    </row>
    <row r="58" s="10" customFormat="true" ht="15" hidden="false" customHeight="false" outlineLevel="0" collapsed="false">
      <c r="A58" s="15"/>
      <c r="B58" s="16"/>
      <c r="C58" s="9" t="n">
        <v>41905</v>
      </c>
      <c r="D58" s="10" t="n">
        <v>12.7</v>
      </c>
      <c r="E58" s="10" t="n">
        <v>7.8</v>
      </c>
      <c r="F58" s="10" t="n">
        <v>17.2</v>
      </c>
      <c r="G58" s="10" t="n">
        <v>236</v>
      </c>
      <c r="I58" s="10" t="n">
        <v>1035.4</v>
      </c>
      <c r="J58" s="10" t="n">
        <v>0</v>
      </c>
      <c r="K58" s="10" t="n">
        <v>26.3</v>
      </c>
      <c r="L58" s="10" t="n">
        <v>2.4</v>
      </c>
      <c r="M58" s="10" t="n">
        <v>36.3</v>
      </c>
      <c r="N58" s="11" t="n">
        <v>-2.4</v>
      </c>
      <c r="O58" s="10" t="n">
        <f aca="false">O57+N58</f>
        <v>17</v>
      </c>
      <c r="P58" s="10" t="n">
        <v>14</v>
      </c>
      <c r="Q58" s="10" t="n">
        <f aca="false">0.35+((P58-8)/73)*(1-0.35)</f>
        <v>0.403424657534247</v>
      </c>
      <c r="R58" s="13" t="n">
        <f aca="false">Q58*L58</f>
        <v>0.968219178082192</v>
      </c>
      <c r="S58" s="13" t="n">
        <f aca="false">J58-R58</f>
        <v>-0.968219178082192</v>
      </c>
      <c r="T58" s="13" t="n">
        <f aca="false">MIN(153.6,(T57+S58))</f>
        <v>40.1391095890411</v>
      </c>
      <c r="U58" s="13" t="n">
        <f aca="false">(U56*100)/153.6</f>
        <v>46.2001925048622</v>
      </c>
      <c r="V58" s="10" t="n">
        <v>1203.6</v>
      </c>
      <c r="W58" s="10" t="n">
        <v>94.7716535433071</v>
      </c>
      <c r="X58" s="10" t="n">
        <v>16931.9</v>
      </c>
      <c r="AA58" s="10" t="n">
        <v>12.2166939319138</v>
      </c>
    </row>
    <row r="59" s="10" customFormat="true" ht="15" hidden="false" customHeight="false" outlineLevel="0" collapsed="false">
      <c r="A59" s="15"/>
      <c r="B59" s="16"/>
      <c r="C59" s="9" t="n">
        <v>41906</v>
      </c>
      <c r="D59" s="10" t="n">
        <v>12.4</v>
      </c>
      <c r="E59" s="10" t="n">
        <v>10.6</v>
      </c>
      <c r="F59" s="10" t="n">
        <v>14.5</v>
      </c>
      <c r="G59" s="10" t="n">
        <v>248.4</v>
      </c>
      <c r="J59" s="10" t="n">
        <v>3.7</v>
      </c>
      <c r="K59" s="10" t="n">
        <v>30</v>
      </c>
      <c r="L59" s="10" t="n">
        <v>1.6</v>
      </c>
      <c r="M59" s="10" t="n">
        <v>37.9</v>
      </c>
      <c r="N59" s="10" t="n">
        <v>2.1</v>
      </c>
      <c r="O59" s="10" t="n">
        <f aca="false">O58+N59</f>
        <v>19.1</v>
      </c>
      <c r="P59" s="10" t="n">
        <v>15</v>
      </c>
      <c r="Q59" s="10" t="n">
        <f aca="false">0.35+((P59-8)/73)*(1-0.35)</f>
        <v>0.412328767123288</v>
      </c>
      <c r="R59" s="13" t="n">
        <f aca="false">Q59*L59</f>
        <v>0.65972602739726</v>
      </c>
      <c r="S59" s="13" t="n">
        <f aca="false">J59-R59</f>
        <v>3.04027397260274</v>
      </c>
      <c r="T59" s="13" t="n">
        <f aca="false">MIN(153.6,(T58+S59))</f>
        <v>43.1793835616438</v>
      </c>
      <c r="V59" s="18" t="n">
        <v>835.8</v>
      </c>
      <c r="W59" s="10" t="n">
        <v>67.4032258064516</v>
      </c>
      <c r="X59" s="10" t="n">
        <v>17767.7</v>
      </c>
      <c r="AA59" s="10" t="n">
        <v>12.1532943613865</v>
      </c>
    </row>
    <row r="60" s="10" customFormat="true" ht="15" hidden="false" customHeight="false" outlineLevel="0" collapsed="false">
      <c r="A60" s="15"/>
      <c r="B60" s="16"/>
      <c r="C60" s="9" t="n">
        <v>41907</v>
      </c>
      <c r="D60" s="10" t="n">
        <v>12.4</v>
      </c>
      <c r="E60" s="10" t="n">
        <v>7.6</v>
      </c>
      <c r="F60" s="10" t="n">
        <v>17.1</v>
      </c>
      <c r="G60" s="10" t="n">
        <v>260.8</v>
      </c>
      <c r="J60" s="10" t="n">
        <v>0</v>
      </c>
      <c r="K60" s="10" t="n">
        <v>30</v>
      </c>
      <c r="L60" s="10" t="n">
        <v>2</v>
      </c>
      <c r="M60" s="10" t="n">
        <v>39.9</v>
      </c>
      <c r="N60" s="11" t="n">
        <v>-2</v>
      </c>
      <c r="O60" s="10" t="n">
        <f aca="false">O59+N60</f>
        <v>17.1</v>
      </c>
      <c r="P60" s="10" t="n">
        <v>16</v>
      </c>
      <c r="Q60" s="10" t="n">
        <f aca="false">0.35+((P60-8)/73)*(1-0.35)</f>
        <v>0.421232876712329</v>
      </c>
      <c r="R60" s="13" t="n">
        <f aca="false">Q60*L60</f>
        <v>0.842465753424658</v>
      </c>
      <c r="S60" s="13" t="n">
        <f aca="false">J60-R60</f>
        <v>-0.842465753424658</v>
      </c>
      <c r="T60" s="13" t="n">
        <f aca="false">MIN(153.6,(T59+S60))</f>
        <v>42.3369178082192</v>
      </c>
      <c r="V60" s="10" t="n">
        <v>1020.7</v>
      </c>
      <c r="W60" s="10" t="n">
        <v>82.3145161290323</v>
      </c>
      <c r="X60" s="10" t="n">
        <v>18788.4</v>
      </c>
      <c r="AA60" s="10" t="n">
        <v>12.0898811940897</v>
      </c>
    </row>
    <row r="61" s="10" customFormat="true" ht="15" hidden="false" customHeight="false" outlineLevel="0" collapsed="false">
      <c r="A61" s="15"/>
      <c r="B61" s="16"/>
      <c r="C61" s="9" t="n">
        <v>41908</v>
      </c>
      <c r="D61" s="10" t="n">
        <v>15.8</v>
      </c>
      <c r="E61" s="10" t="n">
        <v>11</v>
      </c>
      <c r="F61" s="10" t="n">
        <v>19.3</v>
      </c>
      <c r="G61" s="10" t="n">
        <v>276.6</v>
      </c>
      <c r="J61" s="10" t="n">
        <v>0</v>
      </c>
      <c r="K61" s="10" t="n">
        <v>30</v>
      </c>
      <c r="L61" s="10" t="n">
        <v>1.3</v>
      </c>
      <c r="M61" s="10" t="n">
        <v>41.2</v>
      </c>
      <c r="N61" s="11" t="n">
        <v>-1.3</v>
      </c>
      <c r="O61" s="10" t="n">
        <f aca="false">O60+N61</f>
        <v>15.8</v>
      </c>
      <c r="P61" s="10" t="n">
        <v>17</v>
      </c>
      <c r="Q61" s="10" t="n">
        <f aca="false">0.35+((P61-8)/73)*(1-0.35)</f>
        <v>0.43013698630137</v>
      </c>
      <c r="R61" s="13" t="n">
        <f aca="false">Q61*L61</f>
        <v>0.559178082191781</v>
      </c>
      <c r="S61" s="13" t="n">
        <f aca="false">J61-R61</f>
        <v>-0.559178082191781</v>
      </c>
      <c r="T61" s="13" t="n">
        <f aca="false">MIN(153.6,(T60+S61))</f>
        <v>41.7777397260274</v>
      </c>
      <c r="V61" s="18" t="n">
        <v>439.9</v>
      </c>
      <c r="W61" s="10" t="n">
        <v>27.8417721518987</v>
      </c>
      <c r="X61" s="10" t="n">
        <v>19228.3</v>
      </c>
      <c r="AA61" s="10" t="n">
        <v>12.0264596782143</v>
      </c>
    </row>
    <row r="62" s="10" customFormat="true" ht="15" hidden="false" customHeight="false" outlineLevel="0" collapsed="false">
      <c r="A62" s="15"/>
      <c r="B62" s="16"/>
      <c r="C62" s="9" t="n">
        <v>41909</v>
      </c>
      <c r="D62" s="10" t="n">
        <v>17.6</v>
      </c>
      <c r="E62" s="10" t="n">
        <v>15.2</v>
      </c>
      <c r="F62" s="10" t="n">
        <v>21.7</v>
      </c>
      <c r="G62" s="10" t="n">
        <v>294.2</v>
      </c>
      <c r="J62" s="10" t="n">
        <v>0</v>
      </c>
      <c r="K62" s="10" t="n">
        <v>30</v>
      </c>
      <c r="L62" s="10" t="n">
        <v>2.4</v>
      </c>
      <c r="M62" s="10" t="n">
        <v>43.6</v>
      </c>
      <c r="N62" s="11" t="n">
        <v>-2.4</v>
      </c>
      <c r="O62" s="10" t="n">
        <f aca="false">O61+N62</f>
        <v>13.4</v>
      </c>
      <c r="P62" s="10" t="n">
        <v>18</v>
      </c>
      <c r="Q62" s="10" t="n">
        <f aca="false">0.35+((P62-8)/73)*(1-0.35)</f>
        <v>0.439041095890411</v>
      </c>
      <c r="R62" s="13" t="n">
        <f aca="false">Q62*L62</f>
        <v>1.05369863013699</v>
      </c>
      <c r="S62" s="13" t="n">
        <f aca="false">J62-R62</f>
        <v>-1.05369863013699</v>
      </c>
      <c r="T62" s="13" t="n">
        <f aca="false">MIN(153.6,(T61+S62))</f>
        <v>40.7240410958904</v>
      </c>
      <c r="V62" s="10" t="n">
        <v>1011.4</v>
      </c>
      <c r="W62" s="10" t="n">
        <v>57.4659090909091</v>
      </c>
      <c r="X62" s="10" t="n">
        <v>20239.7</v>
      </c>
      <c r="AA62" s="10" t="n">
        <v>11.9630351124153</v>
      </c>
    </row>
    <row r="63" s="10" customFormat="true" ht="15" hidden="false" customHeight="false" outlineLevel="0" collapsed="false">
      <c r="A63" s="15"/>
      <c r="B63" s="16"/>
      <c r="C63" s="9" t="n">
        <v>41910</v>
      </c>
      <c r="D63" s="10" t="n">
        <v>17.1</v>
      </c>
      <c r="E63" s="10" t="n">
        <v>13</v>
      </c>
      <c r="F63" s="10" t="n">
        <v>21.4</v>
      </c>
      <c r="G63" s="10" t="n">
        <v>311.3</v>
      </c>
      <c r="J63" s="10" t="n">
        <v>0</v>
      </c>
      <c r="K63" s="10" t="n">
        <v>30</v>
      </c>
      <c r="L63" s="10" t="n">
        <v>1.7</v>
      </c>
      <c r="M63" s="10" t="n">
        <v>45.3</v>
      </c>
      <c r="N63" s="11" t="n">
        <v>-1.7</v>
      </c>
      <c r="O63" s="10" t="n">
        <f aca="false">O62+N63</f>
        <v>11.7</v>
      </c>
      <c r="P63" s="10" t="n">
        <v>19</v>
      </c>
      <c r="Q63" s="10" t="n">
        <f aca="false">0.35+((P63-8)/73)*(1-0.35)</f>
        <v>0.447945205479452</v>
      </c>
      <c r="R63" s="13" t="n">
        <f aca="false">Q63*L63</f>
        <v>0.761506849315069</v>
      </c>
      <c r="S63" s="13" t="n">
        <f aca="false">J63-R63</f>
        <v>-0.761506849315069</v>
      </c>
      <c r="T63" s="13" t="n">
        <f aca="false">MIN(153.6,(T62+S63))</f>
        <v>39.9625342465753</v>
      </c>
      <c r="V63" s="10" t="n">
        <v>1170.5</v>
      </c>
      <c r="W63" s="10" t="n">
        <v>68.4502923976608</v>
      </c>
      <c r="X63" s="10" t="n">
        <v>21410.2</v>
      </c>
      <c r="AA63" s="10" t="n">
        <v>11.8996128643743</v>
      </c>
    </row>
    <row r="64" s="10" customFormat="true" ht="15" hidden="false" customHeight="false" outlineLevel="0" collapsed="false">
      <c r="A64" s="15"/>
      <c r="B64" s="16"/>
      <c r="C64" s="9" t="n">
        <v>41911</v>
      </c>
      <c r="D64" s="10" t="n">
        <v>16.5</v>
      </c>
      <c r="E64" s="10" t="n">
        <v>13.4</v>
      </c>
      <c r="F64" s="10" t="n">
        <v>19.2</v>
      </c>
      <c r="G64" s="10" t="n">
        <v>327.8</v>
      </c>
      <c r="J64" s="10" t="n">
        <v>7.1</v>
      </c>
      <c r="K64" s="10" t="n">
        <v>37.1</v>
      </c>
      <c r="L64" s="10" t="n">
        <v>0.6</v>
      </c>
      <c r="M64" s="10" t="n">
        <v>45.9</v>
      </c>
      <c r="N64" s="10" t="n">
        <v>6.5</v>
      </c>
      <c r="O64" s="10" t="n">
        <f aca="false">O63+N64</f>
        <v>18.2</v>
      </c>
      <c r="P64" s="10" t="n">
        <v>20</v>
      </c>
      <c r="Q64" s="10" t="n">
        <f aca="false">0.35+((P64-8)/73)*(1-0.35)</f>
        <v>0.456849315068493</v>
      </c>
      <c r="R64" s="13" t="n">
        <f aca="false">Q64*L64</f>
        <v>0.274109589041096</v>
      </c>
      <c r="S64" s="13" t="n">
        <f aca="false">J64-R64</f>
        <v>6.8258904109589</v>
      </c>
      <c r="T64" s="13" t="n">
        <f aca="false">MIN(153.6,(T63+S64))</f>
        <v>46.7884246575343</v>
      </c>
      <c r="V64" s="18" t="n">
        <v>285.5</v>
      </c>
      <c r="W64" s="10" t="n">
        <v>17.3030303030303</v>
      </c>
      <c r="X64" s="10" t="n">
        <v>21695.7</v>
      </c>
      <c r="AA64" s="10" t="n">
        <v>11.8361983894897</v>
      </c>
    </row>
    <row r="65" s="10" customFormat="true" ht="15" hidden="false" customHeight="false" outlineLevel="0" collapsed="false">
      <c r="A65" s="15"/>
      <c r="B65" s="16"/>
      <c r="C65" s="9" t="n">
        <v>41912</v>
      </c>
      <c r="D65" s="10" t="n">
        <v>16.2</v>
      </c>
      <c r="E65" s="10" t="n">
        <v>13.4</v>
      </c>
      <c r="F65" s="10" t="n">
        <v>20.1</v>
      </c>
      <c r="G65" s="10" t="n">
        <v>344</v>
      </c>
      <c r="J65" s="10" t="n">
        <v>0.1</v>
      </c>
      <c r="K65" s="10" t="n">
        <v>37.2</v>
      </c>
      <c r="L65" s="10" t="n">
        <v>2</v>
      </c>
      <c r="M65" s="10" t="n">
        <v>47.9</v>
      </c>
      <c r="N65" s="11" t="n">
        <v>-1.9</v>
      </c>
      <c r="O65" s="10" t="n">
        <f aca="false">O64+N65</f>
        <v>16.3</v>
      </c>
      <c r="P65" s="10" t="n">
        <v>21</v>
      </c>
      <c r="Q65" s="10" t="n">
        <f aca="false">0.35+((P65-8)/73)*(1-0.35)</f>
        <v>0.465753424657534</v>
      </c>
      <c r="R65" s="13" t="n">
        <f aca="false">Q65*L65</f>
        <v>0.931506849315068</v>
      </c>
      <c r="S65" s="13" t="n">
        <f aca="false">J65-R65</f>
        <v>-0.831506849315069</v>
      </c>
      <c r="T65" s="13" t="n">
        <f aca="false">MIN(153.6,(T64+S65))</f>
        <v>45.9569178082192</v>
      </c>
      <c r="V65" s="10" t="n">
        <v>973.1</v>
      </c>
      <c r="W65" s="10" t="n">
        <v>60.0679012345679</v>
      </c>
      <c r="X65" s="10" t="n">
        <v>22668.8</v>
      </c>
      <c r="AA65" s="10" t="n">
        <v>11.7727972497032</v>
      </c>
    </row>
    <row r="66" s="10" customFormat="true" ht="15" hidden="false" customHeight="false" outlineLevel="0" collapsed="false">
      <c r="A66" s="15"/>
      <c r="B66" s="16"/>
      <c r="C66" s="9" t="n">
        <v>41913</v>
      </c>
      <c r="D66" s="10" t="n">
        <v>16.1</v>
      </c>
      <c r="E66" s="10" t="n">
        <v>10</v>
      </c>
      <c r="F66" s="10" t="n">
        <v>22</v>
      </c>
      <c r="G66" s="10" t="n">
        <v>360.1</v>
      </c>
      <c r="J66" s="10" t="n">
        <v>0</v>
      </c>
      <c r="K66" s="10" t="n">
        <v>37.2</v>
      </c>
      <c r="L66" s="10" t="n">
        <v>2.1</v>
      </c>
      <c r="M66" s="10" t="n">
        <v>50</v>
      </c>
      <c r="N66" s="11" t="n">
        <v>-2.1</v>
      </c>
      <c r="O66" s="10" t="n">
        <f aca="false">O65+N66</f>
        <v>14.2</v>
      </c>
      <c r="P66" s="10" t="n">
        <v>22</v>
      </c>
      <c r="Q66" s="10" t="n">
        <f aca="false">0.35+((P66-8)/73)*(1-0.35)</f>
        <v>0.474657534246575</v>
      </c>
      <c r="R66" s="13" t="n">
        <f aca="false">Q66*L66</f>
        <v>0.996780821917808</v>
      </c>
      <c r="S66" s="13" t="n">
        <f aca="false">J66-R66</f>
        <v>-0.996780821917808</v>
      </c>
      <c r="T66" s="13" t="n">
        <f aca="false">MIN(153.6,(T65+S66))</f>
        <v>44.9601369863014</v>
      </c>
      <c r="V66" s="10" t="n">
        <v>1062.5</v>
      </c>
      <c r="W66" s="10" t="n">
        <v>65.9937888198758</v>
      </c>
      <c r="X66" s="10" t="n">
        <v>23731.3</v>
      </c>
      <c r="AA66" s="10" t="n">
        <v>11.7094151324735</v>
      </c>
    </row>
    <row r="67" s="10" customFormat="true" ht="15" hidden="false" customHeight="false" outlineLevel="0" collapsed="false">
      <c r="A67" s="15"/>
      <c r="B67" s="16"/>
      <c r="C67" s="9" t="n">
        <v>41914</v>
      </c>
      <c r="D67" s="10" t="n">
        <v>16.9</v>
      </c>
      <c r="E67" s="10" t="n">
        <v>12.7</v>
      </c>
      <c r="F67" s="10" t="n">
        <v>21.3</v>
      </c>
      <c r="G67" s="10" t="n">
        <v>377</v>
      </c>
      <c r="J67" s="10" t="n">
        <v>0</v>
      </c>
      <c r="K67" s="10" t="n">
        <v>37.2</v>
      </c>
      <c r="L67" s="10" t="n">
        <v>2.2</v>
      </c>
      <c r="M67" s="10" t="n">
        <v>52.2</v>
      </c>
      <c r="N67" s="11" t="n">
        <v>-2.2</v>
      </c>
      <c r="O67" s="10" t="n">
        <f aca="false">O66+N67</f>
        <v>12</v>
      </c>
      <c r="P67" s="10" t="n">
        <v>23</v>
      </c>
      <c r="Q67" s="10" t="n">
        <f aca="false">0.35+((P67-8)/73)*(1-0.35)</f>
        <v>0.483561643835616</v>
      </c>
      <c r="R67" s="13" t="n">
        <f aca="false">Q67*L67</f>
        <v>1.06383561643836</v>
      </c>
      <c r="S67" s="13" t="n">
        <f aca="false">J67-R67</f>
        <v>-1.06383561643836</v>
      </c>
      <c r="T67" s="13" t="n">
        <f aca="false">MIN(153.6,(T66+S67))</f>
        <v>43.896301369863</v>
      </c>
      <c r="V67" s="18" t="n">
        <v>894.7</v>
      </c>
      <c r="W67" s="10" t="n">
        <v>52.9408284023669</v>
      </c>
      <c r="X67" s="10" t="n">
        <v>24626</v>
      </c>
      <c r="AA67" s="10" t="n">
        <v>11.646057869903</v>
      </c>
    </row>
    <row r="68" s="10" customFormat="true" ht="15" hidden="false" customHeight="false" outlineLevel="0" collapsed="false">
      <c r="A68" s="15"/>
      <c r="B68" s="16"/>
      <c r="C68" s="9" t="n">
        <v>41915</v>
      </c>
      <c r="D68" s="10" t="n">
        <v>16.9</v>
      </c>
      <c r="E68" s="10" t="n">
        <v>13.4</v>
      </c>
      <c r="F68" s="10" t="n">
        <v>22.3</v>
      </c>
      <c r="G68" s="10" t="n">
        <v>393.9</v>
      </c>
      <c r="J68" s="10" t="n">
        <v>0</v>
      </c>
      <c r="K68" s="10" t="n">
        <v>37.2</v>
      </c>
      <c r="L68" s="10" t="n">
        <v>2.7</v>
      </c>
      <c r="M68" s="10" t="n">
        <v>54.9</v>
      </c>
      <c r="N68" s="11" t="n">
        <v>-2.7</v>
      </c>
      <c r="O68" s="10" t="n">
        <f aca="false">O67+N68</f>
        <v>9.3</v>
      </c>
      <c r="P68" s="10" t="n">
        <v>24</v>
      </c>
      <c r="Q68" s="10" t="n">
        <f aca="false">0.35+((P68-8)/73)*(1-0.35)</f>
        <v>0.492465753424658</v>
      </c>
      <c r="R68" s="13" t="n">
        <f aca="false">Q68*L68</f>
        <v>1.32965753424658</v>
      </c>
      <c r="S68" s="13" t="n">
        <f aca="false">J68-R68</f>
        <v>-1.32965753424658</v>
      </c>
      <c r="T68" s="13" t="n">
        <f aca="false">MIN(153.6,(T67+S68))</f>
        <v>42.5666438356164</v>
      </c>
      <c r="V68" s="10" t="n">
        <v>1316.8</v>
      </c>
      <c r="W68" s="10" t="n">
        <v>77.9171597633136</v>
      </c>
      <c r="X68" s="10" t="n">
        <v>25942.8</v>
      </c>
      <c r="AA68" s="10" t="n">
        <v>11.582731458026</v>
      </c>
    </row>
    <row r="69" s="10" customFormat="true" ht="15" hidden="false" customHeight="false" outlineLevel="0" collapsed="false">
      <c r="A69" s="15"/>
      <c r="B69" s="16"/>
      <c r="C69" s="9" t="n">
        <v>41916</v>
      </c>
      <c r="D69" s="10" t="n">
        <v>14.5</v>
      </c>
      <c r="E69" s="10" t="n">
        <v>11.7</v>
      </c>
      <c r="F69" s="10" t="n">
        <v>20.7</v>
      </c>
      <c r="G69" s="10" t="n">
        <v>408.4</v>
      </c>
      <c r="J69" s="10" t="n">
        <v>6.5</v>
      </c>
      <c r="K69" s="10" t="n">
        <v>43.7</v>
      </c>
      <c r="L69" s="10" t="n">
        <v>2.1</v>
      </c>
      <c r="M69" s="10" t="n">
        <v>57</v>
      </c>
      <c r="N69" s="10" t="n">
        <v>4.4</v>
      </c>
      <c r="O69" s="10" t="n">
        <f aca="false">O68+N69</f>
        <v>13.7</v>
      </c>
      <c r="P69" s="10" t="n">
        <v>25</v>
      </c>
      <c r="Q69" s="10" t="n">
        <f aca="false">0.35+((P69-8)/73)*(1-0.35)</f>
        <v>0.501369863013699</v>
      </c>
      <c r="R69" s="13" t="n">
        <f aca="false">Q69*L69</f>
        <v>1.05287671232877</v>
      </c>
      <c r="S69" s="13" t="n">
        <f aca="false">J69-R69</f>
        <v>5.44712328767123</v>
      </c>
      <c r="T69" s="13" t="n">
        <f aca="false">MIN(153.6,(T68+S69))</f>
        <v>48.0137671232877</v>
      </c>
      <c r="V69" s="18" t="n">
        <v>679.6</v>
      </c>
      <c r="W69" s="10" t="n">
        <v>46.8689655172414</v>
      </c>
      <c r="X69" s="10" t="n">
        <v>26622.4</v>
      </c>
      <c r="AA69" s="10" t="n">
        <v>11.5194420762639</v>
      </c>
    </row>
    <row r="70" s="10" customFormat="true" ht="15" hidden="false" customHeight="false" outlineLevel="0" collapsed="false">
      <c r="A70" s="15"/>
      <c r="B70" s="16"/>
      <c r="C70" s="9" t="n">
        <v>41917</v>
      </c>
      <c r="D70" s="10" t="n">
        <v>12.9</v>
      </c>
      <c r="E70" s="10" t="n">
        <v>9.8</v>
      </c>
      <c r="F70" s="10" t="n">
        <v>15.8</v>
      </c>
      <c r="G70" s="10" t="n">
        <v>421.3</v>
      </c>
      <c r="J70" s="10" t="n">
        <v>0</v>
      </c>
      <c r="K70" s="10" t="n">
        <v>43.7</v>
      </c>
      <c r="L70" s="10" t="n">
        <v>2.2</v>
      </c>
      <c r="M70" s="10" t="n">
        <v>59.2</v>
      </c>
      <c r="N70" s="11" t="n">
        <v>-2.2</v>
      </c>
      <c r="O70" s="10" t="n">
        <f aca="false">O69+N70</f>
        <v>11.5</v>
      </c>
      <c r="P70" s="10" t="n">
        <v>26</v>
      </c>
      <c r="Q70" s="10" t="n">
        <f aca="false">0.35+((P70-8)/73)*(1-0.35)</f>
        <v>0.51027397260274</v>
      </c>
      <c r="R70" s="13" t="n">
        <f aca="false">Q70*L70</f>
        <v>1.12260273972603</v>
      </c>
      <c r="S70" s="13" t="n">
        <f aca="false">J70-R70</f>
        <v>-1.12260273972603</v>
      </c>
      <c r="T70" s="13" t="n">
        <f aca="false">MIN(153.6,(T69+S70))</f>
        <v>46.8911643835616</v>
      </c>
      <c r="V70" s="18" t="n">
        <v>754.2</v>
      </c>
      <c r="W70" s="10" t="n">
        <v>58.4651162790698</v>
      </c>
      <c r="X70" s="10" t="n">
        <v>27376.6</v>
      </c>
      <c r="AA70" s="10" t="n">
        <v>11.4561961070522</v>
      </c>
    </row>
    <row r="71" s="10" customFormat="true" ht="15" hidden="false" customHeight="false" outlineLevel="0" collapsed="false">
      <c r="A71" s="15"/>
      <c r="B71" s="16"/>
      <c r="C71" s="9" t="n">
        <v>41918</v>
      </c>
      <c r="D71" s="10" t="n">
        <v>12.6</v>
      </c>
      <c r="E71" s="10" t="n">
        <v>12</v>
      </c>
      <c r="F71" s="10" t="n">
        <v>14</v>
      </c>
      <c r="G71" s="10" t="n">
        <v>433.9</v>
      </c>
      <c r="J71" s="10" t="n">
        <v>4.4</v>
      </c>
      <c r="K71" s="10" t="n">
        <v>48.1</v>
      </c>
      <c r="L71" s="10" t="n">
        <v>1.5</v>
      </c>
      <c r="M71" s="10" t="n">
        <v>60.7</v>
      </c>
      <c r="N71" s="10" t="n">
        <v>2.9</v>
      </c>
      <c r="O71" s="10" t="n">
        <f aca="false">O70+N71</f>
        <v>14.4</v>
      </c>
      <c r="P71" s="10" t="n">
        <v>27</v>
      </c>
      <c r="Q71" s="10" t="n">
        <f aca="false">0.35+((P71-8)/73)*(1-0.35)</f>
        <v>0.519178082191781</v>
      </c>
      <c r="R71" s="13" t="n">
        <f aca="false">Q71*L71</f>
        <v>0.778767123287671</v>
      </c>
      <c r="S71" s="13" t="n">
        <f aca="false">J71-R71</f>
        <v>3.62123287671233</v>
      </c>
      <c r="T71" s="13" t="n">
        <f aca="false">MIN(153.6,(T70+S71))</f>
        <v>50.512397260274</v>
      </c>
      <c r="V71" s="18" t="n">
        <v>349.7</v>
      </c>
      <c r="W71" s="10" t="n">
        <v>27.7539682539683</v>
      </c>
      <c r="X71" s="10" t="n">
        <v>27726.3</v>
      </c>
      <c r="AA71" s="10" t="n">
        <v>11.3930001556411</v>
      </c>
    </row>
    <row r="72" s="10" customFormat="true" ht="15" hidden="false" customHeight="false" outlineLevel="0" collapsed="false">
      <c r="A72" s="15"/>
      <c r="B72" s="16"/>
      <c r="C72" s="9" t="n">
        <v>41919</v>
      </c>
      <c r="D72" s="10" t="n">
        <v>12.1</v>
      </c>
      <c r="E72" s="10" t="n">
        <v>10.8</v>
      </c>
      <c r="F72" s="10" t="n">
        <v>14.2</v>
      </c>
      <c r="G72" s="10" t="n">
        <v>446</v>
      </c>
      <c r="J72" s="10" t="n">
        <v>4.1</v>
      </c>
      <c r="K72" s="10" t="n">
        <v>52.2</v>
      </c>
      <c r="L72" s="10" t="n">
        <v>1.5</v>
      </c>
      <c r="M72" s="10" t="n">
        <v>62.2</v>
      </c>
      <c r="N72" s="10" t="n">
        <v>2.6</v>
      </c>
      <c r="O72" s="10" t="n">
        <f aca="false">O71+N72</f>
        <v>17</v>
      </c>
      <c r="P72" s="10" t="n">
        <v>28</v>
      </c>
      <c r="Q72" s="10" t="n">
        <f aca="false">0.35+((P72-8)/73)*(1-0.35)</f>
        <v>0.528082191780822</v>
      </c>
      <c r="R72" s="13" t="n">
        <f aca="false">Q72*L72</f>
        <v>0.792123287671233</v>
      </c>
      <c r="S72" s="13" t="n">
        <f aca="false">J72-R72</f>
        <v>3.30787671232877</v>
      </c>
      <c r="T72" s="13" t="n">
        <f aca="false">MIN(153.6,(T71+S72))</f>
        <v>53.8202739726027</v>
      </c>
      <c r="V72" s="18" t="n">
        <v>528.1</v>
      </c>
      <c r="W72" s="10" t="n">
        <v>43.6446280991736</v>
      </c>
      <c r="X72" s="10" t="n">
        <v>28254.4</v>
      </c>
      <c r="AA72" s="10" t="n">
        <v>11.3298610700723</v>
      </c>
    </row>
    <row r="73" s="10" customFormat="true" ht="15" hidden="false" customHeight="false" outlineLevel="0" collapsed="false">
      <c r="A73" s="15"/>
      <c r="B73" s="16"/>
      <c r="C73" s="9" t="n">
        <v>41920</v>
      </c>
      <c r="D73" s="10" t="n">
        <v>14.1</v>
      </c>
      <c r="E73" s="10" t="n">
        <v>9</v>
      </c>
      <c r="F73" s="10" t="n">
        <v>16.8</v>
      </c>
      <c r="G73" s="10" t="n">
        <v>460.1</v>
      </c>
      <c r="J73" s="10" t="n">
        <v>7.3</v>
      </c>
      <c r="K73" s="10" t="n">
        <v>59.5</v>
      </c>
      <c r="L73" s="10" t="n">
        <v>0.4</v>
      </c>
      <c r="M73" s="10" t="n">
        <v>62.6</v>
      </c>
      <c r="N73" s="10" t="n">
        <v>6.9</v>
      </c>
      <c r="O73" s="10" t="n">
        <f aca="false">O72+N73</f>
        <v>23.9</v>
      </c>
      <c r="P73" s="10" t="n">
        <v>29</v>
      </c>
      <c r="Q73" s="10" t="n">
        <f aca="false">0.35+((P73-8)/73)*(1-0.35)</f>
        <v>0.536986301369863</v>
      </c>
      <c r="R73" s="13" t="n">
        <f aca="false">Q73*L73</f>
        <v>0.214794520547945</v>
      </c>
      <c r="S73" s="13" t="n">
        <f aca="false">J73-R73</f>
        <v>7.08520547945205</v>
      </c>
      <c r="T73" s="13" t="n">
        <f aca="false">MIN(153.6,(T72+S73))</f>
        <v>60.9054794520548</v>
      </c>
      <c r="V73" s="18" t="n">
        <v>198.6</v>
      </c>
      <c r="W73" s="10" t="n">
        <v>14.0851063829787</v>
      </c>
      <c r="X73" s="10" t="n">
        <v>28453</v>
      </c>
      <c r="AA73" s="10" t="n">
        <v>11.2667859613301</v>
      </c>
    </row>
    <row r="74" s="10" customFormat="true" ht="15" hidden="false" customHeight="false" outlineLevel="0" collapsed="false">
      <c r="A74" s="15"/>
      <c r="B74" s="16"/>
      <c r="C74" s="9" t="n">
        <v>41921</v>
      </c>
      <c r="D74" s="10" t="n">
        <v>15.1</v>
      </c>
      <c r="E74" s="10" t="n">
        <v>13.2</v>
      </c>
      <c r="F74" s="10" t="n">
        <v>18.3</v>
      </c>
      <c r="G74" s="10" t="n">
        <v>475.2</v>
      </c>
      <c r="J74" s="10" t="n">
        <v>0.1</v>
      </c>
      <c r="K74" s="10" t="n">
        <v>59.6</v>
      </c>
      <c r="L74" s="10" t="n">
        <v>2.6</v>
      </c>
      <c r="M74" s="10" t="n">
        <v>65.2</v>
      </c>
      <c r="N74" s="11" t="n">
        <v>-2.5</v>
      </c>
      <c r="O74" s="10" t="n">
        <f aca="false">O73+N74</f>
        <v>21.4</v>
      </c>
      <c r="P74" s="10" t="n">
        <v>30</v>
      </c>
      <c r="Q74" s="10" t="n">
        <f aca="false">0.35+((P74-8)/73)*(1-0.35)</f>
        <v>0.545890410958904</v>
      </c>
      <c r="R74" s="13" t="n">
        <f aca="false">Q74*L74</f>
        <v>1.41931506849315</v>
      </c>
      <c r="S74" s="13" t="n">
        <f aca="false">J74-R74</f>
        <v>-1.31931506849315</v>
      </c>
      <c r="T74" s="13" t="n">
        <f aca="false">MIN(153.6,(T73+S74))</f>
        <v>59.5861643835616</v>
      </c>
      <c r="V74" s="10" t="n">
        <v>1005</v>
      </c>
      <c r="W74" s="10" t="n">
        <v>66.5562913907285</v>
      </c>
      <c r="X74" s="10" t="n">
        <v>29458</v>
      </c>
      <c r="AA74" s="10" t="n">
        <v>11.2037822236643</v>
      </c>
    </row>
    <row r="75" s="10" customFormat="true" ht="15" hidden="false" customHeight="false" outlineLevel="0" collapsed="false">
      <c r="A75" s="15"/>
      <c r="B75" s="16"/>
      <c r="C75" s="9" t="n">
        <v>41922</v>
      </c>
      <c r="D75" s="10" t="n">
        <v>13.3</v>
      </c>
      <c r="E75" s="10" t="n">
        <v>10.5</v>
      </c>
      <c r="F75" s="10" t="n">
        <v>17.5</v>
      </c>
      <c r="G75" s="10" t="n">
        <v>488.5</v>
      </c>
      <c r="J75" s="10" t="n">
        <v>0.2</v>
      </c>
      <c r="K75" s="10" t="n">
        <v>59.8</v>
      </c>
      <c r="L75" s="10" t="n">
        <v>2</v>
      </c>
      <c r="M75" s="10" t="n">
        <v>67.2</v>
      </c>
      <c r="N75" s="11" t="n">
        <v>-1.8</v>
      </c>
      <c r="O75" s="10" t="n">
        <f aca="false">O74+N75</f>
        <v>19.6</v>
      </c>
      <c r="P75" s="10" t="n">
        <v>31</v>
      </c>
      <c r="Q75" s="10" t="n">
        <f aca="false">0.35+((P75-8)/73)*(1-0.35)</f>
        <v>0.554794520547945</v>
      </c>
      <c r="R75" s="13" t="n">
        <f aca="false">Q75*L75</f>
        <v>1.10958904109589</v>
      </c>
      <c r="S75" s="13" t="n">
        <f aca="false">J75-R75</f>
        <v>-0.90958904109589</v>
      </c>
      <c r="T75" s="13" t="n">
        <f aca="false">MIN(153.6,(T74+S75))</f>
        <v>58.6765753424657</v>
      </c>
      <c r="V75" s="10" t="n">
        <v>1022.5</v>
      </c>
      <c r="W75" s="10" t="n">
        <v>76.8796992481203</v>
      </c>
      <c r="X75" s="10" t="n">
        <v>30480.5</v>
      </c>
      <c r="AA75" s="10" t="n">
        <v>11.1408575550779</v>
      </c>
    </row>
    <row r="76" s="10" customFormat="true" ht="15" hidden="false" customHeight="false" outlineLevel="0" collapsed="false">
      <c r="A76" s="15"/>
      <c r="B76" s="16"/>
      <c r="C76" s="9" t="n">
        <v>41923</v>
      </c>
      <c r="D76" s="10" t="n">
        <v>12.7</v>
      </c>
      <c r="E76" s="10" t="n">
        <v>10.5</v>
      </c>
      <c r="F76" s="10" t="n">
        <v>15.6</v>
      </c>
      <c r="G76" s="10" t="n">
        <v>501.2</v>
      </c>
      <c r="J76" s="10" t="n">
        <v>10.4</v>
      </c>
      <c r="K76" s="10" t="n">
        <v>70.2</v>
      </c>
      <c r="L76" s="10" t="n">
        <v>1.2</v>
      </c>
      <c r="M76" s="10" t="n">
        <v>68.4</v>
      </c>
      <c r="N76" s="10" t="n">
        <v>9.2</v>
      </c>
      <c r="O76" s="10" t="n">
        <f aca="false">O75+N76</f>
        <v>28.8</v>
      </c>
      <c r="P76" s="10" t="n">
        <v>32</v>
      </c>
      <c r="Q76" s="10" t="n">
        <f aca="false">0.35+((P76-8)/73)*(1-0.35)</f>
        <v>0.563698630136986</v>
      </c>
      <c r="R76" s="13" t="n">
        <f aca="false">Q76*L76</f>
        <v>0.676438356164384</v>
      </c>
      <c r="S76" s="13" t="n">
        <f aca="false">J76-R76</f>
        <v>9.72356164383562</v>
      </c>
      <c r="T76" s="13" t="n">
        <f aca="false">MIN(153.6,(T75+S76))</f>
        <v>68.4001369863014</v>
      </c>
      <c r="V76" s="18" t="n">
        <v>598.9</v>
      </c>
      <c r="W76" s="10" t="n">
        <v>47.1574803149606</v>
      </c>
      <c r="X76" s="10" t="n">
        <v>31079.4</v>
      </c>
      <c r="AA76" s="10" t="n">
        <v>11.0780199779733</v>
      </c>
    </row>
    <row r="77" s="10" customFormat="true" ht="15" hidden="false" customHeight="false" outlineLevel="0" collapsed="false">
      <c r="A77" s="15"/>
      <c r="B77" s="16"/>
      <c r="C77" s="9" t="n">
        <v>41924</v>
      </c>
      <c r="D77" s="10" t="n">
        <v>12.6</v>
      </c>
      <c r="E77" s="10" t="n">
        <v>8.3</v>
      </c>
      <c r="F77" s="10" t="n">
        <v>16.8</v>
      </c>
      <c r="G77" s="10" t="n">
        <v>513.8</v>
      </c>
      <c r="J77" s="10" t="n">
        <v>4.9</v>
      </c>
      <c r="K77" s="10" t="n">
        <v>75.1</v>
      </c>
      <c r="L77" s="10" t="n">
        <v>1.3</v>
      </c>
      <c r="M77" s="10" t="n">
        <v>69.7</v>
      </c>
      <c r="N77" s="10" t="n">
        <v>3.6</v>
      </c>
      <c r="O77" s="10" t="n">
        <f aca="false">O76+N77</f>
        <v>32.4</v>
      </c>
      <c r="P77" s="10" t="n">
        <v>33</v>
      </c>
      <c r="Q77" s="10" t="n">
        <f aca="false">0.35+((P77-8)/73)*(1-0.35)</f>
        <v>0.572602739726027</v>
      </c>
      <c r="R77" s="13" t="n">
        <f aca="false">Q77*L77</f>
        <v>0.744383561643836</v>
      </c>
      <c r="S77" s="13" t="n">
        <f aca="false">J77-R77</f>
        <v>4.15561643835617</v>
      </c>
      <c r="T77" s="13" t="n">
        <f aca="false">MIN(153.6,(T76+S77))</f>
        <v>72.5557534246575</v>
      </c>
      <c r="V77" s="18" t="n">
        <v>786</v>
      </c>
      <c r="W77" s="10" t="n">
        <v>62.3809523809524</v>
      </c>
      <c r="X77" s="10" t="n">
        <v>31865.4</v>
      </c>
      <c r="AA77" s="10" t="n">
        <v>11.0152778599436</v>
      </c>
    </row>
    <row r="78" s="10" customFormat="true" ht="15" hidden="false" customHeight="false" outlineLevel="0" collapsed="false">
      <c r="A78" s="15"/>
      <c r="B78" s="16"/>
      <c r="C78" s="9" t="n">
        <v>41925</v>
      </c>
      <c r="D78" s="10" t="n">
        <v>14.6</v>
      </c>
      <c r="E78" s="10" t="n">
        <v>13.3</v>
      </c>
      <c r="F78" s="10" t="n">
        <v>15.7</v>
      </c>
      <c r="G78" s="10" t="n">
        <v>528.4</v>
      </c>
      <c r="J78" s="10" t="n">
        <v>0</v>
      </c>
      <c r="K78" s="10" t="n">
        <v>75.1</v>
      </c>
      <c r="L78" s="10" t="n">
        <v>1.7</v>
      </c>
      <c r="M78" s="10" t="n">
        <v>71.4</v>
      </c>
      <c r="N78" s="11" t="n">
        <v>-1.7</v>
      </c>
      <c r="O78" s="10" t="n">
        <f aca="false">O77+N78</f>
        <v>30.7</v>
      </c>
      <c r="P78" s="10" t="n">
        <v>34</v>
      </c>
      <c r="Q78" s="10" t="n">
        <f aca="false">0.35+((P78-8)/73)*(1-0.35)</f>
        <v>0.581506849315069</v>
      </c>
      <c r="R78" s="13" t="n">
        <f aca="false">Q78*L78</f>
        <v>0.988561643835616</v>
      </c>
      <c r="S78" s="13" t="n">
        <f aca="false">J78-R78</f>
        <v>-0.988561643835616</v>
      </c>
      <c r="T78" s="13" t="n">
        <f aca="false">MIN(153.6,(T77+S78))</f>
        <v>71.5671917808219</v>
      </c>
      <c r="V78" s="18" t="n">
        <v>371.6</v>
      </c>
      <c r="W78" s="10" t="n">
        <v>25.4520547945206</v>
      </c>
      <c r="X78" s="10" t="n">
        <v>32237</v>
      </c>
      <c r="AA78" s="10" t="n">
        <v>10.9526399346951</v>
      </c>
    </row>
    <row r="79" s="10" customFormat="true" ht="15" hidden="false" customHeight="false" outlineLevel="0" collapsed="false">
      <c r="A79" s="15"/>
      <c r="B79" s="16"/>
      <c r="C79" s="9" t="n">
        <v>41926</v>
      </c>
      <c r="D79" s="10" t="n">
        <v>12.7</v>
      </c>
      <c r="E79" s="10" t="n">
        <v>11.4</v>
      </c>
      <c r="F79" s="10" t="n">
        <v>15</v>
      </c>
      <c r="G79" s="10" t="n">
        <v>541.1</v>
      </c>
      <c r="J79" s="10" t="n">
        <v>0.6</v>
      </c>
      <c r="K79" s="10" t="n">
        <v>75.7</v>
      </c>
      <c r="L79" s="10" t="n">
        <v>1.6</v>
      </c>
      <c r="M79" s="10" t="n">
        <v>73</v>
      </c>
      <c r="N79" s="11" t="n">
        <v>-1</v>
      </c>
      <c r="O79" s="10" t="n">
        <f aca="false">O78+N79</f>
        <v>29.7</v>
      </c>
      <c r="P79" s="10" t="n">
        <v>35</v>
      </c>
      <c r="Q79" s="10" t="n">
        <f aca="false">0.35+((P79-8)/73)*(1-0.35)</f>
        <v>0.59041095890411</v>
      </c>
      <c r="R79" s="13" t="n">
        <f aca="false">Q79*L79</f>
        <v>0.944657534246575</v>
      </c>
      <c r="S79" s="13" t="n">
        <f aca="false">J79-R79</f>
        <v>-0.344657534246575</v>
      </c>
      <c r="T79" s="13" t="n">
        <f aca="false">MIN(153.6,(T78+S79))</f>
        <v>71.2225342465753</v>
      </c>
      <c r="V79" s="18" t="n">
        <v>377.8</v>
      </c>
      <c r="W79" s="10" t="n">
        <v>29.748031496063</v>
      </c>
      <c r="X79" s="10" t="n">
        <v>32614.8</v>
      </c>
      <c r="AA79" s="10" t="n">
        <v>10.8901153230823</v>
      </c>
    </row>
    <row r="80" s="10" customFormat="true" ht="15" hidden="false" customHeight="false" outlineLevel="0" collapsed="false">
      <c r="A80" s="15"/>
      <c r="B80" s="16"/>
      <c r="C80" s="9" t="n">
        <v>41927</v>
      </c>
      <c r="D80" s="10" t="n">
        <v>12.3</v>
      </c>
      <c r="E80" s="10" t="n">
        <v>8.4</v>
      </c>
      <c r="F80" s="10" t="n">
        <v>15.2</v>
      </c>
      <c r="G80" s="10" t="n">
        <v>553.4</v>
      </c>
      <c r="J80" s="10" t="n">
        <v>3.1</v>
      </c>
      <c r="K80" s="10" t="n">
        <v>78.8</v>
      </c>
      <c r="L80" s="10" t="n">
        <v>1.1</v>
      </c>
      <c r="M80" s="10" t="n">
        <v>74.1</v>
      </c>
      <c r="N80" s="10" t="n">
        <v>2</v>
      </c>
      <c r="O80" s="10" t="n">
        <f aca="false">O79+N80</f>
        <v>31.7</v>
      </c>
      <c r="P80" s="10" t="n">
        <v>36</v>
      </c>
      <c r="Q80" s="10" t="n">
        <f aca="false">0.35+((P80-8)/73)*(1-0.35)</f>
        <v>0.599315068493151</v>
      </c>
      <c r="R80" s="13" t="n">
        <f aca="false">Q80*L80</f>
        <v>0.659246575342466</v>
      </c>
      <c r="S80" s="13" t="n">
        <f aca="false">J80-R80</f>
        <v>2.44075342465753</v>
      </c>
      <c r="T80" s="13" t="n">
        <f aca="false">MIN(153.6,(T79+S80))</f>
        <v>73.6632876712329</v>
      </c>
      <c r="V80" s="18" t="n">
        <v>495.1</v>
      </c>
      <c r="W80" s="10" t="n">
        <v>40.2520325203252</v>
      </c>
      <c r="X80" s="10" t="n">
        <v>33109.9</v>
      </c>
      <c r="AA80" s="10" t="n">
        <v>10.8277135542339</v>
      </c>
    </row>
    <row r="81" s="10" customFormat="true" ht="15" hidden="false" customHeight="false" outlineLevel="0" collapsed="false">
      <c r="A81" s="15"/>
      <c r="B81" s="16"/>
      <c r="C81" s="9" t="n">
        <v>41928</v>
      </c>
      <c r="D81" s="10" t="n">
        <v>15.3</v>
      </c>
      <c r="E81" s="10" t="n">
        <v>13.2</v>
      </c>
      <c r="F81" s="10" t="n">
        <v>17.9</v>
      </c>
      <c r="G81" s="10" t="n">
        <v>568.7</v>
      </c>
      <c r="J81" s="10" t="n">
        <v>3.2</v>
      </c>
      <c r="K81" s="10" t="n">
        <v>82</v>
      </c>
      <c r="L81" s="10" t="n">
        <v>1.4</v>
      </c>
      <c r="M81" s="10" t="n">
        <v>75.5</v>
      </c>
      <c r="N81" s="10" t="n">
        <v>1.8</v>
      </c>
      <c r="O81" s="10" t="n">
        <f aca="false">O80+N81</f>
        <v>33.5</v>
      </c>
      <c r="P81" s="10" t="n">
        <v>37</v>
      </c>
      <c r="Q81" s="10" t="n">
        <f aca="false">0.35+((P81-8)/73)*(1-0.35)</f>
        <v>0.608219178082192</v>
      </c>
      <c r="R81" s="13" t="n">
        <f aca="false">Q81*L81</f>
        <v>0.851506849315068</v>
      </c>
      <c r="S81" s="13" t="n">
        <f aca="false">J81-R81</f>
        <v>2.34849315068493</v>
      </c>
      <c r="T81" s="13" t="n">
        <f aca="false">MIN(153.6,(T80+S81))</f>
        <v>76.0117808219178</v>
      </c>
      <c r="V81" s="18" t="n">
        <v>488.9</v>
      </c>
      <c r="W81" s="10" t="n">
        <v>31.9542483660131</v>
      </c>
      <c r="X81" s="10" t="n">
        <v>33598.8</v>
      </c>
      <c r="AA81" s="10" t="n">
        <v>10.7654445867412</v>
      </c>
    </row>
    <row r="82" s="10" customFormat="true" ht="15" hidden="false" customHeight="false" outlineLevel="0" collapsed="false">
      <c r="A82" s="15"/>
      <c r="B82" s="16"/>
      <c r="C82" s="9" t="n">
        <v>41929</v>
      </c>
      <c r="D82" s="10" t="n">
        <v>15.2</v>
      </c>
      <c r="E82" s="10" t="n">
        <v>13.3</v>
      </c>
      <c r="F82" s="10" t="n">
        <v>17.9</v>
      </c>
      <c r="G82" s="10" t="n">
        <v>583.9</v>
      </c>
      <c r="J82" s="10" t="n">
        <v>0.1</v>
      </c>
      <c r="K82" s="10" t="n">
        <v>82.1</v>
      </c>
      <c r="L82" s="10" t="n">
        <v>0.9</v>
      </c>
      <c r="M82" s="10" t="n">
        <v>76.4</v>
      </c>
      <c r="N82" s="11" t="n">
        <v>-0.8</v>
      </c>
      <c r="O82" s="10" t="n">
        <f aca="false">O81+N82</f>
        <v>32.7</v>
      </c>
      <c r="P82" s="10" t="n">
        <v>38</v>
      </c>
      <c r="Q82" s="10" t="n">
        <f aca="false">0.35+((P82-8)/73)*(1-0.35)</f>
        <v>0.617123287671233</v>
      </c>
      <c r="R82" s="13" t="n">
        <f aca="false">Q82*L82</f>
        <v>0.55541095890411</v>
      </c>
      <c r="S82" s="13" t="n">
        <f aca="false">J82-R82</f>
        <v>-0.45541095890411</v>
      </c>
      <c r="T82" s="13" t="n">
        <f aca="false">MIN(153.6,(T81+S82))</f>
        <v>75.5563698630137</v>
      </c>
      <c r="V82" s="18" t="n">
        <v>378.5</v>
      </c>
      <c r="W82" s="10" t="n">
        <v>24.9013157894737</v>
      </c>
      <c r="X82" s="10" t="n">
        <v>33977.3</v>
      </c>
      <c r="AA82" s="10" t="n">
        <v>10.7033188298807</v>
      </c>
    </row>
    <row r="83" s="10" customFormat="true" ht="15" hidden="false" customHeight="false" outlineLevel="0" collapsed="false">
      <c r="A83" s="15"/>
      <c r="B83" s="16"/>
      <c r="C83" s="9" t="n">
        <v>41930</v>
      </c>
      <c r="D83" s="10" t="n">
        <v>18.1</v>
      </c>
      <c r="E83" s="10" t="n">
        <v>14.6</v>
      </c>
      <c r="F83" s="10" t="n">
        <v>21.7</v>
      </c>
      <c r="G83" s="10" t="n">
        <v>602</v>
      </c>
      <c r="J83" s="10" t="n">
        <v>0</v>
      </c>
      <c r="K83" s="10" t="n">
        <v>82.1</v>
      </c>
      <c r="L83" s="10" t="n">
        <v>1.7</v>
      </c>
      <c r="M83" s="10" t="n">
        <v>78.1</v>
      </c>
      <c r="N83" s="11" t="n">
        <v>-1.7</v>
      </c>
      <c r="O83" s="10" t="n">
        <f aca="false">O82+N83</f>
        <v>31</v>
      </c>
      <c r="P83" s="10" t="n">
        <v>39</v>
      </c>
      <c r="Q83" s="10" t="n">
        <f aca="false">0.35+((P83-8)/73)*(1-0.35)</f>
        <v>0.626027397260274</v>
      </c>
      <c r="R83" s="13" t="n">
        <f aca="false">Q83*L83</f>
        <v>1.06424657534247</v>
      </c>
      <c r="S83" s="13" t="n">
        <f aca="false">J83-R83</f>
        <v>-1.06424657534247</v>
      </c>
      <c r="T83" s="13" t="n">
        <f aca="false">MIN(153.6,(T82+S83))</f>
        <v>74.4921232876712</v>
      </c>
      <c r="V83" s="10" t="n">
        <v>914.9</v>
      </c>
      <c r="W83" s="10" t="n">
        <v>50.5469613259669</v>
      </c>
      <c r="X83" s="10" t="n">
        <v>34892.2</v>
      </c>
      <c r="AA83" s="10" t="n">
        <v>10.6413471648317</v>
      </c>
    </row>
    <row r="84" s="10" customFormat="true" ht="15" hidden="false" customHeight="false" outlineLevel="0" collapsed="false">
      <c r="A84" s="15"/>
      <c r="B84" s="16"/>
      <c r="C84" s="9" t="n">
        <v>41931</v>
      </c>
      <c r="D84" s="10" t="n">
        <v>17.2</v>
      </c>
      <c r="E84" s="10" t="n">
        <v>15.7</v>
      </c>
      <c r="F84" s="10" t="n">
        <v>21.8</v>
      </c>
      <c r="G84" s="10" t="n">
        <v>619.2</v>
      </c>
      <c r="J84" s="10" t="n">
        <v>0</v>
      </c>
      <c r="K84" s="10" t="n">
        <v>82.1</v>
      </c>
      <c r="L84" s="10" t="n">
        <v>2.5</v>
      </c>
      <c r="M84" s="10" t="n">
        <v>80.6</v>
      </c>
      <c r="N84" s="11" t="n">
        <v>-2.5</v>
      </c>
      <c r="O84" s="10" t="n">
        <f aca="false">O83+N84</f>
        <v>28.5</v>
      </c>
      <c r="P84" s="10" t="n">
        <v>40</v>
      </c>
      <c r="Q84" s="10" t="n">
        <f aca="false">0.35+((P84-8)/73)*(1-0.35)</f>
        <v>0.634931506849315</v>
      </c>
      <c r="R84" s="13" t="n">
        <f aca="false">Q84*L84</f>
        <v>1.58732876712329</v>
      </c>
      <c r="S84" s="13" t="n">
        <f aca="false">J84-R84</f>
        <v>-1.58732876712329</v>
      </c>
      <c r="T84" s="13" t="n">
        <f aca="false">MIN(153.6,(T83+S84))</f>
        <v>72.9047945205479</v>
      </c>
      <c r="V84" s="10" t="n">
        <v>945.7</v>
      </c>
      <c r="W84" s="10" t="n">
        <v>54.9825581395349</v>
      </c>
      <c r="X84" s="10" t="n">
        <v>35837.9</v>
      </c>
      <c r="AA84" s="10" t="n">
        <v>10.5795409658507</v>
      </c>
    </row>
    <row r="85" s="10" customFormat="true" ht="15" hidden="false" customHeight="false" outlineLevel="0" collapsed="false">
      <c r="A85" s="15"/>
      <c r="B85" s="16"/>
      <c r="C85" s="9" t="n">
        <v>41932</v>
      </c>
      <c r="D85" s="10" t="n">
        <v>14.4</v>
      </c>
      <c r="E85" s="10" t="n">
        <v>12.2</v>
      </c>
      <c r="F85" s="10" t="n">
        <v>17.7</v>
      </c>
      <c r="G85" s="10" t="n">
        <v>633.6</v>
      </c>
      <c r="J85" s="10" t="n">
        <v>0.1</v>
      </c>
      <c r="K85" s="10" t="n">
        <v>82.2</v>
      </c>
      <c r="L85" s="10" t="n">
        <v>2.1</v>
      </c>
      <c r="M85" s="10" t="n">
        <v>82.7</v>
      </c>
      <c r="N85" s="11" t="n">
        <v>-2</v>
      </c>
      <c r="O85" s="10" t="n">
        <f aca="false">O84+N85</f>
        <v>26.5</v>
      </c>
      <c r="P85" s="10" t="n">
        <v>41</v>
      </c>
      <c r="Q85" s="10" t="n">
        <f aca="false">0.35+((P85-8)/73)*(1-0.35)</f>
        <v>0.643835616438356</v>
      </c>
      <c r="R85" s="13" t="n">
        <f aca="false">Q85*L85</f>
        <v>1.35205479452055</v>
      </c>
      <c r="S85" s="13" t="n">
        <f aca="false">J85-R85</f>
        <v>-1.25205479452055</v>
      </c>
      <c r="T85" s="13" t="n">
        <f aca="false">MIN(153.6,(T84+S85))</f>
        <v>71.6527397260274</v>
      </c>
      <c r="V85" s="18" t="n">
        <v>780.6</v>
      </c>
      <c r="W85" s="10" t="n">
        <v>54.2083333333333</v>
      </c>
      <c r="X85" s="10" t="n">
        <v>36618.5</v>
      </c>
      <c r="AA85" s="10" t="n">
        <v>10.5179121213524</v>
      </c>
    </row>
    <row r="86" s="10" customFormat="true" ht="15" hidden="false" customHeight="false" outlineLevel="0" collapsed="false">
      <c r="A86" s="15"/>
      <c r="B86" s="16"/>
      <c r="C86" s="9" t="n">
        <v>41933</v>
      </c>
      <c r="D86" s="10" t="n">
        <v>12</v>
      </c>
      <c r="E86" s="10" t="n">
        <v>10.8</v>
      </c>
      <c r="F86" s="10" t="n">
        <v>14.5</v>
      </c>
      <c r="G86" s="10" t="n">
        <v>645.6</v>
      </c>
      <c r="J86" s="10" t="n">
        <v>3.7</v>
      </c>
      <c r="K86" s="10" t="n">
        <v>85.9</v>
      </c>
      <c r="L86" s="10" t="n">
        <v>1.9</v>
      </c>
      <c r="M86" s="10" t="n">
        <v>84.6</v>
      </c>
      <c r="N86" s="10" t="n">
        <v>1.8</v>
      </c>
      <c r="O86" s="10" t="n">
        <f aca="false">O85+N86</f>
        <v>28.3</v>
      </c>
      <c r="P86" s="10" t="n">
        <v>42</v>
      </c>
      <c r="Q86" s="10" t="n">
        <f aca="false">0.35+((P86-8)/73)*(1-0.35)</f>
        <v>0.652739726027397</v>
      </c>
      <c r="R86" s="13" t="n">
        <f aca="false">Q86*L86</f>
        <v>1.24020547945205</v>
      </c>
      <c r="S86" s="13" t="n">
        <f aca="false">J86-R86</f>
        <v>2.45979452054795</v>
      </c>
      <c r="T86" s="13" t="n">
        <f aca="false">MIN(153.6,(T85+S86))</f>
        <v>74.1125342465753</v>
      </c>
      <c r="V86" s="18" t="n">
        <v>382.9</v>
      </c>
      <c r="W86" s="10" t="n">
        <v>31.9083333333333</v>
      </c>
      <c r="X86" s="10" t="n">
        <v>37001.4</v>
      </c>
      <c r="AA86" s="10" t="n">
        <v>10.4564730548477</v>
      </c>
    </row>
    <row r="87" s="10" customFormat="true" ht="15" hidden="false" customHeight="false" outlineLevel="0" collapsed="false">
      <c r="A87" s="15"/>
      <c r="B87" s="16"/>
      <c r="C87" s="9" t="n">
        <v>41934</v>
      </c>
      <c r="D87" s="10" t="n">
        <v>9.7</v>
      </c>
      <c r="E87" s="10" t="n">
        <v>7.6</v>
      </c>
      <c r="F87" s="10" t="n">
        <v>11.3</v>
      </c>
      <c r="G87" s="10" t="n">
        <v>655.3</v>
      </c>
      <c r="J87" s="10" t="n">
        <v>0.3</v>
      </c>
      <c r="K87" s="10" t="n">
        <v>86.2</v>
      </c>
      <c r="L87" s="10" t="n">
        <v>1.5</v>
      </c>
      <c r="M87" s="10" t="n">
        <v>86.1</v>
      </c>
      <c r="N87" s="11" t="n">
        <v>-1.2</v>
      </c>
      <c r="O87" s="10" t="n">
        <f aca="false">O86+N87</f>
        <v>27.1</v>
      </c>
      <c r="P87" s="10" t="n">
        <v>43</v>
      </c>
      <c r="Q87" s="10" t="n">
        <f aca="false">0.35+((P87-8)/73)*(1-0.35)</f>
        <v>0.661643835616438</v>
      </c>
      <c r="R87" s="13" t="n">
        <f aca="false">Q87*L87</f>
        <v>0.992465753424657</v>
      </c>
      <c r="S87" s="13" t="n">
        <f aca="false">J87-R87</f>
        <v>-0.692465753424657</v>
      </c>
      <c r="T87" s="13" t="n">
        <f aca="false">MIN(153.6,(T86+S87))</f>
        <v>73.4200684931507</v>
      </c>
      <c r="V87" s="18" t="n">
        <v>602.1</v>
      </c>
      <c r="W87" s="10" t="n">
        <v>62.0721649484536</v>
      </c>
      <c r="X87" s="10" t="n">
        <v>37603.5</v>
      </c>
      <c r="AA87" s="10" t="n">
        <v>10.3952367456766</v>
      </c>
    </row>
    <row r="88" s="10" customFormat="true" ht="15" hidden="false" customHeight="false" outlineLevel="0" collapsed="false">
      <c r="A88" s="15"/>
      <c r="B88" s="16"/>
      <c r="C88" s="9" t="n">
        <v>41935</v>
      </c>
      <c r="D88" s="10" t="n">
        <v>12.1</v>
      </c>
      <c r="E88" s="10" t="n">
        <v>10.2</v>
      </c>
      <c r="F88" s="10" t="n">
        <v>13.9</v>
      </c>
      <c r="G88" s="10" t="n">
        <v>667.4</v>
      </c>
      <c r="J88" s="10" t="n">
        <v>0.2</v>
      </c>
      <c r="K88" s="10" t="n">
        <v>86.4</v>
      </c>
      <c r="L88" s="10" t="n">
        <v>1.1</v>
      </c>
      <c r="M88" s="10" t="n">
        <v>87.2</v>
      </c>
      <c r="N88" s="11" t="n">
        <v>-0.9</v>
      </c>
      <c r="O88" s="10" t="n">
        <f aca="false">O87+N88</f>
        <v>26.2</v>
      </c>
      <c r="P88" s="10" t="n">
        <v>44</v>
      </c>
      <c r="Q88" s="10" t="n">
        <f aca="false">0.35+((P88-8)/73)*(1-0.35)</f>
        <v>0.670547945205479</v>
      </c>
      <c r="R88" s="13" t="n">
        <f aca="false">Q88*L88</f>
        <v>0.737602739726027</v>
      </c>
      <c r="S88" s="13" t="n">
        <f aca="false">J88-R88</f>
        <v>-0.537602739726028</v>
      </c>
      <c r="T88" s="13" t="n">
        <f aca="false">MIN(153.6,(T87+S88))</f>
        <v>72.8824657534247</v>
      </c>
      <c r="V88" s="18" t="n">
        <v>217.1</v>
      </c>
      <c r="W88" s="10" t="n">
        <v>17.9421487603306</v>
      </c>
      <c r="X88" s="10" t="n">
        <v>37820.6</v>
      </c>
      <c r="AA88" s="10" t="n">
        <v>10.3342167494721</v>
      </c>
    </row>
    <row r="89" s="10" customFormat="true" ht="15" hidden="false" customHeight="false" outlineLevel="0" collapsed="false">
      <c r="A89" s="15"/>
      <c r="B89" s="16"/>
      <c r="C89" s="9" t="n">
        <v>41936</v>
      </c>
      <c r="D89" s="10" t="n">
        <v>12</v>
      </c>
      <c r="E89" s="10" t="n">
        <v>11.5</v>
      </c>
      <c r="F89" s="10" t="n">
        <v>12.6</v>
      </c>
      <c r="G89" s="10" t="n">
        <v>679.4</v>
      </c>
      <c r="J89" s="10" t="n">
        <v>3.3</v>
      </c>
      <c r="K89" s="10" t="n">
        <v>89.7</v>
      </c>
      <c r="L89" s="10" t="n">
        <v>0.6</v>
      </c>
      <c r="M89" s="10" t="n">
        <v>87.8</v>
      </c>
      <c r="N89" s="10" t="n">
        <v>2.7</v>
      </c>
      <c r="O89" s="10" t="n">
        <f aca="false">O88+N89</f>
        <v>28.9</v>
      </c>
      <c r="P89" s="10" t="n">
        <v>45</v>
      </c>
      <c r="Q89" s="10" t="n">
        <f aca="false">0.35+((P89-8)/73)*(1-0.35)</f>
        <v>0.679452054794521</v>
      </c>
      <c r="R89" s="13" t="n">
        <f aca="false">Q89*L89</f>
        <v>0.407671232876712</v>
      </c>
      <c r="S89" s="13" t="n">
        <f aca="false">J89-R89</f>
        <v>2.89232876712329</v>
      </c>
      <c r="T89" s="13" t="n">
        <f aca="false">MIN(153.6,(T88+S89))</f>
        <v>75.7747945205479</v>
      </c>
      <c r="V89" s="18" t="n">
        <v>129.4</v>
      </c>
      <c r="W89" s="10" t="n">
        <v>10.7833333333333</v>
      </c>
      <c r="X89" s="10" t="n">
        <v>37950</v>
      </c>
      <c r="AA89" s="10" t="n">
        <v>10.273427218281</v>
      </c>
    </row>
    <row r="90" s="10" customFormat="true" ht="15" hidden="false" customHeight="false" outlineLevel="0" collapsed="false">
      <c r="A90" s="15"/>
      <c r="B90" s="16"/>
      <c r="C90" s="9" t="n">
        <v>41937</v>
      </c>
      <c r="D90" s="10" t="n">
        <v>13.4</v>
      </c>
      <c r="E90" s="10" t="n">
        <v>12</v>
      </c>
      <c r="F90" s="10" t="n">
        <v>15.3</v>
      </c>
      <c r="G90" s="10" t="n">
        <v>692.8</v>
      </c>
      <c r="J90" s="10" t="n">
        <v>0</v>
      </c>
      <c r="K90" s="10" t="n">
        <v>89.7</v>
      </c>
      <c r="L90" s="10" t="n">
        <v>1.9</v>
      </c>
      <c r="M90" s="10" t="n">
        <v>89.7</v>
      </c>
      <c r="N90" s="11" t="n">
        <v>-1.9</v>
      </c>
      <c r="O90" s="10" t="n">
        <f aca="false">O89+N90</f>
        <v>27</v>
      </c>
      <c r="P90" s="10" t="n">
        <v>46</v>
      </c>
      <c r="Q90" s="10" t="n">
        <f aca="false">0.35+((P90-8)/73)*(1-0.35)</f>
        <v>0.688356164383562</v>
      </c>
      <c r="R90" s="13" t="n">
        <f aca="false">Q90*L90</f>
        <v>1.30787671232877</v>
      </c>
      <c r="S90" s="13" t="n">
        <f aca="false">J90-R90</f>
        <v>-1.30787671232877</v>
      </c>
      <c r="T90" s="13" t="n">
        <f aca="false">MIN(153.6,(T89+S90))</f>
        <v>74.4669178082192</v>
      </c>
      <c r="V90" s="18" t="n">
        <v>740.3</v>
      </c>
      <c r="W90" s="10" t="n">
        <v>55.2462686567164</v>
      </c>
      <c r="X90" s="10" t="n">
        <v>38690.3</v>
      </c>
      <c r="AA90" s="10" t="n">
        <v>10.2128829202618</v>
      </c>
    </row>
    <row r="91" s="10" customFormat="true" ht="15" hidden="false" customHeight="false" outlineLevel="0" collapsed="false">
      <c r="A91" s="15"/>
      <c r="B91" s="16"/>
      <c r="C91" s="9" t="n">
        <v>41938</v>
      </c>
      <c r="D91" s="10" t="n">
        <v>13.3</v>
      </c>
      <c r="E91" s="10" t="n">
        <v>11.2</v>
      </c>
      <c r="F91" s="10" t="n">
        <v>15.7</v>
      </c>
      <c r="G91" s="10" t="n">
        <v>706.1</v>
      </c>
      <c r="J91" s="10" t="n">
        <v>0</v>
      </c>
      <c r="K91" s="10" t="n">
        <v>89.7</v>
      </c>
      <c r="L91" s="10" t="n">
        <v>1.5</v>
      </c>
      <c r="M91" s="10" t="n">
        <v>91.2</v>
      </c>
      <c r="N91" s="11" t="n">
        <v>-1.5</v>
      </c>
      <c r="O91" s="10" t="n">
        <f aca="false">O90+N91</f>
        <v>25.5</v>
      </c>
      <c r="P91" s="10" t="n">
        <v>47</v>
      </c>
      <c r="Q91" s="10" t="n">
        <f aca="false">0.35+((P91-8)/73)*(1-0.35)</f>
        <v>0.697260273972603</v>
      </c>
      <c r="R91" s="13" t="n">
        <f aca="false">Q91*L91</f>
        <v>1.0458904109589</v>
      </c>
      <c r="S91" s="13" t="n">
        <f aca="false">J91-R91</f>
        <v>-1.0458904109589</v>
      </c>
      <c r="T91" s="13" t="n">
        <f aca="false">MIN(153.6,(T90+S91))</f>
        <v>73.4210273972603</v>
      </c>
      <c r="V91" s="18" t="n">
        <v>476.7</v>
      </c>
      <c r="W91" s="10" t="n">
        <v>35.8421052631579</v>
      </c>
      <c r="X91" s="10" t="n">
        <v>39167</v>
      </c>
      <c r="AA91" s="10" t="n">
        <v>10.152599258871</v>
      </c>
    </row>
    <row r="92" s="10" customFormat="true" ht="15" hidden="false" customHeight="false" outlineLevel="0" collapsed="false">
      <c r="A92" s="15"/>
      <c r="B92" s="16"/>
      <c r="C92" s="9" t="n">
        <v>41939</v>
      </c>
      <c r="D92" s="10" t="n">
        <v>12</v>
      </c>
      <c r="E92" s="10" t="n">
        <v>8.5</v>
      </c>
      <c r="F92" s="10" t="n">
        <v>14.3</v>
      </c>
      <c r="G92" s="10" t="n">
        <v>718.1</v>
      </c>
      <c r="J92" s="10" t="n">
        <v>0</v>
      </c>
      <c r="K92" s="10" t="n">
        <v>89.7</v>
      </c>
      <c r="L92" s="10" t="n">
        <v>0.9</v>
      </c>
      <c r="M92" s="10" t="n">
        <v>92.1</v>
      </c>
      <c r="N92" s="11" t="n">
        <v>-0.9</v>
      </c>
      <c r="O92" s="10" t="n">
        <f aca="false">O91+N92</f>
        <v>24.6</v>
      </c>
      <c r="P92" s="10" t="n">
        <v>48</v>
      </c>
      <c r="Q92" s="10" t="n">
        <f aca="false">0.35+((P92-8)/73)*(1-0.35)</f>
        <v>0.706164383561644</v>
      </c>
      <c r="R92" s="13" t="n">
        <f aca="false">Q92*L92</f>
        <v>0.635547945205479</v>
      </c>
      <c r="S92" s="13" t="n">
        <f aca="false">J92-R92</f>
        <v>-0.635547945205479</v>
      </c>
      <c r="T92" s="13" t="n">
        <f aca="false">MIN(153.6,(T91+S92))</f>
        <v>72.7854794520548</v>
      </c>
      <c r="V92" s="18" t="n">
        <v>610.4</v>
      </c>
      <c r="W92" s="10" t="n">
        <v>50.8666666666667</v>
      </c>
      <c r="X92" s="10" t="n">
        <v>39777.4</v>
      </c>
      <c r="AA92" s="10" t="n">
        <v>10.0925922914425</v>
      </c>
    </row>
    <row r="93" s="10" customFormat="true" ht="15" hidden="false" customHeight="false" outlineLevel="0" collapsed="false">
      <c r="A93" s="15"/>
      <c r="B93" s="16"/>
      <c r="C93" s="9" t="n">
        <v>41940</v>
      </c>
      <c r="D93" s="10" t="n">
        <v>10.3</v>
      </c>
      <c r="E93" s="10" t="n">
        <v>9.4</v>
      </c>
      <c r="F93" s="10" t="n">
        <v>10.9</v>
      </c>
      <c r="G93" s="10" t="n">
        <v>728.4</v>
      </c>
      <c r="J93" s="10" t="n">
        <v>0</v>
      </c>
      <c r="K93" s="10" t="n">
        <v>89.7</v>
      </c>
      <c r="L93" s="10" t="n">
        <v>0.5</v>
      </c>
      <c r="M93" s="10" t="n">
        <v>92.6</v>
      </c>
      <c r="N93" s="11" t="n">
        <v>-0.5</v>
      </c>
      <c r="O93" s="10" t="n">
        <f aca="false">O92+N93</f>
        <v>24.1</v>
      </c>
      <c r="P93" s="10" t="n">
        <v>49</v>
      </c>
      <c r="Q93" s="10" t="n">
        <f aca="false">0.35+((P93-8)/73)*(1-0.35)</f>
        <v>0.715068493150685</v>
      </c>
      <c r="R93" s="13" t="n">
        <f aca="false">Q93*L93</f>
        <v>0.357534246575343</v>
      </c>
      <c r="S93" s="13" t="n">
        <f aca="false">J93-R93</f>
        <v>-0.357534246575343</v>
      </c>
      <c r="T93" s="13" t="n">
        <f aca="false">MIN(153.6,(T92+S93))</f>
        <v>72.4279452054795</v>
      </c>
      <c r="V93" s="18" t="n">
        <v>223.8</v>
      </c>
      <c r="W93" s="10" t="n">
        <v>21.7281553398058</v>
      </c>
      <c r="X93" s="10" t="n">
        <v>40001.2</v>
      </c>
      <c r="AA93" s="10" t="n">
        <v>10.0328787470551</v>
      </c>
    </row>
    <row r="94" s="10" customFormat="true" ht="15" hidden="false" customHeight="false" outlineLevel="0" collapsed="false">
      <c r="A94" s="15"/>
      <c r="B94" s="16"/>
      <c r="C94" s="9" t="n">
        <v>41941</v>
      </c>
      <c r="D94" s="10" t="n">
        <v>11.7</v>
      </c>
      <c r="E94" s="10" t="n">
        <v>10.4</v>
      </c>
      <c r="F94" s="10" t="n">
        <v>13</v>
      </c>
      <c r="G94" s="10" t="n">
        <v>740.1</v>
      </c>
      <c r="J94" s="10" t="n">
        <v>4.4</v>
      </c>
      <c r="K94" s="10" t="n">
        <v>94.1</v>
      </c>
      <c r="L94" s="10" t="n">
        <v>0.4</v>
      </c>
      <c r="M94" s="10" t="n">
        <v>93</v>
      </c>
      <c r="N94" s="10" t="n">
        <v>4</v>
      </c>
      <c r="O94" s="10" t="n">
        <f aca="false">O93+N94</f>
        <v>28.1</v>
      </c>
      <c r="P94" s="10" t="n">
        <v>50</v>
      </c>
      <c r="Q94" s="10" t="n">
        <f aca="false">0.35+((P94-8)/73)*(1-0.35)</f>
        <v>0.723972602739726</v>
      </c>
      <c r="R94" s="13" t="n">
        <f aca="false">Q94*L94</f>
        <v>0.28958904109589</v>
      </c>
      <c r="S94" s="13" t="n">
        <f aca="false">J94-R94</f>
        <v>4.11041095890411</v>
      </c>
      <c r="T94" s="13" t="n">
        <f aca="false">MIN(153.6,(T93+S94))</f>
        <v>76.5383561643836</v>
      </c>
      <c r="V94" s="18" t="n">
        <v>115.1</v>
      </c>
      <c r="W94" s="10" t="n">
        <v>9.83760683760684</v>
      </c>
      <c r="X94" s="10" t="n">
        <v>40116.3</v>
      </c>
      <c r="AA94" s="10" t="n">
        <v>9.97347604357522</v>
      </c>
    </row>
    <row r="95" s="10" customFormat="true" ht="15" hidden="false" customHeight="false" outlineLevel="0" collapsed="false">
      <c r="A95" s="15"/>
      <c r="B95" s="16"/>
      <c r="C95" s="9" t="n">
        <v>41942</v>
      </c>
      <c r="D95" s="10" t="n">
        <v>13.5</v>
      </c>
      <c r="E95" s="10" t="n">
        <v>11</v>
      </c>
      <c r="F95" s="10" t="n">
        <v>16.7</v>
      </c>
      <c r="G95" s="10" t="n">
        <v>753.6</v>
      </c>
      <c r="J95" s="10" t="n">
        <v>0.3</v>
      </c>
      <c r="K95" s="10" t="n">
        <v>94.4</v>
      </c>
      <c r="L95" s="10" t="n">
        <v>0.6</v>
      </c>
      <c r="M95" s="10" t="n">
        <v>93.6</v>
      </c>
      <c r="N95" s="11" t="n">
        <v>-0.3</v>
      </c>
      <c r="O95" s="10" t="n">
        <f aca="false">O94+N95</f>
        <v>27.8</v>
      </c>
      <c r="P95" s="10" t="n">
        <v>51</v>
      </c>
      <c r="Q95" s="10" t="n">
        <f aca="false">0.35+((P95-8)/73)*(1-0.35)</f>
        <v>0.732876712328767</v>
      </c>
      <c r="R95" s="13" t="n">
        <f aca="false">Q95*L95</f>
        <v>0.43972602739726</v>
      </c>
      <c r="S95" s="13" t="n">
        <f aca="false">J95-R95</f>
        <v>-0.13972602739726</v>
      </c>
      <c r="T95" s="13" t="n">
        <f aca="false">MIN(153.6,(T94+S95))</f>
        <v>76.3986301369863</v>
      </c>
      <c r="V95" s="18" t="n">
        <v>251.7</v>
      </c>
      <c r="W95" s="10" t="n">
        <v>18.6444444444444</v>
      </c>
      <c r="X95" s="10" t="n">
        <v>40368</v>
      </c>
      <c r="AA95" s="10" t="n">
        <v>9.91440230375336</v>
      </c>
    </row>
    <row r="96" s="10" customFormat="true" ht="15" hidden="false" customHeight="false" outlineLevel="0" collapsed="false">
      <c r="A96" s="15"/>
      <c r="B96" s="16"/>
      <c r="C96" s="9" t="n">
        <v>41943</v>
      </c>
      <c r="D96" s="10" t="n">
        <v>14.5</v>
      </c>
      <c r="E96" s="10" t="n">
        <v>11.2</v>
      </c>
      <c r="F96" s="10" t="n">
        <v>18.6</v>
      </c>
      <c r="G96" s="10" t="n">
        <v>768.1</v>
      </c>
      <c r="J96" s="10" t="n">
        <v>0</v>
      </c>
      <c r="K96" s="10" t="n">
        <v>94.4</v>
      </c>
      <c r="L96" s="10" t="n">
        <v>1.3</v>
      </c>
      <c r="M96" s="10" t="n">
        <v>94.9</v>
      </c>
      <c r="N96" s="11" t="n">
        <v>-1.3</v>
      </c>
      <c r="O96" s="10" t="n">
        <f aca="false">O95+N96</f>
        <v>26.5</v>
      </c>
      <c r="P96" s="10" t="n">
        <v>52</v>
      </c>
      <c r="Q96" s="10" t="n">
        <f aca="false">0.35+((P96-8)/73)*(1-0.35)</f>
        <v>0.741780821917808</v>
      </c>
      <c r="R96" s="13" t="n">
        <f aca="false">Q96*L96</f>
        <v>0.964315068493151</v>
      </c>
      <c r="S96" s="13" t="n">
        <f aca="false">J96-R96</f>
        <v>-0.964315068493151</v>
      </c>
      <c r="T96" s="13" t="n">
        <f aca="false">MIN(153.6,(T95+S96))</f>
        <v>75.4343150684932</v>
      </c>
      <c r="V96" s="18" t="n">
        <v>803.1</v>
      </c>
      <c r="W96" s="10" t="n">
        <v>55.3862068965517</v>
      </c>
      <c r="X96" s="10" t="n">
        <v>41171.1</v>
      </c>
      <c r="AA96" s="10" t="n">
        <v>9.85567637024358</v>
      </c>
    </row>
    <row r="97" s="10" customFormat="true" ht="15" hidden="false" customHeight="false" outlineLevel="0" collapsed="false">
      <c r="A97" s="15"/>
      <c r="B97" s="16"/>
      <c r="C97" s="9" t="n">
        <v>41944</v>
      </c>
      <c r="D97" s="10" t="n">
        <v>15.2</v>
      </c>
      <c r="E97" s="10" t="n">
        <v>11.8</v>
      </c>
      <c r="F97" s="10" t="n">
        <v>19</v>
      </c>
      <c r="G97" s="10" t="n">
        <v>783.3</v>
      </c>
      <c r="J97" s="10" t="n">
        <v>0.1</v>
      </c>
      <c r="K97" s="10" t="n">
        <v>94.5</v>
      </c>
      <c r="L97" s="10" t="n">
        <v>1.6</v>
      </c>
      <c r="M97" s="10" t="n">
        <v>96.5</v>
      </c>
      <c r="N97" s="11" t="n">
        <v>-1.5</v>
      </c>
      <c r="O97" s="10" t="n">
        <f aca="false">O96+N97</f>
        <v>25</v>
      </c>
      <c r="P97" s="10" t="n">
        <v>53</v>
      </c>
      <c r="Q97" s="10" t="n">
        <f aca="false">0.35+((P97-8)/73)*(1-0.35)</f>
        <v>0.750684931506849</v>
      </c>
      <c r="R97" s="13" t="n">
        <f aca="false">Q97*L97</f>
        <v>1.20109589041096</v>
      </c>
      <c r="S97" s="13" t="n">
        <f aca="false">J97-R97</f>
        <v>-1.10109589041096</v>
      </c>
      <c r="T97" s="13" t="n">
        <f aca="false">MIN(153.6,(T96+S97))</f>
        <v>74.3332191780822</v>
      </c>
      <c r="V97" s="18" t="n">
        <v>865.3</v>
      </c>
      <c r="W97" s="10" t="n">
        <v>56.9276315789474</v>
      </c>
      <c r="X97" s="10" t="n">
        <v>42036.4</v>
      </c>
      <c r="AA97" s="10" t="n">
        <v>9.79731781940647</v>
      </c>
    </row>
    <row r="98" s="10" customFormat="true" ht="15" hidden="false" customHeight="false" outlineLevel="0" collapsed="false">
      <c r="A98" s="15"/>
      <c r="B98" s="16"/>
      <c r="C98" s="9" t="n">
        <v>41945</v>
      </c>
      <c r="D98" s="10" t="n">
        <v>13.9</v>
      </c>
      <c r="E98" s="10" t="n">
        <v>11.5</v>
      </c>
      <c r="F98" s="10" t="n">
        <v>15.8</v>
      </c>
      <c r="G98" s="10" t="n">
        <v>797.2</v>
      </c>
      <c r="J98" s="10" t="n">
        <v>8</v>
      </c>
      <c r="K98" s="10" t="n">
        <v>102.5</v>
      </c>
      <c r="L98" s="10" t="n">
        <v>1.4</v>
      </c>
      <c r="M98" s="10" t="n">
        <v>97.9</v>
      </c>
      <c r="N98" s="10" t="n">
        <v>6.6</v>
      </c>
      <c r="O98" s="10" t="n">
        <f aca="false">O97+N98</f>
        <v>31.6</v>
      </c>
      <c r="P98" s="10" t="n">
        <v>54</v>
      </c>
      <c r="Q98" s="10" t="n">
        <f aca="false">0.35+((P98-8)/73)*(1-0.35)</f>
        <v>0.75958904109589</v>
      </c>
      <c r="R98" s="13" t="n">
        <f aca="false">Q98*L98</f>
        <v>1.06342465753425</v>
      </c>
      <c r="S98" s="13" t="n">
        <f aca="false">J98-R98</f>
        <v>6.93657534246575</v>
      </c>
      <c r="T98" s="13" t="n">
        <f aca="false">MIN(153.6,(T97+S98))</f>
        <v>81.269794520548</v>
      </c>
      <c r="V98" s="18" t="n">
        <v>464.7</v>
      </c>
      <c r="W98" s="10" t="n">
        <v>33.431654676259</v>
      </c>
      <c r="X98" s="10" t="n">
        <v>42501.1</v>
      </c>
      <c r="AA98" s="10" t="n">
        <v>9.73934697374707</v>
      </c>
    </row>
    <row r="99" s="10" customFormat="true" ht="15" hidden="false" customHeight="false" outlineLevel="0" collapsed="false">
      <c r="A99" s="15"/>
      <c r="B99" s="16"/>
      <c r="C99" s="9" t="n">
        <v>41946</v>
      </c>
      <c r="D99" s="10" t="n">
        <v>12.3</v>
      </c>
      <c r="E99" s="10" t="n">
        <v>11.3</v>
      </c>
      <c r="F99" s="10" t="n">
        <v>14.5</v>
      </c>
      <c r="G99" s="10" t="n">
        <v>809.5</v>
      </c>
      <c r="J99" s="10" t="n">
        <v>13.8</v>
      </c>
      <c r="K99" s="10" t="n">
        <v>116.3</v>
      </c>
      <c r="L99" s="10" t="n">
        <v>1.5</v>
      </c>
      <c r="M99" s="10" t="n">
        <v>99.4</v>
      </c>
      <c r="N99" s="10" t="n">
        <v>12.3</v>
      </c>
      <c r="O99" s="10" t="n">
        <f aca="false">O98+N99</f>
        <v>43.9</v>
      </c>
      <c r="P99" s="10" t="n">
        <v>55</v>
      </c>
      <c r="Q99" s="10" t="n">
        <f aca="false">0.35+((P99-8)/73)*(1-0.35)</f>
        <v>0.768493150684932</v>
      </c>
      <c r="R99" s="13" t="n">
        <f aca="false">Q99*L99</f>
        <v>1.1527397260274</v>
      </c>
      <c r="S99" s="13" t="n">
        <f aca="false">J99-R99</f>
        <v>12.6472602739726</v>
      </c>
      <c r="T99" s="13" t="n">
        <f aca="false">MIN(153.6,(T98+S99))</f>
        <v>93.9170547945206</v>
      </c>
      <c r="V99" s="18" t="n">
        <v>168.2</v>
      </c>
      <c r="W99" s="10" t="n">
        <v>13.6747967479675</v>
      </c>
      <c r="X99" s="10" t="n">
        <v>42669.3</v>
      </c>
      <c r="AA99" s="10" t="n">
        <v>9.68178491283044</v>
      </c>
    </row>
    <row r="100" s="10" customFormat="true" ht="15" hidden="false" customHeight="false" outlineLevel="0" collapsed="false">
      <c r="A100" s="15"/>
      <c r="B100" s="16"/>
      <c r="C100" s="9" t="n">
        <v>41947</v>
      </c>
      <c r="D100" s="10" t="n">
        <v>8.3</v>
      </c>
      <c r="E100" s="10" t="n">
        <v>7.3</v>
      </c>
      <c r="F100" s="10" t="n">
        <v>10</v>
      </c>
      <c r="G100" s="10" t="n">
        <v>817.8</v>
      </c>
      <c r="J100" s="10" t="n">
        <v>0.2</v>
      </c>
      <c r="K100" s="10" t="n">
        <v>116.5</v>
      </c>
      <c r="L100" s="10" t="n">
        <v>0.7</v>
      </c>
      <c r="M100" s="10" t="n">
        <v>100.1</v>
      </c>
      <c r="N100" s="11" t="n">
        <v>-0.5</v>
      </c>
      <c r="O100" s="10" t="n">
        <f aca="false">O99+N100</f>
        <v>43.4</v>
      </c>
      <c r="P100" s="10" t="n">
        <v>56</v>
      </c>
      <c r="Q100" s="10" t="n">
        <f aca="false">0.35+((P100-8)/73)*(1-0.35)</f>
        <v>0.777397260273973</v>
      </c>
      <c r="R100" s="13" t="n">
        <f aca="false">Q100*L100</f>
        <v>0.544178082191781</v>
      </c>
      <c r="S100" s="13" t="n">
        <f aca="false">J100-R100</f>
        <v>-0.344178082191781</v>
      </c>
      <c r="T100" s="13" t="n">
        <f aca="false">MIN(153.6,(T99+S100))</f>
        <v>93.5728767123288</v>
      </c>
      <c r="V100" s="18" t="n">
        <v>408.8</v>
      </c>
      <c r="W100" s="10" t="n">
        <v>49.2530120481928</v>
      </c>
      <c r="X100" s="10" t="n">
        <v>43078.1</v>
      </c>
      <c r="AA100" s="10" t="n">
        <v>9.62465348250865</v>
      </c>
    </row>
    <row r="101" s="10" customFormat="true" ht="15" hidden="false" customHeight="false" outlineLevel="0" collapsed="false">
      <c r="A101" s="15"/>
      <c r="B101" s="16"/>
      <c r="C101" s="9" t="n">
        <v>41948</v>
      </c>
      <c r="D101" s="10" t="n">
        <v>6.6</v>
      </c>
      <c r="E101" s="21" t="n">
        <v>4.6</v>
      </c>
      <c r="F101" s="10" t="n">
        <v>8.6</v>
      </c>
      <c r="G101" s="10" t="n">
        <v>824.4</v>
      </c>
      <c r="J101" s="10" t="n">
        <v>1</v>
      </c>
      <c r="K101" s="10" t="n">
        <v>117.5</v>
      </c>
      <c r="L101" s="10" t="n">
        <v>0.5</v>
      </c>
      <c r="M101" s="10" t="n">
        <v>100.6</v>
      </c>
      <c r="N101" s="10" t="n">
        <v>0.5</v>
      </c>
      <c r="O101" s="10" t="n">
        <f aca="false">O100+N101</f>
        <v>43.9</v>
      </c>
      <c r="P101" s="10" t="n">
        <v>57</v>
      </c>
      <c r="Q101" s="10" t="n">
        <f aca="false">0.35+((P101-8)/73)*(1-0.35)</f>
        <v>0.786301369863014</v>
      </c>
      <c r="R101" s="13" t="n">
        <f aca="false">Q101*L101</f>
        <v>0.393150684931507</v>
      </c>
      <c r="S101" s="13" t="n">
        <f aca="false">J101-R101</f>
        <v>0.606849315068493</v>
      </c>
      <c r="T101" s="13" t="n">
        <f aca="false">MIN(153.6,(T100+S101))</f>
        <v>94.1797260273973</v>
      </c>
      <c r="V101" s="18" t="n">
        <v>236.3</v>
      </c>
      <c r="W101" s="10" t="n">
        <v>35.8030303030303</v>
      </c>
      <c r="X101" s="10" t="n">
        <v>43314.4</v>
      </c>
      <c r="AA101" s="10" t="n">
        <v>9.56797530228475</v>
      </c>
    </row>
    <row r="102" s="10" customFormat="true" ht="15" hidden="false" customHeight="false" outlineLevel="0" collapsed="false">
      <c r="A102" s="15"/>
      <c r="B102" s="16"/>
      <c r="C102" s="9" t="n">
        <v>41949</v>
      </c>
      <c r="D102" s="10" t="n">
        <v>7.9</v>
      </c>
      <c r="E102" s="10" t="n">
        <v>6.1</v>
      </c>
      <c r="F102" s="10" t="n">
        <v>11</v>
      </c>
      <c r="G102" s="10" t="n">
        <v>832.3</v>
      </c>
      <c r="J102" s="10" t="n">
        <v>0.2</v>
      </c>
      <c r="K102" s="10" t="n">
        <v>117.7</v>
      </c>
      <c r="L102" s="10" t="n">
        <v>1.4</v>
      </c>
      <c r="M102" s="10" t="n">
        <v>102</v>
      </c>
      <c r="N102" s="11" t="n">
        <v>-1.2</v>
      </c>
      <c r="O102" s="10" t="n">
        <f aca="false">O101+N102</f>
        <v>42.7</v>
      </c>
      <c r="P102" s="10" t="n">
        <v>58</v>
      </c>
      <c r="Q102" s="10" t="n">
        <f aca="false">0.35+((P102-8)/73)*(1-0.35)</f>
        <v>0.795205479452055</v>
      </c>
      <c r="R102" s="13" t="n">
        <f aca="false">Q102*L102</f>
        <v>1.11328767123288</v>
      </c>
      <c r="S102" s="13" t="n">
        <f aca="false">J102-R102</f>
        <v>-0.913287671232877</v>
      </c>
      <c r="T102" s="13" t="n">
        <f aca="false">MIN(153.6,(T101+S102))</f>
        <v>93.2664383561644</v>
      </c>
      <c r="V102" s="18" t="n">
        <v>569.9</v>
      </c>
      <c r="W102" s="10" t="n">
        <v>72.1392405063291</v>
      </c>
      <c r="X102" s="10" t="n">
        <v>43884.3</v>
      </c>
      <c r="AA102" s="10" t="n">
        <v>9.5117737706313</v>
      </c>
    </row>
    <row r="103" s="10" customFormat="true" ht="15" hidden="false" customHeight="false" outlineLevel="0" collapsed="false">
      <c r="A103" s="15"/>
      <c r="B103" s="16"/>
      <c r="C103" s="9" t="n">
        <v>41950</v>
      </c>
      <c r="D103" s="10" t="n">
        <v>9.2</v>
      </c>
      <c r="E103" s="10" t="n">
        <v>6.8</v>
      </c>
      <c r="F103" s="10" t="n">
        <v>11.1</v>
      </c>
      <c r="G103" s="10" t="n">
        <v>841.5</v>
      </c>
      <c r="J103" s="10" t="n">
        <v>2.7</v>
      </c>
      <c r="K103" s="10" t="n">
        <v>120.4</v>
      </c>
      <c r="L103" s="10" t="n">
        <v>1</v>
      </c>
      <c r="M103" s="10" t="n">
        <v>103</v>
      </c>
      <c r="N103" s="10" t="n">
        <v>1.7</v>
      </c>
      <c r="O103" s="10" t="n">
        <f aca="false">O102+N103</f>
        <v>44.4</v>
      </c>
      <c r="P103" s="10" t="n">
        <v>59</v>
      </c>
      <c r="Q103" s="10" t="n">
        <f aca="false">0.35+((P103-8)/73)*(1-0.35)</f>
        <v>0.804109589041096</v>
      </c>
      <c r="R103" s="13" t="n">
        <f aca="false">Q103*L103</f>
        <v>0.804109589041096</v>
      </c>
      <c r="S103" s="13" t="n">
        <f aca="false">J103-R103</f>
        <v>1.8958904109589</v>
      </c>
      <c r="T103" s="13" t="n">
        <f aca="false">MIN(153.6,(T102+S103))</f>
        <v>95.1623287671233</v>
      </c>
      <c r="V103" s="18" t="n">
        <v>139.7</v>
      </c>
      <c r="W103" s="10" t="n">
        <v>15.1847826086957</v>
      </c>
      <c r="X103" s="10" t="n">
        <v>44024</v>
      </c>
      <c r="AA103" s="10" t="n">
        <v>9.45607306807339</v>
      </c>
    </row>
    <row r="104" s="10" customFormat="true" ht="15" hidden="false" customHeight="false" outlineLevel="0" collapsed="false">
      <c r="A104" s="15"/>
      <c r="B104" s="16"/>
      <c r="C104" s="9" t="n">
        <v>41951</v>
      </c>
      <c r="D104" s="10" t="n">
        <v>10.1</v>
      </c>
      <c r="E104" s="10" t="n">
        <v>7.4</v>
      </c>
      <c r="F104" s="10" t="n">
        <v>11.7</v>
      </c>
      <c r="G104" s="10" t="n">
        <v>851.6</v>
      </c>
      <c r="J104" s="10" t="n">
        <v>0</v>
      </c>
      <c r="K104" s="10" t="n">
        <v>120.4</v>
      </c>
      <c r="L104" s="10" t="n">
        <v>0.9</v>
      </c>
      <c r="M104" s="10" t="n">
        <v>103.9</v>
      </c>
      <c r="N104" s="11" t="n">
        <v>-0.9</v>
      </c>
      <c r="O104" s="10" t="n">
        <f aca="false">O103+N104</f>
        <v>43.5</v>
      </c>
      <c r="P104" s="10" t="n">
        <v>60</v>
      </c>
      <c r="Q104" s="10" t="n">
        <f aca="false">0.35+((P104-8)/73)*(1-0.35)</f>
        <v>0.813013698630137</v>
      </c>
      <c r="R104" s="13" t="n">
        <f aca="false">Q104*L104</f>
        <v>0.731712328767123</v>
      </c>
      <c r="S104" s="13" t="n">
        <f aca="false">J104-R104</f>
        <v>-0.731712328767123</v>
      </c>
      <c r="T104" s="13" t="n">
        <f aca="false">MIN(153.6,(T103+S104))</f>
        <v>94.4306164383562</v>
      </c>
      <c r="V104" s="18" t="n">
        <v>487.3</v>
      </c>
      <c r="W104" s="10" t="n">
        <v>48.2475247524753</v>
      </c>
      <c r="X104" s="10" t="n">
        <v>44511.3</v>
      </c>
      <c r="AA104" s="10" t="n">
        <v>9.40089815783982</v>
      </c>
    </row>
    <row r="105" s="10" customFormat="true" ht="15" hidden="false" customHeight="false" outlineLevel="0" collapsed="false">
      <c r="A105" s="15"/>
      <c r="B105" s="16"/>
      <c r="C105" s="9" t="n">
        <v>41952</v>
      </c>
      <c r="D105" s="10" t="n">
        <v>9.9</v>
      </c>
      <c r="E105" s="10" t="n">
        <v>7.8</v>
      </c>
      <c r="F105" s="10" t="n">
        <v>11.9</v>
      </c>
      <c r="G105" s="10" t="n">
        <v>861.5</v>
      </c>
      <c r="J105" s="10" t="n">
        <v>0.1</v>
      </c>
      <c r="K105" s="10" t="n">
        <v>120.5</v>
      </c>
      <c r="L105" s="10" t="n">
        <v>0.9</v>
      </c>
      <c r="M105" s="10" t="n">
        <v>104.8</v>
      </c>
      <c r="N105" s="11" t="n">
        <v>-0.8</v>
      </c>
      <c r="O105" s="10" t="n">
        <f aca="false">O104+N105</f>
        <v>42.7</v>
      </c>
      <c r="P105" s="10" t="n">
        <v>61</v>
      </c>
      <c r="Q105" s="10" t="n">
        <f aca="false">0.35+((P105-8)/73)*(1-0.35)</f>
        <v>0.821917808219178</v>
      </c>
      <c r="R105" s="13" t="n">
        <f aca="false">Q105*L105</f>
        <v>0.73972602739726</v>
      </c>
      <c r="S105" s="13" t="n">
        <f aca="false">J105-R105</f>
        <v>-0.63972602739726</v>
      </c>
      <c r="T105" s="13" t="n">
        <f aca="false">MIN(153.6,(T104+S105))</f>
        <v>93.7908904109589</v>
      </c>
      <c r="V105" s="18" t="n">
        <v>421.6</v>
      </c>
      <c r="W105" s="10" t="n">
        <v>42.5858585858586</v>
      </c>
      <c r="X105" s="10" t="n">
        <v>44932.9</v>
      </c>
      <c r="AA105" s="10" t="n">
        <v>9.34627478387992</v>
      </c>
    </row>
    <row r="106" s="10" customFormat="true" ht="15" hidden="false" customHeight="false" outlineLevel="0" collapsed="false">
      <c r="A106" s="15"/>
      <c r="B106" s="16"/>
      <c r="C106" s="9" t="n">
        <v>41953</v>
      </c>
      <c r="D106" s="10" t="n">
        <v>8.6</v>
      </c>
      <c r="E106" s="10" t="n">
        <v>6</v>
      </c>
      <c r="F106" s="10" t="n">
        <v>11.7</v>
      </c>
      <c r="G106" s="10" t="n">
        <v>870.1</v>
      </c>
      <c r="J106" s="10" t="n">
        <v>0.1</v>
      </c>
      <c r="K106" s="10" t="n">
        <v>120.6</v>
      </c>
      <c r="L106" s="10" t="n">
        <v>1</v>
      </c>
      <c r="M106" s="10" t="n">
        <v>105.8</v>
      </c>
      <c r="N106" s="11" t="n">
        <v>-0.9</v>
      </c>
      <c r="O106" s="10" t="n">
        <f aca="false">O105+N106</f>
        <v>41.8</v>
      </c>
      <c r="P106" s="10" t="n">
        <v>62</v>
      </c>
      <c r="Q106" s="10" t="n">
        <f aca="false">0.35+((P106-8)/73)*(1-0.35)</f>
        <v>0.830821917808219</v>
      </c>
      <c r="R106" s="13" t="n">
        <f aca="false">Q106*L106</f>
        <v>0.830821917808219</v>
      </c>
      <c r="S106" s="13" t="n">
        <f aca="false">J106-R106</f>
        <v>-0.730821917808219</v>
      </c>
      <c r="T106" s="13" t="n">
        <f aca="false">MIN(153.6,(T105+S106))</f>
        <v>93.0600684931507</v>
      </c>
      <c r="V106" s="18" t="n">
        <v>636.2</v>
      </c>
      <c r="W106" s="10" t="n">
        <v>73.9767441860465</v>
      </c>
      <c r="X106" s="10" t="n">
        <v>45569.1</v>
      </c>
      <c r="AA106" s="10" t="n">
        <v>9.29222946603914</v>
      </c>
    </row>
    <row r="107" s="10" customFormat="true" ht="15" hidden="false" customHeight="false" outlineLevel="0" collapsed="false">
      <c r="A107" s="15"/>
      <c r="B107" s="16"/>
      <c r="C107" s="9" t="n">
        <v>41954</v>
      </c>
      <c r="D107" s="10" t="n">
        <v>9.7</v>
      </c>
      <c r="E107" s="21" t="n">
        <v>4.9</v>
      </c>
      <c r="F107" s="10" t="n">
        <v>13.5</v>
      </c>
      <c r="G107" s="10" t="n">
        <v>879.8</v>
      </c>
      <c r="J107" s="10" t="n">
        <v>0.3</v>
      </c>
      <c r="K107" s="10" t="n">
        <v>120.9</v>
      </c>
      <c r="L107" s="10" t="n">
        <v>0.8</v>
      </c>
      <c r="M107" s="10" t="n">
        <v>106.6</v>
      </c>
      <c r="N107" s="11" t="n">
        <v>-0.5</v>
      </c>
      <c r="O107" s="10" t="n">
        <f aca="false">O106+N107</f>
        <v>41.3</v>
      </c>
      <c r="P107" s="10" t="n">
        <v>63</v>
      </c>
      <c r="Q107" s="10" t="n">
        <f aca="false">0.35+((P107-8)/73)*(1-0.35)</f>
        <v>0.83972602739726</v>
      </c>
      <c r="R107" s="13" t="n">
        <f aca="false">Q107*L107</f>
        <v>0.671780821917808</v>
      </c>
      <c r="S107" s="13" t="n">
        <f aca="false">J107-R107</f>
        <v>-0.371780821917808</v>
      </c>
      <c r="T107" s="13" t="n">
        <f aca="false">MIN(153.6,(T106+S107))</f>
        <v>92.6882876712329</v>
      </c>
      <c r="V107" s="18" t="n">
        <v>612.9</v>
      </c>
      <c r="W107" s="10" t="n">
        <v>63.1855670103093</v>
      </c>
      <c r="X107" s="10" t="n">
        <v>46182</v>
      </c>
      <c r="AA107" s="10" t="n">
        <v>9.23878949218292</v>
      </c>
    </row>
    <row r="108" s="10" customFormat="true" ht="15" hidden="false" customHeight="false" outlineLevel="0" collapsed="false">
      <c r="A108" s="15"/>
      <c r="B108" s="16"/>
      <c r="C108" s="9" t="n">
        <v>41955</v>
      </c>
      <c r="D108" s="10" t="n">
        <v>10.4</v>
      </c>
      <c r="E108" s="10" t="n">
        <v>9.5</v>
      </c>
      <c r="F108" s="10" t="n">
        <v>13.1</v>
      </c>
      <c r="G108" s="10" t="n">
        <v>890.2</v>
      </c>
      <c r="J108" s="10" t="n">
        <v>0.2</v>
      </c>
      <c r="K108" s="10" t="n">
        <v>121.1</v>
      </c>
      <c r="L108" s="10" t="n">
        <v>1.2</v>
      </c>
      <c r="M108" s="10" t="n">
        <v>107.8</v>
      </c>
      <c r="N108" s="11" t="n">
        <v>-1</v>
      </c>
      <c r="O108" s="10" t="n">
        <f aca="false">O107+N108</f>
        <v>40.3</v>
      </c>
      <c r="P108" s="10" t="n">
        <v>64</v>
      </c>
      <c r="Q108" s="10" t="n">
        <f aca="false">0.35+((P108-8)/73)*(1-0.35)</f>
        <v>0.848630136986301</v>
      </c>
      <c r="R108" s="13" t="n">
        <f aca="false">Q108*L108</f>
        <v>1.01835616438356</v>
      </c>
      <c r="S108" s="13" t="n">
        <f aca="false">J108-R108</f>
        <v>-0.818356164383562</v>
      </c>
      <c r="T108" s="13" t="n">
        <f aca="false">MIN(153.6,(T107+S108))</f>
        <v>91.8699315068493</v>
      </c>
      <c r="V108" s="18" t="n">
        <v>418.5</v>
      </c>
      <c r="W108" s="10" t="n">
        <v>40.2403846153846</v>
      </c>
      <c r="X108" s="10" t="n">
        <v>46600.5</v>
      </c>
      <c r="AA108" s="10" t="n">
        <v>9.18598290705673</v>
      </c>
    </row>
    <row r="109" s="10" customFormat="true" ht="15" hidden="false" customHeight="false" outlineLevel="0" collapsed="false">
      <c r="A109" s="15"/>
      <c r="B109" s="16"/>
      <c r="C109" s="9" t="n">
        <v>41956</v>
      </c>
      <c r="D109" s="10" t="n">
        <v>8.6</v>
      </c>
      <c r="E109" s="10" t="n">
        <v>5.4</v>
      </c>
      <c r="F109" s="10" t="n">
        <v>10.6</v>
      </c>
      <c r="G109" s="10" t="n">
        <v>898.8</v>
      </c>
      <c r="J109" s="10" t="n">
        <v>0.2</v>
      </c>
      <c r="K109" s="10" t="n">
        <v>121.3</v>
      </c>
      <c r="L109" s="10" t="n">
        <v>0.2</v>
      </c>
      <c r="M109" s="10" t="n">
        <v>108</v>
      </c>
      <c r="N109" s="10" t="n">
        <v>0</v>
      </c>
      <c r="O109" s="10" t="n">
        <f aca="false">O108+N109</f>
        <v>40.3</v>
      </c>
      <c r="P109" s="10" t="n">
        <v>65</v>
      </c>
      <c r="Q109" s="10" t="n">
        <f aca="false">0.35+((P109-8)/73)*(1-0.35)</f>
        <v>0.857534246575343</v>
      </c>
      <c r="R109" s="13" t="n">
        <f aca="false">Q109*L109</f>
        <v>0.171506849315069</v>
      </c>
      <c r="S109" s="13" t="n">
        <f aca="false">J109-R109</f>
        <v>0.0284931506849315</v>
      </c>
      <c r="T109" s="13" t="n">
        <f aca="false">MIN(153.6,(T108+S109))</f>
        <v>91.8984246575343</v>
      </c>
      <c r="V109" s="18" t="n">
        <v>198</v>
      </c>
      <c r="W109" s="10" t="n">
        <v>23.0232558139535</v>
      </c>
      <c r="X109" s="10" t="n">
        <v>46798.5</v>
      </c>
      <c r="AA109" s="10" t="n">
        <v>9.1338384976699</v>
      </c>
    </row>
    <row r="110" s="10" customFormat="true" ht="15" hidden="false" customHeight="false" outlineLevel="0" collapsed="false">
      <c r="A110" s="15"/>
      <c r="B110" s="16"/>
      <c r="C110" s="9" t="n">
        <v>41957</v>
      </c>
      <c r="D110" s="10" t="n">
        <v>9.7</v>
      </c>
      <c r="E110" s="10" t="n">
        <v>9.4</v>
      </c>
      <c r="F110" s="10" t="n">
        <v>10</v>
      </c>
      <c r="G110" s="10" t="n">
        <v>908.5</v>
      </c>
      <c r="J110" s="10" t="n">
        <v>13.4</v>
      </c>
      <c r="K110" s="10" t="n">
        <v>134.7</v>
      </c>
      <c r="L110" s="10" t="n">
        <v>0.5</v>
      </c>
      <c r="M110" s="10" t="n">
        <v>108.5</v>
      </c>
      <c r="N110" s="10" t="n">
        <v>12.9</v>
      </c>
      <c r="O110" s="10" t="n">
        <f aca="false">O109+N110</f>
        <v>53.2</v>
      </c>
      <c r="P110" s="10" t="n">
        <v>66</v>
      </c>
      <c r="Q110" s="10" t="n">
        <f aca="false">0.35+((P110-8)/73)*(1-0.35)</f>
        <v>0.866438356164384</v>
      </c>
      <c r="R110" s="13" t="n">
        <f aca="false">Q110*L110</f>
        <v>0.433219178082192</v>
      </c>
      <c r="S110" s="13" t="n">
        <f aca="false">J110-R110</f>
        <v>12.9667808219178</v>
      </c>
      <c r="T110" s="13" t="n">
        <f aca="false">MIN(153.6,(T109+S110))</f>
        <v>104.865205479452</v>
      </c>
      <c r="V110" s="22" t="n">
        <v>89.3</v>
      </c>
      <c r="W110" s="10" t="n">
        <v>9.20618556701031</v>
      </c>
      <c r="X110" s="10" t="n">
        <v>46887.8</v>
      </c>
      <c r="AA110" s="10" t="n">
        <v>9.08238577499276</v>
      </c>
    </row>
    <row r="111" s="10" customFormat="true" ht="15" hidden="false" customHeight="false" outlineLevel="0" collapsed="false">
      <c r="A111" s="15"/>
      <c r="B111" s="16"/>
      <c r="C111" s="9" t="n">
        <v>41958</v>
      </c>
      <c r="D111" s="10" t="n">
        <v>9.7</v>
      </c>
      <c r="E111" s="10" t="n">
        <v>9.3</v>
      </c>
      <c r="F111" s="10" t="n">
        <v>11.4</v>
      </c>
      <c r="G111" s="10" t="n">
        <v>918.2</v>
      </c>
      <c r="J111" s="10" t="n">
        <v>8.4</v>
      </c>
      <c r="K111" s="10" t="n">
        <v>143.1</v>
      </c>
      <c r="L111" s="10" t="n">
        <v>0.6</v>
      </c>
      <c r="M111" s="10" t="n">
        <v>109.1</v>
      </c>
      <c r="N111" s="10" t="n">
        <v>7.8</v>
      </c>
      <c r="O111" s="10" t="n">
        <f aca="false">O110+N111</f>
        <v>61</v>
      </c>
      <c r="P111" s="10" t="n">
        <v>67</v>
      </c>
      <c r="Q111" s="10" t="n">
        <f aca="false">0.35+((P111-8)/73)*(1-0.35)</f>
        <v>0.875342465753425</v>
      </c>
      <c r="R111" s="13" t="n">
        <f aca="false">Q111*L111</f>
        <v>0.525205479452055</v>
      </c>
      <c r="S111" s="13" t="n">
        <f aca="false">J111-R111</f>
        <v>7.87479452054795</v>
      </c>
      <c r="T111" s="13" t="n">
        <f aca="false">MIN(153.6,(T110+S111))</f>
        <v>112.74</v>
      </c>
      <c r="V111" s="18" t="n">
        <v>246.3</v>
      </c>
      <c r="W111" s="10" t="n">
        <v>25.3917525773196</v>
      </c>
      <c r="X111" s="10" t="n">
        <v>47134.1</v>
      </c>
      <c r="AA111" s="10" t="n">
        <v>9.03165495176079</v>
      </c>
    </row>
    <row r="112" s="10" customFormat="true" ht="15" hidden="false" customHeight="false" outlineLevel="0" collapsed="false">
      <c r="A112" s="15"/>
      <c r="B112" s="16"/>
      <c r="C112" s="9" t="n">
        <v>41959</v>
      </c>
      <c r="D112" s="10" t="n">
        <v>8</v>
      </c>
      <c r="E112" s="10" t="n">
        <v>7.2</v>
      </c>
      <c r="F112" s="10" t="n">
        <v>9.7</v>
      </c>
      <c r="G112" s="10" t="n">
        <v>926.2</v>
      </c>
      <c r="J112" s="10" t="n">
        <v>1.3</v>
      </c>
      <c r="K112" s="10" t="n">
        <v>144.4</v>
      </c>
      <c r="L112" s="10" t="n">
        <v>0.3</v>
      </c>
      <c r="M112" s="10" t="n">
        <v>109.4</v>
      </c>
      <c r="N112" s="10" t="n">
        <v>1</v>
      </c>
      <c r="O112" s="10" t="n">
        <f aca="false">O111+N112</f>
        <v>62</v>
      </c>
      <c r="P112" s="10" t="n">
        <v>68</v>
      </c>
      <c r="Q112" s="10" t="n">
        <f aca="false">0.35+((P112-8)/73)*(1-0.35)</f>
        <v>0.884246575342466</v>
      </c>
      <c r="R112" s="13" t="n">
        <f aca="false">Q112*L112</f>
        <v>0.26527397260274</v>
      </c>
      <c r="S112" s="13" t="n">
        <f aca="false">J112-R112</f>
        <v>1.03472602739726</v>
      </c>
      <c r="T112" s="13" t="n">
        <f aca="false">MIN(153.6,(T111+S112))</f>
        <v>113.774726027397</v>
      </c>
      <c r="V112" s="22" t="n">
        <v>57.9</v>
      </c>
      <c r="W112" s="10" t="n">
        <v>7.2375</v>
      </c>
      <c r="X112" s="10" t="n">
        <v>47192</v>
      </c>
      <c r="AA112" s="23" t="n">
        <v>8.98167691618612</v>
      </c>
    </row>
    <row r="113" s="10" customFormat="true" ht="15" hidden="false" customHeight="false" outlineLevel="0" collapsed="false">
      <c r="A113" s="15"/>
      <c r="B113" s="16"/>
      <c r="C113" s="9" t="n">
        <v>41960</v>
      </c>
      <c r="D113" s="10" t="n">
        <v>8.1</v>
      </c>
      <c r="E113" s="10" t="n">
        <v>5.3</v>
      </c>
      <c r="F113" s="10" t="n">
        <v>10</v>
      </c>
      <c r="G113" s="10" t="n">
        <v>934.3</v>
      </c>
      <c r="J113" s="10" t="n">
        <v>0.6</v>
      </c>
      <c r="K113" s="10" t="n">
        <v>145</v>
      </c>
      <c r="L113" s="10" t="n">
        <v>0.5</v>
      </c>
      <c r="M113" s="10" t="n">
        <v>109.9</v>
      </c>
      <c r="N113" s="10" t="n">
        <v>0.1</v>
      </c>
      <c r="O113" s="10" t="n">
        <f aca="false">O112+N113</f>
        <v>62.1</v>
      </c>
      <c r="P113" s="10" t="n">
        <v>69</v>
      </c>
      <c r="Q113" s="10" t="n">
        <f aca="false">0.35+((P113-8)/73)*(1-0.35)</f>
        <v>0.893150684931507</v>
      </c>
      <c r="R113" s="13" t="n">
        <f aca="false">Q113*L113</f>
        <v>0.446575342465753</v>
      </c>
      <c r="S113" s="13" t="n">
        <f aca="false">J113-R113</f>
        <v>0.153424657534247</v>
      </c>
      <c r="T113" s="13" t="n">
        <f aca="false">MIN(153.6,(T112+S113))</f>
        <v>113.928150684932</v>
      </c>
      <c r="V113" s="18" t="n">
        <v>174.8</v>
      </c>
      <c r="W113" s="10" t="n">
        <v>21.5802469135803</v>
      </c>
      <c r="X113" s="10" t="n">
        <v>47366.8</v>
      </c>
      <c r="AA113" s="23" t="n">
        <v>8.93248320138579</v>
      </c>
    </row>
    <row r="114" s="10" customFormat="true" ht="15" hidden="false" customHeight="false" outlineLevel="0" collapsed="false">
      <c r="A114" s="15"/>
      <c r="B114" s="16"/>
      <c r="C114" s="9" t="n">
        <v>41961</v>
      </c>
      <c r="D114" s="10" t="n">
        <v>8.4</v>
      </c>
      <c r="E114" s="10" t="n">
        <v>7.4</v>
      </c>
      <c r="F114" s="10" t="n">
        <v>10</v>
      </c>
      <c r="G114" s="10" t="n">
        <v>942.7</v>
      </c>
      <c r="J114" s="10" t="n">
        <v>0.4</v>
      </c>
      <c r="K114" s="10" t="n">
        <v>145.4</v>
      </c>
      <c r="L114" s="10" t="n">
        <v>0.7</v>
      </c>
      <c r="M114" s="10" t="n">
        <v>110.6</v>
      </c>
      <c r="N114" s="11" t="n">
        <v>-0.3</v>
      </c>
      <c r="O114" s="10" t="n">
        <f aca="false">O113+N114</f>
        <v>61.8</v>
      </c>
      <c r="P114" s="10" t="n">
        <v>70</v>
      </c>
      <c r="Q114" s="10" t="n">
        <f aca="false">0.35+((P114-8)/73)*(1-0.35)</f>
        <v>0.902054794520548</v>
      </c>
      <c r="R114" s="13" t="n">
        <f aca="false">Q114*L114</f>
        <v>0.631438356164384</v>
      </c>
      <c r="S114" s="13" t="n">
        <f aca="false">J114-R114</f>
        <v>-0.231438356164383</v>
      </c>
      <c r="T114" s="13" t="n">
        <f aca="false">MIN(153.6,(T113+S114))</f>
        <v>113.696712328767</v>
      </c>
      <c r="V114" s="18" t="n">
        <v>340.1</v>
      </c>
      <c r="W114" s="10" t="n">
        <v>40.4880952380952</v>
      </c>
      <c r="X114" s="10" t="n">
        <v>47706.9</v>
      </c>
      <c r="AA114" s="23" t="n">
        <v>8.88410595034894</v>
      </c>
    </row>
    <row r="115" s="10" customFormat="true" ht="15" hidden="false" customHeight="false" outlineLevel="0" collapsed="false">
      <c r="A115" s="15"/>
      <c r="B115" s="16"/>
      <c r="C115" s="9" t="n">
        <v>41962</v>
      </c>
      <c r="D115" s="10" t="n">
        <v>8.2</v>
      </c>
      <c r="E115" s="10" t="n">
        <v>7.5</v>
      </c>
      <c r="F115" s="10" t="n">
        <v>9.6</v>
      </c>
      <c r="G115" s="10" t="n">
        <v>950.9</v>
      </c>
      <c r="J115" s="10" t="n">
        <v>0</v>
      </c>
      <c r="K115" s="10" t="n">
        <v>145.4</v>
      </c>
      <c r="L115" s="10" t="n">
        <v>0.8</v>
      </c>
      <c r="M115" s="10" t="n">
        <v>111.4</v>
      </c>
      <c r="N115" s="11" t="n">
        <v>-0.8</v>
      </c>
      <c r="O115" s="10" t="n">
        <f aca="false">O114+N115</f>
        <v>61</v>
      </c>
      <c r="P115" s="10" t="n">
        <v>71</v>
      </c>
      <c r="Q115" s="10" t="n">
        <f aca="false">0.35+((P115-8)/73)*(1-0.35)</f>
        <v>0.910958904109589</v>
      </c>
      <c r="R115" s="13" t="n">
        <f aca="false">Q115*L115</f>
        <v>0.728767123287671</v>
      </c>
      <c r="S115" s="13" t="n">
        <f aca="false">J115-R115</f>
        <v>-0.728767123287671</v>
      </c>
      <c r="T115" s="13" t="n">
        <f aca="false">MIN(153.6,(T114+S115))</f>
        <v>112.967945205479</v>
      </c>
      <c r="V115" s="18" t="n">
        <v>319</v>
      </c>
      <c r="W115" s="10" t="n">
        <v>38.9024390243903</v>
      </c>
      <c r="X115" s="10" t="n">
        <v>48025.9</v>
      </c>
      <c r="AA115" s="23" t="n">
        <v>8.83657787628017</v>
      </c>
    </row>
    <row r="116" s="10" customFormat="true" ht="15" hidden="false" customHeight="false" outlineLevel="0" collapsed="false">
      <c r="A116" s="15"/>
      <c r="B116" s="16"/>
      <c r="C116" s="9" t="n">
        <v>41963</v>
      </c>
      <c r="D116" s="10" t="n">
        <v>6.3</v>
      </c>
      <c r="E116" s="10" t="n">
        <v>5.6</v>
      </c>
      <c r="F116" s="10" t="n">
        <v>7.2</v>
      </c>
      <c r="G116" s="10" t="n">
        <v>957.2</v>
      </c>
      <c r="J116" s="10" t="n">
        <v>0.1</v>
      </c>
      <c r="K116" s="10" t="n">
        <v>145.5</v>
      </c>
      <c r="L116" s="10" t="n">
        <v>0.3</v>
      </c>
      <c r="M116" s="10" t="n">
        <v>111.7</v>
      </c>
      <c r="N116" s="11" t="n">
        <v>-0.2</v>
      </c>
      <c r="O116" s="10" t="n">
        <f aca="false">O115+N116</f>
        <v>60.8</v>
      </c>
      <c r="P116" s="10" t="n">
        <v>72</v>
      </c>
      <c r="Q116" s="10" t="n">
        <f aca="false">0.35+((P116-8)/73)*(1-0.35)</f>
        <v>0.91986301369863</v>
      </c>
      <c r="R116" s="13" t="n">
        <f aca="false">Q116*L116</f>
        <v>0.275958904109589</v>
      </c>
      <c r="S116" s="13" t="n">
        <f aca="false">J116-R116</f>
        <v>-0.175958904109589</v>
      </c>
      <c r="T116" s="13" t="n">
        <f aca="false">MIN(153.6,(T115+S116))</f>
        <v>112.79198630137</v>
      </c>
      <c r="V116" s="18" t="n">
        <v>195.7</v>
      </c>
      <c r="W116" s="10" t="n">
        <v>31.0634920634921</v>
      </c>
      <c r="X116" s="10" t="n">
        <v>48221.6</v>
      </c>
      <c r="AA116" s="23" t="n">
        <v>8.78993221817549</v>
      </c>
    </row>
    <row r="117" s="10" customFormat="true" ht="15" hidden="false" customHeight="false" outlineLevel="0" collapsed="false">
      <c r="A117" s="15"/>
      <c r="B117" s="24"/>
      <c r="C117" s="9" t="n">
        <v>41964</v>
      </c>
      <c r="D117" s="10" t="n">
        <v>6.9</v>
      </c>
      <c r="E117" s="21" t="n">
        <v>4.4</v>
      </c>
      <c r="F117" s="10" t="n">
        <v>8.6</v>
      </c>
      <c r="G117" s="10" t="n">
        <v>964.1</v>
      </c>
      <c r="J117" s="10" t="n">
        <v>0</v>
      </c>
      <c r="K117" s="10" t="n">
        <v>145.5</v>
      </c>
      <c r="L117" s="10" t="n">
        <v>0.4</v>
      </c>
      <c r="M117" s="10" t="n">
        <v>112.1</v>
      </c>
      <c r="N117" s="11" t="n">
        <v>-0.4</v>
      </c>
      <c r="O117" s="10" t="n">
        <f aca="false">O116+N117</f>
        <v>60.4</v>
      </c>
      <c r="P117" s="10" t="n">
        <v>73</v>
      </c>
      <c r="Q117" s="10" t="n">
        <f aca="false">0.35+((P117-8)/73)*(1-0.35)</f>
        <v>0.928767123287671</v>
      </c>
      <c r="R117" s="13" t="n">
        <f aca="false">Q117*L117</f>
        <v>0.371506849315069</v>
      </c>
      <c r="S117" s="13" t="n">
        <f aca="false">J117-R117</f>
        <v>-0.371506849315069</v>
      </c>
      <c r="T117" s="13" t="n">
        <f aca="false">MIN(153.6,(T116+S117))</f>
        <v>112.420479452055</v>
      </c>
      <c r="V117" s="18" t="n">
        <v>362.8</v>
      </c>
      <c r="W117" s="10" t="n">
        <v>52.5797101449275</v>
      </c>
      <c r="X117" s="10" t="n">
        <v>48584.4</v>
      </c>
      <c r="AA117" s="23" t="n">
        <v>8.7442026915099</v>
      </c>
    </row>
    <row r="118" s="10" customFormat="true" ht="15" hidden="false" customHeight="false" outlineLevel="0" collapsed="false">
      <c r="A118" s="15"/>
      <c r="B118" s="16"/>
      <c r="C118" s="9" t="n">
        <v>41965</v>
      </c>
      <c r="D118" s="10" t="n">
        <v>10.1</v>
      </c>
      <c r="E118" s="10" t="n">
        <v>6.8</v>
      </c>
      <c r="F118" s="10" t="n">
        <v>13.4</v>
      </c>
      <c r="G118" s="10" t="n">
        <v>974.2</v>
      </c>
      <c r="J118" s="10" t="n">
        <v>0.1</v>
      </c>
      <c r="K118" s="10" t="n">
        <v>145.6</v>
      </c>
      <c r="L118" s="10" t="n">
        <v>0.3</v>
      </c>
      <c r="M118" s="10" t="n">
        <v>112.4</v>
      </c>
      <c r="N118" s="11" t="n">
        <v>-0.2</v>
      </c>
      <c r="O118" s="10" t="n">
        <f aca="false">O117+N118</f>
        <v>60.2</v>
      </c>
      <c r="P118" s="10" t="n">
        <v>74</v>
      </c>
      <c r="Q118" s="10" t="n">
        <f aca="false">0.35+((P118-8)/73)*(1-0.35)</f>
        <v>0.937671232876712</v>
      </c>
      <c r="R118" s="13" t="n">
        <f aca="false">Q118*L118</f>
        <v>0.281301369863014</v>
      </c>
      <c r="S118" s="13" t="n">
        <f aca="false">J118-R118</f>
        <v>-0.181301369863014</v>
      </c>
      <c r="T118" s="13" t="n">
        <f aca="false">MIN(153.6,(T117+S118))</f>
        <v>112.239178082192</v>
      </c>
      <c r="V118" s="18" t="n">
        <v>259.7</v>
      </c>
      <c r="W118" s="10" t="n">
        <v>25.7128712871287</v>
      </c>
      <c r="X118" s="10" t="n">
        <v>48844.1</v>
      </c>
      <c r="AA118" s="23" t="n">
        <v>8.69942343394161</v>
      </c>
    </row>
    <row r="119" s="10" customFormat="true" ht="15" hidden="false" customHeight="false" outlineLevel="0" collapsed="false">
      <c r="A119" s="15"/>
      <c r="B119" s="16"/>
      <c r="C119" s="9" t="n">
        <v>41966</v>
      </c>
      <c r="D119" s="10" t="n">
        <v>11.6</v>
      </c>
      <c r="E119" s="10" t="n">
        <v>9.7</v>
      </c>
      <c r="F119" s="10" t="n">
        <v>13.9</v>
      </c>
      <c r="G119" s="10" t="n">
        <v>985.8</v>
      </c>
      <c r="J119" s="10" t="n">
        <v>1.1</v>
      </c>
      <c r="K119" s="10" t="n">
        <v>146.7</v>
      </c>
      <c r="L119" s="10" t="n">
        <v>0.5</v>
      </c>
      <c r="M119" s="10" t="n">
        <v>112.9</v>
      </c>
      <c r="N119" s="10" t="n">
        <v>0.6</v>
      </c>
      <c r="O119" s="10" t="n">
        <f aca="false">O118+N119</f>
        <v>60.8</v>
      </c>
      <c r="P119" s="10" t="n">
        <v>75</v>
      </c>
      <c r="Q119" s="10" t="n">
        <f aca="false">0.35+((P119-8)/73)*(1-0.35)</f>
        <v>0.946575342465754</v>
      </c>
      <c r="R119" s="13" t="n">
        <f aca="false">Q119*L119</f>
        <v>0.473287671232877</v>
      </c>
      <c r="S119" s="13" t="n">
        <f aca="false">J119-R119</f>
        <v>0.626712328767123</v>
      </c>
      <c r="T119" s="13" t="n">
        <f aca="false">MIN(153.6,(T118+S119))</f>
        <v>112.865890410959</v>
      </c>
      <c r="V119" s="18" t="n">
        <v>300.2</v>
      </c>
      <c r="W119" s="10" t="n">
        <v>25.8793103448276</v>
      </c>
      <c r="X119" s="10" t="n">
        <v>49144.3</v>
      </c>
      <c r="AA119" s="23" t="n">
        <v>8.65562894596853</v>
      </c>
    </row>
    <row r="120" s="10" customFormat="true" ht="15" hidden="false" customHeight="false" outlineLevel="0" collapsed="false">
      <c r="A120" s="15"/>
      <c r="B120" s="16"/>
      <c r="C120" s="9" t="n">
        <v>41967</v>
      </c>
      <c r="D120" s="10" t="n">
        <v>7.5</v>
      </c>
      <c r="E120" s="10" t="n">
        <v>5.6</v>
      </c>
      <c r="F120" s="10" t="n">
        <v>10.5</v>
      </c>
      <c r="G120" s="10" t="n">
        <v>993.3</v>
      </c>
      <c r="J120" s="10" t="n">
        <v>0</v>
      </c>
      <c r="K120" s="10" t="n">
        <v>146.7</v>
      </c>
      <c r="L120" s="10" t="n">
        <v>0.6</v>
      </c>
      <c r="M120" s="10" t="n">
        <v>113.5</v>
      </c>
      <c r="N120" s="11" t="n">
        <v>-0.6</v>
      </c>
      <c r="O120" s="10" t="n">
        <f aca="false">O119+N120</f>
        <v>60.2</v>
      </c>
      <c r="P120" s="10" t="n">
        <v>76</v>
      </c>
      <c r="Q120" s="10" t="n">
        <f aca="false">0.35+((P120-8)/73)*(1-0.35)</f>
        <v>0.955479452054795</v>
      </c>
      <c r="R120" s="13" t="n">
        <f aca="false">Q120*L120</f>
        <v>0.573287671232877</v>
      </c>
      <c r="S120" s="13" t="n">
        <f aca="false">J120-R120</f>
        <v>-0.573287671232877</v>
      </c>
      <c r="T120" s="13" t="n">
        <f aca="false">MIN(153.6,(T119+S120))</f>
        <v>112.292602739726</v>
      </c>
      <c r="V120" s="18" t="n">
        <v>435.2</v>
      </c>
      <c r="W120" s="10" t="n">
        <v>58.0266666666667</v>
      </c>
      <c r="X120" s="10" t="n">
        <v>49579.5</v>
      </c>
      <c r="AA120" s="23" t="n">
        <v>8.61285402650643</v>
      </c>
    </row>
    <row r="121" s="10" customFormat="true" ht="15" hidden="false" customHeight="false" outlineLevel="0" collapsed="false">
      <c r="A121" s="15"/>
      <c r="B121" s="24"/>
      <c r="C121" s="9" t="n">
        <v>41968</v>
      </c>
      <c r="D121" s="10" t="n">
        <v>6.7</v>
      </c>
      <c r="E121" s="21" t="n">
        <v>4.4</v>
      </c>
      <c r="F121" s="10" t="n">
        <v>8.3</v>
      </c>
      <c r="G121" s="10" t="n">
        <v>1000</v>
      </c>
      <c r="J121" s="10" t="n">
        <v>0.8</v>
      </c>
      <c r="K121" s="10" t="n">
        <v>147.5</v>
      </c>
      <c r="L121" s="10" t="n">
        <v>0.6</v>
      </c>
      <c r="M121" s="10" t="n">
        <v>114.1</v>
      </c>
      <c r="N121" s="10" t="n">
        <v>0.2</v>
      </c>
      <c r="O121" s="10" t="n">
        <f aca="false">O120+N121</f>
        <v>60.4</v>
      </c>
      <c r="P121" s="10" t="n">
        <v>77</v>
      </c>
      <c r="Q121" s="10" t="n">
        <f aca="false">0.35+((P121-8)/73)*(1-0.35)</f>
        <v>0.964383561643836</v>
      </c>
      <c r="R121" s="13" t="n">
        <f aca="false">Q121*L121</f>
        <v>0.578630136986301</v>
      </c>
      <c r="S121" s="13" t="n">
        <f aca="false">J121-R121</f>
        <v>0.221369863013699</v>
      </c>
      <c r="T121" s="13" t="n">
        <f aca="false">MIN(153.6,(T120+S121))</f>
        <v>112.51397260274</v>
      </c>
      <c r="V121" s="18" t="n">
        <v>328.9</v>
      </c>
      <c r="W121" s="10" t="n">
        <v>49.089552238806</v>
      </c>
      <c r="X121" s="10" t="n">
        <v>49908.4</v>
      </c>
      <c r="AA121" s="23" t="n">
        <v>8.57113370339635</v>
      </c>
    </row>
    <row r="122" s="10" customFormat="true" ht="15" hidden="false" customHeight="false" outlineLevel="0" collapsed="false">
      <c r="A122" s="15"/>
      <c r="B122" s="16"/>
      <c r="C122" s="9" t="n">
        <v>41969</v>
      </c>
      <c r="D122" s="10" t="n">
        <v>8.6</v>
      </c>
      <c r="E122" s="10" t="n">
        <v>7.1</v>
      </c>
      <c r="F122" s="10" t="n">
        <v>10.5</v>
      </c>
      <c r="G122" s="10" t="n">
        <v>1008.6</v>
      </c>
      <c r="J122" s="10" t="n">
        <v>2.2</v>
      </c>
      <c r="K122" s="10" t="n">
        <v>149.7</v>
      </c>
      <c r="L122" s="10" t="n">
        <v>0.3</v>
      </c>
      <c r="M122" s="10" t="n">
        <v>114.4</v>
      </c>
      <c r="N122" s="10" t="n">
        <v>1.9</v>
      </c>
      <c r="O122" s="10" t="n">
        <f aca="false">O121+N122</f>
        <v>62.3</v>
      </c>
      <c r="P122" s="10" t="n">
        <v>78</v>
      </c>
      <c r="Q122" s="10" t="n">
        <f aca="false">0.35+((P122-8)/73)*(1-0.35)</f>
        <v>0.973287671232877</v>
      </c>
      <c r="R122" s="13" t="n">
        <f aca="false">Q122*L122</f>
        <v>0.291986301369863</v>
      </c>
      <c r="S122" s="13" t="n">
        <f aca="false">J122-R122</f>
        <v>1.90801369863014</v>
      </c>
      <c r="T122" s="13" t="n">
        <f aca="false">MIN(153.6,(T121+S122))</f>
        <v>114.42198630137</v>
      </c>
      <c r="V122" s="22" t="n">
        <v>68.5</v>
      </c>
      <c r="W122" s="10" t="n">
        <v>7.96511627906977</v>
      </c>
      <c r="X122" s="10" t="n">
        <v>49976.9</v>
      </c>
      <c r="AA122" s="23" t="n">
        <v>8.53050315889074</v>
      </c>
    </row>
    <row r="123" s="10" customFormat="true" ht="15" hidden="false" customHeight="false" outlineLevel="0" collapsed="false">
      <c r="A123" s="15"/>
      <c r="B123" s="16"/>
      <c r="C123" s="9" t="n">
        <v>41970</v>
      </c>
      <c r="D123" s="10" t="n">
        <v>10</v>
      </c>
      <c r="E123" s="10" t="n">
        <v>9.6</v>
      </c>
      <c r="F123" s="10" t="n">
        <v>10.5</v>
      </c>
      <c r="G123" s="10" t="n">
        <v>1018.6</v>
      </c>
      <c r="J123" s="10" t="n">
        <v>0.2</v>
      </c>
      <c r="K123" s="10" t="n">
        <v>149.9</v>
      </c>
      <c r="L123" s="10" t="n">
        <v>0.3</v>
      </c>
      <c r="M123" s="10" t="n">
        <v>114.7</v>
      </c>
      <c r="N123" s="11" t="n">
        <v>-0.1</v>
      </c>
      <c r="O123" s="10" t="n">
        <f aca="false">O122+N123</f>
        <v>62.2</v>
      </c>
      <c r="P123" s="10" t="n">
        <v>79</v>
      </c>
      <c r="Q123" s="10" t="n">
        <f aca="false">0.35+((P123-8)/73)*(1-0.35)</f>
        <v>0.982191780821918</v>
      </c>
      <c r="R123" s="13" t="n">
        <f aca="false">Q123*L123</f>
        <v>0.294657534246575</v>
      </c>
      <c r="S123" s="13" t="n">
        <f aca="false">J123-R123</f>
        <v>-0.0946575342465753</v>
      </c>
      <c r="T123" s="13" t="n">
        <f aca="false">MIN(153.6,(T122+S123))</f>
        <v>114.327328767123</v>
      </c>
      <c r="V123" s="22" t="n">
        <v>51.4</v>
      </c>
      <c r="W123" s="10" t="n">
        <v>5.14</v>
      </c>
      <c r="X123" s="10" t="n">
        <v>50028.3</v>
      </c>
      <c r="AA123" s="23" t="n">
        <v>8.49099765021329</v>
      </c>
    </row>
    <row r="124" s="10" customFormat="true" ht="15" hidden="false" customHeight="false" outlineLevel="0" collapsed="false">
      <c r="A124" s="15"/>
      <c r="B124" s="16"/>
      <c r="C124" s="9" t="n">
        <v>41971</v>
      </c>
      <c r="D124" s="10" t="n">
        <v>10.6</v>
      </c>
      <c r="E124" s="10" t="n">
        <v>8</v>
      </c>
      <c r="F124" s="10" t="n">
        <v>14.1</v>
      </c>
      <c r="G124" s="10" t="n">
        <v>1029.2</v>
      </c>
      <c r="J124" s="10" t="n">
        <v>0</v>
      </c>
      <c r="K124" s="10" t="n">
        <v>149.9</v>
      </c>
      <c r="L124" s="10" t="n">
        <v>1.1</v>
      </c>
      <c r="M124" s="10" t="n">
        <v>115.8</v>
      </c>
      <c r="N124" s="11" t="n">
        <v>-1.1</v>
      </c>
      <c r="O124" s="10" t="n">
        <f aca="false">O123+N124</f>
        <v>61.1</v>
      </c>
      <c r="P124" s="10" t="n">
        <v>80</v>
      </c>
      <c r="Q124" s="10" t="n">
        <f aca="false">0.35+((P124-8)/73)*(1-0.35)</f>
        <v>0.991095890410959</v>
      </c>
      <c r="R124" s="13" t="n">
        <f aca="false">Q124*L124</f>
        <v>1.09020547945205</v>
      </c>
      <c r="S124" s="13" t="n">
        <f aca="false">J124-R124</f>
        <v>-1.09020547945205</v>
      </c>
      <c r="T124" s="13" t="n">
        <f aca="false">MIN(153.6,(T123+S124))</f>
        <v>113.237123287671</v>
      </c>
      <c r="V124" s="18" t="n">
        <v>486.7</v>
      </c>
      <c r="W124" s="10" t="n">
        <v>45.9150943396226</v>
      </c>
      <c r="X124" s="10" t="n">
        <v>50515</v>
      </c>
      <c r="AA124" s="23" t="n">
        <v>8.45265242533661</v>
      </c>
    </row>
    <row r="125" s="28" customFormat="true" ht="15" hidden="false" customHeight="false" outlineLevel="0" collapsed="false">
      <c r="A125" s="15"/>
      <c r="B125" s="25"/>
      <c r="C125" s="26" t="n">
        <v>41972</v>
      </c>
      <c r="D125" s="27" t="n">
        <v>6.2</v>
      </c>
      <c r="E125" s="27" t="n">
        <v>5.3</v>
      </c>
      <c r="F125" s="27" t="n">
        <v>8.9</v>
      </c>
      <c r="G125" s="27" t="n">
        <v>1035.4</v>
      </c>
      <c r="H125" s="27"/>
      <c r="I125" s="27"/>
      <c r="J125" s="27" t="n">
        <v>0</v>
      </c>
      <c r="K125" s="27" t="n">
        <v>149.9</v>
      </c>
      <c r="L125" s="27" t="n">
        <v>0.5</v>
      </c>
      <c r="M125" s="27" t="n">
        <v>116.3</v>
      </c>
      <c r="N125" s="27" t="n">
        <v>-0.5</v>
      </c>
      <c r="O125" s="28" t="n">
        <f aca="false">O124+N125</f>
        <v>60.6</v>
      </c>
      <c r="P125" s="28" t="n">
        <v>81</v>
      </c>
      <c r="Q125" s="29" t="n">
        <f aca="false">0.35+((P125-8)/73)*(1-0.35)</f>
        <v>1</v>
      </c>
      <c r="R125" s="30" t="n">
        <f aca="false">Q125*L125</f>
        <v>0.5</v>
      </c>
      <c r="S125" s="30" t="n">
        <f aca="false">J125-R125</f>
        <v>-0.5</v>
      </c>
      <c r="T125" s="31" t="n">
        <f aca="false">MIN(153.6,(T124+S125))</f>
        <v>112.737123287671</v>
      </c>
      <c r="U125" s="27"/>
      <c r="V125" s="32" t="n">
        <v>416.1</v>
      </c>
      <c r="W125" s="27" t="n">
        <v>67.1129032258065</v>
      </c>
      <c r="X125" s="27" t="n">
        <v>50931.1</v>
      </c>
      <c r="Y125" s="27"/>
      <c r="Z125" s="27"/>
      <c r="AA125" s="33" t="n">
        <v>8.41550263417384</v>
      </c>
    </row>
    <row r="126" s="10" customFormat="true" ht="15" hidden="false" customHeight="false" outlineLevel="0" collapsed="false">
      <c r="A126" s="34" t="s">
        <v>43</v>
      </c>
      <c r="B126" s="24"/>
      <c r="C126" s="9" t="n">
        <v>41973</v>
      </c>
      <c r="D126" s="21" t="n">
        <v>4.3</v>
      </c>
      <c r="E126" s="21" t="n">
        <v>2.5</v>
      </c>
      <c r="F126" s="10" t="n">
        <v>6.4</v>
      </c>
      <c r="G126" s="10" t="n">
        <v>1039.7</v>
      </c>
      <c r="H126" s="10" t="n">
        <v>4.3</v>
      </c>
      <c r="I126" s="35" t="s">
        <v>27</v>
      </c>
      <c r="J126" s="10" t="n">
        <v>1.8</v>
      </c>
      <c r="K126" s="10" t="n">
        <v>151.7</v>
      </c>
      <c r="L126" s="10" t="n">
        <v>0.3</v>
      </c>
      <c r="M126" s="10" t="n">
        <v>116.6</v>
      </c>
      <c r="N126" s="10" t="n">
        <v>1.5</v>
      </c>
      <c r="O126" s="10" t="n">
        <f aca="false">O125+N126</f>
        <v>62.1</v>
      </c>
      <c r="P126" s="10" t="n">
        <v>82</v>
      </c>
      <c r="Q126" s="10" t="n">
        <v>1</v>
      </c>
      <c r="R126" s="13" t="n">
        <f aca="false">Q126*L126</f>
        <v>0.3</v>
      </c>
      <c r="S126" s="13" t="n">
        <f aca="false">J126-R126</f>
        <v>1.5</v>
      </c>
      <c r="T126" s="13" t="n">
        <f aca="false">MIN(153.6,(T125+S126))</f>
        <v>114.237123287671</v>
      </c>
      <c r="U126" s="35" t="s">
        <v>28</v>
      </c>
      <c r="V126" s="18" t="n">
        <v>291.6</v>
      </c>
      <c r="W126" s="10" t="n">
        <v>67.8139534883721</v>
      </c>
      <c r="X126" s="10" t="n">
        <v>51222.7</v>
      </c>
      <c r="Y126" s="10" t="n">
        <f aca="false">V126</f>
        <v>291.6</v>
      </c>
      <c r="Z126" s="35" t="s">
        <v>29</v>
      </c>
      <c r="AA126" s="23" t="n">
        <v>8.3795832354354</v>
      </c>
    </row>
    <row r="127" s="10" customFormat="true" ht="15" hidden="false" customHeight="false" outlineLevel="0" collapsed="false">
      <c r="A127" s="34"/>
      <c r="B127" s="24"/>
      <c r="C127" s="9" t="n">
        <v>41974</v>
      </c>
      <c r="D127" s="21" t="n">
        <v>3.5</v>
      </c>
      <c r="E127" s="21" t="n">
        <v>3.2</v>
      </c>
      <c r="F127" s="21" t="n">
        <v>3.7</v>
      </c>
      <c r="G127" s="10" t="n">
        <v>1043.2</v>
      </c>
      <c r="H127" s="10" t="n">
        <f aca="false">H126+D127</f>
        <v>7.8</v>
      </c>
      <c r="I127" s="10" t="n">
        <v>-3.5</v>
      </c>
      <c r="J127" s="10" t="n">
        <v>0.1</v>
      </c>
      <c r="K127" s="10" t="n">
        <v>151.8</v>
      </c>
      <c r="L127" s="10" t="n">
        <v>0.2</v>
      </c>
      <c r="M127" s="10" t="n">
        <v>116.8</v>
      </c>
      <c r="N127" s="11" t="n">
        <v>-0.1</v>
      </c>
      <c r="O127" s="10" t="n">
        <f aca="false">O126+N127</f>
        <v>62</v>
      </c>
      <c r="P127" s="10" t="n">
        <v>83</v>
      </c>
      <c r="Q127" s="10" t="n">
        <v>1</v>
      </c>
      <c r="R127" s="13" t="n">
        <f aca="false">Q127*L127</f>
        <v>0.2</v>
      </c>
      <c r="S127" s="13" t="n">
        <f aca="false">J127-R127</f>
        <v>-0.1</v>
      </c>
      <c r="T127" s="13" t="n">
        <f aca="false">MIN(153.6,(T126+S127))</f>
        <v>114.137123287671</v>
      </c>
      <c r="U127" s="10" t="n">
        <v>46</v>
      </c>
      <c r="V127" s="18" t="n">
        <v>113.4</v>
      </c>
      <c r="W127" s="10" t="n">
        <v>32.4</v>
      </c>
      <c r="X127" s="10" t="n">
        <v>51336.1</v>
      </c>
      <c r="Y127" s="10" t="n">
        <f aca="false">Y126+V127</f>
        <v>405</v>
      </c>
      <c r="Z127" s="10" t="n">
        <v>31498.1</v>
      </c>
      <c r="AA127" s="23" t="n">
        <v>8.3449288994587</v>
      </c>
    </row>
    <row r="128" s="10" customFormat="true" ht="15" hidden="false" customHeight="false" outlineLevel="0" collapsed="false">
      <c r="A128" s="34"/>
      <c r="B128" s="24"/>
      <c r="C128" s="9" t="n">
        <v>41975</v>
      </c>
      <c r="D128" s="21" t="n">
        <v>3.3</v>
      </c>
      <c r="E128" s="21" t="n">
        <v>2.9</v>
      </c>
      <c r="F128" s="21" t="n">
        <v>3.9</v>
      </c>
      <c r="G128" s="10" t="n">
        <v>1046.5</v>
      </c>
      <c r="H128" s="10" t="n">
        <f aca="false">H127+D128</f>
        <v>11.1</v>
      </c>
      <c r="I128" s="35" t="s">
        <v>30</v>
      </c>
      <c r="J128" s="10" t="n">
        <v>0.4</v>
      </c>
      <c r="K128" s="10" t="n">
        <v>152.2</v>
      </c>
      <c r="L128" s="10" t="n">
        <v>0.4</v>
      </c>
      <c r="M128" s="10" t="n">
        <v>117.2</v>
      </c>
      <c r="N128" s="10" t="n">
        <v>0</v>
      </c>
      <c r="O128" s="10" t="n">
        <f aca="false">O127+N128</f>
        <v>62</v>
      </c>
      <c r="P128" s="10" t="n">
        <v>84</v>
      </c>
      <c r="Q128" s="10" t="n">
        <v>1</v>
      </c>
      <c r="R128" s="13" t="n">
        <f aca="false">Q128*L128</f>
        <v>0.4</v>
      </c>
      <c r="S128" s="13" t="n">
        <f aca="false">J128-R128</f>
        <v>0</v>
      </c>
      <c r="T128" s="13" t="n">
        <f aca="false">MIN(153.6,(T127+S128))</f>
        <v>114.137123287671</v>
      </c>
      <c r="U128" s="35" t="s">
        <v>31</v>
      </c>
      <c r="V128" s="18" t="n">
        <v>132.5</v>
      </c>
      <c r="W128" s="10" t="n">
        <v>40.1515151515152</v>
      </c>
      <c r="X128" s="10" t="n">
        <v>51468.6</v>
      </c>
      <c r="Y128" s="10" t="n">
        <f aca="false">Y127+V128</f>
        <v>537.5</v>
      </c>
      <c r="Z128" s="35" t="s">
        <v>32</v>
      </c>
      <c r="AA128" s="23" t="n">
        <v>8.31157390737721</v>
      </c>
    </row>
    <row r="129" s="10" customFormat="true" ht="15" hidden="false" customHeight="false" outlineLevel="0" collapsed="false">
      <c r="A129" s="34"/>
      <c r="B129" s="24"/>
      <c r="C129" s="9" t="n">
        <v>41976</v>
      </c>
      <c r="D129" s="21" t="n">
        <v>1.5</v>
      </c>
      <c r="E129" s="21" t="n">
        <v>0.6</v>
      </c>
      <c r="F129" s="21" t="n">
        <v>2.5</v>
      </c>
      <c r="G129" s="10" t="n">
        <v>1048</v>
      </c>
      <c r="H129" s="10" t="n">
        <f aca="false">H128+D129</f>
        <v>12.6</v>
      </c>
      <c r="I129" s="10" t="n">
        <v>13.6</v>
      </c>
      <c r="J129" s="10" t="n">
        <v>0</v>
      </c>
      <c r="K129" s="10" t="n">
        <v>152.2</v>
      </c>
      <c r="L129" s="10" t="n">
        <v>0.4</v>
      </c>
      <c r="M129" s="10" t="n">
        <v>117.6</v>
      </c>
      <c r="N129" s="11" t="n">
        <v>-0.4</v>
      </c>
      <c r="O129" s="10" t="n">
        <f aca="false">O128+N129</f>
        <v>61.6</v>
      </c>
      <c r="P129" s="10" t="n">
        <v>85</v>
      </c>
      <c r="Q129" s="10" t="n">
        <v>1</v>
      </c>
      <c r="R129" s="13" t="n">
        <f aca="false">Q129*L129</f>
        <v>0.4</v>
      </c>
      <c r="S129" s="13" t="n">
        <f aca="false">J129-R129</f>
        <v>-0.4</v>
      </c>
      <c r="T129" s="13" t="n">
        <f aca="false">MIN(153.6,(T128+S129))</f>
        <v>113.737123287671</v>
      </c>
      <c r="U129" s="10" t="n">
        <v>0</v>
      </c>
      <c r="V129" s="18" t="n">
        <v>139.3</v>
      </c>
      <c r="W129" s="10" t="n">
        <v>92.8666666666667</v>
      </c>
      <c r="X129" s="10" t="n">
        <v>51607.9</v>
      </c>
      <c r="Y129" s="10" t="n">
        <f aca="false">Y128+V129</f>
        <v>676.8</v>
      </c>
      <c r="Z129" s="19" t="n">
        <f aca="false">(Z127/100)/I139</f>
        <v>0.738179048511835</v>
      </c>
      <c r="AA129" s="23" t="n">
        <v>8.27955204705461</v>
      </c>
    </row>
    <row r="130" s="10" customFormat="true" ht="15" hidden="false" customHeight="false" outlineLevel="0" collapsed="false">
      <c r="A130" s="34"/>
      <c r="B130" s="24"/>
      <c r="C130" s="9" t="n">
        <v>41977</v>
      </c>
      <c r="D130" s="21" t="n">
        <v>1</v>
      </c>
      <c r="E130" s="21" t="n">
        <v>0.1</v>
      </c>
      <c r="F130" s="21" t="n">
        <v>2.6</v>
      </c>
      <c r="G130" s="10" t="n">
        <v>1049</v>
      </c>
      <c r="H130" s="10" t="n">
        <f aca="false">H129+D130</f>
        <v>13.6</v>
      </c>
      <c r="I130" s="35" t="s">
        <v>33</v>
      </c>
      <c r="J130" s="10" t="n">
        <v>0</v>
      </c>
      <c r="K130" s="10" t="n">
        <v>152.2</v>
      </c>
      <c r="L130" s="10" t="n">
        <v>0.3</v>
      </c>
      <c r="M130" s="10" t="n">
        <v>117.9</v>
      </c>
      <c r="N130" s="11" t="n">
        <v>-0.3</v>
      </c>
      <c r="O130" s="10" t="n">
        <f aca="false">O129+N130</f>
        <v>61.3</v>
      </c>
      <c r="P130" s="10" t="n">
        <v>86</v>
      </c>
      <c r="Q130" s="10" t="n">
        <v>1</v>
      </c>
      <c r="R130" s="13" t="n">
        <f aca="false">Q130*L130</f>
        <v>0.3</v>
      </c>
      <c r="S130" s="13" t="n">
        <f aca="false">J130-R130</f>
        <v>-0.3</v>
      </c>
      <c r="T130" s="13" t="n">
        <f aca="false">MIN(153.6,(T129+S130))</f>
        <v>113.437123287671</v>
      </c>
      <c r="U130" s="35" t="s">
        <v>34</v>
      </c>
      <c r="V130" s="18" t="n">
        <v>146.5</v>
      </c>
      <c r="W130" s="10" t="n">
        <v>146.5</v>
      </c>
      <c r="X130" s="10" t="n">
        <v>51754.4</v>
      </c>
      <c r="Y130" s="10" t="n">
        <f aca="false">Y129+V130</f>
        <v>823.3</v>
      </c>
      <c r="Z130" s="35" t="s">
        <v>35</v>
      </c>
      <c r="AA130" s="23" t="n">
        <v>8.24889650626823</v>
      </c>
    </row>
    <row r="131" s="10" customFormat="true" ht="15" hidden="false" customHeight="false" outlineLevel="0" collapsed="false">
      <c r="A131" s="34"/>
      <c r="B131" s="24"/>
      <c r="C131" s="9" t="n">
        <v>41978</v>
      </c>
      <c r="D131" s="21" t="n">
        <v>3.7</v>
      </c>
      <c r="E131" s="21" t="n">
        <v>1.6</v>
      </c>
      <c r="F131" s="21" t="n">
        <v>4.6</v>
      </c>
      <c r="G131" s="10" t="n">
        <v>1052.7</v>
      </c>
      <c r="H131" s="10" t="n">
        <f aca="false">H130+D131</f>
        <v>17.3</v>
      </c>
      <c r="I131" s="19" t="n">
        <v>4.3680412371134</v>
      </c>
      <c r="J131" s="10" t="n">
        <v>1.2</v>
      </c>
      <c r="K131" s="10" t="n">
        <v>153.4</v>
      </c>
      <c r="L131" s="10" t="n">
        <v>0.4</v>
      </c>
      <c r="M131" s="10" t="n">
        <v>118.3</v>
      </c>
      <c r="N131" s="10" t="n">
        <v>0.8</v>
      </c>
      <c r="O131" s="10" t="n">
        <f aca="false">O130+N131</f>
        <v>62.1</v>
      </c>
      <c r="P131" s="10" t="n">
        <v>87</v>
      </c>
      <c r="Q131" s="10" t="n">
        <v>1</v>
      </c>
      <c r="R131" s="13" t="n">
        <f aca="false">Q131*L131</f>
        <v>0.4</v>
      </c>
      <c r="S131" s="13" t="n">
        <f aca="false">J131-R131</f>
        <v>0.8</v>
      </c>
      <c r="T131" s="13" t="n">
        <f aca="false">MIN(153.6,(T130+S131))</f>
        <v>114.237123287671</v>
      </c>
      <c r="U131" s="10" t="n">
        <v>0</v>
      </c>
      <c r="V131" s="18" t="n">
        <v>210.5</v>
      </c>
      <c r="W131" s="10" t="n">
        <v>56.8918918918919</v>
      </c>
      <c r="X131" s="10" t="n">
        <v>51964.9</v>
      </c>
      <c r="Y131" s="10" t="n">
        <f aca="false">Y130+V131</f>
        <v>1033.8</v>
      </c>
      <c r="Z131" s="10" t="n">
        <v>94</v>
      </c>
      <c r="AA131" s="23" t="n">
        <v>8.21963976368438</v>
      </c>
    </row>
    <row r="132" s="10" customFormat="true" ht="15" hidden="false" customHeight="false" outlineLevel="0" collapsed="false">
      <c r="A132" s="34"/>
      <c r="B132" s="24"/>
      <c r="C132" s="9" t="n">
        <v>41979</v>
      </c>
      <c r="D132" s="21" t="n">
        <v>4.2</v>
      </c>
      <c r="E132" s="21" t="n">
        <v>2.1</v>
      </c>
      <c r="F132" s="10" t="n">
        <v>8.3</v>
      </c>
      <c r="G132" s="10" t="n">
        <v>1056.9</v>
      </c>
      <c r="H132" s="10" t="n">
        <f aca="false">H131+D132</f>
        <v>21.5</v>
      </c>
      <c r="I132" s="35" t="s">
        <v>36</v>
      </c>
      <c r="J132" s="10" t="n">
        <v>0.3</v>
      </c>
      <c r="K132" s="10" t="n">
        <v>153.7</v>
      </c>
      <c r="L132" s="10" t="n">
        <v>0.8</v>
      </c>
      <c r="M132" s="10" t="n">
        <v>119.1</v>
      </c>
      <c r="N132" s="11" t="n">
        <v>-0.5</v>
      </c>
      <c r="O132" s="10" t="n">
        <f aca="false">O131+N132</f>
        <v>61.6</v>
      </c>
      <c r="P132" s="10" t="n">
        <v>88</v>
      </c>
      <c r="Q132" s="10" t="n">
        <v>1</v>
      </c>
      <c r="R132" s="13" t="n">
        <f aca="false">Q132*L132</f>
        <v>0.8</v>
      </c>
      <c r="S132" s="13" t="n">
        <f aca="false">J132-R132</f>
        <v>-0.5</v>
      </c>
      <c r="T132" s="13" t="n">
        <f aca="false">MIN(153.6,(T131+S132))</f>
        <v>113.737123287671</v>
      </c>
      <c r="U132" s="35" t="s">
        <v>37</v>
      </c>
      <c r="V132" s="18" t="n">
        <v>378.9</v>
      </c>
      <c r="W132" s="10" t="n">
        <v>90.2142857142857</v>
      </c>
      <c r="X132" s="10" t="n">
        <v>52343.8</v>
      </c>
      <c r="Y132" s="10" t="n">
        <f aca="false">Y131+V132</f>
        <v>1412.7</v>
      </c>
      <c r="AA132" s="23" t="n">
        <v>8.19181347822355</v>
      </c>
    </row>
    <row r="133" s="10" customFormat="true" ht="15" hidden="false" customHeight="false" outlineLevel="0" collapsed="false">
      <c r="A133" s="34"/>
      <c r="B133" s="24"/>
      <c r="C133" s="9" t="n">
        <v>41980</v>
      </c>
      <c r="D133" s="21" t="n">
        <v>2.8</v>
      </c>
      <c r="E133" s="36" t="n">
        <v>-0.3</v>
      </c>
      <c r="F133" s="10" t="n">
        <v>6.7</v>
      </c>
      <c r="G133" s="10" t="n">
        <v>1059.7</v>
      </c>
      <c r="H133" s="10" t="n">
        <f aca="false">H132+D133</f>
        <v>24.3</v>
      </c>
      <c r="I133" s="10" t="n">
        <v>22</v>
      </c>
      <c r="J133" s="10" t="n">
        <v>3.1</v>
      </c>
      <c r="K133" s="10" t="n">
        <v>156.8</v>
      </c>
      <c r="L133" s="10" t="n">
        <v>0.4</v>
      </c>
      <c r="M133" s="10" t="n">
        <v>119.5</v>
      </c>
      <c r="N133" s="10" t="n">
        <v>2.7</v>
      </c>
      <c r="O133" s="10" t="n">
        <f aca="false">O132+N133</f>
        <v>64.3</v>
      </c>
      <c r="P133" s="10" t="n">
        <v>89</v>
      </c>
      <c r="Q133" s="10" t="n">
        <v>1</v>
      </c>
      <c r="R133" s="13" t="n">
        <f aca="false">Q133*L133</f>
        <v>0.4</v>
      </c>
      <c r="S133" s="13" t="n">
        <f aca="false">J133-R133</f>
        <v>2.7</v>
      </c>
      <c r="T133" s="13" t="n">
        <f aca="false">MIN(153.6,(T132+S133))</f>
        <v>116.437123287671</v>
      </c>
      <c r="U133" s="13" t="n">
        <f aca="false">MIN(T126:T222)</f>
        <v>113.437123287671</v>
      </c>
      <c r="V133" s="18" t="n">
        <v>102.6</v>
      </c>
      <c r="W133" s="10" t="n">
        <v>36.6428571428571</v>
      </c>
      <c r="X133" s="10" t="n">
        <v>52446.4</v>
      </c>
      <c r="Y133" s="10" t="n">
        <f aca="false">Y132+V133</f>
        <v>1515.3</v>
      </c>
      <c r="AA133" s="23" t="n">
        <v>8.16544837746624</v>
      </c>
    </row>
    <row r="134" s="10" customFormat="true" ht="15" hidden="false" customHeight="false" outlineLevel="0" collapsed="false">
      <c r="A134" s="34"/>
      <c r="B134" s="24"/>
      <c r="C134" s="9" t="n">
        <v>41981</v>
      </c>
      <c r="D134" s="21" t="n">
        <v>2.2</v>
      </c>
      <c r="E134" s="21" t="n">
        <v>0.2</v>
      </c>
      <c r="F134" s="21" t="n">
        <v>3.5</v>
      </c>
      <c r="G134" s="10" t="n">
        <v>1061.9</v>
      </c>
      <c r="H134" s="10" t="n">
        <f aca="false">H133+D134</f>
        <v>26.5</v>
      </c>
      <c r="I134" s="35" t="s">
        <v>38</v>
      </c>
      <c r="J134" s="10" t="n">
        <v>4.6</v>
      </c>
      <c r="K134" s="10" t="n">
        <v>161.4</v>
      </c>
      <c r="L134" s="10" t="n">
        <v>0.3</v>
      </c>
      <c r="M134" s="10" t="n">
        <v>119.8</v>
      </c>
      <c r="N134" s="10" t="n">
        <v>4.3</v>
      </c>
      <c r="O134" s="10" t="n">
        <f aca="false">O133+N134</f>
        <v>68.6</v>
      </c>
      <c r="P134" s="10" t="n">
        <v>90</v>
      </c>
      <c r="Q134" s="10" t="n">
        <v>1</v>
      </c>
      <c r="R134" s="13" t="n">
        <f aca="false">Q134*L134</f>
        <v>0.3</v>
      </c>
      <c r="S134" s="13" t="n">
        <f aca="false">J134-R134</f>
        <v>4.3</v>
      </c>
      <c r="T134" s="13" t="n">
        <f aca="false">MIN(153.6,(T133+S134))</f>
        <v>120.737123287671</v>
      </c>
      <c r="U134" s="35" t="s">
        <v>39</v>
      </c>
      <c r="V134" s="22" t="n">
        <v>80</v>
      </c>
      <c r="W134" s="10" t="n">
        <v>36.3636363636364</v>
      </c>
      <c r="X134" s="10" t="n">
        <v>52526.4</v>
      </c>
      <c r="Y134" s="10" t="n">
        <f aca="false">Y133+V134</f>
        <v>1595.3</v>
      </c>
      <c r="AA134" s="23" t="n">
        <v>8.14057414579814</v>
      </c>
    </row>
    <row r="135" s="10" customFormat="true" ht="15" hidden="false" customHeight="false" outlineLevel="0" collapsed="false">
      <c r="A135" s="34"/>
      <c r="B135" s="24"/>
      <c r="C135" s="9" t="n">
        <v>41982</v>
      </c>
      <c r="D135" s="21" t="n">
        <v>4.2</v>
      </c>
      <c r="E135" s="21" t="n">
        <v>2.1</v>
      </c>
      <c r="F135" s="10" t="n">
        <v>7.2</v>
      </c>
      <c r="G135" s="10" t="n">
        <v>1066.1</v>
      </c>
      <c r="H135" s="10" t="n">
        <f aca="false">H134+D135</f>
        <v>30.7</v>
      </c>
      <c r="I135" s="10" t="n">
        <v>0</v>
      </c>
      <c r="J135" s="10" t="n">
        <v>2.3</v>
      </c>
      <c r="K135" s="10" t="n">
        <v>163.7</v>
      </c>
      <c r="L135" s="10" t="n">
        <v>0.7</v>
      </c>
      <c r="M135" s="10" t="n">
        <v>120.5</v>
      </c>
      <c r="N135" s="10" t="n">
        <v>1.6</v>
      </c>
      <c r="O135" s="10" t="n">
        <f aca="false">O134+N135</f>
        <v>70.2</v>
      </c>
      <c r="P135" s="10" t="n">
        <v>91</v>
      </c>
      <c r="Q135" s="10" t="n">
        <v>1</v>
      </c>
      <c r="R135" s="13" t="n">
        <f aca="false">Q135*L135</f>
        <v>0.7</v>
      </c>
      <c r="S135" s="13" t="n">
        <f aca="false">J135-R135</f>
        <v>1.6</v>
      </c>
      <c r="T135" s="13" t="n">
        <f aca="false">MIN(153.6,(T134+S135))</f>
        <v>122.337123287671</v>
      </c>
      <c r="U135" s="10" t="n">
        <v>153.6</v>
      </c>
      <c r="V135" s="18" t="n">
        <v>309.5</v>
      </c>
      <c r="W135" s="10" t="n">
        <v>73.6904761904762</v>
      </c>
      <c r="X135" s="10" t="n">
        <v>52835.9</v>
      </c>
      <c r="Y135" s="10" t="n">
        <f aca="false">Y134+V135</f>
        <v>1904.8</v>
      </c>
      <c r="AA135" s="23" t="n">
        <v>8.11721931303619</v>
      </c>
    </row>
    <row r="136" s="10" customFormat="true" ht="15" hidden="false" customHeight="false" outlineLevel="0" collapsed="false">
      <c r="A136" s="34"/>
      <c r="B136" s="24"/>
      <c r="C136" s="9" t="n">
        <v>41983</v>
      </c>
      <c r="D136" s="10" t="n">
        <v>7.1</v>
      </c>
      <c r="E136" s="21" t="n">
        <v>4.7</v>
      </c>
      <c r="F136" s="10" t="n">
        <v>9.6</v>
      </c>
      <c r="G136" s="10" t="n">
        <v>1073.2</v>
      </c>
      <c r="H136" s="10" t="n">
        <f aca="false">H135+D136</f>
        <v>37.8</v>
      </c>
      <c r="I136" s="35" t="s">
        <v>40</v>
      </c>
      <c r="J136" s="10" t="n">
        <v>2.8</v>
      </c>
      <c r="K136" s="10" t="n">
        <v>166.5</v>
      </c>
      <c r="L136" s="10" t="n">
        <v>1.2</v>
      </c>
      <c r="M136" s="10" t="n">
        <v>121.7</v>
      </c>
      <c r="N136" s="10" t="n">
        <v>1.6</v>
      </c>
      <c r="O136" s="10" t="n">
        <f aca="false">O135+N136</f>
        <v>71.8</v>
      </c>
      <c r="P136" s="10" t="n">
        <v>92</v>
      </c>
      <c r="Q136" s="10" t="n">
        <v>1</v>
      </c>
      <c r="R136" s="13" t="n">
        <f aca="false">Q136*L136</f>
        <v>1.2</v>
      </c>
      <c r="S136" s="13" t="n">
        <f aca="false">J136-R136</f>
        <v>1.6</v>
      </c>
      <c r="T136" s="13" t="n">
        <f aca="false">MIN(153.6,(T135+S136))</f>
        <v>123.937123287671</v>
      </c>
      <c r="U136" s="35" t="s">
        <v>41</v>
      </c>
      <c r="V136" s="18" t="n">
        <v>408.4</v>
      </c>
      <c r="W136" s="10" t="n">
        <v>57.5211267605634</v>
      </c>
      <c r="X136" s="10" t="n">
        <v>53244.3</v>
      </c>
      <c r="Y136" s="10" t="n">
        <f aca="false">Y135+V136</f>
        <v>2313.2</v>
      </c>
      <c r="AA136" s="23" t="n">
        <v>8.095411144313</v>
      </c>
    </row>
    <row r="137" s="10" customFormat="true" ht="15" hidden="false" customHeight="false" outlineLevel="0" collapsed="false">
      <c r="A137" s="34"/>
      <c r="B137" s="16"/>
      <c r="C137" s="9" t="n">
        <v>41984</v>
      </c>
      <c r="D137" s="10" t="n">
        <v>7.4</v>
      </c>
      <c r="E137" s="10" t="n">
        <v>5.3</v>
      </c>
      <c r="F137" s="10" t="n">
        <v>9.7</v>
      </c>
      <c r="G137" s="10" t="n">
        <v>1080.6</v>
      </c>
      <c r="H137" s="10" t="n">
        <f aca="false">H136+D137</f>
        <v>45.2</v>
      </c>
      <c r="I137" s="10" t="n">
        <v>61</v>
      </c>
      <c r="J137" s="10" t="n">
        <v>2.9</v>
      </c>
      <c r="K137" s="10" t="n">
        <v>169.4</v>
      </c>
      <c r="L137" s="10" t="n">
        <v>1</v>
      </c>
      <c r="M137" s="10" t="n">
        <v>122.7</v>
      </c>
      <c r="N137" s="10" t="n">
        <v>1.9</v>
      </c>
      <c r="O137" s="10" t="n">
        <f aca="false">O136+N137</f>
        <v>73.7</v>
      </c>
      <c r="P137" s="10" t="n">
        <v>93</v>
      </c>
      <c r="Q137" s="10" t="n">
        <v>1</v>
      </c>
      <c r="R137" s="13" t="n">
        <f aca="false">Q137*L137</f>
        <v>1</v>
      </c>
      <c r="S137" s="13" t="n">
        <f aca="false">J137-R137</f>
        <v>1.9</v>
      </c>
      <c r="T137" s="13" t="n">
        <f aca="false">MIN(153.6,(T136+S137))</f>
        <v>125.837123287671</v>
      </c>
      <c r="U137" s="19" t="n">
        <f aca="false">AVERAGE(T126:T222)</f>
        <v>146.187270159582</v>
      </c>
      <c r="V137" s="18" t="n">
        <v>197.3</v>
      </c>
      <c r="W137" s="10" t="n">
        <v>26.6621621621622</v>
      </c>
      <c r="X137" s="10" t="n">
        <v>53441.6</v>
      </c>
      <c r="Y137" s="10" t="n">
        <f aca="false">Y136+V137</f>
        <v>2510.5</v>
      </c>
      <c r="AA137" s="23" t="n">
        <v>8.07517553202544</v>
      </c>
    </row>
    <row r="138" s="10" customFormat="true" ht="15" hidden="false" customHeight="false" outlineLevel="0" collapsed="false">
      <c r="A138" s="34"/>
      <c r="B138" s="16"/>
      <c r="C138" s="9" t="n">
        <v>41985</v>
      </c>
      <c r="D138" s="10" t="n">
        <v>8.5</v>
      </c>
      <c r="E138" s="10" t="n">
        <v>7.6</v>
      </c>
      <c r="F138" s="10" t="n">
        <v>9.8</v>
      </c>
      <c r="G138" s="10" t="n">
        <v>1089.1</v>
      </c>
      <c r="H138" s="10" t="n">
        <f aca="false">H137+D138</f>
        <v>53.7</v>
      </c>
      <c r="I138" s="35" t="s">
        <v>42</v>
      </c>
      <c r="J138" s="10" t="n">
        <v>6.7</v>
      </c>
      <c r="K138" s="10" t="n">
        <v>176.1</v>
      </c>
      <c r="L138" s="10" t="n">
        <v>0.8</v>
      </c>
      <c r="M138" s="10" t="n">
        <v>123.5</v>
      </c>
      <c r="N138" s="10" t="n">
        <v>5.9</v>
      </c>
      <c r="O138" s="10" t="n">
        <f aca="false">O137+N138</f>
        <v>79.6</v>
      </c>
      <c r="P138" s="10" t="n">
        <v>94</v>
      </c>
      <c r="Q138" s="10" t="n">
        <v>1</v>
      </c>
      <c r="R138" s="13" t="n">
        <f aca="false">Q138*L138</f>
        <v>0.8</v>
      </c>
      <c r="S138" s="13" t="n">
        <f aca="false">J138-R138</f>
        <v>5.9</v>
      </c>
      <c r="T138" s="13" t="n">
        <f aca="false">MIN(153.6,(T137+S138))</f>
        <v>131.737123287671</v>
      </c>
      <c r="U138" s="35" t="s">
        <v>44</v>
      </c>
      <c r="V138" s="22" t="n">
        <v>67.9</v>
      </c>
      <c r="W138" s="10" t="n">
        <v>7.98823529411765</v>
      </c>
      <c r="X138" s="10" t="n">
        <v>53509.5</v>
      </c>
      <c r="Y138" s="10" t="n">
        <f aca="false">Y137+V138</f>
        <v>2578.4</v>
      </c>
      <c r="AA138" s="23" t="n">
        <v>8.05653689067263</v>
      </c>
    </row>
    <row r="139" s="10" customFormat="true" ht="15" hidden="false" customHeight="false" outlineLevel="0" collapsed="false">
      <c r="A139" s="34"/>
      <c r="B139" s="24"/>
      <c r="C139" s="9" t="n">
        <v>41986</v>
      </c>
      <c r="D139" s="21" t="n">
        <v>3.9</v>
      </c>
      <c r="E139" s="21" t="n">
        <v>3.5</v>
      </c>
      <c r="F139" s="10" t="n">
        <v>5.4</v>
      </c>
      <c r="G139" s="10" t="n">
        <v>1093</v>
      </c>
      <c r="H139" s="10" t="n">
        <f aca="false">H138+D139</f>
        <v>57.6</v>
      </c>
      <c r="I139" s="10" t="n">
        <v>426.7</v>
      </c>
      <c r="J139" s="10" t="n">
        <v>0.1</v>
      </c>
      <c r="K139" s="10" t="n">
        <v>176.2</v>
      </c>
      <c r="L139" s="10" t="n">
        <v>0.5</v>
      </c>
      <c r="M139" s="10" t="n">
        <v>124</v>
      </c>
      <c r="N139" s="11" t="n">
        <v>-0.4</v>
      </c>
      <c r="O139" s="10" t="n">
        <f aca="false">O138+N139</f>
        <v>79.2</v>
      </c>
      <c r="P139" s="10" t="n">
        <v>95</v>
      </c>
      <c r="Q139" s="10" t="n">
        <v>1</v>
      </c>
      <c r="R139" s="13" t="n">
        <f aca="false">Q139*L139</f>
        <v>0.5</v>
      </c>
      <c r="S139" s="13" t="n">
        <f aca="false">J139-R139</f>
        <v>-0.4</v>
      </c>
      <c r="T139" s="13" t="n">
        <f aca="false">MIN(153.6,(T138+S139))</f>
        <v>131.337123287671</v>
      </c>
      <c r="U139" s="13" t="n">
        <v>49</v>
      </c>
      <c r="V139" s="22" t="n">
        <v>89.2</v>
      </c>
      <c r="W139" s="10" t="n">
        <v>22.8717948717949</v>
      </c>
      <c r="X139" s="10" t="n">
        <v>53598.7</v>
      </c>
      <c r="Y139" s="10" t="n">
        <f aca="false">Y138+V139</f>
        <v>2667.6</v>
      </c>
      <c r="AA139" s="23" t="n">
        <v>8.03951805541864</v>
      </c>
    </row>
    <row r="140" s="10" customFormat="true" ht="15" hidden="false" customHeight="false" outlineLevel="0" collapsed="false">
      <c r="A140" s="34"/>
      <c r="B140" s="24"/>
      <c r="C140" s="9" t="n">
        <v>41987</v>
      </c>
      <c r="D140" s="21" t="n">
        <v>1</v>
      </c>
      <c r="E140" s="36" t="n">
        <v>-1.5</v>
      </c>
      <c r="F140" s="21" t="n">
        <v>4.7</v>
      </c>
      <c r="G140" s="10" t="n">
        <v>1094</v>
      </c>
      <c r="H140" s="10" t="n">
        <f aca="false">H139+D140</f>
        <v>58.6</v>
      </c>
      <c r="J140" s="10" t="n">
        <v>0.9</v>
      </c>
      <c r="K140" s="10" t="n">
        <v>177.1</v>
      </c>
      <c r="L140" s="10" t="n">
        <v>0.3</v>
      </c>
      <c r="M140" s="10" t="n">
        <v>124.3</v>
      </c>
      <c r="N140" s="10" t="n">
        <v>0.6</v>
      </c>
      <c r="O140" s="10" t="n">
        <f aca="false">O139+N140</f>
        <v>79.8</v>
      </c>
      <c r="P140" s="10" t="n">
        <v>96</v>
      </c>
      <c r="Q140" s="10" t="n">
        <v>1</v>
      </c>
      <c r="R140" s="13" t="n">
        <f aca="false">Q140*L140</f>
        <v>0.3</v>
      </c>
      <c r="S140" s="13" t="n">
        <f aca="false">J140-R140</f>
        <v>0.6</v>
      </c>
      <c r="T140" s="13" t="n">
        <f aca="false">MIN(153.6,(T139+S140))</f>
        <v>131.937123287671</v>
      </c>
      <c r="V140" s="18" t="n">
        <v>144</v>
      </c>
      <c r="W140" s="10" t="n">
        <v>144</v>
      </c>
      <c r="X140" s="10" t="n">
        <v>53742.7</v>
      </c>
      <c r="Y140" s="10" t="n">
        <f aca="false">Y139+V140</f>
        <v>2811.6</v>
      </c>
      <c r="AA140" s="23" t="n">
        <v>8.02414018521425</v>
      </c>
    </row>
    <row r="141" s="10" customFormat="true" ht="15" hidden="false" customHeight="false" outlineLevel="0" collapsed="false">
      <c r="A141" s="34"/>
      <c r="B141" s="24"/>
      <c r="C141" s="9" t="n">
        <v>41988</v>
      </c>
      <c r="D141" s="10" t="n">
        <v>6.1</v>
      </c>
      <c r="E141" s="21" t="n">
        <v>1.6</v>
      </c>
      <c r="F141" s="10" t="n">
        <v>7.9</v>
      </c>
      <c r="G141" s="10" t="n">
        <v>1100.1</v>
      </c>
      <c r="H141" s="10" t="n">
        <f aca="false">H140+D141</f>
        <v>64.7</v>
      </c>
      <c r="J141" s="10" t="n">
        <v>1</v>
      </c>
      <c r="K141" s="10" t="n">
        <v>178.1</v>
      </c>
      <c r="L141" s="10" t="n">
        <v>0.3</v>
      </c>
      <c r="M141" s="10" t="n">
        <v>124.6</v>
      </c>
      <c r="N141" s="10" t="n">
        <v>0.7</v>
      </c>
      <c r="O141" s="10" t="n">
        <f aca="false">O140+N141</f>
        <v>80.5</v>
      </c>
      <c r="P141" s="10" t="n">
        <v>97</v>
      </c>
      <c r="Q141" s="10" t="n">
        <v>1</v>
      </c>
      <c r="R141" s="13" t="n">
        <f aca="false">Q141*L141</f>
        <v>0.3</v>
      </c>
      <c r="S141" s="13" t="n">
        <f aca="false">J141-R141</f>
        <v>0.7</v>
      </c>
      <c r="T141" s="13" t="n">
        <f aca="false">MIN(153.6,(T140+S141))</f>
        <v>132.637123287671</v>
      </c>
      <c r="U141" s="13" t="n">
        <f aca="false">(U137*100)/153.6</f>
        <v>95.1740040101446</v>
      </c>
      <c r="V141" s="18" t="n">
        <v>255.1</v>
      </c>
      <c r="W141" s="10" t="n">
        <v>41.8196721311475</v>
      </c>
      <c r="X141" s="10" t="n">
        <v>53997.8</v>
      </c>
      <c r="Y141" s="10" t="n">
        <f aca="false">Y140+V141</f>
        <v>3066.7</v>
      </c>
      <c r="AA141" s="23" t="n">
        <v>8.01042267130104</v>
      </c>
    </row>
    <row r="142" s="10" customFormat="true" ht="15" hidden="false" customHeight="false" outlineLevel="0" collapsed="false">
      <c r="A142" s="34"/>
      <c r="B142" s="24"/>
      <c r="C142" s="9" t="n">
        <v>41989</v>
      </c>
      <c r="D142" s="10" t="n">
        <v>5.3</v>
      </c>
      <c r="E142" s="21" t="n">
        <v>4.4</v>
      </c>
      <c r="F142" s="10" t="n">
        <v>7.3</v>
      </c>
      <c r="G142" s="10" t="n">
        <v>1105.4</v>
      </c>
      <c r="H142" s="10" t="n">
        <f aca="false">H141+D142</f>
        <v>70</v>
      </c>
      <c r="J142" s="10" t="n">
        <v>7.9</v>
      </c>
      <c r="K142" s="10" t="n">
        <v>186</v>
      </c>
      <c r="L142" s="10" t="n">
        <v>0.7</v>
      </c>
      <c r="M142" s="10" t="n">
        <v>125.3</v>
      </c>
      <c r="N142" s="10" t="n">
        <v>7.2</v>
      </c>
      <c r="O142" s="10" t="n">
        <f aca="false">O141+N142</f>
        <v>87.7</v>
      </c>
      <c r="P142" s="10" t="n">
        <v>98</v>
      </c>
      <c r="Q142" s="10" t="n">
        <v>1</v>
      </c>
      <c r="R142" s="13" t="n">
        <f aca="false">Q142*L142</f>
        <v>0.7</v>
      </c>
      <c r="S142" s="13" t="n">
        <f aca="false">J142-R142</f>
        <v>7.2</v>
      </c>
      <c r="T142" s="13" t="n">
        <f aca="false">MIN(153.6,(T141+S142))</f>
        <v>139.837123287671</v>
      </c>
      <c r="V142" s="18" t="n">
        <v>263.9</v>
      </c>
      <c r="W142" s="10" t="n">
        <v>49.7924528301887</v>
      </c>
      <c r="X142" s="10" t="n">
        <v>54261.7</v>
      </c>
      <c r="Y142" s="10" t="n">
        <f aca="false">Y141+V142</f>
        <v>3330.6</v>
      </c>
      <c r="AA142" s="23" t="n">
        <v>7.99838305189741</v>
      </c>
    </row>
    <row r="143" s="10" customFormat="true" ht="15" hidden="false" customHeight="false" outlineLevel="0" collapsed="false">
      <c r="A143" s="34"/>
      <c r="B143" s="24"/>
      <c r="C143" s="9" t="n">
        <v>41990</v>
      </c>
      <c r="D143" s="10" t="n">
        <v>8.9</v>
      </c>
      <c r="E143" s="21" t="n">
        <v>3.9</v>
      </c>
      <c r="F143" s="10" t="n">
        <v>12.2</v>
      </c>
      <c r="G143" s="10" t="n">
        <v>1114.3</v>
      </c>
      <c r="H143" s="10" t="n">
        <f aca="false">H142+D143</f>
        <v>78.9</v>
      </c>
      <c r="J143" s="10" t="n">
        <v>2.9</v>
      </c>
      <c r="K143" s="10" t="n">
        <v>188.9</v>
      </c>
      <c r="L143" s="10" t="n">
        <v>0.1</v>
      </c>
      <c r="M143" s="10" t="n">
        <v>125.4</v>
      </c>
      <c r="N143" s="10" t="n">
        <v>2.8</v>
      </c>
      <c r="O143" s="10" t="n">
        <f aca="false">O142+N143</f>
        <v>90.5</v>
      </c>
      <c r="P143" s="10" t="n">
        <v>99</v>
      </c>
      <c r="Q143" s="10" t="n">
        <v>1</v>
      </c>
      <c r="R143" s="13" t="n">
        <f aca="false">Q143*L143</f>
        <v>0.1</v>
      </c>
      <c r="S143" s="13" t="n">
        <f aca="false">J143-R143</f>
        <v>2.8</v>
      </c>
      <c r="T143" s="13" t="n">
        <f aca="false">MIN(153.6,(T142+S143))</f>
        <v>142.637123287671</v>
      </c>
      <c r="V143" s="22" t="n">
        <v>60.5</v>
      </c>
      <c r="W143" s="10" t="n">
        <v>6.79775280898876</v>
      </c>
      <c r="X143" s="10" t="n">
        <v>54322.2</v>
      </c>
      <c r="Y143" s="10" t="n">
        <f aca="false">Y142+V143</f>
        <v>3391.1</v>
      </c>
      <c r="AA143" s="23" t="n">
        <v>7.98803693383211</v>
      </c>
    </row>
    <row r="144" s="10" customFormat="true" ht="15" hidden="false" customHeight="false" outlineLevel="0" collapsed="false">
      <c r="A144" s="34"/>
      <c r="B144" s="16"/>
      <c r="C144" s="9" t="n">
        <v>41991</v>
      </c>
      <c r="D144" s="10" t="n">
        <v>12.5</v>
      </c>
      <c r="E144" s="10" t="n">
        <v>10</v>
      </c>
      <c r="F144" s="10" t="n">
        <v>13.3</v>
      </c>
      <c r="G144" s="10" t="n">
        <v>1126.8</v>
      </c>
      <c r="H144" s="10" t="n">
        <f aca="false">H143+D144</f>
        <v>91.4</v>
      </c>
      <c r="J144" s="10" t="n">
        <v>1.8</v>
      </c>
      <c r="K144" s="10" t="n">
        <v>190.7</v>
      </c>
      <c r="L144" s="10" t="n">
        <v>0.2</v>
      </c>
      <c r="M144" s="10" t="n">
        <v>125.6</v>
      </c>
      <c r="N144" s="10" t="n">
        <v>1.6</v>
      </c>
      <c r="O144" s="10" t="n">
        <f aca="false">O143+N144</f>
        <v>92.1</v>
      </c>
      <c r="P144" s="10" t="n">
        <v>100</v>
      </c>
      <c r="Q144" s="10" t="n">
        <v>1</v>
      </c>
      <c r="R144" s="13" t="n">
        <f aca="false">Q144*L144</f>
        <v>0.2</v>
      </c>
      <c r="S144" s="13" t="n">
        <f aca="false">J144-R144</f>
        <v>1.6</v>
      </c>
      <c r="T144" s="13" t="n">
        <f aca="false">MIN(153.6,(T143+S144))</f>
        <v>144.237123287671</v>
      </c>
      <c r="V144" s="22" t="n">
        <v>71.5</v>
      </c>
      <c r="W144" s="10" t="n">
        <v>5.72</v>
      </c>
      <c r="X144" s="10" t="n">
        <v>54393.7</v>
      </c>
      <c r="Y144" s="10" t="n">
        <f aca="false">Y143+V144</f>
        <v>3462.6</v>
      </c>
      <c r="AA144" s="23" t="n">
        <v>7.97939792184437</v>
      </c>
    </row>
    <row r="145" s="10" customFormat="true" ht="15" hidden="false" customHeight="false" outlineLevel="0" collapsed="false">
      <c r="A145" s="34"/>
      <c r="B145" s="16"/>
      <c r="C145" s="9" t="n">
        <v>41992</v>
      </c>
      <c r="D145" s="10" t="n">
        <v>8.9</v>
      </c>
      <c r="E145" s="10" t="n">
        <v>6.4</v>
      </c>
      <c r="F145" s="10" t="n">
        <v>11.1</v>
      </c>
      <c r="G145" s="10" t="n">
        <v>1135.7</v>
      </c>
      <c r="H145" s="10" t="n">
        <f aca="false">H144+D145</f>
        <v>100.3</v>
      </c>
      <c r="J145" s="10" t="n">
        <v>6.2</v>
      </c>
      <c r="K145" s="10" t="n">
        <v>196.9</v>
      </c>
      <c r="L145" s="10" t="n">
        <v>0.3</v>
      </c>
      <c r="M145" s="10" t="n">
        <v>125.9</v>
      </c>
      <c r="N145" s="10" t="n">
        <v>5.9</v>
      </c>
      <c r="O145" s="10" t="n">
        <f aca="false">O144+N145</f>
        <v>98</v>
      </c>
      <c r="P145" s="10" t="n">
        <v>101</v>
      </c>
      <c r="Q145" s="10" t="n">
        <v>1</v>
      </c>
      <c r="R145" s="13" t="n">
        <f aca="false">Q145*L145</f>
        <v>0.3</v>
      </c>
      <c r="S145" s="13" t="n">
        <f aca="false">J145-R145</f>
        <v>5.9</v>
      </c>
      <c r="T145" s="13" t="n">
        <f aca="false">MIN(153.6,(T144+S145))</f>
        <v>150.137123287671</v>
      </c>
      <c r="V145" s="22" t="n">
        <v>64.1</v>
      </c>
      <c r="W145" s="10" t="n">
        <v>7.20224719101124</v>
      </c>
      <c r="X145" s="10" t="n">
        <v>54457.8</v>
      </c>
      <c r="Y145" s="10" t="n">
        <f aca="false">Y144+V145</f>
        <v>3526.7</v>
      </c>
      <c r="AA145" s="23" t="n">
        <v>7.97247755621257</v>
      </c>
    </row>
    <row r="146" s="10" customFormat="true" ht="15" hidden="false" customHeight="false" outlineLevel="0" collapsed="false">
      <c r="A146" s="34"/>
      <c r="B146" s="24"/>
      <c r="C146" s="9" t="n">
        <v>41993</v>
      </c>
      <c r="D146" s="10" t="n">
        <v>6.2</v>
      </c>
      <c r="E146" s="21" t="n">
        <v>4.7</v>
      </c>
      <c r="F146" s="10" t="n">
        <v>9.2</v>
      </c>
      <c r="G146" s="10" t="n">
        <v>1141.9</v>
      </c>
      <c r="H146" s="10" t="n">
        <f aca="false">H145+D146</f>
        <v>106.5</v>
      </c>
      <c r="J146" s="10" t="n">
        <v>0</v>
      </c>
      <c r="K146" s="10" t="n">
        <v>196.9</v>
      </c>
      <c r="L146" s="10" t="n">
        <v>1.2</v>
      </c>
      <c r="M146" s="10" t="n">
        <v>127.1</v>
      </c>
      <c r="N146" s="11" t="n">
        <v>-1.2</v>
      </c>
      <c r="O146" s="10" t="n">
        <f aca="false">O145+N146</f>
        <v>96.8</v>
      </c>
      <c r="P146" s="10" t="n">
        <v>102</v>
      </c>
      <c r="Q146" s="10" t="n">
        <v>1</v>
      </c>
      <c r="R146" s="13" t="n">
        <f aca="false">Q146*L146</f>
        <v>1.2</v>
      </c>
      <c r="S146" s="13" t="n">
        <f aca="false">J146-R146</f>
        <v>-1.2</v>
      </c>
      <c r="T146" s="13" t="n">
        <f aca="false">MIN(153.6,(T145+S146))</f>
        <v>148.937123287671</v>
      </c>
      <c r="V146" s="18" t="n">
        <v>341.8</v>
      </c>
      <c r="W146" s="10" t="n">
        <v>55.1290322580645</v>
      </c>
      <c r="X146" s="10" t="n">
        <v>54799.6</v>
      </c>
      <c r="Y146" s="10" t="n">
        <f aca="false">Y145+V146</f>
        <v>3868.5</v>
      </c>
      <c r="AA146" s="23" t="n">
        <v>7.96728525930546</v>
      </c>
    </row>
    <row r="147" s="10" customFormat="true" ht="15" hidden="false" customHeight="false" outlineLevel="0" collapsed="false">
      <c r="A147" s="34"/>
      <c r="B147" s="24"/>
      <c r="C147" s="9" t="n">
        <v>41994</v>
      </c>
      <c r="D147" s="10" t="n">
        <v>6.6</v>
      </c>
      <c r="E147" s="21" t="n">
        <v>3.2</v>
      </c>
      <c r="F147" s="10" t="n">
        <v>9.9</v>
      </c>
      <c r="G147" s="10" t="n">
        <v>1148.5</v>
      </c>
      <c r="H147" s="10" t="n">
        <f aca="false">H146+D147</f>
        <v>113.1</v>
      </c>
      <c r="J147" s="10" t="n">
        <v>0.6</v>
      </c>
      <c r="K147" s="10" t="n">
        <v>197.5</v>
      </c>
      <c r="L147" s="10" t="n">
        <v>0.7</v>
      </c>
      <c r="M147" s="10" t="n">
        <v>127.8</v>
      </c>
      <c r="N147" s="11" t="n">
        <v>-0.1</v>
      </c>
      <c r="O147" s="10" t="n">
        <f aca="false">O146+N147</f>
        <v>96.7</v>
      </c>
      <c r="P147" s="10" t="n">
        <v>103</v>
      </c>
      <c r="Q147" s="10" t="n">
        <v>1</v>
      </c>
      <c r="R147" s="13" t="n">
        <f aca="false">Q147*L147</f>
        <v>0.7</v>
      </c>
      <c r="S147" s="13" t="n">
        <f aca="false">J147-R147</f>
        <v>-0.1</v>
      </c>
      <c r="T147" s="13" t="n">
        <f aca="false">MIN(153.6,(T146+S147))</f>
        <v>148.837123287671</v>
      </c>
      <c r="V147" s="18" t="n">
        <v>252.1</v>
      </c>
      <c r="W147" s="10" t="n">
        <v>38.1969696969697</v>
      </c>
      <c r="X147" s="10" t="n">
        <v>55051.7</v>
      </c>
      <c r="Y147" s="10" t="n">
        <f aca="false">Y146+V147</f>
        <v>4120.6</v>
      </c>
      <c r="AA147" s="23" t="n">
        <v>7.9638282915725</v>
      </c>
    </row>
    <row r="148" s="10" customFormat="true" ht="15" hidden="false" customHeight="false" outlineLevel="0" collapsed="false">
      <c r="A148" s="34"/>
      <c r="B148" s="16"/>
      <c r="C148" s="9" t="n">
        <v>41995</v>
      </c>
      <c r="D148" s="10" t="n">
        <v>11.3</v>
      </c>
      <c r="E148" s="10" t="n">
        <v>8.2</v>
      </c>
      <c r="F148" s="10" t="n">
        <v>12.2</v>
      </c>
      <c r="G148" s="10" t="n">
        <v>1159.8</v>
      </c>
      <c r="H148" s="10" t="n">
        <f aca="false">H147+D148</f>
        <v>124.4</v>
      </c>
      <c r="J148" s="10" t="n">
        <v>0.1</v>
      </c>
      <c r="K148" s="10" t="n">
        <v>197.6</v>
      </c>
      <c r="L148" s="10" t="n">
        <v>0.6</v>
      </c>
      <c r="M148" s="10" t="n">
        <v>128.4</v>
      </c>
      <c r="N148" s="11" t="n">
        <v>-0.5</v>
      </c>
      <c r="O148" s="10" t="n">
        <f aca="false">O147+N148</f>
        <v>96.2</v>
      </c>
      <c r="P148" s="10" t="n">
        <v>104</v>
      </c>
      <c r="Q148" s="10" t="n">
        <v>1</v>
      </c>
      <c r="R148" s="13" t="n">
        <f aca="false">Q148*L148</f>
        <v>0.6</v>
      </c>
      <c r="S148" s="13" t="n">
        <f aca="false">J148-R148</f>
        <v>-0.5</v>
      </c>
      <c r="T148" s="13" t="n">
        <f aca="false">MIN(153.6,(T147+S148))</f>
        <v>148.337123287671</v>
      </c>
      <c r="V148" s="22" t="n">
        <v>94.6</v>
      </c>
      <c r="W148" s="10" t="n">
        <v>8.3716814159292</v>
      </c>
      <c r="X148" s="10" t="n">
        <v>55146.3</v>
      </c>
      <c r="Y148" s="10" t="n">
        <f aca="false">Y147+V148</f>
        <v>4215.2</v>
      </c>
      <c r="AA148" s="23" t="n">
        <v>7.96211171740381</v>
      </c>
    </row>
    <row r="149" s="10" customFormat="true" ht="15" hidden="false" customHeight="false" outlineLevel="0" collapsed="false">
      <c r="A149" s="34"/>
      <c r="B149" s="16"/>
      <c r="C149" s="9" t="n">
        <v>41996</v>
      </c>
      <c r="D149" s="10" t="n">
        <v>10.9</v>
      </c>
      <c r="E149" s="10" t="n">
        <v>10.3</v>
      </c>
      <c r="F149" s="10" t="n">
        <v>11.7</v>
      </c>
      <c r="G149" s="10" t="n">
        <v>1170.7</v>
      </c>
      <c r="H149" s="10" t="n">
        <f aca="false">H148+D149</f>
        <v>135.3</v>
      </c>
      <c r="J149" s="10" t="n">
        <v>0.2</v>
      </c>
      <c r="K149" s="10" t="n">
        <v>197.8</v>
      </c>
      <c r="L149" s="10" t="n">
        <v>1.2</v>
      </c>
      <c r="M149" s="10" t="n">
        <v>129.6</v>
      </c>
      <c r="N149" s="11" t="n">
        <v>-1</v>
      </c>
      <c r="O149" s="10" t="n">
        <f aca="false">O148+N149</f>
        <v>95.2</v>
      </c>
      <c r="P149" s="10" t="n">
        <v>105</v>
      </c>
      <c r="Q149" s="10" t="n">
        <v>1</v>
      </c>
      <c r="R149" s="13" t="n">
        <f aca="false">Q149*L149</f>
        <v>1.2</v>
      </c>
      <c r="S149" s="13" t="n">
        <f aca="false">J149-R149</f>
        <v>-1</v>
      </c>
      <c r="T149" s="13" t="n">
        <f aca="false">MIN(153.6,(T148+S149))</f>
        <v>147.337123287671</v>
      </c>
      <c r="V149" s="18" t="n">
        <v>119</v>
      </c>
      <c r="W149" s="10" t="n">
        <v>10.9174311926606</v>
      </c>
      <c r="X149" s="10" t="n">
        <v>55265.3</v>
      </c>
      <c r="Y149" s="10" t="n">
        <f aca="false">Y148+V149</f>
        <v>4334.2</v>
      </c>
      <c r="AA149" s="23" t="n">
        <v>7.96213838119638</v>
      </c>
    </row>
    <row r="150" s="10" customFormat="true" ht="15" hidden="false" customHeight="false" outlineLevel="0" collapsed="false">
      <c r="A150" s="34"/>
      <c r="B150" s="16"/>
      <c r="C150" s="9" t="n">
        <v>41997</v>
      </c>
      <c r="D150" s="10" t="n">
        <v>8.1</v>
      </c>
      <c r="E150" s="10" t="n">
        <v>7.2</v>
      </c>
      <c r="F150" s="10" t="n">
        <v>10</v>
      </c>
      <c r="G150" s="10" t="n">
        <v>1178.8</v>
      </c>
      <c r="H150" s="10" t="n">
        <f aca="false">H149+D150</f>
        <v>143.4</v>
      </c>
      <c r="J150" s="10" t="n">
        <v>2</v>
      </c>
      <c r="K150" s="10" t="n">
        <v>199.8</v>
      </c>
      <c r="L150" s="10" t="n">
        <v>0.9</v>
      </c>
      <c r="M150" s="10" t="n">
        <v>130.5</v>
      </c>
      <c r="N150" s="10" t="n">
        <v>1.1</v>
      </c>
      <c r="O150" s="10" t="n">
        <f aca="false">O149+N150</f>
        <v>96.3</v>
      </c>
      <c r="P150" s="10" t="n">
        <v>106</v>
      </c>
      <c r="Q150" s="10" t="n">
        <v>1</v>
      </c>
      <c r="R150" s="13" t="n">
        <f aca="false">Q150*L150</f>
        <v>0.9</v>
      </c>
      <c r="S150" s="13" t="n">
        <f aca="false">J150-R150</f>
        <v>1.1</v>
      </c>
      <c r="T150" s="13" t="n">
        <f aca="false">MIN(153.6,(T149+S150))</f>
        <v>148.437123287671</v>
      </c>
      <c r="V150" s="22" t="n">
        <v>73.8</v>
      </c>
      <c r="W150" s="10" t="n">
        <v>9.11111111111111</v>
      </c>
      <c r="X150" s="10" t="n">
        <v>55339.1</v>
      </c>
      <c r="Y150" s="10" t="n">
        <f aca="false">Y149+V150</f>
        <v>4408</v>
      </c>
      <c r="AA150" s="23" t="n">
        <v>7.96390889386452</v>
      </c>
    </row>
    <row r="151" s="10" customFormat="true" ht="15" hidden="false" customHeight="false" outlineLevel="0" collapsed="false">
      <c r="A151" s="34"/>
      <c r="B151" s="24"/>
      <c r="C151" s="9" t="n">
        <v>41998</v>
      </c>
      <c r="D151" s="21" t="n">
        <v>4.8</v>
      </c>
      <c r="E151" s="21" t="n">
        <v>3.6</v>
      </c>
      <c r="F151" s="10" t="n">
        <v>7.9</v>
      </c>
      <c r="G151" s="10" t="n">
        <v>1183.6</v>
      </c>
      <c r="H151" s="10" t="n">
        <f aca="false">H150+D151</f>
        <v>148.2</v>
      </c>
      <c r="J151" s="10" t="n">
        <v>0.7</v>
      </c>
      <c r="K151" s="10" t="n">
        <v>200.5</v>
      </c>
      <c r="L151" s="10" t="n">
        <v>0.9</v>
      </c>
      <c r="M151" s="10" t="n">
        <v>131.4</v>
      </c>
      <c r="N151" s="11" t="n">
        <v>-0.2</v>
      </c>
      <c r="O151" s="10" t="n">
        <f aca="false">O150+N151</f>
        <v>96.1</v>
      </c>
      <c r="P151" s="10" t="n">
        <v>107</v>
      </c>
      <c r="Q151" s="10" t="n">
        <v>1</v>
      </c>
      <c r="R151" s="13" t="n">
        <f aca="false">Q151*L151</f>
        <v>0.9</v>
      </c>
      <c r="S151" s="13" t="n">
        <f aca="false">J151-R151</f>
        <v>-0.2</v>
      </c>
      <c r="T151" s="13" t="n">
        <f aca="false">MIN(153.6,(T150+S151))</f>
        <v>148.237123287671</v>
      </c>
      <c r="V151" s="18" t="n">
        <v>495.2</v>
      </c>
      <c r="W151" s="10" t="n">
        <v>103.166666666667</v>
      </c>
      <c r="X151" s="10" t="n">
        <v>55834.3</v>
      </c>
      <c r="Y151" s="10" t="n">
        <f aca="false">Y150+V151</f>
        <v>4903.2</v>
      </c>
      <c r="AA151" s="23" t="n">
        <v>7.96742162992889</v>
      </c>
    </row>
    <row r="152" s="10" customFormat="true" ht="15" hidden="false" customHeight="false" outlineLevel="0" collapsed="false">
      <c r="A152" s="34"/>
      <c r="B152" s="24"/>
      <c r="C152" s="9" t="n">
        <v>41999</v>
      </c>
      <c r="D152" s="21" t="n">
        <v>3.2</v>
      </c>
      <c r="E152" s="21" t="n">
        <v>1.8</v>
      </c>
      <c r="F152" s="10" t="n">
        <v>5.2</v>
      </c>
      <c r="G152" s="10" t="n">
        <v>1186.8</v>
      </c>
      <c r="H152" s="10" t="n">
        <f aca="false">H151+D152</f>
        <v>151.4</v>
      </c>
      <c r="J152" s="10" t="n">
        <v>15.2</v>
      </c>
      <c r="K152" s="10" t="n">
        <v>215.7</v>
      </c>
      <c r="L152" s="10" t="n">
        <v>0.5</v>
      </c>
      <c r="M152" s="10" t="n">
        <v>131.9</v>
      </c>
      <c r="N152" s="10" t="n">
        <v>14.7</v>
      </c>
      <c r="O152" s="10" t="n">
        <f aca="false">O151+N152</f>
        <v>110.8</v>
      </c>
      <c r="P152" s="10" t="n">
        <v>108</v>
      </c>
      <c r="Q152" s="10" t="n">
        <v>1</v>
      </c>
      <c r="R152" s="13" t="n">
        <f aca="false">Q152*L152</f>
        <v>0.5</v>
      </c>
      <c r="S152" s="13" t="n">
        <f aca="false">J152-R152</f>
        <v>14.7</v>
      </c>
      <c r="T152" s="13" t="n">
        <f aca="false">MIN(153.6,(T151+S152))</f>
        <v>153.6</v>
      </c>
      <c r="V152" s="18" t="n">
        <v>125.7</v>
      </c>
      <c r="W152" s="10" t="n">
        <v>39.28125</v>
      </c>
      <c r="X152" s="10" t="n">
        <v>55960</v>
      </c>
      <c r="Y152" s="10" t="n">
        <f aca="false">Y151+V152</f>
        <v>5028.9</v>
      </c>
      <c r="AA152" s="23" t="n">
        <v>7.97267273521279</v>
      </c>
    </row>
    <row r="153" s="10" customFormat="true" ht="15" hidden="false" customHeight="false" outlineLevel="0" collapsed="false">
      <c r="A153" s="34"/>
      <c r="B153" s="24"/>
      <c r="C153" s="9" t="n">
        <v>42000</v>
      </c>
      <c r="D153" s="21" t="n">
        <v>2.5</v>
      </c>
      <c r="E153" s="21" t="n">
        <v>1.7</v>
      </c>
      <c r="F153" s="21" t="n">
        <v>3.7</v>
      </c>
      <c r="G153" s="10" t="n">
        <v>1189.3</v>
      </c>
      <c r="H153" s="10" t="n">
        <f aca="false">H152+D153</f>
        <v>153.9</v>
      </c>
      <c r="J153" s="10" t="n">
        <v>1.4</v>
      </c>
      <c r="K153" s="10" t="n">
        <v>217.1</v>
      </c>
      <c r="L153" s="10" t="n">
        <v>0.6</v>
      </c>
      <c r="M153" s="10" t="n">
        <v>132.5</v>
      </c>
      <c r="N153" s="10" t="n">
        <v>0.8</v>
      </c>
      <c r="O153" s="10" t="n">
        <f aca="false">O152+N153</f>
        <v>111.6</v>
      </c>
      <c r="P153" s="10" t="n">
        <v>109</v>
      </c>
      <c r="Q153" s="10" t="n">
        <v>1</v>
      </c>
      <c r="R153" s="13" t="n">
        <f aca="false">Q153*L153</f>
        <v>0.6</v>
      </c>
      <c r="S153" s="13" t="n">
        <f aca="false">J153-R153</f>
        <v>0.8</v>
      </c>
      <c r="T153" s="13" t="n">
        <f aca="false">MIN(153.6,(T152+S153))</f>
        <v>153.6</v>
      </c>
      <c r="V153" s="22" t="n">
        <v>60.3</v>
      </c>
      <c r="W153" s="10" t="n">
        <v>24.12</v>
      </c>
      <c r="X153" s="10" t="n">
        <v>56020.3</v>
      </c>
      <c r="Y153" s="10" t="n">
        <f aca="false">Y152+V153</f>
        <v>5089.2</v>
      </c>
      <c r="AA153" s="23" t="n">
        <v>7.97965614506847</v>
      </c>
    </row>
    <row r="154" s="10" customFormat="true" ht="15" hidden="false" customHeight="false" outlineLevel="0" collapsed="false">
      <c r="A154" s="34"/>
      <c r="B154" s="24"/>
      <c r="C154" s="9" t="n">
        <v>42001</v>
      </c>
      <c r="D154" s="36" t="n">
        <v>-1.5</v>
      </c>
      <c r="E154" s="36" t="n">
        <v>-2.2</v>
      </c>
      <c r="F154" s="21" t="n">
        <v>0.3</v>
      </c>
      <c r="G154" s="10" t="n">
        <v>1189.3</v>
      </c>
      <c r="H154" s="10" t="n">
        <v>153.9</v>
      </c>
      <c r="J154" s="10" t="n">
        <v>0</v>
      </c>
      <c r="K154" s="10" t="n">
        <v>217.1</v>
      </c>
      <c r="L154" s="10" t="n">
        <v>1</v>
      </c>
      <c r="M154" s="10" t="n">
        <v>133.5</v>
      </c>
      <c r="N154" s="11" t="n">
        <v>-1</v>
      </c>
      <c r="O154" s="10" t="n">
        <f aca="false">O153+N154</f>
        <v>110.6</v>
      </c>
      <c r="P154" s="10" t="n">
        <v>110</v>
      </c>
      <c r="Q154" s="10" t="n">
        <v>1</v>
      </c>
      <c r="R154" s="13" t="n">
        <f aca="false">Q154*L154</f>
        <v>1</v>
      </c>
      <c r="S154" s="13" t="n">
        <f aca="false">J154-R154</f>
        <v>-1</v>
      </c>
      <c r="T154" s="13" t="n">
        <f aca="false">MIN(153.6,(T153+S154))</f>
        <v>152.6</v>
      </c>
      <c r="V154" s="18" t="n">
        <v>564.5</v>
      </c>
      <c r="W154" s="10" t="n">
        <v>-376.333333333333</v>
      </c>
      <c r="X154" s="10" t="n">
        <v>56584.8</v>
      </c>
      <c r="Y154" s="10" t="n">
        <f aca="false">Y153+V154</f>
        <v>5653.7</v>
      </c>
      <c r="AA154" s="23" t="n">
        <v>7.98836361295121</v>
      </c>
    </row>
    <row r="155" s="10" customFormat="true" ht="15" hidden="false" customHeight="false" outlineLevel="0" collapsed="false">
      <c r="A155" s="34"/>
      <c r="B155" s="24"/>
      <c r="C155" s="9" t="n">
        <v>42002</v>
      </c>
      <c r="D155" s="21" t="n">
        <v>2.2</v>
      </c>
      <c r="E155" s="36" t="n">
        <v>-3.5</v>
      </c>
      <c r="F155" s="21" t="n">
        <v>4.9</v>
      </c>
      <c r="G155" s="10" t="n">
        <v>1191.5</v>
      </c>
      <c r="H155" s="10" t="n">
        <f aca="false">H154+D155</f>
        <v>156.1</v>
      </c>
      <c r="J155" s="10" t="n">
        <v>1</v>
      </c>
      <c r="K155" s="10" t="n">
        <v>218.1</v>
      </c>
      <c r="L155" s="10" t="n">
        <v>0.2</v>
      </c>
      <c r="M155" s="10" t="n">
        <v>133.7</v>
      </c>
      <c r="N155" s="10" t="n">
        <v>0.8</v>
      </c>
      <c r="O155" s="10" t="n">
        <f aca="false">O154+N155</f>
        <v>111.4</v>
      </c>
      <c r="P155" s="10" t="n">
        <v>111</v>
      </c>
      <c r="Q155" s="10" t="n">
        <v>1</v>
      </c>
      <c r="R155" s="13" t="n">
        <f aca="false">Q155*L155</f>
        <v>0.2</v>
      </c>
      <c r="S155" s="13" t="n">
        <f aca="false">J155-R155</f>
        <v>0.8</v>
      </c>
      <c r="T155" s="13" t="n">
        <f aca="false">MIN(153.6,(T154+S155))</f>
        <v>153.4</v>
      </c>
      <c r="V155" s="18" t="n">
        <v>147.3</v>
      </c>
      <c r="W155" s="10" t="n">
        <v>66.9545454545455</v>
      </c>
      <c r="X155" s="10" t="n">
        <v>56732.1</v>
      </c>
      <c r="Y155" s="10" t="n">
        <f aca="false">Y154+V155</f>
        <v>5801</v>
      </c>
      <c r="AA155" s="23" t="n">
        <v>7.99878474905749</v>
      </c>
    </row>
    <row r="156" s="10" customFormat="true" ht="15" hidden="false" customHeight="false" outlineLevel="0" collapsed="false">
      <c r="A156" s="34"/>
      <c r="B156" s="24"/>
      <c r="C156" s="9" t="n">
        <v>42003</v>
      </c>
      <c r="D156" s="21" t="n">
        <v>3</v>
      </c>
      <c r="E156" s="21" t="n">
        <v>1.3</v>
      </c>
      <c r="F156" s="21" t="n">
        <v>4.4</v>
      </c>
      <c r="G156" s="10" t="n">
        <v>1194.5</v>
      </c>
      <c r="H156" s="10" t="n">
        <f aca="false">H155+D156</f>
        <v>159.1</v>
      </c>
      <c r="J156" s="10" t="n">
        <v>0</v>
      </c>
      <c r="K156" s="10" t="n">
        <v>218.1</v>
      </c>
      <c r="L156" s="10" t="n">
        <v>0.5</v>
      </c>
      <c r="M156" s="10" t="n">
        <v>134.2</v>
      </c>
      <c r="N156" s="11" t="n">
        <v>-0.5</v>
      </c>
      <c r="O156" s="10" t="n">
        <f aca="false">O155+N156</f>
        <v>110.9</v>
      </c>
      <c r="P156" s="10" t="n">
        <v>112</v>
      </c>
      <c r="Q156" s="10" t="n">
        <v>1</v>
      </c>
      <c r="R156" s="13" t="n">
        <f aca="false">Q156*L156</f>
        <v>0.5</v>
      </c>
      <c r="S156" s="13" t="n">
        <f aca="false">J156-R156</f>
        <v>-0.5</v>
      </c>
      <c r="T156" s="13" t="n">
        <f aca="false">MIN(153.6,(T155+S156))</f>
        <v>152.9</v>
      </c>
      <c r="V156" s="18" t="n">
        <v>306.2</v>
      </c>
      <c r="W156" s="10" t="n">
        <v>102.066666666667</v>
      </c>
      <c r="X156" s="10" t="n">
        <v>57038.3</v>
      </c>
      <c r="Y156" s="10" t="n">
        <f aca="false">Y155+V156</f>
        <v>6107.2</v>
      </c>
      <c r="AA156" s="23" t="n">
        <v>8.01090706864678</v>
      </c>
    </row>
    <row r="157" s="10" customFormat="true" ht="15" hidden="false" customHeight="false" outlineLevel="0" collapsed="false">
      <c r="A157" s="34"/>
      <c r="B157" s="24"/>
      <c r="C157" s="9" t="n">
        <v>42004</v>
      </c>
      <c r="D157" s="21" t="n">
        <v>3.3</v>
      </c>
      <c r="E157" s="21" t="n">
        <v>2</v>
      </c>
      <c r="F157" s="10" t="n">
        <v>6</v>
      </c>
      <c r="G157" s="10" t="n">
        <v>1197.8</v>
      </c>
      <c r="H157" s="10" t="n">
        <f aca="false">H156+D157</f>
        <v>162.4</v>
      </c>
      <c r="J157" s="10" t="n">
        <v>0</v>
      </c>
      <c r="K157" s="10" t="n">
        <v>218.1</v>
      </c>
      <c r="L157" s="10" t="n">
        <v>0.6</v>
      </c>
      <c r="M157" s="10" t="n">
        <v>134.8</v>
      </c>
      <c r="N157" s="11" t="n">
        <v>-0.6</v>
      </c>
      <c r="O157" s="10" t="n">
        <f aca="false">O156+N157</f>
        <v>110.3</v>
      </c>
      <c r="P157" s="10" t="n">
        <v>113</v>
      </c>
      <c r="Q157" s="10" t="n">
        <v>1</v>
      </c>
      <c r="R157" s="13" t="n">
        <f aca="false">Q157*L157</f>
        <v>0.6</v>
      </c>
      <c r="S157" s="13" t="n">
        <f aca="false">J157-R157</f>
        <v>-0.6</v>
      </c>
      <c r="T157" s="13" t="n">
        <f aca="false">MIN(153.6,(T156+S157))</f>
        <v>152.3</v>
      </c>
      <c r="V157" s="18" t="n">
        <v>156.2</v>
      </c>
      <c r="W157" s="10" t="n">
        <v>47.3333333333333</v>
      </c>
      <c r="X157" s="10" t="n">
        <v>57194.5</v>
      </c>
      <c r="Y157" s="10" t="n">
        <f aca="false">Y156+V157</f>
        <v>6263.4</v>
      </c>
      <c r="AA157" s="23" t="n">
        <v>8.02471604957635</v>
      </c>
    </row>
    <row r="158" s="10" customFormat="true" ht="15" hidden="false" customHeight="false" outlineLevel="0" collapsed="false">
      <c r="A158" s="34"/>
      <c r="B158" s="24"/>
      <c r="C158" s="9" t="n">
        <v>42005</v>
      </c>
      <c r="D158" s="21" t="n">
        <v>2.2</v>
      </c>
      <c r="E158" s="36" t="n">
        <v>-0.5</v>
      </c>
      <c r="F158" s="10" t="n">
        <v>6.9</v>
      </c>
      <c r="G158" s="10" t="n">
        <v>1200</v>
      </c>
      <c r="H158" s="10" t="n">
        <f aca="false">H157+D158</f>
        <v>164.6</v>
      </c>
      <c r="J158" s="10" t="n">
        <v>0.4</v>
      </c>
      <c r="K158" s="10" t="n">
        <v>218.5</v>
      </c>
      <c r="L158" s="10" t="n">
        <v>1</v>
      </c>
      <c r="M158" s="10" t="n">
        <v>135.8</v>
      </c>
      <c r="N158" s="11" t="n">
        <v>-0.6</v>
      </c>
      <c r="O158" s="10" t="n">
        <f aca="false">O157+N158</f>
        <v>109.7</v>
      </c>
      <c r="P158" s="10" t="n">
        <v>114</v>
      </c>
      <c r="Q158" s="10" t="n">
        <v>1</v>
      </c>
      <c r="R158" s="13" t="n">
        <f aca="false">Q158*L158</f>
        <v>1</v>
      </c>
      <c r="S158" s="13" t="n">
        <f aca="false">J158-R158</f>
        <v>-0.6</v>
      </c>
      <c r="T158" s="13" t="n">
        <f aca="false">MIN(153.6,(T157+S158))</f>
        <v>151.7</v>
      </c>
      <c r="V158" s="18" t="n">
        <v>330.3</v>
      </c>
      <c r="W158" s="10" t="n">
        <v>150.136363636364</v>
      </c>
      <c r="X158" s="10" t="n">
        <v>57524.8</v>
      </c>
      <c r="Y158" s="10" t="n">
        <f aca="false">Y157+V158</f>
        <v>6593.7</v>
      </c>
      <c r="AA158" s="23" t="n">
        <v>8.04518664960542</v>
      </c>
    </row>
    <row r="159" s="10" customFormat="true" ht="15" hidden="false" customHeight="false" outlineLevel="0" collapsed="false">
      <c r="A159" s="34"/>
      <c r="B159" s="24"/>
      <c r="C159" s="9" t="n">
        <v>42006</v>
      </c>
      <c r="D159" s="10" t="n">
        <v>5.6</v>
      </c>
      <c r="E159" s="21" t="n">
        <v>3.1</v>
      </c>
      <c r="F159" s="10" t="n">
        <v>8.9</v>
      </c>
      <c r="G159" s="10" t="n">
        <v>1205.6</v>
      </c>
      <c r="H159" s="10" t="n">
        <f aca="false">H158+D159</f>
        <v>170.2</v>
      </c>
      <c r="J159" s="10" t="n">
        <v>0.6</v>
      </c>
      <c r="K159" s="10" t="n">
        <v>219.1</v>
      </c>
      <c r="L159" s="10" t="n">
        <v>1</v>
      </c>
      <c r="M159" s="10" t="n">
        <v>136.8</v>
      </c>
      <c r="N159" s="11" t="n">
        <v>-0.4</v>
      </c>
      <c r="O159" s="10" t="n">
        <f aca="false">O158+N159</f>
        <v>109.3</v>
      </c>
      <c r="P159" s="10" t="n">
        <v>115</v>
      </c>
      <c r="Q159" s="10" t="n">
        <v>1</v>
      </c>
      <c r="R159" s="13" t="n">
        <f aca="false">Q159*L159</f>
        <v>1</v>
      </c>
      <c r="S159" s="13" t="n">
        <f aca="false">J159-R159</f>
        <v>-0.4</v>
      </c>
      <c r="T159" s="13" t="n">
        <f aca="false">MIN(153.6,(T158+S159))</f>
        <v>151.3</v>
      </c>
      <c r="V159" s="18" t="n">
        <v>308.2</v>
      </c>
      <c r="W159" s="10" t="n">
        <v>55.0357142857143</v>
      </c>
      <c r="X159" s="10" t="n">
        <v>57833</v>
      </c>
      <c r="Y159" s="10" t="n">
        <f aca="false">Y158+V159</f>
        <v>6901.9</v>
      </c>
      <c r="AA159" s="23" t="n">
        <v>8.06281165656341</v>
      </c>
    </row>
    <row r="160" s="10" customFormat="true" ht="15" hidden="false" customHeight="false" outlineLevel="0" collapsed="false">
      <c r="A160" s="34"/>
      <c r="B160" s="24"/>
      <c r="C160" s="9" t="n">
        <v>42007</v>
      </c>
      <c r="D160" s="21" t="n">
        <v>3.6</v>
      </c>
      <c r="E160" s="21" t="n">
        <v>3.1</v>
      </c>
      <c r="F160" s="21" t="n">
        <v>4.2</v>
      </c>
      <c r="G160" s="10" t="n">
        <v>1209.2</v>
      </c>
      <c r="H160" s="10" t="n">
        <f aca="false">H159+D160</f>
        <v>173.8</v>
      </c>
      <c r="J160" s="10" t="n">
        <v>10.2</v>
      </c>
      <c r="K160" s="10" t="n">
        <v>229.3</v>
      </c>
      <c r="L160" s="10" t="n">
        <v>0.3</v>
      </c>
      <c r="M160" s="10" t="n">
        <v>137.1</v>
      </c>
      <c r="N160" s="10" t="n">
        <v>9.9</v>
      </c>
      <c r="O160" s="10" t="n">
        <f aca="false">O159+N160</f>
        <v>119.2</v>
      </c>
      <c r="P160" s="10" t="n">
        <v>116</v>
      </c>
      <c r="Q160" s="10" t="n">
        <v>1</v>
      </c>
      <c r="R160" s="13" t="n">
        <f aca="false">Q160*L160</f>
        <v>0.3</v>
      </c>
      <c r="S160" s="13" t="n">
        <f aca="false">J160-R160</f>
        <v>9.9</v>
      </c>
      <c r="T160" s="13" t="n">
        <f aca="false">MIN(153.6,(T159+S160))</f>
        <v>153.6</v>
      </c>
      <c r="V160" s="22" t="n">
        <v>61.7</v>
      </c>
      <c r="W160" s="10" t="n">
        <v>17.1388888888889</v>
      </c>
      <c r="X160" s="10" t="n">
        <v>57894.7</v>
      </c>
      <c r="Y160" s="10" t="n">
        <f aca="false">Y159+V160</f>
        <v>6963.6</v>
      </c>
      <c r="AA160" s="23" t="n">
        <v>8.0820618009672</v>
      </c>
    </row>
    <row r="161" s="10" customFormat="true" ht="15" hidden="false" customHeight="false" outlineLevel="0" collapsed="false">
      <c r="A161" s="34"/>
      <c r="B161" s="24"/>
      <c r="C161" s="9" t="n">
        <v>42008</v>
      </c>
      <c r="D161" s="21" t="n">
        <v>1.9</v>
      </c>
      <c r="E161" s="21" t="n">
        <v>0.5</v>
      </c>
      <c r="F161" s="10" t="n">
        <v>5.1</v>
      </c>
      <c r="G161" s="10" t="n">
        <v>1211.1</v>
      </c>
      <c r="H161" s="10" t="n">
        <f aca="false">H160+D161</f>
        <v>175.7</v>
      </c>
      <c r="J161" s="10" t="n">
        <v>0</v>
      </c>
      <c r="K161" s="10" t="n">
        <v>229.3</v>
      </c>
      <c r="L161" s="10" t="n">
        <v>0.5</v>
      </c>
      <c r="M161" s="10" t="n">
        <v>137.6</v>
      </c>
      <c r="N161" s="11" t="n">
        <v>-0.5</v>
      </c>
      <c r="O161" s="10" t="n">
        <f aca="false">O160+N161</f>
        <v>118.7</v>
      </c>
      <c r="P161" s="10" t="n">
        <v>117</v>
      </c>
      <c r="Q161" s="10" t="n">
        <v>1</v>
      </c>
      <c r="R161" s="13" t="n">
        <f aca="false">Q161*L161</f>
        <v>0.5</v>
      </c>
      <c r="S161" s="13" t="n">
        <f aca="false">J161-R161</f>
        <v>-0.5</v>
      </c>
      <c r="T161" s="13" t="n">
        <f aca="false">MIN(153.6,(T160+S161))</f>
        <v>153.1</v>
      </c>
      <c r="V161" s="18" t="n">
        <v>469.5</v>
      </c>
      <c r="W161" s="10" t="n">
        <v>247.105263157895</v>
      </c>
      <c r="X161" s="10" t="n">
        <v>58364.2</v>
      </c>
      <c r="Y161" s="10" t="n">
        <f aca="false">Y160+V161</f>
        <v>7433.1</v>
      </c>
      <c r="AA161" s="23" t="n">
        <v>8.10291464734205</v>
      </c>
    </row>
    <row r="162" s="10" customFormat="true" ht="15" hidden="false" customHeight="false" outlineLevel="0" collapsed="false">
      <c r="A162" s="34"/>
      <c r="B162" s="24"/>
      <c r="C162" s="9" t="n">
        <v>42009</v>
      </c>
      <c r="D162" s="21" t="n">
        <v>0.5</v>
      </c>
      <c r="E162" s="36" t="n">
        <v>-0.9</v>
      </c>
      <c r="F162" s="21" t="n">
        <v>3.5</v>
      </c>
      <c r="G162" s="10" t="n">
        <v>1211.6</v>
      </c>
      <c r="H162" s="10" t="n">
        <f aca="false">H161+D162</f>
        <v>176.2</v>
      </c>
      <c r="J162" s="10" t="n">
        <v>0.1</v>
      </c>
      <c r="K162" s="10" t="n">
        <v>229.4</v>
      </c>
      <c r="L162" s="10" t="n">
        <v>0.6</v>
      </c>
      <c r="M162" s="10" t="n">
        <v>138.2</v>
      </c>
      <c r="N162" s="11" t="n">
        <v>-0.5</v>
      </c>
      <c r="O162" s="10" t="n">
        <f aca="false">O161+N162</f>
        <v>118.2</v>
      </c>
      <c r="P162" s="10" t="n">
        <v>118</v>
      </c>
      <c r="Q162" s="10" t="n">
        <v>1</v>
      </c>
      <c r="R162" s="13" t="n">
        <f aca="false">Q162*L162</f>
        <v>0.6</v>
      </c>
      <c r="S162" s="13" t="n">
        <f aca="false">J162-R162</f>
        <v>-0.5</v>
      </c>
      <c r="T162" s="13" t="n">
        <f aca="false">MIN(153.6,(T161+S162))</f>
        <v>152.6</v>
      </c>
      <c r="V162" s="18" t="n">
        <v>217.5</v>
      </c>
      <c r="W162" s="10" t="n">
        <v>435</v>
      </c>
      <c r="X162" s="10" t="n">
        <v>58581.7</v>
      </c>
      <c r="Y162" s="10" t="n">
        <f aca="false">Y161+V162</f>
        <v>7650.6</v>
      </c>
      <c r="AA162" s="23" t="n">
        <v>8.12534615634364</v>
      </c>
    </row>
    <row r="163" s="10" customFormat="true" ht="15" hidden="false" customHeight="false" outlineLevel="0" collapsed="false">
      <c r="A163" s="34"/>
      <c r="B163" s="24"/>
      <c r="C163" s="9" t="n">
        <v>42010</v>
      </c>
      <c r="D163" s="21" t="n">
        <v>0.9</v>
      </c>
      <c r="E163" s="36" t="n">
        <v>-1.1</v>
      </c>
      <c r="F163" s="21" t="n">
        <v>3.2</v>
      </c>
      <c r="G163" s="10" t="n">
        <v>1212.5</v>
      </c>
      <c r="H163" s="10" t="n">
        <f aca="false">H162+D163</f>
        <v>177.1</v>
      </c>
      <c r="J163" s="10" t="n">
        <v>0</v>
      </c>
      <c r="K163" s="10" t="n">
        <v>229.4</v>
      </c>
      <c r="L163" s="10" t="n">
        <v>0.1</v>
      </c>
      <c r="M163" s="10" t="n">
        <v>138.3</v>
      </c>
      <c r="N163" s="11" t="n">
        <v>-0.1</v>
      </c>
      <c r="O163" s="10" t="n">
        <f aca="false">O162+N163</f>
        <v>118.1</v>
      </c>
      <c r="P163" s="10" t="n">
        <v>119</v>
      </c>
      <c r="Q163" s="10" t="n">
        <v>1</v>
      </c>
      <c r="R163" s="13" t="n">
        <f aca="false">Q163*L163</f>
        <v>0.1</v>
      </c>
      <c r="S163" s="13" t="n">
        <f aca="false">J163-R163</f>
        <v>-0.1</v>
      </c>
      <c r="T163" s="13" t="n">
        <f aca="false">MIN(153.6,(T162+S163))</f>
        <v>152.5</v>
      </c>
      <c r="V163" s="18" t="n">
        <v>108.6</v>
      </c>
      <c r="W163" s="10" t="n">
        <v>120.666666666667</v>
      </c>
      <c r="X163" s="10" t="n">
        <v>58690.3</v>
      </c>
      <c r="Y163" s="10" t="n">
        <f aca="false">Y162+V163</f>
        <v>7759.2</v>
      </c>
      <c r="AA163" s="23" t="n">
        <v>8.14933078511595</v>
      </c>
    </row>
    <row r="164" s="10" customFormat="true" ht="15" hidden="false" customHeight="false" outlineLevel="0" collapsed="false">
      <c r="A164" s="34"/>
      <c r="B164" s="24"/>
      <c r="C164" s="9" t="n">
        <v>42011</v>
      </c>
      <c r="D164" s="21" t="n">
        <v>2.7</v>
      </c>
      <c r="E164" s="36" t="n">
        <v>-0.4</v>
      </c>
      <c r="F164" s="10" t="n">
        <v>7</v>
      </c>
      <c r="G164" s="10" t="n">
        <v>1215.2</v>
      </c>
      <c r="H164" s="10" t="n">
        <f aca="false">H163+D164</f>
        <v>179.8</v>
      </c>
      <c r="J164" s="10" t="n">
        <v>2.4</v>
      </c>
      <c r="K164" s="10" t="n">
        <v>231.8</v>
      </c>
      <c r="L164" s="10" t="n">
        <v>0.7</v>
      </c>
      <c r="M164" s="10" t="n">
        <v>139</v>
      </c>
      <c r="N164" s="10" t="n">
        <v>1.7</v>
      </c>
      <c r="O164" s="10" t="n">
        <f aca="false">O163+N164</f>
        <v>119.8</v>
      </c>
      <c r="P164" s="10" t="n">
        <v>120</v>
      </c>
      <c r="Q164" s="10" t="n">
        <v>1</v>
      </c>
      <c r="R164" s="13" t="n">
        <f aca="false">Q164*L164</f>
        <v>0.7</v>
      </c>
      <c r="S164" s="13" t="n">
        <f aca="false">J164-R164</f>
        <v>1.7</v>
      </c>
      <c r="T164" s="13" t="n">
        <f aca="false">MIN(153.6,(T163+S164))</f>
        <v>153.6</v>
      </c>
      <c r="V164" s="18" t="n">
        <v>322.5</v>
      </c>
      <c r="W164" s="10" t="n">
        <v>119.444444444444</v>
      </c>
      <c r="X164" s="10" t="n">
        <v>59012.8</v>
      </c>
      <c r="Y164" s="10" t="n">
        <f aca="false">Y163+V164</f>
        <v>8081.7</v>
      </c>
      <c r="AA164" s="23" t="n">
        <v>8.17484159157892</v>
      </c>
    </row>
    <row r="165" s="10" customFormat="true" ht="15" hidden="false" customHeight="false" outlineLevel="0" collapsed="false">
      <c r="A165" s="34"/>
      <c r="B165" s="24"/>
      <c r="C165" s="9" t="n">
        <v>42012</v>
      </c>
      <c r="D165" s="21" t="n">
        <v>7.3</v>
      </c>
      <c r="E165" s="21" t="n">
        <v>3.3</v>
      </c>
      <c r="F165" s="10" t="n">
        <v>9.3</v>
      </c>
      <c r="G165" s="10" t="n">
        <v>1222.5</v>
      </c>
      <c r="H165" s="10" t="n">
        <f aca="false">H164+D165</f>
        <v>187.1</v>
      </c>
      <c r="J165" s="10" t="n">
        <v>13.7</v>
      </c>
      <c r="K165" s="10" t="n">
        <v>245.5</v>
      </c>
      <c r="L165" s="10" t="n">
        <v>0.2</v>
      </c>
      <c r="M165" s="10" t="n">
        <v>139.2</v>
      </c>
      <c r="N165" s="10" t="n">
        <v>13.5</v>
      </c>
      <c r="O165" s="10" t="n">
        <f aca="false">O164+N165</f>
        <v>133.3</v>
      </c>
      <c r="P165" s="10" t="n">
        <v>121</v>
      </c>
      <c r="Q165" s="10" t="n">
        <v>1</v>
      </c>
      <c r="R165" s="13" t="n">
        <f aca="false">Q165*L165</f>
        <v>0.2</v>
      </c>
      <c r="S165" s="13" t="n">
        <f aca="false">J165-R165</f>
        <v>13.5</v>
      </c>
      <c r="T165" s="13" t="n">
        <f aca="false">MIN(153.6,(T164+S165))</f>
        <v>153.6</v>
      </c>
      <c r="V165" s="22" t="n">
        <v>69.5</v>
      </c>
      <c r="W165" s="10" t="n">
        <v>9.52054794520548</v>
      </c>
      <c r="X165" s="10" t="n">
        <v>59082.3</v>
      </c>
      <c r="Y165" s="10" t="n">
        <f aca="false">Y164+V165</f>
        <v>8151.2</v>
      </c>
      <c r="AA165" s="23" t="n">
        <v>8.20185034181039</v>
      </c>
    </row>
    <row r="166" s="10" customFormat="true" ht="15" hidden="false" customHeight="false" outlineLevel="0" collapsed="false">
      <c r="A166" s="34"/>
      <c r="B166" s="16"/>
      <c r="C166" s="9" t="n">
        <v>42013</v>
      </c>
      <c r="D166" s="10" t="n">
        <v>10.7</v>
      </c>
      <c r="E166" s="10" t="n">
        <v>6.5</v>
      </c>
      <c r="F166" s="10" t="n">
        <v>13.6</v>
      </c>
      <c r="G166" s="10" t="n">
        <v>1233.2</v>
      </c>
      <c r="H166" s="10" t="n">
        <f aca="false">H165+D166</f>
        <v>197.8</v>
      </c>
      <c r="J166" s="10" t="n">
        <v>0.3</v>
      </c>
      <c r="K166" s="10" t="n">
        <v>245.8</v>
      </c>
      <c r="L166" s="10" t="n">
        <v>0.5</v>
      </c>
      <c r="M166" s="10" t="n">
        <v>139.7</v>
      </c>
      <c r="N166" s="11" t="n">
        <v>-0.2</v>
      </c>
      <c r="O166" s="10" t="n">
        <f aca="false">O165+N166</f>
        <v>133.1</v>
      </c>
      <c r="P166" s="10" t="n">
        <v>122</v>
      </c>
      <c r="Q166" s="10" t="n">
        <v>1</v>
      </c>
      <c r="R166" s="13" t="n">
        <f aca="false">Q166*L166</f>
        <v>0.5</v>
      </c>
      <c r="S166" s="13" t="n">
        <f aca="false">J166-R166</f>
        <v>-0.2</v>
      </c>
      <c r="T166" s="13" t="n">
        <f aca="false">MIN(153.6,(T165+S166))</f>
        <v>153.4</v>
      </c>
      <c r="V166" s="22" t="n">
        <v>57</v>
      </c>
      <c r="W166" s="10" t="n">
        <v>5.32710280373832</v>
      </c>
      <c r="X166" s="10" t="n">
        <v>59139.3</v>
      </c>
      <c r="Y166" s="10" t="n">
        <f aca="false">Y165+V166</f>
        <v>8208.2</v>
      </c>
      <c r="AA166" s="23" t="n">
        <v>8.23032761969451</v>
      </c>
    </row>
    <row r="167" s="10" customFormat="true" ht="15" hidden="false" customHeight="false" outlineLevel="0" collapsed="false">
      <c r="A167" s="34"/>
      <c r="B167" s="16"/>
      <c r="C167" s="9" t="n">
        <v>42014</v>
      </c>
      <c r="D167" s="10" t="n">
        <v>10.4</v>
      </c>
      <c r="E167" s="10" t="n">
        <v>8.5</v>
      </c>
      <c r="F167" s="10" t="n">
        <v>12.8</v>
      </c>
      <c r="G167" s="10" t="n">
        <v>1243.6</v>
      </c>
      <c r="H167" s="10" t="n">
        <f aca="false">H166+D167</f>
        <v>208.2</v>
      </c>
      <c r="J167" s="10" t="n">
        <v>1</v>
      </c>
      <c r="K167" s="10" t="n">
        <v>246.8</v>
      </c>
      <c r="L167" s="10" t="n">
        <v>1.1</v>
      </c>
      <c r="M167" s="10" t="n">
        <v>140.8</v>
      </c>
      <c r="N167" s="11" t="n">
        <v>-0.1</v>
      </c>
      <c r="O167" s="10" t="n">
        <f aca="false">O166+N167</f>
        <v>133</v>
      </c>
      <c r="P167" s="10" t="n">
        <v>123</v>
      </c>
      <c r="Q167" s="10" t="n">
        <v>1</v>
      </c>
      <c r="R167" s="13" t="n">
        <f aca="false">Q167*L167</f>
        <v>1.1</v>
      </c>
      <c r="S167" s="13" t="n">
        <f aca="false">J167-R167</f>
        <v>-0.1</v>
      </c>
      <c r="T167" s="13" t="n">
        <f aca="false">MIN(153.6,(T166+S167))</f>
        <v>153.3</v>
      </c>
      <c r="V167" s="22" t="n">
        <v>90.7</v>
      </c>
      <c r="W167" s="10" t="n">
        <v>8.72115384615385</v>
      </c>
      <c r="X167" s="10" t="n">
        <v>59230</v>
      </c>
      <c r="Y167" s="10" t="n">
        <f aca="false">Y166+V167</f>
        <v>8298.9</v>
      </c>
      <c r="AA167" s="23" t="n">
        <v>8.26024293802581</v>
      </c>
    </row>
    <row r="168" s="10" customFormat="true" ht="15" hidden="false" customHeight="false" outlineLevel="0" collapsed="false">
      <c r="A168" s="34"/>
      <c r="B168" s="24"/>
      <c r="C168" s="9" t="n">
        <v>42015</v>
      </c>
      <c r="D168" s="10" t="n">
        <v>6.2</v>
      </c>
      <c r="E168" s="21" t="n">
        <v>3.7</v>
      </c>
      <c r="F168" s="10" t="n">
        <v>7.5</v>
      </c>
      <c r="G168" s="10" t="n">
        <v>1249.8</v>
      </c>
      <c r="H168" s="10" t="n">
        <f aca="false">H167+D168</f>
        <v>214.4</v>
      </c>
      <c r="J168" s="10" t="n">
        <v>2.8</v>
      </c>
      <c r="K168" s="10" t="n">
        <v>249.6</v>
      </c>
      <c r="L168" s="10" t="n">
        <v>1.2</v>
      </c>
      <c r="M168" s="10" t="n">
        <v>142</v>
      </c>
      <c r="N168" s="10" t="n">
        <v>1.6</v>
      </c>
      <c r="O168" s="10" t="n">
        <f aca="false">O167+N168</f>
        <v>134.6</v>
      </c>
      <c r="P168" s="10" t="n">
        <v>124</v>
      </c>
      <c r="Q168" s="10" t="n">
        <v>1</v>
      </c>
      <c r="R168" s="13" t="n">
        <f aca="false">Q168*L168</f>
        <v>1.2</v>
      </c>
      <c r="S168" s="13" t="n">
        <f aca="false">J168-R168</f>
        <v>1.6</v>
      </c>
      <c r="T168" s="13" t="n">
        <f aca="false">MIN(153.6,(T167+S168))</f>
        <v>153.6</v>
      </c>
      <c r="V168" s="18" t="n">
        <v>462.8</v>
      </c>
      <c r="W168" s="10" t="n">
        <v>74.6451612903226</v>
      </c>
      <c r="X168" s="10" t="n">
        <v>59692.8</v>
      </c>
      <c r="Y168" s="10" t="n">
        <f aca="false">Y167+V168</f>
        <v>8761.7</v>
      </c>
      <c r="AA168" s="23" t="n">
        <v>8.29156485028449</v>
      </c>
    </row>
    <row r="169" s="10" customFormat="true" ht="15" hidden="false" customHeight="false" outlineLevel="0" collapsed="false">
      <c r="A169" s="34"/>
      <c r="B169" s="16"/>
      <c r="C169" s="9" t="n">
        <v>42016</v>
      </c>
      <c r="D169" s="10" t="n">
        <v>8.2</v>
      </c>
      <c r="E169" s="10" t="n">
        <v>6.9</v>
      </c>
      <c r="F169" s="10" t="n">
        <v>10.2</v>
      </c>
      <c r="G169" s="10" t="n">
        <v>1258</v>
      </c>
      <c r="H169" s="10" t="n">
        <f aca="false">H168+D169</f>
        <v>222.6</v>
      </c>
      <c r="J169" s="10" t="n">
        <v>0</v>
      </c>
      <c r="K169" s="10" t="n">
        <v>249.6</v>
      </c>
      <c r="L169" s="10" t="n">
        <v>1.2</v>
      </c>
      <c r="M169" s="10" t="n">
        <v>143.2</v>
      </c>
      <c r="N169" s="11" t="n">
        <v>-1.2</v>
      </c>
      <c r="O169" s="10" t="n">
        <f aca="false">O168+N169</f>
        <v>133.4</v>
      </c>
      <c r="P169" s="10" t="n">
        <v>125</v>
      </c>
      <c r="Q169" s="10" t="n">
        <v>1</v>
      </c>
      <c r="R169" s="13" t="n">
        <f aca="false">Q169*L169</f>
        <v>1.2</v>
      </c>
      <c r="S169" s="13" t="n">
        <f aca="false">J169-R169</f>
        <v>-1.2</v>
      </c>
      <c r="T169" s="13" t="n">
        <f aca="false">MIN(153.6,(T168+S169))</f>
        <v>152.4</v>
      </c>
      <c r="V169" s="22" t="n">
        <v>76.1</v>
      </c>
      <c r="W169" s="10" t="n">
        <v>9.28048780487805</v>
      </c>
      <c r="X169" s="10" t="n">
        <v>59768.9</v>
      </c>
      <c r="Y169" s="10" t="n">
        <f aca="false">Y168+V169</f>
        <v>8837.8</v>
      </c>
      <c r="AA169" s="23" t="n">
        <v>8.32426106233243</v>
      </c>
    </row>
    <row r="170" s="10" customFormat="true" ht="15" hidden="false" customHeight="false" outlineLevel="0" collapsed="false">
      <c r="A170" s="34"/>
      <c r="B170" s="16"/>
      <c r="C170" s="9" t="n">
        <v>42017</v>
      </c>
      <c r="D170" s="10" t="n">
        <v>8.6</v>
      </c>
      <c r="E170" s="10" t="n">
        <v>8.3</v>
      </c>
      <c r="F170" s="10" t="n">
        <v>9.9</v>
      </c>
      <c r="G170" s="10" t="n">
        <v>1266.6</v>
      </c>
      <c r="H170" s="10" t="n">
        <f aca="false">H169+D170</f>
        <v>231.2</v>
      </c>
      <c r="J170" s="10" t="n">
        <v>10.5</v>
      </c>
      <c r="K170" s="10" t="n">
        <v>260.1</v>
      </c>
      <c r="L170" s="10" t="n">
        <v>0.9</v>
      </c>
      <c r="M170" s="10" t="n">
        <v>144.1</v>
      </c>
      <c r="N170" s="10" t="n">
        <v>9.6</v>
      </c>
      <c r="O170" s="10" t="n">
        <f aca="false">O169+N170</f>
        <v>143</v>
      </c>
      <c r="P170" s="10" t="n">
        <v>126</v>
      </c>
      <c r="Q170" s="10" t="n">
        <v>1</v>
      </c>
      <c r="R170" s="13" t="n">
        <f aca="false">Q170*L170</f>
        <v>0.9</v>
      </c>
      <c r="S170" s="13" t="n">
        <f aca="false">J170-R170</f>
        <v>9.6</v>
      </c>
      <c r="T170" s="13" t="n">
        <f aca="false">MIN(153.6,(T169+S170))</f>
        <v>153.6</v>
      </c>
      <c r="V170" s="22" t="n">
        <v>92.6</v>
      </c>
      <c r="W170" s="10" t="n">
        <v>10.7674418604651</v>
      </c>
      <c r="X170" s="10" t="n">
        <v>59861.5</v>
      </c>
      <c r="Y170" s="10" t="n">
        <f aca="false">Y169+V170</f>
        <v>8930.4</v>
      </c>
      <c r="AA170" s="23" t="n">
        <v>8.35829854332072</v>
      </c>
    </row>
    <row r="171" s="10" customFormat="true" ht="15" hidden="false" customHeight="false" outlineLevel="0" collapsed="false">
      <c r="A171" s="34"/>
      <c r="B171" s="24"/>
      <c r="C171" s="9" t="n">
        <v>42018</v>
      </c>
      <c r="D171" s="10" t="n">
        <v>4.6</v>
      </c>
      <c r="E171" s="21" t="n">
        <v>3.3</v>
      </c>
      <c r="F171" s="10" t="n">
        <v>9.8</v>
      </c>
      <c r="G171" s="10" t="n">
        <v>1271.2</v>
      </c>
      <c r="H171" s="10" t="n">
        <f aca="false">H170+D171</f>
        <v>235.8</v>
      </c>
      <c r="J171" s="10" t="n">
        <v>7.8</v>
      </c>
      <c r="K171" s="10" t="n">
        <v>267.9</v>
      </c>
      <c r="L171" s="10" t="n">
        <v>1.4</v>
      </c>
      <c r="M171" s="10" t="n">
        <v>145.5</v>
      </c>
      <c r="N171" s="10" t="n">
        <v>6.4</v>
      </c>
      <c r="O171" s="10" t="n">
        <v>153.6</v>
      </c>
      <c r="P171" s="10" t="n">
        <v>127</v>
      </c>
      <c r="Q171" s="10" t="n">
        <v>1</v>
      </c>
      <c r="R171" s="13" t="n">
        <f aca="false">Q171*L171</f>
        <v>1.4</v>
      </c>
      <c r="S171" s="13" t="n">
        <f aca="false">J171-R171</f>
        <v>6.4</v>
      </c>
      <c r="T171" s="13" t="n">
        <f aca="false">MIN(153.6,(T170+S171))</f>
        <v>153.6</v>
      </c>
      <c r="V171" s="18" t="n">
        <v>304</v>
      </c>
      <c r="W171" s="10" t="n">
        <v>66.0869565217391</v>
      </c>
      <c r="X171" s="10" t="n">
        <v>60165.5</v>
      </c>
      <c r="Y171" s="10" t="n">
        <f aca="false">Y170+V171</f>
        <v>9234.4</v>
      </c>
      <c r="AA171" s="23" t="n">
        <v>8.39364363514614</v>
      </c>
    </row>
    <row r="172" s="10" customFormat="true" ht="15" hidden="false" customHeight="false" outlineLevel="0" collapsed="false">
      <c r="A172" s="34"/>
      <c r="B172" s="16"/>
      <c r="C172" s="9" t="n">
        <v>42019</v>
      </c>
      <c r="D172" s="10" t="n">
        <v>8.1</v>
      </c>
      <c r="E172" s="10" t="n">
        <v>5.5</v>
      </c>
      <c r="F172" s="10" t="n">
        <v>9.5</v>
      </c>
      <c r="G172" s="10" t="n">
        <v>1279.3</v>
      </c>
      <c r="H172" s="10" t="n">
        <f aca="false">H171+D172</f>
        <v>243.9</v>
      </c>
      <c r="J172" s="10" t="n">
        <v>3.1</v>
      </c>
      <c r="K172" s="10" t="n">
        <v>271</v>
      </c>
      <c r="L172" s="10" t="n">
        <v>0.8</v>
      </c>
      <c r="M172" s="10" t="n">
        <v>146.3</v>
      </c>
      <c r="N172" s="10" t="n">
        <v>2.3</v>
      </c>
      <c r="O172" s="10" t="n">
        <v>153.6</v>
      </c>
      <c r="P172" s="10" t="n">
        <v>128</v>
      </c>
      <c r="Q172" s="10" t="n">
        <v>1</v>
      </c>
      <c r="R172" s="13" t="n">
        <f aca="false">Q172*L172</f>
        <v>0.8</v>
      </c>
      <c r="S172" s="13" t="n">
        <f aca="false">J172-R172</f>
        <v>2.3</v>
      </c>
      <c r="T172" s="13" t="n">
        <f aca="false">MIN(153.6,(T171+S172))</f>
        <v>153.6</v>
      </c>
      <c r="V172" s="22" t="n">
        <v>81.4</v>
      </c>
      <c r="W172" s="10" t="n">
        <v>10.0493827160494</v>
      </c>
      <c r="X172" s="10" t="n">
        <v>60246.9</v>
      </c>
      <c r="Y172" s="10" t="n">
        <f aca="false">Y171+V172</f>
        <v>9315.8</v>
      </c>
      <c r="AA172" s="23" t="n">
        <v>8.43026215984552</v>
      </c>
    </row>
    <row r="173" s="10" customFormat="true" ht="15" hidden="false" customHeight="false" outlineLevel="0" collapsed="false">
      <c r="A173" s="34"/>
      <c r="B173" s="24"/>
      <c r="C173" s="9" t="n">
        <v>42020</v>
      </c>
      <c r="D173" s="21" t="n">
        <v>5</v>
      </c>
      <c r="E173" s="21" t="n">
        <v>3.7</v>
      </c>
      <c r="F173" s="10" t="n">
        <v>8</v>
      </c>
      <c r="G173" s="10" t="n">
        <v>1284.3</v>
      </c>
      <c r="H173" s="10" t="n">
        <f aca="false">H172+D173</f>
        <v>248.9</v>
      </c>
      <c r="J173" s="10" t="n">
        <v>0.1</v>
      </c>
      <c r="K173" s="10" t="n">
        <v>271.1</v>
      </c>
      <c r="L173" s="10" t="n">
        <v>1</v>
      </c>
      <c r="M173" s="10" t="n">
        <v>147.3</v>
      </c>
      <c r="N173" s="11" t="n">
        <v>-0.9</v>
      </c>
      <c r="O173" s="10" t="n">
        <f aca="false">O172+N173</f>
        <v>152.7</v>
      </c>
      <c r="P173" s="10" t="n">
        <v>129</v>
      </c>
      <c r="Q173" s="10" t="n">
        <v>1</v>
      </c>
      <c r="R173" s="13" t="n">
        <f aca="false">Q173*L173</f>
        <v>1</v>
      </c>
      <c r="S173" s="13" t="n">
        <f aca="false">J173-R173</f>
        <v>-0.9</v>
      </c>
      <c r="T173" s="13" t="n">
        <f aca="false">MIN(153.6,(T172+S173))</f>
        <v>152.7</v>
      </c>
      <c r="V173" s="18" t="n">
        <v>546.7</v>
      </c>
      <c r="W173" s="10" t="n">
        <v>109.34</v>
      </c>
      <c r="X173" s="10" t="n">
        <v>60793.6</v>
      </c>
      <c r="Y173" s="10" t="n">
        <f aca="false">Y172+V173</f>
        <v>9862.5</v>
      </c>
      <c r="AA173" s="23" t="n">
        <v>8.46811952437174</v>
      </c>
    </row>
    <row r="174" s="10" customFormat="true" ht="15" hidden="false" customHeight="false" outlineLevel="0" collapsed="false">
      <c r="A174" s="34"/>
      <c r="B174" s="24"/>
      <c r="C174" s="9" t="n">
        <v>42021</v>
      </c>
      <c r="D174" s="21" t="n">
        <v>2.7</v>
      </c>
      <c r="E174" s="36" t="n">
        <v>-0.3</v>
      </c>
      <c r="F174" s="21" t="n">
        <v>5</v>
      </c>
      <c r="G174" s="10" t="n">
        <v>1287</v>
      </c>
      <c r="H174" s="10" t="n">
        <f aca="false">H173+D174</f>
        <v>251.6</v>
      </c>
      <c r="J174" s="10" t="n">
        <v>1.6</v>
      </c>
      <c r="K174" s="10" t="n">
        <v>272.7</v>
      </c>
      <c r="L174" s="10" t="n">
        <v>0.8</v>
      </c>
      <c r="M174" s="10" t="n">
        <v>148.1</v>
      </c>
      <c r="N174" s="10" t="n">
        <v>0.8</v>
      </c>
      <c r="O174" s="10" t="n">
        <f aca="false">O173+N174</f>
        <v>153.5</v>
      </c>
      <c r="P174" s="10" t="n">
        <v>130</v>
      </c>
      <c r="Q174" s="10" t="n">
        <v>1</v>
      </c>
      <c r="R174" s="13" t="n">
        <f aca="false">Q174*L174</f>
        <v>0.8</v>
      </c>
      <c r="S174" s="13" t="n">
        <f aca="false">J174-R174</f>
        <v>0.8</v>
      </c>
      <c r="T174" s="13" t="n">
        <f aca="false">MIN(153.6,(T173+S174))</f>
        <v>153.5</v>
      </c>
      <c r="V174" s="18" t="n">
        <v>565.2</v>
      </c>
      <c r="W174" s="10" t="n">
        <v>209.333333333333</v>
      </c>
      <c r="X174" s="10" t="n">
        <v>61358.8</v>
      </c>
      <c r="Y174" s="10" t="n">
        <f aca="false">Y173+V174</f>
        <v>10427.7</v>
      </c>
      <c r="AA174" s="23" t="n">
        <v>8.50718082225267</v>
      </c>
    </row>
    <row r="175" s="10" customFormat="true" ht="15" hidden="false" customHeight="false" outlineLevel="0" collapsed="false">
      <c r="A175" s="34"/>
      <c r="B175" s="24"/>
      <c r="C175" s="9" t="n">
        <v>42022</v>
      </c>
      <c r="D175" s="21" t="n">
        <v>2.8</v>
      </c>
      <c r="E175" s="21" t="n">
        <v>2.5</v>
      </c>
      <c r="F175" s="21" t="n">
        <v>4</v>
      </c>
      <c r="G175" s="10" t="n">
        <v>1289.8</v>
      </c>
      <c r="H175" s="10" t="n">
        <f aca="false">H174+D175</f>
        <v>254.4</v>
      </c>
      <c r="J175" s="10" t="n">
        <v>6.8</v>
      </c>
      <c r="K175" s="10" t="n">
        <v>279.5</v>
      </c>
      <c r="L175" s="10" t="n">
        <v>0.5</v>
      </c>
      <c r="M175" s="10" t="n">
        <v>148.6</v>
      </c>
      <c r="N175" s="10" t="n">
        <v>6.3</v>
      </c>
      <c r="O175" s="10" t="n">
        <v>153.6</v>
      </c>
      <c r="P175" s="10" t="n">
        <v>131</v>
      </c>
      <c r="Q175" s="10" t="n">
        <v>1</v>
      </c>
      <c r="R175" s="13" t="n">
        <f aca="false">Q175*L175</f>
        <v>0.5</v>
      </c>
      <c r="S175" s="13" t="n">
        <f aca="false">J175-R175</f>
        <v>6.3</v>
      </c>
      <c r="T175" s="13" t="n">
        <f aca="false">MIN(153.6,(T174+S175))</f>
        <v>153.6</v>
      </c>
      <c r="V175" s="22" t="n">
        <v>73.3</v>
      </c>
      <c r="W175" s="10" t="n">
        <v>26.1785714285714</v>
      </c>
      <c r="X175" s="10" t="n">
        <v>61432.1</v>
      </c>
      <c r="Y175" s="10" t="n">
        <f aca="false">Y174+V175</f>
        <v>10501</v>
      </c>
      <c r="AA175" s="23" t="n">
        <v>8.54741093169257</v>
      </c>
    </row>
    <row r="176" s="10" customFormat="true" ht="15" hidden="false" customHeight="false" outlineLevel="0" collapsed="false">
      <c r="A176" s="34"/>
      <c r="B176" s="24"/>
      <c r="C176" s="9" t="n">
        <v>42023</v>
      </c>
      <c r="D176" s="21" t="n">
        <v>1.7</v>
      </c>
      <c r="E176" s="21" t="n">
        <v>0.4</v>
      </c>
      <c r="F176" s="21" t="n">
        <v>3.2</v>
      </c>
      <c r="G176" s="10" t="n">
        <v>1291.5</v>
      </c>
      <c r="H176" s="10" t="n">
        <f aca="false">H175+D176</f>
        <v>256.1</v>
      </c>
      <c r="J176" s="10" t="n">
        <v>0.8</v>
      </c>
      <c r="K176" s="10" t="n">
        <v>280.3</v>
      </c>
      <c r="L176" s="10" t="n">
        <v>0.3</v>
      </c>
      <c r="M176" s="10" t="n">
        <v>148.9</v>
      </c>
      <c r="N176" s="10" t="n">
        <v>0.5</v>
      </c>
      <c r="O176" s="10" t="n">
        <v>153.6</v>
      </c>
      <c r="P176" s="10" t="n">
        <v>132</v>
      </c>
      <c r="Q176" s="10" t="n">
        <v>1</v>
      </c>
      <c r="R176" s="13" t="n">
        <f aca="false">Q176*L176</f>
        <v>0.3</v>
      </c>
      <c r="S176" s="13" t="n">
        <f aca="false">J176-R176</f>
        <v>0.5</v>
      </c>
      <c r="T176" s="13" t="n">
        <f aca="false">MIN(153.6,(T175+S176))</f>
        <v>153.6</v>
      </c>
      <c r="V176" s="22" t="n">
        <v>92.4</v>
      </c>
      <c r="W176" s="10" t="n">
        <v>54.3529411764706</v>
      </c>
      <c r="X176" s="10" t="n">
        <v>61524.5</v>
      </c>
      <c r="Y176" s="10" t="n">
        <f aca="false">Y175+V176</f>
        <v>10593.4</v>
      </c>
      <c r="AA176" s="23" t="n">
        <v>8.58877460973502</v>
      </c>
    </row>
    <row r="177" s="10" customFormat="true" ht="15" hidden="false" customHeight="false" outlineLevel="0" collapsed="false">
      <c r="A177" s="34"/>
      <c r="B177" s="24"/>
      <c r="C177" s="9" t="n">
        <v>42024</v>
      </c>
      <c r="D177" s="21" t="n">
        <v>0.6</v>
      </c>
      <c r="E177" s="36" t="n">
        <v>-0.7</v>
      </c>
      <c r="F177" s="21" t="n">
        <v>3.5</v>
      </c>
      <c r="G177" s="10" t="n">
        <v>1292.1</v>
      </c>
      <c r="H177" s="10" t="n">
        <f aca="false">H176+D177</f>
        <v>256.7</v>
      </c>
      <c r="J177" s="10" t="n">
        <v>0</v>
      </c>
      <c r="K177" s="10" t="n">
        <v>280.3</v>
      </c>
      <c r="L177" s="10" t="n">
        <v>0.8</v>
      </c>
      <c r="M177" s="10" t="n">
        <v>149.7</v>
      </c>
      <c r="N177" s="11" t="n">
        <v>-0.8</v>
      </c>
      <c r="O177" s="10" t="n">
        <f aca="false">O176+N177</f>
        <v>152.8</v>
      </c>
      <c r="P177" s="10" t="n">
        <v>133</v>
      </c>
      <c r="Q177" s="10" t="n">
        <v>1</v>
      </c>
      <c r="R177" s="13" t="n">
        <f aca="false">Q177*L177</f>
        <v>0.8</v>
      </c>
      <c r="S177" s="13" t="n">
        <f aca="false">J177-R177</f>
        <v>-0.8</v>
      </c>
      <c r="T177" s="13" t="n">
        <f aca="false">MIN(153.6,(T176+S177))</f>
        <v>152.8</v>
      </c>
      <c r="V177" s="18" t="n">
        <v>445.9</v>
      </c>
      <c r="W177" s="10" t="n">
        <v>743.166666666667</v>
      </c>
      <c r="X177" s="10" t="n">
        <v>61970.4</v>
      </c>
      <c r="Y177" s="10" t="n">
        <f aca="false">Y176+V177</f>
        <v>11039.3</v>
      </c>
      <c r="AA177" s="23" t="n">
        <v>8.63123658216432</v>
      </c>
    </row>
    <row r="178" s="10" customFormat="true" ht="15" hidden="false" customHeight="false" outlineLevel="0" collapsed="false">
      <c r="A178" s="34"/>
      <c r="B178" s="24"/>
      <c r="C178" s="9" t="n">
        <v>42025</v>
      </c>
      <c r="D178" s="21" t="n">
        <v>0.3</v>
      </c>
      <c r="E178" s="36" t="n">
        <v>-0.6</v>
      </c>
      <c r="F178" s="21" t="n">
        <v>2.3</v>
      </c>
      <c r="G178" s="10" t="n">
        <v>1292.4</v>
      </c>
      <c r="H178" s="10" t="n">
        <f aca="false">H177+D178</f>
        <v>257</v>
      </c>
      <c r="J178" s="10" t="n">
        <v>0</v>
      </c>
      <c r="K178" s="10" t="n">
        <v>280.3</v>
      </c>
      <c r="L178" s="10" t="n">
        <v>0.4</v>
      </c>
      <c r="M178" s="10" t="n">
        <v>150.1</v>
      </c>
      <c r="N178" s="11" t="n">
        <v>-0.4</v>
      </c>
      <c r="O178" s="10" t="n">
        <f aca="false">O177+N178</f>
        <v>152.4</v>
      </c>
      <c r="P178" s="10" t="n">
        <v>134</v>
      </c>
      <c r="Q178" s="10" t="n">
        <v>1</v>
      </c>
      <c r="R178" s="13" t="n">
        <f aca="false">Q178*L178</f>
        <v>0.4</v>
      </c>
      <c r="S178" s="13" t="n">
        <f aca="false">J178-R178</f>
        <v>-0.4</v>
      </c>
      <c r="T178" s="13" t="n">
        <f aca="false">MIN(153.6,(T177+S178))</f>
        <v>152.4</v>
      </c>
      <c r="V178" s="18" t="n">
        <v>285.8</v>
      </c>
      <c r="W178" s="10" t="n">
        <v>952.666666666667</v>
      </c>
      <c r="X178" s="10" t="n">
        <v>62256.2</v>
      </c>
      <c r="Y178" s="10" t="n">
        <f aca="false">Y177+V178</f>
        <v>11325.1</v>
      </c>
      <c r="AA178" s="23" t="n">
        <v>8.67476162888025</v>
      </c>
    </row>
    <row r="179" s="10" customFormat="true" ht="15" hidden="false" customHeight="false" outlineLevel="0" collapsed="false">
      <c r="A179" s="34"/>
      <c r="B179" s="24"/>
      <c r="C179" s="9" t="n">
        <v>42026</v>
      </c>
      <c r="D179" s="36" t="n">
        <v>-0.9</v>
      </c>
      <c r="E179" s="36" t="n">
        <v>-2.1</v>
      </c>
      <c r="F179" s="21" t="n">
        <v>0.4</v>
      </c>
      <c r="G179" s="10" t="n">
        <v>1292.4</v>
      </c>
      <c r="H179" s="10" t="n">
        <v>257</v>
      </c>
      <c r="J179" s="10" t="n">
        <v>0</v>
      </c>
      <c r="K179" s="10" t="n">
        <v>280.3</v>
      </c>
      <c r="L179" s="10" t="n">
        <v>0.3</v>
      </c>
      <c r="M179" s="10" t="n">
        <v>150.4</v>
      </c>
      <c r="N179" s="11" t="n">
        <v>-0.3</v>
      </c>
      <c r="O179" s="10" t="n">
        <f aca="false">O178+N179</f>
        <v>152.1</v>
      </c>
      <c r="P179" s="10" t="n">
        <v>135</v>
      </c>
      <c r="Q179" s="10" t="n">
        <v>1</v>
      </c>
      <c r="R179" s="13" t="n">
        <f aca="false">Q179*L179</f>
        <v>0.3</v>
      </c>
      <c r="S179" s="13" t="n">
        <f aca="false">J179-R179</f>
        <v>-0.3</v>
      </c>
      <c r="T179" s="13" t="n">
        <f aca="false">MIN(153.6,(T178+S179))</f>
        <v>152.1</v>
      </c>
      <c r="V179" s="18" t="n">
        <v>195.4</v>
      </c>
      <c r="W179" s="10" t="n">
        <v>-217.111111111111</v>
      </c>
      <c r="X179" s="10" t="n">
        <v>62451.6</v>
      </c>
      <c r="Y179" s="10" t="n">
        <f aca="false">Y178+V179</f>
        <v>11520.5</v>
      </c>
      <c r="AA179" s="23" t="n">
        <v>8.71931466453562</v>
      </c>
    </row>
    <row r="180" s="10" customFormat="true" ht="15" hidden="false" customHeight="false" outlineLevel="0" collapsed="false">
      <c r="A180" s="34"/>
      <c r="B180" s="24"/>
      <c r="C180" s="9" t="n">
        <v>42027</v>
      </c>
      <c r="D180" s="21" t="n">
        <v>0.5</v>
      </c>
      <c r="E180" s="36" t="n">
        <v>-0.8</v>
      </c>
      <c r="F180" s="21" t="n">
        <v>3.2</v>
      </c>
      <c r="G180" s="10" t="n">
        <v>1292.9</v>
      </c>
      <c r="H180" s="10" t="n">
        <f aca="false">H179+D180</f>
        <v>257.5</v>
      </c>
      <c r="J180" s="10" t="n">
        <v>7.1</v>
      </c>
      <c r="K180" s="10" t="n">
        <v>287.4</v>
      </c>
      <c r="L180" s="10" t="n">
        <v>0.7</v>
      </c>
      <c r="M180" s="10" t="n">
        <v>151.1</v>
      </c>
      <c r="N180" s="10" t="n">
        <v>6.4</v>
      </c>
      <c r="O180" s="10" t="n">
        <v>153.6</v>
      </c>
      <c r="P180" s="10" t="n">
        <v>136</v>
      </c>
      <c r="Q180" s="10" t="n">
        <v>1</v>
      </c>
      <c r="R180" s="13" t="n">
        <f aca="false">Q180*L180</f>
        <v>0.7</v>
      </c>
      <c r="S180" s="13" t="n">
        <f aca="false">J180-R180</f>
        <v>6.4</v>
      </c>
      <c r="T180" s="13" t="n">
        <f aca="false">MIN(153.6,(T179+S180))</f>
        <v>153.6</v>
      </c>
      <c r="V180" s="18" t="n">
        <v>654.3</v>
      </c>
      <c r="W180" s="10" t="n">
        <v>1308.6</v>
      </c>
      <c r="X180" s="10" t="n">
        <v>63105.9</v>
      </c>
      <c r="Y180" s="10" t="n">
        <f aca="false">Y179+V180</f>
        <v>12174.8</v>
      </c>
      <c r="AA180" s="23" t="n">
        <v>8.76486081427931</v>
      </c>
    </row>
    <row r="181" s="10" customFormat="true" ht="15" hidden="false" customHeight="false" outlineLevel="0" collapsed="false">
      <c r="A181" s="34"/>
      <c r="B181" s="24"/>
      <c r="C181" s="9" t="n">
        <v>42028</v>
      </c>
      <c r="D181" s="21" t="n">
        <v>2.2</v>
      </c>
      <c r="E181" s="36" t="n">
        <v>-0.8</v>
      </c>
      <c r="F181" s="10" t="n">
        <v>5.7</v>
      </c>
      <c r="G181" s="10" t="n">
        <v>1295.1</v>
      </c>
      <c r="H181" s="10" t="n">
        <f aca="false">H180+D181</f>
        <v>259.7</v>
      </c>
      <c r="J181" s="10" t="n">
        <v>0.2</v>
      </c>
      <c r="K181" s="10" t="n">
        <v>287.6</v>
      </c>
      <c r="L181" s="10" t="n">
        <v>0.7</v>
      </c>
      <c r="M181" s="10" t="n">
        <v>151.8</v>
      </c>
      <c r="N181" s="11" t="n">
        <v>-0.5</v>
      </c>
      <c r="O181" s="10" t="n">
        <f aca="false">O180+N181</f>
        <v>153.1</v>
      </c>
      <c r="P181" s="10" t="n">
        <v>137</v>
      </c>
      <c r="Q181" s="10" t="n">
        <v>1</v>
      </c>
      <c r="R181" s="13" t="n">
        <f aca="false">Q181*L181</f>
        <v>0.7</v>
      </c>
      <c r="S181" s="13" t="n">
        <f aca="false">J181-R181</f>
        <v>-0.5</v>
      </c>
      <c r="T181" s="13" t="n">
        <f aca="false">MIN(153.6,(T180+S181))</f>
        <v>153.1</v>
      </c>
      <c r="V181" s="18" t="n">
        <v>298.3</v>
      </c>
      <c r="W181" s="10" t="n">
        <v>135.590909090909</v>
      </c>
      <c r="X181" s="10" t="n">
        <v>63404.2</v>
      </c>
      <c r="Y181" s="10" t="n">
        <f aca="false">Y180+V181</f>
        <v>12473.1</v>
      </c>
      <c r="AA181" s="23" t="n">
        <v>8.81136548449693</v>
      </c>
    </row>
    <row r="182" s="10" customFormat="true" ht="15" hidden="false" customHeight="false" outlineLevel="0" collapsed="false">
      <c r="A182" s="34"/>
      <c r="B182" s="24"/>
      <c r="C182" s="9" t="n">
        <v>42029</v>
      </c>
      <c r="D182" s="21" t="n">
        <v>3.6</v>
      </c>
      <c r="E182" s="21" t="n">
        <v>0.3</v>
      </c>
      <c r="F182" s="10" t="n">
        <v>6.9</v>
      </c>
      <c r="G182" s="10" t="n">
        <v>1298.7</v>
      </c>
      <c r="H182" s="10" t="n">
        <f aca="false">H181+D182</f>
        <v>263.3</v>
      </c>
      <c r="J182" s="10" t="n">
        <v>0.8</v>
      </c>
      <c r="K182" s="10" t="n">
        <v>288.4</v>
      </c>
      <c r="L182" s="10" t="n">
        <v>0.4</v>
      </c>
      <c r="M182" s="10" t="n">
        <v>152.2</v>
      </c>
      <c r="N182" s="10" t="n">
        <v>0.4</v>
      </c>
      <c r="O182" s="10" t="n">
        <f aca="false">O181+N182</f>
        <v>153.5</v>
      </c>
      <c r="P182" s="10" t="n">
        <v>138</v>
      </c>
      <c r="Q182" s="10" t="n">
        <v>1</v>
      </c>
      <c r="R182" s="13" t="n">
        <f aca="false">Q182*L182</f>
        <v>0.4</v>
      </c>
      <c r="S182" s="13" t="n">
        <f aca="false">J182-R182</f>
        <v>0.4</v>
      </c>
      <c r="T182" s="13" t="n">
        <f aca="false">MIN(153.6,(T181+S182))</f>
        <v>153.5</v>
      </c>
      <c r="V182" s="18" t="n">
        <v>125.5</v>
      </c>
      <c r="W182" s="10" t="n">
        <v>34.8611111111111</v>
      </c>
      <c r="X182" s="10" t="n">
        <v>63529.7</v>
      </c>
      <c r="Y182" s="10" t="n">
        <f aca="false">Y181+V182</f>
        <v>12598.6</v>
      </c>
      <c r="AA182" s="23" t="n">
        <v>8.8587944284878</v>
      </c>
    </row>
    <row r="183" s="10" customFormat="true" ht="15" hidden="false" customHeight="false" outlineLevel="0" collapsed="false">
      <c r="A183" s="34"/>
      <c r="B183" s="24"/>
      <c r="C183" s="9" t="n">
        <v>42030</v>
      </c>
      <c r="D183" s="10" t="n">
        <v>6.9</v>
      </c>
      <c r="E183" s="21" t="n">
        <v>5</v>
      </c>
      <c r="F183" s="10" t="n">
        <v>9.1</v>
      </c>
      <c r="G183" s="10" t="n">
        <v>1305.6</v>
      </c>
      <c r="H183" s="10" t="n">
        <f aca="false">H182+D183</f>
        <v>270.2</v>
      </c>
      <c r="J183" s="10" t="n">
        <v>0.9</v>
      </c>
      <c r="K183" s="10" t="n">
        <v>289.3</v>
      </c>
      <c r="L183" s="10" t="n">
        <v>0.6</v>
      </c>
      <c r="M183" s="10" t="n">
        <v>152.8</v>
      </c>
      <c r="N183" s="10" t="n">
        <v>0.3</v>
      </c>
      <c r="O183" s="10" t="n">
        <v>153.6</v>
      </c>
      <c r="P183" s="10" t="n">
        <v>139</v>
      </c>
      <c r="Q183" s="10" t="n">
        <v>1</v>
      </c>
      <c r="R183" s="13" t="n">
        <f aca="false">Q183*L183</f>
        <v>0.6</v>
      </c>
      <c r="S183" s="13" t="n">
        <f aca="false">J183-R183</f>
        <v>0.3</v>
      </c>
      <c r="T183" s="13" t="n">
        <f aca="false">MIN(153.6,(T182+S183))</f>
        <v>153.6</v>
      </c>
      <c r="V183" s="18" t="n">
        <v>123.7</v>
      </c>
      <c r="W183" s="10" t="n">
        <v>17.9275362318841</v>
      </c>
      <c r="X183" s="10" t="n">
        <v>63653.4</v>
      </c>
      <c r="Y183" s="10" t="n">
        <f aca="false">Y182+V183</f>
        <v>12722.3</v>
      </c>
      <c r="AA183" s="23" t="n">
        <v>8.9071138070594</v>
      </c>
    </row>
    <row r="184" s="10" customFormat="true" ht="15" hidden="false" customHeight="false" outlineLevel="0" collapsed="false">
      <c r="A184" s="34"/>
      <c r="B184" s="24"/>
      <c r="C184" s="9" t="n">
        <v>42031</v>
      </c>
      <c r="D184" s="21" t="n">
        <v>4.7</v>
      </c>
      <c r="E184" s="21" t="n">
        <v>1.5</v>
      </c>
      <c r="F184" s="10" t="n">
        <v>6</v>
      </c>
      <c r="G184" s="10" t="n">
        <v>1310.3</v>
      </c>
      <c r="H184" s="10" t="n">
        <f aca="false">H183+D184</f>
        <v>274.9</v>
      </c>
      <c r="J184" s="10" t="n">
        <v>0.2</v>
      </c>
      <c r="K184" s="10" t="n">
        <v>289.5</v>
      </c>
      <c r="L184" s="10" t="n">
        <v>0.3</v>
      </c>
      <c r="M184" s="10" t="n">
        <v>153.1</v>
      </c>
      <c r="N184" s="11" t="n">
        <v>-0.1</v>
      </c>
      <c r="O184" s="10" t="n">
        <f aca="false">O183+N184</f>
        <v>153.5</v>
      </c>
      <c r="P184" s="10" t="n">
        <v>140</v>
      </c>
      <c r="Q184" s="10" t="n">
        <v>1</v>
      </c>
      <c r="R184" s="13" t="n">
        <f aca="false">Q184*L184</f>
        <v>0.3</v>
      </c>
      <c r="S184" s="13" t="n">
        <f aca="false">J184-R184</f>
        <v>-0.1</v>
      </c>
      <c r="T184" s="13" t="n">
        <f aca="false">MIN(153.6,(T183+S184))</f>
        <v>153.5</v>
      </c>
      <c r="V184" s="22" t="n">
        <v>90.1</v>
      </c>
      <c r="W184" s="10" t="n">
        <v>19.1702127659574</v>
      </c>
      <c r="X184" s="10" t="n">
        <v>63743.5</v>
      </c>
      <c r="Y184" s="10" t="n">
        <f aca="false">Y183+V184</f>
        <v>12812.4</v>
      </c>
      <c r="AA184" s="23" t="n">
        <v>8.95629024405983</v>
      </c>
    </row>
    <row r="185" s="10" customFormat="true" ht="15" hidden="false" customHeight="false" outlineLevel="0" collapsed="false">
      <c r="A185" s="34"/>
      <c r="B185" s="16" t="n">
        <v>8</v>
      </c>
      <c r="C185" s="9" t="n">
        <v>42032</v>
      </c>
      <c r="D185" s="21" t="n">
        <v>5</v>
      </c>
      <c r="E185" s="21" t="n">
        <v>4.6</v>
      </c>
      <c r="F185" s="10" t="n">
        <v>6.7</v>
      </c>
      <c r="G185" s="10" t="n">
        <v>1315.3</v>
      </c>
      <c r="H185" s="10" t="n">
        <f aca="false">H184+D185</f>
        <v>279.9</v>
      </c>
      <c r="J185" s="10" t="n">
        <v>2.9</v>
      </c>
      <c r="K185" s="10" t="n">
        <v>292.4</v>
      </c>
      <c r="L185" s="10" t="n">
        <v>0.9</v>
      </c>
      <c r="M185" s="10" t="n">
        <v>154</v>
      </c>
      <c r="N185" s="10" t="n">
        <v>2</v>
      </c>
      <c r="O185" s="10" t="n">
        <v>153.6</v>
      </c>
      <c r="P185" s="10" t="n">
        <v>141</v>
      </c>
      <c r="Q185" s="10" t="n">
        <v>1</v>
      </c>
      <c r="R185" s="13" t="n">
        <f aca="false">Q185*L185</f>
        <v>0.9</v>
      </c>
      <c r="S185" s="13" t="n">
        <f aca="false">J185-R185</f>
        <v>2</v>
      </c>
      <c r="T185" s="13" t="n">
        <f aca="false">MIN(153.6,(T184+S185))</f>
        <v>153.6</v>
      </c>
      <c r="V185" s="18" t="n">
        <v>180.1</v>
      </c>
      <c r="W185" s="10" t="n">
        <v>36.02</v>
      </c>
      <c r="X185" s="10" t="n">
        <v>63923.6</v>
      </c>
      <c r="Y185" s="10" t="n">
        <f aca="false">Y184+V185</f>
        <v>12992.5</v>
      </c>
      <c r="AA185" s="10" t="n">
        <v>9.00629087690335</v>
      </c>
    </row>
    <row r="186" s="10" customFormat="true" ht="15" hidden="false" customHeight="false" outlineLevel="0" collapsed="false">
      <c r="A186" s="34"/>
      <c r="B186" s="16"/>
      <c r="C186" s="9" t="n">
        <v>42033</v>
      </c>
      <c r="D186" s="21" t="n">
        <v>2.5</v>
      </c>
      <c r="E186" s="21" t="n">
        <v>1.4</v>
      </c>
      <c r="F186" s="21" t="n">
        <v>4.1</v>
      </c>
      <c r="G186" s="10" t="n">
        <v>1317.8</v>
      </c>
      <c r="H186" s="10" t="n">
        <f aca="false">H185+D186</f>
        <v>282.4</v>
      </c>
      <c r="J186" s="10" t="n">
        <v>4.4</v>
      </c>
      <c r="K186" s="10" t="n">
        <v>296.8</v>
      </c>
      <c r="L186" s="10" t="n">
        <v>0.7</v>
      </c>
      <c r="M186" s="10" t="n">
        <v>154.7</v>
      </c>
      <c r="N186" s="10" t="n">
        <v>3.7</v>
      </c>
      <c r="O186" s="10" t="n">
        <v>153.6</v>
      </c>
      <c r="P186" s="10" t="n">
        <v>142</v>
      </c>
      <c r="Q186" s="10" t="n">
        <v>1</v>
      </c>
      <c r="R186" s="13" t="n">
        <f aca="false">Q186*L186</f>
        <v>0.7</v>
      </c>
      <c r="S186" s="13" t="n">
        <f aca="false">J186-R186</f>
        <v>3.7</v>
      </c>
      <c r="T186" s="13" t="n">
        <f aca="false">MIN(153.6,(T185+S186))</f>
        <v>153.6</v>
      </c>
      <c r="V186" s="18" t="n">
        <v>259.9</v>
      </c>
      <c r="W186" s="10" t="n">
        <v>103.96</v>
      </c>
      <c r="X186" s="10" t="n">
        <v>64183.5</v>
      </c>
      <c r="Y186" s="10" t="n">
        <f aca="false">Y185+V186</f>
        <v>13252.4</v>
      </c>
      <c r="AA186" s="10" t="n">
        <v>9.05708340217562</v>
      </c>
    </row>
    <row r="187" s="10" customFormat="true" ht="15" hidden="false" customHeight="false" outlineLevel="0" collapsed="false">
      <c r="A187" s="34"/>
      <c r="B187" s="16"/>
      <c r="C187" s="9" t="n">
        <v>42034</v>
      </c>
      <c r="D187" s="21" t="n">
        <v>2</v>
      </c>
      <c r="E187" s="21" t="n">
        <v>1.1</v>
      </c>
      <c r="F187" s="21" t="n">
        <v>2.5</v>
      </c>
      <c r="G187" s="10" t="n">
        <v>1319.8</v>
      </c>
      <c r="H187" s="10" t="n">
        <f aca="false">H186+D187</f>
        <v>284.4</v>
      </c>
      <c r="J187" s="10" t="n">
        <v>4</v>
      </c>
      <c r="K187" s="10" t="n">
        <v>300.8</v>
      </c>
      <c r="L187" s="10" t="n">
        <v>0.3</v>
      </c>
      <c r="M187" s="10" t="n">
        <v>155</v>
      </c>
      <c r="N187" s="10" t="n">
        <v>3.7</v>
      </c>
      <c r="O187" s="10" t="n">
        <v>153.6</v>
      </c>
      <c r="P187" s="10" t="n">
        <v>143</v>
      </c>
      <c r="Q187" s="10" t="n">
        <v>1</v>
      </c>
      <c r="R187" s="13" t="n">
        <f aca="false">Q187*L187</f>
        <v>0.3</v>
      </c>
      <c r="S187" s="13" t="n">
        <f aca="false">J187-R187</f>
        <v>3.7</v>
      </c>
      <c r="T187" s="13" t="n">
        <f aca="false">MIN(153.6,(T186+S187))</f>
        <v>153.6</v>
      </c>
      <c r="V187" s="18" t="n">
        <v>210.4</v>
      </c>
      <c r="W187" s="10" t="n">
        <v>105.2</v>
      </c>
      <c r="X187" s="10" t="n">
        <v>64393.9</v>
      </c>
      <c r="Y187" s="10" t="n">
        <f aca="false">Y186+V187</f>
        <v>13462.8</v>
      </c>
      <c r="AA187" s="10" t="n">
        <v>9.10863611643238</v>
      </c>
    </row>
    <row r="188" s="10" customFormat="true" ht="15" hidden="false" customHeight="false" outlineLevel="0" collapsed="false">
      <c r="A188" s="34"/>
      <c r="B188" s="16"/>
      <c r="C188" s="9" t="n">
        <v>42035</v>
      </c>
      <c r="D188" s="21" t="n">
        <v>2</v>
      </c>
      <c r="E188" s="21" t="n">
        <v>0.9</v>
      </c>
      <c r="F188" s="21" t="n">
        <v>2.8</v>
      </c>
      <c r="G188" s="10" t="n">
        <v>1321.8</v>
      </c>
      <c r="H188" s="10" t="n">
        <f aca="false">H187+D188</f>
        <v>286.4</v>
      </c>
      <c r="J188" s="10" t="n">
        <v>3.3</v>
      </c>
      <c r="K188" s="10" t="n">
        <v>304.1</v>
      </c>
      <c r="L188" s="10" t="n">
        <v>0.3</v>
      </c>
      <c r="M188" s="10" t="n">
        <v>155.3</v>
      </c>
      <c r="N188" s="10" t="n">
        <v>3</v>
      </c>
      <c r="O188" s="10" t="n">
        <v>153.6</v>
      </c>
      <c r="P188" s="10" t="n">
        <v>144</v>
      </c>
      <c r="Q188" s="10" t="n">
        <v>1</v>
      </c>
      <c r="R188" s="13" t="n">
        <f aca="false">Q188*L188</f>
        <v>0.3</v>
      </c>
      <c r="S188" s="13" t="n">
        <f aca="false">J188-R188</f>
        <v>3</v>
      </c>
      <c r="T188" s="13" t="n">
        <f aca="false">MIN(153.6,(T187+S188))</f>
        <v>153.6</v>
      </c>
      <c r="V188" s="18" t="n">
        <v>216.2</v>
      </c>
      <c r="W188" s="10" t="n">
        <v>108.1</v>
      </c>
      <c r="X188" s="10" t="n">
        <v>64610.1</v>
      </c>
      <c r="Y188" s="10" t="n">
        <f aca="false">Y187+V188</f>
        <v>13679</v>
      </c>
      <c r="AA188" s="10" t="n">
        <v>9.16091795232867</v>
      </c>
    </row>
    <row r="189" s="10" customFormat="true" ht="15" hidden="false" customHeight="false" outlineLevel="0" collapsed="false">
      <c r="A189" s="34"/>
      <c r="B189" s="16"/>
      <c r="C189" s="9" t="n">
        <v>42036</v>
      </c>
      <c r="D189" s="21" t="n">
        <v>3.2</v>
      </c>
      <c r="E189" s="21" t="n">
        <v>2.2</v>
      </c>
      <c r="F189" s="21" t="n">
        <v>4.5</v>
      </c>
      <c r="G189" s="10" t="n">
        <v>1325</v>
      </c>
      <c r="H189" s="10" t="n">
        <f aca="false">H188+D189</f>
        <v>289.6</v>
      </c>
      <c r="J189" s="10" t="n">
        <v>14</v>
      </c>
      <c r="K189" s="10" t="n">
        <v>318.1</v>
      </c>
      <c r="L189" s="10" t="n">
        <v>0.6</v>
      </c>
      <c r="M189" s="10" t="n">
        <v>155.9</v>
      </c>
      <c r="N189" s="10" t="n">
        <v>13.4</v>
      </c>
      <c r="O189" s="10" t="n">
        <v>153.6</v>
      </c>
      <c r="P189" s="10" t="n">
        <v>145</v>
      </c>
      <c r="Q189" s="10" t="n">
        <v>1</v>
      </c>
      <c r="R189" s="13" t="n">
        <f aca="false">Q189*L189</f>
        <v>0.6</v>
      </c>
      <c r="S189" s="13" t="n">
        <f aca="false">J189-R189</f>
        <v>13.4</v>
      </c>
      <c r="T189" s="13" t="n">
        <f aca="false">MIN(153.6,(T188+S189))</f>
        <v>153.6</v>
      </c>
      <c r="V189" s="18" t="n">
        <v>113.7</v>
      </c>
      <c r="W189" s="10" t="n">
        <v>35.53125</v>
      </c>
      <c r="X189" s="10" t="n">
        <v>64723.8</v>
      </c>
      <c r="Y189" s="10" t="n">
        <f aca="false">Y188+V189</f>
        <v>13792.7</v>
      </c>
      <c r="AA189" s="10" t="n">
        <v>9.21389851023566</v>
      </c>
    </row>
    <row r="190" s="10" customFormat="true" ht="15" hidden="false" customHeight="false" outlineLevel="0" collapsed="false">
      <c r="A190" s="34"/>
      <c r="B190" s="16"/>
      <c r="C190" s="9" t="n">
        <v>42037</v>
      </c>
      <c r="D190" s="21" t="n">
        <v>1.2</v>
      </c>
      <c r="E190" s="36" t="n">
        <v>-0.2</v>
      </c>
      <c r="F190" s="21" t="n">
        <v>3.2</v>
      </c>
      <c r="G190" s="10" t="n">
        <v>1326.2</v>
      </c>
      <c r="H190" s="10" t="n">
        <f aca="false">H189+D190</f>
        <v>290.8</v>
      </c>
      <c r="J190" s="10" t="n">
        <v>0</v>
      </c>
      <c r="K190" s="10" t="n">
        <v>318.1</v>
      </c>
      <c r="L190" s="10" t="n">
        <v>0.8</v>
      </c>
      <c r="M190" s="10" t="n">
        <v>156.7</v>
      </c>
      <c r="N190" s="11" t="n">
        <v>-0.8</v>
      </c>
      <c r="O190" s="10" t="n">
        <f aca="false">O189+N190</f>
        <v>152.8</v>
      </c>
      <c r="P190" s="10" t="n">
        <v>146</v>
      </c>
      <c r="Q190" s="10" t="n">
        <v>1</v>
      </c>
      <c r="R190" s="13" t="n">
        <f aca="false">Q190*L190</f>
        <v>0.8</v>
      </c>
      <c r="S190" s="13" t="n">
        <f aca="false">J190-R190</f>
        <v>-0.8</v>
      </c>
      <c r="T190" s="13" t="n">
        <f aca="false">MIN(153.6,(T189+S190))</f>
        <v>152.8</v>
      </c>
      <c r="V190" s="18" t="n">
        <v>620.1</v>
      </c>
      <c r="W190" s="10" t="n">
        <v>516.75</v>
      </c>
      <c r="X190" s="10" t="n">
        <v>65343.9</v>
      </c>
      <c r="Y190" s="10" t="n">
        <f aca="false">Y189+V190</f>
        <v>14412.8</v>
      </c>
      <c r="AA190" s="10" t="n">
        <v>9.26754808551864</v>
      </c>
    </row>
    <row r="191" s="10" customFormat="true" ht="15" hidden="false" customHeight="false" outlineLevel="0" collapsed="false">
      <c r="A191" s="34"/>
      <c r="B191" s="16"/>
      <c r="C191" s="9" t="n">
        <v>42038</v>
      </c>
      <c r="D191" s="21" t="n">
        <v>1</v>
      </c>
      <c r="E191" s="36" t="n">
        <v>-0.5</v>
      </c>
      <c r="F191" s="21" t="n">
        <v>3</v>
      </c>
      <c r="G191" s="10" t="n">
        <v>1327.2</v>
      </c>
      <c r="H191" s="10" t="n">
        <f aca="false">H190+D191</f>
        <v>291.8</v>
      </c>
      <c r="J191" s="10" t="n">
        <v>0</v>
      </c>
      <c r="K191" s="10" t="n">
        <v>318.1</v>
      </c>
      <c r="L191" s="10" t="n">
        <v>0.4</v>
      </c>
      <c r="M191" s="10" t="n">
        <v>157.1</v>
      </c>
      <c r="N191" s="11" t="n">
        <v>-0.4</v>
      </c>
      <c r="O191" s="10" t="n">
        <f aca="false">O190+N191</f>
        <v>152.4</v>
      </c>
      <c r="P191" s="10" t="n">
        <v>147</v>
      </c>
      <c r="Q191" s="10" t="n">
        <v>1</v>
      </c>
      <c r="R191" s="13" t="n">
        <f aca="false">Q191*L191</f>
        <v>0.4</v>
      </c>
      <c r="S191" s="13" t="n">
        <f aca="false">J191-R191</f>
        <v>-0.4</v>
      </c>
      <c r="T191" s="13" t="n">
        <f aca="false">MIN(153.6,(T190+S191))</f>
        <v>152.4</v>
      </c>
      <c r="V191" s="18" t="n">
        <v>430.7</v>
      </c>
      <c r="W191" s="10" t="n">
        <v>430.7</v>
      </c>
      <c r="X191" s="10" t="n">
        <v>65774.6</v>
      </c>
      <c r="Y191" s="10" t="n">
        <f aca="false">Y190+V191</f>
        <v>14843.5</v>
      </c>
      <c r="AA191" s="10" t="n">
        <v>9.32183769166266</v>
      </c>
    </row>
    <row r="192" s="10" customFormat="true" ht="15" hidden="false" customHeight="false" outlineLevel="0" collapsed="false">
      <c r="A192" s="34"/>
      <c r="B192" s="16" t="n">
        <v>9</v>
      </c>
      <c r="C192" s="9" t="n">
        <v>42039</v>
      </c>
      <c r="D192" s="21" t="n">
        <v>1.8</v>
      </c>
      <c r="E192" s="21" t="n">
        <v>0.1</v>
      </c>
      <c r="F192" s="10" t="n">
        <v>5.2</v>
      </c>
      <c r="G192" s="10" t="n">
        <v>1329</v>
      </c>
      <c r="H192" s="10" t="n">
        <f aca="false">H191+D192</f>
        <v>293.6</v>
      </c>
      <c r="J192" s="10" t="n">
        <v>0</v>
      </c>
      <c r="K192" s="10" t="n">
        <v>318.1</v>
      </c>
      <c r="L192" s="10" t="n">
        <v>1.1</v>
      </c>
      <c r="M192" s="10" t="n">
        <v>158.2</v>
      </c>
      <c r="N192" s="11" t="n">
        <v>-1.1</v>
      </c>
      <c r="O192" s="10" t="n">
        <f aca="false">O191+N192</f>
        <v>151.3</v>
      </c>
      <c r="P192" s="10" t="n">
        <v>148</v>
      </c>
      <c r="Q192" s="10" t="n">
        <v>1</v>
      </c>
      <c r="R192" s="13" t="n">
        <f aca="false">Q192*L192</f>
        <v>1.1</v>
      </c>
      <c r="S192" s="13" t="n">
        <f aca="false">J192-R192</f>
        <v>-1.1</v>
      </c>
      <c r="T192" s="13" t="n">
        <f aca="false">MIN(153.6,(T191+S192))</f>
        <v>151.3</v>
      </c>
      <c r="V192" s="18" t="n">
        <v>819</v>
      </c>
      <c r="W192" s="10" t="n">
        <v>455</v>
      </c>
      <c r="X192" s="10" t="n">
        <v>66593.6</v>
      </c>
      <c r="Y192" s="10" t="n">
        <f aca="false">Y191+V192</f>
        <v>15662.5</v>
      </c>
      <c r="AA192" s="10" t="n">
        <v>9.37673907944247</v>
      </c>
    </row>
    <row r="193" s="10" customFormat="true" ht="15" hidden="false" customHeight="false" outlineLevel="0" collapsed="false">
      <c r="A193" s="34"/>
      <c r="B193" s="16"/>
      <c r="C193" s="9" t="n">
        <v>42040</v>
      </c>
      <c r="D193" s="36" t="n">
        <v>-0.3</v>
      </c>
      <c r="E193" s="36" t="n">
        <v>-2.5</v>
      </c>
      <c r="F193" s="21" t="n">
        <v>1.2</v>
      </c>
      <c r="G193" s="10" t="n">
        <v>1329</v>
      </c>
      <c r="H193" s="10" t="n">
        <v>293.6</v>
      </c>
      <c r="J193" s="10" t="n">
        <v>0</v>
      </c>
      <c r="K193" s="10" t="n">
        <v>318.1</v>
      </c>
      <c r="L193" s="10" t="n">
        <v>0.6</v>
      </c>
      <c r="M193" s="10" t="n">
        <v>158.8</v>
      </c>
      <c r="N193" s="11" t="n">
        <v>-0.6</v>
      </c>
      <c r="O193" s="10" t="n">
        <f aca="false">O192+N193</f>
        <v>150.7</v>
      </c>
      <c r="P193" s="10" t="n">
        <v>149</v>
      </c>
      <c r="Q193" s="10" t="n">
        <v>1</v>
      </c>
      <c r="R193" s="13" t="n">
        <f aca="false">Q193*L193</f>
        <v>0.6</v>
      </c>
      <c r="S193" s="13" t="n">
        <f aca="false">J193-R193</f>
        <v>-0.6</v>
      </c>
      <c r="T193" s="13" t="n">
        <f aca="false">MIN(153.6,(T192+S193))</f>
        <v>150.7</v>
      </c>
      <c r="V193" s="18" t="n">
        <v>508</v>
      </c>
      <c r="W193" s="10" t="n">
        <v>-1693.33333333333</v>
      </c>
      <c r="X193" s="10" t="n">
        <v>67101.6</v>
      </c>
      <c r="Y193" s="10" t="n">
        <f aca="false">Y192+V193</f>
        <v>16170.5</v>
      </c>
      <c r="AA193" s="10" t="n">
        <v>9.43222475234099</v>
      </c>
    </row>
    <row r="194" s="10" customFormat="true" ht="15" hidden="false" customHeight="false" outlineLevel="0" collapsed="false">
      <c r="A194" s="34"/>
      <c r="B194" s="16"/>
      <c r="C194" s="9" t="n">
        <v>42041</v>
      </c>
      <c r="D194" s="36" t="n">
        <v>-0.3</v>
      </c>
      <c r="E194" s="36" t="n">
        <v>-1.5</v>
      </c>
      <c r="F194" s="21" t="n">
        <v>0.7</v>
      </c>
      <c r="G194" s="10" t="n">
        <v>1329</v>
      </c>
      <c r="H194" s="10" t="n">
        <v>293.6</v>
      </c>
      <c r="J194" s="10" t="n">
        <v>0</v>
      </c>
      <c r="K194" s="10" t="n">
        <v>318.1</v>
      </c>
      <c r="L194" s="10" t="n">
        <v>1</v>
      </c>
      <c r="M194" s="10" t="n">
        <v>159.8</v>
      </c>
      <c r="N194" s="11" t="n">
        <v>-1</v>
      </c>
      <c r="O194" s="10" t="n">
        <f aca="false">O193+N194</f>
        <v>149.7</v>
      </c>
      <c r="P194" s="10" t="n">
        <v>150</v>
      </c>
      <c r="Q194" s="10" t="n">
        <v>1</v>
      </c>
      <c r="R194" s="13" t="n">
        <f aca="false">Q194*L194</f>
        <v>1</v>
      </c>
      <c r="S194" s="13" t="n">
        <f aca="false">J194-R194</f>
        <v>-1</v>
      </c>
      <c r="T194" s="13" t="n">
        <f aca="false">MIN(153.6,(T193+S194))</f>
        <v>149.7</v>
      </c>
      <c r="V194" s="18" t="n">
        <v>822.5</v>
      </c>
      <c r="W194" s="10" t="n">
        <v>-2741.66666666667</v>
      </c>
      <c r="X194" s="10" t="n">
        <v>67924.1</v>
      </c>
      <c r="Y194" s="10" t="n">
        <f aca="false">Y193+V194</f>
        <v>16993</v>
      </c>
      <c r="AA194" s="10" t="n">
        <v>9.4882679784248</v>
      </c>
    </row>
    <row r="195" s="10" customFormat="true" ht="15" hidden="false" customHeight="false" outlineLevel="0" collapsed="false">
      <c r="A195" s="34"/>
      <c r="B195" s="16"/>
      <c r="C195" s="9" t="n">
        <v>42042</v>
      </c>
      <c r="D195" s="21" t="n">
        <v>2.5</v>
      </c>
      <c r="E195" s="36" t="n">
        <v>-2.3</v>
      </c>
      <c r="F195" s="21" t="n">
        <v>5</v>
      </c>
      <c r="G195" s="10" t="n">
        <v>1331.5</v>
      </c>
      <c r="H195" s="10" t="n">
        <f aca="false">H194+D195</f>
        <v>296.1</v>
      </c>
      <c r="J195" s="10" t="n">
        <v>0</v>
      </c>
      <c r="K195" s="10" t="n">
        <v>318.1</v>
      </c>
      <c r="L195" s="10" t="n">
        <v>1</v>
      </c>
      <c r="M195" s="10" t="n">
        <v>160.8</v>
      </c>
      <c r="N195" s="11" t="n">
        <v>-1</v>
      </c>
      <c r="O195" s="10" t="n">
        <f aca="false">O194+N195</f>
        <v>148.7</v>
      </c>
      <c r="P195" s="10" t="n">
        <v>151</v>
      </c>
      <c r="Q195" s="10" t="n">
        <v>1</v>
      </c>
      <c r="R195" s="13" t="n">
        <f aca="false">Q195*L195</f>
        <v>1</v>
      </c>
      <c r="S195" s="13" t="n">
        <f aca="false">J195-R195</f>
        <v>-1</v>
      </c>
      <c r="T195" s="13" t="n">
        <f aca="false">MIN(153.6,(T194+S195))</f>
        <v>148.7</v>
      </c>
      <c r="V195" s="18" t="n">
        <v>702.2</v>
      </c>
      <c r="W195" s="10" t="n">
        <v>280.88</v>
      </c>
      <c r="X195" s="10" t="n">
        <v>68626.3</v>
      </c>
      <c r="Y195" s="10" t="n">
        <f aca="false">Y194+V195</f>
        <v>17695.2</v>
      </c>
      <c r="AA195" s="10" t="n">
        <v>9.54484279888826</v>
      </c>
    </row>
    <row r="196" s="10" customFormat="true" ht="15" hidden="false" customHeight="false" outlineLevel="0" collapsed="false">
      <c r="A196" s="34"/>
      <c r="B196" s="16"/>
      <c r="C196" s="9" t="n">
        <v>42043</v>
      </c>
      <c r="D196" s="21" t="n">
        <v>4.3</v>
      </c>
      <c r="E196" s="21" t="n">
        <v>4.2</v>
      </c>
      <c r="F196" s="10" t="n">
        <v>6.4</v>
      </c>
      <c r="G196" s="10" t="n">
        <v>1335.8</v>
      </c>
      <c r="H196" s="10" t="n">
        <f aca="false">H195+D196</f>
        <v>300.4</v>
      </c>
      <c r="J196" s="10" t="n">
        <v>0.1</v>
      </c>
      <c r="K196" s="10" t="n">
        <v>318.2</v>
      </c>
      <c r="L196" s="10" t="n">
        <v>1.2</v>
      </c>
      <c r="M196" s="10" t="n">
        <v>162</v>
      </c>
      <c r="N196" s="11" t="n">
        <v>-1.1</v>
      </c>
      <c r="O196" s="10" t="n">
        <f aca="false">O195+N196</f>
        <v>147.6</v>
      </c>
      <c r="P196" s="10" t="n">
        <v>152</v>
      </c>
      <c r="Q196" s="10" t="n">
        <v>1</v>
      </c>
      <c r="R196" s="13" t="n">
        <f aca="false">Q196*L196</f>
        <v>1.2</v>
      </c>
      <c r="S196" s="13" t="n">
        <f aca="false">J196-R196</f>
        <v>-1.1</v>
      </c>
      <c r="T196" s="13" t="n">
        <f aca="false">MIN(153.6,(T195+S196))</f>
        <v>147.6</v>
      </c>
      <c r="V196" s="18" t="n">
        <v>583.7</v>
      </c>
      <c r="W196" s="10" t="n">
        <v>135.744186046512</v>
      </c>
      <c r="X196" s="10" t="n">
        <v>69210</v>
      </c>
      <c r="Y196" s="10" t="n">
        <f aca="false">Y195+V196</f>
        <v>18278.9</v>
      </c>
      <c r="AA196" s="10" t="n">
        <v>9.60192403347783</v>
      </c>
    </row>
    <row r="197" s="10" customFormat="true" ht="15" hidden="false" customHeight="false" outlineLevel="0" collapsed="false">
      <c r="A197" s="34"/>
      <c r="B197" s="16"/>
      <c r="C197" s="9" t="n">
        <v>42044</v>
      </c>
      <c r="D197" s="21" t="n">
        <v>3</v>
      </c>
      <c r="E197" s="21" t="n">
        <v>0.2</v>
      </c>
      <c r="F197" s="21" t="n">
        <v>4.7</v>
      </c>
      <c r="G197" s="10" t="n">
        <v>1338.8</v>
      </c>
      <c r="H197" s="10" t="n">
        <f aca="false">H196+D197</f>
        <v>303.4</v>
      </c>
      <c r="J197" s="10" t="n">
        <v>0.1</v>
      </c>
      <c r="K197" s="10" t="n">
        <v>318.3</v>
      </c>
      <c r="L197" s="10" t="n">
        <v>0.3</v>
      </c>
      <c r="M197" s="10" t="n">
        <v>162.3</v>
      </c>
      <c r="N197" s="11" t="n">
        <v>-0.2</v>
      </c>
      <c r="O197" s="10" t="n">
        <f aca="false">O196+N197</f>
        <v>147.4</v>
      </c>
      <c r="P197" s="10" t="n">
        <v>153</v>
      </c>
      <c r="Q197" s="10" t="n">
        <v>1</v>
      </c>
      <c r="R197" s="13" t="n">
        <f aca="false">Q197*L197</f>
        <v>0.3</v>
      </c>
      <c r="S197" s="13" t="n">
        <f aca="false">J197-R197</f>
        <v>-0.2</v>
      </c>
      <c r="T197" s="13" t="n">
        <f aca="false">MIN(153.6,(T196+S197))</f>
        <v>147.4</v>
      </c>
      <c r="V197" s="18" t="n">
        <v>214.2</v>
      </c>
      <c r="W197" s="10" t="n">
        <v>71.4</v>
      </c>
      <c r="X197" s="10" t="n">
        <v>69424.2</v>
      </c>
      <c r="Y197" s="10" t="n">
        <f aca="false">Y196+V197</f>
        <v>18493.1</v>
      </c>
      <c r="AA197" s="10" t="n">
        <v>9.65948728300696</v>
      </c>
    </row>
    <row r="198" s="10" customFormat="true" ht="15" hidden="false" customHeight="false" outlineLevel="0" collapsed="false">
      <c r="A198" s="34"/>
      <c r="B198" s="16"/>
      <c r="C198" s="9" t="n">
        <v>42045</v>
      </c>
      <c r="D198" s="21" t="n">
        <v>4.9</v>
      </c>
      <c r="E198" s="21" t="n">
        <v>3.5</v>
      </c>
      <c r="F198" s="10" t="n">
        <v>5.9</v>
      </c>
      <c r="G198" s="10" t="n">
        <v>1343.7</v>
      </c>
      <c r="H198" s="10" t="n">
        <f aca="false">H197+D198</f>
        <v>308.3</v>
      </c>
      <c r="J198" s="10" t="n">
        <v>0</v>
      </c>
      <c r="K198" s="10" t="n">
        <v>318.3</v>
      </c>
      <c r="L198" s="10" t="n">
        <v>0.5</v>
      </c>
      <c r="M198" s="10" t="n">
        <v>162.8</v>
      </c>
      <c r="N198" s="11" t="n">
        <v>-0.5</v>
      </c>
      <c r="O198" s="10" t="n">
        <f aca="false">O197+N198</f>
        <v>146.9</v>
      </c>
      <c r="P198" s="10" t="n">
        <v>154</v>
      </c>
      <c r="Q198" s="10" t="n">
        <v>1</v>
      </c>
      <c r="R198" s="13" t="n">
        <f aca="false">Q198*L198</f>
        <v>0.5</v>
      </c>
      <c r="S198" s="13" t="n">
        <f aca="false">J198-R198</f>
        <v>-0.5</v>
      </c>
      <c r="T198" s="13" t="n">
        <f aca="false">MIN(153.6,(T197+S198))</f>
        <v>146.9</v>
      </c>
      <c r="V198" s="18" t="n">
        <v>227.5</v>
      </c>
      <c r="W198" s="10" t="n">
        <v>46.4285714285714</v>
      </c>
      <c r="X198" s="10" t="n">
        <v>69651.7</v>
      </c>
      <c r="Y198" s="10" t="n">
        <f aca="false">Y197+V198</f>
        <v>18720.6</v>
      </c>
      <c r="AA198" s="10" t="n">
        <v>9.71750892916911</v>
      </c>
    </row>
    <row r="199" s="10" customFormat="true" ht="15" hidden="false" customHeight="false" outlineLevel="0" collapsed="false">
      <c r="A199" s="34"/>
      <c r="B199" s="16" t="n">
        <v>10</v>
      </c>
      <c r="C199" s="9" t="n">
        <v>42046</v>
      </c>
      <c r="D199" s="10" t="n">
        <v>6</v>
      </c>
      <c r="E199" s="21" t="n">
        <v>3.3</v>
      </c>
      <c r="F199" s="10" t="n">
        <v>11.8</v>
      </c>
      <c r="G199" s="10" t="n">
        <v>1349.7</v>
      </c>
      <c r="H199" s="10" t="n">
        <f aca="false">H198+D199</f>
        <v>314.3</v>
      </c>
      <c r="J199" s="10" t="n">
        <v>0</v>
      </c>
      <c r="K199" s="10" t="n">
        <v>318.3</v>
      </c>
      <c r="L199" s="10" t="n">
        <v>0.8</v>
      </c>
      <c r="M199" s="10" t="n">
        <v>163.6</v>
      </c>
      <c r="N199" s="11" t="n">
        <v>-0.8</v>
      </c>
      <c r="O199" s="10" t="n">
        <f aca="false">O198+N199</f>
        <v>146.1</v>
      </c>
      <c r="P199" s="10" t="n">
        <v>155</v>
      </c>
      <c r="Q199" s="10" t="n">
        <v>1</v>
      </c>
      <c r="R199" s="13" t="n">
        <f aca="false">Q199*L199</f>
        <v>0.8</v>
      </c>
      <c r="S199" s="13" t="n">
        <f aca="false">J199-R199</f>
        <v>-0.8</v>
      </c>
      <c r="T199" s="13" t="n">
        <f aca="false">MIN(153.6,(T198+S199))</f>
        <v>146.1</v>
      </c>
      <c r="V199" s="18" t="n">
        <v>269.4</v>
      </c>
      <c r="W199" s="10" t="n">
        <v>44.9</v>
      </c>
      <c r="X199" s="10" t="n">
        <v>69921.1</v>
      </c>
      <c r="Y199" s="10" t="n">
        <f aca="false">Y198+V199</f>
        <v>18990</v>
      </c>
      <c r="AA199" s="10" t="n">
        <v>9.77596613185194</v>
      </c>
    </row>
    <row r="200" s="10" customFormat="true" ht="15" hidden="false" customHeight="false" outlineLevel="0" collapsed="false">
      <c r="A200" s="34"/>
      <c r="B200" s="16"/>
      <c r="C200" s="9" t="n">
        <v>42047</v>
      </c>
      <c r="D200" s="21" t="n">
        <v>3.5</v>
      </c>
      <c r="E200" s="21" t="n">
        <v>0.7</v>
      </c>
      <c r="F200" s="10" t="n">
        <v>7.2</v>
      </c>
      <c r="G200" s="10" t="n">
        <v>1353.2</v>
      </c>
      <c r="H200" s="10" t="n">
        <f aca="false">H199+D200</f>
        <v>317.8</v>
      </c>
      <c r="J200" s="10" t="n">
        <v>0</v>
      </c>
      <c r="K200" s="10" t="n">
        <v>318.3</v>
      </c>
      <c r="L200" s="10" t="n">
        <v>0.5</v>
      </c>
      <c r="M200" s="10" t="n">
        <v>164.1</v>
      </c>
      <c r="N200" s="11" t="n">
        <v>-0.5</v>
      </c>
      <c r="O200" s="10" t="n">
        <f aca="false">O199+N200</f>
        <v>145.6</v>
      </c>
      <c r="P200" s="10" t="n">
        <v>156</v>
      </c>
      <c r="Q200" s="10" t="n">
        <v>1</v>
      </c>
      <c r="R200" s="13" t="n">
        <f aca="false">Q200*L200</f>
        <v>0.5</v>
      </c>
      <c r="S200" s="13" t="n">
        <f aca="false">J200-R200</f>
        <v>-0.5</v>
      </c>
      <c r="T200" s="13" t="n">
        <f aca="false">MIN(153.6,(T199+S200))</f>
        <v>145.6</v>
      </c>
      <c r="V200" s="18" t="n">
        <v>272.7</v>
      </c>
      <c r="W200" s="10" t="n">
        <v>77.9142857142857</v>
      </c>
      <c r="X200" s="10" t="n">
        <v>70193.8</v>
      </c>
      <c r="Y200" s="10" t="n">
        <f aca="false">Y199+V200</f>
        <v>19262.7</v>
      </c>
      <c r="AA200" s="10" t="n">
        <v>9.8348368241504</v>
      </c>
    </row>
    <row r="201" s="10" customFormat="true" ht="15" hidden="false" customHeight="false" outlineLevel="0" collapsed="false">
      <c r="A201" s="34"/>
      <c r="B201" s="16"/>
      <c r="C201" s="9" t="n">
        <v>42048</v>
      </c>
      <c r="D201" s="10" t="n">
        <v>5.8</v>
      </c>
      <c r="E201" s="21" t="n">
        <v>0.8</v>
      </c>
      <c r="F201" s="10" t="n">
        <v>9</v>
      </c>
      <c r="G201" s="10" t="n">
        <v>1359</v>
      </c>
      <c r="H201" s="10" t="n">
        <f aca="false">H200+D201</f>
        <v>323.6</v>
      </c>
      <c r="J201" s="10" t="n">
        <v>1.8</v>
      </c>
      <c r="K201" s="10" t="n">
        <v>320.1</v>
      </c>
      <c r="L201" s="10" t="n">
        <v>1</v>
      </c>
      <c r="M201" s="10" t="n">
        <v>165.1</v>
      </c>
      <c r="N201" s="10" t="n">
        <v>0.8</v>
      </c>
      <c r="O201" s="10" t="n">
        <f aca="false">O200+N201</f>
        <v>146.4</v>
      </c>
      <c r="P201" s="10" t="n">
        <v>157</v>
      </c>
      <c r="Q201" s="10" t="n">
        <v>1</v>
      </c>
      <c r="R201" s="13" t="n">
        <f aca="false">Q201*L201</f>
        <v>1</v>
      </c>
      <c r="S201" s="13" t="n">
        <f aca="false">J201-R201</f>
        <v>0.8</v>
      </c>
      <c r="T201" s="13" t="n">
        <f aca="false">MIN(153.6,(T200+S201))</f>
        <v>146.4</v>
      </c>
      <c r="V201" s="18" t="n">
        <v>651.4</v>
      </c>
      <c r="W201" s="10" t="n">
        <v>112.310344827586</v>
      </c>
      <c r="X201" s="10" t="n">
        <v>70845.2</v>
      </c>
      <c r="Y201" s="10" t="n">
        <f aca="false">Y200+V201</f>
        <v>19914.1</v>
      </c>
      <c r="AA201" s="10" t="n">
        <v>9.89409970527011</v>
      </c>
    </row>
    <row r="202" s="10" customFormat="true" ht="15" hidden="false" customHeight="false" outlineLevel="0" collapsed="false">
      <c r="A202" s="34"/>
      <c r="B202" s="16"/>
      <c r="C202" s="9" t="n">
        <v>42049</v>
      </c>
      <c r="D202" s="10" t="n">
        <v>6.9</v>
      </c>
      <c r="E202" s="10" t="n">
        <v>6.1</v>
      </c>
      <c r="F202" s="10" t="n">
        <v>8.9</v>
      </c>
      <c r="G202" s="10" t="n">
        <v>1365.9</v>
      </c>
      <c r="H202" s="10" t="n">
        <f aca="false">H201+D202</f>
        <v>330.5</v>
      </c>
      <c r="J202" s="10" t="n">
        <v>1</v>
      </c>
      <c r="K202" s="10" t="n">
        <v>321.1</v>
      </c>
      <c r="L202" s="10" t="n">
        <v>0.9</v>
      </c>
      <c r="M202" s="10" t="n">
        <v>166</v>
      </c>
      <c r="N202" s="10" t="n">
        <v>0.1</v>
      </c>
      <c r="O202" s="10" t="n">
        <f aca="false">O201+N202</f>
        <v>146.5</v>
      </c>
      <c r="P202" s="10" t="n">
        <v>158</v>
      </c>
      <c r="Q202" s="10" t="n">
        <v>1</v>
      </c>
      <c r="R202" s="13" t="n">
        <f aca="false">Q202*L202</f>
        <v>0.9</v>
      </c>
      <c r="S202" s="13" t="n">
        <f aca="false">J202-R202</f>
        <v>0.1</v>
      </c>
      <c r="T202" s="13" t="n">
        <f aca="false">MIN(153.6,(T201+S202))</f>
        <v>146.5</v>
      </c>
      <c r="V202" s="18" t="n">
        <v>157.7</v>
      </c>
      <c r="W202" s="10" t="n">
        <v>22.8550724637681</v>
      </c>
      <c r="X202" s="10" t="n">
        <v>71002.9</v>
      </c>
      <c r="Y202" s="10" t="n">
        <f aca="false">Y201+V202</f>
        <v>20071.8</v>
      </c>
      <c r="AA202" s="10" t="n">
        <v>9.95373423150502</v>
      </c>
    </row>
    <row r="203" s="10" customFormat="true" ht="15" hidden="false" customHeight="false" outlineLevel="0" collapsed="false">
      <c r="A203" s="34"/>
      <c r="B203" s="16"/>
      <c r="C203" s="9" t="n">
        <v>42050</v>
      </c>
      <c r="D203" s="10" t="n">
        <v>6.2</v>
      </c>
      <c r="E203" s="21" t="n">
        <v>3.8</v>
      </c>
      <c r="F203" s="10" t="n">
        <v>9.3</v>
      </c>
      <c r="G203" s="10" t="n">
        <v>1372.1</v>
      </c>
      <c r="H203" s="10" t="n">
        <f aca="false">H202+D203</f>
        <v>336.7</v>
      </c>
      <c r="J203" s="10" t="n">
        <v>0</v>
      </c>
      <c r="K203" s="10" t="n">
        <v>321.1</v>
      </c>
      <c r="L203" s="10" t="n">
        <v>0.8</v>
      </c>
      <c r="M203" s="10" t="n">
        <v>166.8</v>
      </c>
      <c r="N203" s="11" t="n">
        <v>-0.8</v>
      </c>
      <c r="O203" s="10" t="n">
        <f aca="false">O202+N203</f>
        <v>145.7</v>
      </c>
      <c r="P203" s="10" t="n">
        <v>159</v>
      </c>
      <c r="Q203" s="10" t="n">
        <v>1</v>
      </c>
      <c r="R203" s="13" t="n">
        <f aca="false">Q203*L203</f>
        <v>0.8</v>
      </c>
      <c r="S203" s="13" t="n">
        <f aca="false">J203-R203</f>
        <v>-0.8</v>
      </c>
      <c r="T203" s="13" t="n">
        <f aca="false">MIN(153.6,(T202+S203))</f>
        <v>145.7</v>
      </c>
      <c r="V203" s="18" t="n">
        <v>614.6</v>
      </c>
      <c r="W203" s="10" t="n">
        <v>99.1290322580645</v>
      </c>
      <c r="X203" s="10" t="n">
        <v>71617.5</v>
      </c>
      <c r="Y203" s="10" t="n">
        <f aca="false">Y202+V203</f>
        <v>20686.4</v>
      </c>
      <c r="AA203" s="10" t="n">
        <v>10.0137206054658</v>
      </c>
    </row>
    <row r="204" s="10" customFormat="true" ht="15" hidden="false" customHeight="false" outlineLevel="0" collapsed="false">
      <c r="A204" s="34"/>
      <c r="B204" s="16"/>
      <c r="C204" s="9" t="n">
        <v>42051</v>
      </c>
      <c r="D204" s="21" t="n">
        <v>2.8</v>
      </c>
      <c r="E204" s="36" t="n">
        <v>-0.5</v>
      </c>
      <c r="F204" s="21" t="n">
        <v>4.5</v>
      </c>
      <c r="G204" s="10" t="n">
        <v>1374.9</v>
      </c>
      <c r="H204" s="10" t="n">
        <f aca="false">H203+D204</f>
        <v>339.5</v>
      </c>
      <c r="J204" s="10" t="n">
        <v>1.5</v>
      </c>
      <c r="K204" s="10" t="n">
        <v>322.6</v>
      </c>
      <c r="L204" s="10" t="n">
        <v>0.5</v>
      </c>
      <c r="M204" s="10" t="n">
        <v>167.3</v>
      </c>
      <c r="N204" s="10" t="n">
        <v>1</v>
      </c>
      <c r="O204" s="10" t="n">
        <f aca="false">O203+N204</f>
        <v>146.7</v>
      </c>
      <c r="P204" s="10" t="n">
        <v>160</v>
      </c>
      <c r="Q204" s="10" t="n">
        <v>1</v>
      </c>
      <c r="R204" s="13" t="n">
        <f aca="false">Q204*L204</f>
        <v>0.5</v>
      </c>
      <c r="S204" s="13" t="n">
        <f aca="false">J204-R204</f>
        <v>1</v>
      </c>
      <c r="T204" s="13" t="n">
        <f aca="false">MIN(153.6,(T203+S204))</f>
        <v>146.7</v>
      </c>
      <c r="V204" s="18" t="n">
        <v>365.1</v>
      </c>
      <c r="W204" s="10" t="n">
        <v>130.392857142857</v>
      </c>
      <c r="X204" s="10" t="n">
        <v>71982.6</v>
      </c>
      <c r="Y204" s="10" t="n">
        <f aca="false">Y203+V204</f>
        <v>21051.5</v>
      </c>
      <c r="AA204" s="10" t="n">
        <v>10.0740397637269</v>
      </c>
    </row>
    <row r="205" s="10" customFormat="true" ht="15" hidden="false" customHeight="false" outlineLevel="0" collapsed="false">
      <c r="A205" s="34"/>
      <c r="B205" s="16"/>
      <c r="C205" s="9" t="n">
        <v>42052</v>
      </c>
      <c r="D205" s="21" t="n">
        <v>4.2</v>
      </c>
      <c r="E205" s="21" t="n">
        <v>3.7</v>
      </c>
      <c r="F205" s="10" t="n">
        <v>7.1</v>
      </c>
      <c r="G205" s="10" t="n">
        <v>1379.1</v>
      </c>
      <c r="H205" s="10" t="n">
        <f aca="false">H204+D205</f>
        <v>343.7</v>
      </c>
      <c r="J205" s="10" t="n">
        <v>0.8</v>
      </c>
      <c r="K205" s="10" t="n">
        <v>323.4</v>
      </c>
      <c r="L205" s="10" t="n">
        <v>0.6</v>
      </c>
      <c r="M205" s="10" t="n">
        <v>167.9</v>
      </c>
      <c r="N205" s="10" t="n">
        <v>0.2</v>
      </c>
      <c r="O205" s="10" t="n">
        <f aca="false">O204+N205</f>
        <v>146.9</v>
      </c>
      <c r="P205" s="10" t="n">
        <v>161</v>
      </c>
      <c r="Q205" s="10" t="n">
        <v>1</v>
      </c>
      <c r="R205" s="13" t="n">
        <f aca="false">Q205*L205</f>
        <v>0.6</v>
      </c>
      <c r="S205" s="13" t="n">
        <f aca="false">J205-R205</f>
        <v>0.2</v>
      </c>
      <c r="T205" s="13" t="n">
        <f aca="false">MIN(153.6,(T204+S205))</f>
        <v>146.9</v>
      </c>
      <c r="V205" s="18" t="n">
        <v>194.8</v>
      </c>
      <c r="W205" s="10" t="n">
        <v>46.3809523809524</v>
      </c>
      <c r="X205" s="10" t="n">
        <v>72177.4</v>
      </c>
      <c r="Y205" s="10" t="n">
        <f aca="false">Y204+V205</f>
        <v>21246.3</v>
      </c>
      <c r="AA205" s="10" t="n">
        <v>10.134673363052</v>
      </c>
    </row>
    <row r="206" s="10" customFormat="true" ht="15" hidden="false" customHeight="false" outlineLevel="0" collapsed="false">
      <c r="A206" s="34"/>
      <c r="B206" s="16"/>
      <c r="C206" s="9" t="n">
        <v>42053</v>
      </c>
      <c r="D206" s="21" t="n">
        <v>0.7</v>
      </c>
      <c r="E206" s="36" t="n">
        <v>-2.4</v>
      </c>
      <c r="F206" s="21" t="n">
        <v>4</v>
      </c>
      <c r="G206" s="10" t="n">
        <v>1379.8</v>
      </c>
      <c r="H206" s="10" t="n">
        <f aca="false">H205+D206</f>
        <v>344.4</v>
      </c>
      <c r="J206" s="10" t="n">
        <v>0</v>
      </c>
      <c r="K206" s="10" t="n">
        <v>323.4</v>
      </c>
      <c r="L206" s="10" t="n">
        <v>0.7</v>
      </c>
      <c r="M206" s="10" t="n">
        <v>168.6</v>
      </c>
      <c r="N206" s="11" t="n">
        <v>-0.7</v>
      </c>
      <c r="O206" s="10" t="n">
        <f aca="false">O205+N206</f>
        <v>146.2</v>
      </c>
      <c r="P206" s="10" t="n">
        <v>162</v>
      </c>
      <c r="Q206" s="10" t="n">
        <v>1</v>
      </c>
      <c r="R206" s="13" t="n">
        <f aca="false">Q206*L206</f>
        <v>0.7</v>
      </c>
      <c r="S206" s="13" t="n">
        <f aca="false">J206-R206</f>
        <v>-0.7</v>
      </c>
      <c r="T206" s="13" t="n">
        <f aca="false">MIN(153.6,(T205+S206))</f>
        <v>146.2</v>
      </c>
      <c r="V206" s="18" t="n">
        <v>614.3</v>
      </c>
      <c r="W206" s="10" t="n">
        <v>877.571428571429</v>
      </c>
      <c r="X206" s="10" t="n">
        <v>72791.7</v>
      </c>
      <c r="Y206" s="10" t="n">
        <f aca="false">Y205+V206</f>
        <v>21860.6</v>
      </c>
      <c r="AA206" s="10" t="n">
        <v>10.1956037653486</v>
      </c>
    </row>
    <row r="207" s="10" customFormat="true" ht="15" hidden="false" customHeight="false" outlineLevel="0" collapsed="false">
      <c r="A207" s="34"/>
      <c r="B207" s="16"/>
      <c r="C207" s="9" t="n">
        <v>42054</v>
      </c>
      <c r="D207" s="21" t="n">
        <v>3.9</v>
      </c>
      <c r="E207" s="21" t="n">
        <v>0.7</v>
      </c>
      <c r="F207" s="10" t="n">
        <v>7</v>
      </c>
      <c r="G207" s="10" t="n">
        <v>1383.7</v>
      </c>
      <c r="H207" s="10" t="n">
        <f aca="false">H206+D207</f>
        <v>348.3</v>
      </c>
      <c r="J207" s="10" t="n">
        <v>2.4</v>
      </c>
      <c r="K207" s="10" t="n">
        <v>325.8</v>
      </c>
      <c r="L207" s="10" t="n">
        <v>0.8</v>
      </c>
      <c r="M207" s="10" t="n">
        <v>169.4</v>
      </c>
      <c r="N207" s="10" t="n">
        <v>1.6</v>
      </c>
      <c r="O207" s="10" t="n">
        <f aca="false">O206+N207</f>
        <v>147.8</v>
      </c>
      <c r="P207" s="10" t="n">
        <v>163</v>
      </c>
      <c r="Q207" s="10" t="n">
        <v>1</v>
      </c>
      <c r="R207" s="13" t="n">
        <f aca="false">Q207*L207</f>
        <v>0.8</v>
      </c>
      <c r="S207" s="13" t="n">
        <f aca="false">J207-R207</f>
        <v>1.6</v>
      </c>
      <c r="T207" s="13" t="n">
        <f aca="false">MIN(153.6,(T206+S207))</f>
        <v>147.8</v>
      </c>
      <c r="V207" s="18" t="n">
        <v>515.4</v>
      </c>
      <c r="W207" s="10" t="n">
        <v>132.153846153846</v>
      </c>
      <c r="X207" s="10" t="n">
        <v>73307.1</v>
      </c>
      <c r="Y207" s="10" t="n">
        <f aca="false">Y206+V207</f>
        <v>22376</v>
      </c>
      <c r="AA207" s="10" t="n">
        <v>10.2568140214922</v>
      </c>
    </row>
    <row r="208" s="10" customFormat="true" ht="15" hidden="false" customHeight="false" outlineLevel="0" collapsed="false">
      <c r="A208" s="34"/>
      <c r="B208" s="16"/>
      <c r="C208" s="9" t="n">
        <v>42055</v>
      </c>
      <c r="D208" s="10" t="n">
        <v>6.1</v>
      </c>
      <c r="E208" s="21" t="n">
        <v>4.4</v>
      </c>
      <c r="F208" s="10" t="n">
        <v>7.7</v>
      </c>
      <c r="G208" s="10" t="n">
        <v>1389.8</v>
      </c>
      <c r="H208" s="10" t="n">
        <f aca="false">H207+D208</f>
        <v>354.4</v>
      </c>
      <c r="J208" s="10" t="n">
        <v>13.2</v>
      </c>
      <c r="K208" s="10" t="n">
        <v>339</v>
      </c>
      <c r="L208" s="10" t="n">
        <v>0.4</v>
      </c>
      <c r="M208" s="10" t="n">
        <v>169.8</v>
      </c>
      <c r="N208" s="10" t="n">
        <v>12.8</v>
      </c>
      <c r="O208" s="10" t="n">
        <v>153.6</v>
      </c>
      <c r="P208" s="10" t="n">
        <v>164</v>
      </c>
      <c r="Q208" s="10" t="n">
        <v>1</v>
      </c>
      <c r="R208" s="13" t="n">
        <f aca="false">Q208*L208</f>
        <v>0.4</v>
      </c>
      <c r="S208" s="13" t="n">
        <f aca="false">J208-R208</f>
        <v>12.8</v>
      </c>
      <c r="T208" s="13" t="n">
        <f aca="false">MIN(153.6,(T207+S208))</f>
        <v>153.6</v>
      </c>
      <c r="V208" s="18" t="n">
        <v>118.1</v>
      </c>
      <c r="W208" s="10" t="n">
        <v>19.3606557377049</v>
      </c>
      <c r="X208" s="10" t="n">
        <v>73425.2</v>
      </c>
      <c r="Y208" s="10" t="n">
        <f aca="false">Y207+V208</f>
        <v>22494.1</v>
      </c>
      <c r="AA208" s="10" t="n">
        <v>10.3182878541557</v>
      </c>
    </row>
    <row r="209" s="10" customFormat="true" ht="15" hidden="false" customHeight="false" outlineLevel="0" collapsed="false">
      <c r="A209" s="34"/>
      <c r="B209" s="16"/>
      <c r="C209" s="9" t="n">
        <v>42056</v>
      </c>
      <c r="D209" s="21" t="n">
        <v>3</v>
      </c>
      <c r="E209" s="21" t="n">
        <v>1.2</v>
      </c>
      <c r="F209" s="10" t="n">
        <v>5.7</v>
      </c>
      <c r="G209" s="10" t="n">
        <v>1392.8</v>
      </c>
      <c r="H209" s="10" t="n">
        <f aca="false">H208+D209</f>
        <v>357.4</v>
      </c>
      <c r="J209" s="10" t="n">
        <v>0</v>
      </c>
      <c r="K209" s="10" t="n">
        <v>339</v>
      </c>
      <c r="L209" s="10" t="n">
        <v>0.5</v>
      </c>
      <c r="M209" s="10" t="n">
        <v>170.3</v>
      </c>
      <c r="N209" s="11" t="n">
        <v>-0.5</v>
      </c>
      <c r="O209" s="10" t="n">
        <f aca="false">O208+N209</f>
        <v>153.1</v>
      </c>
      <c r="P209" s="10" t="n">
        <v>165</v>
      </c>
      <c r="Q209" s="10" t="n">
        <v>1</v>
      </c>
      <c r="R209" s="13" t="n">
        <f aca="false">Q209*L209</f>
        <v>0.5</v>
      </c>
      <c r="S209" s="13" t="n">
        <f aca="false">J209-R209</f>
        <v>-0.5</v>
      </c>
      <c r="T209" s="13" t="n">
        <f aca="false">MIN(153.6,(T208+S209))</f>
        <v>153.1</v>
      </c>
      <c r="V209" s="18" t="n">
        <v>177</v>
      </c>
      <c r="W209" s="10" t="n">
        <v>59</v>
      </c>
      <c r="X209" s="10" t="n">
        <v>73602.2</v>
      </c>
      <c r="Y209" s="10" t="n">
        <f aca="false">Y208+V209</f>
        <v>22671.1</v>
      </c>
      <c r="AA209" s="10" t="n">
        <v>10.3800096397642</v>
      </c>
    </row>
    <row r="210" s="10" customFormat="true" ht="15" hidden="false" customHeight="false" outlineLevel="0" collapsed="false">
      <c r="A210" s="34"/>
      <c r="B210" s="16"/>
      <c r="C210" s="9" t="n">
        <v>42057</v>
      </c>
      <c r="D210" s="21" t="n">
        <v>3.5</v>
      </c>
      <c r="E210" s="36" t="n">
        <v>-0.6</v>
      </c>
      <c r="F210" s="10" t="n">
        <v>7</v>
      </c>
      <c r="G210" s="10" t="n">
        <v>1396.3</v>
      </c>
      <c r="H210" s="10" t="n">
        <f aca="false">H209+D210</f>
        <v>360.9</v>
      </c>
      <c r="J210" s="10" t="n">
        <v>5.1</v>
      </c>
      <c r="K210" s="10" t="n">
        <v>344.1</v>
      </c>
      <c r="L210" s="10" t="n">
        <v>1</v>
      </c>
      <c r="M210" s="10" t="n">
        <v>171.3</v>
      </c>
      <c r="N210" s="10" t="n">
        <v>4.1</v>
      </c>
      <c r="O210" s="10" t="n">
        <v>153.6</v>
      </c>
      <c r="P210" s="10" t="n">
        <v>166</v>
      </c>
      <c r="Q210" s="10" t="n">
        <v>1</v>
      </c>
      <c r="R210" s="13" t="n">
        <f aca="false">Q210*L210</f>
        <v>1</v>
      </c>
      <c r="S210" s="13" t="n">
        <f aca="false">J210-R210</f>
        <v>4.1</v>
      </c>
      <c r="T210" s="13" t="n">
        <f aca="false">MIN(153.6,(T209+S210))</f>
        <v>153.6</v>
      </c>
      <c r="V210" s="18" t="n">
        <v>820.1</v>
      </c>
      <c r="W210" s="10" t="n">
        <v>234.314285714286</v>
      </c>
      <c r="X210" s="10" t="n">
        <v>74422.3</v>
      </c>
      <c r="Y210" s="10" t="n">
        <f aca="false">Y209+V210</f>
        <v>23491.2</v>
      </c>
      <c r="AA210" s="10" t="n">
        <v>10.4419643896941</v>
      </c>
    </row>
    <row r="211" s="10" customFormat="true" ht="15" hidden="false" customHeight="false" outlineLevel="0" collapsed="false">
      <c r="A211" s="34"/>
      <c r="B211" s="16"/>
      <c r="C211" s="9" t="n">
        <v>42058</v>
      </c>
      <c r="D211" s="10" t="n">
        <v>5.8</v>
      </c>
      <c r="E211" s="21" t="n">
        <v>4.1</v>
      </c>
      <c r="F211" s="10" t="n">
        <v>9.5</v>
      </c>
      <c r="G211" s="10" t="n">
        <v>1402.1</v>
      </c>
      <c r="H211" s="10" t="n">
        <f aca="false">H210+D211</f>
        <v>366.7</v>
      </c>
      <c r="J211" s="10" t="n">
        <v>3.5</v>
      </c>
      <c r="K211" s="10" t="n">
        <v>347.6</v>
      </c>
      <c r="L211" s="10" t="n">
        <v>1.6</v>
      </c>
      <c r="M211" s="10" t="n">
        <v>172.9</v>
      </c>
      <c r="N211" s="10" t="n">
        <v>1.9</v>
      </c>
      <c r="O211" s="10" t="n">
        <v>153.6</v>
      </c>
      <c r="P211" s="10" t="n">
        <v>167</v>
      </c>
      <c r="Q211" s="10" t="n">
        <v>1</v>
      </c>
      <c r="R211" s="13" t="n">
        <f aca="false">Q211*L211</f>
        <v>1.6</v>
      </c>
      <c r="S211" s="13" t="n">
        <f aca="false">J211-R211</f>
        <v>1.9</v>
      </c>
      <c r="T211" s="13" t="n">
        <f aca="false">MIN(153.6,(T210+S211))</f>
        <v>153.6</v>
      </c>
      <c r="V211" s="18" t="n">
        <v>524.2</v>
      </c>
      <c r="W211" s="10" t="n">
        <v>90.3793103448276</v>
      </c>
      <c r="X211" s="10" t="n">
        <v>74946.5</v>
      </c>
      <c r="Y211" s="10" t="n">
        <f aca="false">Y210+V211</f>
        <v>24015.4</v>
      </c>
      <c r="AA211" s="10" t="n">
        <v>10.5041377308199</v>
      </c>
    </row>
    <row r="212" s="10" customFormat="true" ht="15" hidden="false" customHeight="false" outlineLevel="0" collapsed="false">
      <c r="A212" s="34"/>
      <c r="B212" s="16"/>
      <c r="C212" s="9" t="n">
        <v>42059</v>
      </c>
      <c r="D212" s="21" t="n">
        <v>4.9</v>
      </c>
      <c r="E212" s="21" t="n">
        <v>3</v>
      </c>
      <c r="F212" s="10" t="n">
        <v>8.6</v>
      </c>
      <c r="G212" s="10" t="n">
        <v>1407</v>
      </c>
      <c r="H212" s="10" t="n">
        <f aca="false">H211+D212</f>
        <v>371.6</v>
      </c>
      <c r="J212" s="10" t="n">
        <v>3</v>
      </c>
      <c r="K212" s="10" t="n">
        <v>350.6</v>
      </c>
      <c r="L212" s="10" t="n">
        <v>1.6</v>
      </c>
      <c r="M212" s="10" t="n">
        <v>174.5</v>
      </c>
      <c r="N212" s="10" t="n">
        <v>1.4</v>
      </c>
      <c r="O212" s="10" t="n">
        <v>153.6</v>
      </c>
      <c r="P212" s="10" t="n">
        <v>168</v>
      </c>
      <c r="Q212" s="10" t="n">
        <v>1</v>
      </c>
      <c r="R212" s="13" t="n">
        <f aca="false">Q212*L212</f>
        <v>1.6</v>
      </c>
      <c r="S212" s="13" t="n">
        <f aca="false">J212-R212</f>
        <v>1.4</v>
      </c>
      <c r="T212" s="13" t="n">
        <f aca="false">MIN(153.6,(T211+S212))</f>
        <v>153.6</v>
      </c>
      <c r="V212" s="18" t="n">
        <v>818.8</v>
      </c>
      <c r="W212" s="10" t="n">
        <v>167.102040816327</v>
      </c>
      <c r="X212" s="10" t="n">
        <v>75765.3</v>
      </c>
      <c r="Y212" s="10" t="n">
        <f aca="false">Y211+V212</f>
        <v>24834.2</v>
      </c>
      <c r="AA212" s="10" t="n">
        <v>10.5665158855088</v>
      </c>
    </row>
    <row r="213" s="10" customFormat="true" ht="15" hidden="false" customHeight="false" outlineLevel="0" collapsed="false">
      <c r="A213" s="34"/>
      <c r="B213" s="16"/>
      <c r="C213" s="9" t="n">
        <v>42060</v>
      </c>
      <c r="D213" s="21" t="n">
        <v>5</v>
      </c>
      <c r="E213" s="21" t="n">
        <v>2.5</v>
      </c>
      <c r="F213" s="10" t="n">
        <v>7.3</v>
      </c>
      <c r="G213" s="10" t="n">
        <v>1412</v>
      </c>
      <c r="H213" s="10" t="n">
        <f aca="false">H212+D213</f>
        <v>376.6</v>
      </c>
      <c r="J213" s="10" t="n">
        <v>5</v>
      </c>
      <c r="K213" s="10" t="n">
        <v>355.6</v>
      </c>
      <c r="L213" s="10" t="n">
        <v>0.4</v>
      </c>
      <c r="M213" s="10" t="n">
        <v>174.9</v>
      </c>
      <c r="N213" s="10" t="n">
        <v>4.6</v>
      </c>
      <c r="O213" s="10" t="n">
        <v>153.6</v>
      </c>
      <c r="P213" s="10" t="n">
        <v>169</v>
      </c>
      <c r="Q213" s="10" t="n">
        <v>1</v>
      </c>
      <c r="R213" s="13" t="n">
        <f aca="false">Q213*L213</f>
        <v>0.4</v>
      </c>
      <c r="S213" s="13" t="n">
        <f aca="false">J213-R213</f>
        <v>4.6</v>
      </c>
      <c r="T213" s="13" t="n">
        <f aca="false">MIN(153.6,(T212+S213))</f>
        <v>153.6</v>
      </c>
      <c r="V213" s="18" t="n">
        <v>171.1</v>
      </c>
      <c r="W213" s="10" t="n">
        <v>34.22</v>
      </c>
      <c r="X213" s="10" t="n">
        <v>75936.4</v>
      </c>
      <c r="Y213" s="10" t="n">
        <f aca="false">Y212+V213</f>
        <v>25005.3</v>
      </c>
      <c r="AA213" s="10" t="n">
        <v>10.6290856511529</v>
      </c>
    </row>
    <row r="214" s="10" customFormat="true" ht="15" hidden="false" customHeight="false" outlineLevel="0" collapsed="false">
      <c r="A214" s="34"/>
      <c r="B214" s="16"/>
      <c r="C214" s="9" t="n">
        <v>42061</v>
      </c>
      <c r="D214" s="10" t="n">
        <v>7.7</v>
      </c>
      <c r="E214" s="21" t="n">
        <v>4.8</v>
      </c>
      <c r="F214" s="10" t="n">
        <v>11</v>
      </c>
      <c r="G214" s="10" t="n">
        <v>1419.7</v>
      </c>
      <c r="H214" s="10" t="n">
        <f aca="false">H213+D214</f>
        <v>384.3</v>
      </c>
      <c r="J214" s="10" t="n">
        <v>9.8</v>
      </c>
      <c r="K214" s="10" t="n">
        <v>365.4</v>
      </c>
      <c r="L214" s="10" t="n">
        <v>0.4</v>
      </c>
      <c r="M214" s="10" t="n">
        <v>175.3</v>
      </c>
      <c r="N214" s="10" t="n">
        <v>9.4</v>
      </c>
      <c r="O214" s="10" t="n">
        <v>153.6</v>
      </c>
      <c r="P214" s="10" t="n">
        <v>170</v>
      </c>
      <c r="Q214" s="10" t="n">
        <v>1</v>
      </c>
      <c r="R214" s="13" t="n">
        <f aca="false">Q214*L214</f>
        <v>0.4</v>
      </c>
      <c r="S214" s="13" t="n">
        <f aca="false">J214-R214</f>
        <v>9.4</v>
      </c>
      <c r="T214" s="13" t="n">
        <f aca="false">MIN(153.6,(T213+S214))</f>
        <v>153.6</v>
      </c>
      <c r="V214" s="18" t="n">
        <v>201.7</v>
      </c>
      <c r="W214" s="10" t="n">
        <v>26.1948051948052</v>
      </c>
      <c r="X214" s="10" t="n">
        <v>76138.1</v>
      </c>
      <c r="Y214" s="10" t="n">
        <f aca="false">Y213+V214</f>
        <v>25207</v>
      </c>
      <c r="AA214" s="10" t="n">
        <v>10.6918343793206</v>
      </c>
    </row>
    <row r="215" s="10" customFormat="true" ht="15" hidden="false" customHeight="false" outlineLevel="0" collapsed="false">
      <c r="A215" s="34"/>
      <c r="B215" s="16"/>
      <c r="C215" s="9" t="n">
        <v>42062</v>
      </c>
      <c r="D215" s="21" t="n">
        <v>3.6</v>
      </c>
      <c r="E215" s="21" t="n">
        <v>2.3</v>
      </c>
      <c r="F215" s="10" t="n">
        <v>7</v>
      </c>
      <c r="G215" s="10" t="n">
        <v>1423.3</v>
      </c>
      <c r="H215" s="10" t="n">
        <f aca="false">H214+D215</f>
        <v>387.9</v>
      </c>
      <c r="J215" s="10" t="n">
        <v>0</v>
      </c>
      <c r="K215" s="10" t="n">
        <v>365.4</v>
      </c>
      <c r="L215" s="10" t="n">
        <v>1.6</v>
      </c>
      <c r="M215" s="10" t="n">
        <v>176.9</v>
      </c>
      <c r="N215" s="11" t="n">
        <v>-1.6</v>
      </c>
      <c r="O215" s="10" t="n">
        <f aca="false">O214+N215</f>
        <v>152</v>
      </c>
      <c r="P215" s="10" t="n">
        <v>171</v>
      </c>
      <c r="Q215" s="10" t="n">
        <v>1</v>
      </c>
      <c r="R215" s="13" t="n">
        <f aca="false">Q215*L215</f>
        <v>1.6</v>
      </c>
      <c r="S215" s="13" t="n">
        <f aca="false">J215-R215</f>
        <v>-1.6</v>
      </c>
      <c r="T215" s="13" t="n">
        <f aca="false">MIN(153.6,(T214+S215))</f>
        <v>152</v>
      </c>
      <c r="V215" s="10" t="n">
        <v>1042</v>
      </c>
      <c r="W215" s="10" t="n">
        <v>289.444444444444</v>
      </c>
      <c r="X215" s="10" t="n">
        <v>77180.1</v>
      </c>
      <c r="Y215" s="10" t="n">
        <f aca="false">Y214+V215</f>
        <v>26249</v>
      </c>
      <c r="AA215" s="10" t="n">
        <v>10.7547499546026</v>
      </c>
    </row>
    <row r="216" s="10" customFormat="true" ht="15" hidden="false" customHeight="false" outlineLevel="0" collapsed="false">
      <c r="A216" s="34"/>
      <c r="B216" s="16"/>
      <c r="C216" s="9" t="n">
        <v>42063</v>
      </c>
      <c r="D216" s="10" t="n">
        <v>5.9</v>
      </c>
      <c r="E216" s="21" t="n">
        <v>0.6</v>
      </c>
      <c r="F216" s="10" t="n">
        <v>9.7</v>
      </c>
      <c r="G216" s="10" t="n">
        <v>1429.2</v>
      </c>
      <c r="H216" s="10" t="n">
        <f aca="false">H215+D216</f>
        <v>393.8</v>
      </c>
      <c r="J216" s="10" t="n">
        <v>3</v>
      </c>
      <c r="K216" s="10" t="n">
        <v>368.4</v>
      </c>
      <c r="L216" s="10" t="n">
        <v>1</v>
      </c>
      <c r="M216" s="10" t="n">
        <v>177.9</v>
      </c>
      <c r="N216" s="10" t="n">
        <v>2</v>
      </c>
      <c r="O216" s="10" t="n">
        <v>153.6</v>
      </c>
      <c r="P216" s="10" t="n">
        <v>172</v>
      </c>
      <c r="Q216" s="10" t="n">
        <v>1</v>
      </c>
      <c r="R216" s="13" t="n">
        <f aca="false">Q216*L216</f>
        <v>1</v>
      </c>
      <c r="S216" s="13" t="n">
        <f aca="false">J216-R216</f>
        <v>2</v>
      </c>
      <c r="T216" s="13" t="n">
        <f aca="false">MIN(153.6,(T215+S216))</f>
        <v>153.6</v>
      </c>
      <c r="V216" s="18" t="n">
        <v>605.2</v>
      </c>
      <c r="W216" s="10" t="n">
        <v>102.576271186441</v>
      </c>
      <c r="X216" s="10" t="n">
        <v>77785.3</v>
      </c>
      <c r="Y216" s="10" t="n">
        <f aca="false">Y215+V216</f>
        <v>26854.2</v>
      </c>
      <c r="AA216" s="10" t="n">
        <v>10.8178207732204</v>
      </c>
    </row>
    <row r="217" s="10" customFormat="true" ht="15" hidden="false" customHeight="false" outlineLevel="0" collapsed="false">
      <c r="A217" s="34"/>
      <c r="B217" s="16"/>
      <c r="C217" s="9" t="n">
        <v>42064</v>
      </c>
      <c r="D217" s="10" t="n">
        <v>9</v>
      </c>
      <c r="E217" s="10" t="n">
        <v>7.1</v>
      </c>
      <c r="F217" s="10" t="n">
        <v>10.4</v>
      </c>
      <c r="G217" s="10" t="n">
        <v>1438.2</v>
      </c>
      <c r="H217" s="10" t="n">
        <f aca="false">H216+D217</f>
        <v>402.8</v>
      </c>
      <c r="J217" s="10" t="n">
        <v>3</v>
      </c>
      <c r="K217" s="10" t="n">
        <v>371.4</v>
      </c>
      <c r="L217" s="10" t="n">
        <v>1.5</v>
      </c>
      <c r="M217" s="10" t="n">
        <v>179.4</v>
      </c>
      <c r="N217" s="10" t="n">
        <v>1.5</v>
      </c>
      <c r="O217" s="10" t="n">
        <v>153.6</v>
      </c>
      <c r="P217" s="10" t="n">
        <v>173</v>
      </c>
      <c r="Q217" s="10" t="n">
        <v>1</v>
      </c>
      <c r="R217" s="13" t="n">
        <f aca="false">Q217*L217</f>
        <v>1.5</v>
      </c>
      <c r="S217" s="13" t="n">
        <f aca="false">J217-R217</f>
        <v>1.5</v>
      </c>
      <c r="T217" s="13" t="n">
        <f aca="false">MIN(153.6,(T216+S217))</f>
        <v>153.6</v>
      </c>
      <c r="V217" s="18" t="n">
        <v>563.2</v>
      </c>
      <c r="W217" s="10" t="n">
        <v>62.5777777777778</v>
      </c>
      <c r="X217" s="10" t="n">
        <v>78348.5</v>
      </c>
      <c r="Y217" s="10" t="n">
        <f aca="false">Y216+V217</f>
        <v>27417.4</v>
      </c>
      <c r="AA217" s="10" t="n">
        <v>10.8810357214578</v>
      </c>
    </row>
    <row r="218" s="10" customFormat="true" ht="15" hidden="false" customHeight="false" outlineLevel="0" collapsed="false">
      <c r="A218" s="34"/>
      <c r="B218" s="16"/>
      <c r="C218" s="9" t="n">
        <v>42065</v>
      </c>
      <c r="D218" s="21" t="n">
        <v>5</v>
      </c>
      <c r="E218" s="21" t="n">
        <v>4.2</v>
      </c>
      <c r="F218" s="10" t="n">
        <v>6.7</v>
      </c>
      <c r="G218" s="10" t="n">
        <v>1443.2</v>
      </c>
      <c r="H218" s="10" t="n">
        <f aca="false">H217+D218</f>
        <v>407.8</v>
      </c>
      <c r="J218" s="10" t="n">
        <v>2.7</v>
      </c>
      <c r="K218" s="10" t="n">
        <v>374.1</v>
      </c>
      <c r="L218" s="10" t="n">
        <v>1.5</v>
      </c>
      <c r="M218" s="10" t="n">
        <v>180.9</v>
      </c>
      <c r="N218" s="10" t="n">
        <v>1.2</v>
      </c>
      <c r="O218" s="10" t="n">
        <v>153.6</v>
      </c>
      <c r="P218" s="10" t="n">
        <v>174</v>
      </c>
      <c r="Q218" s="10" t="n">
        <v>1</v>
      </c>
      <c r="R218" s="13" t="n">
        <f aca="false">Q218*L218</f>
        <v>1.5</v>
      </c>
      <c r="S218" s="13" t="n">
        <f aca="false">J218-R218</f>
        <v>1.2</v>
      </c>
      <c r="T218" s="13" t="n">
        <f aca="false">MIN(153.6,(T217+S218))</f>
        <v>153.6</v>
      </c>
      <c r="V218" s="18" t="n">
        <v>753.4</v>
      </c>
      <c r="W218" s="10" t="n">
        <v>150.68</v>
      </c>
      <c r="X218" s="10" t="n">
        <v>79101.9</v>
      </c>
      <c r="Y218" s="10" t="n">
        <f aca="false">Y217+V218</f>
        <v>28170.8</v>
      </c>
      <c r="AA218" s="10" t="n">
        <v>10.9443841539697</v>
      </c>
    </row>
    <row r="219" s="10" customFormat="true" ht="15" hidden="false" customHeight="false" outlineLevel="0" collapsed="false">
      <c r="A219" s="34"/>
      <c r="B219" s="16"/>
      <c r="C219" s="9" t="n">
        <v>42066</v>
      </c>
      <c r="D219" s="21" t="n">
        <v>4.4</v>
      </c>
      <c r="E219" s="21" t="n">
        <v>2.7</v>
      </c>
      <c r="F219" s="10" t="n">
        <v>8</v>
      </c>
      <c r="G219" s="10" t="n">
        <v>1447.6</v>
      </c>
      <c r="H219" s="10" t="n">
        <f aca="false">H218+D219</f>
        <v>412.2</v>
      </c>
      <c r="J219" s="10" t="n">
        <v>1.9</v>
      </c>
      <c r="K219" s="10" t="n">
        <v>376</v>
      </c>
      <c r="L219" s="10" t="n">
        <v>1.1</v>
      </c>
      <c r="M219" s="10" t="n">
        <v>182</v>
      </c>
      <c r="N219" s="10" t="n">
        <v>0.8</v>
      </c>
      <c r="O219" s="10" t="n">
        <v>153.6</v>
      </c>
      <c r="P219" s="10" t="n">
        <v>175</v>
      </c>
      <c r="Q219" s="10" t="n">
        <v>1</v>
      </c>
      <c r="R219" s="13" t="n">
        <f aca="false">Q219*L219</f>
        <v>1.1</v>
      </c>
      <c r="S219" s="13" t="n">
        <f aca="false">J219-R219</f>
        <v>0.8</v>
      </c>
      <c r="T219" s="13" t="n">
        <f aca="false">MIN(153.6,(T218+S219))</f>
        <v>153.6</v>
      </c>
      <c r="V219" s="18" t="n">
        <v>386.8</v>
      </c>
      <c r="W219" s="10" t="n">
        <v>87.9090909090909</v>
      </c>
      <c r="X219" s="10" t="n">
        <v>79488.7</v>
      </c>
      <c r="Y219" s="10" t="n">
        <f aca="false">Y218+V219</f>
        <v>28557.6</v>
      </c>
      <c r="AA219" s="10" t="n">
        <v>11.0078558720175</v>
      </c>
    </row>
    <row r="220" s="10" customFormat="true" ht="15" hidden="false" customHeight="false" outlineLevel="0" collapsed="false">
      <c r="A220" s="34"/>
      <c r="B220" s="16"/>
      <c r="C220" s="9" t="n">
        <v>42067</v>
      </c>
      <c r="D220" s="21" t="n">
        <v>4.4</v>
      </c>
      <c r="E220" s="21" t="n">
        <v>1.3</v>
      </c>
      <c r="F220" s="10" t="n">
        <v>8.7</v>
      </c>
      <c r="G220" s="10" t="n">
        <v>1452</v>
      </c>
      <c r="H220" s="10" t="n">
        <f aca="false">H219+D220</f>
        <v>416.6</v>
      </c>
      <c r="J220" s="10" t="n">
        <v>0</v>
      </c>
      <c r="K220" s="10" t="n">
        <v>376</v>
      </c>
      <c r="L220" s="10" t="n">
        <v>1.6</v>
      </c>
      <c r="M220" s="10" t="n">
        <v>183.6</v>
      </c>
      <c r="N220" s="11" t="n">
        <v>-1.6</v>
      </c>
      <c r="O220" s="10" t="n">
        <f aca="false">O219+N220</f>
        <v>152</v>
      </c>
      <c r="P220" s="10" t="n">
        <v>176</v>
      </c>
      <c r="Q220" s="10" t="n">
        <v>1</v>
      </c>
      <c r="R220" s="13" t="n">
        <f aca="false">Q220*L220</f>
        <v>1.6</v>
      </c>
      <c r="S220" s="13" t="n">
        <f aca="false">J220-R220</f>
        <v>-1.6</v>
      </c>
      <c r="T220" s="13" t="n">
        <f aca="false">MIN(153.6,(T219+S220))</f>
        <v>152</v>
      </c>
      <c r="V220" s="10" t="n">
        <v>1080.4</v>
      </c>
      <c r="W220" s="10" t="n">
        <v>245.545454545455</v>
      </c>
      <c r="X220" s="10" t="n">
        <v>80569.1</v>
      </c>
      <c r="Y220" s="10" t="n">
        <f aca="false">Y219+V220</f>
        <v>29638</v>
      </c>
      <c r="AA220" s="10" t="n">
        <v>11.0714411016731</v>
      </c>
    </row>
    <row r="221" s="10" customFormat="true" ht="15" hidden="false" customHeight="false" outlineLevel="0" collapsed="false">
      <c r="A221" s="34"/>
      <c r="B221" s="16"/>
      <c r="C221" s="9" t="n">
        <v>42068</v>
      </c>
      <c r="D221" s="21" t="n">
        <v>4.7</v>
      </c>
      <c r="E221" s="21" t="n">
        <v>0.5</v>
      </c>
      <c r="F221" s="10" t="n">
        <v>9.4</v>
      </c>
      <c r="G221" s="10" t="n">
        <v>1456.7</v>
      </c>
      <c r="H221" s="10" t="n">
        <f aca="false">H220+D221</f>
        <v>421.3</v>
      </c>
      <c r="J221" s="10" t="n">
        <v>0.2</v>
      </c>
      <c r="K221" s="10" t="n">
        <v>376.2</v>
      </c>
      <c r="L221" s="10" t="n">
        <v>1.4</v>
      </c>
      <c r="M221" s="10" t="n">
        <v>185</v>
      </c>
      <c r="N221" s="11" t="n">
        <v>-1.2</v>
      </c>
      <c r="O221" s="10" t="n">
        <f aca="false">O220+N221</f>
        <v>150.8</v>
      </c>
      <c r="P221" s="10" t="n">
        <v>177</v>
      </c>
      <c r="Q221" s="10" t="n">
        <v>1</v>
      </c>
      <c r="R221" s="13" t="n">
        <f aca="false">Q221*L221</f>
        <v>1.4</v>
      </c>
      <c r="S221" s="13" t="n">
        <f aca="false">J221-R221</f>
        <v>-1.2</v>
      </c>
      <c r="T221" s="13" t="n">
        <f aca="false">MIN(153.6,(T220+S221))</f>
        <v>150.8</v>
      </c>
      <c r="V221" s="10" t="n">
        <v>990.7</v>
      </c>
      <c r="W221" s="10" t="n">
        <v>210.787234042553</v>
      </c>
      <c r="X221" s="10" t="n">
        <v>81559.8</v>
      </c>
      <c r="Y221" s="10" t="n">
        <f aca="false">Y220+V221</f>
        <v>30628.7</v>
      </c>
      <c r="AA221" s="10" t="n">
        <v>11.1351304720285</v>
      </c>
    </row>
    <row r="222" s="28" customFormat="true" ht="15" hidden="false" customHeight="false" outlineLevel="0" collapsed="false">
      <c r="A222" s="34"/>
      <c r="B222" s="37"/>
      <c r="C222" s="26" t="n">
        <v>42069</v>
      </c>
      <c r="D222" s="27" t="n">
        <v>5.4</v>
      </c>
      <c r="E222" s="27" t="n">
        <v>1.4</v>
      </c>
      <c r="F222" s="27" t="n">
        <v>9.5</v>
      </c>
      <c r="G222" s="27" t="n">
        <v>1462.1</v>
      </c>
      <c r="H222" s="28" t="n">
        <f aca="false">H221+D222</f>
        <v>426.7</v>
      </c>
      <c r="I222" s="27"/>
      <c r="J222" s="27" t="n">
        <v>0</v>
      </c>
      <c r="K222" s="27" t="n">
        <v>376.2</v>
      </c>
      <c r="L222" s="27" t="n">
        <v>1.4</v>
      </c>
      <c r="M222" s="27" t="n">
        <v>186.4</v>
      </c>
      <c r="N222" s="27" t="n">
        <v>-1.4</v>
      </c>
      <c r="O222" s="28" t="n">
        <f aca="false">O221+N222</f>
        <v>149.4</v>
      </c>
      <c r="P222" s="28" t="n">
        <v>178</v>
      </c>
      <c r="Q222" s="29" t="n">
        <v>1</v>
      </c>
      <c r="R222" s="30" t="n">
        <f aca="false">Q222*L222</f>
        <v>1.4</v>
      </c>
      <c r="S222" s="30" t="n">
        <f aca="false">J222-R222</f>
        <v>-1.4</v>
      </c>
      <c r="T222" s="31" t="n">
        <f aca="false">MIN(153.6,(T221+S222))</f>
        <v>149.4</v>
      </c>
      <c r="U222" s="27"/>
      <c r="V222" s="32" t="n">
        <v>869.4</v>
      </c>
      <c r="W222" s="27" t="n">
        <v>161</v>
      </c>
      <c r="X222" s="27" t="n">
        <v>82429.2</v>
      </c>
      <c r="Y222" s="29" t="n">
        <f aca="false">Y221+V222</f>
        <v>31498.1</v>
      </c>
      <c r="Z222" s="27"/>
      <c r="AA222" s="29" t="n">
        <v>11.1989149934452</v>
      </c>
    </row>
    <row r="223" s="10" customFormat="true" ht="15" hidden="false" customHeight="true" outlineLevel="0" collapsed="false">
      <c r="A223" s="38" t="s">
        <v>45</v>
      </c>
      <c r="B223" s="16"/>
      <c r="C223" s="9" t="n">
        <v>42070</v>
      </c>
      <c r="D223" s="10" t="n">
        <v>7</v>
      </c>
      <c r="E223" s="21" t="n">
        <v>2.2</v>
      </c>
      <c r="F223" s="10" t="n">
        <v>11.3</v>
      </c>
      <c r="G223" s="10" t="n">
        <v>1469.1</v>
      </c>
      <c r="H223" s="10" t="n">
        <v>7</v>
      </c>
      <c r="I223" s="39" t="s">
        <v>27</v>
      </c>
      <c r="J223" s="10" t="n">
        <v>0</v>
      </c>
      <c r="K223" s="10" t="n">
        <v>376.2</v>
      </c>
      <c r="L223" s="10" t="n">
        <v>2</v>
      </c>
      <c r="M223" s="10" t="n">
        <v>188.4</v>
      </c>
      <c r="N223" s="11" t="n">
        <v>-2</v>
      </c>
      <c r="O223" s="10" t="n">
        <f aca="false">O222+N223</f>
        <v>147.4</v>
      </c>
      <c r="P223" s="10" t="n">
        <v>179</v>
      </c>
      <c r="Q223" s="19" t="n">
        <f aca="false">1+((P223-178)/39)*(1.15-1)</f>
        <v>1.00384615384615</v>
      </c>
      <c r="R223" s="13" t="n">
        <f aca="false">Q223*L223</f>
        <v>2.00769230769231</v>
      </c>
      <c r="S223" s="13" t="n">
        <f aca="false">J223-R223</f>
        <v>-2.00769230769231</v>
      </c>
      <c r="T223" s="13" t="n">
        <f aca="false">MIN(153.6,(T222+S223))</f>
        <v>147.392307692308</v>
      </c>
      <c r="U223" s="39" t="s">
        <v>28</v>
      </c>
      <c r="V223" s="10" t="n">
        <v>1294.5</v>
      </c>
      <c r="W223" s="10" t="n">
        <v>184.928571428571</v>
      </c>
      <c r="X223" s="10" t="n">
        <v>83723.7</v>
      </c>
      <c r="Y223" s="10" t="n">
        <v>1294.5</v>
      </c>
      <c r="Z223" s="39" t="s">
        <v>29</v>
      </c>
      <c r="AA223" s="10" t="n">
        <v>11.2627860358683</v>
      </c>
    </row>
    <row r="224" s="10" customFormat="true" ht="15" hidden="false" customHeight="false" outlineLevel="0" collapsed="false">
      <c r="A224" s="38"/>
      <c r="B224" s="16"/>
      <c r="C224" s="9" t="n">
        <v>42071</v>
      </c>
      <c r="D224" s="10" t="n">
        <v>9.6</v>
      </c>
      <c r="E224" s="21" t="n">
        <v>2.6</v>
      </c>
      <c r="F224" s="10" t="n">
        <v>14.8</v>
      </c>
      <c r="G224" s="10" t="n">
        <v>1478.7</v>
      </c>
      <c r="H224" s="10" t="n">
        <f aca="false">H223+D224</f>
        <v>16.6</v>
      </c>
      <c r="I224" s="10" t="n">
        <v>-1.6</v>
      </c>
      <c r="J224" s="10" t="n">
        <v>0</v>
      </c>
      <c r="K224" s="10" t="n">
        <v>376.2</v>
      </c>
      <c r="L224" s="10" t="n">
        <v>2</v>
      </c>
      <c r="M224" s="10" t="n">
        <v>190.4</v>
      </c>
      <c r="N224" s="11" t="n">
        <v>-2</v>
      </c>
      <c r="O224" s="10" t="n">
        <f aca="false">O223+N224</f>
        <v>145.4</v>
      </c>
      <c r="P224" s="10" t="n">
        <v>180</v>
      </c>
      <c r="Q224" s="19" t="n">
        <f aca="false">1+((P224-178)/39)*(1.15-1)</f>
        <v>1.00769230769231</v>
      </c>
      <c r="R224" s="13" t="n">
        <f aca="false">Q224*L224</f>
        <v>2.01538461538462</v>
      </c>
      <c r="S224" s="13" t="n">
        <f aca="false">J224-R224</f>
        <v>-2.01538461538462</v>
      </c>
      <c r="T224" s="13" t="n">
        <f aca="false">MIN(153.6,(T223+S224))</f>
        <v>145.376923076923</v>
      </c>
      <c r="U224" s="10" t="n">
        <v>30</v>
      </c>
      <c r="V224" s="10" t="n">
        <v>1356.6</v>
      </c>
      <c r="W224" s="10" t="n">
        <v>141.3125</v>
      </c>
      <c r="X224" s="10" t="n">
        <v>85080.3</v>
      </c>
      <c r="Y224" s="10" t="n">
        <f aca="false">Y223+V224</f>
        <v>2651.1</v>
      </c>
      <c r="Z224" s="10" t="n">
        <v>41913.4</v>
      </c>
      <c r="AA224" s="10" t="n">
        <v>11.3267353072316</v>
      </c>
    </row>
    <row r="225" s="10" customFormat="true" ht="15" hidden="false" customHeight="false" outlineLevel="0" collapsed="false">
      <c r="A225" s="38"/>
      <c r="B225" s="16"/>
      <c r="C225" s="9" t="n">
        <v>42072</v>
      </c>
      <c r="D225" s="10" t="n">
        <v>10</v>
      </c>
      <c r="E225" s="10" t="n">
        <v>7.4</v>
      </c>
      <c r="F225" s="10" t="n">
        <v>13.6</v>
      </c>
      <c r="G225" s="10" t="n">
        <v>1488.7</v>
      </c>
      <c r="H225" s="10" t="n">
        <f aca="false">H224+D225</f>
        <v>26.6</v>
      </c>
      <c r="I225" s="39" t="s">
        <v>30</v>
      </c>
      <c r="J225" s="10" t="n">
        <v>0</v>
      </c>
      <c r="K225" s="10" t="n">
        <v>376.2</v>
      </c>
      <c r="L225" s="10" t="n">
        <v>1</v>
      </c>
      <c r="M225" s="10" t="n">
        <v>191.4</v>
      </c>
      <c r="N225" s="11" t="n">
        <v>-1</v>
      </c>
      <c r="O225" s="10" t="n">
        <f aca="false">O224+N225</f>
        <v>144.4</v>
      </c>
      <c r="P225" s="10" t="n">
        <v>181</v>
      </c>
      <c r="Q225" s="19" t="n">
        <f aca="false">1+((P225-178)/39)*(1.15-1)</f>
        <v>1.01153846153846</v>
      </c>
      <c r="R225" s="13" t="n">
        <f aca="false">Q225*L225</f>
        <v>1.01153846153846</v>
      </c>
      <c r="S225" s="13" t="n">
        <f aca="false">J225-R225</f>
        <v>-1.01153846153846</v>
      </c>
      <c r="T225" s="13" t="n">
        <f aca="false">MIN(153.6,(T224+S225))</f>
        <v>144.365384615385</v>
      </c>
      <c r="U225" s="39" t="s">
        <v>31</v>
      </c>
      <c r="V225" s="18" t="n">
        <v>416.9</v>
      </c>
      <c r="W225" s="10" t="n">
        <v>41.69</v>
      </c>
      <c r="X225" s="10" t="n">
        <v>85497.2</v>
      </c>
      <c r="Y225" s="10" t="n">
        <f aca="false">Y224+V225</f>
        <v>3068</v>
      </c>
      <c r="Z225" s="39" t="s">
        <v>32</v>
      </c>
      <c r="AA225" s="10" t="n">
        <v>11.3907548319714</v>
      </c>
    </row>
    <row r="226" s="10" customFormat="true" ht="15" hidden="false" customHeight="false" outlineLevel="0" collapsed="false">
      <c r="A226" s="38"/>
      <c r="B226" s="16"/>
      <c r="C226" s="9" t="n">
        <v>42073</v>
      </c>
      <c r="D226" s="10" t="n">
        <v>8.9</v>
      </c>
      <c r="E226" s="10" t="n">
        <v>7.9</v>
      </c>
      <c r="F226" s="10" t="n">
        <v>12.4</v>
      </c>
      <c r="G226" s="10" t="n">
        <v>1497.6</v>
      </c>
      <c r="H226" s="10" t="n">
        <f aca="false">H225+D226</f>
        <v>35.5</v>
      </c>
      <c r="I226" s="10" t="n">
        <f aca="false">MAX(F223:F261)</f>
        <v>21.7</v>
      </c>
      <c r="J226" s="10" t="n">
        <v>0</v>
      </c>
      <c r="K226" s="10" t="n">
        <v>376.2</v>
      </c>
      <c r="L226" s="10" t="n">
        <v>1.8</v>
      </c>
      <c r="M226" s="10" t="n">
        <v>193.2</v>
      </c>
      <c r="N226" s="11" t="n">
        <v>-1.8</v>
      </c>
      <c r="O226" s="10" t="n">
        <f aca="false">O225+N226</f>
        <v>142.6</v>
      </c>
      <c r="P226" s="10" t="n">
        <v>182</v>
      </c>
      <c r="Q226" s="19" t="n">
        <f aca="false">1+((P226-178)/39)*(1.15-1)</f>
        <v>1.01538461538462</v>
      </c>
      <c r="R226" s="13" t="n">
        <f aca="false">Q226*L226</f>
        <v>1.82769230769231</v>
      </c>
      <c r="S226" s="13" t="n">
        <f aca="false">J226-R226</f>
        <v>-1.82769230769231</v>
      </c>
      <c r="T226" s="13" t="n">
        <f aca="false">MIN(153.6,(T225+S226))</f>
        <v>142.537692307692</v>
      </c>
      <c r="U226" s="10" t="n">
        <v>0</v>
      </c>
      <c r="V226" s="10" t="n">
        <v>995.3</v>
      </c>
      <c r="W226" s="10" t="n">
        <v>111.831460674157</v>
      </c>
      <c r="X226" s="10" t="n">
        <v>86492.5</v>
      </c>
      <c r="Y226" s="10" t="n">
        <f aca="false">Y225+V226</f>
        <v>4063.3</v>
      </c>
      <c r="Z226" s="19" t="n">
        <f aca="false">(Z224/100)/I236</f>
        <v>1.40885378151261</v>
      </c>
      <c r="AA226" s="10" t="n">
        <v>11.4548369296644</v>
      </c>
    </row>
    <row r="227" s="10" customFormat="true" ht="15" hidden="false" customHeight="false" outlineLevel="0" collapsed="false">
      <c r="A227" s="38"/>
      <c r="B227" s="16"/>
      <c r="C227" s="9" t="n">
        <v>42074</v>
      </c>
      <c r="D227" s="10" t="n">
        <v>5.9</v>
      </c>
      <c r="E227" s="21" t="n">
        <v>1.8</v>
      </c>
      <c r="F227" s="10" t="n">
        <v>9.7</v>
      </c>
      <c r="G227" s="10" t="n">
        <v>1503.5</v>
      </c>
      <c r="H227" s="10" t="n">
        <f aca="false">H226+D227</f>
        <v>41.4</v>
      </c>
      <c r="I227" s="39" t="s">
        <v>33</v>
      </c>
      <c r="J227" s="10" t="n">
        <v>0</v>
      </c>
      <c r="K227" s="10" t="n">
        <v>376.2</v>
      </c>
      <c r="L227" s="10" t="n">
        <v>1.5</v>
      </c>
      <c r="M227" s="10" t="n">
        <v>194.7</v>
      </c>
      <c r="N227" s="11" t="n">
        <v>-1.5</v>
      </c>
      <c r="O227" s="10" t="n">
        <f aca="false">O226+N227</f>
        <v>141.1</v>
      </c>
      <c r="P227" s="10" t="n">
        <v>183</v>
      </c>
      <c r="Q227" s="19" t="n">
        <f aca="false">1+((P227-178)/39)*(1.15-1)</f>
        <v>1.01923076923077</v>
      </c>
      <c r="R227" s="13" t="n">
        <f aca="false">Q227*L227</f>
        <v>1.52884615384615</v>
      </c>
      <c r="S227" s="13" t="n">
        <f aca="false">J227-R227</f>
        <v>-1.52884615384615</v>
      </c>
      <c r="T227" s="13" t="n">
        <f aca="false">MIN(153.6,(T226+S227))</f>
        <v>141.008846153846</v>
      </c>
      <c r="U227" s="39" t="s">
        <v>34</v>
      </c>
      <c r="V227" s="10" t="n">
        <v>1053.7</v>
      </c>
      <c r="W227" s="10" t="n">
        <v>178.593220338983</v>
      </c>
      <c r="X227" s="10" t="n">
        <v>87546.2</v>
      </c>
      <c r="Y227" s="10" t="n">
        <f aca="false">Y226+V227</f>
        <v>5117</v>
      </c>
      <c r="Z227" s="39" t="s">
        <v>35</v>
      </c>
      <c r="AA227" s="10" t="n">
        <v>11.5189741938043</v>
      </c>
    </row>
    <row r="228" s="10" customFormat="true" ht="15" hidden="false" customHeight="false" outlineLevel="0" collapsed="false">
      <c r="A228" s="38"/>
      <c r="B228" s="16"/>
      <c r="C228" s="9" t="n">
        <v>42075</v>
      </c>
      <c r="D228" s="10" t="n">
        <v>6.5</v>
      </c>
      <c r="E228" s="36" t="n">
        <v>-0.5</v>
      </c>
      <c r="F228" s="10" t="n">
        <v>13</v>
      </c>
      <c r="G228" s="10" t="n">
        <v>1510</v>
      </c>
      <c r="H228" s="10" t="n">
        <f aca="false">H227+D228</f>
        <v>47.9</v>
      </c>
      <c r="I228" s="13" t="n">
        <f aca="false">AVERAGE(D223:D261)</f>
        <v>7.62820512820513</v>
      </c>
      <c r="J228" s="10" t="n">
        <v>0</v>
      </c>
      <c r="K228" s="10" t="n">
        <v>376.2</v>
      </c>
      <c r="L228" s="10" t="n">
        <v>2.1</v>
      </c>
      <c r="M228" s="10" t="n">
        <v>196.8</v>
      </c>
      <c r="N228" s="11" t="n">
        <v>-2.1</v>
      </c>
      <c r="O228" s="10" t="n">
        <f aca="false">O227+N228</f>
        <v>139</v>
      </c>
      <c r="P228" s="10" t="n">
        <v>184</v>
      </c>
      <c r="Q228" s="19" t="n">
        <f aca="false">1+((P228-178)/39)*(1.15-1)</f>
        <v>1.02307692307692</v>
      </c>
      <c r="R228" s="13" t="n">
        <f aca="false">Q228*L228</f>
        <v>2.14846153846154</v>
      </c>
      <c r="S228" s="13" t="n">
        <f aca="false">J228-R228</f>
        <v>-2.14846153846154</v>
      </c>
      <c r="T228" s="13" t="n">
        <f aca="false">MIN(153.6,(T227+S228))</f>
        <v>138.860384615385</v>
      </c>
      <c r="U228" s="10" t="n">
        <v>0</v>
      </c>
      <c r="V228" s="10" t="n">
        <v>1420.6</v>
      </c>
      <c r="W228" s="10" t="n">
        <v>218.553846153846</v>
      </c>
      <c r="X228" s="10" t="n">
        <v>88966.8</v>
      </c>
      <c r="Y228" s="10" t="n">
        <f aca="false">Y227+V228</f>
        <v>6537.6</v>
      </c>
      <c r="Z228" s="10" t="n">
        <v>15</v>
      </c>
      <c r="AA228" s="10" t="n">
        <v>11.5831594707238</v>
      </c>
    </row>
    <row r="229" s="10" customFormat="true" ht="15" hidden="false" customHeight="false" outlineLevel="0" collapsed="false">
      <c r="A229" s="38"/>
      <c r="B229" s="16"/>
      <c r="C229" s="9" t="n">
        <v>42076</v>
      </c>
      <c r="D229" s="10" t="n">
        <v>6.5</v>
      </c>
      <c r="E229" s="21" t="n">
        <v>2.5</v>
      </c>
      <c r="F229" s="10" t="n">
        <v>11.4</v>
      </c>
      <c r="G229" s="10" t="n">
        <v>1516.5</v>
      </c>
      <c r="H229" s="10" t="n">
        <f aca="false">H228+D229</f>
        <v>54.4</v>
      </c>
      <c r="I229" s="39" t="s">
        <v>36</v>
      </c>
      <c r="J229" s="10" t="n">
        <v>0</v>
      </c>
      <c r="K229" s="10" t="n">
        <v>376.2</v>
      </c>
      <c r="L229" s="10" t="n">
        <v>2.1</v>
      </c>
      <c r="M229" s="10" t="n">
        <v>198.9</v>
      </c>
      <c r="N229" s="11" t="n">
        <v>-2.1</v>
      </c>
      <c r="O229" s="10" t="n">
        <f aca="false">O228+N229</f>
        <v>136.9</v>
      </c>
      <c r="P229" s="10" t="n">
        <v>185</v>
      </c>
      <c r="Q229" s="19" t="n">
        <f aca="false">1+((P229-178)/39)*(1.15-1)</f>
        <v>1.02692307692308</v>
      </c>
      <c r="R229" s="13" t="n">
        <f aca="false">Q229*L229</f>
        <v>2.15653846153846</v>
      </c>
      <c r="S229" s="13" t="n">
        <f aca="false">J229-R229</f>
        <v>-2.15653846153846</v>
      </c>
      <c r="T229" s="13" t="n">
        <f aca="false">MIN(153.6,(T228+S229))</f>
        <v>136.703846153846</v>
      </c>
      <c r="U229" s="39" t="s">
        <v>37</v>
      </c>
      <c r="V229" s="10" t="n">
        <v>1433.3</v>
      </c>
      <c r="W229" s="10" t="n">
        <v>220.507692307692</v>
      </c>
      <c r="X229" s="10" t="n">
        <v>90400.1</v>
      </c>
      <c r="Y229" s="10" t="n">
        <f aca="false">Y228+V229</f>
        <v>7970.9</v>
      </c>
      <c r="AA229" s="10" t="n">
        <v>11.6473858386702</v>
      </c>
    </row>
    <row r="230" s="10" customFormat="true" ht="15" hidden="false" customHeight="false" outlineLevel="0" collapsed="false">
      <c r="A230" s="38"/>
      <c r="B230" s="16"/>
      <c r="C230" s="9" t="n">
        <v>42077</v>
      </c>
      <c r="D230" s="21" t="n">
        <v>4.9</v>
      </c>
      <c r="E230" s="21" t="n">
        <v>2.3</v>
      </c>
      <c r="F230" s="10" t="n">
        <v>8.1</v>
      </c>
      <c r="G230" s="10" t="n">
        <v>1521.4</v>
      </c>
      <c r="H230" s="10" t="n">
        <f aca="false">H229+D230</f>
        <v>59.3</v>
      </c>
      <c r="I230" s="10" t="n">
        <v>2</v>
      </c>
      <c r="J230" s="10" t="n">
        <v>1.2</v>
      </c>
      <c r="K230" s="10" t="n">
        <v>377.4</v>
      </c>
      <c r="L230" s="10" t="n">
        <v>1.9</v>
      </c>
      <c r="M230" s="10" t="n">
        <v>200.8</v>
      </c>
      <c r="N230" s="11" t="n">
        <v>-0.7</v>
      </c>
      <c r="O230" s="10" t="n">
        <f aca="false">O229+N230</f>
        <v>136.2</v>
      </c>
      <c r="P230" s="10" t="n">
        <v>186</v>
      </c>
      <c r="Q230" s="19" t="n">
        <f aca="false">1+((P230-178)/39)*(1.15-1)</f>
        <v>1.03076923076923</v>
      </c>
      <c r="R230" s="13" t="n">
        <f aca="false">Q230*L230</f>
        <v>1.95846153846154</v>
      </c>
      <c r="S230" s="13" t="n">
        <f aca="false">J230-R230</f>
        <v>-0.758461538461538</v>
      </c>
      <c r="T230" s="13" t="n">
        <f aca="false">MIN(153.6,(T229+S230))</f>
        <v>135.945384615385</v>
      </c>
      <c r="U230" s="13" t="n">
        <f aca="false">MIN(T223:T261)</f>
        <v>122.575769230769</v>
      </c>
      <c r="V230" s="10" t="n">
        <v>1359.7</v>
      </c>
      <c r="W230" s="10" t="n">
        <v>277.489795918367</v>
      </c>
      <c r="X230" s="10" t="n">
        <v>91759.8</v>
      </c>
      <c r="Y230" s="10" t="n">
        <f aca="false">Y229+V230</f>
        <v>9330.6</v>
      </c>
      <c r="AA230" s="10" t="n">
        <v>11.7116465870386</v>
      </c>
    </row>
    <row r="231" s="10" customFormat="true" ht="15" hidden="false" customHeight="false" outlineLevel="0" collapsed="false">
      <c r="A231" s="38"/>
      <c r="B231" s="16"/>
      <c r="C231" s="9" t="n">
        <v>42078</v>
      </c>
      <c r="D231" s="10" t="n">
        <v>5.1</v>
      </c>
      <c r="E231" s="21" t="n">
        <v>3.9</v>
      </c>
      <c r="F231" s="10" t="n">
        <v>6.6</v>
      </c>
      <c r="G231" s="10" t="n">
        <v>1526.5</v>
      </c>
      <c r="H231" s="10" t="n">
        <f aca="false">H230+D231</f>
        <v>64.4</v>
      </c>
      <c r="I231" s="39" t="s">
        <v>38</v>
      </c>
      <c r="J231" s="10" t="n">
        <v>0</v>
      </c>
      <c r="K231" s="10" t="n">
        <v>377.4</v>
      </c>
      <c r="L231" s="10" t="n">
        <v>0.7</v>
      </c>
      <c r="M231" s="10" t="n">
        <v>201.5</v>
      </c>
      <c r="N231" s="11" t="n">
        <v>-0.7</v>
      </c>
      <c r="O231" s="10" t="n">
        <f aca="false">O230+N231</f>
        <v>135.5</v>
      </c>
      <c r="P231" s="10" t="n">
        <v>187</v>
      </c>
      <c r="Q231" s="19" t="n">
        <f aca="false">1+((P231-178)/39)*(1.15-1)</f>
        <v>1.03461538461538</v>
      </c>
      <c r="R231" s="13" t="n">
        <f aca="false">Q231*L231</f>
        <v>0.724230769230769</v>
      </c>
      <c r="S231" s="13" t="n">
        <f aca="false">J231-R231</f>
        <v>-0.724230769230769</v>
      </c>
      <c r="T231" s="13" t="n">
        <f aca="false">MIN(153.6,(T230+S231))</f>
        <v>135.221153846154</v>
      </c>
      <c r="U231" s="39" t="s">
        <v>39</v>
      </c>
      <c r="V231" s="18" t="n">
        <v>200.6</v>
      </c>
      <c r="W231" s="10" t="n">
        <v>39.3333333333333</v>
      </c>
      <c r="X231" s="10" t="n">
        <v>91960.4</v>
      </c>
      <c r="Y231" s="10" t="n">
        <f aca="false">Y230+V231</f>
        <v>9531.2</v>
      </c>
      <c r="AA231" s="10" t="n">
        <v>11.7759351957624</v>
      </c>
    </row>
    <row r="232" s="10" customFormat="true" ht="15" hidden="false" customHeight="false" outlineLevel="0" collapsed="false">
      <c r="A232" s="38"/>
      <c r="B232" s="16"/>
      <c r="C232" s="9" t="n">
        <v>42079</v>
      </c>
      <c r="D232" s="10" t="n">
        <v>6.1</v>
      </c>
      <c r="E232" s="21" t="n">
        <v>1.5</v>
      </c>
      <c r="F232" s="10" t="n">
        <v>9.9</v>
      </c>
      <c r="G232" s="10" t="n">
        <v>1532.6</v>
      </c>
      <c r="H232" s="10" t="n">
        <f aca="false">H231+D232</f>
        <v>70.5</v>
      </c>
      <c r="I232" s="10" t="n">
        <v>0</v>
      </c>
      <c r="J232" s="10" t="n">
        <v>0</v>
      </c>
      <c r="K232" s="10" t="n">
        <v>377.4</v>
      </c>
      <c r="L232" s="10" t="n">
        <v>1.3</v>
      </c>
      <c r="M232" s="10" t="n">
        <v>202.8</v>
      </c>
      <c r="N232" s="11" t="n">
        <v>-1.3</v>
      </c>
      <c r="O232" s="10" t="n">
        <f aca="false">O231+N232</f>
        <v>134.2</v>
      </c>
      <c r="P232" s="10" t="n">
        <v>188</v>
      </c>
      <c r="Q232" s="19" t="n">
        <f aca="false">1+((P232-178)/39)*(1.15-1)</f>
        <v>1.03846153846154</v>
      </c>
      <c r="R232" s="13" t="n">
        <f aca="false">Q232*L232</f>
        <v>1.35</v>
      </c>
      <c r="S232" s="13" t="n">
        <f aca="false">J232-R232</f>
        <v>-1.35</v>
      </c>
      <c r="T232" s="13" t="n">
        <f aca="false">MIN(153.6,(T231+S232))</f>
        <v>133.871153846154</v>
      </c>
      <c r="U232" s="13" t="n">
        <f aca="false">MAX(T223:T261)</f>
        <v>153.6</v>
      </c>
      <c r="V232" s="10" t="n">
        <v>1263.2</v>
      </c>
      <c r="W232" s="10" t="n">
        <v>207.081967213115</v>
      </c>
      <c r="X232" s="10" t="n">
        <v>93223.6</v>
      </c>
      <c r="Y232" s="10" t="n">
        <f aca="false">Y231+V232</f>
        <v>10794.4</v>
      </c>
      <c r="AA232" s="10" t="n">
        <v>11.8402453148647</v>
      </c>
    </row>
    <row r="233" s="10" customFormat="true" ht="15" hidden="false" customHeight="false" outlineLevel="0" collapsed="false">
      <c r="A233" s="38"/>
      <c r="B233" s="16"/>
      <c r="C233" s="9" t="n">
        <v>42080</v>
      </c>
      <c r="D233" s="10" t="n">
        <v>9</v>
      </c>
      <c r="E233" s="21" t="n">
        <v>3.6</v>
      </c>
      <c r="F233" s="10" t="n">
        <v>14.5</v>
      </c>
      <c r="G233" s="10" t="n">
        <v>1541.6</v>
      </c>
      <c r="H233" s="10" t="n">
        <f aca="false">H232+D233</f>
        <v>79.5</v>
      </c>
      <c r="I233" s="39" t="s">
        <v>40</v>
      </c>
      <c r="J233" s="40" t="n">
        <v>0</v>
      </c>
      <c r="K233" s="10" t="n">
        <v>377.4</v>
      </c>
      <c r="L233" s="10" t="n">
        <v>2.4</v>
      </c>
      <c r="M233" s="10" t="n">
        <v>205.2</v>
      </c>
      <c r="N233" s="11" t="n">
        <v>-2.4</v>
      </c>
      <c r="O233" s="10" t="n">
        <f aca="false">O232+N233</f>
        <v>131.8</v>
      </c>
      <c r="P233" s="10" t="n">
        <v>189</v>
      </c>
      <c r="Q233" s="19" t="n">
        <f aca="false">1+((P233-178)/39)*(1.15-1)</f>
        <v>1.04230769230769</v>
      </c>
      <c r="R233" s="13" t="n">
        <f aca="false">Q233*L233</f>
        <v>2.50153846153846</v>
      </c>
      <c r="S233" s="13" t="n">
        <f aca="false">J233-R233</f>
        <v>-2.50153846153846</v>
      </c>
      <c r="T233" s="13" t="n">
        <f aca="false">MIN(153.6,(T232+S233))</f>
        <v>131.369615384615</v>
      </c>
      <c r="U233" s="39" t="s">
        <v>41</v>
      </c>
      <c r="V233" s="10" t="n">
        <v>1616.4</v>
      </c>
      <c r="W233" s="10" t="n">
        <v>179.6</v>
      </c>
      <c r="X233" s="10" t="n">
        <v>94840</v>
      </c>
      <c r="Y233" s="10" t="n">
        <f aca="false">Y232+V233</f>
        <v>12410.8</v>
      </c>
      <c r="AA233" s="10" t="n">
        <v>11.9045707441638</v>
      </c>
      <c r="AB233" s="41" t="s">
        <v>46</v>
      </c>
    </row>
    <row r="234" s="10" customFormat="true" ht="15" hidden="false" customHeight="false" outlineLevel="0" collapsed="false">
      <c r="A234" s="38"/>
      <c r="B234" s="16"/>
      <c r="C234" s="9" t="n">
        <v>42081</v>
      </c>
      <c r="D234" s="10" t="n">
        <v>7.5</v>
      </c>
      <c r="E234" s="10" t="n">
        <v>5.5</v>
      </c>
      <c r="F234" s="10" t="n">
        <v>10.8</v>
      </c>
      <c r="G234" s="10" t="n">
        <v>1549.1</v>
      </c>
      <c r="H234" s="10" t="n">
        <f aca="false">H233+D234</f>
        <v>87</v>
      </c>
      <c r="I234" s="10" t="n">
        <v>22</v>
      </c>
      <c r="J234" s="40" t="n">
        <v>0</v>
      </c>
      <c r="K234" s="10" t="n">
        <v>377.4</v>
      </c>
      <c r="L234" s="10" t="n">
        <v>2.2</v>
      </c>
      <c r="M234" s="10" t="n">
        <v>207.4</v>
      </c>
      <c r="N234" s="11" t="n">
        <v>-2.2</v>
      </c>
      <c r="O234" s="10" t="n">
        <f aca="false">O233+N234</f>
        <v>129.6</v>
      </c>
      <c r="P234" s="10" t="n">
        <v>190</v>
      </c>
      <c r="Q234" s="19" t="n">
        <f aca="false">1+((P234-178)/39)*(1.15-1)</f>
        <v>1.04615384615385</v>
      </c>
      <c r="R234" s="13" t="n">
        <f aca="false">Q234*L234</f>
        <v>2.30153846153846</v>
      </c>
      <c r="S234" s="13" t="n">
        <f aca="false">J234-R234</f>
        <v>-2.30153846153846</v>
      </c>
      <c r="T234" s="13" t="n">
        <f aca="false">MIN(153.6,(T233+S234))</f>
        <v>129.068076923077</v>
      </c>
      <c r="U234" s="19" t="n">
        <f aca="false">AVERAGE(T223:T261)</f>
        <v>138.826439842209</v>
      </c>
      <c r="V234" s="10" t="n">
        <v>1501.6</v>
      </c>
      <c r="W234" s="10" t="n">
        <v>200.213333333333</v>
      </c>
      <c r="X234" s="10" t="n">
        <v>96341.6</v>
      </c>
      <c r="Y234" s="10" t="n">
        <f aca="false">Y233+V234</f>
        <v>13912.4</v>
      </c>
      <c r="AA234" s="10" t="n">
        <v>11.9689054131336</v>
      </c>
      <c r="AB234" s="13" t="n">
        <f aca="false">AVERAGE(T240:T253)</f>
        <v>144.732472527473</v>
      </c>
    </row>
    <row r="235" s="10" customFormat="true" ht="15" hidden="false" customHeight="false" outlineLevel="0" collapsed="false">
      <c r="A235" s="38"/>
      <c r="B235" s="16"/>
      <c r="C235" s="9" t="n">
        <v>42082</v>
      </c>
      <c r="D235" s="10" t="n">
        <v>6.6</v>
      </c>
      <c r="E235" s="10" t="n">
        <v>5.8</v>
      </c>
      <c r="F235" s="10" t="n">
        <v>7.1</v>
      </c>
      <c r="G235" s="10" t="n">
        <v>1555.7</v>
      </c>
      <c r="H235" s="10" t="n">
        <f aca="false">H234+D235</f>
        <v>93.6</v>
      </c>
      <c r="I235" s="39" t="s">
        <v>42</v>
      </c>
      <c r="J235" s="40" t="n">
        <v>0.2</v>
      </c>
      <c r="K235" s="10" t="n">
        <v>377.6</v>
      </c>
      <c r="L235" s="10" t="n">
        <v>0.8</v>
      </c>
      <c r="M235" s="10" t="n">
        <v>208.2</v>
      </c>
      <c r="N235" s="11" t="n">
        <v>-0.6</v>
      </c>
      <c r="O235" s="10" t="n">
        <f aca="false">O234+N235</f>
        <v>129</v>
      </c>
      <c r="P235" s="10" t="n">
        <v>191</v>
      </c>
      <c r="Q235" s="19" t="n">
        <f aca="false">1+((P235-178)/39)*(1.15-1)</f>
        <v>1.05</v>
      </c>
      <c r="R235" s="13" t="n">
        <f aca="false">Q235*L235</f>
        <v>0.84</v>
      </c>
      <c r="S235" s="13" t="n">
        <f aca="false">J235-R235</f>
        <v>-0.64</v>
      </c>
      <c r="T235" s="13" t="n">
        <f aca="false">MIN(153.6,(T234+S235))</f>
        <v>128.428076923077</v>
      </c>
      <c r="V235" s="18" t="n">
        <v>454.7</v>
      </c>
      <c r="W235" s="10" t="n">
        <v>68.8939393939394</v>
      </c>
      <c r="X235" s="10" t="n">
        <v>96796.3</v>
      </c>
      <c r="Y235" s="10" t="n">
        <f aca="false">Y234+V235</f>
        <v>14367.1</v>
      </c>
      <c r="AA235" s="10" t="n">
        <v>12.0332433609106</v>
      </c>
      <c r="AB235" s="41" t="s">
        <v>47</v>
      </c>
    </row>
    <row r="236" s="10" customFormat="true" ht="15" hidden="false" customHeight="false" outlineLevel="0" collapsed="false">
      <c r="A236" s="38"/>
      <c r="B236" s="16"/>
      <c r="C236" s="9" t="n">
        <v>42083</v>
      </c>
      <c r="D236" s="10" t="n">
        <v>7.3</v>
      </c>
      <c r="E236" s="10" t="n">
        <v>6.4</v>
      </c>
      <c r="F236" s="10" t="n">
        <v>10</v>
      </c>
      <c r="G236" s="10" t="n">
        <v>1563</v>
      </c>
      <c r="H236" s="10" t="n">
        <f aca="false">H235+D236</f>
        <v>100.9</v>
      </c>
      <c r="I236" s="10" t="n">
        <v>297.5</v>
      </c>
      <c r="J236" s="40" t="n">
        <v>0</v>
      </c>
      <c r="K236" s="10" t="n">
        <v>377.6</v>
      </c>
      <c r="L236" s="10" t="n">
        <v>1.6</v>
      </c>
      <c r="M236" s="10" t="n">
        <v>209.8</v>
      </c>
      <c r="N236" s="11" t="n">
        <v>-1.6</v>
      </c>
      <c r="O236" s="10" t="n">
        <f aca="false">O235+N236</f>
        <v>127.4</v>
      </c>
      <c r="P236" s="10" t="n">
        <v>192</v>
      </c>
      <c r="Q236" s="19" t="n">
        <f aca="false">1+((P236-178)/39)*(1.15-1)</f>
        <v>1.05384615384615</v>
      </c>
      <c r="R236" s="13" t="n">
        <f aca="false">Q236*L236</f>
        <v>1.68615384615385</v>
      </c>
      <c r="S236" s="13" t="n">
        <f aca="false">J236-R236</f>
        <v>-1.68615384615385</v>
      </c>
      <c r="T236" s="13" t="n">
        <f aca="false">MIN(153.6,(T235+S236))</f>
        <v>126.741923076923</v>
      </c>
      <c r="U236" s="13" t="n">
        <f aca="false">(U234*100)/153.6</f>
        <v>90.3817967722715</v>
      </c>
      <c r="V236" s="10" t="n">
        <v>909</v>
      </c>
      <c r="W236" s="10" t="n">
        <v>124.520547945205</v>
      </c>
      <c r="X236" s="10" t="n">
        <v>97705.3</v>
      </c>
      <c r="Y236" s="10" t="n">
        <f aca="false">Y235+V236</f>
        <v>15276.1</v>
      </c>
      <c r="AA236" s="10" t="n">
        <v>12.0975787164433</v>
      </c>
      <c r="AB236" s="10" t="n">
        <v>2</v>
      </c>
    </row>
    <row r="237" s="10" customFormat="true" ht="15" hidden="false" customHeight="false" outlineLevel="0" collapsed="false">
      <c r="A237" s="38"/>
      <c r="B237" s="16"/>
      <c r="C237" s="9" t="n">
        <v>42084</v>
      </c>
      <c r="D237" s="10" t="n">
        <v>5.8</v>
      </c>
      <c r="E237" s="21" t="n">
        <v>4</v>
      </c>
      <c r="F237" s="10" t="n">
        <v>8</v>
      </c>
      <c r="G237" s="10" t="n">
        <v>1568.8</v>
      </c>
      <c r="H237" s="10" t="n">
        <f aca="false">H236+D237</f>
        <v>106.7</v>
      </c>
      <c r="J237" s="40" t="n">
        <v>0.4</v>
      </c>
      <c r="K237" s="10" t="n">
        <v>378</v>
      </c>
      <c r="L237" s="10" t="n">
        <v>1.3</v>
      </c>
      <c r="M237" s="10" t="n">
        <v>211.1</v>
      </c>
      <c r="N237" s="11" t="n">
        <v>-0.9</v>
      </c>
      <c r="O237" s="10" t="n">
        <f aca="false">O236+N237</f>
        <v>126.5</v>
      </c>
      <c r="P237" s="10" t="n">
        <v>193</v>
      </c>
      <c r="Q237" s="19" t="n">
        <f aca="false">1+((P237-178)/39)*(1.15-1)</f>
        <v>1.05769230769231</v>
      </c>
      <c r="R237" s="13" t="n">
        <f aca="false">Q237*L237</f>
        <v>1.375</v>
      </c>
      <c r="S237" s="13" t="n">
        <f aca="false">J237-R237</f>
        <v>-0.975</v>
      </c>
      <c r="T237" s="13" t="n">
        <f aca="false">MIN(153.6,(T236+S237))</f>
        <v>125.766923076923</v>
      </c>
      <c r="V237" s="18" t="n">
        <v>613.1</v>
      </c>
      <c r="W237" s="10" t="n">
        <v>105.706896551724</v>
      </c>
      <c r="X237" s="10" t="n">
        <v>98318.4</v>
      </c>
      <c r="Y237" s="10" t="n">
        <f aca="false">Y236+V237</f>
        <v>15889.2</v>
      </c>
      <c r="AA237" s="10" t="n">
        <v>12.1619056787767</v>
      </c>
      <c r="AB237" s="41" t="s">
        <v>48</v>
      </c>
    </row>
    <row r="238" s="10" customFormat="true" ht="15" hidden="false" customHeight="false" outlineLevel="0" collapsed="false">
      <c r="A238" s="38"/>
      <c r="B238" s="16"/>
      <c r="C238" s="9" t="n">
        <v>42085</v>
      </c>
      <c r="D238" s="10" t="n">
        <v>5.6</v>
      </c>
      <c r="E238" s="10" t="n">
        <v>5.5</v>
      </c>
      <c r="F238" s="10" t="n">
        <v>7.6</v>
      </c>
      <c r="G238" s="10" t="n">
        <v>1574.4</v>
      </c>
      <c r="H238" s="10" t="n">
        <f aca="false">H237+D238</f>
        <v>112.3</v>
      </c>
      <c r="J238" s="40" t="n">
        <v>0</v>
      </c>
      <c r="K238" s="10" t="n">
        <v>378</v>
      </c>
      <c r="L238" s="10" t="n">
        <v>1.3</v>
      </c>
      <c r="M238" s="10" t="n">
        <v>212.4</v>
      </c>
      <c r="N238" s="11" t="n">
        <v>-1.3</v>
      </c>
      <c r="O238" s="10" t="n">
        <f aca="false">O237+N238</f>
        <v>125.2</v>
      </c>
      <c r="P238" s="10" t="n">
        <v>194</v>
      </c>
      <c r="Q238" s="19" t="n">
        <f aca="false">1+((P238-178)/39)*(1.15-1)</f>
        <v>1.06153846153846</v>
      </c>
      <c r="R238" s="13" t="n">
        <f aca="false">Q238*L238</f>
        <v>1.38</v>
      </c>
      <c r="S238" s="13" t="n">
        <f aca="false">J238-R238</f>
        <v>-1.38</v>
      </c>
      <c r="T238" s="13" t="n">
        <f aca="false">MIN(153.6,(T237+S238))</f>
        <v>124.386923076923</v>
      </c>
      <c r="V238" s="18" t="n">
        <v>611.5</v>
      </c>
      <c r="W238" s="10" t="n">
        <v>109.196428571429</v>
      </c>
      <c r="X238" s="10" t="n">
        <v>98929.9</v>
      </c>
      <c r="Y238" s="10" t="n">
        <f aca="false">Y237+V238</f>
        <v>16500.7</v>
      </c>
      <c r="AA238" s="10" t="n">
        <v>12.2262184974628</v>
      </c>
      <c r="AB238" s="10" t="n">
        <v>2</v>
      </c>
    </row>
    <row r="239" s="10" customFormat="true" ht="15" hidden="false" customHeight="false" outlineLevel="0" collapsed="false">
      <c r="A239" s="38"/>
      <c r="B239" s="16"/>
      <c r="C239" s="9" t="n">
        <v>42086</v>
      </c>
      <c r="D239" s="21" t="n">
        <v>4.4</v>
      </c>
      <c r="E239" s="36" t="n">
        <v>-1.6</v>
      </c>
      <c r="F239" s="10" t="n">
        <v>10.2</v>
      </c>
      <c r="G239" s="10" t="n">
        <v>1578.8</v>
      </c>
      <c r="H239" s="10" t="n">
        <f aca="false">H238+D239</f>
        <v>116.7</v>
      </c>
      <c r="J239" s="40" t="n">
        <v>0</v>
      </c>
      <c r="K239" s="10" t="n">
        <v>378</v>
      </c>
      <c r="L239" s="10" t="n">
        <v>1.7</v>
      </c>
      <c r="M239" s="10" t="n">
        <v>214.1</v>
      </c>
      <c r="N239" s="11" t="n">
        <v>-1.7</v>
      </c>
      <c r="O239" s="10" t="n">
        <f aca="false">O238+N239</f>
        <v>123.5</v>
      </c>
      <c r="P239" s="10" t="n">
        <v>195</v>
      </c>
      <c r="Q239" s="19" t="n">
        <f aca="false">1+((P239-178)/39)*(1.15-1)</f>
        <v>1.06538461538462</v>
      </c>
      <c r="R239" s="13" t="n">
        <f aca="false">Q239*L239</f>
        <v>1.81115384615385</v>
      </c>
      <c r="S239" s="13" t="n">
        <f aca="false">J239-R239</f>
        <v>-1.81115384615385</v>
      </c>
      <c r="T239" s="13" t="n">
        <f aca="false">MIN(153.6,(T238+S239))</f>
        <v>122.575769230769</v>
      </c>
      <c r="V239" s="10" t="n">
        <v>1315.6</v>
      </c>
      <c r="W239" s="10" t="n">
        <v>299</v>
      </c>
      <c r="X239" s="10" t="n">
        <v>100245.5</v>
      </c>
      <c r="Y239" s="10" t="n">
        <f aca="false">Y238+V239</f>
        <v>17816.3</v>
      </c>
      <c r="AA239" s="10" t="n">
        <v>12.2905114530911</v>
      </c>
      <c r="AB239" s="41" t="s">
        <v>49</v>
      </c>
    </row>
    <row r="240" s="10" customFormat="true" ht="15" hidden="false" customHeight="false" outlineLevel="0" collapsed="false">
      <c r="A240" s="38"/>
      <c r="B240" s="16"/>
      <c r="C240" s="9" t="n">
        <v>42087</v>
      </c>
      <c r="D240" s="21" t="n">
        <v>4.8</v>
      </c>
      <c r="E240" s="21" t="n">
        <v>0.6</v>
      </c>
      <c r="F240" s="10" t="n">
        <v>10.1</v>
      </c>
      <c r="G240" s="10" t="n">
        <v>1583.6</v>
      </c>
      <c r="H240" s="10" t="n">
        <f aca="false">H239+D240</f>
        <v>121.5</v>
      </c>
      <c r="J240" s="40" t="n">
        <v>11.8</v>
      </c>
      <c r="K240" s="10" t="n">
        <v>389.8</v>
      </c>
      <c r="L240" s="10" t="n">
        <v>1.1</v>
      </c>
      <c r="M240" s="10" t="n">
        <v>215.2</v>
      </c>
      <c r="N240" s="10" t="n">
        <v>10.7</v>
      </c>
      <c r="O240" s="10" t="n">
        <f aca="false">O239+N240</f>
        <v>134.2</v>
      </c>
      <c r="P240" s="10" t="n">
        <v>196</v>
      </c>
      <c r="Q240" s="19" t="n">
        <f aca="false">1+((P240-178)/39)*(1.15-1)</f>
        <v>1.06923076923077</v>
      </c>
      <c r="R240" s="13" t="n">
        <f aca="false">Q240*L240</f>
        <v>1.17615384615385</v>
      </c>
      <c r="S240" s="13" t="n">
        <f aca="false">J240-R240</f>
        <v>10.6238461538462</v>
      </c>
      <c r="T240" s="42" t="n">
        <f aca="false">MIN(153.6,(T239+S240))</f>
        <v>133.199615384615</v>
      </c>
      <c r="V240" s="18" t="n">
        <v>792.5</v>
      </c>
      <c r="W240" s="10" t="n">
        <v>165.104166666667</v>
      </c>
      <c r="X240" s="10" t="n">
        <v>101038</v>
      </c>
      <c r="Y240" s="10" t="n">
        <f aca="false">Y239+V240</f>
        <v>18608.8</v>
      </c>
      <c r="AA240" s="10" t="n">
        <v>12.3547788379283</v>
      </c>
      <c r="AB240" s="10" t="n">
        <v>3</v>
      </c>
    </row>
    <row r="241" s="10" customFormat="true" ht="15" hidden="false" customHeight="false" outlineLevel="0" collapsed="false">
      <c r="A241" s="38"/>
      <c r="B241" s="16"/>
      <c r="C241" s="9" t="n">
        <v>42088</v>
      </c>
      <c r="D241" s="21" t="n">
        <v>4.6</v>
      </c>
      <c r="E241" s="21" t="n">
        <v>4</v>
      </c>
      <c r="F241" s="10" t="n">
        <v>6.7</v>
      </c>
      <c r="G241" s="10" t="n">
        <v>1588.2</v>
      </c>
      <c r="H241" s="10" t="n">
        <f aca="false">H240+D241</f>
        <v>126.1</v>
      </c>
      <c r="J241" s="40" t="n">
        <v>1.7</v>
      </c>
      <c r="K241" s="10" t="n">
        <v>391.5</v>
      </c>
      <c r="L241" s="10" t="n">
        <v>0.7</v>
      </c>
      <c r="M241" s="10" t="n">
        <v>215.9</v>
      </c>
      <c r="N241" s="10" t="n">
        <v>1</v>
      </c>
      <c r="O241" s="10" t="n">
        <f aca="false">O240+N241</f>
        <v>135.2</v>
      </c>
      <c r="P241" s="10" t="n">
        <v>197</v>
      </c>
      <c r="Q241" s="19" t="n">
        <f aca="false">1+((P241-178)/39)*(1.15-1)</f>
        <v>1.07307692307692</v>
      </c>
      <c r="R241" s="13" t="n">
        <f aca="false">Q241*L241</f>
        <v>0.751153846153846</v>
      </c>
      <c r="S241" s="13" t="n">
        <f aca="false">J241-R241</f>
        <v>0.948846153846154</v>
      </c>
      <c r="T241" s="42" t="n">
        <f aca="false">MIN(153.6,(T240+S241))</f>
        <v>134.148461538462</v>
      </c>
      <c r="V241" s="18" t="n">
        <v>240.5</v>
      </c>
      <c r="W241" s="10" t="n">
        <v>52.2826086956522</v>
      </c>
      <c r="X241" s="10" t="n">
        <v>101278.5</v>
      </c>
      <c r="Y241" s="10" t="n">
        <f aca="false">Y240+V241</f>
        <v>18849.3</v>
      </c>
      <c r="AA241" s="10" t="n">
        <v>12.4190149366591</v>
      </c>
      <c r="AB241" s="41" t="s">
        <v>50</v>
      </c>
    </row>
    <row r="242" s="10" customFormat="true" ht="15" hidden="false" customHeight="false" outlineLevel="0" collapsed="false">
      <c r="A242" s="38"/>
      <c r="B242" s="16"/>
      <c r="C242" s="9" t="n">
        <v>42089</v>
      </c>
      <c r="D242" s="21" t="n">
        <v>4.4</v>
      </c>
      <c r="E242" s="21" t="n">
        <v>0.4</v>
      </c>
      <c r="F242" s="10" t="n">
        <v>7.8</v>
      </c>
      <c r="G242" s="10" t="n">
        <v>1592.6</v>
      </c>
      <c r="H242" s="10" t="n">
        <f aca="false">H241+D242</f>
        <v>130.5</v>
      </c>
      <c r="J242" s="40" t="n">
        <v>3.5</v>
      </c>
      <c r="K242" s="10" t="n">
        <v>395</v>
      </c>
      <c r="L242" s="10" t="n">
        <v>0.6</v>
      </c>
      <c r="M242" s="10" t="n">
        <v>216.5</v>
      </c>
      <c r="N242" s="10" t="n">
        <v>2.9</v>
      </c>
      <c r="O242" s="10" t="n">
        <f aca="false">O241+N242</f>
        <v>138.1</v>
      </c>
      <c r="P242" s="10" t="n">
        <v>198</v>
      </c>
      <c r="Q242" s="19" t="n">
        <f aca="false">1+((P242-178)/39)*(1.15-1)</f>
        <v>1.07692307692308</v>
      </c>
      <c r="R242" s="13" t="n">
        <f aca="false">Q242*L242</f>
        <v>0.646153846153846</v>
      </c>
      <c r="S242" s="13" t="n">
        <f aca="false">J242-R242</f>
        <v>2.85384615384615</v>
      </c>
      <c r="T242" s="42" t="n">
        <f aca="false">MIN(153.6,(T241+S242))</f>
        <v>137.002307692308</v>
      </c>
      <c r="V242" s="18" t="n">
        <v>376.6</v>
      </c>
      <c r="W242" s="10" t="n">
        <v>85.5909090909091</v>
      </c>
      <c r="X242" s="10" t="n">
        <v>101655.1</v>
      </c>
      <c r="Y242" s="10" t="n">
        <f aca="false">Y241+V242</f>
        <v>19225.9</v>
      </c>
      <c r="AA242" s="10" t="n">
        <v>12.4832140072194</v>
      </c>
      <c r="AB242" s="10" t="n">
        <f aca="false">SUM(J244:J253)</f>
        <v>34.4</v>
      </c>
    </row>
    <row r="243" s="45" customFormat="true" ht="15" hidden="false" customHeight="false" outlineLevel="0" collapsed="false">
      <c r="A243" s="38"/>
      <c r="B243" s="43" t="s">
        <v>51</v>
      </c>
      <c r="C243" s="44" t="n">
        <v>42090</v>
      </c>
      <c r="D243" s="45" t="n">
        <v>6.1</v>
      </c>
      <c r="E243" s="45" t="n">
        <v>3</v>
      </c>
      <c r="F243" s="45" t="n">
        <v>9.9</v>
      </c>
      <c r="G243" s="45" t="n">
        <v>1598.7</v>
      </c>
      <c r="H243" s="45" t="n">
        <f aca="false">H242+D243</f>
        <v>136.6</v>
      </c>
      <c r="J243" s="45" t="n">
        <v>0</v>
      </c>
      <c r="K243" s="45" t="n">
        <v>395</v>
      </c>
      <c r="L243" s="45" t="n">
        <v>2.1</v>
      </c>
      <c r="M243" s="45" t="n">
        <v>218.6</v>
      </c>
      <c r="N243" s="45" t="n">
        <v>-2.1</v>
      </c>
      <c r="O243" s="45" t="n">
        <f aca="false">O242+N243</f>
        <v>136</v>
      </c>
      <c r="P243" s="45" t="n">
        <v>199</v>
      </c>
      <c r="Q243" s="46" t="n">
        <f aca="false">1+((P243-178)/39)*(1.15-1)</f>
        <v>1.08076923076923</v>
      </c>
      <c r="R243" s="47" t="n">
        <f aca="false">Q243*L243</f>
        <v>2.26961538461538</v>
      </c>
      <c r="S243" s="47" t="n">
        <f aca="false">J243-R243</f>
        <v>-2.26961538461538</v>
      </c>
      <c r="T243" s="47" t="n">
        <f aca="false">MIN(153.6,(T242+S243))</f>
        <v>134.732692307692</v>
      </c>
      <c r="V243" s="45" t="n">
        <v>1163.8</v>
      </c>
      <c r="W243" s="45" t="n">
        <v>190.786885245902</v>
      </c>
      <c r="X243" s="45" t="n">
        <v>102818.9</v>
      </c>
      <c r="Y243" s="45" t="n">
        <f aca="false">Y242+V243</f>
        <v>20389.7</v>
      </c>
      <c r="AA243" s="45" t="n">
        <v>12.5473702617134</v>
      </c>
    </row>
    <row r="244" s="10" customFormat="true" ht="15" hidden="false" customHeight="false" outlineLevel="0" collapsed="false">
      <c r="A244" s="38"/>
      <c r="B244" s="16"/>
      <c r="C244" s="9" t="n">
        <v>42091</v>
      </c>
      <c r="D244" s="10" t="n">
        <v>9.9</v>
      </c>
      <c r="E244" s="21" t="n">
        <v>5</v>
      </c>
      <c r="F244" s="10" t="n">
        <v>13.6</v>
      </c>
      <c r="G244" s="10" t="n">
        <v>1608.6</v>
      </c>
      <c r="H244" s="10" t="n">
        <f aca="false">H243+D244</f>
        <v>146.5</v>
      </c>
      <c r="J244" s="40" t="n">
        <v>2.6</v>
      </c>
      <c r="K244" s="10" t="n">
        <v>397.6</v>
      </c>
      <c r="L244" s="10" t="n">
        <v>0.7</v>
      </c>
      <c r="M244" s="10" t="n">
        <v>219.3</v>
      </c>
      <c r="N244" s="10" t="n">
        <v>1.9</v>
      </c>
      <c r="O244" s="10" t="n">
        <f aca="false">O243+N244</f>
        <v>137.9</v>
      </c>
      <c r="P244" s="10" t="n">
        <v>200</v>
      </c>
      <c r="Q244" s="19" t="n">
        <f aca="false">1+((P244-178)/39)*(1.15-1)</f>
        <v>1.08461538461538</v>
      </c>
      <c r="R244" s="13" t="n">
        <f aca="false">Q244*L244</f>
        <v>0.759230769230769</v>
      </c>
      <c r="S244" s="13" t="n">
        <f aca="false">J244-R244</f>
        <v>1.84076923076923</v>
      </c>
      <c r="T244" s="42" t="n">
        <f aca="false">MIN(153.6,(T243+S244))</f>
        <v>136.573461538462</v>
      </c>
      <c r="V244" s="18" t="n">
        <v>346.1</v>
      </c>
      <c r="W244" s="10" t="n">
        <v>34.959595959596</v>
      </c>
      <c r="X244" s="10" t="n">
        <v>103165</v>
      </c>
      <c r="Y244" s="10" t="n">
        <f aca="false">Y243+V244</f>
        <v>20735.8</v>
      </c>
      <c r="AA244" s="10" t="n">
        <v>12.6114778474041</v>
      </c>
    </row>
    <row r="245" s="10" customFormat="true" ht="15" hidden="false" customHeight="false" outlineLevel="0" collapsed="false">
      <c r="A245" s="38"/>
      <c r="B245" s="16"/>
      <c r="C245" s="9" t="n">
        <v>42092</v>
      </c>
      <c r="D245" s="10" t="n">
        <v>10.2</v>
      </c>
      <c r="E245" s="10" t="n">
        <v>9.3</v>
      </c>
      <c r="F245" s="10" t="n">
        <v>11.3</v>
      </c>
      <c r="G245" s="10" t="n">
        <v>1618.8</v>
      </c>
      <c r="H245" s="10" t="n">
        <f aca="false">H244+D245</f>
        <v>156.7</v>
      </c>
      <c r="J245" s="40" t="n">
        <v>10.9</v>
      </c>
      <c r="K245" s="10" t="n">
        <v>408.5</v>
      </c>
      <c r="L245" s="10" t="n">
        <v>1</v>
      </c>
      <c r="M245" s="10" t="n">
        <v>220.3</v>
      </c>
      <c r="N245" s="10" t="n">
        <v>9.9</v>
      </c>
      <c r="O245" s="10" t="n">
        <f aca="false">O244+N245</f>
        <v>147.8</v>
      </c>
      <c r="P245" s="10" t="n">
        <v>201</v>
      </c>
      <c r="Q245" s="19" t="n">
        <f aca="false">1+((P245-178)/39)*(1.15-1)</f>
        <v>1.08846153846154</v>
      </c>
      <c r="R245" s="13" t="n">
        <f aca="false">Q245*L245</f>
        <v>1.08846153846154</v>
      </c>
      <c r="S245" s="13" t="n">
        <f aca="false">J245-R245</f>
        <v>9.81153846153846</v>
      </c>
      <c r="T245" s="42" t="n">
        <f aca="false">MIN(153.6,(T244+S245))</f>
        <v>146.385</v>
      </c>
      <c r="V245" s="18" t="n">
        <v>356.1</v>
      </c>
      <c r="W245" s="10" t="n">
        <v>34.9117647058824</v>
      </c>
      <c r="X245" s="10" t="n">
        <v>103521.1</v>
      </c>
      <c r="Y245" s="10" t="n">
        <f aca="false">Y244+V245</f>
        <v>21091.9</v>
      </c>
      <c r="AA245" s="10" t="n">
        <v>12.6755308277724</v>
      </c>
    </row>
    <row r="246" s="10" customFormat="true" ht="15" hidden="false" customHeight="false" outlineLevel="0" collapsed="false">
      <c r="A246" s="38"/>
      <c r="B246" s="16"/>
      <c r="C246" s="9" t="n">
        <v>42093</v>
      </c>
      <c r="D246" s="10" t="n">
        <v>8.7</v>
      </c>
      <c r="E246" s="10" t="n">
        <v>7.2</v>
      </c>
      <c r="F246" s="10" t="n">
        <v>11.7</v>
      </c>
      <c r="G246" s="10" t="n">
        <v>1627.5</v>
      </c>
      <c r="H246" s="10" t="n">
        <f aca="false">H245+D246</f>
        <v>165.4</v>
      </c>
      <c r="J246" s="40" t="n">
        <v>1.8</v>
      </c>
      <c r="K246" s="10" t="n">
        <v>410.3</v>
      </c>
      <c r="L246" s="10" t="n">
        <v>2.6</v>
      </c>
      <c r="M246" s="10" t="n">
        <v>222.9</v>
      </c>
      <c r="N246" s="11" t="n">
        <v>-0.8</v>
      </c>
      <c r="O246" s="10" t="n">
        <f aca="false">O245+N246</f>
        <v>147</v>
      </c>
      <c r="P246" s="10" t="n">
        <v>202</v>
      </c>
      <c r="Q246" s="19" t="n">
        <f aca="false">1+((P246-178)/39)*(1.15-1)</f>
        <v>1.09230769230769</v>
      </c>
      <c r="R246" s="13" t="n">
        <f aca="false">Q246*L246</f>
        <v>2.84</v>
      </c>
      <c r="S246" s="13" t="n">
        <f aca="false">J246-R246</f>
        <v>-1.04</v>
      </c>
      <c r="T246" s="42" t="n">
        <f aca="false">MIN(153.6,(T245+S246))</f>
        <v>145.345</v>
      </c>
      <c r="V246" s="10" t="n">
        <v>1168.4</v>
      </c>
      <c r="W246" s="10" t="n">
        <v>134.298850574713</v>
      </c>
      <c r="X246" s="10" t="n">
        <v>104689.5</v>
      </c>
      <c r="Y246" s="10" t="n">
        <f aca="false">Y245+V246</f>
        <v>22260.3</v>
      </c>
      <c r="AA246" s="10" t="n">
        <v>12.7395231636344</v>
      </c>
    </row>
    <row r="247" s="10" customFormat="true" ht="15" hidden="false" customHeight="false" outlineLevel="0" collapsed="false">
      <c r="A247" s="38"/>
      <c r="B247" s="16"/>
      <c r="C247" s="9" t="n">
        <v>42094</v>
      </c>
      <c r="D247" s="10" t="n">
        <v>9</v>
      </c>
      <c r="E247" s="10" t="n">
        <v>7.3</v>
      </c>
      <c r="F247" s="10" t="n">
        <v>11.5</v>
      </c>
      <c r="G247" s="10" t="n">
        <v>1636.5</v>
      </c>
      <c r="H247" s="10" t="n">
        <f aca="false">H246+D247</f>
        <v>174.4</v>
      </c>
      <c r="J247" s="40" t="n">
        <v>2.3</v>
      </c>
      <c r="K247" s="10" t="n">
        <v>412.6</v>
      </c>
      <c r="L247" s="10" t="n">
        <v>1.9</v>
      </c>
      <c r="M247" s="10" t="n">
        <v>224.8</v>
      </c>
      <c r="N247" s="10" t="n">
        <v>0.4</v>
      </c>
      <c r="O247" s="10" t="n">
        <f aca="false">O246+N247</f>
        <v>147.4</v>
      </c>
      <c r="P247" s="10" t="n">
        <v>203</v>
      </c>
      <c r="Q247" s="19" t="n">
        <f aca="false">1+((P247-178)/39)*(1.15-1)</f>
        <v>1.09615384615385</v>
      </c>
      <c r="R247" s="13" t="n">
        <f aca="false">Q247*L247</f>
        <v>2.08269230769231</v>
      </c>
      <c r="S247" s="13" t="n">
        <f aca="false">J247-R247</f>
        <v>0.217307692307692</v>
      </c>
      <c r="T247" s="42" t="n">
        <f aca="false">MIN(153.6,(T246+S247))</f>
        <v>145.562307692308</v>
      </c>
      <c r="V247" s="18" t="n">
        <v>832.3</v>
      </c>
      <c r="W247" s="10" t="n">
        <v>92.4777777777778</v>
      </c>
      <c r="X247" s="10" t="n">
        <v>105521.8</v>
      </c>
      <c r="Y247" s="10" t="n">
        <f aca="false">Y246+V247</f>
        <v>23092.6</v>
      </c>
      <c r="AA247" s="10" t="n">
        <v>12.8034486943122</v>
      </c>
      <c r="AD247" s="41" t="s">
        <v>46</v>
      </c>
    </row>
    <row r="248" s="10" customFormat="true" ht="15" hidden="false" customHeight="false" outlineLevel="0" collapsed="false">
      <c r="A248" s="38"/>
      <c r="B248" s="16"/>
      <c r="C248" s="9" t="n">
        <v>42095</v>
      </c>
      <c r="D248" s="10" t="n">
        <v>6.5</v>
      </c>
      <c r="E248" s="21" t="n">
        <v>3.5</v>
      </c>
      <c r="F248" s="10" t="n">
        <v>10</v>
      </c>
      <c r="G248" s="10" t="n">
        <v>1643</v>
      </c>
      <c r="H248" s="10" t="n">
        <f aca="false">H247+D248</f>
        <v>180.9</v>
      </c>
      <c r="J248" s="40" t="n">
        <v>11.8</v>
      </c>
      <c r="K248" s="10" t="n">
        <v>424.4</v>
      </c>
      <c r="L248" s="10" t="n">
        <v>2.5</v>
      </c>
      <c r="M248" s="10" t="n">
        <v>227.3</v>
      </c>
      <c r="N248" s="10" t="n">
        <v>9.3</v>
      </c>
      <c r="O248" s="10" t="n">
        <v>153.6</v>
      </c>
      <c r="P248" s="10" t="n">
        <v>204</v>
      </c>
      <c r="Q248" s="19" t="n">
        <f aca="false">1+((P248-178)/39)*(1.15-1)</f>
        <v>1.1</v>
      </c>
      <c r="R248" s="13" t="n">
        <f aca="false">Q248*L248</f>
        <v>2.75</v>
      </c>
      <c r="S248" s="13" t="n">
        <f aca="false">J248-R248</f>
        <v>9.05</v>
      </c>
      <c r="T248" s="42" t="n">
        <f aca="false">MIN(153.6,(T247+S248))</f>
        <v>153.6</v>
      </c>
      <c r="V248" s="10" t="n">
        <v>1457.7</v>
      </c>
      <c r="W248" s="10" t="n">
        <v>224.261538461538</v>
      </c>
      <c r="X248" s="10" t="n">
        <v>106979.5</v>
      </c>
      <c r="Y248" s="10" t="n">
        <f aca="false">Y247+V248</f>
        <v>24550.3</v>
      </c>
      <c r="AA248" s="10" t="n">
        <v>12.8673011188519</v>
      </c>
      <c r="AD248" s="19" t="n">
        <f aca="false">(AB234*(75/175))+(AB253*(100/175))</f>
        <v>124.445675039246</v>
      </c>
    </row>
    <row r="249" s="10" customFormat="true" ht="15" hidden="false" customHeight="false" outlineLevel="0" collapsed="false">
      <c r="A249" s="38"/>
      <c r="B249" s="16"/>
      <c r="C249" s="9" t="n">
        <v>42096</v>
      </c>
      <c r="D249" s="10" t="n">
        <v>6.8</v>
      </c>
      <c r="E249" s="10" t="n">
        <v>6.4</v>
      </c>
      <c r="F249" s="10" t="n">
        <v>9.1</v>
      </c>
      <c r="G249" s="10" t="n">
        <v>1649.8</v>
      </c>
      <c r="H249" s="10" t="n">
        <f aca="false">H248+D249</f>
        <v>187.7</v>
      </c>
      <c r="J249" s="40" t="n">
        <v>0.5</v>
      </c>
      <c r="K249" s="10" t="n">
        <v>424.9</v>
      </c>
      <c r="L249" s="10" t="n">
        <v>1.9</v>
      </c>
      <c r="M249" s="10" t="n">
        <v>229.2</v>
      </c>
      <c r="N249" s="11" t="n">
        <v>-1.4</v>
      </c>
      <c r="O249" s="10" t="n">
        <f aca="false">O248+N249</f>
        <v>152.2</v>
      </c>
      <c r="P249" s="10" t="n">
        <v>205</v>
      </c>
      <c r="Q249" s="19" t="n">
        <f aca="false">1+((P249-178)/39)*(1.15-1)</f>
        <v>1.10384615384615</v>
      </c>
      <c r="R249" s="13" t="n">
        <f aca="false">Q249*L249</f>
        <v>2.09730769230769</v>
      </c>
      <c r="S249" s="13" t="n">
        <f aca="false">J249-R249</f>
        <v>-1.59730769230769</v>
      </c>
      <c r="T249" s="42" t="n">
        <f aca="false">MIN(153.6,(T248+S249))</f>
        <v>152.002692307692</v>
      </c>
      <c r="V249" s="10" t="n">
        <v>1124.6</v>
      </c>
      <c r="W249" s="10" t="n">
        <v>165.382352941176</v>
      </c>
      <c r="X249" s="10" t="n">
        <v>108104.1</v>
      </c>
      <c r="Y249" s="10" t="n">
        <f aca="false">Y248+V249</f>
        <v>25674.9</v>
      </c>
      <c r="AA249" s="10" t="n">
        <v>12.9310739772844</v>
      </c>
      <c r="AD249" s="41" t="s">
        <v>47</v>
      </c>
    </row>
    <row r="250" s="10" customFormat="true" ht="15" hidden="false" customHeight="false" outlineLevel="0" collapsed="false">
      <c r="A250" s="38"/>
      <c r="B250" s="16"/>
      <c r="C250" s="9" t="n">
        <v>42097</v>
      </c>
      <c r="D250" s="10" t="n">
        <v>6.2</v>
      </c>
      <c r="E250" s="21" t="n">
        <v>1.9</v>
      </c>
      <c r="F250" s="10" t="n">
        <v>8.7</v>
      </c>
      <c r="G250" s="10" t="n">
        <v>1656</v>
      </c>
      <c r="H250" s="10" t="n">
        <f aca="false">H249+D250</f>
        <v>193.9</v>
      </c>
      <c r="J250" s="40" t="n">
        <v>3.5</v>
      </c>
      <c r="K250" s="10" t="n">
        <v>428.4</v>
      </c>
      <c r="L250" s="10" t="n">
        <v>0.3</v>
      </c>
      <c r="M250" s="10" t="n">
        <v>229.5</v>
      </c>
      <c r="N250" s="10" t="n">
        <v>3.2</v>
      </c>
      <c r="O250" s="10" t="n">
        <v>153.6</v>
      </c>
      <c r="P250" s="10" t="n">
        <v>206</v>
      </c>
      <c r="Q250" s="19" t="n">
        <f aca="false">1+((P250-178)/39)*(1.15-1)</f>
        <v>1.10769230769231</v>
      </c>
      <c r="R250" s="13" t="n">
        <f aca="false">Q250*L250</f>
        <v>0.332307692307692</v>
      </c>
      <c r="S250" s="13" t="n">
        <f aca="false">J250-R250</f>
        <v>3.16769230769231</v>
      </c>
      <c r="T250" s="42" t="n">
        <f aca="false">MIN(153.6,(T249+S250))</f>
        <v>153.6</v>
      </c>
      <c r="V250" s="18" t="n">
        <v>293.2</v>
      </c>
      <c r="W250" s="10" t="n">
        <v>47.2903225806452</v>
      </c>
      <c r="X250" s="10" t="n">
        <v>108397.3</v>
      </c>
      <c r="Y250" s="10" t="n">
        <f aca="false">Y249+V250</f>
        <v>25968.1</v>
      </c>
      <c r="AA250" s="10" t="n">
        <v>12.9947606319252</v>
      </c>
      <c r="AD250" s="13" t="n">
        <f aca="false">(AB236*(75/175))+(AB255*(100/175))</f>
        <v>3.71428571428571</v>
      </c>
    </row>
    <row r="251" s="10" customFormat="true" ht="15" hidden="false" customHeight="false" outlineLevel="0" collapsed="false">
      <c r="A251" s="38"/>
      <c r="B251" s="16"/>
      <c r="C251" s="9" t="n">
        <v>42098</v>
      </c>
      <c r="D251" s="10" t="n">
        <v>5.9</v>
      </c>
      <c r="E251" s="21" t="n">
        <v>5</v>
      </c>
      <c r="F251" s="10" t="n">
        <v>7.2</v>
      </c>
      <c r="G251" s="10" t="n">
        <v>1661.9</v>
      </c>
      <c r="H251" s="10" t="n">
        <f aca="false">H250+D251</f>
        <v>199.8</v>
      </c>
      <c r="J251" s="40" t="n">
        <v>1</v>
      </c>
      <c r="K251" s="10" t="n">
        <v>429.4</v>
      </c>
      <c r="L251" s="10" t="n">
        <v>0.7</v>
      </c>
      <c r="M251" s="10" t="n">
        <v>230.2</v>
      </c>
      <c r="N251" s="10" t="n">
        <v>0.3</v>
      </c>
      <c r="O251" s="10" t="n">
        <v>153.6</v>
      </c>
      <c r="P251" s="10" t="n">
        <v>207</v>
      </c>
      <c r="Q251" s="19" t="n">
        <f aca="false">1+((P251-178)/39)*(1.15-1)</f>
        <v>1.11153846153846</v>
      </c>
      <c r="R251" s="13" t="n">
        <f aca="false">Q251*L251</f>
        <v>0.778076923076923</v>
      </c>
      <c r="S251" s="13" t="n">
        <f aca="false">J251-R251</f>
        <v>0.221923076923077</v>
      </c>
      <c r="T251" s="42" t="n">
        <f aca="false">MIN(153.6,(T250+S251))</f>
        <v>153.6</v>
      </c>
      <c r="V251" s="18" t="n">
        <v>439.3</v>
      </c>
      <c r="W251" s="10" t="n">
        <v>74.4576271186441</v>
      </c>
      <c r="X251" s="10" t="n">
        <v>108836.6</v>
      </c>
      <c r="Y251" s="10" t="n">
        <f aca="false">Y250+V251</f>
        <v>26407.4</v>
      </c>
      <c r="AA251" s="10" t="n">
        <v>13.0583542487133</v>
      </c>
      <c r="AD251" s="41" t="s">
        <v>48</v>
      </c>
    </row>
    <row r="252" s="10" customFormat="true" ht="15" hidden="false" customHeight="false" outlineLevel="0" collapsed="false">
      <c r="A252" s="38"/>
      <c r="B252" s="16"/>
      <c r="C252" s="9" t="n">
        <v>42099</v>
      </c>
      <c r="D252" s="10" t="n">
        <v>5.3</v>
      </c>
      <c r="E252" s="21" t="n">
        <v>1.9</v>
      </c>
      <c r="F252" s="10" t="n">
        <v>8.6</v>
      </c>
      <c r="G252" s="10" t="n">
        <v>1667.2</v>
      </c>
      <c r="H252" s="10" t="n">
        <f aca="false">H251+D252</f>
        <v>205.1</v>
      </c>
      <c r="J252" s="40" t="n">
        <v>0</v>
      </c>
      <c r="K252" s="10" t="n">
        <v>429.4</v>
      </c>
      <c r="L252" s="10" t="n">
        <v>2.4</v>
      </c>
      <c r="M252" s="10" t="n">
        <v>232.6</v>
      </c>
      <c r="N252" s="11" t="n">
        <v>-2.4</v>
      </c>
      <c r="O252" s="10" t="n">
        <f aca="false">O251+N252</f>
        <v>151.2</v>
      </c>
      <c r="P252" s="10" t="n">
        <v>208</v>
      </c>
      <c r="Q252" s="19" t="n">
        <f aca="false">1+((P252-178)/39)*(1.15-1)</f>
        <v>1.11538461538462</v>
      </c>
      <c r="R252" s="13" t="n">
        <f aca="false">Q252*L252</f>
        <v>2.67692307692308</v>
      </c>
      <c r="S252" s="13" t="n">
        <f aca="false">J252-R252</f>
        <v>-2.67692307692308</v>
      </c>
      <c r="T252" s="42" t="n">
        <f aca="false">MIN(153.6,(T251+S252))</f>
        <v>150.923076923077</v>
      </c>
      <c r="V252" s="10" t="n">
        <v>1945.4</v>
      </c>
      <c r="W252" s="10" t="n">
        <v>367.056603773585</v>
      </c>
      <c r="X252" s="10" t="n">
        <v>110782</v>
      </c>
      <c r="Y252" s="10" t="n">
        <f aca="false">Y251+V252</f>
        <v>28352.8</v>
      </c>
      <c r="AA252" s="10" t="n">
        <v>13.1218477785862</v>
      </c>
      <c r="AB252" s="41" t="s">
        <v>46</v>
      </c>
      <c r="AD252" s="13" t="n">
        <f aca="false">(AB238*(75/175))+(AB257*(100/175))</f>
        <v>5.42857142857143</v>
      </c>
    </row>
    <row r="253" s="10" customFormat="true" ht="15" hidden="false" customHeight="false" outlineLevel="0" collapsed="false">
      <c r="A253" s="38"/>
      <c r="B253" s="16"/>
      <c r="C253" s="9" t="n">
        <v>42100</v>
      </c>
      <c r="D253" s="10" t="n">
        <v>5.8</v>
      </c>
      <c r="E253" s="21" t="n">
        <v>1.2</v>
      </c>
      <c r="F253" s="10" t="n">
        <v>9.5</v>
      </c>
      <c r="G253" s="10" t="n">
        <v>1673</v>
      </c>
      <c r="H253" s="10" t="n">
        <f aca="false">H252+D253</f>
        <v>210.9</v>
      </c>
      <c r="J253" s="40" t="n">
        <v>0</v>
      </c>
      <c r="K253" s="10" t="n">
        <v>429.4</v>
      </c>
      <c r="L253" s="10" t="n">
        <v>1.2</v>
      </c>
      <c r="M253" s="10" t="n">
        <v>233.8</v>
      </c>
      <c r="N253" s="11" t="n">
        <v>-1.2</v>
      </c>
      <c r="O253" s="10" t="n">
        <f aca="false">O252+N253</f>
        <v>150</v>
      </c>
      <c r="P253" s="10" t="n">
        <v>209</v>
      </c>
      <c r="Q253" s="19" t="n">
        <f aca="false">1+((P253-178)/39)*(1.15-1)</f>
        <v>1.11923076923077</v>
      </c>
      <c r="R253" s="13" t="n">
        <f aca="false">Q253*L253</f>
        <v>1.34307692307692</v>
      </c>
      <c r="S253" s="13" t="n">
        <f aca="false">J253-R253</f>
        <v>-1.34307692307692</v>
      </c>
      <c r="T253" s="42" t="n">
        <f aca="false">MIN(153.6,(T252+S253))</f>
        <v>149.58</v>
      </c>
      <c r="V253" s="18" t="n">
        <v>851</v>
      </c>
      <c r="W253" s="10" t="n">
        <v>146.724137931034</v>
      </c>
      <c r="X253" s="10" t="n">
        <v>111633</v>
      </c>
      <c r="Y253" s="10" t="n">
        <f aca="false">Y252+V253</f>
        <v>29203.8</v>
      </c>
      <c r="AA253" s="10" t="n">
        <v>13.185233938896</v>
      </c>
      <c r="AB253" s="13" t="n">
        <f aca="false">AVERAGE(T259:T272)</f>
        <v>109.230576923077</v>
      </c>
      <c r="AD253" s="41" t="s">
        <v>49</v>
      </c>
    </row>
    <row r="254" s="10" customFormat="true" ht="15" hidden="false" customHeight="false" outlineLevel="0" collapsed="false">
      <c r="A254" s="38"/>
      <c r="B254" s="16"/>
      <c r="C254" s="9" t="n">
        <v>42101</v>
      </c>
      <c r="D254" s="10" t="n">
        <v>7.9</v>
      </c>
      <c r="E254" s="21" t="n">
        <v>1.5</v>
      </c>
      <c r="F254" s="10" t="n">
        <v>13.5</v>
      </c>
      <c r="G254" s="10" t="n">
        <v>1680.9</v>
      </c>
      <c r="H254" s="10" t="n">
        <f aca="false">H253+D254</f>
        <v>218.8</v>
      </c>
      <c r="J254" s="40" t="n">
        <v>0</v>
      </c>
      <c r="K254" s="10" t="n">
        <v>429.4</v>
      </c>
      <c r="L254" s="10" t="n">
        <v>2.3</v>
      </c>
      <c r="M254" s="10" t="n">
        <v>236.1</v>
      </c>
      <c r="N254" s="11" t="n">
        <v>-2.3</v>
      </c>
      <c r="O254" s="10" t="n">
        <f aca="false">O253+N254</f>
        <v>147.7</v>
      </c>
      <c r="P254" s="10" t="n">
        <v>210</v>
      </c>
      <c r="Q254" s="19" t="n">
        <f aca="false">1+((P254-178)/39)*(1.15-1)</f>
        <v>1.12307692307692</v>
      </c>
      <c r="R254" s="13" t="n">
        <f aca="false">Q254*L254</f>
        <v>2.58307692307692</v>
      </c>
      <c r="S254" s="13" t="n">
        <f aca="false">J254-R254</f>
        <v>-2.58307692307692</v>
      </c>
      <c r="T254" s="13" t="n">
        <f aca="false">MIN(153.6,(T253+S254))</f>
        <v>146.996923076923</v>
      </c>
      <c r="V254" s="10" t="n">
        <v>1759.4</v>
      </c>
      <c r="W254" s="10" t="n">
        <v>222.708860759494</v>
      </c>
      <c r="X254" s="10" t="n">
        <v>113392.4</v>
      </c>
      <c r="Y254" s="10" t="n">
        <f aca="false">Y253+V254</f>
        <v>30963.2</v>
      </c>
      <c r="AA254" s="10" t="n">
        <v>13.2485051948674</v>
      </c>
      <c r="AB254" s="41" t="s">
        <v>47</v>
      </c>
      <c r="AD254" s="13" t="n">
        <f aca="false">(AB240*(75/175))+(AB259*(100/175))</f>
        <v>1.28571428571429</v>
      </c>
    </row>
    <row r="255" s="50" customFormat="true" ht="15" hidden="false" customHeight="false" outlineLevel="0" collapsed="false">
      <c r="A255" s="38"/>
      <c r="B255" s="48"/>
      <c r="C255" s="49" t="n">
        <v>42102</v>
      </c>
      <c r="D255" s="50" t="n">
        <v>9.1</v>
      </c>
      <c r="E255" s="51" t="n">
        <v>3.7</v>
      </c>
      <c r="F255" s="50" t="n">
        <v>12.9</v>
      </c>
      <c r="G255" s="50" t="n">
        <v>1690</v>
      </c>
      <c r="H255" s="50" t="n">
        <f aca="false">H254+D255</f>
        <v>227.9</v>
      </c>
      <c r="J255" s="52" t="n">
        <v>0</v>
      </c>
      <c r="K255" s="50" t="n">
        <v>429.4</v>
      </c>
      <c r="L255" s="50" t="n">
        <v>2</v>
      </c>
      <c r="M255" s="50" t="n">
        <v>238.1</v>
      </c>
      <c r="N255" s="53" t="n">
        <v>-2</v>
      </c>
      <c r="O255" s="50" t="n">
        <f aca="false">O254+N255</f>
        <v>145.7</v>
      </c>
      <c r="P255" s="50" t="n">
        <v>211</v>
      </c>
      <c r="Q255" s="19" t="n">
        <f aca="false">1+((P255-178)/39)*(1.15-1)</f>
        <v>1.12692307692308</v>
      </c>
      <c r="R255" s="54" t="n">
        <f aca="false">Q255*L255</f>
        <v>2.25384615384615</v>
      </c>
      <c r="S255" s="54" t="n">
        <f aca="false">J255-R255</f>
        <v>-2.25384615384615</v>
      </c>
      <c r="T255" s="13" t="n">
        <f aca="false">MIN(153.6,(T254+S255))</f>
        <v>144.743076923077</v>
      </c>
      <c r="V255" s="50" t="n">
        <v>1465.8</v>
      </c>
      <c r="W255" s="50" t="n">
        <v>161.076923076923</v>
      </c>
      <c r="X255" s="50" t="n">
        <v>114858.2</v>
      </c>
      <c r="Y255" s="10" t="n">
        <f aca="false">Y254+V255</f>
        <v>32429</v>
      </c>
      <c r="AA255" s="10" t="n">
        <v>13.3116537411061</v>
      </c>
      <c r="AB255" s="50" t="n">
        <v>5</v>
      </c>
      <c r="AD255" s="41" t="s">
        <v>50</v>
      </c>
    </row>
    <row r="256" s="10" customFormat="true" ht="15" hidden="false" customHeight="true" outlineLevel="0" collapsed="false">
      <c r="A256" s="38"/>
      <c r="B256" s="16"/>
      <c r="C256" s="55" t="n">
        <v>42103</v>
      </c>
      <c r="D256" s="10" t="n">
        <v>11</v>
      </c>
      <c r="E256" s="10" t="n">
        <v>4.1</v>
      </c>
      <c r="F256" s="10" t="n">
        <v>17</v>
      </c>
      <c r="G256" s="10" t="n">
        <v>1701</v>
      </c>
      <c r="H256" s="10" t="n">
        <f aca="false">H255+D256</f>
        <v>238.9</v>
      </c>
      <c r="J256" s="40" t="n">
        <v>0</v>
      </c>
      <c r="K256" s="10" t="n">
        <v>429.4</v>
      </c>
      <c r="L256" s="10" t="n">
        <v>3.2</v>
      </c>
      <c r="M256" s="10" t="n">
        <v>241.3</v>
      </c>
      <c r="N256" s="10" t="n">
        <v>-3.2</v>
      </c>
      <c r="O256" s="10" t="n">
        <f aca="false">O255+N256</f>
        <v>142.5</v>
      </c>
      <c r="P256" s="10" t="n">
        <v>212</v>
      </c>
      <c r="Q256" s="19" t="n">
        <f aca="false">1+((P256-178)/39)*(1.15-1)</f>
        <v>1.13076923076923</v>
      </c>
      <c r="R256" s="13" t="n">
        <f aca="false">Q256*L256</f>
        <v>3.61846153846154</v>
      </c>
      <c r="S256" s="13" t="n">
        <f aca="false">J256-R256</f>
        <v>-3.61846153846154</v>
      </c>
      <c r="T256" s="13" t="n">
        <f aca="false">MIN(153.6,(T255+S256))</f>
        <v>141.124615384615</v>
      </c>
      <c r="V256" s="10" t="n">
        <v>2194.8</v>
      </c>
      <c r="W256" s="10" t="n">
        <v>199.527272727273</v>
      </c>
      <c r="X256" s="10" t="n">
        <v>117053</v>
      </c>
      <c r="Y256" s="10" t="n">
        <f aca="false">Y255+V256</f>
        <v>34623.8</v>
      </c>
      <c r="AA256" s="10" t="n">
        <v>13.3746714831632</v>
      </c>
      <c r="AB256" s="41" t="s">
        <v>48</v>
      </c>
      <c r="AD256" s="13" t="n">
        <f aca="false">(AB242*(75/175))+(AB261*(100/175))</f>
        <v>17.5428571428571</v>
      </c>
    </row>
    <row r="257" s="10" customFormat="true" ht="15" hidden="false" customHeight="false" outlineLevel="0" collapsed="false">
      <c r="A257" s="38"/>
      <c r="B257" s="16"/>
      <c r="C257" s="9" t="n">
        <v>42104</v>
      </c>
      <c r="D257" s="10" t="n">
        <v>12.8</v>
      </c>
      <c r="E257" s="10" t="n">
        <v>5.3</v>
      </c>
      <c r="F257" s="10" t="n">
        <v>20.3</v>
      </c>
      <c r="G257" s="10" t="n">
        <v>1713.8</v>
      </c>
      <c r="H257" s="10" t="n">
        <f aca="false">H256+D257</f>
        <v>251.7</v>
      </c>
      <c r="J257" s="40" t="n">
        <v>0.1</v>
      </c>
      <c r="K257" s="10" t="n">
        <v>429.5</v>
      </c>
      <c r="L257" s="10" t="n">
        <v>2.8</v>
      </c>
      <c r="M257" s="10" t="n">
        <v>244.1</v>
      </c>
      <c r="N257" s="11" t="n">
        <v>-2.7</v>
      </c>
      <c r="O257" s="10" t="n">
        <f aca="false">O256+N257</f>
        <v>139.8</v>
      </c>
      <c r="P257" s="10" t="n">
        <v>213</v>
      </c>
      <c r="Q257" s="19" t="n">
        <f aca="false">1+((P257-178)/39)*(1.15-1)</f>
        <v>1.13461538461538</v>
      </c>
      <c r="R257" s="13" t="n">
        <f aca="false">Q257*L257</f>
        <v>3.17692307692308</v>
      </c>
      <c r="S257" s="13" t="n">
        <f aca="false">J257-R257</f>
        <v>-3.07692307692308</v>
      </c>
      <c r="T257" s="13" t="n">
        <f aca="false">MIN(153.6,(T256+S257))</f>
        <v>138.047692307692</v>
      </c>
      <c r="U257" s="56"/>
      <c r="V257" s="10" t="n">
        <v>1501.6</v>
      </c>
      <c r="W257" s="10" t="n">
        <v>117.3125</v>
      </c>
      <c r="X257" s="10" t="n">
        <v>118554.6</v>
      </c>
      <c r="Y257" s="10" t="n">
        <f aca="false">Y256+V257</f>
        <v>36125.4</v>
      </c>
      <c r="AA257" s="10" t="n">
        <v>13.4375500191694</v>
      </c>
      <c r="AB257" s="10" t="n">
        <v>8</v>
      </c>
    </row>
    <row r="258" s="10" customFormat="true" ht="15" hidden="false" customHeight="false" outlineLevel="0" collapsed="false">
      <c r="A258" s="38"/>
      <c r="B258" s="16"/>
      <c r="C258" s="9" t="n">
        <v>42105</v>
      </c>
      <c r="D258" s="10" t="n">
        <v>10.2</v>
      </c>
      <c r="E258" s="10" t="n">
        <v>8.6</v>
      </c>
      <c r="F258" s="10" t="n">
        <v>13.2</v>
      </c>
      <c r="G258" s="10" t="n">
        <v>1724</v>
      </c>
      <c r="H258" s="10" t="n">
        <f aca="false">H257+D258</f>
        <v>261.9</v>
      </c>
      <c r="J258" s="40" t="n">
        <v>0.9</v>
      </c>
      <c r="K258" s="10" t="n">
        <v>430.4</v>
      </c>
      <c r="L258" s="10" t="n">
        <v>1.8</v>
      </c>
      <c r="M258" s="10" t="n">
        <v>245.9</v>
      </c>
      <c r="N258" s="11" t="n">
        <v>-0.9</v>
      </c>
      <c r="O258" s="10" t="n">
        <f aca="false">O257+N258</f>
        <v>138.9</v>
      </c>
      <c r="P258" s="10" t="n">
        <v>214</v>
      </c>
      <c r="Q258" s="19" t="n">
        <f aca="false">1+((P258-178)/39)*(1.15-1)</f>
        <v>1.13846153846154</v>
      </c>
      <c r="R258" s="13" t="n">
        <f aca="false">Q258*L258</f>
        <v>2.04923076923077</v>
      </c>
      <c r="S258" s="13" t="n">
        <f aca="false">J258-R258</f>
        <v>-1.14923076923077</v>
      </c>
      <c r="T258" s="13" t="n">
        <f aca="false">MIN(153.6,(T257+S258))</f>
        <v>136.898461538462</v>
      </c>
      <c r="V258" s="18" t="n">
        <v>691</v>
      </c>
      <c r="W258" s="10" t="n">
        <v>67.7450980392157</v>
      </c>
      <c r="X258" s="10" t="n">
        <v>119245.6</v>
      </c>
      <c r="Y258" s="10" t="n">
        <f aca="false">Y257+V258</f>
        <v>36816.4</v>
      </c>
      <c r="AA258" s="10" t="n">
        <v>13.5002806215506</v>
      </c>
      <c r="AB258" s="41" t="s">
        <v>49</v>
      </c>
    </row>
    <row r="259" s="10" customFormat="true" ht="15" hidden="false" customHeight="false" outlineLevel="0" collapsed="false">
      <c r="A259" s="38"/>
      <c r="B259" s="16"/>
      <c r="C259" s="9" t="n">
        <v>42106</v>
      </c>
      <c r="D259" s="10" t="n">
        <v>10.3</v>
      </c>
      <c r="E259" s="21" t="n">
        <v>3.1</v>
      </c>
      <c r="F259" s="10" t="n">
        <v>15.7</v>
      </c>
      <c r="G259" s="10" t="n">
        <v>1734.3</v>
      </c>
      <c r="H259" s="10" t="n">
        <f aca="false">H258+D259</f>
        <v>272.2</v>
      </c>
      <c r="J259" s="40" t="n">
        <v>0</v>
      </c>
      <c r="K259" s="10" t="n">
        <v>430.4</v>
      </c>
      <c r="L259" s="10" t="n">
        <v>3.2</v>
      </c>
      <c r="M259" s="10" t="n">
        <v>249.1</v>
      </c>
      <c r="N259" s="11" t="n">
        <v>-3.2</v>
      </c>
      <c r="O259" s="10" t="n">
        <f aca="false">O258+N259</f>
        <v>135.7</v>
      </c>
      <c r="P259" s="10" t="n">
        <v>215</v>
      </c>
      <c r="Q259" s="19" t="n">
        <f aca="false">1+((P259-178)/39)*(1.15-1)</f>
        <v>1.14230769230769</v>
      </c>
      <c r="R259" s="13" t="n">
        <f aca="false">Q259*L259</f>
        <v>3.65538461538462</v>
      </c>
      <c r="S259" s="13" t="n">
        <f aca="false">J259-R259</f>
        <v>-3.65538461538462</v>
      </c>
      <c r="T259" s="42" t="n">
        <f aca="false">MIN(153.6,(T258+S259))</f>
        <v>133.243076923077</v>
      </c>
      <c r="V259" s="10" t="n">
        <v>1968.4</v>
      </c>
      <c r="W259" s="10" t="n">
        <v>191.106796116505</v>
      </c>
      <c r="X259" s="10" t="n">
        <v>121214</v>
      </c>
      <c r="Y259" s="10" t="n">
        <f aca="false">Y258+V259</f>
        <v>38784.8</v>
      </c>
      <c r="AA259" s="10" t="n">
        <v>13.5628542188418</v>
      </c>
      <c r="AB259" s="10" t="n">
        <v>0</v>
      </c>
    </row>
    <row r="260" s="10" customFormat="true" ht="15" hidden="false" customHeight="false" outlineLevel="0" collapsed="false">
      <c r="A260" s="38"/>
      <c r="B260" s="16"/>
      <c r="C260" s="9" t="n">
        <v>42107</v>
      </c>
      <c r="D260" s="10" t="n">
        <v>10.9</v>
      </c>
      <c r="E260" s="10" t="n">
        <v>7.8</v>
      </c>
      <c r="F260" s="10" t="n">
        <v>13.6</v>
      </c>
      <c r="G260" s="10" t="n">
        <v>1745.2</v>
      </c>
      <c r="H260" s="10" t="n">
        <f aca="false">H259+D260</f>
        <v>283.1</v>
      </c>
      <c r="J260" s="40" t="n">
        <v>0</v>
      </c>
      <c r="K260" s="10" t="n">
        <v>430.4</v>
      </c>
      <c r="L260" s="10" t="n">
        <v>2.1</v>
      </c>
      <c r="M260" s="10" t="n">
        <v>251.2</v>
      </c>
      <c r="N260" s="11" t="n">
        <v>-2.1</v>
      </c>
      <c r="O260" s="10" t="n">
        <f aca="false">O259+N260</f>
        <v>133.6</v>
      </c>
      <c r="P260" s="10" t="n">
        <v>216</v>
      </c>
      <c r="Q260" s="19" t="n">
        <f aca="false">1+((P260-178)/39)*(1.15-1)</f>
        <v>1.14615384615385</v>
      </c>
      <c r="R260" s="13" t="n">
        <f aca="false">Q260*L260</f>
        <v>2.40692307692308</v>
      </c>
      <c r="S260" s="13" t="n">
        <f aca="false">J260-R260</f>
        <v>-2.40692307692308</v>
      </c>
      <c r="T260" s="42" t="n">
        <f aca="false">MIN(153.6,(T259+S260))</f>
        <v>130.836153846154</v>
      </c>
      <c r="V260" s="10" t="n">
        <v>1113.6</v>
      </c>
      <c r="W260" s="10" t="n">
        <v>102.165137614679</v>
      </c>
      <c r="X260" s="10" t="n">
        <v>122327.6</v>
      </c>
      <c r="Y260" s="10" t="n">
        <f aca="false">Y259+V260</f>
        <v>39898.4</v>
      </c>
      <c r="AA260" s="10" t="n">
        <v>13.6252613776202</v>
      </c>
      <c r="AB260" s="41" t="s">
        <v>50</v>
      </c>
    </row>
    <row r="261" s="28" customFormat="true" ht="15" hidden="false" customHeight="false" outlineLevel="0" collapsed="false">
      <c r="A261" s="38"/>
      <c r="B261" s="37"/>
      <c r="C261" s="57" t="n">
        <v>42108</v>
      </c>
      <c r="D261" s="28" t="n">
        <v>14.4</v>
      </c>
      <c r="E261" s="28" t="n">
        <v>7.8</v>
      </c>
      <c r="F261" s="28" t="n">
        <v>21.7</v>
      </c>
      <c r="G261" s="28" t="n">
        <v>1759.6</v>
      </c>
      <c r="H261" s="28" t="n">
        <f aca="false">H260+D261</f>
        <v>297.5</v>
      </c>
      <c r="J261" s="58" t="n">
        <v>0</v>
      </c>
      <c r="K261" s="28" t="n">
        <v>430.4</v>
      </c>
      <c r="L261" s="28" t="n">
        <v>3.8</v>
      </c>
      <c r="M261" s="28" t="n">
        <v>255</v>
      </c>
      <c r="N261" s="59" t="n">
        <v>-3.8</v>
      </c>
      <c r="O261" s="28" t="n">
        <f aca="false">O260+N261</f>
        <v>129.8</v>
      </c>
      <c r="P261" s="28" t="n">
        <v>217</v>
      </c>
      <c r="Q261" s="60" t="n">
        <f aca="false">1+((P261-178)/39)*(1.15-1)</f>
        <v>1.15</v>
      </c>
      <c r="R261" s="30" t="n">
        <f aca="false">Q261*L261</f>
        <v>4.37</v>
      </c>
      <c r="S261" s="30" t="n">
        <f aca="false">J261-R261</f>
        <v>-4.37</v>
      </c>
      <c r="T261" s="61" t="n">
        <f aca="false">MIN(153.6,(T260+S261))</f>
        <v>126.466153846154</v>
      </c>
      <c r="V261" s="28" t="n">
        <v>2015</v>
      </c>
      <c r="W261" s="28" t="n">
        <v>139.930555555556</v>
      </c>
      <c r="X261" s="28" t="n">
        <v>124342.6</v>
      </c>
      <c r="Y261" s="29" t="n">
        <f aca="false">Y260+V261</f>
        <v>41913.4</v>
      </c>
      <c r="AA261" s="29" t="n">
        <v>13.6874922845799</v>
      </c>
      <c r="AB261" s="10" t="n">
        <f aca="false">SUM(J263:J272)</f>
        <v>4.9</v>
      </c>
    </row>
    <row r="262" s="45" customFormat="true" ht="15" hidden="false" customHeight="false" outlineLevel="0" collapsed="false">
      <c r="A262" s="43" t="s">
        <v>52</v>
      </c>
      <c r="B262" s="62" t="s">
        <v>53</v>
      </c>
      <c r="C262" s="44" t="n">
        <v>42109</v>
      </c>
      <c r="D262" s="45" t="n">
        <v>16</v>
      </c>
      <c r="E262" s="45" t="n">
        <v>9</v>
      </c>
      <c r="F262" s="45" t="n">
        <v>24.2</v>
      </c>
      <c r="G262" s="45" t="n">
        <v>1775.6</v>
      </c>
      <c r="H262" s="45" t="n">
        <v>16</v>
      </c>
      <c r="I262" s="63" t="s">
        <v>27</v>
      </c>
      <c r="J262" s="45" t="n">
        <v>0</v>
      </c>
      <c r="K262" s="45" t="n">
        <v>430.4</v>
      </c>
      <c r="L262" s="45" t="n">
        <v>4.1</v>
      </c>
      <c r="M262" s="45" t="n">
        <v>259.1</v>
      </c>
      <c r="N262" s="45" t="n">
        <v>-4.1</v>
      </c>
      <c r="O262" s="45" t="n">
        <f aca="false">O261+N262</f>
        <v>125.7</v>
      </c>
      <c r="P262" s="45" t="n">
        <v>218</v>
      </c>
      <c r="Q262" s="45" t="n">
        <v>1.15</v>
      </c>
      <c r="R262" s="47" t="n">
        <f aca="false">Q262*L262</f>
        <v>4.715</v>
      </c>
      <c r="S262" s="47" t="n">
        <f aca="false">J262-R262</f>
        <v>-4.715</v>
      </c>
      <c r="T262" s="47" t="n">
        <f aca="false">MIN(153.6,(T261+S262))</f>
        <v>121.751153846154</v>
      </c>
      <c r="U262" s="63" t="s">
        <v>28</v>
      </c>
      <c r="V262" s="45" t="n">
        <v>2021.5</v>
      </c>
      <c r="W262" s="45" t="n">
        <v>126.34375</v>
      </c>
      <c r="X262" s="45" t="n">
        <v>126364.1</v>
      </c>
      <c r="Y262" s="45" t="n">
        <v>2021.5</v>
      </c>
      <c r="Z262" s="63" t="s">
        <v>29</v>
      </c>
      <c r="AA262" s="45" t="n">
        <v>13.7495367287754</v>
      </c>
    </row>
    <row r="263" s="10" customFormat="true" ht="15" hidden="false" customHeight="false" outlineLevel="0" collapsed="false">
      <c r="A263" s="64"/>
      <c r="C263" s="9" t="n">
        <v>42110</v>
      </c>
      <c r="D263" s="10" t="n">
        <v>14.1</v>
      </c>
      <c r="E263" s="10" t="n">
        <v>9.1</v>
      </c>
      <c r="F263" s="10" t="n">
        <v>18.3</v>
      </c>
      <c r="G263" s="10" t="n">
        <v>1789.7</v>
      </c>
      <c r="H263" s="10" t="n">
        <f aca="false">H262+D263</f>
        <v>30.1</v>
      </c>
      <c r="I263" s="10" t="n">
        <f aca="false">MIN(E262:E282)</f>
        <v>2.6</v>
      </c>
      <c r="J263" s="40" t="n">
        <v>0</v>
      </c>
      <c r="K263" s="10" t="n">
        <v>430.4</v>
      </c>
      <c r="L263" s="10" t="n">
        <v>2.5</v>
      </c>
      <c r="M263" s="10" t="n">
        <v>261.6</v>
      </c>
      <c r="N263" s="11" t="n">
        <v>-2.5</v>
      </c>
      <c r="O263" s="10" t="n">
        <f aca="false">O262+N263</f>
        <v>123.2</v>
      </c>
      <c r="P263" s="10" t="n">
        <v>219</v>
      </c>
      <c r="Q263" s="10" t="n">
        <v>1.15</v>
      </c>
      <c r="R263" s="13" t="n">
        <f aca="false">Q263*L263</f>
        <v>2.875</v>
      </c>
      <c r="S263" s="13" t="n">
        <f aca="false">J263-R263</f>
        <v>-2.875</v>
      </c>
      <c r="T263" s="42" t="n">
        <f aca="false">MIN(153.6,(T262+S263))</f>
        <v>118.876153846154</v>
      </c>
      <c r="U263" s="10" t="n">
        <v>16</v>
      </c>
      <c r="V263" s="10" t="n">
        <v>1224.5</v>
      </c>
      <c r="W263" s="10" t="n">
        <v>86.8439716312057</v>
      </c>
      <c r="X263" s="10" t="n">
        <v>127588.6</v>
      </c>
      <c r="Y263" s="10" t="n">
        <f aca="false">Y262+V263</f>
        <v>3246</v>
      </c>
      <c r="Z263" s="10" t="n">
        <v>32208.3</v>
      </c>
      <c r="AA263" s="10" t="n">
        <v>13.8113840840643</v>
      </c>
    </row>
    <row r="264" s="10" customFormat="true" ht="15" hidden="false" customHeight="false" outlineLevel="0" collapsed="false">
      <c r="A264" s="64"/>
      <c r="C264" s="9" t="n">
        <v>42111</v>
      </c>
      <c r="D264" s="10" t="n">
        <v>11</v>
      </c>
      <c r="E264" s="10" t="n">
        <v>9</v>
      </c>
      <c r="F264" s="10" t="n">
        <v>13.9</v>
      </c>
      <c r="G264" s="10" t="n">
        <v>1800.7</v>
      </c>
      <c r="H264" s="10" t="n">
        <f aca="false">H263+D264</f>
        <v>41.1</v>
      </c>
      <c r="I264" s="65" t="s">
        <v>30</v>
      </c>
      <c r="J264" s="40" t="n">
        <v>0</v>
      </c>
      <c r="K264" s="10" t="n">
        <v>430.4</v>
      </c>
      <c r="L264" s="10" t="n">
        <v>3.6</v>
      </c>
      <c r="M264" s="10" t="n">
        <v>265.2</v>
      </c>
      <c r="N264" s="11" t="n">
        <v>-3.6</v>
      </c>
      <c r="O264" s="10" t="n">
        <f aca="false">O263+N264</f>
        <v>119.6</v>
      </c>
      <c r="P264" s="10" t="n">
        <v>220</v>
      </c>
      <c r="Q264" s="10" t="n">
        <v>1.15</v>
      </c>
      <c r="R264" s="13" t="n">
        <f aca="false">Q264*L264</f>
        <v>4.14</v>
      </c>
      <c r="S264" s="13" t="n">
        <f aca="false">J264-R264</f>
        <v>-4.14</v>
      </c>
      <c r="T264" s="42" t="n">
        <f aca="false">MIN(153.6,(T263+S264))</f>
        <v>114.736153846154</v>
      </c>
      <c r="U264" s="66" t="s">
        <v>31</v>
      </c>
      <c r="V264" s="10" t="n">
        <v>1625.6</v>
      </c>
      <c r="W264" s="10" t="n">
        <v>147.781818181818</v>
      </c>
      <c r="X264" s="10" t="n">
        <v>129214.2</v>
      </c>
      <c r="Y264" s="10" t="n">
        <f aca="false">Y263+V264</f>
        <v>4871.6</v>
      </c>
      <c r="Z264" s="65" t="s">
        <v>32</v>
      </c>
      <c r="AA264" s="10" t="n">
        <v>13.8730232917844</v>
      </c>
    </row>
    <row r="265" s="10" customFormat="true" ht="15" hidden="false" customHeight="false" outlineLevel="0" collapsed="false">
      <c r="A265" s="64" t="s">
        <v>54</v>
      </c>
      <c r="C265" s="9" t="n">
        <v>42112</v>
      </c>
      <c r="D265" s="10" t="n">
        <v>10.1</v>
      </c>
      <c r="E265" s="21" t="n">
        <v>4.9</v>
      </c>
      <c r="F265" s="10" t="n">
        <v>14.2</v>
      </c>
      <c r="G265" s="10" t="n">
        <v>1810.8</v>
      </c>
      <c r="H265" s="10" t="n">
        <f aca="false">H264+D265</f>
        <v>51.2</v>
      </c>
      <c r="I265" s="10" t="n">
        <f aca="false">MAX(F262:F282)</f>
        <v>24.2</v>
      </c>
      <c r="J265" s="40" t="n">
        <v>0</v>
      </c>
      <c r="K265" s="10" t="n">
        <v>430.4</v>
      </c>
      <c r="L265" s="10" t="n">
        <v>3.8</v>
      </c>
      <c r="M265" s="10" t="n">
        <v>269</v>
      </c>
      <c r="N265" s="11" t="n">
        <v>-3.8</v>
      </c>
      <c r="O265" s="10" t="n">
        <f aca="false">O264+N265</f>
        <v>115.8</v>
      </c>
      <c r="P265" s="10" t="n">
        <v>221</v>
      </c>
      <c r="Q265" s="10" t="n">
        <v>1.15</v>
      </c>
      <c r="R265" s="13" t="n">
        <f aca="false">Q265*L265</f>
        <v>4.37</v>
      </c>
      <c r="S265" s="13" t="n">
        <f aca="false">J265-R265</f>
        <v>-4.37</v>
      </c>
      <c r="T265" s="42" t="n">
        <f aca="false">MIN(153.6,(T264+S265))</f>
        <v>110.366153846154</v>
      </c>
      <c r="U265" s="10" t="n">
        <v>0</v>
      </c>
      <c r="V265" s="10" t="n">
        <v>2315.4</v>
      </c>
      <c r="W265" s="10" t="n">
        <v>229.247524752475</v>
      </c>
      <c r="X265" s="10" t="n">
        <v>131529.6</v>
      </c>
      <c r="Y265" s="10" t="n">
        <f aca="false">Y264+V265</f>
        <v>7187</v>
      </c>
      <c r="Z265" s="19" t="n">
        <f aca="false">(Z263/100)/I275</f>
        <v>1.29298675230831</v>
      </c>
      <c r="AA265" s="10" t="n">
        <v>13.9344428437046</v>
      </c>
    </row>
    <row r="266" s="10" customFormat="true" ht="15" hidden="false" customHeight="false" outlineLevel="0" collapsed="false">
      <c r="A266" s="64"/>
      <c r="C266" s="9" t="n">
        <v>42113</v>
      </c>
      <c r="D266" s="10" t="n">
        <v>9.4</v>
      </c>
      <c r="E266" s="21" t="n">
        <v>4.7</v>
      </c>
      <c r="F266" s="10" t="n">
        <v>13.1</v>
      </c>
      <c r="G266" s="10" t="n">
        <v>1820.2</v>
      </c>
      <c r="H266" s="10" t="n">
        <f aca="false">H265+D266</f>
        <v>60.6</v>
      </c>
      <c r="I266" s="65" t="s">
        <v>33</v>
      </c>
      <c r="J266" s="40" t="n">
        <v>0</v>
      </c>
      <c r="K266" s="10" t="n">
        <v>430.4</v>
      </c>
      <c r="L266" s="10" t="n">
        <v>2.8</v>
      </c>
      <c r="M266" s="10" t="n">
        <v>271.8</v>
      </c>
      <c r="N266" s="11" t="n">
        <v>-2.8</v>
      </c>
      <c r="O266" s="10" t="n">
        <f aca="false">O265+N266</f>
        <v>113</v>
      </c>
      <c r="P266" s="10" t="n">
        <v>222</v>
      </c>
      <c r="Q266" s="10" t="n">
        <v>1.15</v>
      </c>
      <c r="R266" s="13" t="n">
        <f aca="false">Q266*L266</f>
        <v>3.22</v>
      </c>
      <c r="S266" s="13" t="n">
        <f aca="false">J266-R266</f>
        <v>-3.22</v>
      </c>
      <c r="T266" s="42" t="n">
        <f aca="false">MIN(153.6,(T265+S266))</f>
        <v>107.146153846154</v>
      </c>
      <c r="U266" s="65" t="s">
        <v>34</v>
      </c>
      <c r="V266" s="10" t="n">
        <v>1982.5</v>
      </c>
      <c r="W266" s="10" t="n">
        <v>210.904255319149</v>
      </c>
      <c r="X266" s="10" t="n">
        <v>133512.1</v>
      </c>
      <c r="Y266" s="10" t="n">
        <f aca="false">Y265+V266</f>
        <v>9169.5</v>
      </c>
      <c r="Z266" s="66" t="s">
        <v>35</v>
      </c>
      <c r="AA266" s="10" t="n">
        <v>13.995630765292</v>
      </c>
    </row>
    <row r="267" s="10" customFormat="true" ht="15" hidden="false" customHeight="false" outlineLevel="0" collapsed="false">
      <c r="A267" s="64"/>
      <c r="C267" s="9" t="n">
        <v>42114</v>
      </c>
      <c r="D267" s="10" t="n">
        <v>12.1</v>
      </c>
      <c r="E267" s="10" t="n">
        <v>5.3</v>
      </c>
      <c r="F267" s="10" t="n">
        <v>18.4</v>
      </c>
      <c r="G267" s="10" t="n">
        <v>1832.3</v>
      </c>
      <c r="H267" s="10" t="n">
        <f aca="false">H266+D267</f>
        <v>72.7</v>
      </c>
      <c r="I267" s="13" t="n">
        <f aca="false">AVERAGE(D262:D282)</f>
        <v>11.8619047619048</v>
      </c>
      <c r="J267" s="40" t="n">
        <v>0</v>
      </c>
      <c r="K267" s="10" t="n">
        <v>430.4</v>
      </c>
      <c r="L267" s="10" t="n">
        <v>3.8</v>
      </c>
      <c r="M267" s="10" t="n">
        <v>275.6</v>
      </c>
      <c r="N267" s="11" t="n">
        <v>-3.8</v>
      </c>
      <c r="O267" s="10" t="n">
        <f aca="false">O266+N267</f>
        <v>109.2</v>
      </c>
      <c r="P267" s="10" t="n">
        <v>223</v>
      </c>
      <c r="Q267" s="10" t="n">
        <v>1.15</v>
      </c>
      <c r="R267" s="13" t="n">
        <f aca="false">Q267*L267</f>
        <v>4.37</v>
      </c>
      <c r="S267" s="13" t="n">
        <f aca="false">J267-R267</f>
        <v>-4.37</v>
      </c>
      <c r="T267" s="42" t="n">
        <f aca="false">MIN(153.6,(T266+S267))</f>
        <v>102.776153846154</v>
      </c>
      <c r="U267" s="10" t="n">
        <v>0</v>
      </c>
      <c r="V267" s="10" t="n">
        <v>2071.7</v>
      </c>
      <c r="W267" s="10" t="n">
        <v>171.214876033058</v>
      </c>
      <c r="X267" s="10" t="n">
        <v>135583.8</v>
      </c>
      <c r="Y267" s="10" t="n">
        <f aca="false">Y266+V267</f>
        <v>11241.2</v>
      </c>
      <c r="Z267" s="10" t="n">
        <v>4</v>
      </c>
      <c r="AA267" s="10" t="n">
        <v>14.0565745993449</v>
      </c>
    </row>
    <row r="268" s="10" customFormat="true" ht="15" hidden="false" customHeight="false" outlineLevel="0" collapsed="false">
      <c r="A268" s="64"/>
      <c r="C268" s="9" t="n">
        <v>42115</v>
      </c>
      <c r="D268" s="10" t="n">
        <v>12.2</v>
      </c>
      <c r="E268" s="10" t="n">
        <v>7.4</v>
      </c>
      <c r="F268" s="10" t="n">
        <v>18.5</v>
      </c>
      <c r="G268" s="10" t="n">
        <v>1844.5</v>
      </c>
      <c r="H268" s="10" t="n">
        <f aca="false">H267+D268</f>
        <v>84.9</v>
      </c>
      <c r="I268" s="65" t="s">
        <v>36</v>
      </c>
      <c r="J268" s="40" t="n">
        <v>0</v>
      </c>
      <c r="K268" s="10" t="n">
        <v>430.4</v>
      </c>
      <c r="L268" s="10" t="n">
        <v>3.9</v>
      </c>
      <c r="M268" s="10" t="n">
        <v>279.5</v>
      </c>
      <c r="N268" s="11" t="n">
        <v>-3.9</v>
      </c>
      <c r="O268" s="10" t="n">
        <f aca="false">O267+N268</f>
        <v>105.3</v>
      </c>
      <c r="P268" s="10" t="n">
        <v>224</v>
      </c>
      <c r="Q268" s="10" t="n">
        <v>1.15</v>
      </c>
      <c r="R268" s="13" t="n">
        <f aca="false">Q268*L268</f>
        <v>4.485</v>
      </c>
      <c r="S268" s="13" t="n">
        <f aca="false">J268-R268</f>
        <v>-4.485</v>
      </c>
      <c r="T268" s="42" t="n">
        <f aca="false">MIN(153.6,(T267+S268))</f>
        <v>98.2911538461538</v>
      </c>
      <c r="U268" s="65" t="s">
        <v>37</v>
      </c>
      <c r="V268" s="10" t="n">
        <v>2078.5</v>
      </c>
      <c r="W268" s="10" t="n">
        <v>170.368852459016</v>
      </c>
      <c r="X268" s="10" t="n">
        <v>137662.3</v>
      </c>
      <c r="Y268" s="10" t="n">
        <f aca="false">Y267+V268</f>
        <v>13319.7</v>
      </c>
      <c r="AA268" s="10" t="n">
        <v>14.1172613900444</v>
      </c>
    </row>
    <row r="269" s="10" customFormat="true" ht="15" hidden="false" customHeight="false" outlineLevel="0" collapsed="false">
      <c r="A269" s="64"/>
      <c r="C269" s="9" t="n">
        <v>42116</v>
      </c>
      <c r="D269" s="10" t="n">
        <v>9.9</v>
      </c>
      <c r="E269" s="10" t="n">
        <v>6.3</v>
      </c>
      <c r="F269" s="10" t="n">
        <v>13.7</v>
      </c>
      <c r="G269" s="10" t="n">
        <v>1854.4</v>
      </c>
      <c r="H269" s="10" t="n">
        <f aca="false">H268+D269</f>
        <v>94.8</v>
      </c>
      <c r="I269" s="10" t="n">
        <v>0</v>
      </c>
      <c r="J269" s="40" t="n">
        <v>0</v>
      </c>
      <c r="K269" s="10" t="n">
        <v>430.4</v>
      </c>
      <c r="L269" s="10" t="n">
        <v>2.9</v>
      </c>
      <c r="M269" s="10" t="n">
        <v>282.4</v>
      </c>
      <c r="N269" s="11" t="n">
        <v>-2.9</v>
      </c>
      <c r="O269" s="10" t="n">
        <f aca="false">O268+N269</f>
        <v>102.4</v>
      </c>
      <c r="P269" s="10" t="n">
        <v>225</v>
      </c>
      <c r="Q269" s="10" t="n">
        <v>1.15</v>
      </c>
      <c r="R269" s="13" t="n">
        <f aca="false">Q269*L269</f>
        <v>3.335</v>
      </c>
      <c r="S269" s="13" t="n">
        <f aca="false">J269-R269</f>
        <v>-3.335</v>
      </c>
      <c r="T269" s="42" t="n">
        <f aca="false">MIN(153.6,(T268+S269))</f>
        <v>94.9561538461538</v>
      </c>
      <c r="U269" s="13" t="n">
        <f aca="false">MIN(T262:T282)</f>
        <v>78.0561538461539</v>
      </c>
      <c r="V269" s="10" t="n">
        <v>2034.5</v>
      </c>
      <c r="W269" s="10" t="n">
        <v>205.505050505051</v>
      </c>
      <c r="X269" s="10" t="n">
        <v>139696.8</v>
      </c>
      <c r="Y269" s="10" t="n">
        <f aca="false">Y268+V269</f>
        <v>15354.2</v>
      </c>
      <c r="AA269" s="10" t="n">
        <v>14.1776776674823</v>
      </c>
    </row>
    <row r="270" s="10" customFormat="true" ht="15" hidden="false" customHeight="false" outlineLevel="0" collapsed="false">
      <c r="A270" s="64"/>
      <c r="C270" s="9" t="n">
        <v>42117</v>
      </c>
      <c r="D270" s="10" t="n">
        <v>11.6</v>
      </c>
      <c r="E270" s="10" t="n">
        <v>6.4</v>
      </c>
      <c r="F270" s="10" t="n">
        <v>16.4</v>
      </c>
      <c r="G270" s="10" t="n">
        <v>1866</v>
      </c>
      <c r="H270" s="10" t="n">
        <f aca="false">H269+D270</f>
        <v>106.4</v>
      </c>
      <c r="I270" s="65" t="s">
        <v>38</v>
      </c>
      <c r="J270" s="40" t="n">
        <v>0</v>
      </c>
      <c r="K270" s="10" t="n">
        <v>430.4</v>
      </c>
      <c r="L270" s="10" t="n">
        <v>3.6</v>
      </c>
      <c r="M270" s="10" t="n">
        <v>286</v>
      </c>
      <c r="N270" s="11" t="n">
        <v>-3.6</v>
      </c>
      <c r="O270" s="10" t="n">
        <f aca="false">O269+N270</f>
        <v>98.8</v>
      </c>
      <c r="P270" s="10" t="n">
        <v>226</v>
      </c>
      <c r="Q270" s="10" t="n">
        <v>1.15</v>
      </c>
      <c r="R270" s="13" t="n">
        <f aca="false">Q270*L270</f>
        <v>4.14</v>
      </c>
      <c r="S270" s="13" t="n">
        <f aca="false">J270-R270</f>
        <v>-4.14</v>
      </c>
      <c r="T270" s="42" t="n">
        <f aca="false">MIN(153.6,(T269+S270))</f>
        <v>90.8161538461538</v>
      </c>
      <c r="U270" s="65" t="s">
        <v>39</v>
      </c>
      <c r="V270" s="10" t="n">
        <v>2570.8</v>
      </c>
      <c r="W270" s="10" t="n">
        <v>221.620689655172</v>
      </c>
      <c r="X270" s="10" t="n">
        <v>142267.6</v>
      </c>
      <c r="Y270" s="10" t="n">
        <f aca="false">Y269+V270</f>
        <v>17925</v>
      </c>
      <c r="AA270" s="10" t="n">
        <v>14.2378094327304</v>
      </c>
    </row>
    <row r="271" s="10" customFormat="true" ht="15" hidden="false" customHeight="false" outlineLevel="0" collapsed="false">
      <c r="A271" s="64"/>
      <c r="C271" s="9" t="n">
        <v>42118</v>
      </c>
      <c r="D271" s="10" t="n">
        <v>13.5</v>
      </c>
      <c r="E271" s="10" t="n">
        <v>6.5</v>
      </c>
      <c r="F271" s="10" t="n">
        <v>22.5</v>
      </c>
      <c r="G271" s="10" t="n">
        <v>1879.5</v>
      </c>
      <c r="H271" s="10" t="n">
        <f aca="false">H270+D271</f>
        <v>119.9</v>
      </c>
      <c r="I271" s="10" t="n">
        <v>0</v>
      </c>
      <c r="J271" s="40" t="n">
        <v>2.9</v>
      </c>
      <c r="K271" s="10" t="n">
        <v>433.3</v>
      </c>
      <c r="L271" s="10" t="n">
        <v>3.7</v>
      </c>
      <c r="M271" s="10" t="n">
        <v>289.7</v>
      </c>
      <c r="N271" s="11" t="n">
        <v>-0.8</v>
      </c>
      <c r="O271" s="10" t="n">
        <f aca="false">O270+N271</f>
        <v>98</v>
      </c>
      <c r="P271" s="10" t="n">
        <v>227</v>
      </c>
      <c r="Q271" s="10" t="n">
        <v>1.15</v>
      </c>
      <c r="R271" s="13" t="n">
        <f aca="false">Q271*L271</f>
        <v>4.255</v>
      </c>
      <c r="S271" s="13" t="n">
        <f aca="false">J271-R271</f>
        <v>-1.355</v>
      </c>
      <c r="T271" s="42" t="n">
        <f aca="false">MIN(153.6,(T270+S271))</f>
        <v>89.4611538461538</v>
      </c>
      <c r="U271" s="13" t="n">
        <f aca="false">MAX(T262:T282)</f>
        <v>121.751153846154</v>
      </c>
      <c r="V271" s="10" t="n">
        <v>1854.4</v>
      </c>
      <c r="W271" s="10" t="n">
        <v>137.362962962963</v>
      </c>
      <c r="X271" s="10" t="n">
        <v>144122</v>
      </c>
      <c r="Y271" s="10" t="n">
        <f aca="false">Y270+V271</f>
        <v>19779.4</v>
      </c>
      <c r="AA271" s="10" t="n">
        <v>14.2976421435191</v>
      </c>
    </row>
    <row r="272" s="10" customFormat="true" ht="15" hidden="false" customHeight="false" outlineLevel="0" collapsed="false">
      <c r="A272" s="64"/>
      <c r="C272" s="9" t="n">
        <v>42119</v>
      </c>
      <c r="D272" s="10" t="n">
        <v>13.7</v>
      </c>
      <c r="E272" s="10" t="n">
        <v>11.9</v>
      </c>
      <c r="F272" s="10" t="n">
        <v>15.9</v>
      </c>
      <c r="G272" s="10" t="n">
        <v>1893.2</v>
      </c>
      <c r="H272" s="10" t="n">
        <f aca="false">H271+D272</f>
        <v>133.6</v>
      </c>
      <c r="I272" s="65" t="s">
        <v>40</v>
      </c>
      <c r="J272" s="40" t="n">
        <v>2</v>
      </c>
      <c r="K272" s="10" t="n">
        <v>435.3</v>
      </c>
      <c r="L272" s="10" t="n">
        <v>1.7</v>
      </c>
      <c r="M272" s="10" t="n">
        <v>291.4</v>
      </c>
      <c r="N272" s="10" t="n">
        <v>0.3</v>
      </c>
      <c r="O272" s="10" t="n">
        <f aca="false">O271+N272</f>
        <v>98.3</v>
      </c>
      <c r="P272" s="10" t="n">
        <v>228</v>
      </c>
      <c r="Q272" s="10" t="n">
        <v>1.15</v>
      </c>
      <c r="R272" s="13" t="n">
        <f aca="false">Q272*L272</f>
        <v>1.955</v>
      </c>
      <c r="S272" s="13" t="n">
        <f aca="false">J272-R272</f>
        <v>0.0450000000000002</v>
      </c>
      <c r="T272" s="42" t="n">
        <f aca="false">MIN(153.6,(T271+S272))</f>
        <v>89.5061538461538</v>
      </c>
      <c r="U272" s="65" t="s">
        <v>41</v>
      </c>
      <c r="V272" s="18" t="n">
        <v>403.8</v>
      </c>
      <c r="W272" s="10" t="n">
        <v>29.4744525547445</v>
      </c>
      <c r="X272" s="10" t="n">
        <v>144525.8</v>
      </c>
      <c r="Y272" s="10" t="n">
        <f aca="false">Y271+V272</f>
        <v>20183.2</v>
      </c>
      <c r="AA272" s="10" t="n">
        <v>14.3571607006006</v>
      </c>
    </row>
    <row r="273" s="50" customFormat="true" ht="15" hidden="false" customHeight="false" outlineLevel="0" collapsed="false">
      <c r="A273" s="64"/>
      <c r="C273" s="9" t="n">
        <v>42120</v>
      </c>
      <c r="D273" s="50" t="n">
        <v>12.5</v>
      </c>
      <c r="E273" s="50" t="n">
        <v>11.4</v>
      </c>
      <c r="F273" s="50" t="n">
        <v>16.2</v>
      </c>
      <c r="G273" s="50" t="n">
        <v>1905.7</v>
      </c>
      <c r="H273" s="50" t="n">
        <f aca="false">H272+D273</f>
        <v>146.1</v>
      </c>
      <c r="I273" s="50" t="n">
        <v>5</v>
      </c>
      <c r="J273" s="50" t="n">
        <v>5.8</v>
      </c>
      <c r="K273" s="50" t="n">
        <v>441.1</v>
      </c>
      <c r="L273" s="50" t="n">
        <v>1.5</v>
      </c>
      <c r="M273" s="50" t="n">
        <v>292.9</v>
      </c>
      <c r="N273" s="50" t="n">
        <v>4.3</v>
      </c>
      <c r="O273" s="50" t="n">
        <f aca="false">O272+N273</f>
        <v>102.6</v>
      </c>
      <c r="P273" s="50" t="n">
        <v>229</v>
      </c>
      <c r="Q273" s="10" t="n">
        <v>1.15</v>
      </c>
      <c r="R273" s="54" t="n">
        <f aca="false">Q273*L273</f>
        <v>1.725</v>
      </c>
      <c r="S273" s="54" t="n">
        <f aca="false">J273-R273</f>
        <v>4.075</v>
      </c>
      <c r="T273" s="13" t="n">
        <f aca="false">MIN(153.6,(T272+S273))</f>
        <v>93.5811538461538</v>
      </c>
      <c r="U273" s="19" t="n">
        <f aca="false">AVERAGE(T262:T282)</f>
        <v>95.9837728937729</v>
      </c>
      <c r="V273" s="50" t="n">
        <v>516.6</v>
      </c>
      <c r="W273" s="50" t="n">
        <v>41.328</v>
      </c>
      <c r="X273" s="50" t="n">
        <v>145042.4</v>
      </c>
      <c r="Y273" s="10" t="n">
        <f aca="false">Y272+V273</f>
        <v>20699.8</v>
      </c>
      <c r="AA273" s="10" t="n">
        <v>14.4163494348774</v>
      </c>
    </row>
    <row r="274" s="10" customFormat="true" ht="15" hidden="false" customHeight="true" outlineLevel="0" collapsed="false">
      <c r="A274" s="64"/>
      <c r="C274" s="9" t="n">
        <v>42121</v>
      </c>
      <c r="D274" s="10" t="n">
        <v>8.6</v>
      </c>
      <c r="E274" s="10" t="n">
        <v>6.6</v>
      </c>
      <c r="F274" s="10" t="n">
        <v>12.6</v>
      </c>
      <c r="G274" s="10" t="n">
        <v>1914.3</v>
      </c>
      <c r="H274" s="10" t="n">
        <f aca="false">H273+D274</f>
        <v>154.7</v>
      </c>
      <c r="I274" s="65" t="s">
        <v>42</v>
      </c>
      <c r="J274" s="10" t="n">
        <v>0</v>
      </c>
      <c r="K274" s="10" t="n">
        <v>441.1</v>
      </c>
      <c r="L274" s="10" t="n">
        <v>3.1</v>
      </c>
      <c r="M274" s="10" t="n">
        <v>296</v>
      </c>
      <c r="N274" s="11" t="n">
        <v>-3.1</v>
      </c>
      <c r="O274" s="10" t="n">
        <f aca="false">O273+N274</f>
        <v>99.5</v>
      </c>
      <c r="P274" s="10" t="n">
        <v>230</v>
      </c>
      <c r="Q274" s="10" t="n">
        <v>1.15</v>
      </c>
      <c r="R274" s="13" t="n">
        <f aca="false">Q274*L274</f>
        <v>3.565</v>
      </c>
      <c r="S274" s="13" t="n">
        <f aca="false">J274-R274</f>
        <v>-3.565</v>
      </c>
      <c r="T274" s="13" t="n">
        <f aca="false">MIN(153.6,(T273+S274))</f>
        <v>90.0161538461538</v>
      </c>
      <c r="U274" s="56"/>
      <c r="V274" s="10" t="n">
        <v>1719.1</v>
      </c>
      <c r="W274" s="10" t="n">
        <v>199.895348837209</v>
      </c>
      <c r="X274" s="10" t="n">
        <v>146761.5</v>
      </c>
      <c r="Y274" s="10" t="n">
        <f aca="false">Y273+V274</f>
        <v>22418.9</v>
      </c>
      <c r="AA274" s="10" t="n">
        <v>14.475192095382</v>
      </c>
    </row>
    <row r="275" s="10" customFormat="true" ht="15" hidden="false" customHeight="false" outlineLevel="0" collapsed="false">
      <c r="A275" s="64"/>
      <c r="C275" s="9" t="n">
        <v>42122</v>
      </c>
      <c r="D275" s="10" t="n">
        <v>8.2</v>
      </c>
      <c r="E275" s="21" t="n">
        <v>2.6</v>
      </c>
      <c r="F275" s="10" t="n">
        <v>12.8</v>
      </c>
      <c r="G275" s="10" t="n">
        <v>1922.5</v>
      </c>
      <c r="H275" s="10" t="n">
        <f aca="false">H274+D275</f>
        <v>162.9</v>
      </c>
      <c r="I275" s="10" t="n">
        <v>249.1</v>
      </c>
      <c r="J275" s="10" t="n">
        <v>0</v>
      </c>
      <c r="K275" s="10" t="n">
        <v>441.1</v>
      </c>
      <c r="L275" s="10" t="n">
        <v>3.3</v>
      </c>
      <c r="M275" s="10" t="n">
        <v>299.3</v>
      </c>
      <c r="N275" s="11" t="n">
        <v>-3.3</v>
      </c>
      <c r="O275" s="10" t="n">
        <f aca="false">O274+N275</f>
        <v>96.2</v>
      </c>
      <c r="P275" s="10" t="n">
        <v>231</v>
      </c>
      <c r="Q275" s="10" t="n">
        <v>1.15</v>
      </c>
      <c r="R275" s="13" t="n">
        <f aca="false">Q275*L275</f>
        <v>3.795</v>
      </c>
      <c r="S275" s="13" t="n">
        <f aca="false">J275-R275</f>
        <v>-3.795</v>
      </c>
      <c r="T275" s="13" t="n">
        <f aca="false">MIN(153.6,(T274+S275))</f>
        <v>86.2211538461538</v>
      </c>
      <c r="U275" s="13" t="n">
        <f aca="false">(U273*100)/153.6</f>
        <v>62.4894354777167</v>
      </c>
      <c r="V275" s="10" t="n">
        <v>2038.6</v>
      </c>
      <c r="W275" s="10" t="n">
        <v>248.609756097561</v>
      </c>
      <c r="X275" s="10" t="n">
        <v>148800.1</v>
      </c>
      <c r="Y275" s="10" t="n">
        <f aca="false">Y274+V275</f>
        <v>24457.5</v>
      </c>
      <c r="AA275" s="10" t="n">
        <v>14.5336718382007</v>
      </c>
    </row>
    <row r="276" s="10" customFormat="true" ht="15" hidden="false" customHeight="false" outlineLevel="0" collapsed="false">
      <c r="A276" s="64"/>
      <c r="C276" s="9" t="n">
        <v>42123</v>
      </c>
      <c r="D276" s="10" t="n">
        <v>9.8</v>
      </c>
      <c r="E276" s="21" t="n">
        <v>3.7</v>
      </c>
      <c r="F276" s="10" t="n">
        <v>14.7</v>
      </c>
      <c r="G276" s="10" t="n">
        <v>1932.3</v>
      </c>
      <c r="H276" s="10" t="n">
        <f aca="false">H275+D276</f>
        <v>172.7</v>
      </c>
      <c r="J276" s="10" t="n">
        <v>2.2</v>
      </c>
      <c r="K276" s="10" t="n">
        <v>443.3</v>
      </c>
      <c r="L276" s="10" t="n">
        <v>2.5</v>
      </c>
      <c r="M276" s="10" t="n">
        <v>301.8</v>
      </c>
      <c r="N276" s="11" t="n">
        <v>-0.3</v>
      </c>
      <c r="O276" s="10" t="n">
        <f aca="false">O275+N276</f>
        <v>95.9</v>
      </c>
      <c r="P276" s="10" t="n">
        <v>232</v>
      </c>
      <c r="Q276" s="10" t="n">
        <v>1.15</v>
      </c>
      <c r="R276" s="13" t="n">
        <f aca="false">Q276*L276</f>
        <v>2.875</v>
      </c>
      <c r="S276" s="13" t="n">
        <f aca="false">J276-R276</f>
        <v>-0.675</v>
      </c>
      <c r="T276" s="13" t="n">
        <f aca="false">MIN(153.6,(T275+S276))</f>
        <v>85.5461538461538</v>
      </c>
      <c r="V276" s="10" t="n">
        <v>1314.2</v>
      </c>
      <c r="W276" s="10" t="n">
        <v>134.102040816327</v>
      </c>
      <c r="X276" s="10" t="n">
        <v>150114.3</v>
      </c>
      <c r="Y276" s="10" t="n">
        <f aca="false">Y275+V276</f>
        <v>25771.7</v>
      </c>
      <c r="AA276" s="10" t="n">
        <v>14.5917712164388</v>
      </c>
    </row>
    <row r="277" s="10" customFormat="true" ht="15" hidden="false" customHeight="false" outlineLevel="0" collapsed="false">
      <c r="A277" s="64"/>
      <c r="C277" s="9" t="n">
        <v>42124</v>
      </c>
      <c r="D277" s="10" t="n">
        <v>9.5</v>
      </c>
      <c r="E277" s="10" t="n">
        <v>7.5</v>
      </c>
      <c r="F277" s="10" t="n">
        <v>13.2</v>
      </c>
      <c r="G277" s="10" t="n">
        <v>1941.8</v>
      </c>
      <c r="H277" s="10" t="n">
        <f aca="false">H276+D277</f>
        <v>182.2</v>
      </c>
      <c r="J277" s="10" t="n">
        <v>0.1</v>
      </c>
      <c r="K277" s="10" t="n">
        <v>443.4</v>
      </c>
      <c r="L277" s="10" t="n">
        <v>3.2</v>
      </c>
      <c r="M277" s="10" t="n">
        <v>305</v>
      </c>
      <c r="N277" s="11" t="n">
        <v>-3.1</v>
      </c>
      <c r="O277" s="10" t="n">
        <f aca="false">O276+N277</f>
        <v>92.8</v>
      </c>
      <c r="P277" s="10" t="n">
        <v>233</v>
      </c>
      <c r="Q277" s="10" t="n">
        <v>1.15</v>
      </c>
      <c r="R277" s="13" t="n">
        <f aca="false">Q277*L277</f>
        <v>3.68</v>
      </c>
      <c r="S277" s="13" t="n">
        <f aca="false">J277-R277</f>
        <v>-3.58</v>
      </c>
      <c r="T277" s="13" t="n">
        <f aca="false">MIN(153.6,(T276+S277))</f>
        <v>81.9661538461538</v>
      </c>
      <c r="V277" s="10" t="n">
        <v>1958.3</v>
      </c>
      <c r="W277" s="10" t="n">
        <v>206.136842105263</v>
      </c>
      <c r="X277" s="10" t="n">
        <v>152072.6</v>
      </c>
      <c r="Y277" s="10" t="n">
        <f aca="false">Y276+V277</f>
        <v>27730</v>
      </c>
      <c r="AA277" s="10" t="n">
        <v>14.6494721713323</v>
      </c>
    </row>
    <row r="278" s="10" customFormat="true" ht="15" hidden="false" customHeight="false" outlineLevel="0" collapsed="false">
      <c r="A278" s="64"/>
      <c r="C278" s="9" t="n">
        <v>42125</v>
      </c>
      <c r="D278" s="10" t="n">
        <v>9.8</v>
      </c>
      <c r="E278" s="21" t="n">
        <v>4</v>
      </c>
      <c r="F278" s="10" t="n">
        <v>13.2</v>
      </c>
      <c r="G278" s="10" t="n">
        <v>1951.6</v>
      </c>
      <c r="H278" s="10" t="n">
        <f aca="false">H277+D278</f>
        <v>192</v>
      </c>
      <c r="J278" s="10" t="n">
        <v>0</v>
      </c>
      <c r="K278" s="10" t="n">
        <v>443.4</v>
      </c>
      <c r="L278" s="10" t="n">
        <v>1.7</v>
      </c>
      <c r="M278" s="10" t="n">
        <v>306.7</v>
      </c>
      <c r="N278" s="11" t="n">
        <v>-1.7</v>
      </c>
      <c r="O278" s="10" t="n">
        <f aca="false">O277+N278</f>
        <v>91.1</v>
      </c>
      <c r="P278" s="10" t="n">
        <v>234</v>
      </c>
      <c r="Q278" s="10" t="n">
        <v>1.15</v>
      </c>
      <c r="R278" s="13" t="n">
        <f aca="false">Q278*L278</f>
        <v>1.955</v>
      </c>
      <c r="S278" s="13" t="n">
        <f aca="false">J278-R278</f>
        <v>-1.955</v>
      </c>
      <c r="T278" s="13" t="n">
        <f aca="false">MIN(153.6,(T277+S278))</f>
        <v>80.0111538461539</v>
      </c>
      <c r="V278" s="18" t="n">
        <v>892.9</v>
      </c>
      <c r="W278" s="10" t="n">
        <v>91.1122448979592</v>
      </c>
      <c r="X278" s="10" t="n">
        <v>152965.5</v>
      </c>
      <c r="Y278" s="10" t="n">
        <f aca="false">Y277+V278</f>
        <v>28622.9</v>
      </c>
      <c r="AA278" s="10" t="n">
        <v>14.7067560246155</v>
      </c>
    </row>
    <row r="279" s="10" customFormat="true" ht="15" hidden="false" customHeight="false" outlineLevel="0" collapsed="false">
      <c r="A279" s="64"/>
      <c r="C279" s="9" t="n">
        <v>42126</v>
      </c>
      <c r="D279" s="10" t="n">
        <v>11.9</v>
      </c>
      <c r="E279" s="10" t="n">
        <v>8.1</v>
      </c>
      <c r="F279" s="10" t="n">
        <v>14.6</v>
      </c>
      <c r="G279" s="10" t="n">
        <v>1963.5</v>
      </c>
      <c r="H279" s="10" t="n">
        <f aca="false">H278+D279</f>
        <v>203.9</v>
      </c>
      <c r="J279" s="10" t="n">
        <v>0</v>
      </c>
      <c r="K279" s="10" t="n">
        <v>443.4</v>
      </c>
      <c r="L279" s="10" t="n">
        <v>1.7</v>
      </c>
      <c r="M279" s="10" t="n">
        <v>308.4</v>
      </c>
      <c r="N279" s="11" t="n">
        <v>-1.7</v>
      </c>
      <c r="O279" s="10" t="n">
        <f aca="false">O278+N279</f>
        <v>89.4</v>
      </c>
      <c r="P279" s="10" t="n">
        <v>235</v>
      </c>
      <c r="Q279" s="10" t="n">
        <v>1.15</v>
      </c>
      <c r="R279" s="13" t="n">
        <f aca="false">Q279*L279</f>
        <v>1.955</v>
      </c>
      <c r="S279" s="13" t="n">
        <f aca="false">J279-R279</f>
        <v>-1.955</v>
      </c>
      <c r="T279" s="13" t="n">
        <f aca="false">MIN(153.6,(T278+S279))</f>
        <v>78.0561538461539</v>
      </c>
      <c r="V279" s="18" t="n">
        <v>850.9</v>
      </c>
      <c r="W279" s="10" t="n">
        <v>71.5042016806723</v>
      </c>
      <c r="X279" s="10" t="n">
        <v>153816.4</v>
      </c>
      <c r="Y279" s="10" t="n">
        <f aca="false">Y278+V279</f>
        <v>29473.8</v>
      </c>
      <c r="AA279" s="10" t="n">
        <v>14.7636034722596</v>
      </c>
    </row>
    <row r="280" s="10" customFormat="true" ht="15" hidden="false" customHeight="false" outlineLevel="0" collapsed="false">
      <c r="A280" s="64"/>
      <c r="C280" s="9" t="n">
        <v>42127</v>
      </c>
      <c r="D280" s="10" t="n">
        <v>14.3</v>
      </c>
      <c r="E280" s="10" t="n">
        <v>12.1</v>
      </c>
      <c r="F280" s="10" t="n">
        <v>17</v>
      </c>
      <c r="G280" s="10" t="n">
        <v>1977.8</v>
      </c>
      <c r="H280" s="10" t="n">
        <f aca="false">H279+D280</f>
        <v>218.2</v>
      </c>
      <c r="J280" s="10" t="n">
        <v>4.5</v>
      </c>
      <c r="K280" s="10" t="n">
        <v>447.9</v>
      </c>
      <c r="L280" s="10" t="n">
        <v>1.3</v>
      </c>
      <c r="M280" s="10" t="n">
        <v>309.7</v>
      </c>
      <c r="N280" s="10" t="n">
        <v>3.2</v>
      </c>
      <c r="O280" s="10" t="n">
        <f aca="false">O279+N280</f>
        <v>92.6</v>
      </c>
      <c r="P280" s="10" t="n">
        <v>236</v>
      </c>
      <c r="Q280" s="10" t="n">
        <v>1.15</v>
      </c>
      <c r="R280" s="13" t="n">
        <f aca="false">Q280*L280</f>
        <v>1.495</v>
      </c>
      <c r="S280" s="13" t="n">
        <f aca="false">J280-R280</f>
        <v>3.005</v>
      </c>
      <c r="T280" s="13" t="n">
        <f aca="false">MIN(153.6,(T279+S280))</f>
        <v>81.0611538461538</v>
      </c>
      <c r="V280" s="18" t="n">
        <v>449.7</v>
      </c>
      <c r="W280" s="10" t="n">
        <v>31.4475524475524</v>
      </c>
      <c r="X280" s="10" t="n">
        <v>154266.1</v>
      </c>
      <c r="Y280" s="10" t="n">
        <f aca="false">Y279+V280</f>
        <v>29923.5</v>
      </c>
      <c r="AA280" s="10" t="n">
        <v>14.8199945797039</v>
      </c>
    </row>
    <row r="281" s="10" customFormat="true" ht="15" hidden="false" customHeight="false" outlineLevel="0" collapsed="false">
      <c r="A281" s="64"/>
      <c r="C281" s="9" t="n">
        <v>42128</v>
      </c>
      <c r="D281" s="10" t="n">
        <v>15.2</v>
      </c>
      <c r="E281" s="10" t="n">
        <v>11.7</v>
      </c>
      <c r="F281" s="10" t="n">
        <v>18.6</v>
      </c>
      <c r="G281" s="10" t="n">
        <v>1993</v>
      </c>
      <c r="H281" s="10" t="n">
        <f aca="false">H280+D281</f>
        <v>233.4</v>
      </c>
      <c r="J281" s="10" t="n">
        <v>21.8</v>
      </c>
      <c r="K281" s="10" t="n">
        <v>469.7</v>
      </c>
      <c r="L281" s="10" t="n">
        <v>2.6</v>
      </c>
      <c r="M281" s="10" t="n">
        <v>312.3</v>
      </c>
      <c r="N281" s="10" t="n">
        <v>19.2</v>
      </c>
      <c r="O281" s="10" t="n">
        <f aca="false">O280+N281</f>
        <v>111.8</v>
      </c>
      <c r="P281" s="10" t="n">
        <v>237</v>
      </c>
      <c r="Q281" s="10" t="n">
        <v>1.15</v>
      </c>
      <c r="R281" s="13" t="n">
        <f aca="false">Q281*L281</f>
        <v>2.99</v>
      </c>
      <c r="S281" s="13" t="n">
        <f aca="false">J281-R281</f>
        <v>18.81</v>
      </c>
      <c r="T281" s="13" t="n">
        <f aca="false">MIN(153.6,(T280+S281))</f>
        <v>99.8711538461539</v>
      </c>
      <c r="V281" s="10" t="n">
        <v>1081.7</v>
      </c>
      <c r="W281" s="10" t="n">
        <v>71.1644736842105</v>
      </c>
      <c r="X281" s="10" t="n">
        <v>155347.8</v>
      </c>
      <c r="Y281" s="10" t="n">
        <f aca="false">Y280+V281</f>
        <v>31005.2</v>
      </c>
      <c r="AA281" s="10" t="n">
        <v>14.8759087787058</v>
      </c>
    </row>
    <row r="282" s="28" customFormat="true" ht="15" hidden="false" customHeight="false" outlineLevel="0" collapsed="false">
      <c r="A282" s="67" t="s">
        <v>55</v>
      </c>
      <c r="C282" s="57" t="n">
        <v>42129</v>
      </c>
      <c r="D282" s="28" t="n">
        <v>15.7</v>
      </c>
      <c r="E282" s="28" t="n">
        <v>15.5</v>
      </c>
      <c r="F282" s="28" t="n">
        <v>17</v>
      </c>
      <c r="G282" s="28" t="n">
        <v>2008.7</v>
      </c>
      <c r="H282" s="28" t="n">
        <f aca="false">H281+D282</f>
        <v>249.1</v>
      </c>
      <c r="J282" s="28" t="n">
        <v>4.8</v>
      </c>
      <c r="K282" s="28" t="n">
        <v>474.5</v>
      </c>
      <c r="L282" s="28" t="n">
        <v>3.5</v>
      </c>
      <c r="M282" s="28" t="n">
        <v>315.8</v>
      </c>
      <c r="N282" s="28" t="n">
        <v>1.3</v>
      </c>
      <c r="O282" s="28" t="n">
        <f aca="false">O281+N282</f>
        <v>113.1</v>
      </c>
      <c r="P282" s="28" t="n">
        <v>238</v>
      </c>
      <c r="Q282" s="29" t="n">
        <v>1.15</v>
      </c>
      <c r="R282" s="30" t="n">
        <f aca="false">Q282*L282</f>
        <v>4.025</v>
      </c>
      <c r="S282" s="30" t="n">
        <f aca="false">J282-R282</f>
        <v>0.775</v>
      </c>
      <c r="T282" s="31" t="n">
        <f aca="false">MIN(153.6,(T281+S282))</f>
        <v>100.646153846154</v>
      </c>
      <c r="V282" s="28" t="n">
        <v>1203.1</v>
      </c>
      <c r="W282" s="28" t="n">
        <v>76.6305732484076</v>
      </c>
      <c r="X282" s="28" t="n">
        <v>156550.9</v>
      </c>
      <c r="Y282" s="29" t="n">
        <f aca="false">Y281+V282</f>
        <v>32208.3</v>
      </c>
      <c r="AA282" s="29" t="n">
        <v>14.9313248659396</v>
      </c>
    </row>
    <row r="283" s="10" customFormat="true" ht="15" hidden="false" customHeight="false" outlineLevel="0" collapsed="false">
      <c r="A283" s="68" t="n">
        <v>300</v>
      </c>
      <c r="B283" s="16"/>
      <c r="C283" s="9" t="n">
        <v>42130</v>
      </c>
      <c r="D283" s="10" t="n">
        <v>12.2</v>
      </c>
      <c r="E283" s="10" t="n">
        <v>10.4</v>
      </c>
      <c r="F283" s="10" t="n">
        <v>14.3</v>
      </c>
      <c r="G283" s="10" t="n">
        <v>2020.9</v>
      </c>
      <c r="H283" s="10" t="n">
        <v>12.2</v>
      </c>
      <c r="I283" s="69" t="s">
        <v>27</v>
      </c>
      <c r="J283" s="10" t="n">
        <v>1.4</v>
      </c>
      <c r="K283" s="10" t="n">
        <v>475.9</v>
      </c>
      <c r="L283" s="10" t="n">
        <v>3.2</v>
      </c>
      <c r="M283" s="10" t="n">
        <v>319</v>
      </c>
      <c r="N283" s="11" t="n">
        <v>-1.8</v>
      </c>
      <c r="O283" s="10" t="n">
        <f aca="false">O282+N283</f>
        <v>111.3</v>
      </c>
      <c r="P283" s="10" t="n">
        <v>239</v>
      </c>
      <c r="Q283" s="10" t="n">
        <v>1.15</v>
      </c>
      <c r="R283" s="13" t="n">
        <f aca="false">Q283*L283</f>
        <v>3.68</v>
      </c>
      <c r="S283" s="13" t="n">
        <f aca="false">J283-R283</f>
        <v>-2.28</v>
      </c>
      <c r="T283" s="13" t="n">
        <f aca="false">MIN(153.6,(T282+S283))</f>
        <v>98.3661538461539</v>
      </c>
      <c r="U283" s="69" t="s">
        <v>28</v>
      </c>
      <c r="V283" s="10" t="n">
        <v>1369.5</v>
      </c>
      <c r="W283" s="10" t="n">
        <v>112.254098360656</v>
      </c>
      <c r="X283" s="10" t="n">
        <v>157920.4</v>
      </c>
      <c r="Y283" s="10" t="n">
        <v>1369.5</v>
      </c>
      <c r="Z283" s="69" t="s">
        <v>29</v>
      </c>
      <c r="AA283" s="10" t="n">
        <v>14.9862210034795</v>
      </c>
    </row>
    <row r="284" s="10" customFormat="true" ht="15" hidden="false" customHeight="false" outlineLevel="0" collapsed="false">
      <c r="A284" s="68"/>
      <c r="B284" s="16"/>
      <c r="C284" s="9" t="n">
        <v>42131</v>
      </c>
      <c r="D284" s="10" t="n">
        <v>12.3</v>
      </c>
      <c r="E284" s="10" t="n">
        <v>9.2</v>
      </c>
      <c r="F284" s="10" t="n">
        <v>14.6</v>
      </c>
      <c r="G284" s="10" t="n">
        <v>2033.2</v>
      </c>
      <c r="H284" s="10" t="n">
        <f aca="false">H283+D284</f>
        <v>24.5</v>
      </c>
      <c r="I284" s="10" t="n">
        <f aca="false">MIN(E283:E305)</f>
        <v>6.3</v>
      </c>
      <c r="J284" s="10" t="n">
        <v>0</v>
      </c>
      <c r="K284" s="10" t="n">
        <v>475.9</v>
      </c>
      <c r="L284" s="10" t="n">
        <v>3.4</v>
      </c>
      <c r="M284" s="10" t="n">
        <v>322.4</v>
      </c>
      <c r="N284" s="11" t="n">
        <v>-3.4</v>
      </c>
      <c r="O284" s="10" t="n">
        <f aca="false">O283+N284</f>
        <v>107.9</v>
      </c>
      <c r="P284" s="10" t="n">
        <v>240</v>
      </c>
      <c r="Q284" s="10" t="n">
        <v>1.15</v>
      </c>
      <c r="R284" s="13" t="n">
        <f aca="false">Q284*L284</f>
        <v>3.91</v>
      </c>
      <c r="S284" s="13" t="n">
        <f aca="false">J284-R284</f>
        <v>-3.91</v>
      </c>
      <c r="T284" s="13" t="n">
        <f aca="false">MIN(153.6,(T283+S284))</f>
        <v>94.4561538461539</v>
      </c>
      <c r="U284" s="10" t="n">
        <v>21</v>
      </c>
      <c r="V284" s="10" t="n">
        <v>1899.2</v>
      </c>
      <c r="W284" s="10" t="n">
        <v>154.406504065041</v>
      </c>
      <c r="X284" s="10" t="n">
        <v>159819.6</v>
      </c>
      <c r="Y284" s="10" t="n">
        <f aca="false">Y283+V284</f>
        <v>3268.7</v>
      </c>
      <c r="Z284" s="10" t="n">
        <v>37295.5</v>
      </c>
      <c r="AA284" s="10" t="n">
        <v>15.0405747213068</v>
      </c>
    </row>
    <row r="285" s="10" customFormat="true" ht="15" hidden="false" customHeight="false" outlineLevel="0" collapsed="false">
      <c r="A285" s="68"/>
      <c r="B285" s="16"/>
      <c r="C285" s="9" t="n">
        <v>42132</v>
      </c>
      <c r="D285" s="10" t="n">
        <v>15.4</v>
      </c>
      <c r="E285" s="10" t="n">
        <v>11.2</v>
      </c>
      <c r="F285" s="10" t="n">
        <v>19.1</v>
      </c>
      <c r="G285" s="10" t="n">
        <v>2048.6</v>
      </c>
      <c r="H285" s="10" t="n">
        <f aca="false">H284+D285</f>
        <v>39.9</v>
      </c>
      <c r="I285" s="69" t="s">
        <v>30</v>
      </c>
      <c r="J285" s="10" t="n">
        <v>0.7</v>
      </c>
      <c r="K285" s="10" t="n">
        <v>476.6</v>
      </c>
      <c r="L285" s="10" t="n">
        <v>2.8</v>
      </c>
      <c r="M285" s="10" t="n">
        <v>325.2</v>
      </c>
      <c r="N285" s="11" t="n">
        <v>-2.1</v>
      </c>
      <c r="O285" s="10" t="n">
        <f aca="false">O284+N285</f>
        <v>105.8</v>
      </c>
      <c r="P285" s="10" t="n">
        <v>241</v>
      </c>
      <c r="Q285" s="10" t="n">
        <v>1.15</v>
      </c>
      <c r="R285" s="13" t="n">
        <f aca="false">Q285*L285</f>
        <v>3.22</v>
      </c>
      <c r="S285" s="13" t="n">
        <f aca="false">J285-R285</f>
        <v>-2.52</v>
      </c>
      <c r="T285" s="13" t="n">
        <f aca="false">MIN(153.6,(T284+S285))</f>
        <v>91.9361538461539</v>
      </c>
      <c r="U285" s="69" t="s">
        <v>31</v>
      </c>
      <c r="V285" s="10" t="n">
        <v>1362.4</v>
      </c>
      <c r="W285" s="10" t="n">
        <v>88.4675324675325</v>
      </c>
      <c r="X285" s="10" t="n">
        <v>161182</v>
      </c>
      <c r="Y285" s="10" t="n">
        <f aca="false">Y284+V285</f>
        <v>4631.1</v>
      </c>
      <c r="Z285" s="69" t="s">
        <v>32</v>
      </c>
      <c r="AA285" s="10" t="n">
        <v>15.0943629219799</v>
      </c>
    </row>
    <row r="286" s="10" customFormat="true" ht="15" hidden="false" customHeight="false" outlineLevel="0" collapsed="false">
      <c r="A286" s="68"/>
      <c r="B286" s="16"/>
      <c r="C286" s="9" t="n">
        <v>42133</v>
      </c>
      <c r="D286" s="10" t="n">
        <v>13.9</v>
      </c>
      <c r="E286" s="10" t="n">
        <v>13.3</v>
      </c>
      <c r="F286" s="10" t="n">
        <v>15.3</v>
      </c>
      <c r="G286" s="10" t="n">
        <v>2062.5</v>
      </c>
      <c r="H286" s="10" t="n">
        <f aca="false">H285+D286</f>
        <v>53.8</v>
      </c>
      <c r="I286" s="10" t="n">
        <f aca="false">MAX(F283:F305)</f>
        <v>23.6</v>
      </c>
      <c r="J286" s="10" t="n">
        <v>0</v>
      </c>
      <c r="K286" s="10" t="n">
        <v>476.6</v>
      </c>
      <c r="L286" s="10" t="n">
        <v>3.1</v>
      </c>
      <c r="M286" s="10" t="n">
        <v>328.3</v>
      </c>
      <c r="N286" s="11" t="n">
        <v>-3.1</v>
      </c>
      <c r="O286" s="10" t="n">
        <f aca="false">O285+N286</f>
        <v>102.7</v>
      </c>
      <c r="P286" s="10" t="n">
        <v>242</v>
      </c>
      <c r="Q286" s="10" t="n">
        <v>1.15</v>
      </c>
      <c r="R286" s="13" t="n">
        <f aca="false">Q286*L286</f>
        <v>3.565</v>
      </c>
      <c r="S286" s="13" t="n">
        <f aca="false">J286-R286</f>
        <v>-3.565</v>
      </c>
      <c r="T286" s="13" t="n">
        <f aca="false">MIN(153.6,(T285+S286))</f>
        <v>88.3711538461539</v>
      </c>
      <c r="U286" s="10" t="n">
        <v>0</v>
      </c>
      <c r="V286" s="10" t="n">
        <v>934.5</v>
      </c>
      <c r="W286" s="10" t="n">
        <v>67.2302158273381</v>
      </c>
      <c r="X286" s="10" t="n">
        <v>162116.5</v>
      </c>
      <c r="Y286" s="10" t="n">
        <f aca="false">Y285+V286</f>
        <v>5565.6</v>
      </c>
      <c r="Z286" s="19" t="n">
        <f aca="false">(Z284/100)/I296</f>
        <v>1.21960431654676</v>
      </c>
      <c r="AA286" s="10" t="n">
        <v>15.1475618876151</v>
      </c>
    </row>
    <row r="287" s="10" customFormat="true" ht="15" hidden="false" customHeight="false" outlineLevel="0" collapsed="false">
      <c r="A287" s="68"/>
      <c r="B287" s="16"/>
      <c r="C287" s="9" t="n">
        <v>42134</v>
      </c>
      <c r="D287" s="10" t="n">
        <v>15</v>
      </c>
      <c r="E287" s="10" t="n">
        <v>9.4</v>
      </c>
      <c r="F287" s="10" t="n">
        <v>18.9</v>
      </c>
      <c r="G287" s="10" t="n">
        <v>2077.5</v>
      </c>
      <c r="H287" s="10" t="n">
        <f aca="false">H286+D287</f>
        <v>68.8</v>
      </c>
      <c r="I287" s="69" t="s">
        <v>33</v>
      </c>
      <c r="J287" s="10" t="n">
        <v>0</v>
      </c>
      <c r="K287" s="10" t="n">
        <v>476.6</v>
      </c>
      <c r="L287" s="10" t="n">
        <v>3.3</v>
      </c>
      <c r="M287" s="10" t="n">
        <v>331.6</v>
      </c>
      <c r="N287" s="11" t="n">
        <v>-3.3</v>
      </c>
      <c r="O287" s="10" t="n">
        <f aca="false">O286+N287</f>
        <v>99.4000000000001</v>
      </c>
      <c r="P287" s="10" t="n">
        <v>243</v>
      </c>
      <c r="Q287" s="10" t="n">
        <v>1.15</v>
      </c>
      <c r="R287" s="13" t="n">
        <f aca="false">Q287*L287</f>
        <v>3.795</v>
      </c>
      <c r="S287" s="13" t="n">
        <f aca="false">J287-R287</f>
        <v>-3.795</v>
      </c>
      <c r="T287" s="13" t="n">
        <f aca="false">MIN(153.6,(T286+S287))</f>
        <v>84.5761538461539</v>
      </c>
      <c r="U287" s="69" t="s">
        <v>34</v>
      </c>
      <c r="V287" s="10" t="n">
        <v>1796.1</v>
      </c>
      <c r="W287" s="10" t="n">
        <v>119.74</v>
      </c>
      <c r="X287" s="10" t="n">
        <v>163912.6</v>
      </c>
      <c r="Y287" s="10" t="n">
        <f aca="false">Y286+V287</f>
        <v>7361.7</v>
      </c>
      <c r="Z287" s="69" t="s">
        <v>35</v>
      </c>
      <c r="AA287" s="10" t="n">
        <v>15.2001472893189</v>
      </c>
    </row>
    <row r="288" s="10" customFormat="true" ht="15" hidden="false" customHeight="false" outlineLevel="0" collapsed="false">
      <c r="A288" s="68"/>
      <c r="B288" s="16"/>
      <c r="C288" s="9" t="n">
        <v>42135</v>
      </c>
      <c r="D288" s="10" t="n">
        <v>18.3</v>
      </c>
      <c r="E288" s="10" t="n">
        <v>13.3</v>
      </c>
      <c r="F288" s="10" t="n">
        <v>23.6</v>
      </c>
      <c r="G288" s="10" t="n">
        <v>2095.8</v>
      </c>
      <c r="H288" s="10" t="n">
        <f aca="false">H287+D288</f>
        <v>87.1</v>
      </c>
      <c r="I288" s="10" t="n">
        <f aca="false">AVERAGE(D283:D305)</f>
        <v>13.295652173913</v>
      </c>
      <c r="J288" s="10" t="n">
        <v>0</v>
      </c>
      <c r="K288" s="10" t="n">
        <v>476.6</v>
      </c>
      <c r="L288" s="10" t="n">
        <v>3.5</v>
      </c>
      <c r="M288" s="10" t="n">
        <v>335.1</v>
      </c>
      <c r="N288" s="11" t="n">
        <v>-3.5</v>
      </c>
      <c r="O288" s="10" t="n">
        <f aca="false">O287+N288</f>
        <v>95.9000000000001</v>
      </c>
      <c r="P288" s="10" t="n">
        <v>244</v>
      </c>
      <c r="Q288" s="10" t="n">
        <v>1.15</v>
      </c>
      <c r="R288" s="13" t="n">
        <f aca="false">Q288*L288</f>
        <v>4.025</v>
      </c>
      <c r="S288" s="13" t="n">
        <f aca="false">J288-R288</f>
        <v>-4.025</v>
      </c>
      <c r="T288" s="13" t="n">
        <f aca="false">MIN(153.6,(T287+S288))</f>
        <v>80.5511538461539</v>
      </c>
      <c r="U288" s="10" t="n">
        <v>4</v>
      </c>
      <c r="V288" s="10" t="n">
        <v>1826.1</v>
      </c>
      <c r="W288" s="10" t="n">
        <v>99.7868852459016</v>
      </c>
      <c r="X288" s="10" t="n">
        <v>165738.7</v>
      </c>
      <c r="Y288" s="10" t="n">
        <f aca="false">Y287+V288</f>
        <v>9187.8</v>
      </c>
      <c r="Z288" s="10" t="n">
        <v>3</v>
      </c>
      <c r="AA288" s="10" t="n">
        <v>15.2520941992197</v>
      </c>
    </row>
    <row r="289" s="10" customFormat="true" ht="15" hidden="false" customHeight="false" outlineLevel="0" collapsed="false">
      <c r="A289" s="68"/>
      <c r="B289" s="16"/>
      <c r="C289" s="9" t="n">
        <v>42136</v>
      </c>
      <c r="D289" s="10" t="n">
        <v>14.7</v>
      </c>
      <c r="E289" s="10" t="n">
        <v>13.7</v>
      </c>
      <c r="F289" s="10" t="n">
        <v>18.3</v>
      </c>
      <c r="G289" s="10" t="n">
        <v>2110.5</v>
      </c>
      <c r="H289" s="10" t="n">
        <f aca="false">H288+D289</f>
        <v>101.8</v>
      </c>
      <c r="I289" s="69" t="s">
        <v>36</v>
      </c>
      <c r="J289" s="10" t="n">
        <v>0</v>
      </c>
      <c r="K289" s="10" t="n">
        <v>476.6</v>
      </c>
      <c r="L289" s="10" t="n">
        <v>4</v>
      </c>
      <c r="M289" s="10" t="n">
        <v>339.1</v>
      </c>
      <c r="N289" s="11" t="n">
        <v>-4</v>
      </c>
      <c r="O289" s="10" t="n">
        <f aca="false">O288+N289</f>
        <v>91.9000000000001</v>
      </c>
      <c r="P289" s="10" t="n">
        <v>245</v>
      </c>
      <c r="Q289" s="10" t="n">
        <v>1.15</v>
      </c>
      <c r="R289" s="13" t="n">
        <f aca="false">Q289*L289</f>
        <v>4.6</v>
      </c>
      <c r="S289" s="13" t="n">
        <f aca="false">J289-R289</f>
        <v>-4.6</v>
      </c>
      <c r="T289" s="13" t="n">
        <f aca="false">MIN(153.6,(T288+S289))</f>
        <v>75.9511538461539</v>
      </c>
      <c r="U289" s="69" t="s">
        <v>37</v>
      </c>
      <c r="V289" s="10" t="n">
        <v>2070.2</v>
      </c>
      <c r="W289" s="10" t="n">
        <v>140.829931972789</v>
      </c>
      <c r="X289" s="10" t="n">
        <v>167808.9</v>
      </c>
      <c r="Y289" s="10" t="n">
        <f aca="false">Y288+V289</f>
        <v>11258</v>
      </c>
      <c r="AA289" s="10" t="n">
        <v>15.3033771052422</v>
      </c>
    </row>
    <row r="290" s="10" customFormat="true" ht="15" hidden="false" customHeight="false" outlineLevel="0" collapsed="false">
      <c r="A290" s="68"/>
      <c r="B290" s="16"/>
      <c r="C290" s="9" t="n">
        <v>42137</v>
      </c>
      <c r="D290" s="10" t="n">
        <v>13.2</v>
      </c>
      <c r="E290" s="10" t="n">
        <v>8.6</v>
      </c>
      <c r="F290" s="10" t="n">
        <v>18.4</v>
      </c>
      <c r="G290" s="10" t="n">
        <v>2123.7</v>
      </c>
      <c r="H290" s="10" t="n">
        <f aca="false">H289+D290</f>
        <v>115</v>
      </c>
      <c r="I290" s="10" t="n">
        <v>0</v>
      </c>
      <c r="J290" s="10" t="n">
        <v>0</v>
      </c>
      <c r="K290" s="10" t="n">
        <v>476.6</v>
      </c>
      <c r="L290" s="10" t="n">
        <v>4.4</v>
      </c>
      <c r="M290" s="10" t="n">
        <v>343.5</v>
      </c>
      <c r="N290" s="11" t="n">
        <v>-4.4</v>
      </c>
      <c r="O290" s="10" t="n">
        <f aca="false">O289+N290</f>
        <v>87.5</v>
      </c>
      <c r="P290" s="10" t="n">
        <v>246</v>
      </c>
      <c r="Q290" s="10" t="n">
        <v>1.15</v>
      </c>
      <c r="R290" s="13" t="n">
        <f aca="false">Q290*L290</f>
        <v>5.06</v>
      </c>
      <c r="S290" s="13" t="n">
        <f aca="false">J290-R290</f>
        <v>-5.06</v>
      </c>
      <c r="T290" s="13" t="n">
        <f aca="false">MIN(153.6,(T289+S290))</f>
        <v>70.8911538461539</v>
      </c>
      <c r="U290" s="13" t="n">
        <f aca="false">MIN(T283:T305)</f>
        <v>34.8861538461538</v>
      </c>
      <c r="V290" s="10" t="n">
        <v>2425.9</v>
      </c>
      <c r="W290" s="10" t="n">
        <v>183.780303030303</v>
      </c>
      <c r="X290" s="10" t="n">
        <v>170234.8</v>
      </c>
      <c r="Y290" s="10" t="n">
        <f aca="false">Y289+V290</f>
        <v>13683.9</v>
      </c>
      <c r="AA290" s="10" t="n">
        <v>15.3539699287636</v>
      </c>
    </row>
    <row r="291" s="10" customFormat="true" ht="15" hidden="false" customHeight="false" outlineLevel="0" collapsed="false">
      <c r="A291" s="68"/>
      <c r="B291" s="16"/>
      <c r="C291" s="9" t="n">
        <v>42138</v>
      </c>
      <c r="D291" s="10" t="n">
        <v>10.4</v>
      </c>
      <c r="E291" s="10" t="n">
        <v>9</v>
      </c>
      <c r="F291" s="10" t="n">
        <v>14</v>
      </c>
      <c r="G291" s="10" t="n">
        <v>2134.1</v>
      </c>
      <c r="H291" s="10" t="n">
        <f aca="false">H290+D291</f>
        <v>125.4</v>
      </c>
      <c r="I291" s="69" t="s">
        <v>38</v>
      </c>
      <c r="J291" s="10" t="n">
        <v>9.2</v>
      </c>
      <c r="K291" s="10" t="n">
        <v>485.8</v>
      </c>
      <c r="L291" s="10" t="n">
        <v>2.3</v>
      </c>
      <c r="M291" s="10" t="n">
        <v>345.8</v>
      </c>
      <c r="N291" s="10" t="n">
        <v>6.9</v>
      </c>
      <c r="O291" s="10" t="n">
        <f aca="false">O290+N291</f>
        <v>94.4000000000001</v>
      </c>
      <c r="P291" s="10" t="n">
        <v>247</v>
      </c>
      <c r="Q291" s="10" t="n">
        <v>1.15</v>
      </c>
      <c r="R291" s="13" t="n">
        <f aca="false">Q291*L291</f>
        <v>2.645</v>
      </c>
      <c r="S291" s="13" t="n">
        <f aca="false">J291-R291</f>
        <v>6.555</v>
      </c>
      <c r="T291" s="13" t="n">
        <f aca="false">MIN(153.6,(T290+S291))</f>
        <v>77.4461538461539</v>
      </c>
      <c r="U291" s="69" t="s">
        <v>39</v>
      </c>
      <c r="V291" s="10" t="n">
        <v>1025.6</v>
      </c>
      <c r="W291" s="10" t="n">
        <v>98.6153846153846</v>
      </c>
      <c r="X291" s="10" t="n">
        <v>171260.4</v>
      </c>
      <c r="Y291" s="10" t="n">
        <f aca="false">Y290+V291</f>
        <v>14709.5</v>
      </c>
      <c r="AA291" s="10" t="n">
        <v>15.4038460452922</v>
      </c>
    </row>
    <row r="292" s="10" customFormat="true" ht="15" hidden="false" customHeight="false" outlineLevel="0" collapsed="false">
      <c r="A292" s="68"/>
      <c r="B292" s="16"/>
      <c r="C292" s="9" t="n">
        <v>42139</v>
      </c>
      <c r="D292" s="10" t="n">
        <v>11.2</v>
      </c>
      <c r="E292" s="10" t="n">
        <v>9.4</v>
      </c>
      <c r="F292" s="10" t="n">
        <v>14.1</v>
      </c>
      <c r="G292" s="10" t="n">
        <v>2145.3</v>
      </c>
      <c r="H292" s="10" t="n">
        <f aca="false">H291+D292</f>
        <v>136.6</v>
      </c>
      <c r="I292" s="10" t="n">
        <v>0</v>
      </c>
      <c r="J292" s="10" t="n">
        <v>0</v>
      </c>
      <c r="K292" s="10" t="n">
        <v>485.8</v>
      </c>
      <c r="L292" s="10" t="n">
        <v>2.1</v>
      </c>
      <c r="M292" s="10" t="n">
        <v>347.9</v>
      </c>
      <c r="N292" s="11" t="n">
        <v>-2.1</v>
      </c>
      <c r="O292" s="10" t="n">
        <f aca="false">O291+N292</f>
        <v>92.3000000000001</v>
      </c>
      <c r="P292" s="10" t="n">
        <v>248</v>
      </c>
      <c r="Q292" s="10" t="n">
        <v>1.15</v>
      </c>
      <c r="R292" s="13" t="n">
        <f aca="false">Q292*L292</f>
        <v>2.415</v>
      </c>
      <c r="S292" s="13" t="n">
        <f aca="false">J292-R292</f>
        <v>-2.415</v>
      </c>
      <c r="T292" s="13" t="n">
        <f aca="false">MIN(153.6,(T291+S292))</f>
        <v>75.0311538461539</v>
      </c>
      <c r="U292" s="13" t="n">
        <f aca="false">MAX(T283:T305)</f>
        <v>98.3661538461539</v>
      </c>
      <c r="V292" s="18" t="n">
        <v>878.5</v>
      </c>
      <c r="W292" s="10" t="n">
        <v>78.4375</v>
      </c>
      <c r="X292" s="10" t="n">
        <v>172138.9</v>
      </c>
      <c r="Y292" s="10" t="n">
        <f aca="false">Y291+V292</f>
        <v>15588</v>
      </c>
      <c r="AA292" s="10" t="n">
        <v>15.4529783082962</v>
      </c>
    </row>
    <row r="293" s="10" customFormat="true" ht="15" hidden="false" customHeight="false" outlineLevel="0" collapsed="false">
      <c r="A293" s="68"/>
      <c r="B293" s="16"/>
      <c r="C293" s="9" t="n">
        <v>42140</v>
      </c>
      <c r="D293" s="10" t="n">
        <v>12</v>
      </c>
      <c r="E293" s="10" t="n">
        <v>8</v>
      </c>
      <c r="F293" s="10" t="n">
        <v>15.5</v>
      </c>
      <c r="G293" s="10" t="n">
        <v>2157.3</v>
      </c>
      <c r="H293" s="10" t="n">
        <f aca="false">H292+D293</f>
        <v>148.6</v>
      </c>
      <c r="I293" s="69" t="s">
        <v>40</v>
      </c>
      <c r="J293" s="10" t="n">
        <v>0.2</v>
      </c>
      <c r="K293" s="10" t="n">
        <v>486</v>
      </c>
      <c r="L293" s="10" t="n">
        <v>1</v>
      </c>
      <c r="M293" s="10" t="n">
        <v>348.9</v>
      </c>
      <c r="N293" s="11" t="n">
        <v>-0.8</v>
      </c>
      <c r="O293" s="10" t="n">
        <f aca="false">O292+N293</f>
        <v>91.5000000000001</v>
      </c>
      <c r="P293" s="10" t="n">
        <v>249</v>
      </c>
      <c r="Q293" s="10" t="n">
        <v>1.15</v>
      </c>
      <c r="R293" s="13" t="n">
        <f aca="false">Q293*L293</f>
        <v>1.15</v>
      </c>
      <c r="S293" s="13" t="n">
        <f aca="false">J293-R293</f>
        <v>-0.95</v>
      </c>
      <c r="T293" s="13" t="n">
        <f aca="false">MIN(153.6,(T292+S293))</f>
        <v>74.0811538461539</v>
      </c>
      <c r="U293" s="69" t="s">
        <v>41</v>
      </c>
      <c r="V293" s="18" t="n">
        <v>488.5</v>
      </c>
      <c r="W293" s="10" t="n">
        <v>40.7083333333333</v>
      </c>
      <c r="X293" s="10" t="n">
        <v>172627.4</v>
      </c>
      <c r="Y293" s="10" t="n">
        <f aca="false">Y292+V293</f>
        <v>16076.5</v>
      </c>
      <c r="AA293" s="10" t="n">
        <v>15.5013390763079</v>
      </c>
    </row>
    <row r="294" s="10" customFormat="true" ht="15" hidden="false" customHeight="false" outlineLevel="0" collapsed="false">
      <c r="A294" s="68"/>
      <c r="B294" s="16"/>
      <c r="C294" s="9" t="n">
        <v>42141</v>
      </c>
      <c r="D294" s="10" t="n">
        <v>12.6</v>
      </c>
      <c r="E294" s="10" t="n">
        <v>9</v>
      </c>
      <c r="F294" s="10" t="n">
        <v>17.2</v>
      </c>
      <c r="G294" s="10" t="n">
        <v>2169.9</v>
      </c>
      <c r="H294" s="10" t="n">
        <f aca="false">H293+D294</f>
        <v>161.2</v>
      </c>
      <c r="I294" s="10" t="n">
        <v>0</v>
      </c>
      <c r="J294" s="10" t="n">
        <v>0</v>
      </c>
      <c r="K294" s="10" t="n">
        <v>486</v>
      </c>
      <c r="L294" s="10" t="n">
        <v>3.5</v>
      </c>
      <c r="M294" s="10" t="n">
        <v>352.4</v>
      </c>
      <c r="N294" s="11" t="n">
        <v>-3.5</v>
      </c>
      <c r="O294" s="10" t="n">
        <f aca="false">O293+N294</f>
        <v>88.0000000000001</v>
      </c>
      <c r="P294" s="10" t="n">
        <v>250</v>
      </c>
      <c r="Q294" s="10" t="n">
        <v>1.15</v>
      </c>
      <c r="R294" s="13" t="n">
        <f aca="false">Q294*L294</f>
        <v>4.025</v>
      </c>
      <c r="S294" s="13" t="n">
        <f aca="false">J294-R294</f>
        <v>-4.025</v>
      </c>
      <c r="T294" s="13" t="n">
        <f aca="false">MIN(153.6,(T293+S294))</f>
        <v>70.0561538461539</v>
      </c>
      <c r="U294" s="19" t="n">
        <f aca="false">AVERAGE(T283:T305)</f>
        <v>68.6033277591973</v>
      </c>
      <c r="V294" s="10" t="n">
        <v>1912.2</v>
      </c>
      <c r="W294" s="10" t="n">
        <v>151.761904761905</v>
      </c>
      <c r="X294" s="10" t="n">
        <v>174539.6</v>
      </c>
      <c r="Y294" s="10" t="n">
        <f aca="false">Y293+V294</f>
        <v>17988.7</v>
      </c>
      <c r="AA294" s="10" t="n">
        <v>15.5489002434172</v>
      </c>
    </row>
    <row r="295" s="10" customFormat="true" ht="15" hidden="false" customHeight="false" outlineLevel="0" collapsed="false">
      <c r="A295" s="68"/>
      <c r="B295" s="16"/>
      <c r="C295" s="9" t="n">
        <v>42142</v>
      </c>
      <c r="D295" s="10" t="n">
        <v>11.8</v>
      </c>
      <c r="E295" s="10" t="n">
        <v>8.3</v>
      </c>
      <c r="F295" s="10" t="n">
        <v>16.6</v>
      </c>
      <c r="G295" s="10" t="n">
        <v>2181.7</v>
      </c>
      <c r="H295" s="10" t="n">
        <f aca="false">H294+D295</f>
        <v>173</v>
      </c>
      <c r="I295" s="69" t="s">
        <v>42</v>
      </c>
      <c r="J295" s="10" t="n">
        <v>0.8</v>
      </c>
      <c r="K295" s="10" t="n">
        <v>486.8</v>
      </c>
      <c r="L295" s="10" t="n">
        <v>2.7</v>
      </c>
      <c r="M295" s="10" t="n">
        <v>355.1</v>
      </c>
      <c r="N295" s="11" t="n">
        <v>-1.9</v>
      </c>
      <c r="O295" s="10" t="n">
        <f aca="false">O294+N295</f>
        <v>86.1000000000001</v>
      </c>
      <c r="P295" s="10" t="n">
        <v>251</v>
      </c>
      <c r="Q295" s="10" t="n">
        <v>1.15</v>
      </c>
      <c r="R295" s="13" t="n">
        <f aca="false">Q295*L295</f>
        <v>3.105</v>
      </c>
      <c r="S295" s="13" t="n">
        <f aca="false">J295-R295</f>
        <v>-2.305</v>
      </c>
      <c r="T295" s="13" t="n">
        <f aca="false">MIN(153.6,(T294+S295))</f>
        <v>67.7511538461538</v>
      </c>
      <c r="V295" s="10" t="n">
        <v>1218.5</v>
      </c>
      <c r="W295" s="10" t="n">
        <v>103.262711864407</v>
      </c>
      <c r="X295" s="10" t="n">
        <v>175758.1</v>
      </c>
      <c r="Y295" s="10" t="n">
        <f aca="false">Y294+V295</f>
        <v>19207.2</v>
      </c>
      <c r="AA295" s="10" t="n">
        <v>15.595633273255</v>
      </c>
    </row>
    <row r="296" s="10" customFormat="true" ht="15" hidden="false" customHeight="false" outlineLevel="0" collapsed="false">
      <c r="A296" s="68"/>
      <c r="B296" s="16"/>
      <c r="C296" s="9" t="n">
        <v>42143</v>
      </c>
      <c r="D296" s="10" t="n">
        <v>10.1</v>
      </c>
      <c r="E296" s="10" t="n">
        <v>8.2</v>
      </c>
      <c r="F296" s="10" t="n">
        <v>12.9</v>
      </c>
      <c r="G296" s="10" t="n">
        <v>2191.8</v>
      </c>
      <c r="H296" s="10" t="n">
        <f aca="false">H295+D296</f>
        <v>183.1</v>
      </c>
      <c r="I296" s="10" t="n">
        <v>305.8</v>
      </c>
      <c r="J296" s="10" t="n">
        <v>3.6</v>
      </c>
      <c r="K296" s="10" t="n">
        <v>490.4</v>
      </c>
      <c r="L296" s="10" t="n">
        <v>2.8</v>
      </c>
      <c r="M296" s="10" t="n">
        <v>357.9</v>
      </c>
      <c r="N296" s="10" t="n">
        <v>0.8</v>
      </c>
      <c r="O296" s="10" t="n">
        <f aca="false">O295+N296</f>
        <v>86.9000000000001</v>
      </c>
      <c r="P296" s="10" t="n">
        <v>252</v>
      </c>
      <c r="Q296" s="10" t="n">
        <v>1.15</v>
      </c>
      <c r="R296" s="13" t="n">
        <f aca="false">Q296*L296</f>
        <v>3.22</v>
      </c>
      <c r="S296" s="13" t="n">
        <f aca="false">J296-R296</f>
        <v>0.38</v>
      </c>
      <c r="T296" s="13" t="n">
        <f aca="false">MIN(153.6,(T295+S296))</f>
        <v>68.1311538461538</v>
      </c>
      <c r="U296" s="13" t="n">
        <f aca="false">(U294*100)/153.6</f>
        <v>44.6636248432274</v>
      </c>
      <c r="V296" s="10" t="n">
        <v>1514.5</v>
      </c>
      <c r="W296" s="10" t="n">
        <v>149.950495049505</v>
      </c>
      <c r="X296" s="10" t="n">
        <v>177272.6</v>
      </c>
      <c r="Y296" s="10" t="n">
        <f aca="false">Y295+V296</f>
        <v>20721.7</v>
      </c>
      <c r="AA296" s="10" t="n">
        <v>15.6415092365555</v>
      </c>
    </row>
    <row r="297" s="10" customFormat="true" ht="15" hidden="false" customHeight="false" outlineLevel="0" collapsed="false">
      <c r="A297" s="68"/>
      <c r="B297" s="16"/>
      <c r="C297" s="9" t="n">
        <v>42144</v>
      </c>
      <c r="D297" s="10" t="n">
        <v>10.2</v>
      </c>
      <c r="E297" s="10" t="n">
        <v>6.3</v>
      </c>
      <c r="F297" s="10" t="n">
        <v>13.3</v>
      </c>
      <c r="G297" s="10" t="n">
        <v>2202</v>
      </c>
      <c r="H297" s="10" t="n">
        <f aca="false">H296+D297</f>
        <v>193.3</v>
      </c>
      <c r="J297" s="10" t="n">
        <v>0.6</v>
      </c>
      <c r="K297" s="10" t="n">
        <v>491</v>
      </c>
      <c r="L297" s="10" t="n">
        <v>3.1</v>
      </c>
      <c r="M297" s="10" t="n">
        <v>361</v>
      </c>
      <c r="N297" s="11" t="n">
        <v>-2.5</v>
      </c>
      <c r="O297" s="10" t="n">
        <f aca="false">O296+N297</f>
        <v>84.4000000000001</v>
      </c>
      <c r="P297" s="10" t="n">
        <v>253</v>
      </c>
      <c r="Q297" s="10" t="n">
        <v>1.15</v>
      </c>
      <c r="R297" s="13" t="n">
        <f aca="false">Q297*L297</f>
        <v>3.565</v>
      </c>
      <c r="S297" s="13" t="n">
        <f aca="false">J297-R297</f>
        <v>-2.965</v>
      </c>
      <c r="T297" s="13" t="n">
        <f aca="false">MIN(153.6,(T296+S297))</f>
        <v>65.1661538461538</v>
      </c>
      <c r="V297" s="10" t="n">
        <v>2031.7</v>
      </c>
      <c r="W297" s="10" t="n">
        <v>199.186274509804</v>
      </c>
      <c r="X297" s="10" t="n">
        <v>179304.3</v>
      </c>
      <c r="Y297" s="10" t="n">
        <f aca="false">Y296+V297</f>
        <v>22753.4</v>
      </c>
      <c r="AA297" s="10" t="n">
        <v>15.6864988523675</v>
      </c>
    </row>
    <row r="298" s="50" customFormat="true" ht="15" hidden="false" customHeight="false" outlineLevel="0" collapsed="false">
      <c r="A298" s="68"/>
      <c r="B298" s="48"/>
      <c r="C298" s="49" t="n">
        <v>42145</v>
      </c>
      <c r="D298" s="50" t="n">
        <v>12.9</v>
      </c>
      <c r="E298" s="50" t="n">
        <v>7</v>
      </c>
      <c r="F298" s="50" t="n">
        <v>16.6</v>
      </c>
      <c r="G298" s="50" t="n">
        <v>2214.9</v>
      </c>
      <c r="H298" s="50" t="n">
        <f aca="false">H297+D298</f>
        <v>206.2</v>
      </c>
      <c r="J298" s="50" t="n">
        <v>0</v>
      </c>
      <c r="K298" s="50" t="n">
        <v>491</v>
      </c>
      <c r="L298" s="50" t="n">
        <v>3.3</v>
      </c>
      <c r="M298" s="50" t="n">
        <v>364.3</v>
      </c>
      <c r="N298" s="53" t="n">
        <v>-3.3</v>
      </c>
      <c r="O298" s="50" t="n">
        <f aca="false">O297+N298</f>
        <v>81.1000000000001</v>
      </c>
      <c r="P298" s="50" t="n">
        <v>254</v>
      </c>
      <c r="Q298" s="10" t="n">
        <v>1.15</v>
      </c>
      <c r="R298" s="54" t="n">
        <f aca="false">Q298*L298</f>
        <v>3.795</v>
      </c>
      <c r="S298" s="54" t="n">
        <f aca="false">J298-R298</f>
        <v>-3.795</v>
      </c>
      <c r="T298" s="13" t="n">
        <f aca="false">MIN(153.6,(T297+S298))</f>
        <v>61.3711538461538</v>
      </c>
      <c r="V298" s="50" t="n">
        <v>2132.5</v>
      </c>
      <c r="W298" s="50" t="n">
        <v>165.31007751938</v>
      </c>
      <c r="X298" s="50" t="n">
        <v>181436.8</v>
      </c>
      <c r="Y298" s="10" t="n">
        <f aca="false">Y297+V298</f>
        <v>24885.9</v>
      </c>
      <c r="AA298" s="10" t="n">
        <v>15.7305725329682</v>
      </c>
    </row>
    <row r="299" s="10" customFormat="true" ht="15" hidden="false" customHeight="true" outlineLevel="0" collapsed="false">
      <c r="A299" s="68"/>
      <c r="B299" s="16"/>
      <c r="C299" s="9" t="n">
        <v>42146</v>
      </c>
      <c r="D299" s="10" t="n">
        <v>13.8</v>
      </c>
      <c r="E299" s="10" t="n">
        <v>9.5</v>
      </c>
      <c r="F299" s="10" t="n">
        <v>17.6</v>
      </c>
      <c r="G299" s="10" t="n">
        <v>2228.7</v>
      </c>
      <c r="H299" s="10" t="n">
        <f aca="false">H298+D299</f>
        <v>220</v>
      </c>
      <c r="J299" s="10" t="n">
        <v>0</v>
      </c>
      <c r="K299" s="10" t="n">
        <v>491</v>
      </c>
      <c r="L299" s="10" t="n">
        <v>2.5</v>
      </c>
      <c r="M299" s="10" t="n">
        <v>366.8</v>
      </c>
      <c r="N299" s="11" t="n">
        <v>-2.5</v>
      </c>
      <c r="O299" s="10" t="n">
        <f aca="false">O298+N299</f>
        <v>78.6000000000001</v>
      </c>
      <c r="P299" s="10" t="n">
        <v>255</v>
      </c>
      <c r="Q299" s="10" t="n">
        <v>1.15</v>
      </c>
      <c r="R299" s="13" t="n">
        <f aca="false">Q299*L299</f>
        <v>2.875</v>
      </c>
      <c r="S299" s="13" t="n">
        <f aca="false">J299-R299</f>
        <v>-2.875</v>
      </c>
      <c r="T299" s="13" t="n">
        <f aca="false">MIN(153.6,(T298+S299))</f>
        <v>58.4961538461538</v>
      </c>
      <c r="U299" s="56"/>
      <c r="V299" s="10" t="n">
        <v>1333.4</v>
      </c>
      <c r="W299" s="10" t="n">
        <v>96.6231884057971</v>
      </c>
      <c r="X299" s="10" t="n">
        <v>182770.2</v>
      </c>
      <c r="Y299" s="10" t="n">
        <f aca="false">Y298+V299</f>
        <v>26219.3</v>
      </c>
      <c r="AA299" s="10" t="n">
        <v>15.773700432509</v>
      </c>
    </row>
    <row r="300" s="10" customFormat="true" ht="15" hidden="false" customHeight="false" outlineLevel="0" collapsed="false">
      <c r="A300" s="68"/>
      <c r="B300" s="16"/>
      <c r="C300" s="9" t="n">
        <v>42147</v>
      </c>
      <c r="D300" s="10" t="n">
        <v>14.2</v>
      </c>
      <c r="E300" s="10" t="n">
        <v>12</v>
      </c>
      <c r="F300" s="10" t="n">
        <v>17.9</v>
      </c>
      <c r="G300" s="10" t="n">
        <v>2242.9</v>
      </c>
      <c r="H300" s="10" t="n">
        <f aca="false">H299+D300</f>
        <v>234.2</v>
      </c>
      <c r="J300" s="10" t="n">
        <v>0</v>
      </c>
      <c r="K300" s="10" t="n">
        <v>491</v>
      </c>
      <c r="L300" s="10" t="n">
        <v>2</v>
      </c>
      <c r="M300" s="10" t="n">
        <v>368.8</v>
      </c>
      <c r="N300" s="11" t="n">
        <v>-2</v>
      </c>
      <c r="O300" s="10" t="n">
        <f aca="false">O299+N300</f>
        <v>76.6000000000001</v>
      </c>
      <c r="P300" s="10" t="n">
        <v>256</v>
      </c>
      <c r="Q300" s="10" t="n">
        <v>1.15</v>
      </c>
      <c r="R300" s="13" t="n">
        <f aca="false">Q300*L300</f>
        <v>2.3</v>
      </c>
      <c r="S300" s="13" t="n">
        <f aca="false">J300-R300</f>
        <v>-2.3</v>
      </c>
      <c r="T300" s="13" t="n">
        <f aca="false">MIN(153.6,(T299+S300))</f>
        <v>56.1961538461538</v>
      </c>
      <c r="V300" s="18" t="n">
        <v>883.6</v>
      </c>
      <c r="W300" s="10" t="n">
        <v>62.2253521126761</v>
      </c>
      <c r="X300" s="10" t="n">
        <v>183653.8</v>
      </c>
      <c r="Y300" s="10" t="n">
        <f aca="false">Y299+V300</f>
        <v>27102.9</v>
      </c>
      <c r="AA300" s="10" t="n">
        <v>15.8158524994008</v>
      </c>
    </row>
    <row r="301" s="10" customFormat="true" ht="15" hidden="false" customHeight="false" outlineLevel="0" collapsed="false">
      <c r="A301" s="68"/>
      <c r="B301" s="16"/>
      <c r="C301" s="9" t="n">
        <v>42148</v>
      </c>
      <c r="D301" s="10" t="n">
        <v>14.5</v>
      </c>
      <c r="E301" s="10" t="n">
        <v>8.6</v>
      </c>
      <c r="F301" s="10" t="n">
        <v>18.6</v>
      </c>
      <c r="G301" s="10" t="n">
        <v>2257.4</v>
      </c>
      <c r="H301" s="10" t="n">
        <f aca="false">H300+D301</f>
        <v>248.7</v>
      </c>
      <c r="J301" s="10" t="n">
        <v>1</v>
      </c>
      <c r="K301" s="10" t="n">
        <v>492</v>
      </c>
      <c r="L301" s="10" t="n">
        <v>4.2</v>
      </c>
      <c r="M301" s="10" t="n">
        <v>373</v>
      </c>
      <c r="N301" s="11" t="n">
        <v>-3.2</v>
      </c>
      <c r="O301" s="10" t="n">
        <f aca="false">O300+N301</f>
        <v>73.4000000000001</v>
      </c>
      <c r="P301" s="10" t="n">
        <v>257</v>
      </c>
      <c r="Q301" s="10" t="n">
        <v>1.15</v>
      </c>
      <c r="R301" s="13" t="n">
        <f aca="false">Q301*L301</f>
        <v>4.83</v>
      </c>
      <c r="S301" s="13" t="n">
        <f aca="false">J301-R301</f>
        <v>-3.83</v>
      </c>
      <c r="T301" s="13" t="n">
        <f aca="false">MIN(153.6,(T300+S301))</f>
        <v>52.3661538461538</v>
      </c>
      <c r="V301" s="10" t="n">
        <v>2472.2</v>
      </c>
      <c r="W301" s="10" t="n">
        <v>170.496551724138</v>
      </c>
      <c r="X301" s="10" t="n">
        <v>186126</v>
      </c>
      <c r="Y301" s="10" t="n">
        <f aca="false">Y300+V301</f>
        <v>29575.1</v>
      </c>
      <c r="AA301" s="10" t="n">
        <v>15.8569985324188</v>
      </c>
    </row>
    <row r="302" s="10" customFormat="true" ht="15" hidden="false" customHeight="false" outlineLevel="0" collapsed="false">
      <c r="A302" s="68"/>
      <c r="B302" s="16"/>
      <c r="C302" s="9" t="n">
        <v>42149</v>
      </c>
      <c r="D302" s="10" t="n">
        <v>13.6</v>
      </c>
      <c r="E302" s="10" t="n">
        <v>13.1</v>
      </c>
      <c r="F302" s="10" t="n">
        <v>15.3</v>
      </c>
      <c r="G302" s="10" t="n">
        <v>2271</v>
      </c>
      <c r="H302" s="10" t="n">
        <f aca="false">H301+D302</f>
        <v>262.3</v>
      </c>
      <c r="J302" s="10" t="n">
        <v>0</v>
      </c>
      <c r="K302" s="10" t="n">
        <v>492</v>
      </c>
      <c r="L302" s="10" t="n">
        <v>3.6</v>
      </c>
      <c r="M302" s="10" t="n">
        <v>376.6</v>
      </c>
      <c r="N302" s="11" t="n">
        <v>-3.6</v>
      </c>
      <c r="O302" s="10" t="n">
        <f aca="false">O301+N302</f>
        <v>69.8000000000001</v>
      </c>
      <c r="P302" s="10" t="n">
        <v>258</v>
      </c>
      <c r="Q302" s="10" t="n">
        <v>1.15</v>
      </c>
      <c r="R302" s="13" t="n">
        <f aca="false">Q302*L302</f>
        <v>4.14</v>
      </c>
      <c r="S302" s="13" t="n">
        <f aca="false">J302-R302</f>
        <v>-4.14</v>
      </c>
      <c r="T302" s="13" t="n">
        <f aca="false">MIN(153.6,(T301+S302))</f>
        <v>48.2261538461538</v>
      </c>
      <c r="V302" s="10" t="n">
        <v>1713.6</v>
      </c>
      <c r="W302" s="10" t="n">
        <v>126</v>
      </c>
      <c r="X302" s="10" t="n">
        <v>187839.6</v>
      </c>
      <c r="Y302" s="10" t="n">
        <f aca="false">Y301+V302</f>
        <v>31288.7</v>
      </c>
      <c r="AA302" s="10" t="n">
        <v>15.8971082404776</v>
      </c>
    </row>
    <row r="303" s="10" customFormat="true" ht="15" hidden="false" customHeight="false" outlineLevel="0" collapsed="false">
      <c r="A303" s="68"/>
      <c r="B303" s="16"/>
      <c r="C303" s="9" t="n">
        <v>42150</v>
      </c>
      <c r="D303" s="10" t="n">
        <v>14.2</v>
      </c>
      <c r="E303" s="10" t="n">
        <v>11.2</v>
      </c>
      <c r="F303" s="10" t="n">
        <v>16.4</v>
      </c>
      <c r="G303" s="10" t="n">
        <v>2285.2</v>
      </c>
      <c r="H303" s="10" t="n">
        <f aca="false">H302+D303</f>
        <v>276.5</v>
      </c>
      <c r="J303" s="10" t="n">
        <v>0</v>
      </c>
      <c r="K303" s="10" t="n">
        <v>492</v>
      </c>
      <c r="L303" s="10" t="n">
        <v>3.2</v>
      </c>
      <c r="M303" s="10" t="n">
        <v>379.8</v>
      </c>
      <c r="N303" s="11" t="n">
        <v>-3.2</v>
      </c>
      <c r="O303" s="10" t="n">
        <f aca="false">O302+N303</f>
        <v>66.6000000000001</v>
      </c>
      <c r="P303" s="10" t="n">
        <v>259</v>
      </c>
      <c r="Q303" s="10" t="n">
        <v>1.15</v>
      </c>
      <c r="R303" s="13" t="n">
        <f aca="false">Q303*L303</f>
        <v>3.68</v>
      </c>
      <c r="S303" s="13" t="n">
        <f aca="false">J303-R303</f>
        <v>-3.68</v>
      </c>
      <c r="T303" s="13" t="n">
        <f aca="false">MIN(153.6,(T302+S303))</f>
        <v>44.5461538461538</v>
      </c>
      <c r="V303" s="10" t="n">
        <v>1732.7</v>
      </c>
      <c r="W303" s="10" t="n">
        <v>122.021126760563</v>
      </c>
      <c r="X303" s="10" t="n">
        <v>189572.3</v>
      </c>
      <c r="Y303" s="10" t="n">
        <f aca="false">Y302+V303</f>
        <v>33021.4</v>
      </c>
      <c r="AA303" s="10" t="n">
        <v>15.9361513059972</v>
      </c>
    </row>
    <row r="304" s="10" customFormat="true" ht="15" hidden="false" customHeight="false" outlineLevel="0" collapsed="false">
      <c r="A304" s="68"/>
      <c r="B304" s="16"/>
      <c r="C304" s="9" t="n">
        <v>42151</v>
      </c>
      <c r="D304" s="10" t="n">
        <v>15.6</v>
      </c>
      <c r="E304" s="10" t="n">
        <v>11.8</v>
      </c>
      <c r="F304" s="10" t="n">
        <v>19</v>
      </c>
      <c r="G304" s="10" t="n">
        <v>2300.8</v>
      </c>
      <c r="H304" s="10" t="n">
        <f aca="false">H303+D304</f>
        <v>292.1</v>
      </c>
      <c r="J304" s="10" t="n">
        <v>0</v>
      </c>
      <c r="K304" s="10" t="n">
        <v>492</v>
      </c>
      <c r="L304" s="10" t="n">
        <v>4.8</v>
      </c>
      <c r="M304" s="10" t="n">
        <v>384.6</v>
      </c>
      <c r="N304" s="11" t="n">
        <v>-4.8</v>
      </c>
      <c r="O304" s="10" t="n">
        <f aca="false">O303+N304</f>
        <v>61.8000000000001</v>
      </c>
      <c r="P304" s="10" t="n">
        <v>260</v>
      </c>
      <c r="Q304" s="10" t="n">
        <v>1.15</v>
      </c>
      <c r="R304" s="13" t="n">
        <f aca="false">Q304*L304</f>
        <v>5.52</v>
      </c>
      <c r="S304" s="13" t="n">
        <f aca="false">J304-R304</f>
        <v>-5.52</v>
      </c>
      <c r="T304" s="13" t="n">
        <f aca="false">MIN(153.6,(T303+S304))</f>
        <v>39.0261538461538</v>
      </c>
      <c r="V304" s="10" t="n">
        <v>2666.8</v>
      </c>
      <c r="W304" s="10" t="n">
        <v>170.948717948718</v>
      </c>
      <c r="X304" s="10" t="n">
        <v>192239.1</v>
      </c>
      <c r="Y304" s="10" t="n">
        <f aca="false">Y303+V304</f>
        <v>35688.2</v>
      </c>
      <c r="AA304" s="10" t="n">
        <v>15.9740974517452</v>
      </c>
    </row>
    <row r="305" s="28" customFormat="true" ht="15" hidden="false" customHeight="false" outlineLevel="0" collapsed="false">
      <c r="A305" s="68"/>
      <c r="B305" s="37" t="n">
        <v>300</v>
      </c>
      <c r="C305" s="57" t="n">
        <v>42152</v>
      </c>
      <c r="D305" s="28" t="n">
        <v>13.7</v>
      </c>
      <c r="E305" s="28" t="n">
        <v>13.3</v>
      </c>
      <c r="F305" s="28" t="n">
        <v>16.3</v>
      </c>
      <c r="G305" s="28" t="n">
        <v>2314.5</v>
      </c>
      <c r="H305" s="28" t="n">
        <f aca="false">H304+D305</f>
        <v>305.8</v>
      </c>
      <c r="J305" s="28" t="n">
        <v>0</v>
      </c>
      <c r="K305" s="28" t="n">
        <v>492</v>
      </c>
      <c r="L305" s="28" t="n">
        <v>3.6</v>
      </c>
      <c r="M305" s="28" t="n">
        <v>388.2</v>
      </c>
      <c r="N305" s="59" t="n">
        <v>-3.6</v>
      </c>
      <c r="O305" s="28" t="n">
        <f aca="false">O304+N305</f>
        <v>58.2000000000001</v>
      </c>
      <c r="P305" s="28" t="n">
        <v>261</v>
      </c>
      <c r="Q305" s="29" t="n">
        <v>1.15</v>
      </c>
      <c r="R305" s="30" t="n">
        <f aca="false">Q305*L305</f>
        <v>4.14</v>
      </c>
      <c r="S305" s="30" t="n">
        <f aca="false">J305-R305</f>
        <v>-4.14</v>
      </c>
      <c r="T305" s="31" t="n">
        <f aca="false">MIN(153.6,(T304+S305))</f>
        <v>34.8861538461538</v>
      </c>
      <c r="V305" s="28" t="n">
        <v>1607.3</v>
      </c>
      <c r="W305" s="28" t="n">
        <v>117.321167883212</v>
      </c>
      <c r="X305" s="28" t="n">
        <v>193846.4</v>
      </c>
      <c r="Y305" s="29" t="n">
        <f aca="false">Y304+V305</f>
        <v>37295.5</v>
      </c>
      <c r="AA305" s="29" t="n">
        <v>16.0109165110057</v>
      </c>
    </row>
    <row r="306" s="10" customFormat="true" ht="15" hidden="false" customHeight="false" outlineLevel="0" collapsed="false">
      <c r="A306" s="70" t="n">
        <v>600</v>
      </c>
      <c r="B306" s="16"/>
      <c r="C306" s="9" t="n">
        <v>42153</v>
      </c>
      <c r="D306" s="10" t="n">
        <v>11.2</v>
      </c>
      <c r="E306" s="10" t="n">
        <v>8.6</v>
      </c>
      <c r="F306" s="10" t="n">
        <v>14.4</v>
      </c>
      <c r="G306" s="10" t="n">
        <v>2325.7</v>
      </c>
      <c r="H306" s="10" t="n">
        <v>11.2</v>
      </c>
      <c r="I306" s="71" t="s">
        <v>27</v>
      </c>
      <c r="J306" s="10" t="n">
        <v>5.4</v>
      </c>
      <c r="K306" s="10" t="n">
        <v>497.4</v>
      </c>
      <c r="L306" s="10" t="n">
        <v>2</v>
      </c>
      <c r="M306" s="10" t="n">
        <v>390.2</v>
      </c>
      <c r="N306" s="10" t="n">
        <v>3.4</v>
      </c>
      <c r="O306" s="10" t="n">
        <f aca="false">O305+N306</f>
        <v>61.6000000000001</v>
      </c>
      <c r="P306" s="10" t="n">
        <v>262</v>
      </c>
      <c r="Q306" s="19" t="n">
        <f aca="false">1.15+((P306-261)/56)*(0.35-1.15)</f>
        <v>1.13571428571429</v>
      </c>
      <c r="R306" s="13" t="n">
        <f aca="false">Q306*L306</f>
        <v>2.27142857142857</v>
      </c>
      <c r="S306" s="13" t="n">
        <f aca="false">J306-R306</f>
        <v>3.12857142857143</v>
      </c>
      <c r="T306" s="13" t="n">
        <f aca="false">MIN(153.6,(T305+S306))</f>
        <v>38.0147252747253</v>
      </c>
      <c r="U306" s="71" t="s">
        <v>28</v>
      </c>
      <c r="V306" s="18" t="n">
        <v>876.3</v>
      </c>
      <c r="W306" s="10" t="n">
        <v>78.2410714285714</v>
      </c>
      <c r="X306" s="10" t="n">
        <v>194722.7</v>
      </c>
      <c r="Y306" s="10" t="n">
        <v>876.3</v>
      </c>
      <c r="Z306" s="71" t="s">
        <v>29</v>
      </c>
      <c r="AA306" s="10" t="n">
        <v>16.0465785008894</v>
      </c>
    </row>
    <row r="307" s="10" customFormat="true" ht="15" hidden="false" customHeight="false" outlineLevel="0" collapsed="false">
      <c r="A307" s="70"/>
      <c r="B307" s="16"/>
      <c r="C307" s="9" t="n">
        <v>42154</v>
      </c>
      <c r="D307" s="10" t="n">
        <v>12.4</v>
      </c>
      <c r="E307" s="10" t="n">
        <v>8.7</v>
      </c>
      <c r="F307" s="10" t="n">
        <v>15.3</v>
      </c>
      <c r="G307" s="10" t="n">
        <v>2338.1</v>
      </c>
      <c r="H307" s="10" t="n">
        <f aca="false">H306+D307</f>
        <v>23.6</v>
      </c>
      <c r="I307" s="10" t="n">
        <f aca="false">MIN(E306:E325)</f>
        <v>8.6</v>
      </c>
      <c r="J307" s="10" t="n">
        <v>0</v>
      </c>
      <c r="K307" s="10" t="n">
        <v>497.4</v>
      </c>
      <c r="L307" s="10" t="n">
        <v>3.3</v>
      </c>
      <c r="M307" s="10" t="n">
        <v>393.5</v>
      </c>
      <c r="N307" s="11" t="n">
        <v>-3.3</v>
      </c>
      <c r="O307" s="10" t="n">
        <f aca="false">O306+N307</f>
        <v>58.3000000000001</v>
      </c>
      <c r="P307" s="10" t="n">
        <v>263</v>
      </c>
      <c r="Q307" s="19" t="n">
        <f aca="false">1.15+((P307-261)/56)*(0.35-1.15)</f>
        <v>1.12142857142857</v>
      </c>
      <c r="R307" s="13" t="n">
        <f aca="false">Q307*L307</f>
        <v>3.70071428571429</v>
      </c>
      <c r="S307" s="13" t="n">
        <f aca="false">J307-R307</f>
        <v>-3.70071428571429</v>
      </c>
      <c r="T307" s="13" t="n">
        <f aca="false">MIN(153.6,(T306+S307))</f>
        <v>34.314010989011</v>
      </c>
      <c r="U307" s="10" t="n">
        <v>17</v>
      </c>
      <c r="V307" s="10" t="n">
        <v>1774.8</v>
      </c>
      <c r="W307" s="10" t="n">
        <v>143.129032258065</v>
      </c>
      <c r="X307" s="10" t="n">
        <v>196497.5</v>
      </c>
      <c r="Y307" s="10" t="n">
        <f aca="false">Y306+V307</f>
        <v>2651.1</v>
      </c>
      <c r="Z307" s="10" t="n">
        <v>40592.6</v>
      </c>
      <c r="AA307" s="10" t="n">
        <v>16.081053698558</v>
      </c>
    </row>
    <row r="308" s="10" customFormat="true" ht="15" hidden="false" customHeight="false" outlineLevel="0" collapsed="false">
      <c r="A308" s="70"/>
      <c r="B308" s="16"/>
      <c r="C308" s="9" t="n">
        <v>42155</v>
      </c>
      <c r="D308" s="10" t="n">
        <v>13</v>
      </c>
      <c r="E308" s="10" t="n">
        <v>8.8</v>
      </c>
      <c r="F308" s="10" t="n">
        <v>15.3</v>
      </c>
      <c r="G308" s="10" t="n">
        <v>2351.1</v>
      </c>
      <c r="H308" s="10" t="n">
        <f aca="false">H307+D308</f>
        <v>36.6</v>
      </c>
      <c r="I308" s="71" t="s">
        <v>30</v>
      </c>
      <c r="J308" s="10" t="n">
        <v>7</v>
      </c>
      <c r="K308" s="10" t="n">
        <v>504.4</v>
      </c>
      <c r="L308" s="10" t="n">
        <v>1.2</v>
      </c>
      <c r="M308" s="10" t="n">
        <v>394.7</v>
      </c>
      <c r="N308" s="10" t="n">
        <v>5.8</v>
      </c>
      <c r="O308" s="10" t="n">
        <f aca="false">O307+N308</f>
        <v>64.1000000000001</v>
      </c>
      <c r="P308" s="10" t="n">
        <v>264</v>
      </c>
      <c r="Q308" s="19" t="n">
        <f aca="false">1.15+((P308-261)/56)*(0.35-1.15)</f>
        <v>1.10714285714286</v>
      </c>
      <c r="R308" s="13" t="n">
        <f aca="false">Q308*L308</f>
        <v>1.32857142857143</v>
      </c>
      <c r="S308" s="13" t="n">
        <f aca="false">J308-R308</f>
        <v>5.67142857142857</v>
      </c>
      <c r="T308" s="13" t="n">
        <f aca="false">MIN(153.6,(T307+S308))</f>
        <v>39.9854395604395</v>
      </c>
      <c r="U308" s="71" t="s">
        <v>31</v>
      </c>
      <c r="V308" s="18" t="n">
        <v>763.1</v>
      </c>
      <c r="W308" s="10" t="n">
        <v>58.7</v>
      </c>
      <c r="X308" s="10" t="n">
        <v>197260.6</v>
      </c>
      <c r="Y308" s="10" t="n">
        <f aca="false">Y307+V308</f>
        <v>3414.2</v>
      </c>
      <c r="Z308" s="71" t="s">
        <v>32</v>
      </c>
      <c r="AA308" s="10" t="n">
        <v>16.1143127200993</v>
      </c>
    </row>
    <row r="309" s="10" customFormat="true" ht="15" hidden="false" customHeight="false" outlineLevel="0" collapsed="false">
      <c r="A309" s="70"/>
      <c r="B309" s="16"/>
      <c r="C309" s="9" t="n">
        <v>42156</v>
      </c>
      <c r="D309" s="10" t="n">
        <v>12.7</v>
      </c>
      <c r="E309" s="10" t="n">
        <v>9.1</v>
      </c>
      <c r="F309" s="10" t="n">
        <v>15.3</v>
      </c>
      <c r="G309" s="10" t="n">
        <v>2363.8</v>
      </c>
      <c r="H309" s="10" t="n">
        <f aca="false">H308+D309</f>
        <v>49.3</v>
      </c>
      <c r="I309" s="10" t="n">
        <f aca="false">MAX(F306:F325)</f>
        <v>31.1</v>
      </c>
      <c r="J309" s="10" t="n">
        <v>2.4</v>
      </c>
      <c r="K309" s="10" t="n">
        <v>506.8</v>
      </c>
      <c r="L309" s="10" t="n">
        <v>2.5</v>
      </c>
      <c r="M309" s="10" t="n">
        <v>397.2</v>
      </c>
      <c r="N309" s="11" t="n">
        <v>-0.1</v>
      </c>
      <c r="O309" s="10" t="n">
        <f aca="false">O308+N309</f>
        <v>64.0000000000001</v>
      </c>
      <c r="P309" s="10" t="n">
        <v>265</v>
      </c>
      <c r="Q309" s="19" t="n">
        <f aca="false">1.15+((P309-261)/56)*(0.35-1.15)</f>
        <v>1.09285714285714</v>
      </c>
      <c r="R309" s="13" t="n">
        <f aca="false">Q309*L309</f>
        <v>2.73214285714286</v>
      </c>
      <c r="S309" s="13" t="n">
        <f aca="false">J309-R309</f>
        <v>-0.332142857142857</v>
      </c>
      <c r="T309" s="13" t="n">
        <f aca="false">MIN(153.6,(T308+S309))</f>
        <v>39.6532967032967</v>
      </c>
      <c r="U309" s="10" t="n">
        <v>6</v>
      </c>
      <c r="V309" s="10" t="n">
        <v>1111.3</v>
      </c>
      <c r="W309" s="10" t="n">
        <v>87.503937007874</v>
      </c>
      <c r="X309" s="10" t="n">
        <v>198371.9</v>
      </c>
      <c r="Y309" s="10" t="n">
        <f aca="false">Y308+V309</f>
        <v>4525.5</v>
      </c>
      <c r="Z309" s="19" t="n">
        <f aca="false">(Z307/100)/I319</f>
        <v>1.28092773745661</v>
      </c>
      <c r="AA309" s="10" t="n">
        <v>16.146326601747</v>
      </c>
    </row>
    <row r="310" s="10" customFormat="true" ht="15" hidden="false" customHeight="false" outlineLevel="0" collapsed="false">
      <c r="A310" s="70"/>
      <c r="B310" s="16"/>
      <c r="C310" s="9" t="n">
        <v>42157</v>
      </c>
      <c r="D310" s="10" t="n">
        <v>15.2</v>
      </c>
      <c r="E310" s="10" t="n">
        <v>12.2</v>
      </c>
      <c r="F310" s="10" t="n">
        <v>18.7</v>
      </c>
      <c r="G310" s="10" t="n">
        <v>2379</v>
      </c>
      <c r="H310" s="10" t="n">
        <f aca="false">H309+D310</f>
        <v>64.5</v>
      </c>
      <c r="I310" s="71" t="s">
        <v>33</v>
      </c>
      <c r="J310" s="10" t="n">
        <v>0.6</v>
      </c>
      <c r="K310" s="10" t="n">
        <v>507.4</v>
      </c>
      <c r="L310" s="10" t="n">
        <v>2.1</v>
      </c>
      <c r="M310" s="10" t="n">
        <v>399.3</v>
      </c>
      <c r="N310" s="11" t="n">
        <v>-1.5</v>
      </c>
      <c r="O310" s="10" t="n">
        <f aca="false">O309+N310</f>
        <v>62.5000000000001</v>
      </c>
      <c r="P310" s="10" t="n">
        <v>266</v>
      </c>
      <c r="Q310" s="19" t="n">
        <f aca="false">1.15+((P310-261)/56)*(0.35-1.15)</f>
        <v>1.07857142857143</v>
      </c>
      <c r="R310" s="13" t="n">
        <f aca="false">Q310*L310</f>
        <v>2.265</v>
      </c>
      <c r="S310" s="13" t="n">
        <f aca="false">J310-R310</f>
        <v>-1.665</v>
      </c>
      <c r="T310" s="13" t="n">
        <f aca="false">MIN(153.6,(T309+S310))</f>
        <v>37.9882967032967</v>
      </c>
      <c r="U310" s="71" t="s">
        <v>34</v>
      </c>
      <c r="V310" s="18" t="n">
        <v>562.2</v>
      </c>
      <c r="W310" s="10" t="n">
        <v>36.9868421052632</v>
      </c>
      <c r="X310" s="10" t="n">
        <v>198934.1</v>
      </c>
      <c r="Y310" s="10" t="n">
        <f aca="false">Y309+V310</f>
        <v>5087.7</v>
      </c>
      <c r="Z310" s="71" t="s">
        <v>35</v>
      </c>
      <c r="AA310" s="10" t="n">
        <v>16.1770668831014</v>
      </c>
    </row>
    <row r="311" s="10" customFormat="true" ht="15" hidden="false" customHeight="false" outlineLevel="0" collapsed="false">
      <c r="A311" s="70"/>
      <c r="B311" s="16"/>
      <c r="C311" s="9" t="n">
        <v>42158</v>
      </c>
      <c r="D311" s="10" t="n">
        <v>14.7</v>
      </c>
      <c r="E311" s="10" t="n">
        <v>13.6</v>
      </c>
      <c r="F311" s="10" t="n">
        <v>17.7</v>
      </c>
      <c r="G311" s="10" t="n">
        <v>2393.7</v>
      </c>
      <c r="H311" s="10" t="n">
        <f aca="false">H310+D311</f>
        <v>79.2</v>
      </c>
      <c r="I311" s="13" t="n">
        <f aca="false">AVERAGE(D306:D325)</f>
        <v>15.845</v>
      </c>
      <c r="J311" s="10" t="n">
        <v>0</v>
      </c>
      <c r="K311" s="10" t="n">
        <v>507.4</v>
      </c>
      <c r="L311" s="10" t="n">
        <v>4.2</v>
      </c>
      <c r="M311" s="10" t="n">
        <v>403.5</v>
      </c>
      <c r="N311" s="11" t="n">
        <v>-4.2</v>
      </c>
      <c r="O311" s="10" t="n">
        <f aca="false">O310+N311</f>
        <v>58.3000000000001</v>
      </c>
      <c r="P311" s="10" t="n">
        <v>267</v>
      </c>
      <c r="Q311" s="19" t="n">
        <f aca="false">1.15+((P311-261)/56)*(0.35-1.15)</f>
        <v>1.06428571428571</v>
      </c>
      <c r="R311" s="13" t="n">
        <f aca="false">Q311*L311</f>
        <v>4.47</v>
      </c>
      <c r="S311" s="13" t="n">
        <f aca="false">J311-R311</f>
        <v>-4.47</v>
      </c>
      <c r="T311" s="13" t="n">
        <f aca="false">MIN(153.6,(T310+S311))</f>
        <v>33.5182967032967</v>
      </c>
      <c r="U311" s="10" t="n">
        <v>13</v>
      </c>
      <c r="V311" s="10" t="n">
        <v>1828.2</v>
      </c>
      <c r="W311" s="10" t="n">
        <v>124.367346938776</v>
      </c>
      <c r="X311" s="10" t="n">
        <v>200762.3</v>
      </c>
      <c r="Y311" s="10" t="n">
        <f aca="false">Y310+V311</f>
        <v>6915.9</v>
      </c>
      <c r="Z311" s="10" t="n">
        <v>3</v>
      </c>
      <c r="AA311" s="10" t="n">
        <v>16.2065056919656</v>
      </c>
    </row>
    <row r="312" s="10" customFormat="true" ht="15" hidden="false" customHeight="false" outlineLevel="0" collapsed="false">
      <c r="A312" s="70"/>
      <c r="B312" s="16"/>
      <c r="C312" s="9" t="n">
        <v>42159</v>
      </c>
      <c r="D312" s="10" t="n">
        <v>17.6</v>
      </c>
      <c r="E312" s="10" t="n">
        <v>8.6</v>
      </c>
      <c r="F312" s="10" t="n">
        <v>24.2</v>
      </c>
      <c r="G312" s="10" t="n">
        <v>2411.3</v>
      </c>
      <c r="H312" s="10" t="n">
        <f aca="false">H311+D312</f>
        <v>96.8</v>
      </c>
      <c r="I312" s="71" t="s">
        <v>36</v>
      </c>
      <c r="J312" s="10" t="n">
        <v>0</v>
      </c>
      <c r="K312" s="10" t="n">
        <v>507.4</v>
      </c>
      <c r="L312" s="10" t="n">
        <v>5.3</v>
      </c>
      <c r="M312" s="10" t="n">
        <v>408.8</v>
      </c>
      <c r="N312" s="11" t="n">
        <v>-5.3</v>
      </c>
      <c r="O312" s="10" t="n">
        <f aca="false">O311+N312</f>
        <v>53.0000000000001</v>
      </c>
      <c r="P312" s="10" t="n">
        <v>268</v>
      </c>
      <c r="Q312" s="19" t="n">
        <f aca="false">1.15+((P312-261)/56)*(0.35-1.15)</f>
        <v>1.05</v>
      </c>
      <c r="R312" s="13" t="n">
        <f aca="false">Q312*L312</f>
        <v>5.565</v>
      </c>
      <c r="S312" s="13" t="n">
        <f aca="false">J312-R312</f>
        <v>-5.565</v>
      </c>
      <c r="T312" s="13" t="n">
        <f aca="false">MIN(153.6,(T311+S312))</f>
        <v>27.9532967032967</v>
      </c>
      <c r="U312" s="71" t="s">
        <v>37</v>
      </c>
      <c r="V312" s="10" t="n">
        <v>2940.3</v>
      </c>
      <c r="W312" s="10" t="n">
        <v>167.0625</v>
      </c>
      <c r="X312" s="10" t="n">
        <v>203702.6</v>
      </c>
      <c r="Y312" s="10" t="n">
        <f aca="false">Y311+V312</f>
        <v>9856.2</v>
      </c>
      <c r="AA312" s="10" t="n">
        <v>16.2346158303758</v>
      </c>
    </row>
    <row r="313" s="10" customFormat="true" ht="15" hidden="false" customHeight="false" outlineLevel="0" collapsed="false">
      <c r="A313" s="70"/>
      <c r="B313" s="16"/>
      <c r="C313" s="9" t="n">
        <v>42160</v>
      </c>
      <c r="D313" s="10" t="n">
        <v>21.6</v>
      </c>
      <c r="E313" s="10" t="n">
        <v>16.6</v>
      </c>
      <c r="F313" s="20" t="n">
        <v>31.1</v>
      </c>
      <c r="G313" s="10" t="n">
        <v>2432.9</v>
      </c>
      <c r="H313" s="10" t="n">
        <f aca="false">H312+D313</f>
        <v>118.4</v>
      </c>
      <c r="I313" s="10" t="n">
        <v>0</v>
      </c>
      <c r="J313" s="10" t="n">
        <v>6.7</v>
      </c>
      <c r="K313" s="10" t="n">
        <v>514.1</v>
      </c>
      <c r="L313" s="10" t="n">
        <v>7</v>
      </c>
      <c r="M313" s="10" t="n">
        <v>415.8</v>
      </c>
      <c r="N313" s="11" t="n">
        <v>-0.3</v>
      </c>
      <c r="O313" s="10" t="n">
        <f aca="false">O312+N313</f>
        <v>52.7000000000001</v>
      </c>
      <c r="P313" s="10" t="n">
        <v>269</v>
      </c>
      <c r="Q313" s="19" t="n">
        <f aca="false">1.15+((P313-261)/56)*(0.35-1.15)</f>
        <v>1.03571428571429</v>
      </c>
      <c r="R313" s="13" t="n">
        <f aca="false">Q313*L313</f>
        <v>7.25</v>
      </c>
      <c r="S313" s="13" t="n">
        <f aca="false">J313-R313</f>
        <v>-0.549999999999999</v>
      </c>
      <c r="T313" s="13" t="n">
        <f aca="false">MIN(153.6,(T312+S313))</f>
        <v>27.4032967032967</v>
      </c>
      <c r="U313" s="13" t="n">
        <v>0</v>
      </c>
      <c r="V313" s="10" t="n">
        <v>2894.1</v>
      </c>
      <c r="W313" s="10" t="n">
        <v>133.986111111111</v>
      </c>
      <c r="X313" s="10" t="n">
        <v>206596.7</v>
      </c>
      <c r="Y313" s="10" t="n">
        <f aca="false">Y312+V313</f>
        <v>12750.3</v>
      </c>
      <c r="AA313" s="10" t="n">
        <v>16.2613708613668</v>
      </c>
    </row>
    <row r="314" s="10" customFormat="true" ht="15" hidden="false" customHeight="false" outlineLevel="0" collapsed="false">
      <c r="A314" s="70"/>
      <c r="B314" s="16"/>
      <c r="C314" s="9" t="n">
        <v>42161</v>
      </c>
      <c r="D314" s="10" t="n">
        <v>15.1</v>
      </c>
      <c r="E314" s="10" t="n">
        <v>12.4</v>
      </c>
      <c r="F314" s="10" t="n">
        <v>18.6</v>
      </c>
      <c r="G314" s="10" t="n">
        <v>2448</v>
      </c>
      <c r="H314" s="10" t="n">
        <f aca="false">H313+D314</f>
        <v>133.5</v>
      </c>
      <c r="I314" s="71" t="s">
        <v>38</v>
      </c>
      <c r="J314" s="10" t="n">
        <v>0</v>
      </c>
      <c r="K314" s="10" t="n">
        <v>514.1</v>
      </c>
      <c r="L314" s="10" t="n">
        <v>6</v>
      </c>
      <c r="M314" s="10" t="n">
        <v>421.8</v>
      </c>
      <c r="N314" s="11" t="n">
        <v>-6</v>
      </c>
      <c r="O314" s="10" t="n">
        <f aca="false">O313+N314</f>
        <v>46.7000000000001</v>
      </c>
      <c r="P314" s="10" t="n">
        <v>270</v>
      </c>
      <c r="Q314" s="19" t="n">
        <f aca="false">1.15+((P314-261)/56)*(0.35-1.15)</f>
        <v>1.02142857142857</v>
      </c>
      <c r="R314" s="13" t="n">
        <f aca="false">Q314*L314</f>
        <v>6.12857142857143</v>
      </c>
      <c r="S314" s="13" t="n">
        <f aca="false">J314-R314</f>
        <v>-6.12857142857143</v>
      </c>
      <c r="T314" s="13" t="n">
        <f aca="false">MIN(153.6,(T313+S314))</f>
        <v>21.2747252747253</v>
      </c>
      <c r="U314" s="71" t="s">
        <v>39</v>
      </c>
      <c r="V314" s="10" t="n">
        <v>3263.2</v>
      </c>
      <c r="W314" s="10" t="n">
        <v>216.105960264901</v>
      </c>
      <c r="X314" s="10" t="n">
        <v>209859.9</v>
      </c>
      <c r="Y314" s="10" t="n">
        <f aca="false">Y313+V314</f>
        <v>16013.5</v>
      </c>
      <c r="AA314" s="10" t="n">
        <v>16.2867451959825</v>
      </c>
    </row>
    <row r="315" s="10" customFormat="true" ht="15" hidden="false" customHeight="false" outlineLevel="0" collapsed="false">
      <c r="A315" s="70"/>
      <c r="B315" s="16"/>
      <c r="C315" s="9" t="n">
        <v>42162</v>
      </c>
      <c r="D315" s="10" t="n">
        <v>15.2</v>
      </c>
      <c r="E315" s="10" t="n">
        <v>9.6</v>
      </c>
      <c r="F315" s="10" t="n">
        <v>20</v>
      </c>
      <c r="G315" s="10" t="n">
        <v>2463.2</v>
      </c>
      <c r="H315" s="10" t="n">
        <f aca="false">H314+D315</f>
        <v>148.7</v>
      </c>
      <c r="I315" s="10" t="n">
        <v>3</v>
      </c>
      <c r="J315" s="10" t="n">
        <v>0</v>
      </c>
      <c r="K315" s="10" t="n">
        <v>514.1</v>
      </c>
      <c r="L315" s="10" t="n">
        <v>3.7</v>
      </c>
      <c r="M315" s="10" t="n">
        <v>425.5</v>
      </c>
      <c r="N315" s="11" t="n">
        <v>-3.7</v>
      </c>
      <c r="O315" s="10" t="n">
        <f aca="false">O314+N315</f>
        <v>43.0000000000001</v>
      </c>
      <c r="P315" s="10" t="n">
        <v>271</v>
      </c>
      <c r="Q315" s="19" t="n">
        <f aca="false">1.15+((P315-261)/56)*(0.35-1.15)</f>
        <v>1.00714285714286</v>
      </c>
      <c r="R315" s="13" t="n">
        <f aca="false">Q315*L315</f>
        <v>3.72642857142857</v>
      </c>
      <c r="S315" s="13" t="n">
        <f aca="false">J315-R315</f>
        <v>-3.72642857142857</v>
      </c>
      <c r="T315" s="13" t="n">
        <f aca="false">MIN(153.6,(T314+S315))</f>
        <v>17.5482967032967</v>
      </c>
      <c r="U315" s="13" t="n">
        <f aca="false">MAX(T306:T325)</f>
        <v>39.9854395604395</v>
      </c>
      <c r="V315" s="10" t="n">
        <v>1987.6</v>
      </c>
      <c r="W315" s="10" t="n">
        <v>130.763157894737</v>
      </c>
      <c r="X315" s="10" t="n">
        <v>211847.5</v>
      </c>
      <c r="Y315" s="10" t="n">
        <f aca="false">Y314+V315</f>
        <v>18001.1</v>
      </c>
      <c r="AA315" s="10" t="n">
        <v>16.3107141800076</v>
      </c>
    </row>
    <row r="316" s="10" customFormat="true" ht="15" hidden="false" customHeight="false" outlineLevel="0" collapsed="false">
      <c r="A316" s="70"/>
      <c r="B316" s="16"/>
      <c r="C316" s="9" t="n">
        <v>42163</v>
      </c>
      <c r="D316" s="10" t="n">
        <v>13.7</v>
      </c>
      <c r="E316" s="10" t="n">
        <v>10.2</v>
      </c>
      <c r="F316" s="10" t="n">
        <v>17.4</v>
      </c>
      <c r="G316" s="10" t="n">
        <v>2476.9</v>
      </c>
      <c r="H316" s="10" t="n">
        <f aca="false">H315+D316</f>
        <v>162.4</v>
      </c>
      <c r="I316" s="71" t="s">
        <v>40</v>
      </c>
      <c r="J316" s="10" t="n">
        <v>0</v>
      </c>
      <c r="K316" s="10" t="n">
        <v>514.1</v>
      </c>
      <c r="L316" s="10" t="n">
        <v>4.3</v>
      </c>
      <c r="M316" s="10" t="n">
        <v>429.8</v>
      </c>
      <c r="N316" s="11" t="n">
        <v>-4.3</v>
      </c>
      <c r="O316" s="10" t="n">
        <f aca="false">O315+N316</f>
        <v>38.7000000000001</v>
      </c>
      <c r="P316" s="10" t="n">
        <v>272</v>
      </c>
      <c r="Q316" s="19" t="n">
        <f aca="false">1.15+((P316-261)/56)*(0.35-1.15)</f>
        <v>0.992857142857143</v>
      </c>
      <c r="R316" s="13" t="n">
        <f aca="false">Q316*L316</f>
        <v>4.26928571428571</v>
      </c>
      <c r="S316" s="13" t="n">
        <f aca="false">J316-R316</f>
        <v>-4.26928571428571</v>
      </c>
      <c r="T316" s="13" t="n">
        <f aca="false">MIN(153.6,(T315+S316))</f>
        <v>13.279010989011</v>
      </c>
      <c r="U316" s="71" t="s">
        <v>41</v>
      </c>
      <c r="V316" s="10" t="n">
        <v>2161.7</v>
      </c>
      <c r="W316" s="10" t="n">
        <v>157.788321167883</v>
      </c>
      <c r="X316" s="10" t="n">
        <v>214009.2</v>
      </c>
      <c r="Y316" s="10" t="n">
        <f aca="false">Y315+V316</f>
        <v>20162.8</v>
      </c>
      <c r="AA316" s="10" t="n">
        <v>16.3332541798759</v>
      </c>
    </row>
    <row r="317" s="10" customFormat="true" ht="15" hidden="false" customHeight="false" outlineLevel="0" collapsed="false">
      <c r="A317" s="70"/>
      <c r="B317" s="16"/>
      <c r="C317" s="9" t="n">
        <v>42164</v>
      </c>
      <c r="D317" s="10" t="n">
        <v>13</v>
      </c>
      <c r="E317" s="10" t="n">
        <v>10.4</v>
      </c>
      <c r="F317" s="10" t="n">
        <v>15.7</v>
      </c>
      <c r="G317" s="10" t="n">
        <v>2489.9</v>
      </c>
      <c r="H317" s="10" t="n">
        <f aca="false">H316+D317</f>
        <v>175.4</v>
      </c>
      <c r="I317" s="10" t="n">
        <v>0</v>
      </c>
      <c r="J317" s="10" t="n">
        <v>0</v>
      </c>
      <c r="K317" s="10" t="n">
        <v>514.1</v>
      </c>
      <c r="L317" s="10" t="n">
        <v>5.1</v>
      </c>
      <c r="M317" s="10" t="n">
        <v>434.9</v>
      </c>
      <c r="N317" s="11" t="n">
        <v>-5.1</v>
      </c>
      <c r="O317" s="10" t="n">
        <f aca="false">O316+N317</f>
        <v>33.6000000000001</v>
      </c>
      <c r="P317" s="10" t="n">
        <v>273</v>
      </c>
      <c r="Q317" s="19" t="n">
        <f aca="false">1.15+((P317-261)/56)*(0.35-1.15)</f>
        <v>0.978571428571429</v>
      </c>
      <c r="R317" s="13" t="n">
        <f aca="false">Q317*L317</f>
        <v>4.99071428571429</v>
      </c>
      <c r="S317" s="13" t="n">
        <f aca="false">J317-R317</f>
        <v>-4.99071428571429</v>
      </c>
      <c r="T317" s="13" t="n">
        <f aca="false">MIN(153.6,(T316+S317))</f>
        <v>8.2882967032967</v>
      </c>
      <c r="U317" s="19" t="n">
        <f aca="false">AVERAGE(T306:T325)</f>
        <v>17.1368571428571</v>
      </c>
      <c r="V317" s="10" t="n">
        <v>3063.6</v>
      </c>
      <c r="W317" s="10" t="n">
        <v>235.661538461538</v>
      </c>
      <c r="X317" s="10" t="n">
        <v>217072.8</v>
      </c>
      <c r="Y317" s="10" t="n">
        <f aca="false">Y316+V317</f>
        <v>23226.4</v>
      </c>
      <c r="AA317" s="10" t="n">
        <v>16.3543426671852</v>
      </c>
    </row>
    <row r="318" s="10" customFormat="true" ht="15" hidden="false" customHeight="false" outlineLevel="0" collapsed="false">
      <c r="A318" s="70"/>
      <c r="B318" s="16"/>
      <c r="C318" s="9" t="n">
        <v>42165</v>
      </c>
      <c r="D318" s="10" t="n">
        <v>16.5</v>
      </c>
      <c r="E318" s="10" t="n">
        <v>10.2</v>
      </c>
      <c r="F318" s="10" t="n">
        <v>21.3</v>
      </c>
      <c r="G318" s="10" t="n">
        <v>2506.4</v>
      </c>
      <c r="H318" s="10" t="n">
        <f aca="false">H317+D318</f>
        <v>191.9</v>
      </c>
      <c r="I318" s="71" t="s">
        <v>42</v>
      </c>
      <c r="J318" s="10" t="n">
        <v>0</v>
      </c>
      <c r="K318" s="10" t="n">
        <v>514.1</v>
      </c>
      <c r="L318" s="10" t="n">
        <v>5.8</v>
      </c>
      <c r="M318" s="10" t="n">
        <v>440.7</v>
      </c>
      <c r="N318" s="11" t="n">
        <v>-5.8</v>
      </c>
      <c r="O318" s="10" t="n">
        <f aca="false">O317+N318</f>
        <v>27.8000000000001</v>
      </c>
      <c r="P318" s="10" t="n">
        <v>274</v>
      </c>
      <c r="Q318" s="19" t="n">
        <f aca="false">1.15+((P318-261)/56)*(0.35-1.15)</f>
        <v>0.964285714285714</v>
      </c>
      <c r="R318" s="13" t="n">
        <f aca="false">Q318*L318</f>
        <v>5.59285714285714</v>
      </c>
      <c r="S318" s="13" t="n">
        <f aca="false">J318-R318</f>
        <v>-5.59285714285714</v>
      </c>
      <c r="T318" s="13" t="n">
        <f aca="false">MIN(153.6,(T317+S318))</f>
        <v>2.69543956043956</v>
      </c>
      <c r="V318" s="10" t="n">
        <v>3055.7</v>
      </c>
      <c r="W318" s="10" t="n">
        <v>185.193939393939</v>
      </c>
      <c r="X318" s="10" t="n">
        <v>220128.5</v>
      </c>
      <c r="Y318" s="10" t="n">
        <f aca="false">Y317+V318</f>
        <v>26282.1</v>
      </c>
      <c r="AA318" s="10" t="n">
        <v>16.373958301237</v>
      </c>
    </row>
    <row r="319" s="50" customFormat="true" ht="15" hidden="false" customHeight="false" outlineLevel="0" collapsed="false">
      <c r="A319" s="70"/>
      <c r="B319" s="48"/>
      <c r="C319" s="49" t="n">
        <v>42166</v>
      </c>
      <c r="D319" s="50" t="n">
        <v>20.5</v>
      </c>
      <c r="E319" s="50" t="n">
        <v>14.9</v>
      </c>
      <c r="F319" s="72" t="n">
        <v>25.2</v>
      </c>
      <c r="G319" s="50" t="n">
        <v>2526.9</v>
      </c>
      <c r="H319" s="50" t="n">
        <f aca="false">H318+D319</f>
        <v>212.4</v>
      </c>
      <c r="I319" s="50" t="n">
        <v>316.9</v>
      </c>
      <c r="J319" s="50" t="n">
        <v>0</v>
      </c>
      <c r="K319" s="50" t="n">
        <v>514.1</v>
      </c>
      <c r="L319" s="50" t="n">
        <v>7.2</v>
      </c>
      <c r="M319" s="50" t="n">
        <v>447.9</v>
      </c>
      <c r="N319" s="53" t="n">
        <v>-7.2</v>
      </c>
      <c r="O319" s="50" t="n">
        <f aca="false">O318+N319</f>
        <v>20.6000000000001</v>
      </c>
      <c r="P319" s="50" t="n">
        <v>275</v>
      </c>
      <c r="Q319" s="19" t="n">
        <f aca="false">1.15+((P319-261)/56)*(0.35-1.15)</f>
        <v>0.95</v>
      </c>
      <c r="R319" s="54" t="n">
        <f aca="false">Q319*L319</f>
        <v>6.84</v>
      </c>
      <c r="S319" s="54" t="n">
        <f aca="false">J319-R319</f>
        <v>-6.84</v>
      </c>
      <c r="T319" s="13" t="n">
        <v>0</v>
      </c>
      <c r="U319" s="13" t="n">
        <f aca="false">(U317*100)/153.6</f>
        <v>11.1568080357143</v>
      </c>
      <c r="V319" s="50" t="n">
        <v>3241.4</v>
      </c>
      <c r="W319" s="50" t="n">
        <v>158.117073170732</v>
      </c>
      <c r="X319" s="50" t="n">
        <v>223369.9</v>
      </c>
      <c r="Y319" s="10" t="n">
        <f aca="false">Y318+V319</f>
        <v>29523.5</v>
      </c>
      <c r="AA319" s="10" t="n">
        <v>16.3920810090065</v>
      </c>
    </row>
    <row r="320" s="10" customFormat="true" ht="15" hidden="false" customHeight="true" outlineLevel="0" collapsed="false">
      <c r="A320" s="70"/>
      <c r="B320" s="16"/>
      <c r="C320" s="9" t="n">
        <v>42167</v>
      </c>
      <c r="D320" s="10" t="n">
        <v>21.9</v>
      </c>
      <c r="E320" s="10" t="n">
        <v>18.4</v>
      </c>
      <c r="F320" s="20" t="n">
        <v>27.2</v>
      </c>
      <c r="G320" s="10" t="n">
        <v>2548.8</v>
      </c>
      <c r="H320" s="10" t="n">
        <f aca="false">H319+D320</f>
        <v>234.3</v>
      </c>
      <c r="J320" s="10" t="n">
        <v>0.6</v>
      </c>
      <c r="K320" s="10" t="n">
        <v>514.7</v>
      </c>
      <c r="L320" s="10" t="n">
        <v>4.7</v>
      </c>
      <c r="M320" s="10" t="n">
        <v>452.6</v>
      </c>
      <c r="N320" s="11" t="n">
        <v>-4.1</v>
      </c>
      <c r="O320" s="10" t="n">
        <f aca="false">O319+N320</f>
        <v>16.5000000000001</v>
      </c>
      <c r="P320" s="10" t="n">
        <v>276</v>
      </c>
      <c r="Q320" s="19" t="n">
        <f aca="false">1.15+((P320-261)/56)*(0.35-1.15)</f>
        <v>0.935714285714286</v>
      </c>
      <c r="R320" s="13" t="n">
        <f aca="false">Q320*L320</f>
        <v>4.39785714285714</v>
      </c>
      <c r="S320" s="13" t="n">
        <f aca="false">J320-R320</f>
        <v>-3.79785714285714</v>
      </c>
      <c r="T320" s="13" t="n">
        <v>0</v>
      </c>
      <c r="U320" s="56"/>
      <c r="V320" s="10" t="n">
        <v>1835.6</v>
      </c>
      <c r="W320" s="10" t="n">
        <v>83.8173515981735</v>
      </c>
      <c r="X320" s="10" t="n">
        <v>225205.5</v>
      </c>
      <c r="Y320" s="10" t="n">
        <f aca="false">Y319+V320</f>
        <v>31359.1</v>
      </c>
      <c r="AA320" s="10" t="n">
        <v>16.4086920619501</v>
      </c>
    </row>
    <row r="321" s="10" customFormat="true" ht="15" hidden="false" customHeight="false" outlineLevel="0" collapsed="false">
      <c r="A321" s="70"/>
      <c r="B321" s="16"/>
      <c r="C321" s="9" t="n">
        <v>42168</v>
      </c>
      <c r="D321" s="10" t="n">
        <v>17.1</v>
      </c>
      <c r="E321" s="10" t="n">
        <v>14.8</v>
      </c>
      <c r="F321" s="10" t="n">
        <v>20.4</v>
      </c>
      <c r="G321" s="10" t="n">
        <v>2565.9</v>
      </c>
      <c r="H321" s="10" t="n">
        <f aca="false">H320+D321</f>
        <v>251.4</v>
      </c>
      <c r="J321" s="10" t="n">
        <v>0</v>
      </c>
      <c r="K321" s="10" t="n">
        <v>514.7</v>
      </c>
      <c r="L321" s="10" t="n">
        <v>3.9</v>
      </c>
      <c r="M321" s="10" t="n">
        <v>456.5</v>
      </c>
      <c r="N321" s="11" t="n">
        <v>-3.9</v>
      </c>
      <c r="O321" s="10" t="n">
        <f aca="false">O320+N321</f>
        <v>12.6000000000001</v>
      </c>
      <c r="P321" s="10" t="n">
        <v>277</v>
      </c>
      <c r="Q321" s="19" t="n">
        <f aca="false">1.15+((P321-261)/56)*(0.35-1.15)</f>
        <v>0.921428571428571</v>
      </c>
      <c r="R321" s="13" t="n">
        <f aca="false">Q321*L321</f>
        <v>3.59357142857143</v>
      </c>
      <c r="S321" s="13" t="n">
        <f aca="false">J321-R321</f>
        <v>-3.59357142857143</v>
      </c>
      <c r="T321" s="13" t="n">
        <v>0</v>
      </c>
      <c r="V321" s="10" t="n">
        <v>1690.5</v>
      </c>
      <c r="W321" s="10" t="n">
        <v>98.859649122807</v>
      </c>
      <c r="X321" s="10" t="n">
        <v>226896</v>
      </c>
      <c r="Y321" s="10" t="n">
        <f aca="false">Y320+V321</f>
        <v>33049.6</v>
      </c>
      <c r="AA321" s="10" t="n">
        <v>16.4237741490577</v>
      </c>
    </row>
    <row r="322" s="10" customFormat="true" ht="15" hidden="false" customHeight="false" outlineLevel="0" collapsed="false">
      <c r="A322" s="70"/>
      <c r="B322" s="16"/>
      <c r="C322" s="9" t="n">
        <v>42169</v>
      </c>
      <c r="D322" s="10" t="n">
        <v>17.1</v>
      </c>
      <c r="E322" s="10" t="n">
        <v>11.8</v>
      </c>
      <c r="F322" s="10" t="n">
        <v>21.3</v>
      </c>
      <c r="G322" s="10" t="n">
        <v>2583</v>
      </c>
      <c r="H322" s="10" t="n">
        <f aca="false">H321+D322</f>
        <v>268.5</v>
      </c>
      <c r="J322" s="10" t="n">
        <v>0</v>
      </c>
      <c r="K322" s="10" t="n">
        <v>514.7</v>
      </c>
      <c r="L322" s="10" t="n">
        <v>4.3</v>
      </c>
      <c r="M322" s="10" t="n">
        <v>460.8</v>
      </c>
      <c r="N322" s="11" t="n">
        <v>-4.3</v>
      </c>
      <c r="O322" s="10" t="n">
        <f aca="false">O321+N322</f>
        <v>8.30000000000006</v>
      </c>
      <c r="P322" s="10" t="n">
        <v>278</v>
      </c>
      <c r="Q322" s="19" t="n">
        <f aca="false">1.15+((P322-261)/56)*(0.35-1.15)</f>
        <v>0.907142857142857</v>
      </c>
      <c r="R322" s="13" t="n">
        <f aca="false">Q322*L322</f>
        <v>3.90071428571429</v>
      </c>
      <c r="S322" s="13" t="n">
        <f aca="false">J322-R322</f>
        <v>-3.90071428571429</v>
      </c>
      <c r="T322" s="13" t="n">
        <v>0</v>
      </c>
      <c r="V322" s="10" t="n">
        <v>2440.5</v>
      </c>
      <c r="W322" s="10" t="n">
        <v>142.719298245614</v>
      </c>
      <c r="X322" s="10" t="n">
        <v>229336.5</v>
      </c>
      <c r="Y322" s="10" t="n">
        <f aca="false">Y321+V322</f>
        <v>35490.1</v>
      </c>
      <c r="AA322" s="10" t="n">
        <v>16.4373114455725</v>
      </c>
    </row>
    <row r="323" s="10" customFormat="true" ht="15" hidden="false" customHeight="false" outlineLevel="0" collapsed="false">
      <c r="A323" s="70"/>
      <c r="B323" s="16"/>
      <c r="C323" s="9" t="n">
        <v>42170</v>
      </c>
      <c r="D323" s="10" t="n">
        <v>16</v>
      </c>
      <c r="E323" s="10" t="n">
        <v>14.8</v>
      </c>
      <c r="F323" s="10" t="n">
        <v>18.9</v>
      </c>
      <c r="G323" s="10" t="n">
        <v>2599</v>
      </c>
      <c r="H323" s="10" t="n">
        <f aca="false">H322+D323</f>
        <v>284.5</v>
      </c>
      <c r="J323" s="10" t="n">
        <v>0</v>
      </c>
      <c r="K323" s="10" t="n">
        <v>514.7</v>
      </c>
      <c r="L323" s="10" t="n">
        <v>3.8</v>
      </c>
      <c r="M323" s="10" t="n">
        <v>464.6</v>
      </c>
      <c r="N323" s="11" t="n">
        <v>-3.8</v>
      </c>
      <c r="O323" s="10" t="n">
        <f aca="false">O322+N323</f>
        <v>4.50000000000006</v>
      </c>
      <c r="P323" s="10" t="n">
        <v>279</v>
      </c>
      <c r="Q323" s="19" t="n">
        <f aca="false">1.15+((P323-261)/56)*(0.35-1.15)</f>
        <v>0.892857142857143</v>
      </c>
      <c r="R323" s="13" t="n">
        <f aca="false">Q323*L323</f>
        <v>3.39285714285714</v>
      </c>
      <c r="S323" s="13" t="n">
        <f aca="false">J323-R323</f>
        <v>-3.39285714285714</v>
      </c>
      <c r="T323" s="13" t="n">
        <v>0</v>
      </c>
      <c r="V323" s="10" t="n">
        <v>1829.6</v>
      </c>
      <c r="W323" s="10" t="n">
        <v>114.35</v>
      </c>
      <c r="X323" s="10" t="n">
        <v>231166.1</v>
      </c>
      <c r="Y323" s="10" t="n">
        <f aca="false">Y322+V323</f>
        <v>37319.7</v>
      </c>
      <c r="AA323" s="10" t="n">
        <v>16.4492896768186</v>
      </c>
    </row>
    <row r="324" s="10" customFormat="true" ht="15" hidden="false" customHeight="false" outlineLevel="0" collapsed="false">
      <c r="A324" s="70"/>
      <c r="B324" s="16"/>
      <c r="C324" s="9" t="n">
        <v>42171</v>
      </c>
      <c r="D324" s="10" t="n">
        <v>15</v>
      </c>
      <c r="E324" s="10" t="n">
        <v>10.7</v>
      </c>
      <c r="F324" s="10" t="n">
        <v>18.7</v>
      </c>
      <c r="G324" s="10" t="n">
        <v>2614</v>
      </c>
      <c r="H324" s="10" t="n">
        <f aca="false">H323+D324</f>
        <v>299.5</v>
      </c>
      <c r="J324" s="10" t="n">
        <v>0</v>
      </c>
      <c r="K324" s="10" t="n">
        <v>514.7</v>
      </c>
      <c r="L324" s="10" t="n">
        <v>3.6</v>
      </c>
      <c r="M324" s="10" t="n">
        <v>468.2</v>
      </c>
      <c r="N324" s="11" t="n">
        <v>-3.6</v>
      </c>
      <c r="O324" s="10" t="n">
        <f aca="false">O323+N324</f>
        <v>0.900000000000058</v>
      </c>
      <c r="P324" s="10" t="n">
        <v>280</v>
      </c>
      <c r="Q324" s="19" t="n">
        <f aca="false">1.15+((P324-261)/56)*(0.35-1.15)</f>
        <v>0.878571428571429</v>
      </c>
      <c r="R324" s="13" t="n">
        <f aca="false">Q324*L324</f>
        <v>3.16285714285714</v>
      </c>
      <c r="S324" s="13" t="n">
        <f aca="false">J324-R324</f>
        <v>-3.16285714285714</v>
      </c>
      <c r="T324" s="13" t="n">
        <v>0</v>
      </c>
      <c r="V324" s="10" t="n">
        <v>1735.7</v>
      </c>
      <c r="W324" s="10" t="n">
        <v>115.713333333333</v>
      </c>
      <c r="X324" s="10" t="n">
        <v>232901.8</v>
      </c>
      <c r="Y324" s="10" t="n">
        <f aca="false">Y323+V324</f>
        <v>39055.4</v>
      </c>
      <c r="AA324" s="10" t="n">
        <v>16.4596961766044</v>
      </c>
    </row>
    <row r="325" s="28" customFormat="true" ht="15" hidden="false" customHeight="false" outlineLevel="0" collapsed="false">
      <c r="A325" s="70"/>
      <c r="B325" s="37" t="n">
        <v>600</v>
      </c>
      <c r="C325" s="57" t="n">
        <v>42172</v>
      </c>
      <c r="D325" s="28" t="n">
        <v>17.4</v>
      </c>
      <c r="E325" s="28" t="n">
        <v>11.3</v>
      </c>
      <c r="F325" s="28" t="n">
        <v>22.6</v>
      </c>
      <c r="G325" s="28" t="n">
        <v>2631.4</v>
      </c>
      <c r="H325" s="28" t="n">
        <f aca="false">H324+D325</f>
        <v>316.9</v>
      </c>
      <c r="J325" s="28" t="n">
        <v>3.5</v>
      </c>
      <c r="K325" s="28" t="n">
        <v>518.2</v>
      </c>
      <c r="L325" s="28" t="n">
        <v>3.1</v>
      </c>
      <c r="M325" s="28" t="n">
        <v>471.3</v>
      </c>
      <c r="N325" s="28" t="n">
        <v>0.4</v>
      </c>
      <c r="O325" s="28" t="n">
        <f aca="false">O324+N325</f>
        <v>1.30000000000006</v>
      </c>
      <c r="P325" s="28" t="n">
        <v>281</v>
      </c>
      <c r="Q325" s="60" t="n">
        <f aca="false">1.15+((P325-261)/56)*(0.35-1.15)</f>
        <v>0.864285714285714</v>
      </c>
      <c r="R325" s="30" t="n">
        <f aca="false">Q325*L325</f>
        <v>2.67928571428571</v>
      </c>
      <c r="S325" s="30" t="n">
        <f aca="false">J325-R325</f>
        <v>0.820714285714286</v>
      </c>
      <c r="T325" s="31" t="n">
        <f aca="false">MIN(153.6,(T324+S325))</f>
        <v>0.820714285714286</v>
      </c>
      <c r="V325" s="28" t="n">
        <v>1537.2</v>
      </c>
      <c r="W325" s="28" t="n">
        <v>88.3448275862069</v>
      </c>
      <c r="X325" s="28" t="n">
        <v>234439</v>
      </c>
      <c r="Y325" s="29" t="n">
        <f aca="false">Y324+V325</f>
        <v>40592.6</v>
      </c>
      <c r="AA325" s="29" t="n">
        <v>16.4685199397054</v>
      </c>
    </row>
    <row r="326" s="10" customFormat="true" ht="15" hidden="false" customHeight="false" outlineLevel="0" collapsed="false">
      <c r="A326" s="73" t="n">
        <v>1000</v>
      </c>
      <c r="B326" s="16"/>
      <c r="C326" s="9" t="n">
        <v>42173</v>
      </c>
      <c r="D326" s="10" t="n">
        <v>15.7</v>
      </c>
      <c r="E326" s="10" t="n">
        <v>15.2</v>
      </c>
      <c r="F326" s="10" t="n">
        <v>18.6</v>
      </c>
      <c r="G326" s="10" t="n">
        <v>2647.1</v>
      </c>
      <c r="H326" s="10" t="n">
        <v>15.7</v>
      </c>
      <c r="I326" s="74" t="s">
        <v>27</v>
      </c>
      <c r="J326" s="10" t="n">
        <v>0</v>
      </c>
      <c r="K326" s="10" t="n">
        <v>518.2</v>
      </c>
      <c r="L326" s="10" t="n">
        <v>3.2</v>
      </c>
      <c r="M326" s="10" t="n">
        <v>474.5</v>
      </c>
      <c r="N326" s="11" t="n">
        <v>-3.2</v>
      </c>
      <c r="O326" s="10" t="n">
        <v>0</v>
      </c>
      <c r="P326" s="10" t="n">
        <v>282</v>
      </c>
      <c r="Q326" s="19" t="n">
        <f aca="false">1.15+((P326-261)/56)*(0.35-1.15)</f>
        <v>0.85</v>
      </c>
      <c r="R326" s="13" t="n">
        <f aca="false">Q326*L326</f>
        <v>2.72</v>
      </c>
      <c r="S326" s="13" t="n">
        <f aca="false">J326-R326</f>
        <v>-2.72</v>
      </c>
      <c r="T326" s="13" t="n">
        <v>0</v>
      </c>
      <c r="U326" s="74" t="s">
        <v>28</v>
      </c>
      <c r="V326" s="10" t="n">
        <v>1317.1</v>
      </c>
      <c r="W326" s="10" t="n">
        <v>83.8917197452229</v>
      </c>
      <c r="X326" s="10" t="n">
        <v>235756.1</v>
      </c>
      <c r="Y326" s="10" t="n">
        <v>1317.1</v>
      </c>
      <c r="Z326" s="74" t="s">
        <v>29</v>
      </c>
      <c r="AA326" s="10" t="n">
        <v>16.4757516679702</v>
      </c>
    </row>
    <row r="327" s="10" customFormat="true" ht="15" hidden="false" customHeight="false" outlineLevel="0" collapsed="false">
      <c r="A327" s="73"/>
      <c r="B327" s="16"/>
      <c r="C327" s="9" t="n">
        <v>42174</v>
      </c>
      <c r="D327" s="10" t="n">
        <v>15</v>
      </c>
      <c r="E327" s="10" t="n">
        <v>10.8</v>
      </c>
      <c r="F327" s="10" t="n">
        <v>16.6</v>
      </c>
      <c r="G327" s="10" t="n">
        <v>2662.1</v>
      </c>
      <c r="H327" s="10" t="n">
        <f aca="false">H326+D327</f>
        <v>30.7</v>
      </c>
      <c r="I327" s="10" t="n">
        <f aca="false">MIN(E326:E346)</f>
        <v>9.6</v>
      </c>
      <c r="J327" s="10" t="n">
        <v>0</v>
      </c>
      <c r="K327" s="10" t="n">
        <v>518.2</v>
      </c>
      <c r="L327" s="10" t="n">
        <v>1.7</v>
      </c>
      <c r="M327" s="10" t="n">
        <v>476.2</v>
      </c>
      <c r="N327" s="11" t="n">
        <v>-1.7</v>
      </c>
      <c r="O327" s="10" t="n">
        <v>0</v>
      </c>
      <c r="P327" s="10" t="n">
        <v>283</v>
      </c>
      <c r="Q327" s="19" t="n">
        <f aca="false">1.15+((P327-261)/56)*(0.35-1.15)</f>
        <v>0.835714285714286</v>
      </c>
      <c r="R327" s="13" t="n">
        <f aca="false">Q327*L327</f>
        <v>1.42071428571429</v>
      </c>
      <c r="S327" s="13" t="n">
        <f aca="false">J327-R327</f>
        <v>-1.42071428571429</v>
      </c>
      <c r="T327" s="13" t="n">
        <v>0</v>
      </c>
      <c r="U327" s="10" t="n">
        <v>17</v>
      </c>
      <c r="V327" s="10" t="n">
        <v>917.8</v>
      </c>
      <c r="W327" s="10" t="n">
        <v>61.1866666666667</v>
      </c>
      <c r="X327" s="10" t="n">
        <v>236673.9</v>
      </c>
      <c r="Y327" s="10" t="n">
        <f aca="false">Y326+V327</f>
        <v>2234.9</v>
      </c>
      <c r="Z327" s="10" t="n">
        <v>39704.2</v>
      </c>
      <c r="AA327" s="10" t="n">
        <v>16.4813838096435</v>
      </c>
    </row>
    <row r="328" s="10" customFormat="true" ht="15" hidden="false" customHeight="false" outlineLevel="0" collapsed="false">
      <c r="A328" s="73"/>
      <c r="B328" s="16"/>
      <c r="C328" s="9" t="n">
        <v>42175</v>
      </c>
      <c r="D328" s="10" t="n">
        <v>15.8</v>
      </c>
      <c r="E328" s="10" t="n">
        <v>13.4</v>
      </c>
      <c r="F328" s="10" t="n">
        <v>19.4</v>
      </c>
      <c r="G328" s="10" t="n">
        <v>2677.9</v>
      </c>
      <c r="H328" s="10" t="n">
        <f aca="false">H327+D328</f>
        <v>46.5</v>
      </c>
      <c r="I328" s="74" t="s">
        <v>30</v>
      </c>
      <c r="J328" s="10" t="n">
        <v>8.2</v>
      </c>
      <c r="K328" s="10" t="n">
        <v>526.4</v>
      </c>
      <c r="L328" s="10" t="n">
        <v>3.2</v>
      </c>
      <c r="M328" s="10" t="n">
        <v>479.4</v>
      </c>
      <c r="N328" s="10" t="n">
        <v>5</v>
      </c>
      <c r="O328" s="10" t="n">
        <f aca="false">O327+N328</f>
        <v>5</v>
      </c>
      <c r="P328" s="10" t="n">
        <v>284</v>
      </c>
      <c r="Q328" s="19" t="n">
        <f aca="false">1.15+((P328-261)/56)*(0.35-1.15)</f>
        <v>0.821428571428571</v>
      </c>
      <c r="R328" s="13" t="n">
        <f aca="false">Q328*L328</f>
        <v>2.62857142857143</v>
      </c>
      <c r="S328" s="13" t="n">
        <f aca="false">J328-R328</f>
        <v>5.57142857142857</v>
      </c>
      <c r="T328" s="13" t="n">
        <f aca="false">MIN(153.6,(T327+S328))</f>
        <v>5.57142857142857</v>
      </c>
      <c r="U328" s="74" t="s">
        <v>31</v>
      </c>
      <c r="V328" s="10" t="n">
        <v>1642.8</v>
      </c>
      <c r="W328" s="10" t="n">
        <v>103.974683544304</v>
      </c>
      <c r="X328" s="10" t="n">
        <v>238316.7</v>
      </c>
      <c r="Y328" s="10" t="n">
        <f aca="false">Y327+V328</f>
        <v>3877.7</v>
      </c>
      <c r="Z328" s="74" t="s">
        <v>32</v>
      </c>
      <c r="AA328" s="10" t="n">
        <v>16.4854105915546</v>
      </c>
    </row>
    <row r="329" s="10" customFormat="true" ht="15" hidden="false" customHeight="false" outlineLevel="0" collapsed="false">
      <c r="A329" s="73"/>
      <c r="B329" s="16"/>
      <c r="C329" s="9" t="n">
        <v>42176</v>
      </c>
      <c r="D329" s="10" t="n">
        <v>16.3</v>
      </c>
      <c r="E329" s="10" t="n">
        <v>14.3</v>
      </c>
      <c r="F329" s="10" t="n">
        <v>18.2</v>
      </c>
      <c r="G329" s="10" t="n">
        <v>2694.2</v>
      </c>
      <c r="H329" s="10" t="n">
        <f aca="false">H328+D329</f>
        <v>62.8</v>
      </c>
      <c r="I329" s="10" t="n">
        <f aca="false">MAX(F326:F346)</f>
        <v>33.6</v>
      </c>
      <c r="J329" s="10" t="n">
        <v>3.1</v>
      </c>
      <c r="K329" s="10" t="n">
        <v>529.5</v>
      </c>
      <c r="L329" s="10" t="n">
        <v>2.5</v>
      </c>
      <c r="M329" s="10" t="n">
        <v>481.9</v>
      </c>
      <c r="N329" s="10" t="n">
        <v>0.6</v>
      </c>
      <c r="O329" s="10" t="n">
        <f aca="false">O328+N329</f>
        <v>5.6</v>
      </c>
      <c r="P329" s="10" t="n">
        <v>285</v>
      </c>
      <c r="Q329" s="19" t="n">
        <f aca="false">1.15+((P329-261)/56)*(0.35-1.15)</f>
        <v>0.807142857142857</v>
      </c>
      <c r="R329" s="13" t="n">
        <f aca="false">Q329*L329</f>
        <v>2.01785714285714</v>
      </c>
      <c r="S329" s="13" t="n">
        <f aca="false">J329-R329</f>
        <v>1.08214285714286</v>
      </c>
      <c r="T329" s="13" t="n">
        <f aca="false">MIN(153.6,(T328+S329))</f>
        <v>6.65357142857143</v>
      </c>
      <c r="U329" s="10" t="n">
        <v>9</v>
      </c>
      <c r="V329" s="10" t="n">
        <v>1304</v>
      </c>
      <c r="W329" s="10" t="n">
        <v>80</v>
      </c>
      <c r="X329" s="10" t="n">
        <v>239620.7</v>
      </c>
      <c r="Y329" s="10" t="n">
        <f aca="false">Y328+V329</f>
        <v>5181.7</v>
      </c>
      <c r="Z329" s="19" t="n">
        <f aca="false">(Z327/100)/I339</f>
        <v>0.987666666666667</v>
      </c>
      <c r="AA329" s="10" t="n">
        <v>16.4878280438807</v>
      </c>
    </row>
    <row r="330" s="10" customFormat="true" ht="15" hidden="false" customHeight="false" outlineLevel="0" collapsed="false">
      <c r="A330" s="73"/>
      <c r="B330" s="16"/>
      <c r="C330" s="9" t="n">
        <v>42177</v>
      </c>
      <c r="D330" s="10" t="n">
        <v>12.7</v>
      </c>
      <c r="E330" s="10" t="n">
        <v>11.8</v>
      </c>
      <c r="F330" s="10" t="n">
        <v>14.4</v>
      </c>
      <c r="G330" s="10" t="n">
        <v>2706.9</v>
      </c>
      <c r="H330" s="10" t="n">
        <f aca="false">H329+D330</f>
        <v>75.5</v>
      </c>
      <c r="I330" s="74" t="s">
        <v>33</v>
      </c>
      <c r="J330" s="10" t="n">
        <v>16.1</v>
      </c>
      <c r="K330" s="10" t="n">
        <v>545.6</v>
      </c>
      <c r="L330" s="10" t="n">
        <v>1.4</v>
      </c>
      <c r="M330" s="10" t="n">
        <v>483.3</v>
      </c>
      <c r="N330" s="10" t="n">
        <v>14.7</v>
      </c>
      <c r="O330" s="10" t="n">
        <f aca="false">O329+N330</f>
        <v>20.3</v>
      </c>
      <c r="P330" s="10" t="n">
        <v>286</v>
      </c>
      <c r="Q330" s="19" t="n">
        <f aca="false">1.15+((P330-261)/56)*(0.35-1.15)</f>
        <v>0.792857142857143</v>
      </c>
      <c r="R330" s="13" t="n">
        <f aca="false">Q330*L330</f>
        <v>1.11</v>
      </c>
      <c r="S330" s="13" t="n">
        <f aca="false">J330-R330</f>
        <v>14.99</v>
      </c>
      <c r="T330" s="13" t="n">
        <f aca="false">MIN(153.6,(T329+S330))</f>
        <v>21.6435714285714</v>
      </c>
      <c r="U330" s="74" t="s">
        <v>34</v>
      </c>
      <c r="V330" s="18" t="n">
        <v>577.4</v>
      </c>
      <c r="W330" s="10" t="n">
        <v>45.4645669291339</v>
      </c>
      <c r="X330" s="10" t="n">
        <v>240198.1</v>
      </c>
      <c r="Y330" s="10" t="n">
        <f aca="false">Y329+V330</f>
        <v>5759.1</v>
      </c>
      <c r="Z330" s="74" t="s">
        <v>35</v>
      </c>
      <c r="AA330" s="10" t="n">
        <v>16.488634017258</v>
      </c>
    </row>
    <row r="331" s="10" customFormat="true" ht="15" hidden="false" customHeight="false" outlineLevel="0" collapsed="false">
      <c r="A331" s="73"/>
      <c r="B331" s="16"/>
      <c r="C331" s="9" t="n">
        <v>42178</v>
      </c>
      <c r="D331" s="10" t="n">
        <v>13.1</v>
      </c>
      <c r="E331" s="10" t="n">
        <v>11.7</v>
      </c>
      <c r="F331" s="10" t="n">
        <v>16.5</v>
      </c>
      <c r="G331" s="10" t="n">
        <v>2720</v>
      </c>
      <c r="H331" s="10" t="n">
        <f aca="false">H330+D331</f>
        <v>88.6</v>
      </c>
      <c r="I331" s="13" t="n">
        <f aca="false">AVERAGE(D326:D346)</f>
        <v>19.1428571428571</v>
      </c>
      <c r="J331" s="10" t="n">
        <v>0.5</v>
      </c>
      <c r="K331" s="10" t="n">
        <v>546.1</v>
      </c>
      <c r="L331" s="10" t="n">
        <v>2.6</v>
      </c>
      <c r="M331" s="10" t="n">
        <v>485.9</v>
      </c>
      <c r="N331" s="11" t="n">
        <v>-2.1</v>
      </c>
      <c r="O331" s="10" t="n">
        <f aca="false">O330+N331</f>
        <v>18.2</v>
      </c>
      <c r="P331" s="10" t="n">
        <v>287</v>
      </c>
      <c r="Q331" s="19" t="n">
        <f aca="false">1.15+((P331-261)/56)*(0.35-1.15)</f>
        <v>0.778571428571429</v>
      </c>
      <c r="R331" s="13" t="n">
        <f aca="false">Q331*L331</f>
        <v>2.02428571428571</v>
      </c>
      <c r="S331" s="13" t="n">
        <f aca="false">J331-R331</f>
        <v>-1.52428571428571</v>
      </c>
      <c r="T331" s="13" t="n">
        <f aca="false">MIN(153.6,(T330+S331))</f>
        <v>20.1192857142857</v>
      </c>
      <c r="U331" s="10" t="n">
        <v>12</v>
      </c>
      <c r="V331" s="10" t="n">
        <v>1511.7</v>
      </c>
      <c r="W331" s="10" t="n">
        <v>115.396946564886</v>
      </c>
      <c r="X331" s="10" t="n">
        <v>241709.8</v>
      </c>
      <c r="Y331" s="10" t="n">
        <f aca="false">Y330+V331</f>
        <v>7270.8</v>
      </c>
      <c r="Z331" s="10" t="n">
        <v>2</v>
      </c>
      <c r="AA331" s="10" t="n">
        <v>16.4878281920837</v>
      </c>
    </row>
    <row r="332" s="10" customFormat="true" ht="15" hidden="false" customHeight="false" outlineLevel="0" collapsed="false">
      <c r="A332" s="73"/>
      <c r="B332" s="16"/>
      <c r="C332" s="9" t="n">
        <v>42179</v>
      </c>
      <c r="D332" s="10" t="n">
        <v>16.3</v>
      </c>
      <c r="E332" s="10" t="n">
        <v>9.6</v>
      </c>
      <c r="F332" s="10" t="n">
        <v>20.7</v>
      </c>
      <c r="G332" s="10" t="n">
        <v>2736.3</v>
      </c>
      <c r="H332" s="10" t="n">
        <f aca="false">H331+D332</f>
        <v>104.9</v>
      </c>
      <c r="I332" s="74" t="s">
        <v>36</v>
      </c>
      <c r="J332" s="10" t="n">
        <v>0</v>
      </c>
      <c r="K332" s="10" t="n">
        <v>546.1</v>
      </c>
      <c r="L332" s="10" t="n">
        <v>2.8</v>
      </c>
      <c r="M332" s="10" t="n">
        <v>488.7</v>
      </c>
      <c r="N332" s="11" t="n">
        <v>-2.8</v>
      </c>
      <c r="O332" s="10" t="n">
        <f aca="false">O331+N332</f>
        <v>15.4</v>
      </c>
      <c r="P332" s="10" t="n">
        <v>288</v>
      </c>
      <c r="Q332" s="19" t="n">
        <f aca="false">1.15+((P332-261)/56)*(0.35-1.15)</f>
        <v>0.764285714285714</v>
      </c>
      <c r="R332" s="13" t="n">
        <f aca="false">Q332*L332</f>
        <v>2.14</v>
      </c>
      <c r="S332" s="13" t="n">
        <f aca="false">J332-R332</f>
        <v>-2.14</v>
      </c>
      <c r="T332" s="13" t="n">
        <f aca="false">MIN(153.6,(T331+S332))</f>
        <v>17.9792857142857</v>
      </c>
      <c r="U332" s="74" t="s">
        <v>37</v>
      </c>
      <c r="V332" s="10" t="n">
        <v>1722.8</v>
      </c>
      <c r="W332" s="10" t="n">
        <v>105.693251533742</v>
      </c>
      <c r="X332" s="10" t="n">
        <v>243432.6</v>
      </c>
      <c r="Y332" s="10" t="n">
        <f aca="false">Y331+V332</f>
        <v>8993.6</v>
      </c>
      <c r="AA332" s="10" t="n">
        <v>16.4854120799234</v>
      </c>
    </row>
    <row r="333" s="10" customFormat="true" ht="15" hidden="false" customHeight="false" outlineLevel="0" collapsed="false">
      <c r="A333" s="73"/>
      <c r="B333" s="16"/>
      <c r="C333" s="9" t="n">
        <v>42180</v>
      </c>
      <c r="D333" s="10" t="n">
        <v>20.4</v>
      </c>
      <c r="E333" s="10" t="n">
        <v>15.3</v>
      </c>
      <c r="F333" s="10" t="n">
        <v>24.5</v>
      </c>
      <c r="G333" s="10" t="n">
        <v>2756.7</v>
      </c>
      <c r="H333" s="10" t="n">
        <f aca="false">H332+D333</f>
        <v>125.3</v>
      </c>
      <c r="I333" s="10" t="n">
        <v>0</v>
      </c>
      <c r="J333" s="10" t="n">
        <v>0</v>
      </c>
      <c r="K333" s="10" t="n">
        <v>546.1</v>
      </c>
      <c r="L333" s="10" t="n">
        <v>4.5</v>
      </c>
      <c r="M333" s="10" t="n">
        <v>493.2</v>
      </c>
      <c r="N333" s="11" t="n">
        <v>-4.5</v>
      </c>
      <c r="O333" s="10" t="n">
        <f aca="false">O332+N333</f>
        <v>10.9</v>
      </c>
      <c r="P333" s="10" t="n">
        <v>289</v>
      </c>
      <c r="Q333" s="19" t="n">
        <f aca="false">1.15+((P333-261)/56)*(0.35-1.15)</f>
        <v>0.75</v>
      </c>
      <c r="R333" s="13" t="n">
        <f aca="false">Q333*L333</f>
        <v>3.375</v>
      </c>
      <c r="S333" s="13" t="n">
        <f aca="false">J333-R333</f>
        <v>-3.375</v>
      </c>
      <c r="T333" s="13" t="n">
        <f aca="false">MIN(153.6,(T332+S333))</f>
        <v>14.6042857142857</v>
      </c>
      <c r="U333" s="10" t="n">
        <v>0</v>
      </c>
      <c r="V333" s="10" t="n">
        <v>2366.4</v>
      </c>
      <c r="W333" s="10" t="n">
        <v>116</v>
      </c>
      <c r="X333" s="10" t="n">
        <v>245799</v>
      </c>
      <c r="Y333" s="10" t="n">
        <f aca="false">Y332+V333</f>
        <v>11360</v>
      </c>
      <c r="AA333" s="10" t="n">
        <v>16.4813890170086</v>
      </c>
    </row>
    <row r="334" s="10" customFormat="true" ht="15" hidden="false" customHeight="false" outlineLevel="0" collapsed="false">
      <c r="A334" s="73"/>
      <c r="B334" s="16"/>
      <c r="C334" s="9" t="n">
        <v>42181</v>
      </c>
      <c r="D334" s="10" t="n">
        <v>21.5</v>
      </c>
      <c r="E334" s="10" t="n">
        <v>16.8</v>
      </c>
      <c r="F334" s="20" t="n">
        <v>27</v>
      </c>
      <c r="G334" s="10" t="n">
        <v>2778.2</v>
      </c>
      <c r="H334" s="10" t="n">
        <f aca="false">H333+D334</f>
        <v>146.8</v>
      </c>
      <c r="I334" s="74" t="s">
        <v>38</v>
      </c>
      <c r="J334" s="10" t="n">
        <v>0</v>
      </c>
      <c r="K334" s="10" t="n">
        <v>546.1</v>
      </c>
      <c r="L334" s="10" t="n">
        <v>4.9</v>
      </c>
      <c r="M334" s="10" t="n">
        <v>498.1</v>
      </c>
      <c r="N334" s="11" t="n">
        <v>-4.9</v>
      </c>
      <c r="O334" s="10" t="n">
        <f aca="false">O333+N334</f>
        <v>6</v>
      </c>
      <c r="P334" s="10" t="n">
        <v>290</v>
      </c>
      <c r="Q334" s="19" t="n">
        <f aca="false">1.15+((P334-261)/56)*(0.35-1.15)</f>
        <v>0.735714285714286</v>
      </c>
      <c r="R334" s="13" t="n">
        <f aca="false">Q334*L334</f>
        <v>3.605</v>
      </c>
      <c r="S334" s="13" t="n">
        <f aca="false">J334-R334</f>
        <v>-3.605</v>
      </c>
      <c r="T334" s="13" t="n">
        <f aca="false">MIN(153.6,(T333+S334))</f>
        <v>10.9992857142857</v>
      </c>
      <c r="U334" s="74" t="s">
        <v>39</v>
      </c>
      <c r="V334" s="10" t="n">
        <v>2159.1</v>
      </c>
      <c r="W334" s="10" t="n">
        <v>100.423255813953</v>
      </c>
      <c r="X334" s="10" t="n">
        <v>247958.1</v>
      </c>
      <c r="Y334" s="10" t="n">
        <f aca="false">Y333+V334</f>
        <v>13519.1</v>
      </c>
      <c r="AA334" s="10" t="n">
        <v>16.4757641498855</v>
      </c>
    </row>
    <row r="335" s="10" customFormat="true" ht="15" hidden="false" customHeight="false" outlineLevel="0" collapsed="false">
      <c r="A335" s="73"/>
      <c r="B335" s="16"/>
      <c r="C335" s="9" t="n">
        <v>42182</v>
      </c>
      <c r="D335" s="10" t="n">
        <v>18.8</v>
      </c>
      <c r="E335" s="10" t="n">
        <v>16.6</v>
      </c>
      <c r="F335" s="10" t="n">
        <v>21.9</v>
      </c>
      <c r="G335" s="10" t="n">
        <v>2797</v>
      </c>
      <c r="H335" s="10" t="n">
        <f aca="false">H334+D335</f>
        <v>165.6</v>
      </c>
      <c r="I335" s="10" t="n">
        <v>7</v>
      </c>
      <c r="J335" s="10" t="n">
        <v>0</v>
      </c>
      <c r="K335" s="10" t="n">
        <v>546.1</v>
      </c>
      <c r="L335" s="10" t="n">
        <v>4.8</v>
      </c>
      <c r="M335" s="10" t="n">
        <v>502.9</v>
      </c>
      <c r="N335" s="11" t="n">
        <v>-4.8</v>
      </c>
      <c r="O335" s="10" t="n">
        <f aca="false">O334+N335</f>
        <v>1.2</v>
      </c>
      <c r="P335" s="10" t="n">
        <v>291</v>
      </c>
      <c r="Q335" s="19" t="n">
        <f aca="false">1.15+((P335-261)/56)*(0.35-1.15)</f>
        <v>0.721428571428571</v>
      </c>
      <c r="R335" s="13" t="n">
        <f aca="false">Q335*L335</f>
        <v>3.46285714285714</v>
      </c>
      <c r="S335" s="13" t="n">
        <f aca="false">J335-R335</f>
        <v>-3.46285714285714</v>
      </c>
      <c r="T335" s="13" t="n">
        <f aca="false">MIN(153.6,(T334+S335))</f>
        <v>7.53642857142857</v>
      </c>
      <c r="U335" s="13" t="n">
        <f aca="false">MAX(T326:T346)</f>
        <v>21.6435714285714</v>
      </c>
      <c r="V335" s="10" t="n">
        <v>2214.4</v>
      </c>
      <c r="W335" s="10" t="n">
        <v>117.787234042553</v>
      </c>
      <c r="X335" s="10" t="n">
        <v>250172.5</v>
      </c>
      <c r="Y335" s="10" t="n">
        <f aca="false">Y334+V335</f>
        <v>15733.5</v>
      </c>
      <c r="AA335" s="10" t="n">
        <v>16.468544413345</v>
      </c>
    </row>
    <row r="336" s="10" customFormat="true" ht="15" hidden="false" customHeight="false" outlineLevel="0" collapsed="false">
      <c r="A336" s="73"/>
      <c r="B336" s="16"/>
      <c r="C336" s="9" t="n">
        <v>42183</v>
      </c>
      <c r="D336" s="10" t="n">
        <v>19.9</v>
      </c>
      <c r="E336" s="10" t="n">
        <v>13.8</v>
      </c>
      <c r="F336" s="10" t="n">
        <v>24.7</v>
      </c>
      <c r="G336" s="10" t="n">
        <v>2816.9</v>
      </c>
      <c r="H336" s="10" t="n">
        <f aca="false">H335+D336</f>
        <v>185.5</v>
      </c>
      <c r="I336" s="74" t="s">
        <v>40</v>
      </c>
      <c r="J336" s="10" t="n">
        <v>0</v>
      </c>
      <c r="K336" s="10" t="n">
        <v>546.1</v>
      </c>
      <c r="L336" s="10" t="n">
        <v>3.4</v>
      </c>
      <c r="M336" s="10" t="n">
        <v>506.3</v>
      </c>
      <c r="N336" s="11" t="n">
        <v>-3.4</v>
      </c>
      <c r="O336" s="10" t="n">
        <v>0</v>
      </c>
      <c r="P336" s="10" t="n">
        <v>292</v>
      </c>
      <c r="Q336" s="19" t="n">
        <f aca="false">1.15+((P336-261)/56)*(0.35-1.15)</f>
        <v>0.707142857142857</v>
      </c>
      <c r="R336" s="13" t="n">
        <f aca="false">Q336*L336</f>
        <v>2.40428571428571</v>
      </c>
      <c r="S336" s="13" t="n">
        <f aca="false">J336-R336</f>
        <v>-2.40428571428571</v>
      </c>
      <c r="T336" s="13" t="n">
        <f aca="false">MIN(153.6,(T335+S336))</f>
        <v>5.13214285714286</v>
      </c>
      <c r="U336" s="74" t="s">
        <v>41</v>
      </c>
      <c r="V336" s="10" t="n">
        <v>1737.4</v>
      </c>
      <c r="W336" s="10" t="n">
        <v>87.3065326633166</v>
      </c>
      <c r="X336" s="10" t="n">
        <v>251909.9</v>
      </c>
      <c r="Y336" s="10" t="n">
        <f aca="false">Y335+V336</f>
        <v>17470.9</v>
      </c>
      <c r="AA336" s="10" t="n">
        <v>16.4597385008355</v>
      </c>
    </row>
    <row r="337" s="10" customFormat="true" ht="15" hidden="false" customHeight="false" outlineLevel="0" collapsed="false">
      <c r="A337" s="73"/>
      <c r="B337" s="16"/>
      <c r="C337" s="9" t="n">
        <v>42184</v>
      </c>
      <c r="D337" s="10" t="n">
        <v>20.2</v>
      </c>
      <c r="E337" s="10" t="n">
        <v>16.5</v>
      </c>
      <c r="F337" s="10" t="n">
        <v>24</v>
      </c>
      <c r="G337" s="10" t="n">
        <v>2837.1</v>
      </c>
      <c r="H337" s="10" t="n">
        <f aca="false">H336+D337</f>
        <v>205.7</v>
      </c>
      <c r="I337" s="10" t="n">
        <v>0</v>
      </c>
      <c r="J337" s="10" t="n">
        <v>0</v>
      </c>
      <c r="K337" s="10" t="n">
        <v>546.1</v>
      </c>
      <c r="L337" s="10" t="n">
        <v>6.3</v>
      </c>
      <c r="M337" s="10" t="n">
        <v>512.6</v>
      </c>
      <c r="N337" s="11" t="n">
        <v>-6.3</v>
      </c>
      <c r="O337" s="10" t="n">
        <v>0</v>
      </c>
      <c r="P337" s="10" t="n">
        <v>293</v>
      </c>
      <c r="Q337" s="19" t="n">
        <f aca="false">1.15+((P337-261)/56)*(0.35-1.15)</f>
        <v>0.692857142857143</v>
      </c>
      <c r="R337" s="13" t="n">
        <f aca="false">Q337*L337</f>
        <v>4.365</v>
      </c>
      <c r="S337" s="13" t="n">
        <f aca="false">J337-R337</f>
        <v>-4.365</v>
      </c>
      <c r="T337" s="13" t="n">
        <f aca="false">MIN(153.6,(T336+S337))</f>
        <v>0.76714285714286</v>
      </c>
      <c r="U337" s="19" t="n">
        <f aca="false">AVERAGE(T326:T346)</f>
        <v>5.5084693877551</v>
      </c>
      <c r="V337" s="10" t="n">
        <v>3129.2</v>
      </c>
      <c r="W337" s="10" t="n">
        <v>154.910891089109</v>
      </c>
      <c r="X337" s="10" t="n">
        <v>255039.1</v>
      </c>
      <c r="Y337" s="10" t="n">
        <f aca="false">Y336+V337</f>
        <v>20600.1</v>
      </c>
      <c r="AA337" s="10" t="n">
        <v>16.4493568276253</v>
      </c>
    </row>
    <row r="338" s="10" customFormat="true" ht="15" hidden="false" customHeight="false" outlineLevel="0" collapsed="false">
      <c r="A338" s="73"/>
      <c r="B338" s="16"/>
      <c r="C338" s="9" t="n">
        <v>42185</v>
      </c>
      <c r="D338" s="10" t="n">
        <v>23.1</v>
      </c>
      <c r="E338" s="10" t="n">
        <v>16</v>
      </c>
      <c r="F338" s="20" t="n">
        <v>28.9</v>
      </c>
      <c r="G338" s="10" t="n">
        <v>2860.2</v>
      </c>
      <c r="H338" s="10" t="n">
        <f aca="false">H337+D338</f>
        <v>228.8</v>
      </c>
      <c r="I338" s="74" t="s">
        <v>42</v>
      </c>
      <c r="J338" s="10" t="n">
        <v>0</v>
      </c>
      <c r="K338" s="10" t="n">
        <v>546.1</v>
      </c>
      <c r="L338" s="10" t="n">
        <v>7.2</v>
      </c>
      <c r="M338" s="10" t="n">
        <v>519.8</v>
      </c>
      <c r="N338" s="11" t="n">
        <v>-7.2</v>
      </c>
      <c r="O338" s="10" t="n">
        <v>0</v>
      </c>
      <c r="P338" s="10" t="n">
        <v>294</v>
      </c>
      <c r="Q338" s="19" t="n">
        <f aca="false">1.15+((P338-261)/56)*(0.35-1.15)</f>
        <v>0.678571428571429</v>
      </c>
      <c r="R338" s="13" t="n">
        <f aca="false">Q338*L338</f>
        <v>4.88571428571429</v>
      </c>
      <c r="S338" s="13" t="n">
        <f aca="false">J338-R338</f>
        <v>-4.88571428571429</v>
      </c>
      <c r="T338" s="13" t="n">
        <v>0</v>
      </c>
      <c r="V338" s="10" t="n">
        <v>3208.9</v>
      </c>
      <c r="W338" s="10" t="n">
        <v>138.91341991342</v>
      </c>
      <c r="X338" s="10" t="n">
        <v>258248</v>
      </c>
      <c r="Y338" s="10" t="n">
        <f aca="false">Y337+V338</f>
        <v>23809</v>
      </c>
      <c r="AA338" s="10" t="n">
        <v>16.4374114870458</v>
      </c>
    </row>
    <row r="339" s="10" customFormat="true" ht="15" hidden="false" customHeight="false" outlineLevel="0" collapsed="false">
      <c r="A339" s="73"/>
      <c r="B339" s="16"/>
      <c r="C339" s="9" t="n">
        <v>42186</v>
      </c>
      <c r="D339" s="10" t="n">
        <v>27.8</v>
      </c>
      <c r="E339" s="10" t="n">
        <v>21</v>
      </c>
      <c r="F339" s="20" t="n">
        <v>33.6</v>
      </c>
      <c r="G339" s="10" t="n">
        <v>2888</v>
      </c>
      <c r="H339" s="10" t="n">
        <f aca="false">H338+D339</f>
        <v>256.6</v>
      </c>
      <c r="I339" s="10" t="n">
        <v>402</v>
      </c>
      <c r="J339" s="10" t="n">
        <v>0</v>
      </c>
      <c r="K339" s="10" t="n">
        <v>546.1</v>
      </c>
      <c r="L339" s="10" t="n">
        <v>7.8</v>
      </c>
      <c r="M339" s="10" t="n">
        <v>527.6</v>
      </c>
      <c r="N339" s="11" t="n">
        <v>-7.8</v>
      </c>
      <c r="O339" s="10" t="n">
        <v>0</v>
      </c>
      <c r="P339" s="10" t="n">
        <v>295</v>
      </c>
      <c r="Q339" s="19" t="n">
        <f aca="false">1.15+((P339-261)/56)*(0.35-1.15)</f>
        <v>0.664285714285714</v>
      </c>
      <c r="R339" s="13" t="n">
        <f aca="false">Q339*L339</f>
        <v>5.18142857142857</v>
      </c>
      <c r="S339" s="13" t="n">
        <f aca="false">J339-R339</f>
        <v>-5.18142857142857</v>
      </c>
      <c r="T339" s="13" t="n">
        <v>0</v>
      </c>
      <c r="U339" s="13" t="n">
        <f aca="false">(U337*100)/153.6</f>
        <v>3.5862430909864</v>
      </c>
      <c r="V339" s="10" t="n">
        <v>2829</v>
      </c>
      <c r="W339" s="10" t="n">
        <v>101.762589928058</v>
      </c>
      <c r="X339" s="10" t="n">
        <v>261077</v>
      </c>
      <c r="Y339" s="10" t="n">
        <f aca="false">Y338+V339</f>
        <v>26638</v>
      </c>
      <c r="AA339" s="10" t="n">
        <v>16.4239162002015</v>
      </c>
    </row>
    <row r="340" s="10" customFormat="true" ht="15" hidden="false" customHeight="false" outlineLevel="0" collapsed="false">
      <c r="A340" s="73"/>
      <c r="B340" s="16"/>
      <c r="C340" s="9" t="n">
        <v>42187</v>
      </c>
      <c r="D340" s="10" t="n">
        <v>22.7</v>
      </c>
      <c r="E340" s="10" t="n">
        <v>21.9</v>
      </c>
      <c r="F340" s="20" t="n">
        <v>25.6</v>
      </c>
      <c r="G340" s="10" t="n">
        <v>2910.7</v>
      </c>
      <c r="H340" s="10" t="n">
        <f aca="false">H339+D340</f>
        <v>279.3</v>
      </c>
      <c r="J340" s="10" t="n">
        <v>2.7</v>
      </c>
      <c r="K340" s="10" t="n">
        <v>548.8</v>
      </c>
      <c r="L340" s="10" t="n">
        <v>5.2</v>
      </c>
      <c r="M340" s="10" t="n">
        <v>532.8</v>
      </c>
      <c r="N340" s="11" t="n">
        <v>-2.5</v>
      </c>
      <c r="O340" s="75" t="n">
        <v>0</v>
      </c>
      <c r="P340" s="10" t="n">
        <v>296</v>
      </c>
      <c r="Q340" s="19" t="n">
        <f aca="false">1.15+((P340-261)/56)*(0.35-1.15)</f>
        <v>0.65</v>
      </c>
      <c r="R340" s="13" t="n">
        <f aca="false">Q340*L340</f>
        <v>3.38</v>
      </c>
      <c r="S340" s="13" t="n">
        <f aca="false">J340-R340</f>
        <v>-0.679999999999999</v>
      </c>
      <c r="T340" s="13" t="n">
        <v>0</v>
      </c>
      <c r="V340" s="10" t="n">
        <v>2435.9</v>
      </c>
      <c r="W340" s="10" t="n">
        <v>107.308370044053</v>
      </c>
      <c r="X340" s="10" t="n">
        <v>263512.9</v>
      </c>
      <c r="Y340" s="10" t="n">
        <f aca="false">Y339+V340</f>
        <v>29073.9</v>
      </c>
      <c r="AA340" s="10" t="n">
        <v>16.408886259585</v>
      </c>
    </row>
    <row r="341" s="50" customFormat="true" ht="15" hidden="false" customHeight="false" outlineLevel="0" collapsed="false">
      <c r="A341" s="73"/>
      <c r="B341" s="48"/>
      <c r="C341" s="49" t="n">
        <v>42188</v>
      </c>
      <c r="D341" s="50" t="n">
        <v>24.9</v>
      </c>
      <c r="E341" s="50" t="n">
        <v>18.2</v>
      </c>
      <c r="F341" s="72" t="n">
        <v>30.1</v>
      </c>
      <c r="G341" s="50" t="n">
        <v>2935.6</v>
      </c>
      <c r="H341" s="50" t="n">
        <f aca="false">H340+D341</f>
        <v>304.2</v>
      </c>
      <c r="J341" s="50" t="n">
        <v>0</v>
      </c>
      <c r="K341" s="50" t="n">
        <v>548.8</v>
      </c>
      <c r="L341" s="50" t="n">
        <v>6.3</v>
      </c>
      <c r="M341" s="50" t="n">
        <v>539.1</v>
      </c>
      <c r="N341" s="53" t="n">
        <v>-6.3</v>
      </c>
      <c r="O341" s="50" t="n">
        <v>0</v>
      </c>
      <c r="P341" s="50" t="n">
        <v>297</v>
      </c>
      <c r="Q341" s="19" t="n">
        <f aca="false">1.15+((P341-261)/56)*(0.35-1.15)</f>
        <v>0.635714285714286</v>
      </c>
      <c r="R341" s="54" t="n">
        <f aca="false">Q341*L341</f>
        <v>4.005</v>
      </c>
      <c r="S341" s="54" t="n">
        <f aca="false">J341-R341</f>
        <v>-4.005</v>
      </c>
      <c r="T341" s="13" t="n">
        <v>0</v>
      </c>
      <c r="V341" s="50" t="n">
        <v>2733.3</v>
      </c>
      <c r="W341" s="50" t="n">
        <v>109.771084337349</v>
      </c>
      <c r="X341" s="50" t="n">
        <v>266246.2</v>
      </c>
      <c r="Y341" s="10" t="n">
        <f aca="false">Y340+V341</f>
        <v>31807.2</v>
      </c>
      <c r="AA341" s="10" t="n">
        <v>16.3923384670814</v>
      </c>
    </row>
    <row r="342" s="10" customFormat="true" ht="15" hidden="false" customHeight="true" outlineLevel="0" collapsed="false">
      <c r="A342" s="73"/>
      <c r="B342" s="8"/>
      <c r="C342" s="9" t="n">
        <v>42189</v>
      </c>
      <c r="D342" s="10" t="n">
        <v>25.1</v>
      </c>
      <c r="E342" s="10" t="n">
        <v>24.6</v>
      </c>
      <c r="F342" s="20" t="n">
        <v>28.6</v>
      </c>
      <c r="G342" s="10" t="n">
        <v>2960.7</v>
      </c>
      <c r="H342" s="10" t="n">
        <f aca="false">H341+D342</f>
        <v>329.3</v>
      </c>
      <c r="J342" s="10" t="n">
        <v>0</v>
      </c>
      <c r="K342" s="10" t="n">
        <v>548.8</v>
      </c>
      <c r="L342" s="10" t="n">
        <v>5.6</v>
      </c>
      <c r="M342" s="10" t="n">
        <v>544.7</v>
      </c>
      <c r="N342" s="11" t="n">
        <v>-5.6</v>
      </c>
      <c r="O342" s="10" t="n">
        <v>0</v>
      </c>
      <c r="P342" s="10" t="n">
        <v>298</v>
      </c>
      <c r="Q342" s="19" t="n">
        <f aca="false">1.15+((P342-261)/56)*(0.35-1.15)</f>
        <v>0.621428571428571</v>
      </c>
      <c r="R342" s="13" t="n">
        <f aca="false">Q342*L342</f>
        <v>3.48</v>
      </c>
      <c r="S342" s="13" t="n">
        <f aca="false">J342-R342</f>
        <v>-3.48</v>
      </c>
      <c r="T342" s="13" t="n">
        <v>0</v>
      </c>
      <c r="V342" s="10" t="n">
        <v>2078.8</v>
      </c>
      <c r="W342" s="10" t="n">
        <v>82.8207171314741</v>
      </c>
      <c r="X342" s="10" t="n">
        <v>268325</v>
      </c>
      <c r="Y342" s="10" t="n">
        <f aca="false">Y341+V342</f>
        <v>33886</v>
      </c>
      <c r="AA342" s="10" t="n">
        <v>16.3742910668807</v>
      </c>
    </row>
    <row r="343" s="10" customFormat="true" ht="15" hidden="false" customHeight="false" outlineLevel="0" collapsed="false">
      <c r="A343" s="73"/>
      <c r="B343" s="8"/>
      <c r="C343" s="9" t="n">
        <v>42190</v>
      </c>
      <c r="D343" s="10" t="n">
        <v>18.5</v>
      </c>
      <c r="E343" s="10" t="n">
        <v>18.6</v>
      </c>
      <c r="F343" s="10" t="n">
        <v>19.9</v>
      </c>
      <c r="G343" s="10" t="n">
        <v>2979.2</v>
      </c>
      <c r="H343" s="10" t="n">
        <f aca="false">H342+D343</f>
        <v>347.8</v>
      </c>
      <c r="J343" s="10" t="n">
        <v>3.8</v>
      </c>
      <c r="K343" s="10" t="n">
        <v>552.6</v>
      </c>
      <c r="L343" s="10" t="n">
        <v>2.5</v>
      </c>
      <c r="M343" s="10" t="n">
        <v>547.2</v>
      </c>
      <c r="N343" s="10" t="n">
        <v>1.3</v>
      </c>
      <c r="O343" s="10" t="n">
        <f aca="false">O342+N343</f>
        <v>1.3</v>
      </c>
      <c r="P343" s="10" t="n">
        <v>299</v>
      </c>
      <c r="Q343" s="19" t="n">
        <f aca="false">1.15+((P343-261)/56)*(0.35-1.15)</f>
        <v>0.607142857142857</v>
      </c>
      <c r="R343" s="13" t="n">
        <f aca="false">Q343*L343</f>
        <v>1.51785714285714</v>
      </c>
      <c r="S343" s="13" t="n">
        <f aca="false">J343-R343</f>
        <v>2.28214285714286</v>
      </c>
      <c r="T343" s="13" t="n">
        <f aca="false">MIN(153.6,(T342+S343))</f>
        <v>2.28214285714286</v>
      </c>
      <c r="V343" s="18" t="n">
        <v>873.7</v>
      </c>
      <c r="W343" s="10" t="n">
        <v>47.227027027027</v>
      </c>
      <c r="X343" s="10" t="n">
        <v>269198.7</v>
      </c>
      <c r="Y343" s="10" t="n">
        <f aca="false">Y342+V343</f>
        <v>34759.7</v>
      </c>
      <c r="AA343" s="10" t="n">
        <v>16.3547636738504</v>
      </c>
    </row>
    <row r="344" s="10" customFormat="true" ht="15" hidden="false" customHeight="false" outlineLevel="0" collapsed="false">
      <c r="A344" s="73"/>
      <c r="B344" s="8"/>
      <c r="C344" s="9" t="n">
        <v>42191</v>
      </c>
      <c r="D344" s="10" t="n">
        <v>20.1</v>
      </c>
      <c r="E344" s="10" t="n">
        <v>13.9</v>
      </c>
      <c r="F344" s="20" t="n">
        <v>26</v>
      </c>
      <c r="G344" s="10" t="n">
        <v>2999.3</v>
      </c>
      <c r="H344" s="10" t="n">
        <f aca="false">H343+D344</f>
        <v>367.9</v>
      </c>
      <c r="J344" s="10" t="n">
        <v>0</v>
      </c>
      <c r="K344" s="10" t="n">
        <v>552.6</v>
      </c>
      <c r="L344" s="10" t="n">
        <v>4.3</v>
      </c>
      <c r="M344" s="10" t="n">
        <v>551.5</v>
      </c>
      <c r="N344" s="11" t="n">
        <v>-4.3</v>
      </c>
      <c r="O344" s="10" t="n">
        <v>0</v>
      </c>
      <c r="P344" s="10" t="n">
        <v>300</v>
      </c>
      <c r="Q344" s="19" t="n">
        <f aca="false">1.15+((P344-261)/56)*(0.35-1.15)</f>
        <v>0.592857142857143</v>
      </c>
      <c r="R344" s="13" t="n">
        <f aca="false">Q344*L344</f>
        <v>2.54928571428571</v>
      </c>
      <c r="S344" s="13" t="n">
        <f aca="false">J344-R344</f>
        <v>-2.54928571428571</v>
      </c>
      <c r="T344" s="13" t="n">
        <v>0</v>
      </c>
      <c r="V344" s="10" t="n">
        <v>1789.3</v>
      </c>
      <c r="W344" s="10" t="n">
        <v>89.0199004975124</v>
      </c>
      <c r="X344" s="10" t="n">
        <v>270988</v>
      </c>
      <c r="Y344" s="10" t="n">
        <f aca="false">Y343+V344</f>
        <v>36549</v>
      </c>
      <c r="AA344" s="10" t="n">
        <v>16.33377719794</v>
      </c>
    </row>
    <row r="345" s="10" customFormat="true" ht="15" hidden="false" customHeight="false" outlineLevel="0" collapsed="false">
      <c r="A345" s="73"/>
      <c r="B345" s="8"/>
      <c r="C345" s="9" t="n">
        <v>42192</v>
      </c>
      <c r="D345" s="10" t="n">
        <v>18.7</v>
      </c>
      <c r="E345" s="10" t="n">
        <v>17.1</v>
      </c>
      <c r="F345" s="10" t="n">
        <v>23</v>
      </c>
      <c r="G345" s="10" t="n">
        <v>3018</v>
      </c>
      <c r="H345" s="10" t="n">
        <f aca="false">H344+D345</f>
        <v>386.6</v>
      </c>
      <c r="J345" s="10" t="n">
        <v>0</v>
      </c>
      <c r="K345" s="10" t="n">
        <v>552.6</v>
      </c>
      <c r="L345" s="10" t="n">
        <v>4</v>
      </c>
      <c r="M345" s="10" t="n">
        <v>555.5</v>
      </c>
      <c r="N345" s="11" t="n">
        <v>-4</v>
      </c>
      <c r="O345" s="10" t="n">
        <v>0</v>
      </c>
      <c r="P345" s="10" t="n">
        <v>301</v>
      </c>
      <c r="Q345" s="19" t="n">
        <f aca="false">1.15+((P345-261)/56)*(0.35-1.15)</f>
        <v>0.578571428571429</v>
      </c>
      <c r="R345" s="13" t="n">
        <f aca="false">Q345*L345</f>
        <v>2.31428571428571</v>
      </c>
      <c r="S345" s="13" t="n">
        <f aca="false">J345-R345</f>
        <v>-2.31428571428571</v>
      </c>
      <c r="T345" s="13" t="n">
        <v>0</v>
      </c>
      <c r="V345" s="10" t="n">
        <v>1732.5</v>
      </c>
      <c r="W345" s="10" t="n">
        <v>92.6470588235294</v>
      </c>
      <c r="X345" s="10" t="n">
        <v>272720.5</v>
      </c>
      <c r="Y345" s="10" t="n">
        <f aca="false">Y344+V345</f>
        <v>38281.5</v>
      </c>
      <c r="AA345" s="10" t="n">
        <v>16.3113537652065</v>
      </c>
    </row>
    <row r="346" s="28" customFormat="true" ht="15" hidden="false" customHeight="false" outlineLevel="0" collapsed="false">
      <c r="A346" s="73"/>
      <c r="B346" s="76" t="n">
        <v>1000</v>
      </c>
      <c r="C346" s="57" t="n">
        <v>42193</v>
      </c>
      <c r="D346" s="28" t="n">
        <v>15.4</v>
      </c>
      <c r="E346" s="28" t="n">
        <v>13.8</v>
      </c>
      <c r="F346" s="28" t="n">
        <v>17.6</v>
      </c>
      <c r="G346" s="28" t="n">
        <v>3033.4</v>
      </c>
      <c r="H346" s="28" t="n">
        <f aca="false">H345+D346</f>
        <v>402</v>
      </c>
      <c r="J346" s="28" t="n">
        <v>3.8</v>
      </c>
      <c r="K346" s="28" t="n">
        <v>556.4</v>
      </c>
      <c r="L346" s="28" t="n">
        <v>2.5</v>
      </c>
      <c r="M346" s="28" t="n">
        <v>558</v>
      </c>
      <c r="N346" s="28" t="n">
        <v>1.3</v>
      </c>
      <c r="O346" s="28" t="n">
        <f aca="false">O345+N346</f>
        <v>1.3</v>
      </c>
      <c r="P346" s="28" t="n">
        <v>302</v>
      </c>
      <c r="Q346" s="60" t="n">
        <f aca="false">1.15+((P346-261)/56)*(0.35-1.15)</f>
        <v>0.564285714285714</v>
      </c>
      <c r="R346" s="30" t="n">
        <f aca="false">Q346*L346</f>
        <v>1.41071428571429</v>
      </c>
      <c r="S346" s="30" t="n">
        <f aca="false">J346-R346</f>
        <v>2.38928571428571</v>
      </c>
      <c r="T346" s="31" t="n">
        <f aca="false">MIN(153.6,(T345+S346))</f>
        <v>2.38928571428571</v>
      </c>
      <c r="V346" s="28" t="n">
        <v>1422.7</v>
      </c>
      <c r="W346" s="28" t="n">
        <v>92.3831168831169</v>
      </c>
      <c r="X346" s="28" t="n">
        <v>274143.2</v>
      </c>
      <c r="Y346" s="29" t="n">
        <f aca="false">Y345+V346</f>
        <v>39704.2</v>
      </c>
      <c r="AA346" s="29" t="n">
        <v>16.2875166360552</v>
      </c>
    </row>
    <row r="347" s="10" customFormat="true" ht="15" hidden="false" customHeight="false" outlineLevel="0" collapsed="false">
      <c r="A347" s="7"/>
      <c r="B347" s="8"/>
      <c r="C347" s="9" t="n">
        <v>42194</v>
      </c>
      <c r="D347" s="10" t="n">
        <v>15.9</v>
      </c>
      <c r="E347" s="10" t="n">
        <v>12.6</v>
      </c>
      <c r="F347" s="10" t="n">
        <v>18.7</v>
      </c>
      <c r="G347" s="10" t="n">
        <v>3049.3</v>
      </c>
      <c r="H347" s="10" t="n">
        <v>15.9</v>
      </c>
      <c r="J347" s="10" t="n">
        <v>0</v>
      </c>
      <c r="K347" s="10" t="n">
        <v>556.4</v>
      </c>
      <c r="L347" s="10" t="n">
        <v>4</v>
      </c>
      <c r="M347" s="10" t="n">
        <v>562</v>
      </c>
      <c r="N347" s="11" t="n">
        <v>-4</v>
      </c>
      <c r="O347" s="10" t="n">
        <v>0</v>
      </c>
      <c r="P347" s="10" t="n">
        <v>303</v>
      </c>
      <c r="Q347" s="19" t="n">
        <f aca="false">1.15+((P347-261)/56)*(0.35-1.15)</f>
        <v>0.55</v>
      </c>
      <c r="R347" s="13" t="n">
        <f aca="false">Q347*L347</f>
        <v>2.2</v>
      </c>
      <c r="S347" s="13" t="n">
        <f aca="false">J347-R347</f>
        <v>-2.2</v>
      </c>
      <c r="T347" s="13" t="n">
        <f aca="false">MIN(153.6,(T346+S347))</f>
        <v>0.189285714285715</v>
      </c>
      <c r="V347" s="10" t="n">
        <v>2234.2</v>
      </c>
      <c r="W347" s="10" t="n">
        <v>140.51572327044</v>
      </c>
      <c r="X347" s="10" t="n">
        <v>276377.4</v>
      </c>
      <c r="Y347" s="10" t="n">
        <f aca="false">Y346+V347</f>
        <v>41938.4</v>
      </c>
      <c r="AA347" s="10" t="n">
        <v>16.2622901212915</v>
      </c>
    </row>
    <row r="348" s="10" customFormat="true" ht="15" hidden="false" customHeight="false" outlineLevel="0" collapsed="false">
      <c r="A348" s="7"/>
      <c r="B348" s="8"/>
      <c r="C348" s="9" t="n">
        <v>42195</v>
      </c>
      <c r="D348" s="10" t="n">
        <v>19.5</v>
      </c>
      <c r="E348" s="10" t="n">
        <v>11.1</v>
      </c>
      <c r="F348" s="20" t="n">
        <v>25.3</v>
      </c>
      <c r="G348" s="10" t="n">
        <v>3068.8</v>
      </c>
      <c r="H348" s="10" t="n">
        <f aca="false">H347+D348</f>
        <v>35.4</v>
      </c>
      <c r="J348" s="10" t="n">
        <v>0</v>
      </c>
      <c r="K348" s="10" t="n">
        <v>556.4</v>
      </c>
      <c r="L348" s="10" t="n">
        <v>5.9</v>
      </c>
      <c r="M348" s="10" t="n">
        <v>567.9</v>
      </c>
      <c r="N348" s="11" t="n">
        <v>-5.9</v>
      </c>
      <c r="O348" s="10" t="n">
        <v>0</v>
      </c>
      <c r="P348" s="10" t="n">
        <v>304</v>
      </c>
      <c r="Q348" s="19" t="n">
        <f aca="false">1.15+((P348-261)/56)*(0.35-1.15)</f>
        <v>0.535714285714286</v>
      </c>
      <c r="R348" s="13" t="n">
        <f aca="false">Q348*L348</f>
        <v>3.16071428571429</v>
      </c>
      <c r="S348" s="13" t="n">
        <f aca="false">J348-R348</f>
        <v>-3.16071428571429</v>
      </c>
      <c r="T348" s="13" t="n">
        <v>0</v>
      </c>
      <c r="V348" s="10" t="n">
        <v>2778.4</v>
      </c>
      <c r="W348" s="10" t="n">
        <v>142.482051282051</v>
      </c>
      <c r="X348" s="10" t="n">
        <v>279155.8</v>
      </c>
      <c r="Y348" s="10" t="n">
        <f aca="false">Y347+V348</f>
        <v>44716.8</v>
      </c>
      <c r="AA348" s="10" t="n">
        <v>16.2356994965715</v>
      </c>
    </row>
    <row r="349" s="10" customFormat="true" ht="15" hidden="false" customHeight="false" outlineLevel="0" collapsed="false">
      <c r="A349" s="7"/>
      <c r="B349" s="8"/>
      <c r="C349" s="9" t="n">
        <v>42196</v>
      </c>
      <c r="D349" s="10" t="n">
        <v>20.5</v>
      </c>
      <c r="E349" s="10" t="n">
        <v>17.8</v>
      </c>
      <c r="F349" s="20" t="n">
        <v>27</v>
      </c>
      <c r="G349" s="10" t="n">
        <v>3089.3</v>
      </c>
      <c r="H349" s="10" t="n">
        <f aca="false">H348+D349</f>
        <v>55.9</v>
      </c>
      <c r="J349" s="10" t="n">
        <v>0</v>
      </c>
      <c r="K349" s="10" t="n">
        <v>556.4</v>
      </c>
      <c r="L349" s="10" t="n">
        <v>7.6</v>
      </c>
      <c r="M349" s="10" t="n">
        <v>575.5</v>
      </c>
      <c r="N349" s="11" t="n">
        <v>-7.6</v>
      </c>
      <c r="O349" s="10" t="n">
        <v>0</v>
      </c>
      <c r="P349" s="10" t="n">
        <v>305</v>
      </c>
      <c r="Q349" s="19" t="n">
        <f aca="false">1.15+((P349-261)/56)*(0.35-1.15)</f>
        <v>0.521428571428571</v>
      </c>
      <c r="R349" s="13" t="n">
        <f aca="false">Q349*L349</f>
        <v>3.96285714285714</v>
      </c>
      <c r="S349" s="13" t="n">
        <f aca="false">J349-R349</f>
        <v>-3.96285714285714</v>
      </c>
      <c r="T349" s="13" t="n">
        <v>0</v>
      </c>
      <c r="V349" s="10" t="n">
        <v>3143</v>
      </c>
      <c r="W349" s="10" t="n">
        <v>153.317073170732</v>
      </c>
      <c r="X349" s="10" t="n">
        <v>282298.8</v>
      </c>
      <c r="Y349" s="10" t="n">
        <f aca="false">Y348+V349</f>
        <v>47859.8</v>
      </c>
      <c r="AA349" s="10" t="n">
        <v>16.2077709158279</v>
      </c>
    </row>
    <row r="350" s="10" customFormat="true" ht="15" hidden="false" customHeight="false" outlineLevel="0" collapsed="false">
      <c r="A350" s="7"/>
      <c r="B350" s="8"/>
      <c r="C350" s="9" t="n">
        <v>42197</v>
      </c>
      <c r="D350" s="10" t="n">
        <v>17.2</v>
      </c>
      <c r="E350" s="10" t="n">
        <v>14.1</v>
      </c>
      <c r="F350" s="10" t="n">
        <v>20.4</v>
      </c>
      <c r="G350" s="10" t="n">
        <v>3106.5</v>
      </c>
      <c r="H350" s="10" t="n">
        <f aca="false">H349+D350</f>
        <v>73.1</v>
      </c>
      <c r="J350" s="10" t="n">
        <v>1.1</v>
      </c>
      <c r="K350" s="10" t="n">
        <v>557.5</v>
      </c>
      <c r="L350" s="10" t="n">
        <v>2.6</v>
      </c>
      <c r="M350" s="10" t="n">
        <v>578.1</v>
      </c>
      <c r="N350" s="11" t="n">
        <v>-1.5</v>
      </c>
      <c r="O350" s="10" t="n">
        <v>0</v>
      </c>
      <c r="P350" s="10" t="n">
        <v>306</v>
      </c>
      <c r="Q350" s="19" t="n">
        <f aca="false">1.15+((P350-261)/56)*(0.35-1.15)</f>
        <v>0.507142857142857</v>
      </c>
      <c r="R350" s="13" t="n">
        <f aca="false">Q350*L350</f>
        <v>1.31857142857143</v>
      </c>
      <c r="S350" s="13" t="n">
        <f aca="false">J350-R350</f>
        <v>-0.218571428571428</v>
      </c>
      <c r="T350" s="13" t="n">
        <v>0</v>
      </c>
      <c r="V350" s="10" t="n">
        <v>1094.6</v>
      </c>
      <c r="W350" s="10" t="n">
        <v>63.6395348837209</v>
      </c>
      <c r="X350" s="10" t="n">
        <v>283393.4</v>
      </c>
      <c r="Y350" s="10" t="n">
        <f aca="false">Y349+V350</f>
        <v>48954.4</v>
      </c>
      <c r="AA350" s="10" t="n">
        <v>16.178531324226</v>
      </c>
    </row>
    <row r="351" s="10" customFormat="true" ht="15" hidden="false" customHeight="false" outlineLevel="0" collapsed="false">
      <c r="A351" s="7"/>
      <c r="B351" s="8"/>
      <c r="C351" s="9" t="n">
        <v>42198</v>
      </c>
      <c r="D351" s="10" t="n">
        <v>17.6</v>
      </c>
      <c r="E351" s="10" t="n">
        <v>16.2</v>
      </c>
      <c r="F351" s="10" t="n">
        <v>18.7</v>
      </c>
      <c r="G351" s="10" t="n">
        <v>3124.1</v>
      </c>
      <c r="H351" s="10" t="n">
        <f aca="false">H350+D351</f>
        <v>90.7</v>
      </c>
      <c r="J351" s="10" t="n">
        <v>1.6</v>
      </c>
      <c r="K351" s="10" t="n">
        <v>559.1</v>
      </c>
      <c r="L351" s="10" t="n">
        <v>1.6</v>
      </c>
      <c r="M351" s="10" t="n">
        <v>579.7</v>
      </c>
      <c r="N351" s="10" t="n">
        <v>0</v>
      </c>
      <c r="O351" s="10" t="n">
        <f aca="false">O350+N351</f>
        <v>0</v>
      </c>
      <c r="P351" s="10" t="n">
        <v>307</v>
      </c>
      <c r="Q351" s="19" t="n">
        <f aca="false">1.15+((P351-261)/56)*(0.35-1.15)</f>
        <v>0.492857142857143</v>
      </c>
      <c r="R351" s="13" t="n">
        <f aca="false">Q351*L351</f>
        <v>0.788571428571429</v>
      </c>
      <c r="S351" s="13" t="n">
        <f aca="false">J351-R351</f>
        <v>0.811428571428571</v>
      </c>
      <c r="T351" s="13" t="n">
        <f aca="false">MIN(153.6,(T350+S351))</f>
        <v>0.811428571428571</v>
      </c>
      <c r="V351" s="18" t="n">
        <v>635.8</v>
      </c>
      <c r="W351" s="10" t="n">
        <v>36.125</v>
      </c>
      <c r="X351" s="10" t="n">
        <v>284029.2</v>
      </c>
      <c r="Y351" s="10" t="n">
        <f aca="false">Y350+V351</f>
        <v>49590.2</v>
      </c>
      <c r="AA351" s="10" t="n">
        <v>16.148008371183</v>
      </c>
    </row>
    <row r="352" s="10" customFormat="true" ht="15" hidden="false" customHeight="false" outlineLevel="0" collapsed="false">
      <c r="A352" s="7"/>
      <c r="B352" s="8"/>
      <c r="C352" s="9" t="n">
        <v>42199</v>
      </c>
      <c r="D352" s="10" t="n">
        <v>18.4</v>
      </c>
      <c r="E352" s="10" t="n">
        <v>17</v>
      </c>
      <c r="F352" s="10" t="n">
        <v>20.3</v>
      </c>
      <c r="G352" s="10" t="n">
        <v>3142.5</v>
      </c>
      <c r="H352" s="10" t="n">
        <f aca="false">H351+D352</f>
        <v>109.1</v>
      </c>
      <c r="J352" s="10" t="n">
        <v>0.3</v>
      </c>
      <c r="K352" s="10" t="n">
        <v>559.4</v>
      </c>
      <c r="L352" s="10" t="n">
        <v>2.3</v>
      </c>
      <c r="M352" s="10" t="n">
        <v>582</v>
      </c>
      <c r="N352" s="11" t="n">
        <v>-2</v>
      </c>
      <c r="O352" s="10" t="n">
        <v>0</v>
      </c>
      <c r="P352" s="10" t="n">
        <v>308</v>
      </c>
      <c r="Q352" s="19" t="n">
        <f aca="false">1.15+((P352-261)/56)*(0.35-1.15)</f>
        <v>0.478571428571429</v>
      </c>
      <c r="R352" s="13" t="n">
        <f aca="false">Q352*L352</f>
        <v>1.10071428571429</v>
      </c>
      <c r="S352" s="13" t="n">
        <f aca="false">J352-R352</f>
        <v>-0.800714285714286</v>
      </c>
      <c r="T352" s="13" t="n">
        <f aca="false">MIN(153.6,(T351+S352))</f>
        <v>0.0107142857142859</v>
      </c>
      <c r="V352" s="18" t="n">
        <v>796.8</v>
      </c>
      <c r="W352" s="10" t="n">
        <v>43.304347826087</v>
      </c>
      <c r="X352" s="10" t="n">
        <v>284826</v>
      </c>
      <c r="Y352" s="10" t="n">
        <f aca="false">Y351+V352</f>
        <v>50387</v>
      </c>
      <c r="AA352" s="10" t="n">
        <v>16.1162303239535</v>
      </c>
    </row>
    <row r="353" s="10" customFormat="true" ht="15" hidden="false" customHeight="false" outlineLevel="0" collapsed="false">
      <c r="A353" s="7"/>
      <c r="B353" s="8"/>
      <c r="C353" s="9" t="n">
        <v>42200</v>
      </c>
      <c r="D353" s="10" t="n">
        <v>19</v>
      </c>
      <c r="E353" s="10" t="n">
        <v>16.3</v>
      </c>
      <c r="F353" s="10" t="n">
        <v>21.7</v>
      </c>
      <c r="G353" s="10" t="n">
        <v>3161.5</v>
      </c>
      <c r="H353" s="10" t="n">
        <f aca="false">H352+D353</f>
        <v>128.1</v>
      </c>
      <c r="J353" s="10" t="n">
        <v>1.3</v>
      </c>
      <c r="K353" s="10" t="n">
        <v>560.7</v>
      </c>
      <c r="L353" s="10" t="n">
        <v>1.4</v>
      </c>
      <c r="M353" s="10" t="n">
        <v>583.4</v>
      </c>
      <c r="N353" s="11" t="n">
        <v>-0.0999999999999999</v>
      </c>
      <c r="O353" s="10" t="n">
        <v>0</v>
      </c>
      <c r="P353" s="10" t="n">
        <v>309</v>
      </c>
      <c r="Q353" s="19" t="n">
        <f aca="false">1.15+((P353-261)/56)*(0.35-1.15)</f>
        <v>0.464285714285714</v>
      </c>
      <c r="R353" s="13" t="n">
        <f aca="false">Q353*L353</f>
        <v>0.65</v>
      </c>
      <c r="S353" s="13" t="n">
        <f aca="false">J353-R353</f>
        <v>0.65</v>
      </c>
      <c r="T353" s="13" t="n">
        <f aca="false">MIN(153.6,(T352+S353))</f>
        <v>0.660714285714286</v>
      </c>
      <c r="V353" s="18" t="n">
        <v>668.4</v>
      </c>
      <c r="W353" s="10" t="n">
        <v>35.1789473684211</v>
      </c>
      <c r="X353" s="10" t="n">
        <v>285494.4</v>
      </c>
      <c r="Y353" s="10" t="n">
        <f aca="false">Y352+V353</f>
        <v>51055.4</v>
      </c>
      <c r="AA353" s="10" t="n">
        <v>16.0832259822543</v>
      </c>
    </row>
    <row r="354" s="10" customFormat="true" ht="15" hidden="false" customHeight="false" outlineLevel="0" collapsed="false">
      <c r="A354" s="7"/>
      <c r="B354" s="8"/>
      <c r="C354" s="9" t="n">
        <v>42201</v>
      </c>
      <c r="D354" s="10" t="n">
        <v>22.6</v>
      </c>
      <c r="E354" s="10" t="n">
        <v>17.6</v>
      </c>
      <c r="F354" s="20" t="n">
        <v>25.9</v>
      </c>
      <c r="G354" s="10" t="n">
        <v>3184.1</v>
      </c>
      <c r="H354" s="10" t="n">
        <f aca="false">H353+D354</f>
        <v>150.7</v>
      </c>
      <c r="J354" s="10" t="n">
        <v>0.7</v>
      </c>
      <c r="K354" s="10" t="n">
        <v>561.4</v>
      </c>
      <c r="L354" s="10" t="n">
        <v>3.6</v>
      </c>
      <c r="M354" s="10" t="n">
        <v>587</v>
      </c>
      <c r="N354" s="11" t="n">
        <v>-2.9</v>
      </c>
      <c r="O354" s="10" t="n">
        <v>0</v>
      </c>
      <c r="P354" s="10" t="n">
        <v>310</v>
      </c>
      <c r="Q354" s="19" t="n">
        <f aca="false">1.15+((P354-261)/56)*(0.35-1.15)</f>
        <v>0.45</v>
      </c>
      <c r="R354" s="13" t="n">
        <f aca="false">Q354*L354</f>
        <v>1.62</v>
      </c>
      <c r="S354" s="13" t="n">
        <f aca="false">J354-R354</f>
        <v>-0.92</v>
      </c>
      <c r="T354" s="13" t="n">
        <v>0</v>
      </c>
      <c r="V354" s="10" t="n">
        <v>1664.6</v>
      </c>
      <c r="W354" s="10" t="n">
        <v>73.6548672566372</v>
      </c>
      <c r="X354" s="10" t="n">
        <v>287159</v>
      </c>
      <c r="Y354" s="10" t="n">
        <f aca="false">Y353+V354</f>
        <v>52720</v>
      </c>
      <c r="AA354" s="10" t="n">
        <v>16.0490245943618</v>
      </c>
    </row>
    <row r="355" s="10" customFormat="true" ht="15" hidden="false" customHeight="false" outlineLevel="0" collapsed="false">
      <c r="A355" s="7"/>
      <c r="B355" s="8"/>
      <c r="C355" s="9" t="n">
        <v>42202</v>
      </c>
      <c r="D355" s="10" t="n">
        <v>21.7</v>
      </c>
      <c r="E355" s="10" t="n">
        <v>20.4</v>
      </c>
      <c r="F355" s="20" t="n">
        <v>26</v>
      </c>
      <c r="G355" s="10" t="n">
        <v>3205.8</v>
      </c>
      <c r="H355" s="10" t="n">
        <f aca="false">H354+D355</f>
        <v>172.4</v>
      </c>
      <c r="J355" s="10" t="n">
        <v>1.3</v>
      </c>
      <c r="K355" s="10" t="n">
        <v>562.7</v>
      </c>
      <c r="L355" s="10" t="n">
        <v>4.2</v>
      </c>
      <c r="M355" s="10" t="n">
        <v>591.2</v>
      </c>
      <c r="N355" s="11" t="n">
        <v>-2.9</v>
      </c>
      <c r="O355" s="10" t="n">
        <v>0</v>
      </c>
      <c r="P355" s="10" t="n">
        <v>311</v>
      </c>
      <c r="Q355" s="19" t="n">
        <f aca="false">1.15+((P355-261)/56)*(0.35-1.15)</f>
        <v>0.435714285714286</v>
      </c>
      <c r="R355" s="13" t="n">
        <f aca="false">Q355*L355</f>
        <v>1.83</v>
      </c>
      <c r="S355" s="13" t="n">
        <f aca="false">J355-R355</f>
        <v>-0.53</v>
      </c>
      <c r="T355" s="13" t="n">
        <v>0</v>
      </c>
      <c r="V355" s="10" t="n">
        <v>1326.7</v>
      </c>
      <c r="W355" s="10" t="n">
        <v>61.1382488479263</v>
      </c>
      <c r="X355" s="10" t="n">
        <v>288485.7</v>
      </c>
      <c r="Y355" s="10" t="n">
        <f aca="false">Y354+V355</f>
        <v>54046.7</v>
      </c>
      <c r="AA355" s="10" t="n">
        <v>16.0136557750835</v>
      </c>
    </row>
    <row r="356" s="10" customFormat="true" ht="15" hidden="false" customHeight="false" outlineLevel="0" collapsed="false">
      <c r="A356" s="7"/>
      <c r="B356" s="8"/>
      <c r="C356" s="9" t="n">
        <v>42203</v>
      </c>
      <c r="D356" s="10" t="n">
        <v>19.1</v>
      </c>
      <c r="E356" s="10" t="n">
        <v>15.1</v>
      </c>
      <c r="F356" s="10" t="n">
        <v>23</v>
      </c>
      <c r="G356" s="10" t="n">
        <v>3224.9</v>
      </c>
      <c r="H356" s="10" t="n">
        <f aca="false">H355+D356</f>
        <v>191.5</v>
      </c>
      <c r="J356" s="10" t="n">
        <v>6.1</v>
      </c>
      <c r="K356" s="10" t="n">
        <v>568.8</v>
      </c>
      <c r="L356" s="10" t="n">
        <v>4.4</v>
      </c>
      <c r="M356" s="10" t="n">
        <v>595.6</v>
      </c>
      <c r="N356" s="10" t="n">
        <v>1.7</v>
      </c>
      <c r="O356" s="10" t="n">
        <f aca="false">O355+N356</f>
        <v>1.7</v>
      </c>
      <c r="P356" s="10" t="n">
        <v>312</v>
      </c>
      <c r="Q356" s="19" t="n">
        <f aca="false">1.15+((P356-261)/56)*(0.35-1.15)</f>
        <v>0.421428571428571</v>
      </c>
      <c r="R356" s="13" t="n">
        <f aca="false">Q356*L356</f>
        <v>1.85428571428571</v>
      </c>
      <c r="S356" s="13" t="n">
        <f aca="false">J356-R356</f>
        <v>4.24571428571429</v>
      </c>
      <c r="T356" s="13" t="n">
        <f aca="false">MIN(153.6,(T355+S356))</f>
        <v>4.24571428571429</v>
      </c>
      <c r="V356" s="10" t="n">
        <v>1871.8</v>
      </c>
      <c r="W356" s="10" t="n">
        <v>98</v>
      </c>
      <c r="X356" s="10" t="n">
        <v>290357.5</v>
      </c>
      <c r="Y356" s="10" t="n">
        <f aca="false">Y355+V356</f>
        <v>55918.5</v>
      </c>
      <c r="AA356" s="10" t="n">
        <v>15.9771494259616</v>
      </c>
    </row>
    <row r="357" s="10" customFormat="true" ht="15" hidden="false" customHeight="false" outlineLevel="0" collapsed="false">
      <c r="A357" s="7"/>
      <c r="B357" s="8"/>
      <c r="C357" s="9" t="n">
        <v>42204</v>
      </c>
      <c r="D357" s="10" t="n">
        <v>18.5</v>
      </c>
      <c r="E357" s="10" t="n">
        <v>15.6</v>
      </c>
      <c r="F357" s="10" t="n">
        <v>22.1</v>
      </c>
      <c r="G357" s="10" t="n">
        <v>3243.4</v>
      </c>
      <c r="H357" s="10" t="n">
        <f aca="false">H356+D357</f>
        <v>210</v>
      </c>
      <c r="J357" s="10" t="n">
        <v>1.2</v>
      </c>
      <c r="K357" s="10" t="n">
        <v>570</v>
      </c>
      <c r="L357" s="10" t="n">
        <v>1.8</v>
      </c>
      <c r="M357" s="10" t="n">
        <v>597.4</v>
      </c>
      <c r="N357" s="11" t="n">
        <v>-0.6</v>
      </c>
      <c r="O357" s="10" t="n">
        <f aca="false">O356+N357</f>
        <v>1.1</v>
      </c>
      <c r="P357" s="10" t="n">
        <v>313</v>
      </c>
      <c r="Q357" s="19" t="n">
        <f aca="false">1.15+((P357-261)/56)*(0.35-1.15)</f>
        <v>0.407142857142857</v>
      </c>
      <c r="R357" s="13" t="n">
        <f aca="false">Q357*L357</f>
        <v>0.732857142857143</v>
      </c>
      <c r="S357" s="13" t="n">
        <f aca="false">J357-R357</f>
        <v>0.467142857142857</v>
      </c>
      <c r="T357" s="13" t="n">
        <f aca="false">MIN(153.6,(T356+S357))</f>
        <v>4.71285714285714</v>
      </c>
      <c r="V357" s="18" t="n">
        <v>658.6</v>
      </c>
      <c r="W357" s="10" t="n">
        <v>35.6</v>
      </c>
      <c r="X357" s="10" t="n">
        <v>291016.1</v>
      </c>
      <c r="Y357" s="10" t="n">
        <f aca="false">Y356+V357</f>
        <v>56577.1</v>
      </c>
      <c r="AA357" s="10" t="n">
        <v>15.9395356580286</v>
      </c>
    </row>
    <row r="358" s="10" customFormat="true" ht="15" hidden="false" customHeight="false" outlineLevel="0" collapsed="false">
      <c r="A358" s="7"/>
      <c r="B358" s="8"/>
      <c r="C358" s="9" t="n">
        <v>42205</v>
      </c>
      <c r="D358" s="10" t="n">
        <v>20.5</v>
      </c>
      <c r="E358" s="10" t="n">
        <v>16.3</v>
      </c>
      <c r="F358" s="10" t="n">
        <v>23.2</v>
      </c>
      <c r="G358" s="10" t="n">
        <v>3263.9</v>
      </c>
      <c r="H358" s="10" t="n">
        <f aca="false">H357+D358</f>
        <v>230.5</v>
      </c>
      <c r="J358" s="10" t="n">
        <v>2.6</v>
      </c>
      <c r="K358" s="10" t="n">
        <v>572.6</v>
      </c>
      <c r="L358" s="10" t="n">
        <v>1.7</v>
      </c>
      <c r="M358" s="10" t="n">
        <v>599.1</v>
      </c>
      <c r="N358" s="10" t="n">
        <v>0.9</v>
      </c>
      <c r="O358" s="10" t="n">
        <f aca="false">O357+N358</f>
        <v>2</v>
      </c>
      <c r="P358" s="10" t="n">
        <v>314</v>
      </c>
      <c r="Q358" s="19" t="n">
        <f aca="false">1.15+((P358-261)/56)*(0.35-1.15)</f>
        <v>0.392857142857143</v>
      </c>
      <c r="R358" s="13" t="n">
        <f aca="false">Q358*L358</f>
        <v>0.667857142857143</v>
      </c>
      <c r="S358" s="13" t="n">
        <f aca="false">J358-R358</f>
        <v>1.93214285714286</v>
      </c>
      <c r="T358" s="13" t="n">
        <f aca="false">MIN(153.6,(T357+S358))</f>
        <v>6.645</v>
      </c>
      <c r="V358" s="18" t="n">
        <v>674.2</v>
      </c>
      <c r="W358" s="10" t="n">
        <v>32.8878048780488</v>
      </c>
      <c r="X358" s="10" t="n">
        <v>291690.3</v>
      </c>
      <c r="Y358" s="10" t="n">
        <f aca="false">Y357+V358</f>
        <v>57251.3</v>
      </c>
      <c r="AA358" s="10" t="n">
        <v>15.9008447173948</v>
      </c>
    </row>
    <row r="359" s="10" customFormat="true" ht="15" hidden="false" customHeight="false" outlineLevel="0" collapsed="false">
      <c r="A359" s="7"/>
      <c r="B359" s="8"/>
      <c r="C359" s="9" t="n">
        <v>42206</v>
      </c>
      <c r="D359" s="10" t="n">
        <v>20.8</v>
      </c>
      <c r="E359" s="10" t="n">
        <v>18.2</v>
      </c>
      <c r="F359" s="10" t="n">
        <v>23.8</v>
      </c>
      <c r="G359" s="10" t="n">
        <v>3284.7</v>
      </c>
      <c r="H359" s="10" t="n">
        <f aca="false">H358+D359</f>
        <v>251.3</v>
      </c>
      <c r="J359" s="10" t="n">
        <v>0</v>
      </c>
      <c r="K359" s="10" t="n">
        <v>572.6</v>
      </c>
      <c r="L359" s="10" t="n">
        <v>2.7</v>
      </c>
      <c r="M359" s="10" t="n">
        <v>601.8</v>
      </c>
      <c r="N359" s="11" t="n">
        <v>-2.7</v>
      </c>
      <c r="O359" s="10" t="n">
        <v>0</v>
      </c>
      <c r="P359" s="10" t="n">
        <v>315</v>
      </c>
      <c r="Q359" s="19" t="n">
        <f aca="false">1.15+((P359-261)/56)*(0.35-1.15)</f>
        <v>0.378571428571429</v>
      </c>
      <c r="R359" s="13" t="n">
        <f aca="false">Q359*L359</f>
        <v>1.02214285714286</v>
      </c>
      <c r="S359" s="13" t="n">
        <f aca="false">J359-R359</f>
        <v>-1.02214285714286</v>
      </c>
      <c r="T359" s="13" t="n">
        <f aca="false">MIN(153.6,(T358+S359))</f>
        <v>5.62285714285714</v>
      </c>
      <c r="V359" s="10" t="n">
        <v>1290</v>
      </c>
      <c r="W359" s="10" t="n">
        <v>62.0192307692308</v>
      </c>
      <c r="X359" s="10" t="n">
        <v>292980.3</v>
      </c>
      <c r="Y359" s="10" t="n">
        <f aca="false">Y358+V359</f>
        <v>58541.3</v>
      </c>
      <c r="AA359" s="10" t="n">
        <v>15.8611069139063</v>
      </c>
    </row>
    <row r="360" s="10" customFormat="true" ht="15" hidden="false" customHeight="false" outlineLevel="0" collapsed="false">
      <c r="A360" s="7"/>
      <c r="B360" s="8"/>
      <c r="C360" s="9" t="n">
        <v>42207</v>
      </c>
      <c r="D360" s="10" t="n">
        <v>19.5</v>
      </c>
      <c r="E360" s="10" t="n">
        <v>17.3</v>
      </c>
      <c r="F360" s="10" t="n">
        <v>23.5</v>
      </c>
      <c r="G360" s="10" t="n">
        <v>3304.2</v>
      </c>
      <c r="H360" s="10" t="n">
        <f aca="false">H359+D360</f>
        <v>270.8</v>
      </c>
      <c r="J360" s="10" t="n">
        <v>0</v>
      </c>
      <c r="K360" s="10" t="n">
        <v>572.6</v>
      </c>
      <c r="L360" s="10" t="n">
        <v>4.3</v>
      </c>
      <c r="M360" s="10" t="n">
        <v>606.1</v>
      </c>
      <c r="N360" s="11" t="n">
        <v>-4.3</v>
      </c>
      <c r="O360" s="10" t="n">
        <v>0</v>
      </c>
      <c r="P360" s="10" t="n">
        <v>316</v>
      </c>
      <c r="Q360" s="19" t="n">
        <f aca="false">1.15+((P360-261)/56)*(0.35-1.15)</f>
        <v>0.364285714285714</v>
      </c>
      <c r="R360" s="13" t="n">
        <f aca="false">Q360*L360</f>
        <v>1.56642857142857</v>
      </c>
      <c r="S360" s="13" t="n">
        <f aca="false">J360-R360</f>
        <v>-1.56642857142857</v>
      </c>
      <c r="T360" s="13" t="n">
        <f aca="false">MIN(153.6,(T359+S360))</f>
        <v>4.05642857142857</v>
      </c>
      <c r="V360" s="10" t="n">
        <v>1403.2</v>
      </c>
      <c r="W360" s="10" t="n">
        <v>71.9589743589744</v>
      </c>
      <c r="X360" s="10" t="n">
        <v>294383.5</v>
      </c>
      <c r="Y360" s="10" t="n">
        <f aca="false">Y359+V360</f>
        <v>59944.5</v>
      </c>
      <c r="AA360" s="10" t="n">
        <v>15.8203525530745</v>
      </c>
    </row>
    <row r="361" s="10" customFormat="true" ht="15" hidden="false" customHeight="false" outlineLevel="0" collapsed="false">
      <c r="A361" s="7"/>
      <c r="B361" s="8"/>
      <c r="C361" s="9" t="n">
        <v>42208</v>
      </c>
      <c r="D361" s="10" t="n">
        <v>18.2</v>
      </c>
      <c r="E361" s="10" t="n">
        <v>14.6</v>
      </c>
      <c r="F361" s="10" t="n">
        <v>21.4</v>
      </c>
      <c r="G361" s="10" t="n">
        <v>3322.4</v>
      </c>
      <c r="H361" s="10" t="n">
        <f aca="false">H360+D361</f>
        <v>289</v>
      </c>
      <c r="J361" s="10" t="n">
        <v>0</v>
      </c>
      <c r="K361" s="10" t="n">
        <v>572.6</v>
      </c>
      <c r="L361" s="10" t="n">
        <v>2.8</v>
      </c>
      <c r="M361" s="10" t="n">
        <v>608.9</v>
      </c>
      <c r="N361" s="11" t="n">
        <v>-2.8</v>
      </c>
      <c r="O361" s="10" t="n">
        <v>0</v>
      </c>
      <c r="P361" s="10" t="n">
        <v>317</v>
      </c>
      <c r="Q361" s="19" t="n">
        <f aca="false">1.15+((P361-261)/56)*(0.35-1.15)</f>
        <v>0.35</v>
      </c>
      <c r="R361" s="13" t="n">
        <f aca="false">Q361*L361</f>
        <v>0.98</v>
      </c>
      <c r="S361" s="13" t="n">
        <f aca="false">J361-R361</f>
        <v>-0.98</v>
      </c>
      <c r="T361" s="13" t="n">
        <f aca="false">MIN(153.6,(T360+S361))</f>
        <v>3.07642857142857</v>
      </c>
      <c r="V361" s="10" t="n">
        <v>1180.1</v>
      </c>
      <c r="W361" s="10" t="n">
        <v>64.8406593406593</v>
      </c>
      <c r="X361" s="10" t="n">
        <v>295563.6</v>
      </c>
      <c r="Y361" s="10" t="n">
        <f aca="false">Y360+V361</f>
        <v>61124.6</v>
      </c>
      <c r="AA361" s="10" t="n">
        <v>15.7786118714384</v>
      </c>
    </row>
    <row r="362" s="10" customFormat="true" ht="15" hidden="false" customHeight="false" outlineLevel="0" collapsed="false">
      <c r="A362" s="77" t="s">
        <v>56</v>
      </c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</sheetData>
  <mergeCells count="13">
    <mergeCell ref="D1:I2"/>
    <mergeCell ref="J1:U2"/>
    <mergeCell ref="V1:Z2"/>
    <mergeCell ref="G4:H4"/>
    <mergeCell ref="X4:Y4"/>
    <mergeCell ref="A44:Z44"/>
    <mergeCell ref="A45:A125"/>
    <mergeCell ref="A126:A222"/>
    <mergeCell ref="A223:A261"/>
    <mergeCell ref="A283:A305"/>
    <mergeCell ref="A306:A325"/>
    <mergeCell ref="A326:A346"/>
    <mergeCell ref="A362:Z362"/>
  </mergeCells>
  <conditionalFormatting sqref="T1:T4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51.2</formula>
    </cfRule>
  </conditionalFormatting>
  <conditionalFormatting sqref="T5:T362">
    <cfRule type="cellIs" priority="4" operator="equal" aboveAverage="0" equalAverage="0" bottom="0" percent="0" rank="0" text="" dxfId="2">
      <formula>0</formula>
    </cfRule>
    <cfRule type="cellIs" priority="5" operator="lessThanOrEqual" aboveAverage="0" equalAverage="0" bottom="0" percent="0" rank="0" text="" dxfId="3">
      <formula>51.2</formula>
    </cfRule>
  </conditionalFormatting>
  <conditionalFormatting sqref="S45:S361">
    <cfRule type="cellIs" priority="6" operator="lessThanOrEqual" aboveAverage="0" equalAverage="0" bottom="0" percent="0" rank="0" text="" dxfId="4">
      <formula>0</formula>
    </cfRule>
  </conditionalFormatting>
  <conditionalFormatting sqref="S5">
    <cfRule type="cellIs" priority="7" operator="lessThanOrEqual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6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3" ySplit="4" topLeftCell="I214" activePane="bottomRight" state="frozen"/>
      <selection pane="topLeft" activeCell="A1" activeCellId="0" sqref="A1"/>
      <selection pane="topRight" activeCell="I1" activeCellId="0" sqref="I1"/>
      <selection pane="bottomLeft" activeCell="A214" activeCellId="0" sqref="A214"/>
      <selection pane="bottomRight" activeCell="AB241" activeCellId="0" sqref="AB241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3</v>
      </c>
      <c r="B4" s="1" t="n">
        <v>5</v>
      </c>
      <c r="C4" s="1" t="s">
        <v>4</v>
      </c>
      <c r="D4" s="1" t="s">
        <v>5</v>
      </c>
      <c r="E4" s="1" t="s">
        <v>6</v>
      </c>
      <c r="F4" s="1" t="s">
        <v>7</v>
      </c>
      <c r="G4" s="5" t="s">
        <v>8</v>
      </c>
      <c r="H4" s="5"/>
      <c r="I4" s="1" t="s">
        <v>9</v>
      </c>
      <c r="J4" s="1" t="s">
        <v>57</v>
      </c>
      <c r="K4" s="1" t="s">
        <v>11</v>
      </c>
      <c r="L4" s="1" t="s">
        <v>58</v>
      </c>
      <c r="M4" s="1" t="s">
        <v>13</v>
      </c>
      <c r="N4" s="1" t="s">
        <v>14</v>
      </c>
      <c r="O4" s="1" t="s">
        <v>59</v>
      </c>
      <c r="P4" s="1" t="s">
        <v>16</v>
      </c>
      <c r="Q4" s="1" t="s">
        <v>17</v>
      </c>
      <c r="R4" s="1" t="s">
        <v>18</v>
      </c>
      <c r="S4" s="1" t="s">
        <v>19</v>
      </c>
      <c r="T4" s="6" t="s">
        <v>20</v>
      </c>
      <c r="U4" s="1" t="s">
        <v>9</v>
      </c>
      <c r="V4" s="1" t="s">
        <v>21</v>
      </c>
      <c r="W4" s="1" t="s">
        <v>22</v>
      </c>
      <c r="X4" s="5" t="s">
        <v>23</v>
      </c>
      <c r="Y4" s="5"/>
      <c r="Z4" s="1" t="s">
        <v>9</v>
      </c>
    </row>
    <row r="5" s="10" customFormat="true" ht="15" hidden="false" customHeight="false" outlineLevel="0" collapsed="false">
      <c r="A5" s="7"/>
      <c r="B5" s="8"/>
      <c r="C5" s="9" t="n">
        <v>41853</v>
      </c>
      <c r="D5" s="10" t="n">
        <v>20.1</v>
      </c>
      <c r="E5" s="10" t="n">
        <v>18.9</v>
      </c>
      <c r="F5" s="10" t="n">
        <v>23.8</v>
      </c>
      <c r="G5" s="10" t="e">
        <f aca="false">#REF!+D5</f>
        <v>#REF!</v>
      </c>
      <c r="H5" s="10" t="e">
        <f aca="false">#REF!+D5</f>
        <v>#REF!</v>
      </c>
      <c r="J5" s="10" t="n">
        <v>1.6</v>
      </c>
      <c r="K5" s="10" t="e">
        <f aca="false">#REF!+J5</f>
        <v>#REF!</v>
      </c>
      <c r="L5" s="10" t="n">
        <v>4</v>
      </c>
      <c r="M5" s="10" t="e">
        <f aca="false">#REF!+L5</f>
        <v>#REF!</v>
      </c>
      <c r="N5" s="11" t="n">
        <f aca="false">J5-L5</f>
        <v>-2.4</v>
      </c>
      <c r="O5" s="12" t="n">
        <v>0</v>
      </c>
      <c r="R5" s="13"/>
      <c r="S5" s="13"/>
      <c r="T5" s="13"/>
      <c r="V5" s="10" t="n">
        <v>1460.2</v>
      </c>
      <c r="W5" s="10" t="n">
        <f aca="false">V5/D5</f>
        <v>72.6467661691542</v>
      </c>
      <c r="X5" s="10" t="e">
        <f aca="false">#REF!+V5</f>
        <v>#REF!</v>
      </c>
      <c r="Y5" s="10" t="e">
        <f aca="false">#REF!+V5</f>
        <v>#REF!</v>
      </c>
    </row>
    <row r="6" s="10" customFormat="true" ht="15" hidden="false" customHeight="false" outlineLevel="0" collapsed="false">
      <c r="C6" s="9" t="n">
        <v>41854</v>
      </c>
      <c r="D6" s="10" t="n">
        <v>18.5</v>
      </c>
      <c r="E6" s="10" t="n">
        <v>16.1</v>
      </c>
      <c r="F6" s="10" t="n">
        <v>22.6</v>
      </c>
      <c r="J6" s="10" t="n">
        <v>0.1</v>
      </c>
      <c r="L6" s="10" t="n">
        <v>3.1</v>
      </c>
      <c r="N6" s="11" t="n">
        <f aca="false">J6-L6</f>
        <v>-3</v>
      </c>
      <c r="O6" s="10" t="n">
        <v>0</v>
      </c>
      <c r="T6" s="13"/>
      <c r="V6" s="10" t="n">
        <v>1303.3</v>
      </c>
    </row>
    <row r="7" s="10" customFormat="true" ht="15" hidden="false" customHeight="false" outlineLevel="0" collapsed="false">
      <c r="C7" s="9" t="n">
        <v>41855</v>
      </c>
      <c r="D7" s="10" t="n">
        <v>18.3</v>
      </c>
      <c r="E7" s="10" t="n">
        <v>13.3</v>
      </c>
      <c r="F7" s="10" t="n">
        <v>23.2</v>
      </c>
      <c r="J7" s="10" t="n">
        <v>0.1</v>
      </c>
      <c r="L7" s="10" t="n">
        <v>3.1</v>
      </c>
      <c r="N7" s="11" t="n">
        <f aca="false">J7-L7</f>
        <v>-3</v>
      </c>
      <c r="O7" s="10" t="n">
        <v>0</v>
      </c>
      <c r="T7" s="13"/>
      <c r="V7" s="10" t="n">
        <v>1469.6</v>
      </c>
    </row>
    <row r="8" s="10" customFormat="true" ht="15" hidden="false" customHeight="false" outlineLevel="0" collapsed="false">
      <c r="C8" s="9" t="n">
        <v>41856</v>
      </c>
      <c r="D8" s="10" t="n">
        <v>18.7</v>
      </c>
      <c r="E8" s="10" t="n">
        <v>13.1</v>
      </c>
      <c r="F8" s="10" t="n">
        <v>23.2</v>
      </c>
      <c r="J8" s="10" t="n">
        <v>0.4</v>
      </c>
      <c r="L8" s="10" t="n">
        <v>4</v>
      </c>
      <c r="N8" s="11" t="n">
        <f aca="false">J8-L8</f>
        <v>-3.6</v>
      </c>
      <c r="O8" s="10" t="n">
        <v>0</v>
      </c>
      <c r="T8" s="13"/>
      <c r="V8" s="10" t="n">
        <v>2118.9</v>
      </c>
    </row>
    <row r="9" s="10" customFormat="true" ht="15" hidden="false" customHeight="false" outlineLevel="0" collapsed="false">
      <c r="C9" s="9" t="n">
        <v>41857</v>
      </c>
      <c r="D9" s="10" t="n">
        <v>17.7</v>
      </c>
      <c r="E9" s="10" t="n">
        <v>16.7</v>
      </c>
      <c r="F9" s="10" t="n">
        <v>19.9</v>
      </c>
      <c r="J9" s="10" t="n">
        <v>2.7</v>
      </c>
      <c r="L9" s="10" t="n">
        <v>1.5</v>
      </c>
      <c r="N9" s="10" t="n">
        <f aca="false">J9-L9</f>
        <v>1.2</v>
      </c>
      <c r="O9" s="10" t="n">
        <f aca="false">O8+N9</f>
        <v>1.2</v>
      </c>
      <c r="T9" s="13"/>
      <c r="V9" s="10" t="n">
        <v>486.8</v>
      </c>
    </row>
    <row r="10" s="10" customFormat="true" ht="15" hidden="false" customHeight="false" outlineLevel="0" collapsed="false">
      <c r="C10" s="9" t="n">
        <v>41858</v>
      </c>
      <c r="D10" s="10" t="n">
        <v>19.6</v>
      </c>
      <c r="E10" s="10" t="n">
        <v>14.8</v>
      </c>
      <c r="F10" s="10" t="n">
        <v>24.3</v>
      </c>
      <c r="J10" s="10" t="n">
        <v>0.7</v>
      </c>
      <c r="L10" s="10" t="n">
        <v>3.2</v>
      </c>
      <c r="N10" s="11" t="n">
        <f aca="false">J10-L10</f>
        <v>-2.5</v>
      </c>
      <c r="O10" s="10" t="n">
        <v>0</v>
      </c>
      <c r="T10" s="13"/>
      <c r="V10" s="10" t="n">
        <v>1423.5</v>
      </c>
    </row>
    <row r="11" s="10" customFormat="true" ht="15" hidden="false" customHeight="false" outlineLevel="0" collapsed="false">
      <c r="C11" s="9" t="n">
        <v>41859</v>
      </c>
      <c r="D11" s="10" t="n">
        <v>19.1</v>
      </c>
      <c r="E11" s="10" t="n">
        <v>17.8</v>
      </c>
      <c r="F11" s="10" t="n">
        <v>20.1</v>
      </c>
      <c r="J11" s="10" t="n">
        <v>15.1</v>
      </c>
      <c r="L11" s="10" t="n">
        <v>1.4</v>
      </c>
      <c r="N11" s="10" t="n">
        <f aca="false">J11-L11</f>
        <v>13.7</v>
      </c>
      <c r="O11" s="10" t="n">
        <f aca="false">O10+N11</f>
        <v>13.7</v>
      </c>
      <c r="T11" s="13"/>
      <c r="V11" s="10" t="n">
        <v>492.5</v>
      </c>
    </row>
    <row r="12" s="10" customFormat="true" ht="15" hidden="false" customHeight="false" outlineLevel="0" collapsed="false">
      <c r="C12" s="9" t="n">
        <v>41860</v>
      </c>
      <c r="D12" s="10" t="n">
        <v>18.8</v>
      </c>
      <c r="E12" s="10" t="n">
        <v>16</v>
      </c>
      <c r="F12" s="10" t="n">
        <v>21.3</v>
      </c>
      <c r="J12" s="10" t="n">
        <v>0.1</v>
      </c>
      <c r="L12" s="10" t="n">
        <v>3.6</v>
      </c>
      <c r="N12" s="11" t="n">
        <f aca="false">J12-L12</f>
        <v>-3.5</v>
      </c>
      <c r="O12" s="10" t="n">
        <f aca="false">O11+N12</f>
        <v>10.2</v>
      </c>
      <c r="T12" s="13"/>
      <c r="V12" s="10" t="n">
        <v>1726.9</v>
      </c>
    </row>
    <row r="13" s="10" customFormat="true" ht="15" hidden="false" customHeight="false" outlineLevel="0" collapsed="false">
      <c r="C13" s="9" t="n">
        <v>41861</v>
      </c>
      <c r="D13" s="10" t="n">
        <v>17.7</v>
      </c>
      <c r="E13" s="10" t="n">
        <v>15.9</v>
      </c>
      <c r="F13" s="10" t="n">
        <v>19.3</v>
      </c>
      <c r="J13" s="10" t="n">
        <v>16.6</v>
      </c>
      <c r="L13" s="10" t="n">
        <v>1.7</v>
      </c>
      <c r="N13" s="10" t="n">
        <f aca="false">J13-L13</f>
        <v>14.9</v>
      </c>
      <c r="O13" s="10" t="n">
        <f aca="false">O12+N13</f>
        <v>25.1</v>
      </c>
      <c r="T13" s="13"/>
      <c r="V13" s="10" t="n">
        <v>667.8</v>
      </c>
    </row>
    <row r="14" s="10" customFormat="true" ht="15" hidden="false" customHeight="false" outlineLevel="0" collapsed="false">
      <c r="C14" s="9" t="n">
        <v>41862</v>
      </c>
      <c r="D14" s="10" t="n">
        <v>16.7</v>
      </c>
      <c r="E14" s="10" t="n">
        <v>14.2</v>
      </c>
      <c r="F14" s="10" t="n">
        <v>20</v>
      </c>
      <c r="J14" s="10" t="n">
        <v>1.6</v>
      </c>
      <c r="L14" s="10" t="n">
        <v>3.5</v>
      </c>
      <c r="N14" s="11" t="n">
        <f aca="false">J14-L14</f>
        <v>-1.9</v>
      </c>
      <c r="O14" s="10" t="n">
        <f aca="false">O13+N14</f>
        <v>23.2</v>
      </c>
      <c r="T14" s="13"/>
      <c r="V14" s="10" t="n">
        <v>1388.2</v>
      </c>
    </row>
    <row r="15" s="10" customFormat="true" ht="15" hidden="false" customHeight="false" outlineLevel="0" collapsed="false">
      <c r="C15" s="9" t="n">
        <v>41863</v>
      </c>
      <c r="D15" s="10" t="n">
        <v>16.2</v>
      </c>
      <c r="E15" s="10" t="n">
        <v>14</v>
      </c>
      <c r="F15" s="10" t="n">
        <v>19</v>
      </c>
      <c r="J15" s="10" t="n">
        <v>4.4</v>
      </c>
      <c r="L15" s="10" t="n">
        <v>3</v>
      </c>
      <c r="N15" s="10" t="n">
        <f aca="false">J15-L15</f>
        <v>1.4</v>
      </c>
      <c r="O15" s="10" t="n">
        <f aca="false">O14+N15</f>
        <v>24.6</v>
      </c>
      <c r="T15" s="13"/>
      <c r="V15" s="10" t="n">
        <v>1299.5</v>
      </c>
    </row>
    <row r="16" s="10" customFormat="true" ht="15" hidden="false" customHeight="false" outlineLevel="0" collapsed="false">
      <c r="C16" s="9" t="n">
        <v>41864</v>
      </c>
      <c r="D16" s="10" t="n">
        <v>16</v>
      </c>
      <c r="E16" s="10" t="n">
        <v>11.5</v>
      </c>
      <c r="F16" s="10" t="n">
        <v>20.1</v>
      </c>
      <c r="J16" s="10" t="n">
        <v>1.4</v>
      </c>
      <c r="L16" s="10" t="n">
        <v>3</v>
      </c>
      <c r="N16" s="11" t="n">
        <f aca="false">J16-L16</f>
        <v>-1.6</v>
      </c>
      <c r="O16" s="10" t="n">
        <f aca="false">O15+N16</f>
        <v>23</v>
      </c>
      <c r="T16" s="13"/>
      <c r="V16" s="10" t="n">
        <v>1615.4</v>
      </c>
    </row>
    <row r="17" s="10" customFormat="true" ht="15" hidden="false" customHeight="false" outlineLevel="0" collapsed="false">
      <c r="C17" s="9" t="n">
        <v>41865</v>
      </c>
      <c r="D17" s="10" t="n">
        <v>15.8</v>
      </c>
      <c r="E17" s="10" t="n">
        <v>14.2</v>
      </c>
      <c r="F17" s="10" t="n">
        <v>18.5</v>
      </c>
      <c r="J17" s="10" t="n">
        <v>4</v>
      </c>
      <c r="L17" s="10" t="n">
        <v>2.4</v>
      </c>
      <c r="N17" s="10" t="n">
        <f aca="false">J17-L17</f>
        <v>1.6</v>
      </c>
      <c r="O17" s="10" t="n">
        <f aca="false">O16+N17</f>
        <v>24.6</v>
      </c>
      <c r="T17" s="13"/>
      <c r="V17" s="10" t="n">
        <v>1194.2</v>
      </c>
    </row>
    <row r="18" s="10" customFormat="true" ht="15" hidden="false" customHeight="false" outlineLevel="0" collapsed="false">
      <c r="C18" s="9" t="n">
        <v>41866</v>
      </c>
      <c r="D18" s="10" t="n">
        <v>15.2</v>
      </c>
      <c r="E18" s="10" t="n">
        <v>13</v>
      </c>
      <c r="F18" s="10" t="n">
        <v>18.4</v>
      </c>
      <c r="J18" s="10" t="n">
        <v>6.1</v>
      </c>
      <c r="L18" s="10" t="n">
        <v>2</v>
      </c>
      <c r="N18" s="10" t="n">
        <f aca="false">J18-L18</f>
        <v>4.1</v>
      </c>
      <c r="O18" s="10" t="n">
        <f aca="false">O17+N18</f>
        <v>28.7</v>
      </c>
      <c r="T18" s="13"/>
      <c r="V18" s="10" t="n">
        <v>885.9</v>
      </c>
    </row>
    <row r="19" s="10" customFormat="true" ht="15" hidden="false" customHeight="false" outlineLevel="0" collapsed="false">
      <c r="C19" s="9" t="n">
        <v>41867</v>
      </c>
      <c r="D19" s="10" t="n">
        <v>16</v>
      </c>
      <c r="E19" s="10" t="n">
        <v>12.2</v>
      </c>
      <c r="F19" s="10" t="n">
        <v>19.3</v>
      </c>
      <c r="J19" s="10" t="n">
        <v>0.1</v>
      </c>
      <c r="L19" s="10" t="n">
        <v>2.8</v>
      </c>
      <c r="N19" s="11" t="n">
        <f aca="false">J19-L19</f>
        <v>-2.7</v>
      </c>
      <c r="O19" s="10" t="n">
        <f aca="false">O18+N19</f>
        <v>26</v>
      </c>
      <c r="T19" s="13"/>
      <c r="V19" s="10" t="n">
        <v>1659.6</v>
      </c>
    </row>
    <row r="20" s="10" customFormat="true" ht="15" hidden="false" customHeight="false" outlineLevel="0" collapsed="false">
      <c r="C20" s="9" t="n">
        <v>41868</v>
      </c>
      <c r="D20" s="10" t="n">
        <v>14.8</v>
      </c>
      <c r="E20" s="10" t="n">
        <v>12.6</v>
      </c>
      <c r="F20" s="10" t="n">
        <v>16.6</v>
      </c>
      <c r="J20" s="10" t="n">
        <v>3.6</v>
      </c>
      <c r="L20" s="10" t="n">
        <v>1.6</v>
      </c>
      <c r="N20" s="10" t="n">
        <f aca="false">J20-L20</f>
        <v>2</v>
      </c>
      <c r="O20" s="10" t="n">
        <f aca="false">O19+N20</f>
        <v>28</v>
      </c>
      <c r="T20" s="13"/>
      <c r="V20" s="10" t="n">
        <v>622.4</v>
      </c>
    </row>
    <row r="21" s="10" customFormat="true" ht="15" hidden="false" customHeight="false" outlineLevel="0" collapsed="false">
      <c r="C21" s="9" t="n">
        <v>41869</v>
      </c>
      <c r="D21" s="10" t="n">
        <v>15.3</v>
      </c>
      <c r="E21" s="10" t="n">
        <v>12.8</v>
      </c>
      <c r="F21" s="10" t="n">
        <v>17.8</v>
      </c>
      <c r="J21" s="10" t="n">
        <v>1.9</v>
      </c>
      <c r="L21" s="10" t="n">
        <v>2.8</v>
      </c>
      <c r="N21" s="11" t="n">
        <f aca="false">J21-L21</f>
        <v>-0.9</v>
      </c>
      <c r="O21" s="10" t="n">
        <f aca="false">O20+N21</f>
        <v>27.1</v>
      </c>
      <c r="T21" s="13"/>
      <c r="V21" s="10" t="n">
        <v>1132.8</v>
      </c>
    </row>
    <row r="22" s="10" customFormat="true" ht="15" hidden="false" customHeight="false" outlineLevel="0" collapsed="false">
      <c r="C22" s="9" t="n">
        <v>41870</v>
      </c>
      <c r="D22" s="10" t="n">
        <v>14.1</v>
      </c>
      <c r="E22" s="10" t="n">
        <v>12.7</v>
      </c>
      <c r="F22" s="10" t="n">
        <v>16.3</v>
      </c>
      <c r="J22" s="10" t="n">
        <v>4.1</v>
      </c>
      <c r="L22" s="10" t="n">
        <v>2.7</v>
      </c>
      <c r="N22" s="10" t="n">
        <f aca="false">J22-L22</f>
        <v>1.4</v>
      </c>
      <c r="O22" s="10" t="n">
        <f aca="false">O21+N22</f>
        <v>28.5</v>
      </c>
      <c r="T22" s="13"/>
      <c r="V22" s="10" t="n">
        <v>1132.2</v>
      </c>
    </row>
    <row r="23" s="10" customFormat="true" ht="15" hidden="false" customHeight="false" outlineLevel="0" collapsed="false">
      <c r="C23" s="9" t="n">
        <v>41871</v>
      </c>
      <c r="D23" s="10" t="n">
        <v>13.2</v>
      </c>
      <c r="E23" s="10" t="n">
        <v>9</v>
      </c>
      <c r="F23" s="10" t="n">
        <v>17.9</v>
      </c>
      <c r="J23" s="10" t="n">
        <v>2.3</v>
      </c>
      <c r="L23" s="10" t="n">
        <v>2.9</v>
      </c>
      <c r="N23" s="11" t="n">
        <f aca="false">J23-L23</f>
        <v>-0.6</v>
      </c>
      <c r="O23" s="10" t="n">
        <f aca="false">O22+N23</f>
        <v>27.9</v>
      </c>
      <c r="T23" s="13"/>
      <c r="V23" s="10" t="n">
        <v>1649.1</v>
      </c>
    </row>
    <row r="24" s="10" customFormat="true" ht="15" hidden="false" customHeight="false" outlineLevel="0" collapsed="false">
      <c r="C24" s="9" t="n">
        <v>41872</v>
      </c>
      <c r="D24" s="10" t="n">
        <v>13.4</v>
      </c>
      <c r="E24" s="10" t="n">
        <v>9.2</v>
      </c>
      <c r="F24" s="10" t="n">
        <v>17.2</v>
      </c>
      <c r="J24" s="10" t="n">
        <v>0</v>
      </c>
      <c r="L24" s="10" t="n">
        <v>2</v>
      </c>
      <c r="N24" s="11" t="n">
        <f aca="false">J24-L24</f>
        <v>-2</v>
      </c>
      <c r="O24" s="10" t="n">
        <f aca="false">O23+N24</f>
        <v>25.9</v>
      </c>
      <c r="T24" s="13"/>
      <c r="V24" s="10" t="n">
        <v>1099.8</v>
      </c>
    </row>
    <row r="25" s="10" customFormat="true" ht="15" hidden="false" customHeight="false" outlineLevel="0" collapsed="false">
      <c r="C25" s="9" t="n">
        <v>41873</v>
      </c>
      <c r="D25" s="10" t="n">
        <v>14</v>
      </c>
      <c r="E25" s="10" t="n">
        <v>11.2</v>
      </c>
      <c r="F25" s="10" t="n">
        <v>16.2</v>
      </c>
      <c r="J25" s="10" t="n">
        <v>4.6</v>
      </c>
      <c r="L25" s="10" t="n">
        <v>1.4</v>
      </c>
      <c r="N25" s="10" t="n">
        <f aca="false">J25-L25</f>
        <v>3.2</v>
      </c>
      <c r="O25" s="10" t="n">
        <f aca="false">O24+N25</f>
        <v>29.1</v>
      </c>
      <c r="T25" s="13"/>
      <c r="V25" s="10" t="n">
        <v>642.5</v>
      </c>
    </row>
    <row r="26" s="10" customFormat="true" ht="15" hidden="false" customHeight="false" outlineLevel="0" collapsed="false">
      <c r="C26" s="9" t="n">
        <v>41874</v>
      </c>
      <c r="D26" s="10" t="n">
        <v>13.2</v>
      </c>
      <c r="E26" s="10" t="n">
        <v>10.4</v>
      </c>
      <c r="F26" s="10" t="n">
        <v>17.9</v>
      </c>
      <c r="J26" s="10" t="n">
        <v>2.1</v>
      </c>
      <c r="L26" s="10" t="n">
        <v>2.9</v>
      </c>
      <c r="N26" s="11" t="n">
        <f aca="false">J26-L26</f>
        <v>-0.8</v>
      </c>
      <c r="O26" s="10" t="n">
        <f aca="false">O25+N26</f>
        <v>28.3</v>
      </c>
      <c r="T26" s="13"/>
      <c r="V26" s="10" t="n">
        <v>1369.1</v>
      </c>
    </row>
    <row r="27" s="10" customFormat="true" ht="15" hidden="false" customHeight="false" outlineLevel="0" collapsed="false">
      <c r="C27" s="9" t="n">
        <v>41875</v>
      </c>
      <c r="D27" s="10" t="n">
        <v>14</v>
      </c>
      <c r="E27" s="10" t="n">
        <v>9.3</v>
      </c>
      <c r="F27" s="10" t="n">
        <v>18</v>
      </c>
      <c r="J27" s="10" t="n">
        <v>0</v>
      </c>
      <c r="L27" s="10" t="n">
        <v>2.4</v>
      </c>
      <c r="N27" s="11" t="n">
        <f aca="false">J27-L27</f>
        <v>-2.4</v>
      </c>
      <c r="O27" s="10" t="n">
        <f aca="false">O26+N27</f>
        <v>25.9</v>
      </c>
      <c r="T27" s="13"/>
      <c r="V27" s="10" t="n">
        <v>1442.9</v>
      </c>
    </row>
    <row r="28" s="10" customFormat="true" ht="15" hidden="false" customHeight="false" outlineLevel="0" collapsed="false">
      <c r="C28" s="9" t="n">
        <v>41876</v>
      </c>
      <c r="D28" s="10" t="n">
        <v>14</v>
      </c>
      <c r="E28" s="10" t="n">
        <v>12.1</v>
      </c>
      <c r="F28" s="10" t="n">
        <v>15.8</v>
      </c>
      <c r="J28" s="10" t="n">
        <v>27.2</v>
      </c>
      <c r="L28" s="10" t="n">
        <v>0.7</v>
      </c>
      <c r="N28" s="10" t="n">
        <f aca="false">J28-L28</f>
        <v>26.5</v>
      </c>
      <c r="O28" s="10" t="n">
        <f aca="false">O27+N28</f>
        <v>52.4</v>
      </c>
      <c r="T28" s="13"/>
      <c r="V28" s="10" t="n">
        <v>380</v>
      </c>
    </row>
    <row r="29" s="10" customFormat="true" ht="15" hidden="false" customHeight="false" outlineLevel="0" collapsed="false">
      <c r="C29" s="9" t="n">
        <v>41877</v>
      </c>
      <c r="D29" s="10" t="n">
        <v>16.2</v>
      </c>
      <c r="E29" s="10" t="n">
        <v>14.5</v>
      </c>
      <c r="F29" s="10" t="n">
        <v>18.1</v>
      </c>
      <c r="J29" s="10" t="n">
        <v>8.4</v>
      </c>
      <c r="L29" s="10" t="n">
        <v>1.1</v>
      </c>
      <c r="N29" s="10" t="n">
        <f aca="false">J29-L29</f>
        <v>7.3</v>
      </c>
      <c r="O29" s="10" t="n">
        <f aca="false">O28+N29</f>
        <v>59.7</v>
      </c>
      <c r="T29" s="13"/>
      <c r="V29" s="10" t="n">
        <v>421.5</v>
      </c>
    </row>
    <row r="30" s="10" customFormat="true" ht="15" hidden="false" customHeight="false" outlineLevel="0" collapsed="false">
      <c r="C30" s="9" t="n">
        <v>41878</v>
      </c>
      <c r="D30" s="10" t="n">
        <v>16.3</v>
      </c>
      <c r="E30" s="10" t="n">
        <v>13.3</v>
      </c>
      <c r="F30" s="10" t="n">
        <v>18.5</v>
      </c>
      <c r="J30" s="10" t="n">
        <v>0.3</v>
      </c>
      <c r="L30" s="10" t="n">
        <v>2.6</v>
      </c>
      <c r="N30" s="11" t="n">
        <f aca="false">J30-L30</f>
        <v>-2.3</v>
      </c>
      <c r="O30" s="10" t="n">
        <f aca="false">O29+N30</f>
        <v>57.4</v>
      </c>
      <c r="T30" s="13"/>
      <c r="V30" s="10" t="n">
        <v>1205.4</v>
      </c>
    </row>
    <row r="31" s="10" customFormat="true" ht="15" hidden="false" customHeight="false" outlineLevel="0" collapsed="false">
      <c r="C31" s="9" t="n">
        <v>41879</v>
      </c>
      <c r="D31" s="10" t="n">
        <v>18</v>
      </c>
      <c r="E31" s="10" t="n">
        <v>15.7</v>
      </c>
      <c r="F31" s="10" t="n">
        <v>21.1</v>
      </c>
      <c r="J31" s="10" t="n">
        <v>1.6</v>
      </c>
      <c r="L31" s="10" t="n">
        <v>1.9</v>
      </c>
      <c r="N31" s="11" t="n">
        <f aca="false">J31-L31</f>
        <v>-0.3</v>
      </c>
      <c r="O31" s="10" t="n">
        <f aca="false">O30+N31</f>
        <v>57.1</v>
      </c>
      <c r="T31" s="13"/>
      <c r="V31" s="10" t="n">
        <v>510.5</v>
      </c>
    </row>
    <row r="32" s="10" customFormat="true" ht="15" hidden="false" customHeight="false" outlineLevel="0" collapsed="false">
      <c r="C32" s="9" t="n">
        <v>41880</v>
      </c>
      <c r="D32" s="10" t="n">
        <v>17.7</v>
      </c>
      <c r="E32" s="10" t="n">
        <v>15.4</v>
      </c>
      <c r="F32" s="10" t="n">
        <v>20.7</v>
      </c>
      <c r="J32" s="10" t="n">
        <v>0</v>
      </c>
      <c r="L32" s="10" t="n">
        <v>3.5</v>
      </c>
      <c r="N32" s="11" t="n">
        <f aca="false">J32-L32</f>
        <v>-3.5</v>
      </c>
      <c r="O32" s="10" t="n">
        <f aca="false">O31+N32</f>
        <v>53.6</v>
      </c>
      <c r="T32" s="13"/>
      <c r="V32" s="10" t="n">
        <v>1236.9</v>
      </c>
    </row>
    <row r="33" s="10" customFormat="true" ht="15" hidden="false" customHeight="false" outlineLevel="0" collapsed="false">
      <c r="C33" s="9" t="n">
        <v>41881</v>
      </c>
      <c r="D33" s="10" t="n">
        <v>16.5</v>
      </c>
      <c r="E33" s="10" t="n">
        <v>16</v>
      </c>
      <c r="F33" s="10" t="n">
        <v>17.9</v>
      </c>
      <c r="J33" s="10" t="n">
        <v>2</v>
      </c>
      <c r="L33" s="10" t="n">
        <v>1.6</v>
      </c>
      <c r="N33" s="10" t="n">
        <f aca="false">J33-L33</f>
        <v>0.4</v>
      </c>
      <c r="O33" s="10" t="n">
        <f aca="false">O32+N33</f>
        <v>54</v>
      </c>
      <c r="T33" s="13"/>
      <c r="V33" s="10" t="n">
        <v>364.5</v>
      </c>
    </row>
    <row r="34" s="10" customFormat="true" ht="15" hidden="false" customHeight="false" outlineLevel="0" collapsed="false">
      <c r="C34" s="9" t="n">
        <v>41882</v>
      </c>
      <c r="D34" s="10" t="n">
        <v>15.9</v>
      </c>
      <c r="E34" s="10" t="n">
        <v>14.4</v>
      </c>
      <c r="F34" s="10" t="n">
        <v>19.5</v>
      </c>
      <c r="J34" s="10" t="n">
        <v>0.3</v>
      </c>
      <c r="L34" s="10" t="n">
        <v>2.5</v>
      </c>
      <c r="N34" s="11" t="n">
        <f aca="false">J34-L34</f>
        <v>-2.2</v>
      </c>
      <c r="O34" s="10" t="n">
        <f aca="false">O33+N34</f>
        <v>51.8</v>
      </c>
      <c r="T34" s="13"/>
      <c r="V34" s="10" t="n">
        <v>898.7</v>
      </c>
    </row>
    <row r="35" s="10" customFormat="true" ht="15" hidden="false" customHeight="false" outlineLevel="0" collapsed="false">
      <c r="C35" s="9" t="n">
        <v>41883</v>
      </c>
      <c r="D35" s="10" t="n">
        <v>16.1</v>
      </c>
      <c r="E35" s="10" t="n">
        <v>11</v>
      </c>
      <c r="F35" s="10" t="n">
        <v>20.9</v>
      </c>
      <c r="J35" s="10" t="n">
        <v>1.2</v>
      </c>
      <c r="L35" s="10" t="n">
        <v>2.2</v>
      </c>
      <c r="N35" s="11" t="n">
        <f aca="false">J35-L35</f>
        <v>-1</v>
      </c>
      <c r="O35" s="10" t="n">
        <f aca="false">O34+N35</f>
        <v>50.8</v>
      </c>
      <c r="T35" s="13"/>
      <c r="V35" s="10" t="n">
        <v>1140.4</v>
      </c>
    </row>
    <row r="36" s="10" customFormat="true" ht="15" hidden="false" customHeight="false" outlineLevel="0" collapsed="false">
      <c r="C36" s="9" t="n">
        <v>41884</v>
      </c>
      <c r="D36" s="10" t="n">
        <v>18</v>
      </c>
      <c r="E36" s="10" t="n">
        <v>15.6</v>
      </c>
      <c r="F36" s="10" t="n">
        <v>20.4</v>
      </c>
      <c r="J36" s="10" t="n">
        <v>0</v>
      </c>
      <c r="L36" s="10" t="n">
        <v>3.1</v>
      </c>
      <c r="N36" s="11" t="n">
        <f aca="false">J36-L36</f>
        <v>-3.1</v>
      </c>
      <c r="O36" s="10" t="n">
        <f aca="false">O35+N36</f>
        <v>47.7</v>
      </c>
      <c r="T36" s="13"/>
      <c r="V36" s="10" t="n">
        <v>1544.3</v>
      </c>
    </row>
    <row r="37" s="10" customFormat="true" ht="15" hidden="false" customHeight="false" outlineLevel="0" collapsed="false">
      <c r="C37" s="9" t="n">
        <v>41885</v>
      </c>
      <c r="D37" s="10" t="n">
        <v>17.3</v>
      </c>
      <c r="E37" s="10" t="n">
        <v>14</v>
      </c>
      <c r="F37" s="10" t="n">
        <v>20.3</v>
      </c>
      <c r="J37" s="10" t="n">
        <v>0</v>
      </c>
      <c r="L37" s="10" t="n">
        <v>3.4</v>
      </c>
      <c r="N37" s="11" t="n">
        <f aca="false">J37-L37</f>
        <v>-3.4</v>
      </c>
      <c r="O37" s="10" t="n">
        <f aca="false">O36+N37</f>
        <v>44.3</v>
      </c>
      <c r="T37" s="13"/>
      <c r="V37" s="10" t="n">
        <v>1901.3</v>
      </c>
    </row>
    <row r="38" s="10" customFormat="true" ht="15" hidden="false" customHeight="false" outlineLevel="0" collapsed="false">
      <c r="C38" s="9" t="n">
        <v>41886</v>
      </c>
      <c r="D38" s="10" t="n">
        <v>18</v>
      </c>
      <c r="E38" s="10" t="n">
        <v>13.7</v>
      </c>
      <c r="F38" s="10" t="n">
        <v>22.2</v>
      </c>
      <c r="J38" s="10" t="n">
        <v>0</v>
      </c>
      <c r="L38" s="10" t="n">
        <v>3.4</v>
      </c>
      <c r="N38" s="11" t="n">
        <f aca="false">J38-L38</f>
        <v>-3.4</v>
      </c>
      <c r="O38" s="10" t="n">
        <f aca="false">O37+N38</f>
        <v>40.9</v>
      </c>
      <c r="T38" s="13"/>
      <c r="V38" s="10" t="n">
        <v>1763.7</v>
      </c>
    </row>
    <row r="39" s="10" customFormat="true" ht="15" hidden="false" customHeight="false" outlineLevel="0" collapsed="false">
      <c r="C39" s="9" t="n">
        <v>41887</v>
      </c>
      <c r="D39" s="10" t="n">
        <v>19.1</v>
      </c>
      <c r="E39" s="10" t="n">
        <v>17</v>
      </c>
      <c r="F39" s="10" t="n">
        <v>22.4</v>
      </c>
      <c r="J39" s="10" t="n">
        <v>0</v>
      </c>
      <c r="L39" s="10" t="n">
        <v>2.8</v>
      </c>
      <c r="N39" s="11" t="n">
        <f aca="false">J39-L39</f>
        <v>-2.8</v>
      </c>
      <c r="O39" s="10" t="n">
        <f aca="false">O38+N39</f>
        <v>38.1</v>
      </c>
      <c r="T39" s="13"/>
      <c r="V39" s="10" t="n">
        <v>1069.3</v>
      </c>
    </row>
    <row r="40" s="10" customFormat="true" ht="15" hidden="false" customHeight="false" outlineLevel="0" collapsed="false">
      <c r="C40" s="9" t="n">
        <v>41888</v>
      </c>
      <c r="D40" s="10" t="n">
        <v>18</v>
      </c>
      <c r="E40" s="10" t="n">
        <v>17.5</v>
      </c>
      <c r="F40" s="10" t="n">
        <v>19.4</v>
      </c>
      <c r="J40" s="10" t="n">
        <v>0</v>
      </c>
      <c r="L40" s="10" t="n">
        <v>1.7</v>
      </c>
      <c r="N40" s="11" t="n">
        <f aca="false">J40-L40</f>
        <v>-1.7</v>
      </c>
      <c r="O40" s="10" t="n">
        <f aca="false">O39+N40</f>
        <v>36.4</v>
      </c>
      <c r="T40" s="13"/>
      <c r="V40" s="10" t="n">
        <v>591.3</v>
      </c>
    </row>
    <row r="41" s="10" customFormat="true" ht="15" hidden="false" customHeight="false" outlineLevel="0" collapsed="false">
      <c r="C41" s="9" t="n">
        <v>41889</v>
      </c>
      <c r="D41" s="10" t="n">
        <v>17.9</v>
      </c>
      <c r="E41" s="10" t="n">
        <v>14.3</v>
      </c>
      <c r="F41" s="10" t="n">
        <v>22.1</v>
      </c>
      <c r="J41" s="10" t="n">
        <v>0</v>
      </c>
      <c r="L41" s="10" t="n">
        <v>3.1</v>
      </c>
      <c r="N41" s="11" t="n">
        <f aca="false">J41-L41</f>
        <v>-3.1</v>
      </c>
      <c r="O41" s="10" t="n">
        <f aca="false">O40+N41</f>
        <v>33.3</v>
      </c>
      <c r="T41" s="13"/>
      <c r="V41" s="10" t="n">
        <v>1498.6</v>
      </c>
    </row>
    <row r="42" s="10" customFormat="true" ht="15" hidden="false" customHeight="false" outlineLevel="0" collapsed="false">
      <c r="C42" s="9" t="n">
        <v>41890</v>
      </c>
      <c r="D42" s="10" t="n">
        <v>16.8</v>
      </c>
      <c r="E42" s="10" t="n">
        <v>15.1</v>
      </c>
      <c r="F42" s="10" t="n">
        <v>19.9</v>
      </c>
      <c r="J42" s="10" t="n">
        <v>0</v>
      </c>
      <c r="L42" s="10" t="n">
        <v>3.1</v>
      </c>
      <c r="N42" s="11" t="n">
        <f aca="false">J42-L42</f>
        <v>-3.1</v>
      </c>
      <c r="O42" s="10" t="n">
        <f aca="false">O41+N42</f>
        <v>30.2</v>
      </c>
      <c r="T42" s="13"/>
      <c r="V42" s="10" t="n">
        <v>1401.1</v>
      </c>
    </row>
    <row r="43" s="10" customFormat="true" ht="15" hidden="false" customHeight="false" outlineLevel="0" collapsed="false">
      <c r="C43" s="9" t="n">
        <v>41891</v>
      </c>
      <c r="D43" s="10" t="n">
        <v>15</v>
      </c>
      <c r="E43" s="10" t="n">
        <v>11.3</v>
      </c>
      <c r="F43" s="10" t="n">
        <v>19.8</v>
      </c>
      <c r="J43" s="10" t="n">
        <v>0</v>
      </c>
      <c r="L43" s="10" t="n">
        <v>3.2</v>
      </c>
      <c r="N43" s="11" t="n">
        <f aca="false">J43-L43</f>
        <v>-3.2</v>
      </c>
      <c r="O43" s="10" t="n">
        <f aca="false">O42+N43</f>
        <v>27</v>
      </c>
      <c r="T43" s="13" t="n">
        <v>27</v>
      </c>
      <c r="V43" s="10" t="n">
        <v>1739.1</v>
      </c>
    </row>
    <row r="44" s="10" customFormat="true" ht="15" hidden="false" customHeight="false" outlineLevel="0" collapsed="false">
      <c r="A44" s="14" t="s">
        <v>25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="10" customFormat="true" ht="15" hidden="false" customHeight="false" outlineLevel="0" collapsed="false">
      <c r="A45" s="15" t="s">
        <v>26</v>
      </c>
      <c r="B45" s="16"/>
      <c r="C45" s="9" t="n">
        <v>41892</v>
      </c>
      <c r="D45" s="10" t="n">
        <v>14.7</v>
      </c>
      <c r="E45" s="10" t="n">
        <v>12.3</v>
      </c>
      <c r="F45" s="10" t="n">
        <v>17.9</v>
      </c>
      <c r="G45" s="10" t="n">
        <v>14.7</v>
      </c>
      <c r="I45" s="17" t="s">
        <v>27</v>
      </c>
      <c r="J45" s="10" t="n">
        <v>0</v>
      </c>
      <c r="K45" s="10" t="n">
        <v>0</v>
      </c>
      <c r="L45" s="10" t="n">
        <v>2.4</v>
      </c>
      <c r="M45" s="10" t="n">
        <v>2.4</v>
      </c>
      <c r="N45" s="11" t="n">
        <v>-2.4</v>
      </c>
      <c r="O45" s="10" t="n">
        <f aca="false">O43+N45</f>
        <v>24.6</v>
      </c>
      <c r="P45" s="10" t="n">
        <v>1</v>
      </c>
      <c r="Q45" s="10" t="n">
        <v>0.35</v>
      </c>
      <c r="R45" s="13" t="n">
        <f aca="false">Q45*L45</f>
        <v>0.84</v>
      </c>
      <c r="S45" s="13" t="n">
        <f aca="false">J45-R45</f>
        <v>-0.84</v>
      </c>
      <c r="T45" s="13" t="n">
        <f aca="false">T43+S45</f>
        <v>26.16</v>
      </c>
      <c r="U45" s="17" t="s">
        <v>28</v>
      </c>
      <c r="V45" s="18" t="n">
        <v>781.7</v>
      </c>
      <c r="W45" s="10" t="n">
        <v>53.1768707482993</v>
      </c>
      <c r="X45" s="10" t="n">
        <v>781.7</v>
      </c>
      <c r="Z45" s="17" t="s">
        <v>29</v>
      </c>
      <c r="AA45" s="10" t="n">
        <v>13.0372419462499</v>
      </c>
    </row>
    <row r="46" s="10" customFormat="true" ht="15" hidden="false" customHeight="false" outlineLevel="0" collapsed="false">
      <c r="A46" s="15"/>
      <c r="B46" s="16"/>
      <c r="C46" s="9" t="n">
        <v>41893</v>
      </c>
      <c r="D46" s="10" t="n">
        <v>15.2</v>
      </c>
      <c r="E46" s="10" t="n">
        <v>11.2</v>
      </c>
      <c r="F46" s="10" t="n">
        <v>19.2</v>
      </c>
      <c r="G46" s="10" t="n">
        <v>29.9</v>
      </c>
      <c r="I46" s="10" t="n">
        <v>4.4</v>
      </c>
      <c r="J46" s="10" t="n">
        <v>0</v>
      </c>
      <c r="K46" s="10" t="n">
        <v>0</v>
      </c>
      <c r="L46" s="10" t="n">
        <v>2.8</v>
      </c>
      <c r="M46" s="10" t="n">
        <v>5.2</v>
      </c>
      <c r="N46" s="11" t="n">
        <v>-2.8</v>
      </c>
      <c r="O46" s="10" t="n">
        <f aca="false">O45+N46</f>
        <v>21.8</v>
      </c>
      <c r="P46" s="10" t="n">
        <v>2</v>
      </c>
      <c r="Q46" s="10" t="n">
        <v>0.35</v>
      </c>
      <c r="R46" s="13" t="n">
        <f aca="false">Q46*L46</f>
        <v>0.98</v>
      </c>
      <c r="S46" s="13" t="n">
        <f aca="false">J46-R46</f>
        <v>-0.98</v>
      </c>
      <c r="T46" s="13" t="n">
        <f aca="false">MIN(153.6,(T45+S46))</f>
        <v>25.18</v>
      </c>
      <c r="U46" s="10" t="n">
        <v>52</v>
      </c>
      <c r="V46" s="10" t="n">
        <v>1488.5</v>
      </c>
      <c r="W46" s="10" t="n">
        <v>97.9276315789474</v>
      </c>
      <c r="X46" s="10" t="n">
        <v>2270.2</v>
      </c>
      <c r="Z46" s="10" t="n">
        <v>50931.1</v>
      </c>
      <c r="AA46" s="10" t="n">
        <v>12.9745069428947</v>
      </c>
    </row>
    <row r="47" s="10" customFormat="true" ht="15" hidden="false" customHeight="false" outlineLevel="0" collapsed="false">
      <c r="A47" s="15"/>
      <c r="B47" s="16"/>
      <c r="C47" s="9" t="n">
        <v>41894</v>
      </c>
      <c r="D47" s="10" t="n">
        <v>16.2</v>
      </c>
      <c r="E47" s="10" t="n">
        <v>11.8</v>
      </c>
      <c r="F47" s="10" t="n">
        <v>20.4</v>
      </c>
      <c r="G47" s="10" t="n">
        <v>46.1</v>
      </c>
      <c r="I47" s="17" t="s">
        <v>30</v>
      </c>
      <c r="J47" s="10" t="n">
        <v>0</v>
      </c>
      <c r="K47" s="10" t="n">
        <v>0</v>
      </c>
      <c r="L47" s="10" t="n">
        <v>3.3</v>
      </c>
      <c r="M47" s="10" t="n">
        <v>8.5</v>
      </c>
      <c r="N47" s="11" t="n">
        <v>-3.3</v>
      </c>
      <c r="O47" s="10" t="n">
        <f aca="false">O46+N47</f>
        <v>18.5</v>
      </c>
      <c r="P47" s="10" t="n">
        <v>3</v>
      </c>
      <c r="Q47" s="10" t="n">
        <v>0.35</v>
      </c>
      <c r="R47" s="13" t="n">
        <f aca="false">Q47*L47</f>
        <v>1.155</v>
      </c>
      <c r="S47" s="13" t="n">
        <f aca="false">J47-R47</f>
        <v>-1.155</v>
      </c>
      <c r="T47" s="13" t="n">
        <f aca="false">MIN(153.6,(T46+S47))</f>
        <v>24.025</v>
      </c>
      <c r="U47" s="17" t="s">
        <v>31</v>
      </c>
      <c r="V47" s="10" t="n">
        <v>1812.8</v>
      </c>
      <c r="W47" s="10" t="n">
        <v>111.901234567901</v>
      </c>
      <c r="X47" s="10" t="n">
        <v>4083</v>
      </c>
      <c r="Z47" s="17" t="s">
        <v>32</v>
      </c>
      <c r="AA47" s="10" t="n">
        <v>12.911686431365</v>
      </c>
    </row>
    <row r="48" s="10" customFormat="true" ht="15" hidden="false" customHeight="false" outlineLevel="0" collapsed="false">
      <c r="A48" s="15"/>
      <c r="B48" s="16"/>
      <c r="C48" s="9" t="n">
        <v>41895</v>
      </c>
      <c r="D48" s="10" t="n">
        <v>16.5</v>
      </c>
      <c r="E48" s="10" t="n">
        <v>13.6</v>
      </c>
      <c r="F48" s="10" t="n">
        <v>19.5</v>
      </c>
      <c r="G48" s="10" t="n">
        <v>62.6</v>
      </c>
      <c r="I48" s="10" t="n">
        <v>26.3</v>
      </c>
      <c r="J48" s="10" t="n">
        <v>0</v>
      </c>
      <c r="K48" s="10" t="n">
        <v>0</v>
      </c>
      <c r="L48" s="10" t="n">
        <v>2.8</v>
      </c>
      <c r="M48" s="10" t="n">
        <v>11.3</v>
      </c>
      <c r="N48" s="11" t="n">
        <v>-2.8</v>
      </c>
      <c r="O48" s="10" t="n">
        <f aca="false">O47+N48</f>
        <v>15.7</v>
      </c>
      <c r="P48" s="10" t="n">
        <v>4</v>
      </c>
      <c r="Q48" s="10" t="n">
        <v>0.35</v>
      </c>
      <c r="R48" s="13" t="n">
        <f aca="false">Q48*L48</f>
        <v>0.98</v>
      </c>
      <c r="S48" s="13" t="n">
        <f aca="false">J48-R48</f>
        <v>-0.98</v>
      </c>
      <c r="T48" s="13" t="n">
        <f aca="false">MIN(153.6,(T47+S48))</f>
        <v>23.045</v>
      </c>
      <c r="U48" s="10" t="n">
        <v>0</v>
      </c>
      <c r="V48" s="10" t="n">
        <v>1406.9</v>
      </c>
      <c r="W48" s="10" t="n">
        <v>85.2666666666667</v>
      </c>
      <c r="X48" s="10" t="n">
        <v>5489.9</v>
      </c>
      <c r="Z48" s="19" t="n">
        <f aca="false">(Z46/100)/I58</f>
        <v>0.491897817268688</v>
      </c>
      <c r="AA48" s="10" t="n">
        <v>12.8487866535064</v>
      </c>
    </row>
    <row r="49" s="10" customFormat="true" ht="15" hidden="false" customHeight="false" outlineLevel="0" collapsed="false">
      <c r="A49" s="15"/>
      <c r="B49" s="16"/>
      <c r="C49" s="9" t="n">
        <v>41896</v>
      </c>
      <c r="D49" s="10" t="n">
        <v>15.8</v>
      </c>
      <c r="E49" s="10" t="n">
        <v>14</v>
      </c>
      <c r="F49" s="10" t="n">
        <v>17.5</v>
      </c>
      <c r="G49" s="10" t="n">
        <v>78.4</v>
      </c>
      <c r="I49" s="17" t="s">
        <v>33</v>
      </c>
      <c r="J49" s="10" t="n">
        <v>0.1</v>
      </c>
      <c r="K49" s="10" t="n">
        <v>0.1</v>
      </c>
      <c r="L49" s="10" t="n">
        <v>2.1</v>
      </c>
      <c r="M49" s="10" t="n">
        <v>13.4</v>
      </c>
      <c r="N49" s="11" t="n">
        <v>-2</v>
      </c>
      <c r="O49" s="10" t="n">
        <f aca="false">O48+N49</f>
        <v>13.7</v>
      </c>
      <c r="P49" s="10" t="n">
        <v>5</v>
      </c>
      <c r="Q49" s="10" t="n">
        <v>0.35</v>
      </c>
      <c r="R49" s="13" t="n">
        <f aca="false">Q49*L49</f>
        <v>0.735</v>
      </c>
      <c r="S49" s="13" t="n">
        <f aca="false">J49-R49</f>
        <v>-0.635</v>
      </c>
      <c r="T49" s="13" t="n">
        <f aca="false">MIN(153.6,(T48+S49))</f>
        <v>22.41</v>
      </c>
      <c r="U49" s="17" t="s">
        <v>34</v>
      </c>
      <c r="V49" s="18" t="n">
        <v>848.8</v>
      </c>
      <c r="W49" s="10" t="n">
        <v>53.7215189873418</v>
      </c>
      <c r="X49" s="10" t="n">
        <v>6338.7</v>
      </c>
      <c r="Z49" s="17" t="s">
        <v>35</v>
      </c>
      <c r="AA49" s="10" t="n">
        <v>12.785813667348</v>
      </c>
    </row>
    <row r="50" s="10" customFormat="true" ht="15" hidden="false" customHeight="false" outlineLevel="0" collapsed="false">
      <c r="A50" s="15"/>
      <c r="B50" s="16"/>
      <c r="C50" s="9" t="n">
        <v>41897</v>
      </c>
      <c r="D50" s="10" t="n">
        <v>17.9</v>
      </c>
      <c r="E50" s="10" t="n">
        <v>13.4</v>
      </c>
      <c r="F50" s="10" t="n">
        <v>22.6</v>
      </c>
      <c r="G50" s="10" t="n">
        <v>96.3</v>
      </c>
      <c r="I50" s="13" t="n">
        <v>12.7827160493827</v>
      </c>
      <c r="J50" s="10" t="n">
        <v>0</v>
      </c>
      <c r="K50" s="10" t="n">
        <v>0.1</v>
      </c>
      <c r="L50" s="10" t="n">
        <v>2.4</v>
      </c>
      <c r="M50" s="10" t="n">
        <v>15.8</v>
      </c>
      <c r="N50" s="11" t="n">
        <v>-2.4</v>
      </c>
      <c r="O50" s="10" t="n">
        <f aca="false">O49+N50</f>
        <v>11.3</v>
      </c>
      <c r="P50" s="10" t="n">
        <v>6</v>
      </c>
      <c r="Q50" s="10" t="n">
        <v>0.35</v>
      </c>
      <c r="R50" s="13" t="n">
        <f aca="false">Q50*L50</f>
        <v>0.84</v>
      </c>
      <c r="S50" s="13" t="n">
        <f aca="false">J50-R50</f>
        <v>-0.84</v>
      </c>
      <c r="T50" s="13" t="n">
        <f aca="false">MIN(153.6,(T49+S50))</f>
        <v>21.57</v>
      </c>
      <c r="U50" s="10" t="n">
        <v>27</v>
      </c>
      <c r="V50" s="10" t="n">
        <v>1224.4</v>
      </c>
      <c r="W50" s="10" t="n">
        <v>68.4022346368715</v>
      </c>
      <c r="X50" s="10" t="n">
        <v>7563.1</v>
      </c>
      <c r="Z50" s="10" t="n">
        <v>61</v>
      </c>
      <c r="AA50" s="10" t="n">
        <v>12.7227733648918</v>
      </c>
    </row>
    <row r="51" s="10" customFormat="true" ht="15" hidden="false" customHeight="false" outlineLevel="0" collapsed="false">
      <c r="A51" s="15"/>
      <c r="B51" s="16"/>
      <c r="C51" s="9" t="n">
        <v>41898</v>
      </c>
      <c r="D51" s="10" t="n">
        <v>18.4</v>
      </c>
      <c r="E51" s="10" t="n">
        <v>12.4</v>
      </c>
      <c r="F51" s="10" t="n">
        <v>23.9</v>
      </c>
      <c r="G51" s="10" t="n">
        <v>114.7</v>
      </c>
      <c r="I51" s="17" t="s">
        <v>36</v>
      </c>
      <c r="J51" s="10" t="n">
        <v>0</v>
      </c>
      <c r="K51" s="10" t="n">
        <v>0.1</v>
      </c>
      <c r="L51" s="10" t="n">
        <v>3.2</v>
      </c>
      <c r="M51" s="10" t="n">
        <v>19</v>
      </c>
      <c r="N51" s="11" t="n">
        <v>-3.2</v>
      </c>
      <c r="O51" s="10" t="n">
        <f aca="false">O50+N51</f>
        <v>8.1</v>
      </c>
      <c r="P51" s="10" t="n">
        <v>7</v>
      </c>
      <c r="Q51" s="10" t="n">
        <v>0.35</v>
      </c>
      <c r="R51" s="13" t="n">
        <f aca="false">Q51*L51</f>
        <v>1.12</v>
      </c>
      <c r="S51" s="13" t="n">
        <f aca="false">J51-R51</f>
        <v>-1.12</v>
      </c>
      <c r="T51" s="13" t="n">
        <f aca="false">MIN(153.6,(T50+S51))</f>
        <v>20.45</v>
      </c>
      <c r="U51" s="17" t="s">
        <v>37</v>
      </c>
      <c r="V51" s="10" t="n">
        <v>1687.3</v>
      </c>
      <c r="W51" s="10" t="n">
        <v>91.7010869565218</v>
      </c>
      <c r="X51" s="10" t="n">
        <v>9250.4</v>
      </c>
      <c r="AA51" s="10" t="n">
        <v>12.659671489917</v>
      </c>
    </row>
    <row r="52" s="10" customFormat="true" ht="15" hidden="false" customHeight="false" outlineLevel="0" collapsed="false">
      <c r="A52" s="15"/>
      <c r="B52" s="16"/>
      <c r="C52" s="9" t="n">
        <v>41899</v>
      </c>
      <c r="D52" s="10" t="n">
        <v>20.5</v>
      </c>
      <c r="E52" s="10" t="n">
        <v>14.9</v>
      </c>
      <c r="F52" s="20" t="n">
        <v>25.7</v>
      </c>
      <c r="G52" s="10" t="n">
        <v>135.2</v>
      </c>
      <c r="I52" s="10" t="n">
        <v>0</v>
      </c>
      <c r="J52" s="10" t="n">
        <v>1.6</v>
      </c>
      <c r="K52" s="10" t="n">
        <v>1.7</v>
      </c>
      <c r="L52" s="10" t="n">
        <v>3.2</v>
      </c>
      <c r="M52" s="10" t="n">
        <v>22.2</v>
      </c>
      <c r="N52" s="11" t="n">
        <v>-1.6</v>
      </c>
      <c r="O52" s="10" t="n">
        <f aca="false">O51+N52</f>
        <v>6.5</v>
      </c>
      <c r="P52" s="10" t="n">
        <v>8</v>
      </c>
      <c r="Q52" s="10" t="n">
        <v>0.35</v>
      </c>
      <c r="R52" s="13" t="n">
        <f aca="false">Q52*L52</f>
        <v>1.12</v>
      </c>
      <c r="S52" s="13" t="n">
        <f aca="false">J52-R52</f>
        <v>0.48</v>
      </c>
      <c r="T52" s="13" t="n">
        <f aca="false">MIN(153.6,(T51+S52))</f>
        <v>20.93</v>
      </c>
      <c r="U52" s="13" t="n">
        <f aca="false">MIN(T45:T125)</f>
        <v>20.45</v>
      </c>
      <c r="V52" s="10" t="n">
        <v>1440.7</v>
      </c>
      <c r="W52" s="10" t="n">
        <v>70.2780487804878</v>
      </c>
      <c r="X52" s="10" t="n">
        <v>10691.1</v>
      </c>
      <c r="AA52" s="10" t="n">
        <v>12.5965136558013</v>
      </c>
    </row>
    <row r="53" s="10" customFormat="true" ht="15" hidden="false" customHeight="false" outlineLevel="0" collapsed="false">
      <c r="A53" s="15"/>
      <c r="B53" s="16"/>
      <c r="C53" s="9" t="n">
        <v>41900</v>
      </c>
      <c r="D53" s="10" t="n">
        <v>20.5</v>
      </c>
      <c r="E53" s="10" t="n">
        <v>17.7</v>
      </c>
      <c r="F53" s="10" t="n">
        <v>24.3</v>
      </c>
      <c r="G53" s="10" t="n">
        <v>155.7</v>
      </c>
      <c r="I53" s="17" t="s">
        <v>38</v>
      </c>
      <c r="J53" s="10" t="n">
        <v>3.3</v>
      </c>
      <c r="K53" s="10" t="n">
        <v>5</v>
      </c>
      <c r="L53" s="10" t="n">
        <v>1.9</v>
      </c>
      <c r="M53" s="10" t="n">
        <v>24.1</v>
      </c>
      <c r="N53" s="10" t="n">
        <v>1.4</v>
      </c>
      <c r="O53" s="10" t="n">
        <f aca="false">O52+N53</f>
        <v>7.9</v>
      </c>
      <c r="P53" s="10" t="n">
        <v>9</v>
      </c>
      <c r="Q53" s="10" t="n">
        <f aca="false">0.35+((P53-8)/73)*(1-0.35)</f>
        <v>0.358904109589041</v>
      </c>
      <c r="R53" s="13" t="n">
        <f aca="false">Q53*L53</f>
        <v>0.681917808219178</v>
      </c>
      <c r="S53" s="13" t="n">
        <f aca="false">J53-R53</f>
        <v>2.61808219178082</v>
      </c>
      <c r="T53" s="13" t="n">
        <f aca="false">MIN(153.6,(T52+S53))</f>
        <v>23.5480821917808</v>
      </c>
      <c r="U53" s="17" t="s">
        <v>39</v>
      </c>
      <c r="V53" s="18" t="n">
        <v>780.9</v>
      </c>
      <c r="W53" s="10" t="n">
        <v>38.0926829268293</v>
      </c>
      <c r="X53" s="10" t="n">
        <v>11472</v>
      </c>
      <c r="AA53" s="10" t="n">
        <v>12.533305363366</v>
      </c>
    </row>
    <row r="54" s="10" customFormat="true" ht="15" hidden="false" customHeight="false" outlineLevel="0" collapsed="false">
      <c r="A54" s="15"/>
      <c r="B54" s="16"/>
      <c r="C54" s="9" t="n">
        <v>41901</v>
      </c>
      <c r="D54" s="10" t="n">
        <v>19.3</v>
      </c>
      <c r="E54" s="10" t="n">
        <v>15.1</v>
      </c>
      <c r="F54" s="20" t="n">
        <v>26.3</v>
      </c>
      <c r="G54" s="10" t="n">
        <v>175</v>
      </c>
      <c r="I54" s="10" t="n">
        <v>2</v>
      </c>
      <c r="J54" s="10" t="n">
        <v>10.4</v>
      </c>
      <c r="K54" s="10" t="n">
        <v>15.4</v>
      </c>
      <c r="L54" s="10" t="n">
        <v>2.4</v>
      </c>
      <c r="M54" s="10" t="n">
        <v>26.5</v>
      </c>
      <c r="N54" s="10" t="n">
        <v>8</v>
      </c>
      <c r="O54" s="10" t="n">
        <f aca="false">O53+N54</f>
        <v>15.9</v>
      </c>
      <c r="P54" s="10" t="n">
        <v>10</v>
      </c>
      <c r="Q54" s="10" t="n">
        <f aca="false">0.35+((P54-8)/73)*(1-0.35)</f>
        <v>0.367808219178082</v>
      </c>
      <c r="R54" s="13" t="n">
        <f aca="false">Q54*L54</f>
        <v>0.882739726027397</v>
      </c>
      <c r="S54" s="13" t="n">
        <f aca="false">J54-R54</f>
        <v>9.5172602739726</v>
      </c>
      <c r="T54" s="13" t="n">
        <f aca="false">MIN(153.6,(T53+S54))</f>
        <v>33.0653424657534</v>
      </c>
      <c r="U54" s="13" t="n">
        <f aca="false">MAX(T45:T125)</f>
        <v>114.42198630137</v>
      </c>
      <c r="V54" s="10" t="n">
        <v>1098.9</v>
      </c>
      <c r="W54" s="10" t="n">
        <v>56.9378238341969</v>
      </c>
      <c r="X54" s="10" t="n">
        <v>12570.9</v>
      </c>
      <c r="AA54" s="10" t="n">
        <v>12.4700520187508</v>
      </c>
    </row>
    <row r="55" s="10" customFormat="true" ht="15" hidden="false" customHeight="false" outlineLevel="0" collapsed="false">
      <c r="A55" s="15"/>
      <c r="B55" s="16"/>
      <c r="C55" s="9" t="n">
        <v>41902</v>
      </c>
      <c r="D55" s="10" t="n">
        <v>19</v>
      </c>
      <c r="E55" s="10" t="n">
        <v>16</v>
      </c>
      <c r="F55" s="10" t="n">
        <v>24.4</v>
      </c>
      <c r="G55" s="10" t="n">
        <v>194</v>
      </c>
      <c r="I55" s="17" t="s">
        <v>40</v>
      </c>
      <c r="J55" s="10" t="n">
        <v>10.5</v>
      </c>
      <c r="K55" s="10" t="n">
        <v>25.9</v>
      </c>
      <c r="L55" s="10" t="n">
        <v>2.2</v>
      </c>
      <c r="M55" s="10" t="n">
        <v>28.7</v>
      </c>
      <c r="N55" s="10" t="n">
        <v>8.3</v>
      </c>
      <c r="O55" s="10" t="n">
        <f aca="false">O54+N55</f>
        <v>24.2</v>
      </c>
      <c r="P55" s="10" t="n">
        <v>11</v>
      </c>
      <c r="Q55" s="10" t="n">
        <f aca="false">0.35+((P55-8)/73)*(1-0.35)</f>
        <v>0.376712328767123</v>
      </c>
      <c r="R55" s="13" t="n">
        <f aca="false">Q55*L55</f>
        <v>0.828767123287671</v>
      </c>
      <c r="S55" s="13" t="n">
        <f aca="false">J55-R55</f>
        <v>9.67123287671233</v>
      </c>
      <c r="T55" s="13" t="n">
        <f aca="false">MIN(153.6,(T54+S55))</f>
        <v>42.7365753424658</v>
      </c>
      <c r="U55" s="17" t="s">
        <v>41</v>
      </c>
      <c r="V55" s="18" t="n">
        <v>859.1</v>
      </c>
      <c r="W55" s="10" t="n">
        <v>45.2157894736842</v>
      </c>
      <c r="X55" s="10" t="n">
        <v>13430</v>
      </c>
      <c r="AA55" s="10" t="n">
        <v>12.4067589513265</v>
      </c>
    </row>
    <row r="56" s="10" customFormat="true" ht="15" hidden="false" customHeight="false" outlineLevel="0" collapsed="false">
      <c r="A56" s="15"/>
      <c r="B56" s="16"/>
      <c r="C56" s="9" t="n">
        <v>41903</v>
      </c>
      <c r="D56" s="10" t="n">
        <v>16.1</v>
      </c>
      <c r="E56" s="10" t="n">
        <v>15</v>
      </c>
      <c r="F56" s="10" t="n">
        <v>17.9</v>
      </c>
      <c r="G56" s="10" t="n">
        <v>210.1</v>
      </c>
      <c r="I56" s="10" t="n">
        <v>4</v>
      </c>
      <c r="J56" s="10" t="n">
        <v>0.4</v>
      </c>
      <c r="K56" s="10" t="n">
        <v>26.3</v>
      </c>
      <c r="L56" s="10" t="n">
        <v>2.5</v>
      </c>
      <c r="M56" s="10" t="n">
        <v>31.2</v>
      </c>
      <c r="N56" s="11" t="n">
        <v>-2.1</v>
      </c>
      <c r="O56" s="10" t="n">
        <f aca="false">O55+N56</f>
        <v>22.1</v>
      </c>
      <c r="P56" s="10" t="n">
        <v>12</v>
      </c>
      <c r="Q56" s="10" t="n">
        <f aca="false">0.35+((P56-8)/73)*(1-0.35)</f>
        <v>0.385616438356164</v>
      </c>
      <c r="R56" s="13" t="n">
        <f aca="false">Q56*L56</f>
        <v>0.964041095890411</v>
      </c>
      <c r="S56" s="13" t="n">
        <f aca="false">J56-R56</f>
        <v>-0.564041095890411</v>
      </c>
      <c r="T56" s="13" t="n">
        <f aca="false">MIN(153.6,(T55+S56))</f>
        <v>42.1725342465753</v>
      </c>
      <c r="U56" s="19" t="n">
        <f aca="false">AVERAGE(T45:T125)</f>
        <v>70.9634956874683</v>
      </c>
      <c r="V56" s="10" t="n">
        <v>1069.5</v>
      </c>
      <c r="W56" s="10" t="n">
        <v>66.4285714285714</v>
      </c>
      <c r="X56" s="10" t="n">
        <v>14499.5</v>
      </c>
      <c r="AA56" s="10" t="n">
        <v>12.3434314316542</v>
      </c>
    </row>
    <row r="57" s="10" customFormat="true" ht="15" hidden="false" customHeight="false" outlineLevel="0" collapsed="false">
      <c r="A57" s="15"/>
      <c r="B57" s="16"/>
      <c r="C57" s="9" t="n">
        <v>41904</v>
      </c>
      <c r="D57" s="10" t="n">
        <v>13.2</v>
      </c>
      <c r="E57" s="10" t="n">
        <v>10.1</v>
      </c>
      <c r="F57" s="10" t="n">
        <v>16.6</v>
      </c>
      <c r="G57" s="10" t="n">
        <v>223.3</v>
      </c>
      <c r="I57" s="17" t="s">
        <v>42</v>
      </c>
      <c r="J57" s="10" t="n">
        <v>0</v>
      </c>
      <c r="K57" s="10" t="n">
        <v>26.3</v>
      </c>
      <c r="L57" s="10" t="n">
        <v>2.7</v>
      </c>
      <c r="M57" s="10" t="n">
        <v>33.9</v>
      </c>
      <c r="N57" s="11" t="n">
        <v>-2.7</v>
      </c>
      <c r="O57" s="10" t="n">
        <f aca="false">O56+N57</f>
        <v>19.4</v>
      </c>
      <c r="P57" s="10" t="n">
        <v>13</v>
      </c>
      <c r="Q57" s="10" t="n">
        <f aca="false">0.35+((P57-8)/73)*(1-0.35)</f>
        <v>0.394520547945205</v>
      </c>
      <c r="R57" s="13" t="n">
        <f aca="false">Q57*L57</f>
        <v>1.06520547945206</v>
      </c>
      <c r="S57" s="13" t="n">
        <f aca="false">J57-R57</f>
        <v>-1.06520547945206</v>
      </c>
      <c r="T57" s="13" t="n">
        <f aca="false">MIN(153.6,(T56+S57))</f>
        <v>41.1073287671233</v>
      </c>
      <c r="V57" s="10" t="n">
        <v>1228.8</v>
      </c>
      <c r="W57" s="10" t="n">
        <v>93.0909090909091</v>
      </c>
      <c r="X57" s="10" t="n">
        <v>15728.3</v>
      </c>
      <c r="AA57" s="10" t="n">
        <v>12.2800746894998</v>
      </c>
    </row>
    <row r="58" s="10" customFormat="true" ht="15" hidden="false" customHeight="false" outlineLevel="0" collapsed="false">
      <c r="A58" s="15"/>
      <c r="B58" s="16"/>
      <c r="C58" s="9" t="n">
        <v>41905</v>
      </c>
      <c r="D58" s="10" t="n">
        <v>12.7</v>
      </c>
      <c r="E58" s="10" t="n">
        <v>7.8</v>
      </c>
      <c r="F58" s="10" t="n">
        <v>17.2</v>
      </c>
      <c r="G58" s="10" t="n">
        <v>236</v>
      </c>
      <c r="I58" s="10" t="n">
        <v>1035.4</v>
      </c>
      <c r="J58" s="10" t="n">
        <v>0</v>
      </c>
      <c r="K58" s="10" t="n">
        <v>26.3</v>
      </c>
      <c r="L58" s="10" t="n">
        <v>2.4</v>
      </c>
      <c r="M58" s="10" t="n">
        <v>36.3</v>
      </c>
      <c r="N58" s="11" t="n">
        <v>-2.4</v>
      </c>
      <c r="O58" s="10" t="n">
        <f aca="false">O57+N58</f>
        <v>17</v>
      </c>
      <c r="P58" s="10" t="n">
        <v>14</v>
      </c>
      <c r="Q58" s="10" t="n">
        <f aca="false">0.35+((P58-8)/73)*(1-0.35)</f>
        <v>0.403424657534247</v>
      </c>
      <c r="R58" s="13" t="n">
        <f aca="false">Q58*L58</f>
        <v>0.968219178082192</v>
      </c>
      <c r="S58" s="13" t="n">
        <f aca="false">J58-R58</f>
        <v>-0.968219178082192</v>
      </c>
      <c r="T58" s="13" t="n">
        <f aca="false">MIN(153.6,(T57+S58))</f>
        <v>40.1391095890411</v>
      </c>
      <c r="U58" s="13" t="n">
        <f aca="false">(U56*100)/153.6</f>
        <v>46.2001925048622</v>
      </c>
      <c r="V58" s="10" t="n">
        <v>1203.6</v>
      </c>
      <c r="W58" s="10" t="n">
        <v>94.7716535433071</v>
      </c>
      <c r="X58" s="10" t="n">
        <v>16931.9</v>
      </c>
      <c r="AA58" s="10" t="n">
        <v>12.2166939319138</v>
      </c>
    </row>
    <row r="59" s="10" customFormat="true" ht="15" hidden="false" customHeight="false" outlineLevel="0" collapsed="false">
      <c r="A59" s="15"/>
      <c r="B59" s="16"/>
      <c r="C59" s="9" t="n">
        <v>41906</v>
      </c>
      <c r="D59" s="10" t="n">
        <v>12.4</v>
      </c>
      <c r="E59" s="10" t="n">
        <v>10.6</v>
      </c>
      <c r="F59" s="10" t="n">
        <v>14.5</v>
      </c>
      <c r="G59" s="10" t="n">
        <v>248.4</v>
      </c>
      <c r="J59" s="10" t="n">
        <v>3.7</v>
      </c>
      <c r="K59" s="10" t="n">
        <v>30</v>
      </c>
      <c r="L59" s="10" t="n">
        <v>1.6</v>
      </c>
      <c r="M59" s="10" t="n">
        <v>37.9</v>
      </c>
      <c r="N59" s="10" t="n">
        <v>2.1</v>
      </c>
      <c r="O59" s="10" t="n">
        <f aca="false">O58+N59</f>
        <v>19.1</v>
      </c>
      <c r="P59" s="10" t="n">
        <v>15</v>
      </c>
      <c r="Q59" s="10" t="n">
        <f aca="false">0.35+((P59-8)/73)*(1-0.35)</f>
        <v>0.412328767123288</v>
      </c>
      <c r="R59" s="13" t="n">
        <f aca="false">Q59*L59</f>
        <v>0.65972602739726</v>
      </c>
      <c r="S59" s="13" t="n">
        <f aca="false">J59-R59</f>
        <v>3.04027397260274</v>
      </c>
      <c r="T59" s="13" t="n">
        <f aca="false">MIN(153.6,(T58+S59))</f>
        <v>43.1793835616438</v>
      </c>
      <c r="V59" s="18" t="n">
        <v>835.8</v>
      </c>
      <c r="W59" s="10" t="n">
        <v>67.4032258064516</v>
      </c>
      <c r="X59" s="10" t="n">
        <v>17767.7</v>
      </c>
      <c r="AA59" s="10" t="n">
        <v>12.1532943613865</v>
      </c>
    </row>
    <row r="60" s="10" customFormat="true" ht="15" hidden="false" customHeight="false" outlineLevel="0" collapsed="false">
      <c r="A60" s="15"/>
      <c r="B60" s="16"/>
      <c r="C60" s="9" t="n">
        <v>41907</v>
      </c>
      <c r="D60" s="10" t="n">
        <v>12.4</v>
      </c>
      <c r="E60" s="10" t="n">
        <v>7.6</v>
      </c>
      <c r="F60" s="10" t="n">
        <v>17.1</v>
      </c>
      <c r="G60" s="10" t="n">
        <v>260.8</v>
      </c>
      <c r="J60" s="10" t="n">
        <v>0</v>
      </c>
      <c r="K60" s="10" t="n">
        <v>30</v>
      </c>
      <c r="L60" s="10" t="n">
        <v>2</v>
      </c>
      <c r="M60" s="10" t="n">
        <v>39.9</v>
      </c>
      <c r="N60" s="11" t="n">
        <v>-2</v>
      </c>
      <c r="O60" s="10" t="n">
        <f aca="false">O59+N60</f>
        <v>17.1</v>
      </c>
      <c r="P60" s="10" t="n">
        <v>16</v>
      </c>
      <c r="Q60" s="10" t="n">
        <f aca="false">0.35+((P60-8)/73)*(1-0.35)</f>
        <v>0.421232876712329</v>
      </c>
      <c r="R60" s="13" t="n">
        <f aca="false">Q60*L60</f>
        <v>0.842465753424658</v>
      </c>
      <c r="S60" s="13" t="n">
        <f aca="false">J60-R60</f>
        <v>-0.842465753424658</v>
      </c>
      <c r="T60" s="13" t="n">
        <f aca="false">MIN(153.6,(T59+S60))</f>
        <v>42.3369178082192</v>
      </c>
      <c r="V60" s="10" t="n">
        <v>1020.7</v>
      </c>
      <c r="W60" s="10" t="n">
        <v>82.3145161290323</v>
      </c>
      <c r="X60" s="10" t="n">
        <v>18788.4</v>
      </c>
      <c r="AA60" s="10" t="n">
        <v>12.0898811940897</v>
      </c>
    </row>
    <row r="61" s="10" customFormat="true" ht="15" hidden="false" customHeight="false" outlineLevel="0" collapsed="false">
      <c r="A61" s="15"/>
      <c r="B61" s="16"/>
      <c r="C61" s="9" t="n">
        <v>41908</v>
      </c>
      <c r="D61" s="10" t="n">
        <v>15.8</v>
      </c>
      <c r="E61" s="10" t="n">
        <v>11</v>
      </c>
      <c r="F61" s="10" t="n">
        <v>19.3</v>
      </c>
      <c r="G61" s="10" t="n">
        <v>276.6</v>
      </c>
      <c r="J61" s="10" t="n">
        <v>0</v>
      </c>
      <c r="K61" s="10" t="n">
        <v>30</v>
      </c>
      <c r="L61" s="10" t="n">
        <v>1.3</v>
      </c>
      <c r="M61" s="10" t="n">
        <v>41.2</v>
      </c>
      <c r="N61" s="11" t="n">
        <v>-1.3</v>
      </c>
      <c r="O61" s="10" t="n">
        <f aca="false">O60+N61</f>
        <v>15.8</v>
      </c>
      <c r="P61" s="10" t="n">
        <v>17</v>
      </c>
      <c r="Q61" s="10" t="n">
        <f aca="false">0.35+((P61-8)/73)*(1-0.35)</f>
        <v>0.43013698630137</v>
      </c>
      <c r="R61" s="13" t="n">
        <f aca="false">Q61*L61</f>
        <v>0.559178082191781</v>
      </c>
      <c r="S61" s="13" t="n">
        <f aca="false">J61-R61</f>
        <v>-0.559178082191781</v>
      </c>
      <c r="T61" s="13" t="n">
        <f aca="false">MIN(153.6,(T60+S61))</f>
        <v>41.7777397260274</v>
      </c>
      <c r="V61" s="18" t="n">
        <v>439.9</v>
      </c>
      <c r="W61" s="10" t="n">
        <v>27.8417721518987</v>
      </c>
      <c r="X61" s="10" t="n">
        <v>19228.3</v>
      </c>
      <c r="AA61" s="10" t="n">
        <v>12.0264596782143</v>
      </c>
    </row>
    <row r="62" s="10" customFormat="true" ht="15" hidden="false" customHeight="false" outlineLevel="0" collapsed="false">
      <c r="A62" s="15"/>
      <c r="B62" s="16"/>
      <c r="C62" s="9" t="n">
        <v>41909</v>
      </c>
      <c r="D62" s="10" t="n">
        <v>17.6</v>
      </c>
      <c r="E62" s="10" t="n">
        <v>15.2</v>
      </c>
      <c r="F62" s="10" t="n">
        <v>21.7</v>
      </c>
      <c r="G62" s="10" t="n">
        <v>294.2</v>
      </c>
      <c r="J62" s="10" t="n">
        <v>0</v>
      </c>
      <c r="K62" s="10" t="n">
        <v>30</v>
      </c>
      <c r="L62" s="10" t="n">
        <v>2.4</v>
      </c>
      <c r="M62" s="10" t="n">
        <v>43.6</v>
      </c>
      <c r="N62" s="11" t="n">
        <v>-2.4</v>
      </c>
      <c r="O62" s="10" t="n">
        <f aca="false">O61+N62</f>
        <v>13.4</v>
      </c>
      <c r="P62" s="10" t="n">
        <v>18</v>
      </c>
      <c r="Q62" s="10" t="n">
        <f aca="false">0.35+((P62-8)/73)*(1-0.35)</f>
        <v>0.439041095890411</v>
      </c>
      <c r="R62" s="13" t="n">
        <f aca="false">Q62*L62</f>
        <v>1.05369863013699</v>
      </c>
      <c r="S62" s="13" t="n">
        <f aca="false">J62-R62</f>
        <v>-1.05369863013699</v>
      </c>
      <c r="T62" s="13" t="n">
        <f aca="false">MIN(153.6,(T61+S62))</f>
        <v>40.7240410958904</v>
      </c>
      <c r="V62" s="10" t="n">
        <v>1011.4</v>
      </c>
      <c r="W62" s="10" t="n">
        <v>57.4659090909091</v>
      </c>
      <c r="X62" s="10" t="n">
        <v>20239.7</v>
      </c>
      <c r="AA62" s="10" t="n">
        <v>11.9630351124153</v>
      </c>
    </row>
    <row r="63" s="10" customFormat="true" ht="15" hidden="false" customHeight="false" outlineLevel="0" collapsed="false">
      <c r="A63" s="15"/>
      <c r="B63" s="16"/>
      <c r="C63" s="9" t="n">
        <v>41910</v>
      </c>
      <c r="D63" s="10" t="n">
        <v>17.1</v>
      </c>
      <c r="E63" s="10" t="n">
        <v>13</v>
      </c>
      <c r="F63" s="10" t="n">
        <v>21.4</v>
      </c>
      <c r="G63" s="10" t="n">
        <v>311.3</v>
      </c>
      <c r="J63" s="10" t="n">
        <v>0</v>
      </c>
      <c r="K63" s="10" t="n">
        <v>30</v>
      </c>
      <c r="L63" s="10" t="n">
        <v>1.7</v>
      </c>
      <c r="M63" s="10" t="n">
        <v>45.3</v>
      </c>
      <c r="N63" s="11" t="n">
        <v>-1.7</v>
      </c>
      <c r="O63" s="10" t="n">
        <f aca="false">O62+N63</f>
        <v>11.7</v>
      </c>
      <c r="P63" s="10" t="n">
        <v>19</v>
      </c>
      <c r="Q63" s="10" t="n">
        <f aca="false">0.35+((P63-8)/73)*(1-0.35)</f>
        <v>0.447945205479452</v>
      </c>
      <c r="R63" s="13" t="n">
        <f aca="false">Q63*L63</f>
        <v>0.761506849315069</v>
      </c>
      <c r="S63" s="13" t="n">
        <f aca="false">J63-R63</f>
        <v>-0.761506849315069</v>
      </c>
      <c r="T63" s="13" t="n">
        <f aca="false">MIN(153.6,(T62+S63))</f>
        <v>39.9625342465753</v>
      </c>
      <c r="V63" s="10" t="n">
        <v>1170.5</v>
      </c>
      <c r="W63" s="10" t="n">
        <v>68.4502923976608</v>
      </c>
      <c r="X63" s="10" t="n">
        <v>21410.2</v>
      </c>
      <c r="AA63" s="10" t="n">
        <v>11.8996128643743</v>
      </c>
    </row>
    <row r="64" s="10" customFormat="true" ht="15" hidden="false" customHeight="false" outlineLevel="0" collapsed="false">
      <c r="A64" s="15"/>
      <c r="B64" s="16"/>
      <c r="C64" s="9" t="n">
        <v>41911</v>
      </c>
      <c r="D64" s="10" t="n">
        <v>16.5</v>
      </c>
      <c r="E64" s="10" t="n">
        <v>13.4</v>
      </c>
      <c r="F64" s="10" t="n">
        <v>19.2</v>
      </c>
      <c r="G64" s="10" t="n">
        <v>327.8</v>
      </c>
      <c r="J64" s="10" t="n">
        <v>7.1</v>
      </c>
      <c r="K64" s="10" t="n">
        <v>37.1</v>
      </c>
      <c r="L64" s="10" t="n">
        <v>0.6</v>
      </c>
      <c r="M64" s="10" t="n">
        <v>45.9</v>
      </c>
      <c r="N64" s="10" t="n">
        <v>6.5</v>
      </c>
      <c r="O64" s="10" t="n">
        <f aca="false">O63+N64</f>
        <v>18.2</v>
      </c>
      <c r="P64" s="10" t="n">
        <v>20</v>
      </c>
      <c r="Q64" s="10" t="n">
        <f aca="false">0.35+((P64-8)/73)*(1-0.35)</f>
        <v>0.456849315068493</v>
      </c>
      <c r="R64" s="13" t="n">
        <f aca="false">Q64*L64</f>
        <v>0.274109589041096</v>
      </c>
      <c r="S64" s="13" t="n">
        <f aca="false">J64-R64</f>
        <v>6.8258904109589</v>
      </c>
      <c r="T64" s="13" t="n">
        <f aca="false">MIN(153.6,(T63+S64))</f>
        <v>46.7884246575343</v>
      </c>
      <c r="V64" s="18" t="n">
        <v>285.5</v>
      </c>
      <c r="W64" s="10" t="n">
        <v>17.3030303030303</v>
      </c>
      <c r="X64" s="10" t="n">
        <v>21695.7</v>
      </c>
      <c r="AA64" s="10" t="n">
        <v>11.8361983894897</v>
      </c>
    </row>
    <row r="65" s="10" customFormat="true" ht="15" hidden="false" customHeight="false" outlineLevel="0" collapsed="false">
      <c r="A65" s="15"/>
      <c r="B65" s="16"/>
      <c r="C65" s="9" t="n">
        <v>41912</v>
      </c>
      <c r="D65" s="10" t="n">
        <v>16.2</v>
      </c>
      <c r="E65" s="10" t="n">
        <v>13.4</v>
      </c>
      <c r="F65" s="10" t="n">
        <v>20.1</v>
      </c>
      <c r="G65" s="10" t="n">
        <v>344</v>
      </c>
      <c r="J65" s="10" t="n">
        <v>0.1</v>
      </c>
      <c r="K65" s="10" t="n">
        <v>37.2</v>
      </c>
      <c r="L65" s="10" t="n">
        <v>2</v>
      </c>
      <c r="M65" s="10" t="n">
        <v>47.9</v>
      </c>
      <c r="N65" s="11" t="n">
        <v>-1.9</v>
      </c>
      <c r="O65" s="10" t="n">
        <f aca="false">O64+N65</f>
        <v>16.3</v>
      </c>
      <c r="P65" s="10" t="n">
        <v>21</v>
      </c>
      <c r="Q65" s="10" t="n">
        <f aca="false">0.35+((P65-8)/73)*(1-0.35)</f>
        <v>0.465753424657534</v>
      </c>
      <c r="R65" s="13" t="n">
        <f aca="false">Q65*L65</f>
        <v>0.931506849315068</v>
      </c>
      <c r="S65" s="13" t="n">
        <f aca="false">J65-R65</f>
        <v>-0.831506849315069</v>
      </c>
      <c r="T65" s="13" t="n">
        <f aca="false">MIN(153.6,(T64+S65))</f>
        <v>45.9569178082192</v>
      </c>
      <c r="V65" s="10" t="n">
        <v>973.1</v>
      </c>
      <c r="W65" s="10" t="n">
        <v>60.0679012345679</v>
      </c>
      <c r="X65" s="10" t="n">
        <v>22668.8</v>
      </c>
      <c r="AA65" s="10" t="n">
        <v>11.7727972497032</v>
      </c>
    </row>
    <row r="66" s="10" customFormat="true" ht="15" hidden="false" customHeight="false" outlineLevel="0" collapsed="false">
      <c r="A66" s="15"/>
      <c r="B66" s="16"/>
      <c r="C66" s="9" t="n">
        <v>41913</v>
      </c>
      <c r="D66" s="10" t="n">
        <v>16.1</v>
      </c>
      <c r="E66" s="10" t="n">
        <v>10</v>
      </c>
      <c r="F66" s="10" t="n">
        <v>22</v>
      </c>
      <c r="G66" s="10" t="n">
        <v>360.1</v>
      </c>
      <c r="J66" s="10" t="n">
        <v>0</v>
      </c>
      <c r="K66" s="10" t="n">
        <v>37.2</v>
      </c>
      <c r="L66" s="10" t="n">
        <v>2.1</v>
      </c>
      <c r="M66" s="10" t="n">
        <v>50</v>
      </c>
      <c r="N66" s="11" t="n">
        <v>-2.1</v>
      </c>
      <c r="O66" s="10" t="n">
        <f aca="false">O65+N66</f>
        <v>14.2</v>
      </c>
      <c r="P66" s="10" t="n">
        <v>22</v>
      </c>
      <c r="Q66" s="10" t="n">
        <f aca="false">0.35+((P66-8)/73)*(1-0.35)</f>
        <v>0.474657534246575</v>
      </c>
      <c r="R66" s="13" t="n">
        <f aca="false">Q66*L66</f>
        <v>0.996780821917808</v>
      </c>
      <c r="S66" s="13" t="n">
        <f aca="false">J66-R66</f>
        <v>-0.996780821917808</v>
      </c>
      <c r="T66" s="13" t="n">
        <f aca="false">MIN(153.6,(T65+S66))</f>
        <v>44.9601369863014</v>
      </c>
      <c r="V66" s="10" t="n">
        <v>1062.5</v>
      </c>
      <c r="W66" s="10" t="n">
        <v>65.9937888198758</v>
      </c>
      <c r="X66" s="10" t="n">
        <v>23731.3</v>
      </c>
      <c r="AA66" s="10" t="n">
        <v>11.7094151324735</v>
      </c>
    </row>
    <row r="67" s="10" customFormat="true" ht="15" hidden="false" customHeight="false" outlineLevel="0" collapsed="false">
      <c r="A67" s="15"/>
      <c r="B67" s="16"/>
      <c r="C67" s="9" t="n">
        <v>41914</v>
      </c>
      <c r="D67" s="10" t="n">
        <v>16.9</v>
      </c>
      <c r="E67" s="10" t="n">
        <v>12.7</v>
      </c>
      <c r="F67" s="10" t="n">
        <v>21.3</v>
      </c>
      <c r="G67" s="10" t="n">
        <v>377</v>
      </c>
      <c r="J67" s="10" t="n">
        <v>0</v>
      </c>
      <c r="K67" s="10" t="n">
        <v>37.2</v>
      </c>
      <c r="L67" s="10" t="n">
        <v>2.2</v>
      </c>
      <c r="M67" s="10" t="n">
        <v>52.2</v>
      </c>
      <c r="N67" s="11" t="n">
        <v>-2.2</v>
      </c>
      <c r="O67" s="10" t="n">
        <f aca="false">O66+N67</f>
        <v>12</v>
      </c>
      <c r="P67" s="10" t="n">
        <v>23</v>
      </c>
      <c r="Q67" s="10" t="n">
        <f aca="false">0.35+((P67-8)/73)*(1-0.35)</f>
        <v>0.483561643835616</v>
      </c>
      <c r="R67" s="13" t="n">
        <f aca="false">Q67*L67</f>
        <v>1.06383561643836</v>
      </c>
      <c r="S67" s="13" t="n">
        <f aca="false">J67-R67</f>
        <v>-1.06383561643836</v>
      </c>
      <c r="T67" s="13" t="n">
        <f aca="false">MIN(153.6,(T66+S67))</f>
        <v>43.896301369863</v>
      </c>
      <c r="V67" s="18" t="n">
        <v>894.7</v>
      </c>
      <c r="W67" s="10" t="n">
        <v>52.9408284023669</v>
      </c>
      <c r="X67" s="10" t="n">
        <v>24626</v>
      </c>
      <c r="AA67" s="10" t="n">
        <v>11.646057869903</v>
      </c>
    </row>
    <row r="68" s="10" customFormat="true" ht="15" hidden="false" customHeight="false" outlineLevel="0" collapsed="false">
      <c r="A68" s="15"/>
      <c r="B68" s="16"/>
      <c r="C68" s="9" t="n">
        <v>41915</v>
      </c>
      <c r="D68" s="10" t="n">
        <v>16.9</v>
      </c>
      <c r="E68" s="10" t="n">
        <v>13.4</v>
      </c>
      <c r="F68" s="10" t="n">
        <v>22.3</v>
      </c>
      <c r="G68" s="10" t="n">
        <v>393.9</v>
      </c>
      <c r="J68" s="10" t="n">
        <v>0</v>
      </c>
      <c r="K68" s="10" t="n">
        <v>37.2</v>
      </c>
      <c r="L68" s="10" t="n">
        <v>2.7</v>
      </c>
      <c r="M68" s="10" t="n">
        <v>54.9</v>
      </c>
      <c r="N68" s="11" t="n">
        <v>-2.7</v>
      </c>
      <c r="O68" s="10" t="n">
        <f aca="false">O67+N68</f>
        <v>9.3</v>
      </c>
      <c r="P68" s="10" t="n">
        <v>24</v>
      </c>
      <c r="Q68" s="10" t="n">
        <f aca="false">0.35+((P68-8)/73)*(1-0.35)</f>
        <v>0.492465753424658</v>
      </c>
      <c r="R68" s="13" t="n">
        <f aca="false">Q68*L68</f>
        <v>1.32965753424658</v>
      </c>
      <c r="S68" s="13" t="n">
        <f aca="false">J68-R68</f>
        <v>-1.32965753424658</v>
      </c>
      <c r="T68" s="13" t="n">
        <f aca="false">MIN(153.6,(T67+S68))</f>
        <v>42.5666438356164</v>
      </c>
      <c r="V68" s="10" t="n">
        <v>1316.8</v>
      </c>
      <c r="W68" s="10" t="n">
        <v>77.9171597633136</v>
      </c>
      <c r="X68" s="10" t="n">
        <v>25942.8</v>
      </c>
      <c r="AA68" s="10" t="n">
        <v>11.582731458026</v>
      </c>
    </row>
    <row r="69" s="10" customFormat="true" ht="15" hidden="false" customHeight="false" outlineLevel="0" collapsed="false">
      <c r="A69" s="15"/>
      <c r="B69" s="16"/>
      <c r="C69" s="9" t="n">
        <v>41916</v>
      </c>
      <c r="D69" s="10" t="n">
        <v>14.5</v>
      </c>
      <c r="E69" s="10" t="n">
        <v>11.7</v>
      </c>
      <c r="F69" s="10" t="n">
        <v>20.7</v>
      </c>
      <c r="G69" s="10" t="n">
        <v>408.4</v>
      </c>
      <c r="J69" s="10" t="n">
        <v>6.5</v>
      </c>
      <c r="K69" s="10" t="n">
        <v>43.7</v>
      </c>
      <c r="L69" s="10" t="n">
        <v>2.1</v>
      </c>
      <c r="M69" s="10" t="n">
        <v>57</v>
      </c>
      <c r="N69" s="10" t="n">
        <v>4.4</v>
      </c>
      <c r="O69" s="10" t="n">
        <f aca="false">O68+N69</f>
        <v>13.7</v>
      </c>
      <c r="P69" s="10" t="n">
        <v>25</v>
      </c>
      <c r="Q69" s="10" t="n">
        <f aca="false">0.35+((P69-8)/73)*(1-0.35)</f>
        <v>0.501369863013699</v>
      </c>
      <c r="R69" s="13" t="n">
        <f aca="false">Q69*L69</f>
        <v>1.05287671232877</v>
      </c>
      <c r="S69" s="13" t="n">
        <f aca="false">J69-R69</f>
        <v>5.44712328767123</v>
      </c>
      <c r="T69" s="13" t="n">
        <f aca="false">MIN(153.6,(T68+S69))</f>
        <v>48.0137671232877</v>
      </c>
      <c r="V69" s="18" t="n">
        <v>679.6</v>
      </c>
      <c r="W69" s="10" t="n">
        <v>46.8689655172414</v>
      </c>
      <c r="X69" s="10" t="n">
        <v>26622.4</v>
      </c>
      <c r="AA69" s="10" t="n">
        <v>11.5194420762639</v>
      </c>
    </row>
    <row r="70" s="10" customFormat="true" ht="15" hidden="false" customHeight="false" outlineLevel="0" collapsed="false">
      <c r="A70" s="15"/>
      <c r="B70" s="16"/>
      <c r="C70" s="9" t="n">
        <v>41917</v>
      </c>
      <c r="D70" s="10" t="n">
        <v>12.9</v>
      </c>
      <c r="E70" s="10" t="n">
        <v>9.8</v>
      </c>
      <c r="F70" s="10" t="n">
        <v>15.8</v>
      </c>
      <c r="G70" s="10" t="n">
        <v>421.3</v>
      </c>
      <c r="J70" s="10" t="n">
        <v>0</v>
      </c>
      <c r="K70" s="10" t="n">
        <v>43.7</v>
      </c>
      <c r="L70" s="10" t="n">
        <v>2.2</v>
      </c>
      <c r="M70" s="10" t="n">
        <v>59.2</v>
      </c>
      <c r="N70" s="11" t="n">
        <v>-2.2</v>
      </c>
      <c r="O70" s="10" t="n">
        <f aca="false">O69+N70</f>
        <v>11.5</v>
      </c>
      <c r="P70" s="10" t="n">
        <v>26</v>
      </c>
      <c r="Q70" s="10" t="n">
        <f aca="false">0.35+((P70-8)/73)*(1-0.35)</f>
        <v>0.51027397260274</v>
      </c>
      <c r="R70" s="13" t="n">
        <f aca="false">Q70*L70</f>
        <v>1.12260273972603</v>
      </c>
      <c r="S70" s="13" t="n">
        <f aca="false">J70-R70</f>
        <v>-1.12260273972603</v>
      </c>
      <c r="T70" s="13" t="n">
        <f aca="false">MIN(153.6,(T69+S70))</f>
        <v>46.8911643835616</v>
      </c>
      <c r="V70" s="18" t="n">
        <v>754.2</v>
      </c>
      <c r="W70" s="10" t="n">
        <v>58.4651162790698</v>
      </c>
      <c r="X70" s="10" t="n">
        <v>27376.6</v>
      </c>
      <c r="AA70" s="10" t="n">
        <v>11.4561961070522</v>
      </c>
    </row>
    <row r="71" s="10" customFormat="true" ht="15" hidden="false" customHeight="false" outlineLevel="0" collapsed="false">
      <c r="A71" s="15"/>
      <c r="B71" s="16"/>
      <c r="C71" s="9" t="n">
        <v>41918</v>
      </c>
      <c r="D71" s="10" t="n">
        <v>12.6</v>
      </c>
      <c r="E71" s="10" t="n">
        <v>12</v>
      </c>
      <c r="F71" s="10" t="n">
        <v>14</v>
      </c>
      <c r="G71" s="10" t="n">
        <v>433.9</v>
      </c>
      <c r="J71" s="10" t="n">
        <v>4.4</v>
      </c>
      <c r="K71" s="10" t="n">
        <v>48.1</v>
      </c>
      <c r="L71" s="10" t="n">
        <v>1.5</v>
      </c>
      <c r="M71" s="10" t="n">
        <v>60.7</v>
      </c>
      <c r="N71" s="10" t="n">
        <v>2.9</v>
      </c>
      <c r="O71" s="10" t="n">
        <f aca="false">O70+N71</f>
        <v>14.4</v>
      </c>
      <c r="P71" s="10" t="n">
        <v>27</v>
      </c>
      <c r="Q71" s="10" t="n">
        <f aca="false">0.35+((P71-8)/73)*(1-0.35)</f>
        <v>0.519178082191781</v>
      </c>
      <c r="R71" s="13" t="n">
        <f aca="false">Q71*L71</f>
        <v>0.778767123287671</v>
      </c>
      <c r="S71" s="13" t="n">
        <f aca="false">J71-R71</f>
        <v>3.62123287671233</v>
      </c>
      <c r="T71" s="13" t="n">
        <f aca="false">MIN(153.6,(T70+S71))</f>
        <v>50.512397260274</v>
      </c>
      <c r="V71" s="18" t="n">
        <v>349.7</v>
      </c>
      <c r="W71" s="10" t="n">
        <v>27.7539682539683</v>
      </c>
      <c r="X71" s="10" t="n">
        <v>27726.3</v>
      </c>
      <c r="AA71" s="10" t="n">
        <v>11.3930001556411</v>
      </c>
    </row>
    <row r="72" s="10" customFormat="true" ht="15" hidden="false" customHeight="false" outlineLevel="0" collapsed="false">
      <c r="A72" s="15"/>
      <c r="B72" s="16"/>
      <c r="C72" s="9" t="n">
        <v>41919</v>
      </c>
      <c r="D72" s="10" t="n">
        <v>12.1</v>
      </c>
      <c r="E72" s="10" t="n">
        <v>10.8</v>
      </c>
      <c r="F72" s="10" t="n">
        <v>14.2</v>
      </c>
      <c r="G72" s="10" t="n">
        <v>446</v>
      </c>
      <c r="J72" s="10" t="n">
        <v>4.1</v>
      </c>
      <c r="K72" s="10" t="n">
        <v>52.2</v>
      </c>
      <c r="L72" s="10" t="n">
        <v>1.5</v>
      </c>
      <c r="M72" s="10" t="n">
        <v>62.2</v>
      </c>
      <c r="N72" s="10" t="n">
        <v>2.6</v>
      </c>
      <c r="O72" s="10" t="n">
        <f aca="false">O71+N72</f>
        <v>17</v>
      </c>
      <c r="P72" s="10" t="n">
        <v>28</v>
      </c>
      <c r="Q72" s="10" t="n">
        <f aca="false">0.35+((P72-8)/73)*(1-0.35)</f>
        <v>0.528082191780822</v>
      </c>
      <c r="R72" s="13" t="n">
        <f aca="false">Q72*L72</f>
        <v>0.792123287671233</v>
      </c>
      <c r="S72" s="13" t="n">
        <f aca="false">J72-R72</f>
        <v>3.30787671232877</v>
      </c>
      <c r="T72" s="13" t="n">
        <f aca="false">MIN(153.6,(T71+S72))</f>
        <v>53.8202739726027</v>
      </c>
      <c r="V72" s="18" t="n">
        <v>528.1</v>
      </c>
      <c r="W72" s="10" t="n">
        <v>43.6446280991736</v>
      </c>
      <c r="X72" s="10" t="n">
        <v>28254.4</v>
      </c>
      <c r="AA72" s="10" t="n">
        <v>11.3298610700723</v>
      </c>
    </row>
    <row r="73" s="10" customFormat="true" ht="15" hidden="false" customHeight="false" outlineLevel="0" collapsed="false">
      <c r="A73" s="15"/>
      <c r="B73" s="16"/>
      <c r="C73" s="9" t="n">
        <v>41920</v>
      </c>
      <c r="D73" s="10" t="n">
        <v>14.1</v>
      </c>
      <c r="E73" s="10" t="n">
        <v>9</v>
      </c>
      <c r="F73" s="10" t="n">
        <v>16.8</v>
      </c>
      <c r="G73" s="10" t="n">
        <v>460.1</v>
      </c>
      <c r="J73" s="10" t="n">
        <v>7.3</v>
      </c>
      <c r="K73" s="10" t="n">
        <v>59.5</v>
      </c>
      <c r="L73" s="10" t="n">
        <v>0.4</v>
      </c>
      <c r="M73" s="10" t="n">
        <v>62.6</v>
      </c>
      <c r="N73" s="10" t="n">
        <v>6.9</v>
      </c>
      <c r="O73" s="10" t="n">
        <f aca="false">O72+N73</f>
        <v>23.9</v>
      </c>
      <c r="P73" s="10" t="n">
        <v>29</v>
      </c>
      <c r="Q73" s="10" t="n">
        <f aca="false">0.35+((P73-8)/73)*(1-0.35)</f>
        <v>0.536986301369863</v>
      </c>
      <c r="R73" s="13" t="n">
        <f aca="false">Q73*L73</f>
        <v>0.214794520547945</v>
      </c>
      <c r="S73" s="13" t="n">
        <f aca="false">J73-R73</f>
        <v>7.08520547945205</v>
      </c>
      <c r="T73" s="13" t="n">
        <f aca="false">MIN(153.6,(T72+S73))</f>
        <v>60.9054794520548</v>
      </c>
      <c r="V73" s="18" t="n">
        <v>198.6</v>
      </c>
      <c r="W73" s="10" t="n">
        <v>14.0851063829787</v>
      </c>
      <c r="X73" s="10" t="n">
        <v>28453</v>
      </c>
      <c r="AA73" s="10" t="n">
        <v>11.2667859613301</v>
      </c>
    </row>
    <row r="74" s="10" customFormat="true" ht="15" hidden="false" customHeight="false" outlineLevel="0" collapsed="false">
      <c r="A74" s="15"/>
      <c r="B74" s="16"/>
      <c r="C74" s="9" t="n">
        <v>41921</v>
      </c>
      <c r="D74" s="10" t="n">
        <v>15.1</v>
      </c>
      <c r="E74" s="10" t="n">
        <v>13.2</v>
      </c>
      <c r="F74" s="10" t="n">
        <v>18.3</v>
      </c>
      <c r="G74" s="10" t="n">
        <v>475.2</v>
      </c>
      <c r="J74" s="10" t="n">
        <v>0.1</v>
      </c>
      <c r="K74" s="10" t="n">
        <v>59.6</v>
      </c>
      <c r="L74" s="10" t="n">
        <v>2.6</v>
      </c>
      <c r="M74" s="10" t="n">
        <v>65.2</v>
      </c>
      <c r="N74" s="11" t="n">
        <v>-2.5</v>
      </c>
      <c r="O74" s="10" t="n">
        <f aca="false">O73+N74</f>
        <v>21.4</v>
      </c>
      <c r="P74" s="10" t="n">
        <v>30</v>
      </c>
      <c r="Q74" s="10" t="n">
        <f aca="false">0.35+((P74-8)/73)*(1-0.35)</f>
        <v>0.545890410958904</v>
      </c>
      <c r="R74" s="13" t="n">
        <f aca="false">Q74*L74</f>
        <v>1.41931506849315</v>
      </c>
      <c r="S74" s="13" t="n">
        <f aca="false">J74-R74</f>
        <v>-1.31931506849315</v>
      </c>
      <c r="T74" s="13" t="n">
        <f aca="false">MIN(153.6,(T73+S74))</f>
        <v>59.5861643835616</v>
      </c>
      <c r="V74" s="10" t="n">
        <v>1005</v>
      </c>
      <c r="W74" s="10" t="n">
        <v>66.5562913907285</v>
      </c>
      <c r="X74" s="10" t="n">
        <v>29458</v>
      </c>
      <c r="AA74" s="10" t="n">
        <v>11.2037822236643</v>
      </c>
    </row>
    <row r="75" s="10" customFormat="true" ht="15" hidden="false" customHeight="false" outlineLevel="0" collapsed="false">
      <c r="A75" s="15"/>
      <c r="B75" s="16"/>
      <c r="C75" s="9" t="n">
        <v>41922</v>
      </c>
      <c r="D75" s="10" t="n">
        <v>13.3</v>
      </c>
      <c r="E75" s="10" t="n">
        <v>10.5</v>
      </c>
      <c r="F75" s="10" t="n">
        <v>17.5</v>
      </c>
      <c r="G75" s="10" t="n">
        <v>488.5</v>
      </c>
      <c r="J75" s="10" t="n">
        <v>0.2</v>
      </c>
      <c r="K75" s="10" t="n">
        <v>59.8</v>
      </c>
      <c r="L75" s="10" t="n">
        <v>2</v>
      </c>
      <c r="M75" s="10" t="n">
        <v>67.2</v>
      </c>
      <c r="N75" s="11" t="n">
        <v>-1.8</v>
      </c>
      <c r="O75" s="10" t="n">
        <f aca="false">O74+N75</f>
        <v>19.6</v>
      </c>
      <c r="P75" s="10" t="n">
        <v>31</v>
      </c>
      <c r="Q75" s="10" t="n">
        <f aca="false">0.35+((P75-8)/73)*(1-0.35)</f>
        <v>0.554794520547945</v>
      </c>
      <c r="R75" s="13" t="n">
        <f aca="false">Q75*L75</f>
        <v>1.10958904109589</v>
      </c>
      <c r="S75" s="13" t="n">
        <f aca="false">J75-R75</f>
        <v>-0.90958904109589</v>
      </c>
      <c r="T75" s="13" t="n">
        <f aca="false">MIN(153.6,(T74+S75))</f>
        <v>58.6765753424657</v>
      </c>
      <c r="V75" s="10" t="n">
        <v>1022.5</v>
      </c>
      <c r="W75" s="10" t="n">
        <v>76.8796992481203</v>
      </c>
      <c r="X75" s="10" t="n">
        <v>30480.5</v>
      </c>
      <c r="AA75" s="10" t="n">
        <v>11.1408575550779</v>
      </c>
    </row>
    <row r="76" s="10" customFormat="true" ht="15" hidden="false" customHeight="false" outlineLevel="0" collapsed="false">
      <c r="A76" s="15"/>
      <c r="B76" s="16"/>
      <c r="C76" s="9" t="n">
        <v>41923</v>
      </c>
      <c r="D76" s="10" t="n">
        <v>12.7</v>
      </c>
      <c r="E76" s="10" t="n">
        <v>10.5</v>
      </c>
      <c r="F76" s="10" t="n">
        <v>15.6</v>
      </c>
      <c r="G76" s="10" t="n">
        <v>501.2</v>
      </c>
      <c r="J76" s="10" t="n">
        <v>10.4</v>
      </c>
      <c r="K76" s="10" t="n">
        <v>70.2</v>
      </c>
      <c r="L76" s="10" t="n">
        <v>1.2</v>
      </c>
      <c r="M76" s="10" t="n">
        <v>68.4</v>
      </c>
      <c r="N76" s="10" t="n">
        <v>9.2</v>
      </c>
      <c r="O76" s="10" t="n">
        <f aca="false">O75+N76</f>
        <v>28.8</v>
      </c>
      <c r="P76" s="10" t="n">
        <v>32</v>
      </c>
      <c r="Q76" s="10" t="n">
        <f aca="false">0.35+((P76-8)/73)*(1-0.35)</f>
        <v>0.563698630136986</v>
      </c>
      <c r="R76" s="13" t="n">
        <f aca="false">Q76*L76</f>
        <v>0.676438356164384</v>
      </c>
      <c r="S76" s="13" t="n">
        <f aca="false">J76-R76</f>
        <v>9.72356164383562</v>
      </c>
      <c r="T76" s="13" t="n">
        <f aca="false">MIN(153.6,(T75+S76))</f>
        <v>68.4001369863014</v>
      </c>
      <c r="V76" s="18" t="n">
        <v>598.9</v>
      </c>
      <c r="W76" s="10" t="n">
        <v>47.1574803149606</v>
      </c>
      <c r="X76" s="10" t="n">
        <v>31079.4</v>
      </c>
      <c r="AA76" s="10" t="n">
        <v>11.0780199779733</v>
      </c>
    </row>
    <row r="77" s="10" customFormat="true" ht="15" hidden="false" customHeight="false" outlineLevel="0" collapsed="false">
      <c r="A77" s="15"/>
      <c r="B77" s="16"/>
      <c r="C77" s="9" t="n">
        <v>41924</v>
      </c>
      <c r="D77" s="10" t="n">
        <v>12.6</v>
      </c>
      <c r="E77" s="10" t="n">
        <v>8.3</v>
      </c>
      <c r="F77" s="10" t="n">
        <v>16.8</v>
      </c>
      <c r="G77" s="10" t="n">
        <v>513.8</v>
      </c>
      <c r="J77" s="10" t="n">
        <v>4.9</v>
      </c>
      <c r="K77" s="10" t="n">
        <v>75.1</v>
      </c>
      <c r="L77" s="10" t="n">
        <v>1.3</v>
      </c>
      <c r="M77" s="10" t="n">
        <v>69.7</v>
      </c>
      <c r="N77" s="10" t="n">
        <v>3.6</v>
      </c>
      <c r="O77" s="10" t="n">
        <f aca="false">O76+N77</f>
        <v>32.4</v>
      </c>
      <c r="P77" s="10" t="n">
        <v>33</v>
      </c>
      <c r="Q77" s="10" t="n">
        <f aca="false">0.35+((P77-8)/73)*(1-0.35)</f>
        <v>0.572602739726027</v>
      </c>
      <c r="R77" s="13" t="n">
        <f aca="false">Q77*L77</f>
        <v>0.744383561643836</v>
      </c>
      <c r="S77" s="13" t="n">
        <f aca="false">J77-R77</f>
        <v>4.15561643835617</v>
      </c>
      <c r="T77" s="13" t="n">
        <f aca="false">MIN(153.6,(T76+S77))</f>
        <v>72.5557534246575</v>
      </c>
      <c r="V77" s="18" t="n">
        <v>786</v>
      </c>
      <c r="W77" s="10" t="n">
        <v>62.3809523809524</v>
      </c>
      <c r="X77" s="10" t="n">
        <v>31865.4</v>
      </c>
      <c r="AA77" s="10" t="n">
        <v>11.0152778599436</v>
      </c>
    </row>
    <row r="78" s="10" customFormat="true" ht="15" hidden="false" customHeight="false" outlineLevel="0" collapsed="false">
      <c r="A78" s="15"/>
      <c r="B78" s="16"/>
      <c r="C78" s="9" t="n">
        <v>41925</v>
      </c>
      <c r="D78" s="10" t="n">
        <v>14.6</v>
      </c>
      <c r="E78" s="10" t="n">
        <v>13.3</v>
      </c>
      <c r="F78" s="10" t="n">
        <v>15.7</v>
      </c>
      <c r="G78" s="10" t="n">
        <v>528.4</v>
      </c>
      <c r="J78" s="10" t="n">
        <v>0</v>
      </c>
      <c r="K78" s="10" t="n">
        <v>75.1</v>
      </c>
      <c r="L78" s="10" t="n">
        <v>1.7</v>
      </c>
      <c r="M78" s="10" t="n">
        <v>71.4</v>
      </c>
      <c r="N78" s="11" t="n">
        <v>-1.7</v>
      </c>
      <c r="O78" s="10" t="n">
        <f aca="false">O77+N78</f>
        <v>30.7</v>
      </c>
      <c r="P78" s="10" t="n">
        <v>34</v>
      </c>
      <c r="Q78" s="10" t="n">
        <f aca="false">0.35+((P78-8)/73)*(1-0.35)</f>
        <v>0.581506849315069</v>
      </c>
      <c r="R78" s="13" t="n">
        <f aca="false">Q78*L78</f>
        <v>0.988561643835616</v>
      </c>
      <c r="S78" s="13" t="n">
        <f aca="false">J78-R78</f>
        <v>-0.988561643835616</v>
      </c>
      <c r="T78" s="13" t="n">
        <f aca="false">MIN(153.6,(T77+S78))</f>
        <v>71.5671917808219</v>
      </c>
      <c r="V78" s="18" t="n">
        <v>371.6</v>
      </c>
      <c r="W78" s="10" t="n">
        <v>25.4520547945206</v>
      </c>
      <c r="X78" s="10" t="n">
        <v>32237</v>
      </c>
      <c r="AA78" s="10" t="n">
        <v>10.9526399346951</v>
      </c>
    </row>
    <row r="79" s="10" customFormat="true" ht="15" hidden="false" customHeight="false" outlineLevel="0" collapsed="false">
      <c r="A79" s="15"/>
      <c r="B79" s="16"/>
      <c r="C79" s="9" t="n">
        <v>41926</v>
      </c>
      <c r="D79" s="10" t="n">
        <v>12.7</v>
      </c>
      <c r="E79" s="10" t="n">
        <v>11.4</v>
      </c>
      <c r="F79" s="10" t="n">
        <v>15</v>
      </c>
      <c r="G79" s="10" t="n">
        <v>541.1</v>
      </c>
      <c r="J79" s="10" t="n">
        <v>0.6</v>
      </c>
      <c r="K79" s="10" t="n">
        <v>75.7</v>
      </c>
      <c r="L79" s="10" t="n">
        <v>1.6</v>
      </c>
      <c r="M79" s="10" t="n">
        <v>73</v>
      </c>
      <c r="N79" s="11" t="n">
        <v>-1</v>
      </c>
      <c r="O79" s="10" t="n">
        <f aca="false">O78+N79</f>
        <v>29.7</v>
      </c>
      <c r="P79" s="10" t="n">
        <v>35</v>
      </c>
      <c r="Q79" s="10" t="n">
        <f aca="false">0.35+((P79-8)/73)*(1-0.35)</f>
        <v>0.59041095890411</v>
      </c>
      <c r="R79" s="13" t="n">
        <f aca="false">Q79*L79</f>
        <v>0.944657534246575</v>
      </c>
      <c r="S79" s="13" t="n">
        <f aca="false">J79-R79</f>
        <v>-0.344657534246575</v>
      </c>
      <c r="T79" s="13" t="n">
        <f aca="false">MIN(153.6,(T78+S79))</f>
        <v>71.2225342465753</v>
      </c>
      <c r="V79" s="18" t="n">
        <v>377.8</v>
      </c>
      <c r="W79" s="10" t="n">
        <v>29.748031496063</v>
      </c>
      <c r="X79" s="10" t="n">
        <v>32614.8</v>
      </c>
      <c r="AA79" s="10" t="n">
        <v>10.8901153230823</v>
      </c>
    </row>
    <row r="80" s="10" customFormat="true" ht="15" hidden="false" customHeight="false" outlineLevel="0" collapsed="false">
      <c r="A80" s="15"/>
      <c r="B80" s="16"/>
      <c r="C80" s="9" t="n">
        <v>41927</v>
      </c>
      <c r="D80" s="10" t="n">
        <v>12.3</v>
      </c>
      <c r="E80" s="10" t="n">
        <v>8.4</v>
      </c>
      <c r="F80" s="10" t="n">
        <v>15.2</v>
      </c>
      <c r="G80" s="10" t="n">
        <v>553.4</v>
      </c>
      <c r="J80" s="10" t="n">
        <v>3.1</v>
      </c>
      <c r="K80" s="10" t="n">
        <v>78.8</v>
      </c>
      <c r="L80" s="10" t="n">
        <v>1.1</v>
      </c>
      <c r="M80" s="10" t="n">
        <v>74.1</v>
      </c>
      <c r="N80" s="10" t="n">
        <v>2</v>
      </c>
      <c r="O80" s="10" t="n">
        <f aca="false">O79+N80</f>
        <v>31.7</v>
      </c>
      <c r="P80" s="10" t="n">
        <v>36</v>
      </c>
      <c r="Q80" s="10" t="n">
        <f aca="false">0.35+((P80-8)/73)*(1-0.35)</f>
        <v>0.599315068493151</v>
      </c>
      <c r="R80" s="13" t="n">
        <f aca="false">Q80*L80</f>
        <v>0.659246575342466</v>
      </c>
      <c r="S80" s="13" t="n">
        <f aca="false">J80-R80</f>
        <v>2.44075342465753</v>
      </c>
      <c r="T80" s="13" t="n">
        <f aca="false">MIN(153.6,(T79+S80))</f>
        <v>73.6632876712329</v>
      </c>
      <c r="V80" s="18" t="n">
        <v>495.1</v>
      </c>
      <c r="W80" s="10" t="n">
        <v>40.2520325203252</v>
      </c>
      <c r="X80" s="10" t="n">
        <v>33109.9</v>
      </c>
      <c r="AA80" s="10" t="n">
        <v>10.8277135542339</v>
      </c>
    </row>
    <row r="81" s="10" customFormat="true" ht="15" hidden="false" customHeight="false" outlineLevel="0" collapsed="false">
      <c r="A81" s="15"/>
      <c r="B81" s="16"/>
      <c r="C81" s="9" t="n">
        <v>41928</v>
      </c>
      <c r="D81" s="10" t="n">
        <v>15.3</v>
      </c>
      <c r="E81" s="10" t="n">
        <v>13.2</v>
      </c>
      <c r="F81" s="10" t="n">
        <v>17.9</v>
      </c>
      <c r="G81" s="10" t="n">
        <v>568.7</v>
      </c>
      <c r="J81" s="10" t="n">
        <v>3.2</v>
      </c>
      <c r="K81" s="10" t="n">
        <v>82</v>
      </c>
      <c r="L81" s="10" t="n">
        <v>1.4</v>
      </c>
      <c r="M81" s="10" t="n">
        <v>75.5</v>
      </c>
      <c r="N81" s="10" t="n">
        <v>1.8</v>
      </c>
      <c r="O81" s="10" t="n">
        <f aca="false">O80+N81</f>
        <v>33.5</v>
      </c>
      <c r="P81" s="10" t="n">
        <v>37</v>
      </c>
      <c r="Q81" s="10" t="n">
        <f aca="false">0.35+((P81-8)/73)*(1-0.35)</f>
        <v>0.608219178082192</v>
      </c>
      <c r="R81" s="13" t="n">
        <f aca="false">Q81*L81</f>
        <v>0.851506849315068</v>
      </c>
      <c r="S81" s="13" t="n">
        <f aca="false">J81-R81</f>
        <v>2.34849315068493</v>
      </c>
      <c r="T81" s="13" t="n">
        <f aca="false">MIN(153.6,(T80+S81))</f>
        <v>76.0117808219178</v>
      </c>
      <c r="V81" s="18" t="n">
        <v>488.9</v>
      </c>
      <c r="W81" s="10" t="n">
        <v>31.9542483660131</v>
      </c>
      <c r="X81" s="10" t="n">
        <v>33598.8</v>
      </c>
      <c r="AA81" s="10" t="n">
        <v>10.7654445867412</v>
      </c>
    </row>
    <row r="82" s="10" customFormat="true" ht="15" hidden="false" customHeight="false" outlineLevel="0" collapsed="false">
      <c r="A82" s="15"/>
      <c r="B82" s="16"/>
      <c r="C82" s="9" t="n">
        <v>41929</v>
      </c>
      <c r="D82" s="10" t="n">
        <v>15.2</v>
      </c>
      <c r="E82" s="10" t="n">
        <v>13.3</v>
      </c>
      <c r="F82" s="10" t="n">
        <v>17.9</v>
      </c>
      <c r="G82" s="10" t="n">
        <v>583.9</v>
      </c>
      <c r="J82" s="10" t="n">
        <v>0.1</v>
      </c>
      <c r="K82" s="10" t="n">
        <v>82.1</v>
      </c>
      <c r="L82" s="10" t="n">
        <v>0.9</v>
      </c>
      <c r="M82" s="10" t="n">
        <v>76.4</v>
      </c>
      <c r="N82" s="11" t="n">
        <v>-0.8</v>
      </c>
      <c r="O82" s="10" t="n">
        <f aca="false">O81+N82</f>
        <v>32.7</v>
      </c>
      <c r="P82" s="10" t="n">
        <v>38</v>
      </c>
      <c r="Q82" s="10" t="n">
        <f aca="false">0.35+((P82-8)/73)*(1-0.35)</f>
        <v>0.617123287671233</v>
      </c>
      <c r="R82" s="13" t="n">
        <f aca="false">Q82*L82</f>
        <v>0.55541095890411</v>
      </c>
      <c r="S82" s="13" t="n">
        <f aca="false">J82-R82</f>
        <v>-0.45541095890411</v>
      </c>
      <c r="T82" s="13" t="n">
        <f aca="false">MIN(153.6,(T81+S82))</f>
        <v>75.5563698630137</v>
      </c>
      <c r="V82" s="18" t="n">
        <v>378.5</v>
      </c>
      <c r="W82" s="10" t="n">
        <v>24.9013157894737</v>
      </c>
      <c r="X82" s="10" t="n">
        <v>33977.3</v>
      </c>
      <c r="AA82" s="10" t="n">
        <v>10.7033188298807</v>
      </c>
    </row>
    <row r="83" s="10" customFormat="true" ht="15" hidden="false" customHeight="false" outlineLevel="0" collapsed="false">
      <c r="A83" s="15"/>
      <c r="B83" s="16"/>
      <c r="C83" s="9" t="n">
        <v>41930</v>
      </c>
      <c r="D83" s="10" t="n">
        <v>18.1</v>
      </c>
      <c r="E83" s="10" t="n">
        <v>14.6</v>
      </c>
      <c r="F83" s="10" t="n">
        <v>21.7</v>
      </c>
      <c r="G83" s="10" t="n">
        <v>602</v>
      </c>
      <c r="J83" s="10" t="n">
        <v>0</v>
      </c>
      <c r="K83" s="10" t="n">
        <v>82.1</v>
      </c>
      <c r="L83" s="10" t="n">
        <v>1.7</v>
      </c>
      <c r="M83" s="10" t="n">
        <v>78.1</v>
      </c>
      <c r="N83" s="11" t="n">
        <v>-1.7</v>
      </c>
      <c r="O83" s="10" t="n">
        <f aca="false">O82+N83</f>
        <v>31</v>
      </c>
      <c r="P83" s="10" t="n">
        <v>39</v>
      </c>
      <c r="Q83" s="10" t="n">
        <f aca="false">0.35+((P83-8)/73)*(1-0.35)</f>
        <v>0.626027397260274</v>
      </c>
      <c r="R83" s="13" t="n">
        <f aca="false">Q83*L83</f>
        <v>1.06424657534247</v>
      </c>
      <c r="S83" s="13" t="n">
        <f aca="false">J83-R83</f>
        <v>-1.06424657534247</v>
      </c>
      <c r="T83" s="13" t="n">
        <f aca="false">MIN(153.6,(T82+S83))</f>
        <v>74.4921232876712</v>
      </c>
      <c r="V83" s="10" t="n">
        <v>914.9</v>
      </c>
      <c r="W83" s="10" t="n">
        <v>50.5469613259669</v>
      </c>
      <c r="X83" s="10" t="n">
        <v>34892.2</v>
      </c>
      <c r="AA83" s="10" t="n">
        <v>10.6413471648317</v>
      </c>
    </row>
    <row r="84" s="10" customFormat="true" ht="15" hidden="false" customHeight="false" outlineLevel="0" collapsed="false">
      <c r="A84" s="15"/>
      <c r="B84" s="16"/>
      <c r="C84" s="9" t="n">
        <v>41931</v>
      </c>
      <c r="D84" s="10" t="n">
        <v>17.2</v>
      </c>
      <c r="E84" s="10" t="n">
        <v>15.7</v>
      </c>
      <c r="F84" s="10" t="n">
        <v>21.8</v>
      </c>
      <c r="G84" s="10" t="n">
        <v>619.2</v>
      </c>
      <c r="J84" s="10" t="n">
        <v>0</v>
      </c>
      <c r="K84" s="10" t="n">
        <v>82.1</v>
      </c>
      <c r="L84" s="10" t="n">
        <v>2.5</v>
      </c>
      <c r="M84" s="10" t="n">
        <v>80.6</v>
      </c>
      <c r="N84" s="11" t="n">
        <v>-2.5</v>
      </c>
      <c r="O84" s="10" t="n">
        <f aca="false">O83+N84</f>
        <v>28.5</v>
      </c>
      <c r="P84" s="10" t="n">
        <v>40</v>
      </c>
      <c r="Q84" s="10" t="n">
        <f aca="false">0.35+((P84-8)/73)*(1-0.35)</f>
        <v>0.634931506849315</v>
      </c>
      <c r="R84" s="13" t="n">
        <f aca="false">Q84*L84</f>
        <v>1.58732876712329</v>
      </c>
      <c r="S84" s="13" t="n">
        <f aca="false">J84-R84</f>
        <v>-1.58732876712329</v>
      </c>
      <c r="T84" s="13" t="n">
        <f aca="false">MIN(153.6,(T83+S84))</f>
        <v>72.9047945205479</v>
      </c>
      <c r="V84" s="10" t="n">
        <v>945.7</v>
      </c>
      <c r="W84" s="10" t="n">
        <v>54.9825581395349</v>
      </c>
      <c r="X84" s="10" t="n">
        <v>35837.9</v>
      </c>
      <c r="AA84" s="10" t="n">
        <v>10.5795409658507</v>
      </c>
    </row>
    <row r="85" s="10" customFormat="true" ht="15" hidden="false" customHeight="false" outlineLevel="0" collapsed="false">
      <c r="A85" s="15"/>
      <c r="B85" s="16"/>
      <c r="C85" s="9" t="n">
        <v>41932</v>
      </c>
      <c r="D85" s="10" t="n">
        <v>14.4</v>
      </c>
      <c r="E85" s="10" t="n">
        <v>12.2</v>
      </c>
      <c r="F85" s="10" t="n">
        <v>17.7</v>
      </c>
      <c r="G85" s="10" t="n">
        <v>633.6</v>
      </c>
      <c r="J85" s="10" t="n">
        <v>0.1</v>
      </c>
      <c r="K85" s="10" t="n">
        <v>82.2</v>
      </c>
      <c r="L85" s="10" t="n">
        <v>2.1</v>
      </c>
      <c r="M85" s="10" t="n">
        <v>82.7</v>
      </c>
      <c r="N85" s="11" t="n">
        <v>-2</v>
      </c>
      <c r="O85" s="10" t="n">
        <f aca="false">O84+N85</f>
        <v>26.5</v>
      </c>
      <c r="P85" s="10" t="n">
        <v>41</v>
      </c>
      <c r="Q85" s="10" t="n">
        <f aca="false">0.35+((P85-8)/73)*(1-0.35)</f>
        <v>0.643835616438356</v>
      </c>
      <c r="R85" s="13" t="n">
        <f aca="false">Q85*L85</f>
        <v>1.35205479452055</v>
      </c>
      <c r="S85" s="13" t="n">
        <f aca="false">J85-R85</f>
        <v>-1.25205479452055</v>
      </c>
      <c r="T85" s="13" t="n">
        <f aca="false">MIN(153.6,(T84+S85))</f>
        <v>71.6527397260274</v>
      </c>
      <c r="V85" s="18" t="n">
        <v>780.6</v>
      </c>
      <c r="W85" s="10" t="n">
        <v>54.2083333333333</v>
      </c>
      <c r="X85" s="10" t="n">
        <v>36618.5</v>
      </c>
      <c r="AA85" s="10" t="n">
        <v>10.5179121213524</v>
      </c>
    </row>
    <row r="86" s="10" customFormat="true" ht="15" hidden="false" customHeight="false" outlineLevel="0" collapsed="false">
      <c r="A86" s="15"/>
      <c r="B86" s="16"/>
      <c r="C86" s="9" t="n">
        <v>41933</v>
      </c>
      <c r="D86" s="10" t="n">
        <v>12</v>
      </c>
      <c r="E86" s="10" t="n">
        <v>10.8</v>
      </c>
      <c r="F86" s="10" t="n">
        <v>14.5</v>
      </c>
      <c r="G86" s="10" t="n">
        <v>645.6</v>
      </c>
      <c r="J86" s="10" t="n">
        <v>3.7</v>
      </c>
      <c r="K86" s="10" t="n">
        <v>85.9</v>
      </c>
      <c r="L86" s="10" t="n">
        <v>1.9</v>
      </c>
      <c r="M86" s="10" t="n">
        <v>84.6</v>
      </c>
      <c r="N86" s="10" t="n">
        <v>1.8</v>
      </c>
      <c r="O86" s="10" t="n">
        <f aca="false">O85+N86</f>
        <v>28.3</v>
      </c>
      <c r="P86" s="10" t="n">
        <v>42</v>
      </c>
      <c r="Q86" s="10" t="n">
        <f aca="false">0.35+((P86-8)/73)*(1-0.35)</f>
        <v>0.652739726027397</v>
      </c>
      <c r="R86" s="13" t="n">
        <f aca="false">Q86*L86</f>
        <v>1.24020547945205</v>
      </c>
      <c r="S86" s="13" t="n">
        <f aca="false">J86-R86</f>
        <v>2.45979452054795</v>
      </c>
      <c r="T86" s="13" t="n">
        <f aca="false">MIN(153.6,(T85+S86))</f>
        <v>74.1125342465753</v>
      </c>
      <c r="V86" s="18" t="n">
        <v>382.9</v>
      </c>
      <c r="W86" s="10" t="n">
        <v>31.9083333333333</v>
      </c>
      <c r="X86" s="10" t="n">
        <v>37001.4</v>
      </c>
      <c r="AA86" s="10" t="n">
        <v>10.4564730548477</v>
      </c>
    </row>
    <row r="87" s="10" customFormat="true" ht="15" hidden="false" customHeight="false" outlineLevel="0" collapsed="false">
      <c r="A87" s="15"/>
      <c r="B87" s="16"/>
      <c r="C87" s="9" t="n">
        <v>41934</v>
      </c>
      <c r="D87" s="10" t="n">
        <v>9.7</v>
      </c>
      <c r="E87" s="10" t="n">
        <v>7.6</v>
      </c>
      <c r="F87" s="10" t="n">
        <v>11.3</v>
      </c>
      <c r="G87" s="10" t="n">
        <v>655.3</v>
      </c>
      <c r="J87" s="10" t="n">
        <v>0.3</v>
      </c>
      <c r="K87" s="10" t="n">
        <v>86.2</v>
      </c>
      <c r="L87" s="10" t="n">
        <v>1.5</v>
      </c>
      <c r="M87" s="10" t="n">
        <v>86.1</v>
      </c>
      <c r="N87" s="11" t="n">
        <v>-1.2</v>
      </c>
      <c r="O87" s="10" t="n">
        <f aca="false">O86+N87</f>
        <v>27.1</v>
      </c>
      <c r="P87" s="10" t="n">
        <v>43</v>
      </c>
      <c r="Q87" s="10" t="n">
        <f aca="false">0.35+((P87-8)/73)*(1-0.35)</f>
        <v>0.661643835616438</v>
      </c>
      <c r="R87" s="13" t="n">
        <f aca="false">Q87*L87</f>
        <v>0.992465753424657</v>
      </c>
      <c r="S87" s="13" t="n">
        <f aca="false">J87-R87</f>
        <v>-0.692465753424657</v>
      </c>
      <c r="T87" s="13" t="n">
        <f aca="false">MIN(153.6,(T86+S87))</f>
        <v>73.4200684931507</v>
      </c>
      <c r="V87" s="18" t="n">
        <v>602.1</v>
      </c>
      <c r="W87" s="10" t="n">
        <v>62.0721649484536</v>
      </c>
      <c r="X87" s="10" t="n">
        <v>37603.5</v>
      </c>
      <c r="AA87" s="10" t="n">
        <v>10.3952367456766</v>
      </c>
    </row>
    <row r="88" s="10" customFormat="true" ht="15" hidden="false" customHeight="false" outlineLevel="0" collapsed="false">
      <c r="A88" s="15"/>
      <c r="B88" s="16"/>
      <c r="C88" s="9" t="n">
        <v>41935</v>
      </c>
      <c r="D88" s="10" t="n">
        <v>12.1</v>
      </c>
      <c r="E88" s="10" t="n">
        <v>10.2</v>
      </c>
      <c r="F88" s="10" t="n">
        <v>13.9</v>
      </c>
      <c r="G88" s="10" t="n">
        <v>667.4</v>
      </c>
      <c r="J88" s="10" t="n">
        <v>0.2</v>
      </c>
      <c r="K88" s="10" t="n">
        <v>86.4</v>
      </c>
      <c r="L88" s="10" t="n">
        <v>1.1</v>
      </c>
      <c r="M88" s="10" t="n">
        <v>87.2</v>
      </c>
      <c r="N88" s="11" t="n">
        <v>-0.9</v>
      </c>
      <c r="O88" s="10" t="n">
        <f aca="false">O87+N88</f>
        <v>26.2</v>
      </c>
      <c r="P88" s="10" t="n">
        <v>44</v>
      </c>
      <c r="Q88" s="10" t="n">
        <f aca="false">0.35+((P88-8)/73)*(1-0.35)</f>
        <v>0.670547945205479</v>
      </c>
      <c r="R88" s="13" t="n">
        <f aca="false">Q88*L88</f>
        <v>0.737602739726027</v>
      </c>
      <c r="S88" s="13" t="n">
        <f aca="false">J88-R88</f>
        <v>-0.537602739726028</v>
      </c>
      <c r="T88" s="13" t="n">
        <f aca="false">MIN(153.6,(T87+S88))</f>
        <v>72.8824657534247</v>
      </c>
      <c r="V88" s="18" t="n">
        <v>217.1</v>
      </c>
      <c r="W88" s="10" t="n">
        <v>17.9421487603306</v>
      </c>
      <c r="X88" s="10" t="n">
        <v>37820.6</v>
      </c>
      <c r="AA88" s="10" t="n">
        <v>10.3342167494721</v>
      </c>
    </row>
    <row r="89" s="10" customFormat="true" ht="15" hidden="false" customHeight="false" outlineLevel="0" collapsed="false">
      <c r="A89" s="15"/>
      <c r="B89" s="16"/>
      <c r="C89" s="9" t="n">
        <v>41936</v>
      </c>
      <c r="D89" s="10" t="n">
        <v>12</v>
      </c>
      <c r="E89" s="10" t="n">
        <v>11.5</v>
      </c>
      <c r="F89" s="10" t="n">
        <v>12.6</v>
      </c>
      <c r="G89" s="10" t="n">
        <v>679.4</v>
      </c>
      <c r="J89" s="10" t="n">
        <v>3.3</v>
      </c>
      <c r="K89" s="10" t="n">
        <v>89.7</v>
      </c>
      <c r="L89" s="10" t="n">
        <v>0.6</v>
      </c>
      <c r="M89" s="10" t="n">
        <v>87.8</v>
      </c>
      <c r="N89" s="10" t="n">
        <v>2.7</v>
      </c>
      <c r="O89" s="10" t="n">
        <f aca="false">O88+N89</f>
        <v>28.9</v>
      </c>
      <c r="P89" s="10" t="n">
        <v>45</v>
      </c>
      <c r="Q89" s="10" t="n">
        <f aca="false">0.35+((P89-8)/73)*(1-0.35)</f>
        <v>0.679452054794521</v>
      </c>
      <c r="R89" s="13" t="n">
        <f aca="false">Q89*L89</f>
        <v>0.407671232876712</v>
      </c>
      <c r="S89" s="13" t="n">
        <f aca="false">J89-R89</f>
        <v>2.89232876712329</v>
      </c>
      <c r="T89" s="13" t="n">
        <f aca="false">MIN(153.6,(T88+S89))</f>
        <v>75.7747945205479</v>
      </c>
      <c r="V89" s="18" t="n">
        <v>129.4</v>
      </c>
      <c r="W89" s="10" t="n">
        <v>10.7833333333333</v>
      </c>
      <c r="X89" s="10" t="n">
        <v>37950</v>
      </c>
      <c r="AA89" s="10" t="n">
        <v>10.273427218281</v>
      </c>
    </row>
    <row r="90" s="10" customFormat="true" ht="15" hidden="false" customHeight="false" outlineLevel="0" collapsed="false">
      <c r="A90" s="15"/>
      <c r="B90" s="16"/>
      <c r="C90" s="9" t="n">
        <v>41937</v>
      </c>
      <c r="D90" s="10" t="n">
        <v>13.4</v>
      </c>
      <c r="E90" s="10" t="n">
        <v>12</v>
      </c>
      <c r="F90" s="10" t="n">
        <v>15.3</v>
      </c>
      <c r="G90" s="10" t="n">
        <v>692.8</v>
      </c>
      <c r="J90" s="10" t="n">
        <v>0</v>
      </c>
      <c r="K90" s="10" t="n">
        <v>89.7</v>
      </c>
      <c r="L90" s="10" t="n">
        <v>1.9</v>
      </c>
      <c r="M90" s="10" t="n">
        <v>89.7</v>
      </c>
      <c r="N90" s="11" t="n">
        <v>-1.9</v>
      </c>
      <c r="O90" s="10" t="n">
        <f aca="false">O89+N90</f>
        <v>27</v>
      </c>
      <c r="P90" s="10" t="n">
        <v>46</v>
      </c>
      <c r="Q90" s="10" t="n">
        <f aca="false">0.35+((P90-8)/73)*(1-0.35)</f>
        <v>0.688356164383562</v>
      </c>
      <c r="R90" s="13" t="n">
        <f aca="false">Q90*L90</f>
        <v>1.30787671232877</v>
      </c>
      <c r="S90" s="13" t="n">
        <f aca="false">J90-R90</f>
        <v>-1.30787671232877</v>
      </c>
      <c r="T90" s="13" t="n">
        <f aca="false">MIN(153.6,(T89+S90))</f>
        <v>74.4669178082192</v>
      </c>
      <c r="V90" s="18" t="n">
        <v>740.3</v>
      </c>
      <c r="W90" s="10" t="n">
        <v>55.2462686567164</v>
      </c>
      <c r="X90" s="10" t="n">
        <v>38690.3</v>
      </c>
      <c r="AA90" s="10" t="n">
        <v>10.2128829202618</v>
      </c>
    </row>
    <row r="91" s="10" customFormat="true" ht="15" hidden="false" customHeight="false" outlineLevel="0" collapsed="false">
      <c r="A91" s="15"/>
      <c r="B91" s="16"/>
      <c r="C91" s="9" t="n">
        <v>41938</v>
      </c>
      <c r="D91" s="10" t="n">
        <v>13.3</v>
      </c>
      <c r="E91" s="10" t="n">
        <v>11.2</v>
      </c>
      <c r="F91" s="10" t="n">
        <v>15.7</v>
      </c>
      <c r="G91" s="10" t="n">
        <v>706.1</v>
      </c>
      <c r="J91" s="10" t="n">
        <v>0</v>
      </c>
      <c r="K91" s="10" t="n">
        <v>89.7</v>
      </c>
      <c r="L91" s="10" t="n">
        <v>1.5</v>
      </c>
      <c r="M91" s="10" t="n">
        <v>91.2</v>
      </c>
      <c r="N91" s="11" t="n">
        <v>-1.5</v>
      </c>
      <c r="O91" s="10" t="n">
        <f aca="false">O90+N91</f>
        <v>25.5</v>
      </c>
      <c r="P91" s="10" t="n">
        <v>47</v>
      </c>
      <c r="Q91" s="10" t="n">
        <f aca="false">0.35+((P91-8)/73)*(1-0.35)</f>
        <v>0.697260273972603</v>
      </c>
      <c r="R91" s="13" t="n">
        <f aca="false">Q91*L91</f>
        <v>1.0458904109589</v>
      </c>
      <c r="S91" s="13" t="n">
        <f aca="false">J91-R91</f>
        <v>-1.0458904109589</v>
      </c>
      <c r="T91" s="13" t="n">
        <f aca="false">MIN(153.6,(T90+S91))</f>
        <v>73.4210273972603</v>
      </c>
      <c r="V91" s="18" t="n">
        <v>476.7</v>
      </c>
      <c r="W91" s="10" t="n">
        <v>35.8421052631579</v>
      </c>
      <c r="X91" s="10" t="n">
        <v>39167</v>
      </c>
      <c r="AA91" s="10" t="n">
        <v>10.152599258871</v>
      </c>
    </row>
    <row r="92" s="10" customFormat="true" ht="15" hidden="false" customHeight="false" outlineLevel="0" collapsed="false">
      <c r="A92" s="15"/>
      <c r="B92" s="16"/>
      <c r="C92" s="9" t="n">
        <v>41939</v>
      </c>
      <c r="D92" s="10" t="n">
        <v>12</v>
      </c>
      <c r="E92" s="10" t="n">
        <v>8.5</v>
      </c>
      <c r="F92" s="10" t="n">
        <v>14.3</v>
      </c>
      <c r="G92" s="10" t="n">
        <v>718.1</v>
      </c>
      <c r="J92" s="10" t="n">
        <v>0</v>
      </c>
      <c r="K92" s="10" t="n">
        <v>89.7</v>
      </c>
      <c r="L92" s="10" t="n">
        <v>0.9</v>
      </c>
      <c r="M92" s="10" t="n">
        <v>92.1</v>
      </c>
      <c r="N92" s="11" t="n">
        <v>-0.9</v>
      </c>
      <c r="O92" s="10" t="n">
        <f aca="false">O91+N92</f>
        <v>24.6</v>
      </c>
      <c r="P92" s="10" t="n">
        <v>48</v>
      </c>
      <c r="Q92" s="10" t="n">
        <f aca="false">0.35+((P92-8)/73)*(1-0.35)</f>
        <v>0.706164383561644</v>
      </c>
      <c r="R92" s="13" t="n">
        <f aca="false">Q92*L92</f>
        <v>0.635547945205479</v>
      </c>
      <c r="S92" s="13" t="n">
        <f aca="false">J92-R92</f>
        <v>-0.635547945205479</v>
      </c>
      <c r="T92" s="13" t="n">
        <f aca="false">MIN(153.6,(T91+S92))</f>
        <v>72.7854794520548</v>
      </c>
      <c r="V92" s="18" t="n">
        <v>610.4</v>
      </c>
      <c r="W92" s="10" t="n">
        <v>50.8666666666667</v>
      </c>
      <c r="X92" s="10" t="n">
        <v>39777.4</v>
      </c>
      <c r="AA92" s="10" t="n">
        <v>10.0925922914425</v>
      </c>
    </row>
    <row r="93" s="10" customFormat="true" ht="15" hidden="false" customHeight="false" outlineLevel="0" collapsed="false">
      <c r="A93" s="15"/>
      <c r="B93" s="16"/>
      <c r="C93" s="9" t="n">
        <v>41940</v>
      </c>
      <c r="D93" s="10" t="n">
        <v>10.3</v>
      </c>
      <c r="E93" s="10" t="n">
        <v>9.4</v>
      </c>
      <c r="F93" s="10" t="n">
        <v>10.9</v>
      </c>
      <c r="G93" s="10" t="n">
        <v>728.4</v>
      </c>
      <c r="J93" s="10" t="n">
        <v>0</v>
      </c>
      <c r="K93" s="10" t="n">
        <v>89.7</v>
      </c>
      <c r="L93" s="10" t="n">
        <v>0.5</v>
      </c>
      <c r="M93" s="10" t="n">
        <v>92.6</v>
      </c>
      <c r="N93" s="11" t="n">
        <v>-0.5</v>
      </c>
      <c r="O93" s="10" t="n">
        <f aca="false">O92+N93</f>
        <v>24.1</v>
      </c>
      <c r="P93" s="10" t="n">
        <v>49</v>
      </c>
      <c r="Q93" s="10" t="n">
        <f aca="false">0.35+((P93-8)/73)*(1-0.35)</f>
        <v>0.715068493150685</v>
      </c>
      <c r="R93" s="13" t="n">
        <f aca="false">Q93*L93</f>
        <v>0.357534246575343</v>
      </c>
      <c r="S93" s="13" t="n">
        <f aca="false">J93-R93</f>
        <v>-0.357534246575343</v>
      </c>
      <c r="T93" s="13" t="n">
        <f aca="false">MIN(153.6,(T92+S93))</f>
        <v>72.4279452054795</v>
      </c>
      <c r="V93" s="18" t="n">
        <v>223.8</v>
      </c>
      <c r="W93" s="10" t="n">
        <v>21.7281553398058</v>
      </c>
      <c r="X93" s="10" t="n">
        <v>40001.2</v>
      </c>
      <c r="AA93" s="10" t="n">
        <v>10.0328787470551</v>
      </c>
    </row>
    <row r="94" s="10" customFormat="true" ht="15" hidden="false" customHeight="false" outlineLevel="0" collapsed="false">
      <c r="A94" s="15"/>
      <c r="B94" s="16"/>
      <c r="C94" s="9" t="n">
        <v>41941</v>
      </c>
      <c r="D94" s="10" t="n">
        <v>11.7</v>
      </c>
      <c r="E94" s="10" t="n">
        <v>10.4</v>
      </c>
      <c r="F94" s="10" t="n">
        <v>13</v>
      </c>
      <c r="G94" s="10" t="n">
        <v>740.1</v>
      </c>
      <c r="J94" s="10" t="n">
        <v>4.4</v>
      </c>
      <c r="K94" s="10" t="n">
        <v>94.1</v>
      </c>
      <c r="L94" s="10" t="n">
        <v>0.4</v>
      </c>
      <c r="M94" s="10" t="n">
        <v>93</v>
      </c>
      <c r="N94" s="10" t="n">
        <v>4</v>
      </c>
      <c r="O94" s="10" t="n">
        <f aca="false">O93+N94</f>
        <v>28.1</v>
      </c>
      <c r="P94" s="10" t="n">
        <v>50</v>
      </c>
      <c r="Q94" s="10" t="n">
        <f aca="false">0.35+((P94-8)/73)*(1-0.35)</f>
        <v>0.723972602739726</v>
      </c>
      <c r="R94" s="13" t="n">
        <f aca="false">Q94*L94</f>
        <v>0.28958904109589</v>
      </c>
      <c r="S94" s="13" t="n">
        <f aca="false">J94-R94</f>
        <v>4.11041095890411</v>
      </c>
      <c r="T94" s="13" t="n">
        <f aca="false">MIN(153.6,(T93+S94))</f>
        <v>76.5383561643836</v>
      </c>
      <c r="V94" s="18" t="n">
        <v>115.1</v>
      </c>
      <c r="W94" s="10" t="n">
        <v>9.83760683760684</v>
      </c>
      <c r="X94" s="10" t="n">
        <v>40116.3</v>
      </c>
      <c r="AA94" s="10" t="n">
        <v>9.97347604357522</v>
      </c>
    </row>
    <row r="95" s="10" customFormat="true" ht="15" hidden="false" customHeight="false" outlineLevel="0" collapsed="false">
      <c r="A95" s="15"/>
      <c r="B95" s="16"/>
      <c r="C95" s="9" t="n">
        <v>41942</v>
      </c>
      <c r="D95" s="10" t="n">
        <v>13.5</v>
      </c>
      <c r="E95" s="10" t="n">
        <v>11</v>
      </c>
      <c r="F95" s="10" t="n">
        <v>16.7</v>
      </c>
      <c r="G95" s="10" t="n">
        <v>753.6</v>
      </c>
      <c r="J95" s="10" t="n">
        <v>0.3</v>
      </c>
      <c r="K95" s="10" t="n">
        <v>94.4</v>
      </c>
      <c r="L95" s="10" t="n">
        <v>0.6</v>
      </c>
      <c r="M95" s="10" t="n">
        <v>93.6</v>
      </c>
      <c r="N95" s="11" t="n">
        <v>-0.3</v>
      </c>
      <c r="O95" s="10" t="n">
        <f aca="false">O94+N95</f>
        <v>27.8</v>
      </c>
      <c r="P95" s="10" t="n">
        <v>51</v>
      </c>
      <c r="Q95" s="10" t="n">
        <f aca="false">0.35+((P95-8)/73)*(1-0.35)</f>
        <v>0.732876712328767</v>
      </c>
      <c r="R95" s="13" t="n">
        <f aca="false">Q95*L95</f>
        <v>0.43972602739726</v>
      </c>
      <c r="S95" s="13" t="n">
        <f aca="false">J95-R95</f>
        <v>-0.13972602739726</v>
      </c>
      <c r="T95" s="13" t="n">
        <f aca="false">MIN(153.6,(T94+S95))</f>
        <v>76.3986301369863</v>
      </c>
      <c r="V95" s="18" t="n">
        <v>251.7</v>
      </c>
      <c r="W95" s="10" t="n">
        <v>18.6444444444444</v>
      </c>
      <c r="X95" s="10" t="n">
        <v>40368</v>
      </c>
      <c r="AA95" s="10" t="n">
        <v>9.91440230375336</v>
      </c>
    </row>
    <row r="96" s="10" customFormat="true" ht="15" hidden="false" customHeight="false" outlineLevel="0" collapsed="false">
      <c r="A96" s="15"/>
      <c r="B96" s="16"/>
      <c r="C96" s="9" t="n">
        <v>41943</v>
      </c>
      <c r="D96" s="10" t="n">
        <v>14.5</v>
      </c>
      <c r="E96" s="10" t="n">
        <v>11.2</v>
      </c>
      <c r="F96" s="10" t="n">
        <v>18.6</v>
      </c>
      <c r="G96" s="10" t="n">
        <v>768.1</v>
      </c>
      <c r="J96" s="10" t="n">
        <v>0</v>
      </c>
      <c r="K96" s="10" t="n">
        <v>94.4</v>
      </c>
      <c r="L96" s="10" t="n">
        <v>1.3</v>
      </c>
      <c r="M96" s="10" t="n">
        <v>94.9</v>
      </c>
      <c r="N96" s="11" t="n">
        <v>-1.3</v>
      </c>
      <c r="O96" s="10" t="n">
        <f aca="false">O95+N96</f>
        <v>26.5</v>
      </c>
      <c r="P96" s="10" t="n">
        <v>52</v>
      </c>
      <c r="Q96" s="10" t="n">
        <f aca="false">0.35+((P96-8)/73)*(1-0.35)</f>
        <v>0.741780821917808</v>
      </c>
      <c r="R96" s="13" t="n">
        <f aca="false">Q96*L96</f>
        <v>0.964315068493151</v>
      </c>
      <c r="S96" s="13" t="n">
        <f aca="false">J96-R96</f>
        <v>-0.964315068493151</v>
      </c>
      <c r="T96" s="13" t="n">
        <f aca="false">MIN(153.6,(T95+S96))</f>
        <v>75.4343150684932</v>
      </c>
      <c r="V96" s="18" t="n">
        <v>803.1</v>
      </c>
      <c r="W96" s="10" t="n">
        <v>55.3862068965517</v>
      </c>
      <c r="X96" s="10" t="n">
        <v>41171.1</v>
      </c>
      <c r="AA96" s="10" t="n">
        <v>9.85567637024358</v>
      </c>
    </row>
    <row r="97" s="10" customFormat="true" ht="15" hidden="false" customHeight="false" outlineLevel="0" collapsed="false">
      <c r="A97" s="15"/>
      <c r="B97" s="16"/>
      <c r="C97" s="9" t="n">
        <v>41944</v>
      </c>
      <c r="D97" s="10" t="n">
        <v>15.2</v>
      </c>
      <c r="E97" s="10" t="n">
        <v>11.8</v>
      </c>
      <c r="F97" s="10" t="n">
        <v>19</v>
      </c>
      <c r="G97" s="10" t="n">
        <v>783.3</v>
      </c>
      <c r="J97" s="10" t="n">
        <v>0.1</v>
      </c>
      <c r="K97" s="10" t="n">
        <v>94.5</v>
      </c>
      <c r="L97" s="10" t="n">
        <v>1.6</v>
      </c>
      <c r="M97" s="10" t="n">
        <v>96.5</v>
      </c>
      <c r="N97" s="11" t="n">
        <v>-1.5</v>
      </c>
      <c r="O97" s="10" t="n">
        <f aca="false">O96+N97</f>
        <v>25</v>
      </c>
      <c r="P97" s="10" t="n">
        <v>53</v>
      </c>
      <c r="Q97" s="10" t="n">
        <f aca="false">0.35+((P97-8)/73)*(1-0.35)</f>
        <v>0.750684931506849</v>
      </c>
      <c r="R97" s="13" t="n">
        <f aca="false">Q97*L97</f>
        <v>1.20109589041096</v>
      </c>
      <c r="S97" s="13" t="n">
        <f aca="false">J97-R97</f>
        <v>-1.10109589041096</v>
      </c>
      <c r="T97" s="13" t="n">
        <f aca="false">MIN(153.6,(T96+S97))</f>
        <v>74.3332191780822</v>
      </c>
      <c r="V97" s="18" t="n">
        <v>865.3</v>
      </c>
      <c r="W97" s="10" t="n">
        <v>56.9276315789474</v>
      </c>
      <c r="X97" s="10" t="n">
        <v>42036.4</v>
      </c>
      <c r="AA97" s="10" t="n">
        <v>9.79731781940647</v>
      </c>
    </row>
    <row r="98" s="10" customFormat="true" ht="15" hidden="false" customHeight="false" outlineLevel="0" collapsed="false">
      <c r="A98" s="15"/>
      <c r="B98" s="16"/>
      <c r="C98" s="9" t="n">
        <v>41945</v>
      </c>
      <c r="D98" s="10" t="n">
        <v>13.9</v>
      </c>
      <c r="E98" s="10" t="n">
        <v>11.5</v>
      </c>
      <c r="F98" s="10" t="n">
        <v>15.8</v>
      </c>
      <c r="G98" s="10" t="n">
        <v>797.2</v>
      </c>
      <c r="J98" s="10" t="n">
        <v>8</v>
      </c>
      <c r="K98" s="10" t="n">
        <v>102.5</v>
      </c>
      <c r="L98" s="10" t="n">
        <v>1.4</v>
      </c>
      <c r="M98" s="10" t="n">
        <v>97.9</v>
      </c>
      <c r="N98" s="10" t="n">
        <v>6.6</v>
      </c>
      <c r="O98" s="10" t="n">
        <f aca="false">O97+N98</f>
        <v>31.6</v>
      </c>
      <c r="P98" s="10" t="n">
        <v>54</v>
      </c>
      <c r="Q98" s="10" t="n">
        <f aca="false">0.35+((P98-8)/73)*(1-0.35)</f>
        <v>0.75958904109589</v>
      </c>
      <c r="R98" s="13" t="n">
        <f aca="false">Q98*L98</f>
        <v>1.06342465753425</v>
      </c>
      <c r="S98" s="13" t="n">
        <f aca="false">J98-R98</f>
        <v>6.93657534246575</v>
      </c>
      <c r="T98" s="13" t="n">
        <f aca="false">MIN(153.6,(T97+S98))</f>
        <v>81.269794520548</v>
      </c>
      <c r="V98" s="18" t="n">
        <v>464.7</v>
      </c>
      <c r="W98" s="10" t="n">
        <v>33.431654676259</v>
      </c>
      <c r="X98" s="10" t="n">
        <v>42501.1</v>
      </c>
      <c r="AA98" s="10" t="n">
        <v>9.73934697374707</v>
      </c>
    </row>
    <row r="99" s="10" customFormat="true" ht="15" hidden="false" customHeight="false" outlineLevel="0" collapsed="false">
      <c r="A99" s="15"/>
      <c r="B99" s="16"/>
      <c r="C99" s="9" t="n">
        <v>41946</v>
      </c>
      <c r="D99" s="10" t="n">
        <v>12.3</v>
      </c>
      <c r="E99" s="10" t="n">
        <v>11.3</v>
      </c>
      <c r="F99" s="10" t="n">
        <v>14.5</v>
      </c>
      <c r="G99" s="10" t="n">
        <v>809.5</v>
      </c>
      <c r="J99" s="10" t="n">
        <v>13.8</v>
      </c>
      <c r="K99" s="10" t="n">
        <v>116.3</v>
      </c>
      <c r="L99" s="10" t="n">
        <v>1.5</v>
      </c>
      <c r="M99" s="10" t="n">
        <v>99.4</v>
      </c>
      <c r="N99" s="10" t="n">
        <v>12.3</v>
      </c>
      <c r="O99" s="10" t="n">
        <f aca="false">O98+N99</f>
        <v>43.9</v>
      </c>
      <c r="P99" s="10" t="n">
        <v>55</v>
      </c>
      <c r="Q99" s="10" t="n">
        <f aca="false">0.35+((P99-8)/73)*(1-0.35)</f>
        <v>0.768493150684932</v>
      </c>
      <c r="R99" s="13" t="n">
        <f aca="false">Q99*L99</f>
        <v>1.1527397260274</v>
      </c>
      <c r="S99" s="13" t="n">
        <f aca="false">J99-R99</f>
        <v>12.6472602739726</v>
      </c>
      <c r="T99" s="13" t="n">
        <f aca="false">MIN(153.6,(T98+S99))</f>
        <v>93.9170547945206</v>
      </c>
      <c r="V99" s="18" t="n">
        <v>168.2</v>
      </c>
      <c r="W99" s="10" t="n">
        <v>13.6747967479675</v>
      </c>
      <c r="X99" s="10" t="n">
        <v>42669.3</v>
      </c>
      <c r="AA99" s="10" t="n">
        <v>9.68178491283044</v>
      </c>
    </row>
    <row r="100" s="10" customFormat="true" ht="15" hidden="false" customHeight="false" outlineLevel="0" collapsed="false">
      <c r="A100" s="15"/>
      <c r="B100" s="16"/>
      <c r="C100" s="9" t="n">
        <v>41947</v>
      </c>
      <c r="D100" s="10" t="n">
        <v>8.3</v>
      </c>
      <c r="E100" s="10" t="n">
        <v>7.3</v>
      </c>
      <c r="F100" s="10" t="n">
        <v>10</v>
      </c>
      <c r="G100" s="10" t="n">
        <v>817.8</v>
      </c>
      <c r="J100" s="10" t="n">
        <v>0.2</v>
      </c>
      <c r="K100" s="10" t="n">
        <v>116.5</v>
      </c>
      <c r="L100" s="10" t="n">
        <v>0.7</v>
      </c>
      <c r="M100" s="10" t="n">
        <v>100.1</v>
      </c>
      <c r="N100" s="11" t="n">
        <v>-0.5</v>
      </c>
      <c r="O100" s="10" t="n">
        <f aca="false">O99+N100</f>
        <v>43.4</v>
      </c>
      <c r="P100" s="10" t="n">
        <v>56</v>
      </c>
      <c r="Q100" s="10" t="n">
        <f aca="false">0.35+((P100-8)/73)*(1-0.35)</f>
        <v>0.777397260273973</v>
      </c>
      <c r="R100" s="13" t="n">
        <f aca="false">Q100*L100</f>
        <v>0.544178082191781</v>
      </c>
      <c r="S100" s="13" t="n">
        <f aca="false">J100-R100</f>
        <v>-0.344178082191781</v>
      </c>
      <c r="T100" s="13" t="n">
        <f aca="false">MIN(153.6,(T99+S100))</f>
        <v>93.5728767123288</v>
      </c>
      <c r="V100" s="18" t="n">
        <v>408.8</v>
      </c>
      <c r="W100" s="10" t="n">
        <v>49.2530120481928</v>
      </c>
      <c r="X100" s="10" t="n">
        <v>43078.1</v>
      </c>
      <c r="AA100" s="10" t="n">
        <v>9.62465348250865</v>
      </c>
    </row>
    <row r="101" s="10" customFormat="true" ht="15" hidden="false" customHeight="false" outlineLevel="0" collapsed="false">
      <c r="A101" s="15"/>
      <c r="B101" s="16"/>
      <c r="C101" s="9" t="n">
        <v>41948</v>
      </c>
      <c r="D101" s="10" t="n">
        <v>6.6</v>
      </c>
      <c r="E101" s="21" t="n">
        <v>4.6</v>
      </c>
      <c r="F101" s="10" t="n">
        <v>8.6</v>
      </c>
      <c r="G101" s="10" t="n">
        <v>824.4</v>
      </c>
      <c r="J101" s="10" t="n">
        <v>1</v>
      </c>
      <c r="K101" s="10" t="n">
        <v>117.5</v>
      </c>
      <c r="L101" s="10" t="n">
        <v>0.5</v>
      </c>
      <c r="M101" s="10" t="n">
        <v>100.6</v>
      </c>
      <c r="N101" s="10" t="n">
        <v>0.5</v>
      </c>
      <c r="O101" s="10" t="n">
        <f aca="false">O100+N101</f>
        <v>43.9</v>
      </c>
      <c r="P101" s="10" t="n">
        <v>57</v>
      </c>
      <c r="Q101" s="10" t="n">
        <f aca="false">0.35+((P101-8)/73)*(1-0.35)</f>
        <v>0.786301369863014</v>
      </c>
      <c r="R101" s="13" t="n">
        <f aca="false">Q101*L101</f>
        <v>0.393150684931507</v>
      </c>
      <c r="S101" s="13" t="n">
        <f aca="false">J101-R101</f>
        <v>0.606849315068493</v>
      </c>
      <c r="T101" s="13" t="n">
        <f aca="false">MIN(153.6,(T100+S101))</f>
        <v>94.1797260273973</v>
      </c>
      <c r="V101" s="18" t="n">
        <v>236.3</v>
      </c>
      <c r="W101" s="10" t="n">
        <v>35.8030303030303</v>
      </c>
      <c r="X101" s="10" t="n">
        <v>43314.4</v>
      </c>
      <c r="AA101" s="10" t="n">
        <v>9.56797530228475</v>
      </c>
    </row>
    <row r="102" s="10" customFormat="true" ht="15" hidden="false" customHeight="false" outlineLevel="0" collapsed="false">
      <c r="A102" s="15"/>
      <c r="B102" s="16"/>
      <c r="C102" s="9" t="n">
        <v>41949</v>
      </c>
      <c r="D102" s="10" t="n">
        <v>7.9</v>
      </c>
      <c r="E102" s="10" t="n">
        <v>6.1</v>
      </c>
      <c r="F102" s="10" t="n">
        <v>11</v>
      </c>
      <c r="G102" s="10" t="n">
        <v>832.3</v>
      </c>
      <c r="J102" s="10" t="n">
        <v>0.2</v>
      </c>
      <c r="K102" s="10" t="n">
        <v>117.7</v>
      </c>
      <c r="L102" s="10" t="n">
        <v>1.4</v>
      </c>
      <c r="M102" s="10" t="n">
        <v>102</v>
      </c>
      <c r="N102" s="11" t="n">
        <v>-1.2</v>
      </c>
      <c r="O102" s="10" t="n">
        <f aca="false">O101+N102</f>
        <v>42.7</v>
      </c>
      <c r="P102" s="10" t="n">
        <v>58</v>
      </c>
      <c r="Q102" s="10" t="n">
        <f aca="false">0.35+((P102-8)/73)*(1-0.35)</f>
        <v>0.795205479452055</v>
      </c>
      <c r="R102" s="13" t="n">
        <f aca="false">Q102*L102</f>
        <v>1.11328767123288</v>
      </c>
      <c r="S102" s="13" t="n">
        <f aca="false">J102-R102</f>
        <v>-0.913287671232877</v>
      </c>
      <c r="T102" s="13" t="n">
        <f aca="false">MIN(153.6,(T101+S102))</f>
        <v>93.2664383561644</v>
      </c>
      <c r="V102" s="18" t="n">
        <v>569.9</v>
      </c>
      <c r="W102" s="10" t="n">
        <v>72.1392405063291</v>
      </c>
      <c r="X102" s="10" t="n">
        <v>43884.3</v>
      </c>
      <c r="AA102" s="10" t="n">
        <v>9.5117737706313</v>
      </c>
    </row>
    <row r="103" s="10" customFormat="true" ht="15" hidden="false" customHeight="false" outlineLevel="0" collapsed="false">
      <c r="A103" s="15"/>
      <c r="B103" s="16"/>
      <c r="C103" s="9" t="n">
        <v>41950</v>
      </c>
      <c r="D103" s="10" t="n">
        <v>9.2</v>
      </c>
      <c r="E103" s="10" t="n">
        <v>6.8</v>
      </c>
      <c r="F103" s="10" t="n">
        <v>11.1</v>
      </c>
      <c r="G103" s="10" t="n">
        <v>841.5</v>
      </c>
      <c r="J103" s="10" t="n">
        <v>2.7</v>
      </c>
      <c r="K103" s="10" t="n">
        <v>120.4</v>
      </c>
      <c r="L103" s="10" t="n">
        <v>1</v>
      </c>
      <c r="M103" s="10" t="n">
        <v>103</v>
      </c>
      <c r="N103" s="10" t="n">
        <v>1.7</v>
      </c>
      <c r="O103" s="10" t="n">
        <f aca="false">O102+N103</f>
        <v>44.4</v>
      </c>
      <c r="P103" s="10" t="n">
        <v>59</v>
      </c>
      <c r="Q103" s="10" t="n">
        <f aca="false">0.35+((P103-8)/73)*(1-0.35)</f>
        <v>0.804109589041096</v>
      </c>
      <c r="R103" s="13" t="n">
        <f aca="false">Q103*L103</f>
        <v>0.804109589041096</v>
      </c>
      <c r="S103" s="13" t="n">
        <f aca="false">J103-R103</f>
        <v>1.8958904109589</v>
      </c>
      <c r="T103" s="13" t="n">
        <f aca="false">MIN(153.6,(T102+S103))</f>
        <v>95.1623287671233</v>
      </c>
      <c r="V103" s="18" t="n">
        <v>139.7</v>
      </c>
      <c r="W103" s="10" t="n">
        <v>15.1847826086957</v>
      </c>
      <c r="X103" s="10" t="n">
        <v>44024</v>
      </c>
      <c r="AA103" s="10" t="n">
        <v>9.45607306807339</v>
      </c>
    </row>
    <row r="104" s="10" customFormat="true" ht="15" hidden="false" customHeight="false" outlineLevel="0" collapsed="false">
      <c r="A104" s="15"/>
      <c r="B104" s="16"/>
      <c r="C104" s="9" t="n">
        <v>41951</v>
      </c>
      <c r="D104" s="10" t="n">
        <v>10.1</v>
      </c>
      <c r="E104" s="10" t="n">
        <v>7.4</v>
      </c>
      <c r="F104" s="10" t="n">
        <v>11.7</v>
      </c>
      <c r="G104" s="10" t="n">
        <v>851.6</v>
      </c>
      <c r="J104" s="10" t="n">
        <v>0</v>
      </c>
      <c r="K104" s="10" t="n">
        <v>120.4</v>
      </c>
      <c r="L104" s="10" t="n">
        <v>0.9</v>
      </c>
      <c r="M104" s="10" t="n">
        <v>103.9</v>
      </c>
      <c r="N104" s="11" t="n">
        <v>-0.9</v>
      </c>
      <c r="O104" s="10" t="n">
        <f aca="false">O103+N104</f>
        <v>43.5</v>
      </c>
      <c r="P104" s="10" t="n">
        <v>60</v>
      </c>
      <c r="Q104" s="10" t="n">
        <f aca="false">0.35+((P104-8)/73)*(1-0.35)</f>
        <v>0.813013698630137</v>
      </c>
      <c r="R104" s="13" t="n">
        <f aca="false">Q104*L104</f>
        <v>0.731712328767123</v>
      </c>
      <c r="S104" s="13" t="n">
        <f aca="false">J104-R104</f>
        <v>-0.731712328767123</v>
      </c>
      <c r="T104" s="13" t="n">
        <f aca="false">MIN(153.6,(T103+S104))</f>
        <v>94.4306164383562</v>
      </c>
      <c r="V104" s="18" t="n">
        <v>487.3</v>
      </c>
      <c r="W104" s="10" t="n">
        <v>48.2475247524753</v>
      </c>
      <c r="X104" s="10" t="n">
        <v>44511.3</v>
      </c>
      <c r="AA104" s="10" t="n">
        <v>9.40089815783982</v>
      </c>
    </row>
    <row r="105" s="10" customFormat="true" ht="15" hidden="false" customHeight="false" outlineLevel="0" collapsed="false">
      <c r="A105" s="15"/>
      <c r="B105" s="16"/>
      <c r="C105" s="9" t="n">
        <v>41952</v>
      </c>
      <c r="D105" s="10" t="n">
        <v>9.9</v>
      </c>
      <c r="E105" s="10" t="n">
        <v>7.8</v>
      </c>
      <c r="F105" s="10" t="n">
        <v>11.9</v>
      </c>
      <c r="G105" s="10" t="n">
        <v>861.5</v>
      </c>
      <c r="J105" s="10" t="n">
        <v>0.1</v>
      </c>
      <c r="K105" s="10" t="n">
        <v>120.5</v>
      </c>
      <c r="L105" s="10" t="n">
        <v>0.9</v>
      </c>
      <c r="M105" s="10" t="n">
        <v>104.8</v>
      </c>
      <c r="N105" s="11" t="n">
        <v>-0.8</v>
      </c>
      <c r="O105" s="10" t="n">
        <f aca="false">O104+N105</f>
        <v>42.7</v>
      </c>
      <c r="P105" s="10" t="n">
        <v>61</v>
      </c>
      <c r="Q105" s="10" t="n">
        <f aca="false">0.35+((P105-8)/73)*(1-0.35)</f>
        <v>0.821917808219178</v>
      </c>
      <c r="R105" s="13" t="n">
        <f aca="false">Q105*L105</f>
        <v>0.73972602739726</v>
      </c>
      <c r="S105" s="13" t="n">
        <f aca="false">J105-R105</f>
        <v>-0.63972602739726</v>
      </c>
      <c r="T105" s="13" t="n">
        <f aca="false">MIN(153.6,(T104+S105))</f>
        <v>93.7908904109589</v>
      </c>
      <c r="V105" s="18" t="n">
        <v>421.6</v>
      </c>
      <c r="W105" s="10" t="n">
        <v>42.5858585858586</v>
      </c>
      <c r="X105" s="10" t="n">
        <v>44932.9</v>
      </c>
      <c r="AA105" s="10" t="n">
        <v>9.34627478387992</v>
      </c>
    </row>
    <row r="106" s="10" customFormat="true" ht="15" hidden="false" customHeight="false" outlineLevel="0" collapsed="false">
      <c r="A106" s="15"/>
      <c r="B106" s="16"/>
      <c r="C106" s="9" t="n">
        <v>41953</v>
      </c>
      <c r="D106" s="10" t="n">
        <v>8.6</v>
      </c>
      <c r="E106" s="10" t="n">
        <v>6</v>
      </c>
      <c r="F106" s="10" t="n">
        <v>11.7</v>
      </c>
      <c r="G106" s="10" t="n">
        <v>870.1</v>
      </c>
      <c r="J106" s="10" t="n">
        <v>0.1</v>
      </c>
      <c r="K106" s="10" t="n">
        <v>120.6</v>
      </c>
      <c r="L106" s="10" t="n">
        <v>1</v>
      </c>
      <c r="M106" s="10" t="n">
        <v>105.8</v>
      </c>
      <c r="N106" s="11" t="n">
        <v>-0.9</v>
      </c>
      <c r="O106" s="10" t="n">
        <f aca="false">O105+N106</f>
        <v>41.8</v>
      </c>
      <c r="P106" s="10" t="n">
        <v>62</v>
      </c>
      <c r="Q106" s="10" t="n">
        <f aca="false">0.35+((P106-8)/73)*(1-0.35)</f>
        <v>0.830821917808219</v>
      </c>
      <c r="R106" s="13" t="n">
        <f aca="false">Q106*L106</f>
        <v>0.830821917808219</v>
      </c>
      <c r="S106" s="13" t="n">
        <f aca="false">J106-R106</f>
        <v>-0.730821917808219</v>
      </c>
      <c r="T106" s="13" t="n">
        <f aca="false">MIN(153.6,(T105+S106))</f>
        <v>93.0600684931507</v>
      </c>
      <c r="V106" s="18" t="n">
        <v>636.2</v>
      </c>
      <c r="W106" s="10" t="n">
        <v>73.9767441860465</v>
      </c>
      <c r="X106" s="10" t="n">
        <v>45569.1</v>
      </c>
      <c r="AA106" s="10" t="n">
        <v>9.29222946603914</v>
      </c>
    </row>
    <row r="107" s="10" customFormat="true" ht="15" hidden="false" customHeight="false" outlineLevel="0" collapsed="false">
      <c r="A107" s="15"/>
      <c r="B107" s="16"/>
      <c r="C107" s="9" t="n">
        <v>41954</v>
      </c>
      <c r="D107" s="10" t="n">
        <v>9.7</v>
      </c>
      <c r="E107" s="21" t="n">
        <v>4.9</v>
      </c>
      <c r="F107" s="10" t="n">
        <v>13.5</v>
      </c>
      <c r="G107" s="10" t="n">
        <v>879.8</v>
      </c>
      <c r="J107" s="10" t="n">
        <v>0.3</v>
      </c>
      <c r="K107" s="10" t="n">
        <v>120.9</v>
      </c>
      <c r="L107" s="10" t="n">
        <v>0.8</v>
      </c>
      <c r="M107" s="10" t="n">
        <v>106.6</v>
      </c>
      <c r="N107" s="11" t="n">
        <v>-0.5</v>
      </c>
      <c r="O107" s="10" t="n">
        <f aca="false">O106+N107</f>
        <v>41.3</v>
      </c>
      <c r="P107" s="10" t="n">
        <v>63</v>
      </c>
      <c r="Q107" s="10" t="n">
        <f aca="false">0.35+((P107-8)/73)*(1-0.35)</f>
        <v>0.83972602739726</v>
      </c>
      <c r="R107" s="13" t="n">
        <f aca="false">Q107*L107</f>
        <v>0.671780821917808</v>
      </c>
      <c r="S107" s="13" t="n">
        <f aca="false">J107-R107</f>
        <v>-0.371780821917808</v>
      </c>
      <c r="T107" s="13" t="n">
        <f aca="false">MIN(153.6,(T106+S107))</f>
        <v>92.6882876712329</v>
      </c>
      <c r="V107" s="18" t="n">
        <v>612.9</v>
      </c>
      <c r="W107" s="10" t="n">
        <v>63.1855670103093</v>
      </c>
      <c r="X107" s="10" t="n">
        <v>46182</v>
      </c>
      <c r="AA107" s="10" t="n">
        <v>9.23878949218292</v>
      </c>
    </row>
    <row r="108" s="10" customFormat="true" ht="15" hidden="false" customHeight="false" outlineLevel="0" collapsed="false">
      <c r="A108" s="15"/>
      <c r="B108" s="16"/>
      <c r="C108" s="9" t="n">
        <v>41955</v>
      </c>
      <c r="D108" s="10" t="n">
        <v>10.4</v>
      </c>
      <c r="E108" s="10" t="n">
        <v>9.5</v>
      </c>
      <c r="F108" s="10" t="n">
        <v>13.1</v>
      </c>
      <c r="G108" s="10" t="n">
        <v>890.2</v>
      </c>
      <c r="J108" s="10" t="n">
        <v>0.2</v>
      </c>
      <c r="K108" s="10" t="n">
        <v>121.1</v>
      </c>
      <c r="L108" s="10" t="n">
        <v>1.2</v>
      </c>
      <c r="M108" s="10" t="n">
        <v>107.8</v>
      </c>
      <c r="N108" s="11" t="n">
        <v>-1</v>
      </c>
      <c r="O108" s="10" t="n">
        <f aca="false">O107+N108</f>
        <v>40.3</v>
      </c>
      <c r="P108" s="10" t="n">
        <v>64</v>
      </c>
      <c r="Q108" s="10" t="n">
        <f aca="false">0.35+((P108-8)/73)*(1-0.35)</f>
        <v>0.848630136986301</v>
      </c>
      <c r="R108" s="13" t="n">
        <f aca="false">Q108*L108</f>
        <v>1.01835616438356</v>
      </c>
      <c r="S108" s="13" t="n">
        <f aca="false">J108-R108</f>
        <v>-0.818356164383562</v>
      </c>
      <c r="T108" s="13" t="n">
        <f aca="false">MIN(153.6,(T107+S108))</f>
        <v>91.8699315068493</v>
      </c>
      <c r="V108" s="18" t="n">
        <v>418.5</v>
      </c>
      <c r="W108" s="10" t="n">
        <v>40.2403846153846</v>
      </c>
      <c r="X108" s="10" t="n">
        <v>46600.5</v>
      </c>
      <c r="AA108" s="10" t="n">
        <v>9.18598290705673</v>
      </c>
    </row>
    <row r="109" s="10" customFormat="true" ht="15" hidden="false" customHeight="false" outlineLevel="0" collapsed="false">
      <c r="A109" s="15"/>
      <c r="B109" s="16"/>
      <c r="C109" s="9" t="n">
        <v>41956</v>
      </c>
      <c r="D109" s="10" t="n">
        <v>8.6</v>
      </c>
      <c r="E109" s="10" t="n">
        <v>5.4</v>
      </c>
      <c r="F109" s="10" t="n">
        <v>10.6</v>
      </c>
      <c r="G109" s="10" t="n">
        <v>898.8</v>
      </c>
      <c r="J109" s="10" t="n">
        <v>0.2</v>
      </c>
      <c r="K109" s="10" t="n">
        <v>121.3</v>
      </c>
      <c r="L109" s="10" t="n">
        <v>0.2</v>
      </c>
      <c r="M109" s="10" t="n">
        <v>108</v>
      </c>
      <c r="N109" s="10" t="n">
        <v>0</v>
      </c>
      <c r="O109" s="10" t="n">
        <f aca="false">O108+N109</f>
        <v>40.3</v>
      </c>
      <c r="P109" s="10" t="n">
        <v>65</v>
      </c>
      <c r="Q109" s="10" t="n">
        <f aca="false">0.35+((P109-8)/73)*(1-0.35)</f>
        <v>0.857534246575343</v>
      </c>
      <c r="R109" s="13" t="n">
        <f aca="false">Q109*L109</f>
        <v>0.171506849315069</v>
      </c>
      <c r="S109" s="13" t="n">
        <f aca="false">J109-R109</f>
        <v>0.0284931506849315</v>
      </c>
      <c r="T109" s="13" t="n">
        <f aca="false">MIN(153.6,(T108+S109))</f>
        <v>91.8984246575343</v>
      </c>
      <c r="V109" s="18" t="n">
        <v>198</v>
      </c>
      <c r="W109" s="10" t="n">
        <v>23.0232558139535</v>
      </c>
      <c r="X109" s="10" t="n">
        <v>46798.5</v>
      </c>
      <c r="AA109" s="10" t="n">
        <v>9.1338384976699</v>
      </c>
    </row>
    <row r="110" s="10" customFormat="true" ht="15" hidden="false" customHeight="false" outlineLevel="0" collapsed="false">
      <c r="A110" s="15"/>
      <c r="B110" s="16"/>
      <c r="C110" s="9" t="n">
        <v>41957</v>
      </c>
      <c r="D110" s="10" t="n">
        <v>9.7</v>
      </c>
      <c r="E110" s="10" t="n">
        <v>9.4</v>
      </c>
      <c r="F110" s="10" t="n">
        <v>10</v>
      </c>
      <c r="G110" s="10" t="n">
        <v>908.5</v>
      </c>
      <c r="J110" s="10" t="n">
        <v>13.4</v>
      </c>
      <c r="K110" s="10" t="n">
        <v>134.7</v>
      </c>
      <c r="L110" s="10" t="n">
        <v>0.5</v>
      </c>
      <c r="M110" s="10" t="n">
        <v>108.5</v>
      </c>
      <c r="N110" s="10" t="n">
        <v>12.9</v>
      </c>
      <c r="O110" s="10" t="n">
        <f aca="false">O109+N110</f>
        <v>53.2</v>
      </c>
      <c r="P110" s="10" t="n">
        <v>66</v>
      </c>
      <c r="Q110" s="10" t="n">
        <f aca="false">0.35+((P110-8)/73)*(1-0.35)</f>
        <v>0.866438356164384</v>
      </c>
      <c r="R110" s="13" t="n">
        <f aca="false">Q110*L110</f>
        <v>0.433219178082192</v>
      </c>
      <c r="S110" s="13" t="n">
        <f aca="false">J110-R110</f>
        <v>12.9667808219178</v>
      </c>
      <c r="T110" s="13" t="n">
        <f aca="false">MIN(153.6,(T109+S110))</f>
        <v>104.865205479452</v>
      </c>
      <c r="V110" s="22" t="n">
        <v>89.3</v>
      </c>
      <c r="W110" s="10" t="n">
        <v>9.20618556701031</v>
      </c>
      <c r="X110" s="10" t="n">
        <v>46887.8</v>
      </c>
      <c r="AA110" s="10" t="n">
        <v>9.08238577499276</v>
      </c>
    </row>
    <row r="111" s="10" customFormat="true" ht="15" hidden="false" customHeight="false" outlineLevel="0" collapsed="false">
      <c r="A111" s="15"/>
      <c r="B111" s="16"/>
      <c r="C111" s="9" t="n">
        <v>41958</v>
      </c>
      <c r="D111" s="10" t="n">
        <v>9.7</v>
      </c>
      <c r="E111" s="10" t="n">
        <v>9.3</v>
      </c>
      <c r="F111" s="10" t="n">
        <v>11.4</v>
      </c>
      <c r="G111" s="10" t="n">
        <v>918.2</v>
      </c>
      <c r="J111" s="10" t="n">
        <v>8.4</v>
      </c>
      <c r="K111" s="10" t="n">
        <v>143.1</v>
      </c>
      <c r="L111" s="10" t="n">
        <v>0.6</v>
      </c>
      <c r="M111" s="10" t="n">
        <v>109.1</v>
      </c>
      <c r="N111" s="10" t="n">
        <v>7.8</v>
      </c>
      <c r="O111" s="10" t="n">
        <f aca="false">O110+N111</f>
        <v>61</v>
      </c>
      <c r="P111" s="10" t="n">
        <v>67</v>
      </c>
      <c r="Q111" s="10" t="n">
        <f aca="false">0.35+((P111-8)/73)*(1-0.35)</f>
        <v>0.875342465753425</v>
      </c>
      <c r="R111" s="13" t="n">
        <f aca="false">Q111*L111</f>
        <v>0.525205479452055</v>
      </c>
      <c r="S111" s="13" t="n">
        <f aca="false">J111-R111</f>
        <v>7.87479452054795</v>
      </c>
      <c r="T111" s="13" t="n">
        <f aca="false">MIN(153.6,(T110+S111))</f>
        <v>112.74</v>
      </c>
      <c r="V111" s="18" t="n">
        <v>246.3</v>
      </c>
      <c r="W111" s="10" t="n">
        <v>25.3917525773196</v>
      </c>
      <c r="X111" s="10" t="n">
        <v>47134.1</v>
      </c>
      <c r="AA111" s="10" t="n">
        <v>9.03165495176079</v>
      </c>
    </row>
    <row r="112" s="10" customFormat="true" ht="15" hidden="false" customHeight="false" outlineLevel="0" collapsed="false">
      <c r="A112" s="15"/>
      <c r="B112" s="16"/>
      <c r="C112" s="9" t="n">
        <v>41959</v>
      </c>
      <c r="D112" s="10" t="n">
        <v>8</v>
      </c>
      <c r="E112" s="10" t="n">
        <v>7.2</v>
      </c>
      <c r="F112" s="10" t="n">
        <v>9.7</v>
      </c>
      <c r="G112" s="10" t="n">
        <v>926.2</v>
      </c>
      <c r="J112" s="10" t="n">
        <v>1.3</v>
      </c>
      <c r="K112" s="10" t="n">
        <v>144.4</v>
      </c>
      <c r="L112" s="10" t="n">
        <v>0.3</v>
      </c>
      <c r="M112" s="10" t="n">
        <v>109.4</v>
      </c>
      <c r="N112" s="10" t="n">
        <v>1</v>
      </c>
      <c r="O112" s="10" t="n">
        <f aca="false">O111+N112</f>
        <v>62</v>
      </c>
      <c r="P112" s="10" t="n">
        <v>68</v>
      </c>
      <c r="Q112" s="10" t="n">
        <f aca="false">0.35+((P112-8)/73)*(1-0.35)</f>
        <v>0.884246575342466</v>
      </c>
      <c r="R112" s="13" t="n">
        <f aca="false">Q112*L112</f>
        <v>0.26527397260274</v>
      </c>
      <c r="S112" s="13" t="n">
        <f aca="false">J112-R112</f>
        <v>1.03472602739726</v>
      </c>
      <c r="T112" s="13" t="n">
        <f aca="false">MIN(153.6,(T111+S112))</f>
        <v>113.774726027397</v>
      </c>
      <c r="V112" s="22" t="n">
        <v>57.9</v>
      </c>
      <c r="W112" s="10" t="n">
        <v>7.2375</v>
      </c>
      <c r="X112" s="10" t="n">
        <v>47192</v>
      </c>
      <c r="AA112" s="23" t="n">
        <v>8.98167691618612</v>
      </c>
    </row>
    <row r="113" s="10" customFormat="true" ht="15" hidden="false" customHeight="false" outlineLevel="0" collapsed="false">
      <c r="A113" s="15"/>
      <c r="B113" s="16"/>
      <c r="C113" s="9" t="n">
        <v>41960</v>
      </c>
      <c r="D113" s="10" t="n">
        <v>8.1</v>
      </c>
      <c r="E113" s="10" t="n">
        <v>5.3</v>
      </c>
      <c r="F113" s="10" t="n">
        <v>10</v>
      </c>
      <c r="G113" s="10" t="n">
        <v>934.3</v>
      </c>
      <c r="J113" s="10" t="n">
        <v>0.6</v>
      </c>
      <c r="K113" s="10" t="n">
        <v>145</v>
      </c>
      <c r="L113" s="10" t="n">
        <v>0.5</v>
      </c>
      <c r="M113" s="10" t="n">
        <v>109.9</v>
      </c>
      <c r="N113" s="10" t="n">
        <v>0.1</v>
      </c>
      <c r="O113" s="10" t="n">
        <f aca="false">O112+N113</f>
        <v>62.1</v>
      </c>
      <c r="P113" s="10" t="n">
        <v>69</v>
      </c>
      <c r="Q113" s="10" t="n">
        <f aca="false">0.35+((P113-8)/73)*(1-0.35)</f>
        <v>0.893150684931507</v>
      </c>
      <c r="R113" s="13" t="n">
        <f aca="false">Q113*L113</f>
        <v>0.446575342465753</v>
      </c>
      <c r="S113" s="13" t="n">
        <f aca="false">J113-R113</f>
        <v>0.153424657534247</v>
      </c>
      <c r="T113" s="13" t="n">
        <f aca="false">MIN(153.6,(T112+S113))</f>
        <v>113.928150684932</v>
      </c>
      <c r="V113" s="18" t="n">
        <v>174.8</v>
      </c>
      <c r="W113" s="10" t="n">
        <v>21.5802469135803</v>
      </c>
      <c r="X113" s="10" t="n">
        <v>47366.8</v>
      </c>
      <c r="AA113" s="23" t="n">
        <v>8.93248320138579</v>
      </c>
    </row>
    <row r="114" s="10" customFormat="true" ht="15" hidden="false" customHeight="false" outlineLevel="0" collapsed="false">
      <c r="A114" s="15"/>
      <c r="B114" s="16"/>
      <c r="C114" s="9" t="n">
        <v>41961</v>
      </c>
      <c r="D114" s="10" t="n">
        <v>8.4</v>
      </c>
      <c r="E114" s="10" t="n">
        <v>7.4</v>
      </c>
      <c r="F114" s="10" t="n">
        <v>10</v>
      </c>
      <c r="G114" s="10" t="n">
        <v>942.7</v>
      </c>
      <c r="J114" s="10" t="n">
        <v>0.4</v>
      </c>
      <c r="K114" s="10" t="n">
        <v>145.4</v>
      </c>
      <c r="L114" s="10" t="n">
        <v>0.7</v>
      </c>
      <c r="M114" s="10" t="n">
        <v>110.6</v>
      </c>
      <c r="N114" s="11" t="n">
        <v>-0.3</v>
      </c>
      <c r="O114" s="10" t="n">
        <f aca="false">O113+N114</f>
        <v>61.8</v>
      </c>
      <c r="P114" s="10" t="n">
        <v>70</v>
      </c>
      <c r="Q114" s="10" t="n">
        <f aca="false">0.35+((P114-8)/73)*(1-0.35)</f>
        <v>0.902054794520548</v>
      </c>
      <c r="R114" s="13" t="n">
        <f aca="false">Q114*L114</f>
        <v>0.631438356164384</v>
      </c>
      <c r="S114" s="13" t="n">
        <f aca="false">J114-R114</f>
        <v>-0.231438356164383</v>
      </c>
      <c r="T114" s="13" t="n">
        <f aca="false">MIN(153.6,(T113+S114))</f>
        <v>113.696712328767</v>
      </c>
      <c r="V114" s="18" t="n">
        <v>340.1</v>
      </c>
      <c r="W114" s="10" t="n">
        <v>40.4880952380952</v>
      </c>
      <c r="X114" s="10" t="n">
        <v>47706.9</v>
      </c>
      <c r="AA114" s="23" t="n">
        <v>8.88410595034894</v>
      </c>
    </row>
    <row r="115" s="10" customFormat="true" ht="15" hidden="false" customHeight="false" outlineLevel="0" collapsed="false">
      <c r="A115" s="15"/>
      <c r="B115" s="16"/>
      <c r="C115" s="9" t="n">
        <v>41962</v>
      </c>
      <c r="D115" s="10" t="n">
        <v>8.2</v>
      </c>
      <c r="E115" s="10" t="n">
        <v>7.5</v>
      </c>
      <c r="F115" s="10" t="n">
        <v>9.6</v>
      </c>
      <c r="G115" s="10" t="n">
        <v>950.9</v>
      </c>
      <c r="J115" s="10" t="n">
        <v>0</v>
      </c>
      <c r="K115" s="10" t="n">
        <v>145.4</v>
      </c>
      <c r="L115" s="10" t="n">
        <v>0.8</v>
      </c>
      <c r="M115" s="10" t="n">
        <v>111.4</v>
      </c>
      <c r="N115" s="11" t="n">
        <v>-0.8</v>
      </c>
      <c r="O115" s="10" t="n">
        <f aca="false">O114+N115</f>
        <v>61</v>
      </c>
      <c r="P115" s="10" t="n">
        <v>71</v>
      </c>
      <c r="Q115" s="10" t="n">
        <f aca="false">0.35+((P115-8)/73)*(1-0.35)</f>
        <v>0.910958904109589</v>
      </c>
      <c r="R115" s="13" t="n">
        <f aca="false">Q115*L115</f>
        <v>0.728767123287671</v>
      </c>
      <c r="S115" s="13" t="n">
        <f aca="false">J115-R115</f>
        <v>-0.728767123287671</v>
      </c>
      <c r="T115" s="13" t="n">
        <f aca="false">MIN(153.6,(T114+S115))</f>
        <v>112.967945205479</v>
      </c>
      <c r="V115" s="18" t="n">
        <v>319</v>
      </c>
      <c r="W115" s="10" t="n">
        <v>38.9024390243903</v>
      </c>
      <c r="X115" s="10" t="n">
        <v>48025.9</v>
      </c>
      <c r="AA115" s="23" t="n">
        <v>8.83657787628017</v>
      </c>
    </row>
    <row r="116" s="10" customFormat="true" ht="15" hidden="false" customHeight="false" outlineLevel="0" collapsed="false">
      <c r="A116" s="15"/>
      <c r="B116" s="16"/>
      <c r="C116" s="9" t="n">
        <v>41963</v>
      </c>
      <c r="D116" s="10" t="n">
        <v>6.3</v>
      </c>
      <c r="E116" s="10" t="n">
        <v>5.6</v>
      </c>
      <c r="F116" s="10" t="n">
        <v>7.2</v>
      </c>
      <c r="G116" s="10" t="n">
        <v>957.2</v>
      </c>
      <c r="J116" s="10" t="n">
        <v>0.1</v>
      </c>
      <c r="K116" s="10" t="n">
        <v>145.5</v>
      </c>
      <c r="L116" s="10" t="n">
        <v>0.3</v>
      </c>
      <c r="M116" s="10" t="n">
        <v>111.7</v>
      </c>
      <c r="N116" s="11" t="n">
        <v>-0.2</v>
      </c>
      <c r="O116" s="10" t="n">
        <f aca="false">O115+N116</f>
        <v>60.8</v>
      </c>
      <c r="P116" s="10" t="n">
        <v>72</v>
      </c>
      <c r="Q116" s="10" t="n">
        <f aca="false">0.35+((P116-8)/73)*(1-0.35)</f>
        <v>0.91986301369863</v>
      </c>
      <c r="R116" s="13" t="n">
        <f aca="false">Q116*L116</f>
        <v>0.275958904109589</v>
      </c>
      <c r="S116" s="13" t="n">
        <f aca="false">J116-R116</f>
        <v>-0.175958904109589</v>
      </c>
      <c r="T116" s="13" t="n">
        <f aca="false">MIN(153.6,(T115+S116))</f>
        <v>112.79198630137</v>
      </c>
      <c r="V116" s="18" t="n">
        <v>195.7</v>
      </c>
      <c r="W116" s="10" t="n">
        <v>31.0634920634921</v>
      </c>
      <c r="X116" s="10" t="n">
        <v>48221.6</v>
      </c>
      <c r="AA116" s="23" t="n">
        <v>8.78993221817549</v>
      </c>
    </row>
    <row r="117" s="10" customFormat="true" ht="15" hidden="false" customHeight="false" outlineLevel="0" collapsed="false">
      <c r="A117" s="15"/>
      <c r="B117" s="24"/>
      <c r="C117" s="9" t="n">
        <v>41964</v>
      </c>
      <c r="D117" s="10" t="n">
        <v>6.9</v>
      </c>
      <c r="E117" s="21" t="n">
        <v>4.4</v>
      </c>
      <c r="F117" s="10" t="n">
        <v>8.6</v>
      </c>
      <c r="G117" s="10" t="n">
        <v>964.1</v>
      </c>
      <c r="J117" s="10" t="n">
        <v>0</v>
      </c>
      <c r="K117" s="10" t="n">
        <v>145.5</v>
      </c>
      <c r="L117" s="10" t="n">
        <v>0.4</v>
      </c>
      <c r="M117" s="10" t="n">
        <v>112.1</v>
      </c>
      <c r="N117" s="11" t="n">
        <v>-0.4</v>
      </c>
      <c r="O117" s="10" t="n">
        <f aca="false">O116+N117</f>
        <v>60.4</v>
      </c>
      <c r="P117" s="10" t="n">
        <v>73</v>
      </c>
      <c r="Q117" s="10" t="n">
        <f aca="false">0.35+((P117-8)/73)*(1-0.35)</f>
        <v>0.928767123287671</v>
      </c>
      <c r="R117" s="13" t="n">
        <f aca="false">Q117*L117</f>
        <v>0.371506849315069</v>
      </c>
      <c r="S117" s="13" t="n">
        <f aca="false">J117-R117</f>
        <v>-0.371506849315069</v>
      </c>
      <c r="T117" s="13" t="n">
        <f aca="false">MIN(153.6,(T116+S117))</f>
        <v>112.420479452055</v>
      </c>
      <c r="V117" s="18" t="n">
        <v>362.8</v>
      </c>
      <c r="W117" s="10" t="n">
        <v>52.5797101449275</v>
      </c>
      <c r="X117" s="10" t="n">
        <v>48584.4</v>
      </c>
      <c r="AA117" s="23" t="n">
        <v>8.7442026915099</v>
      </c>
    </row>
    <row r="118" s="10" customFormat="true" ht="15" hidden="false" customHeight="false" outlineLevel="0" collapsed="false">
      <c r="A118" s="15"/>
      <c r="B118" s="16"/>
      <c r="C118" s="9" t="n">
        <v>41965</v>
      </c>
      <c r="D118" s="10" t="n">
        <v>10.1</v>
      </c>
      <c r="E118" s="10" t="n">
        <v>6.8</v>
      </c>
      <c r="F118" s="10" t="n">
        <v>13.4</v>
      </c>
      <c r="G118" s="10" t="n">
        <v>974.2</v>
      </c>
      <c r="J118" s="10" t="n">
        <v>0.1</v>
      </c>
      <c r="K118" s="10" t="n">
        <v>145.6</v>
      </c>
      <c r="L118" s="10" t="n">
        <v>0.3</v>
      </c>
      <c r="M118" s="10" t="n">
        <v>112.4</v>
      </c>
      <c r="N118" s="11" t="n">
        <v>-0.2</v>
      </c>
      <c r="O118" s="10" t="n">
        <f aca="false">O117+N118</f>
        <v>60.2</v>
      </c>
      <c r="P118" s="10" t="n">
        <v>74</v>
      </c>
      <c r="Q118" s="10" t="n">
        <f aca="false">0.35+((P118-8)/73)*(1-0.35)</f>
        <v>0.937671232876712</v>
      </c>
      <c r="R118" s="13" t="n">
        <f aca="false">Q118*L118</f>
        <v>0.281301369863014</v>
      </c>
      <c r="S118" s="13" t="n">
        <f aca="false">J118-R118</f>
        <v>-0.181301369863014</v>
      </c>
      <c r="T118" s="13" t="n">
        <f aca="false">MIN(153.6,(T117+S118))</f>
        <v>112.239178082192</v>
      </c>
      <c r="V118" s="18" t="n">
        <v>259.7</v>
      </c>
      <c r="W118" s="10" t="n">
        <v>25.7128712871287</v>
      </c>
      <c r="X118" s="10" t="n">
        <v>48844.1</v>
      </c>
      <c r="AA118" s="23" t="n">
        <v>8.69942343394161</v>
      </c>
    </row>
    <row r="119" s="10" customFormat="true" ht="15" hidden="false" customHeight="false" outlineLevel="0" collapsed="false">
      <c r="A119" s="15"/>
      <c r="B119" s="16"/>
      <c r="C119" s="9" t="n">
        <v>41966</v>
      </c>
      <c r="D119" s="10" t="n">
        <v>11.6</v>
      </c>
      <c r="E119" s="10" t="n">
        <v>9.7</v>
      </c>
      <c r="F119" s="10" t="n">
        <v>13.9</v>
      </c>
      <c r="G119" s="10" t="n">
        <v>985.8</v>
      </c>
      <c r="J119" s="10" t="n">
        <v>1.1</v>
      </c>
      <c r="K119" s="10" t="n">
        <v>146.7</v>
      </c>
      <c r="L119" s="10" t="n">
        <v>0.5</v>
      </c>
      <c r="M119" s="10" t="n">
        <v>112.9</v>
      </c>
      <c r="N119" s="10" t="n">
        <v>0.6</v>
      </c>
      <c r="O119" s="10" t="n">
        <f aca="false">O118+N119</f>
        <v>60.8</v>
      </c>
      <c r="P119" s="10" t="n">
        <v>75</v>
      </c>
      <c r="Q119" s="10" t="n">
        <f aca="false">0.35+((P119-8)/73)*(1-0.35)</f>
        <v>0.946575342465754</v>
      </c>
      <c r="R119" s="13" t="n">
        <f aca="false">Q119*L119</f>
        <v>0.473287671232877</v>
      </c>
      <c r="S119" s="13" t="n">
        <f aca="false">J119-R119</f>
        <v>0.626712328767123</v>
      </c>
      <c r="T119" s="13" t="n">
        <f aca="false">MIN(153.6,(T118+S119))</f>
        <v>112.865890410959</v>
      </c>
      <c r="V119" s="18" t="n">
        <v>300.2</v>
      </c>
      <c r="W119" s="10" t="n">
        <v>25.8793103448276</v>
      </c>
      <c r="X119" s="10" t="n">
        <v>49144.3</v>
      </c>
      <c r="AA119" s="23" t="n">
        <v>8.65562894596853</v>
      </c>
    </row>
    <row r="120" s="10" customFormat="true" ht="15" hidden="false" customHeight="false" outlineLevel="0" collapsed="false">
      <c r="A120" s="15"/>
      <c r="B120" s="16"/>
      <c r="C120" s="9" t="n">
        <v>41967</v>
      </c>
      <c r="D120" s="10" t="n">
        <v>7.5</v>
      </c>
      <c r="E120" s="10" t="n">
        <v>5.6</v>
      </c>
      <c r="F120" s="10" t="n">
        <v>10.5</v>
      </c>
      <c r="G120" s="10" t="n">
        <v>993.3</v>
      </c>
      <c r="J120" s="10" t="n">
        <v>0</v>
      </c>
      <c r="K120" s="10" t="n">
        <v>146.7</v>
      </c>
      <c r="L120" s="10" t="n">
        <v>0.6</v>
      </c>
      <c r="M120" s="10" t="n">
        <v>113.5</v>
      </c>
      <c r="N120" s="11" t="n">
        <v>-0.6</v>
      </c>
      <c r="O120" s="10" t="n">
        <f aca="false">O119+N120</f>
        <v>60.2</v>
      </c>
      <c r="P120" s="10" t="n">
        <v>76</v>
      </c>
      <c r="Q120" s="10" t="n">
        <f aca="false">0.35+((P120-8)/73)*(1-0.35)</f>
        <v>0.955479452054795</v>
      </c>
      <c r="R120" s="13" t="n">
        <f aca="false">Q120*L120</f>
        <v>0.573287671232877</v>
      </c>
      <c r="S120" s="13" t="n">
        <f aca="false">J120-R120</f>
        <v>-0.573287671232877</v>
      </c>
      <c r="T120" s="13" t="n">
        <f aca="false">MIN(153.6,(T119+S120))</f>
        <v>112.292602739726</v>
      </c>
      <c r="V120" s="18" t="n">
        <v>435.2</v>
      </c>
      <c r="W120" s="10" t="n">
        <v>58.0266666666667</v>
      </c>
      <c r="X120" s="10" t="n">
        <v>49579.5</v>
      </c>
      <c r="AA120" s="23" t="n">
        <v>8.61285402650643</v>
      </c>
    </row>
    <row r="121" s="10" customFormat="true" ht="15" hidden="false" customHeight="false" outlineLevel="0" collapsed="false">
      <c r="A121" s="15"/>
      <c r="B121" s="24"/>
      <c r="C121" s="9" t="n">
        <v>41968</v>
      </c>
      <c r="D121" s="10" t="n">
        <v>6.7</v>
      </c>
      <c r="E121" s="21" t="n">
        <v>4.4</v>
      </c>
      <c r="F121" s="10" t="n">
        <v>8.3</v>
      </c>
      <c r="G121" s="10" t="n">
        <v>1000</v>
      </c>
      <c r="J121" s="10" t="n">
        <v>0.8</v>
      </c>
      <c r="K121" s="10" t="n">
        <v>147.5</v>
      </c>
      <c r="L121" s="10" t="n">
        <v>0.6</v>
      </c>
      <c r="M121" s="10" t="n">
        <v>114.1</v>
      </c>
      <c r="N121" s="10" t="n">
        <v>0.2</v>
      </c>
      <c r="O121" s="10" t="n">
        <f aca="false">O120+N121</f>
        <v>60.4</v>
      </c>
      <c r="P121" s="10" t="n">
        <v>77</v>
      </c>
      <c r="Q121" s="10" t="n">
        <f aca="false">0.35+((P121-8)/73)*(1-0.35)</f>
        <v>0.964383561643836</v>
      </c>
      <c r="R121" s="13" t="n">
        <f aca="false">Q121*L121</f>
        <v>0.578630136986301</v>
      </c>
      <c r="S121" s="13" t="n">
        <f aca="false">J121-R121</f>
        <v>0.221369863013699</v>
      </c>
      <c r="T121" s="13" t="n">
        <f aca="false">MIN(153.6,(T120+S121))</f>
        <v>112.51397260274</v>
      </c>
      <c r="V121" s="18" t="n">
        <v>328.9</v>
      </c>
      <c r="W121" s="10" t="n">
        <v>49.089552238806</v>
      </c>
      <c r="X121" s="10" t="n">
        <v>49908.4</v>
      </c>
      <c r="AA121" s="23" t="n">
        <v>8.57113370339635</v>
      </c>
    </row>
    <row r="122" s="10" customFormat="true" ht="15" hidden="false" customHeight="false" outlineLevel="0" collapsed="false">
      <c r="A122" s="15"/>
      <c r="B122" s="16"/>
      <c r="C122" s="9" t="n">
        <v>41969</v>
      </c>
      <c r="D122" s="10" t="n">
        <v>8.6</v>
      </c>
      <c r="E122" s="10" t="n">
        <v>7.1</v>
      </c>
      <c r="F122" s="10" t="n">
        <v>10.5</v>
      </c>
      <c r="G122" s="10" t="n">
        <v>1008.6</v>
      </c>
      <c r="J122" s="10" t="n">
        <v>2.2</v>
      </c>
      <c r="K122" s="10" t="n">
        <v>149.7</v>
      </c>
      <c r="L122" s="10" t="n">
        <v>0.3</v>
      </c>
      <c r="M122" s="10" t="n">
        <v>114.4</v>
      </c>
      <c r="N122" s="10" t="n">
        <v>1.9</v>
      </c>
      <c r="O122" s="10" t="n">
        <f aca="false">O121+N122</f>
        <v>62.3</v>
      </c>
      <c r="P122" s="10" t="n">
        <v>78</v>
      </c>
      <c r="Q122" s="10" t="n">
        <f aca="false">0.35+((P122-8)/73)*(1-0.35)</f>
        <v>0.973287671232877</v>
      </c>
      <c r="R122" s="13" t="n">
        <f aca="false">Q122*L122</f>
        <v>0.291986301369863</v>
      </c>
      <c r="S122" s="13" t="n">
        <f aca="false">J122-R122</f>
        <v>1.90801369863014</v>
      </c>
      <c r="T122" s="13" t="n">
        <f aca="false">MIN(153.6,(T121+S122))</f>
        <v>114.42198630137</v>
      </c>
      <c r="V122" s="22" t="n">
        <v>68.5</v>
      </c>
      <c r="W122" s="10" t="n">
        <v>7.96511627906977</v>
      </c>
      <c r="X122" s="10" t="n">
        <v>49976.9</v>
      </c>
      <c r="AA122" s="23" t="n">
        <v>8.53050315889074</v>
      </c>
    </row>
    <row r="123" s="10" customFormat="true" ht="15" hidden="false" customHeight="false" outlineLevel="0" collapsed="false">
      <c r="A123" s="15"/>
      <c r="B123" s="16"/>
      <c r="C123" s="9" t="n">
        <v>41970</v>
      </c>
      <c r="D123" s="10" t="n">
        <v>10</v>
      </c>
      <c r="E123" s="10" t="n">
        <v>9.6</v>
      </c>
      <c r="F123" s="10" t="n">
        <v>10.5</v>
      </c>
      <c r="G123" s="10" t="n">
        <v>1018.6</v>
      </c>
      <c r="J123" s="10" t="n">
        <v>0.2</v>
      </c>
      <c r="K123" s="10" t="n">
        <v>149.9</v>
      </c>
      <c r="L123" s="10" t="n">
        <v>0.3</v>
      </c>
      <c r="M123" s="10" t="n">
        <v>114.7</v>
      </c>
      <c r="N123" s="11" t="n">
        <v>-0.1</v>
      </c>
      <c r="O123" s="10" t="n">
        <f aca="false">O122+N123</f>
        <v>62.2</v>
      </c>
      <c r="P123" s="10" t="n">
        <v>79</v>
      </c>
      <c r="Q123" s="10" t="n">
        <f aca="false">0.35+((P123-8)/73)*(1-0.35)</f>
        <v>0.982191780821918</v>
      </c>
      <c r="R123" s="13" t="n">
        <f aca="false">Q123*L123</f>
        <v>0.294657534246575</v>
      </c>
      <c r="S123" s="13" t="n">
        <f aca="false">J123-R123</f>
        <v>-0.0946575342465753</v>
      </c>
      <c r="T123" s="13" t="n">
        <f aca="false">MIN(153.6,(T122+S123))</f>
        <v>114.327328767123</v>
      </c>
      <c r="V123" s="22" t="n">
        <v>51.4</v>
      </c>
      <c r="W123" s="10" t="n">
        <v>5.14</v>
      </c>
      <c r="X123" s="10" t="n">
        <v>50028.3</v>
      </c>
      <c r="AA123" s="23" t="n">
        <v>8.49099765021329</v>
      </c>
    </row>
    <row r="124" s="10" customFormat="true" ht="15" hidden="false" customHeight="false" outlineLevel="0" collapsed="false">
      <c r="A124" s="15"/>
      <c r="B124" s="16"/>
      <c r="C124" s="9" t="n">
        <v>41971</v>
      </c>
      <c r="D124" s="10" t="n">
        <v>10.6</v>
      </c>
      <c r="E124" s="10" t="n">
        <v>8</v>
      </c>
      <c r="F124" s="10" t="n">
        <v>14.1</v>
      </c>
      <c r="G124" s="10" t="n">
        <v>1029.2</v>
      </c>
      <c r="J124" s="10" t="n">
        <v>0</v>
      </c>
      <c r="K124" s="10" t="n">
        <v>149.9</v>
      </c>
      <c r="L124" s="10" t="n">
        <v>1.1</v>
      </c>
      <c r="M124" s="10" t="n">
        <v>115.8</v>
      </c>
      <c r="N124" s="11" t="n">
        <v>-1.1</v>
      </c>
      <c r="O124" s="10" t="n">
        <f aca="false">O123+N124</f>
        <v>61.1</v>
      </c>
      <c r="P124" s="10" t="n">
        <v>80</v>
      </c>
      <c r="Q124" s="10" t="n">
        <f aca="false">0.35+((P124-8)/73)*(1-0.35)</f>
        <v>0.991095890410959</v>
      </c>
      <c r="R124" s="13" t="n">
        <f aca="false">Q124*L124</f>
        <v>1.09020547945205</v>
      </c>
      <c r="S124" s="13" t="n">
        <f aca="false">J124-R124</f>
        <v>-1.09020547945205</v>
      </c>
      <c r="T124" s="13" t="n">
        <f aca="false">MIN(153.6,(T123+S124))</f>
        <v>113.237123287671</v>
      </c>
      <c r="V124" s="18" t="n">
        <v>486.7</v>
      </c>
      <c r="W124" s="10" t="n">
        <v>45.9150943396226</v>
      </c>
      <c r="X124" s="10" t="n">
        <v>50515</v>
      </c>
      <c r="AA124" s="23" t="n">
        <v>8.45265242533661</v>
      </c>
    </row>
    <row r="125" s="28" customFormat="true" ht="15" hidden="false" customHeight="false" outlineLevel="0" collapsed="false">
      <c r="A125" s="15"/>
      <c r="B125" s="25"/>
      <c r="C125" s="26" t="n">
        <v>41972</v>
      </c>
      <c r="D125" s="27" t="n">
        <v>6.2</v>
      </c>
      <c r="E125" s="27" t="n">
        <v>5.3</v>
      </c>
      <c r="F125" s="27" t="n">
        <v>8.9</v>
      </c>
      <c r="G125" s="27" t="n">
        <v>1035.4</v>
      </c>
      <c r="H125" s="27"/>
      <c r="I125" s="27"/>
      <c r="J125" s="27" t="n">
        <v>0</v>
      </c>
      <c r="K125" s="27" t="n">
        <v>149.9</v>
      </c>
      <c r="L125" s="27" t="n">
        <v>0.5</v>
      </c>
      <c r="M125" s="27" t="n">
        <v>116.3</v>
      </c>
      <c r="N125" s="27" t="n">
        <v>-0.5</v>
      </c>
      <c r="O125" s="28" t="n">
        <f aca="false">O124+N125</f>
        <v>60.6</v>
      </c>
      <c r="P125" s="28" t="n">
        <v>81</v>
      </c>
      <c r="Q125" s="29" t="n">
        <f aca="false">0.35+((P125-8)/73)*(1-0.35)</f>
        <v>1</v>
      </c>
      <c r="R125" s="30" t="n">
        <f aca="false">Q125*L125</f>
        <v>0.5</v>
      </c>
      <c r="S125" s="30" t="n">
        <f aca="false">J125-R125</f>
        <v>-0.5</v>
      </c>
      <c r="T125" s="31" t="n">
        <f aca="false">MIN(153.6,(T124+S125))</f>
        <v>112.737123287671</v>
      </c>
      <c r="U125" s="27"/>
      <c r="V125" s="32" t="n">
        <v>416.1</v>
      </c>
      <c r="W125" s="27" t="n">
        <v>67.1129032258065</v>
      </c>
      <c r="X125" s="27" t="n">
        <v>50931.1</v>
      </c>
      <c r="Y125" s="27"/>
      <c r="Z125" s="27"/>
      <c r="AA125" s="33" t="n">
        <v>8.41550263417384</v>
      </c>
    </row>
    <row r="126" s="10" customFormat="true" ht="15" hidden="false" customHeight="false" outlineLevel="0" collapsed="false">
      <c r="A126" s="34" t="s">
        <v>43</v>
      </c>
      <c r="B126" s="24"/>
      <c r="C126" s="9" t="n">
        <v>41973</v>
      </c>
      <c r="D126" s="21" t="n">
        <v>4.3</v>
      </c>
      <c r="E126" s="21" t="n">
        <v>2.5</v>
      </c>
      <c r="F126" s="10" t="n">
        <v>6.4</v>
      </c>
      <c r="G126" s="10" t="n">
        <v>1039.7</v>
      </c>
      <c r="H126" s="10" t="n">
        <v>4.3</v>
      </c>
      <c r="I126" s="35" t="s">
        <v>27</v>
      </c>
      <c r="J126" s="10" t="n">
        <v>1.8</v>
      </c>
      <c r="K126" s="10" t="n">
        <v>151.7</v>
      </c>
      <c r="L126" s="10" t="n">
        <v>0.3</v>
      </c>
      <c r="M126" s="10" t="n">
        <v>116.6</v>
      </c>
      <c r="N126" s="10" t="n">
        <v>1.5</v>
      </c>
      <c r="O126" s="10" t="n">
        <f aca="false">O125+N126</f>
        <v>62.1</v>
      </c>
      <c r="P126" s="10" t="n">
        <v>82</v>
      </c>
      <c r="Q126" s="10" t="n">
        <v>1</v>
      </c>
      <c r="R126" s="13" t="n">
        <f aca="false">Q126*L126</f>
        <v>0.3</v>
      </c>
      <c r="S126" s="13" t="n">
        <f aca="false">J126-R126</f>
        <v>1.5</v>
      </c>
      <c r="T126" s="13" t="n">
        <f aca="false">MIN(153.6,(T125+S126))</f>
        <v>114.237123287671</v>
      </c>
      <c r="U126" s="35" t="s">
        <v>28</v>
      </c>
      <c r="V126" s="18" t="n">
        <v>291.6</v>
      </c>
      <c r="W126" s="10" t="n">
        <v>67.8139534883721</v>
      </c>
      <c r="X126" s="10" t="n">
        <v>51222.7</v>
      </c>
      <c r="Y126" s="10" t="n">
        <f aca="false">V126</f>
        <v>291.6</v>
      </c>
      <c r="Z126" s="35" t="s">
        <v>29</v>
      </c>
      <c r="AA126" s="23" t="n">
        <v>8.3795832354354</v>
      </c>
    </row>
    <row r="127" s="10" customFormat="true" ht="15" hidden="false" customHeight="false" outlineLevel="0" collapsed="false">
      <c r="A127" s="34"/>
      <c r="B127" s="24"/>
      <c r="C127" s="9" t="n">
        <v>41974</v>
      </c>
      <c r="D127" s="21" t="n">
        <v>3.5</v>
      </c>
      <c r="E127" s="21" t="n">
        <v>3.2</v>
      </c>
      <c r="F127" s="21" t="n">
        <v>3.7</v>
      </c>
      <c r="G127" s="10" t="n">
        <v>1043.2</v>
      </c>
      <c r="H127" s="10" t="n">
        <f aca="false">H126+D127</f>
        <v>7.8</v>
      </c>
      <c r="I127" s="10" t="n">
        <v>-3.5</v>
      </c>
      <c r="J127" s="10" t="n">
        <v>0.1</v>
      </c>
      <c r="K127" s="10" t="n">
        <v>151.8</v>
      </c>
      <c r="L127" s="10" t="n">
        <v>0.2</v>
      </c>
      <c r="M127" s="10" t="n">
        <v>116.8</v>
      </c>
      <c r="N127" s="11" t="n">
        <v>-0.1</v>
      </c>
      <c r="O127" s="10" t="n">
        <f aca="false">O126+N127</f>
        <v>62</v>
      </c>
      <c r="P127" s="10" t="n">
        <v>83</v>
      </c>
      <c r="Q127" s="10" t="n">
        <v>1</v>
      </c>
      <c r="R127" s="13" t="n">
        <f aca="false">Q127*L127</f>
        <v>0.2</v>
      </c>
      <c r="S127" s="13" t="n">
        <f aca="false">J127-R127</f>
        <v>-0.1</v>
      </c>
      <c r="T127" s="13" t="n">
        <f aca="false">MIN(153.6,(T126+S127))</f>
        <v>114.137123287671</v>
      </c>
      <c r="U127" s="10" t="n">
        <v>46</v>
      </c>
      <c r="V127" s="18" t="n">
        <v>113.4</v>
      </c>
      <c r="W127" s="10" t="n">
        <v>32.4</v>
      </c>
      <c r="X127" s="10" t="n">
        <v>51336.1</v>
      </c>
      <c r="Y127" s="10" t="n">
        <f aca="false">Y126+V127</f>
        <v>405</v>
      </c>
      <c r="Z127" s="10" t="n">
        <v>31498.1</v>
      </c>
      <c r="AA127" s="23" t="n">
        <v>8.3449288994587</v>
      </c>
    </row>
    <row r="128" s="10" customFormat="true" ht="15" hidden="false" customHeight="false" outlineLevel="0" collapsed="false">
      <c r="A128" s="34"/>
      <c r="B128" s="24"/>
      <c r="C128" s="9" t="n">
        <v>41975</v>
      </c>
      <c r="D128" s="21" t="n">
        <v>3.3</v>
      </c>
      <c r="E128" s="21" t="n">
        <v>2.9</v>
      </c>
      <c r="F128" s="21" t="n">
        <v>3.9</v>
      </c>
      <c r="G128" s="10" t="n">
        <v>1046.5</v>
      </c>
      <c r="H128" s="10" t="n">
        <f aca="false">H127+D128</f>
        <v>11.1</v>
      </c>
      <c r="I128" s="35" t="s">
        <v>30</v>
      </c>
      <c r="J128" s="10" t="n">
        <v>0.4</v>
      </c>
      <c r="K128" s="10" t="n">
        <v>152.2</v>
      </c>
      <c r="L128" s="10" t="n">
        <v>0.4</v>
      </c>
      <c r="M128" s="10" t="n">
        <v>117.2</v>
      </c>
      <c r="N128" s="10" t="n">
        <v>0</v>
      </c>
      <c r="O128" s="10" t="n">
        <f aca="false">O127+N128</f>
        <v>62</v>
      </c>
      <c r="P128" s="10" t="n">
        <v>84</v>
      </c>
      <c r="Q128" s="10" t="n">
        <v>1</v>
      </c>
      <c r="R128" s="13" t="n">
        <f aca="false">Q128*L128</f>
        <v>0.4</v>
      </c>
      <c r="S128" s="13" t="n">
        <f aca="false">J128-R128</f>
        <v>0</v>
      </c>
      <c r="T128" s="13" t="n">
        <f aca="false">MIN(153.6,(T127+S128))</f>
        <v>114.137123287671</v>
      </c>
      <c r="U128" s="35" t="s">
        <v>31</v>
      </c>
      <c r="V128" s="18" t="n">
        <v>132.5</v>
      </c>
      <c r="W128" s="10" t="n">
        <v>40.1515151515152</v>
      </c>
      <c r="X128" s="10" t="n">
        <v>51468.6</v>
      </c>
      <c r="Y128" s="10" t="n">
        <f aca="false">Y127+V128</f>
        <v>537.5</v>
      </c>
      <c r="Z128" s="35" t="s">
        <v>32</v>
      </c>
      <c r="AA128" s="23" t="n">
        <v>8.31157390737721</v>
      </c>
    </row>
    <row r="129" s="10" customFormat="true" ht="15" hidden="false" customHeight="false" outlineLevel="0" collapsed="false">
      <c r="A129" s="34"/>
      <c r="B129" s="24"/>
      <c r="C129" s="9" t="n">
        <v>41976</v>
      </c>
      <c r="D129" s="21" t="n">
        <v>1.5</v>
      </c>
      <c r="E129" s="21" t="n">
        <v>0.6</v>
      </c>
      <c r="F129" s="21" t="n">
        <v>2.5</v>
      </c>
      <c r="G129" s="10" t="n">
        <v>1048</v>
      </c>
      <c r="H129" s="10" t="n">
        <f aca="false">H128+D129</f>
        <v>12.6</v>
      </c>
      <c r="I129" s="10" t="n">
        <v>13.6</v>
      </c>
      <c r="J129" s="10" t="n">
        <v>0</v>
      </c>
      <c r="K129" s="10" t="n">
        <v>152.2</v>
      </c>
      <c r="L129" s="10" t="n">
        <v>0.4</v>
      </c>
      <c r="M129" s="10" t="n">
        <v>117.6</v>
      </c>
      <c r="N129" s="11" t="n">
        <v>-0.4</v>
      </c>
      <c r="O129" s="10" t="n">
        <f aca="false">O128+N129</f>
        <v>61.6</v>
      </c>
      <c r="P129" s="10" t="n">
        <v>85</v>
      </c>
      <c r="Q129" s="10" t="n">
        <v>1</v>
      </c>
      <c r="R129" s="13" t="n">
        <f aca="false">Q129*L129</f>
        <v>0.4</v>
      </c>
      <c r="S129" s="13" t="n">
        <f aca="false">J129-R129</f>
        <v>-0.4</v>
      </c>
      <c r="T129" s="13" t="n">
        <f aca="false">MIN(153.6,(T128+S129))</f>
        <v>113.737123287671</v>
      </c>
      <c r="U129" s="10" t="n">
        <v>0</v>
      </c>
      <c r="V129" s="18" t="n">
        <v>139.3</v>
      </c>
      <c r="W129" s="10" t="n">
        <v>92.8666666666667</v>
      </c>
      <c r="X129" s="10" t="n">
        <v>51607.9</v>
      </c>
      <c r="Y129" s="10" t="n">
        <f aca="false">Y128+V129</f>
        <v>676.8</v>
      </c>
      <c r="Z129" s="19" t="n">
        <f aca="false">(Z127/100)/I139</f>
        <v>0.738179048511835</v>
      </c>
      <c r="AA129" s="23" t="n">
        <v>8.27955204705461</v>
      </c>
    </row>
    <row r="130" s="10" customFormat="true" ht="15" hidden="false" customHeight="false" outlineLevel="0" collapsed="false">
      <c r="A130" s="34"/>
      <c r="B130" s="24"/>
      <c r="C130" s="9" t="n">
        <v>41977</v>
      </c>
      <c r="D130" s="21" t="n">
        <v>1</v>
      </c>
      <c r="E130" s="21" t="n">
        <v>0.1</v>
      </c>
      <c r="F130" s="21" t="n">
        <v>2.6</v>
      </c>
      <c r="G130" s="10" t="n">
        <v>1049</v>
      </c>
      <c r="H130" s="10" t="n">
        <f aca="false">H129+D130</f>
        <v>13.6</v>
      </c>
      <c r="I130" s="35" t="s">
        <v>33</v>
      </c>
      <c r="J130" s="10" t="n">
        <v>0</v>
      </c>
      <c r="K130" s="10" t="n">
        <v>152.2</v>
      </c>
      <c r="L130" s="10" t="n">
        <v>0.3</v>
      </c>
      <c r="M130" s="10" t="n">
        <v>117.9</v>
      </c>
      <c r="N130" s="11" t="n">
        <v>-0.3</v>
      </c>
      <c r="O130" s="10" t="n">
        <f aca="false">O129+N130</f>
        <v>61.3</v>
      </c>
      <c r="P130" s="10" t="n">
        <v>86</v>
      </c>
      <c r="Q130" s="10" t="n">
        <v>1</v>
      </c>
      <c r="R130" s="13" t="n">
        <f aca="false">Q130*L130</f>
        <v>0.3</v>
      </c>
      <c r="S130" s="13" t="n">
        <f aca="false">J130-R130</f>
        <v>-0.3</v>
      </c>
      <c r="T130" s="13" t="n">
        <f aca="false">MIN(153.6,(T129+S130))</f>
        <v>113.437123287671</v>
      </c>
      <c r="U130" s="35" t="s">
        <v>34</v>
      </c>
      <c r="V130" s="18" t="n">
        <v>146.5</v>
      </c>
      <c r="W130" s="10" t="n">
        <v>146.5</v>
      </c>
      <c r="X130" s="10" t="n">
        <v>51754.4</v>
      </c>
      <c r="Y130" s="10" t="n">
        <f aca="false">Y129+V130</f>
        <v>823.3</v>
      </c>
      <c r="Z130" s="35" t="s">
        <v>35</v>
      </c>
      <c r="AA130" s="23" t="n">
        <v>8.24889650626823</v>
      </c>
    </row>
    <row r="131" s="10" customFormat="true" ht="15" hidden="false" customHeight="false" outlineLevel="0" collapsed="false">
      <c r="A131" s="34"/>
      <c r="B131" s="24"/>
      <c r="C131" s="9" t="n">
        <v>41978</v>
      </c>
      <c r="D131" s="21" t="n">
        <v>3.7</v>
      </c>
      <c r="E131" s="21" t="n">
        <v>1.6</v>
      </c>
      <c r="F131" s="21" t="n">
        <v>4.6</v>
      </c>
      <c r="G131" s="10" t="n">
        <v>1052.7</v>
      </c>
      <c r="H131" s="10" t="n">
        <f aca="false">H130+D131</f>
        <v>17.3</v>
      </c>
      <c r="I131" s="19" t="n">
        <v>4.3680412371134</v>
      </c>
      <c r="J131" s="10" t="n">
        <v>1.2</v>
      </c>
      <c r="K131" s="10" t="n">
        <v>153.4</v>
      </c>
      <c r="L131" s="10" t="n">
        <v>0.4</v>
      </c>
      <c r="M131" s="10" t="n">
        <v>118.3</v>
      </c>
      <c r="N131" s="10" t="n">
        <v>0.8</v>
      </c>
      <c r="O131" s="10" t="n">
        <f aca="false">O130+N131</f>
        <v>62.1</v>
      </c>
      <c r="P131" s="10" t="n">
        <v>87</v>
      </c>
      <c r="Q131" s="10" t="n">
        <v>1</v>
      </c>
      <c r="R131" s="13" t="n">
        <f aca="false">Q131*L131</f>
        <v>0.4</v>
      </c>
      <c r="S131" s="13" t="n">
        <f aca="false">J131-R131</f>
        <v>0.8</v>
      </c>
      <c r="T131" s="13" t="n">
        <f aca="false">MIN(153.6,(T130+S131))</f>
        <v>114.237123287671</v>
      </c>
      <c r="U131" s="10" t="n">
        <v>0</v>
      </c>
      <c r="V131" s="18" t="n">
        <v>210.5</v>
      </c>
      <c r="W131" s="10" t="n">
        <v>56.8918918918919</v>
      </c>
      <c r="X131" s="10" t="n">
        <v>51964.9</v>
      </c>
      <c r="Y131" s="10" t="n">
        <f aca="false">Y130+V131</f>
        <v>1033.8</v>
      </c>
      <c r="Z131" s="10" t="n">
        <v>94</v>
      </c>
      <c r="AA131" s="23" t="n">
        <v>8.21963976368438</v>
      </c>
    </row>
    <row r="132" s="10" customFormat="true" ht="15" hidden="false" customHeight="false" outlineLevel="0" collapsed="false">
      <c r="A132" s="34"/>
      <c r="B132" s="24"/>
      <c r="C132" s="9" t="n">
        <v>41979</v>
      </c>
      <c r="D132" s="21" t="n">
        <v>4.2</v>
      </c>
      <c r="E132" s="21" t="n">
        <v>2.1</v>
      </c>
      <c r="F132" s="10" t="n">
        <v>8.3</v>
      </c>
      <c r="G132" s="10" t="n">
        <v>1056.9</v>
      </c>
      <c r="H132" s="10" t="n">
        <f aca="false">H131+D132</f>
        <v>21.5</v>
      </c>
      <c r="I132" s="35" t="s">
        <v>36</v>
      </c>
      <c r="J132" s="10" t="n">
        <v>0.3</v>
      </c>
      <c r="K132" s="10" t="n">
        <v>153.7</v>
      </c>
      <c r="L132" s="10" t="n">
        <v>0.8</v>
      </c>
      <c r="M132" s="10" t="n">
        <v>119.1</v>
      </c>
      <c r="N132" s="11" t="n">
        <v>-0.5</v>
      </c>
      <c r="O132" s="10" t="n">
        <f aca="false">O131+N132</f>
        <v>61.6</v>
      </c>
      <c r="P132" s="10" t="n">
        <v>88</v>
      </c>
      <c r="Q132" s="10" t="n">
        <v>1</v>
      </c>
      <c r="R132" s="13" t="n">
        <f aca="false">Q132*L132</f>
        <v>0.8</v>
      </c>
      <c r="S132" s="13" t="n">
        <f aca="false">J132-R132</f>
        <v>-0.5</v>
      </c>
      <c r="T132" s="13" t="n">
        <f aca="false">MIN(153.6,(T131+S132))</f>
        <v>113.737123287671</v>
      </c>
      <c r="U132" s="35" t="s">
        <v>37</v>
      </c>
      <c r="V132" s="18" t="n">
        <v>378.9</v>
      </c>
      <c r="W132" s="10" t="n">
        <v>90.2142857142857</v>
      </c>
      <c r="X132" s="10" t="n">
        <v>52343.8</v>
      </c>
      <c r="Y132" s="10" t="n">
        <f aca="false">Y131+V132</f>
        <v>1412.7</v>
      </c>
      <c r="AA132" s="23" t="n">
        <v>8.19181347822355</v>
      </c>
    </row>
    <row r="133" s="10" customFormat="true" ht="15" hidden="false" customHeight="false" outlineLevel="0" collapsed="false">
      <c r="A133" s="34"/>
      <c r="B133" s="24"/>
      <c r="C133" s="9" t="n">
        <v>41980</v>
      </c>
      <c r="D133" s="21" t="n">
        <v>2.8</v>
      </c>
      <c r="E133" s="36" t="n">
        <v>-0.3</v>
      </c>
      <c r="F133" s="10" t="n">
        <v>6.7</v>
      </c>
      <c r="G133" s="10" t="n">
        <v>1059.7</v>
      </c>
      <c r="H133" s="10" t="n">
        <f aca="false">H132+D133</f>
        <v>24.3</v>
      </c>
      <c r="I133" s="10" t="n">
        <v>22</v>
      </c>
      <c r="J133" s="10" t="n">
        <v>3.1</v>
      </c>
      <c r="K133" s="10" t="n">
        <v>156.8</v>
      </c>
      <c r="L133" s="10" t="n">
        <v>0.4</v>
      </c>
      <c r="M133" s="10" t="n">
        <v>119.5</v>
      </c>
      <c r="N133" s="10" t="n">
        <v>2.7</v>
      </c>
      <c r="O133" s="10" t="n">
        <f aca="false">O132+N133</f>
        <v>64.3</v>
      </c>
      <c r="P133" s="10" t="n">
        <v>89</v>
      </c>
      <c r="Q133" s="10" t="n">
        <v>1</v>
      </c>
      <c r="R133" s="13" t="n">
        <f aca="false">Q133*L133</f>
        <v>0.4</v>
      </c>
      <c r="S133" s="13" t="n">
        <f aca="false">J133-R133</f>
        <v>2.7</v>
      </c>
      <c r="T133" s="13" t="n">
        <f aca="false">MIN(153.6,(T132+S133))</f>
        <v>116.437123287671</v>
      </c>
      <c r="U133" s="13" t="n">
        <f aca="false">MIN(T126:T222)</f>
        <v>113.437123287671</v>
      </c>
      <c r="V133" s="18" t="n">
        <v>102.6</v>
      </c>
      <c r="W133" s="10" t="n">
        <v>36.6428571428571</v>
      </c>
      <c r="X133" s="10" t="n">
        <v>52446.4</v>
      </c>
      <c r="Y133" s="10" t="n">
        <f aca="false">Y132+V133</f>
        <v>1515.3</v>
      </c>
      <c r="AA133" s="23" t="n">
        <v>8.16544837746624</v>
      </c>
    </row>
    <row r="134" s="10" customFormat="true" ht="15" hidden="false" customHeight="false" outlineLevel="0" collapsed="false">
      <c r="A134" s="34"/>
      <c r="B134" s="24"/>
      <c r="C134" s="9" t="n">
        <v>41981</v>
      </c>
      <c r="D134" s="21" t="n">
        <v>2.2</v>
      </c>
      <c r="E134" s="21" t="n">
        <v>0.2</v>
      </c>
      <c r="F134" s="21" t="n">
        <v>3.5</v>
      </c>
      <c r="G134" s="10" t="n">
        <v>1061.9</v>
      </c>
      <c r="H134" s="10" t="n">
        <f aca="false">H133+D134</f>
        <v>26.5</v>
      </c>
      <c r="I134" s="35" t="s">
        <v>38</v>
      </c>
      <c r="J134" s="10" t="n">
        <v>4.6</v>
      </c>
      <c r="K134" s="10" t="n">
        <v>161.4</v>
      </c>
      <c r="L134" s="10" t="n">
        <v>0.3</v>
      </c>
      <c r="M134" s="10" t="n">
        <v>119.8</v>
      </c>
      <c r="N134" s="10" t="n">
        <v>4.3</v>
      </c>
      <c r="O134" s="10" t="n">
        <f aca="false">O133+N134</f>
        <v>68.6</v>
      </c>
      <c r="P134" s="10" t="n">
        <v>90</v>
      </c>
      <c r="Q134" s="10" t="n">
        <v>1</v>
      </c>
      <c r="R134" s="13" t="n">
        <f aca="false">Q134*L134</f>
        <v>0.3</v>
      </c>
      <c r="S134" s="13" t="n">
        <f aca="false">J134-R134</f>
        <v>4.3</v>
      </c>
      <c r="T134" s="13" t="n">
        <f aca="false">MIN(153.6,(T133+S134))</f>
        <v>120.737123287671</v>
      </c>
      <c r="U134" s="35" t="s">
        <v>39</v>
      </c>
      <c r="V134" s="22" t="n">
        <v>80</v>
      </c>
      <c r="W134" s="10" t="n">
        <v>36.3636363636364</v>
      </c>
      <c r="X134" s="10" t="n">
        <v>52526.4</v>
      </c>
      <c r="Y134" s="10" t="n">
        <f aca="false">Y133+V134</f>
        <v>1595.3</v>
      </c>
      <c r="AA134" s="23" t="n">
        <v>8.14057414579814</v>
      </c>
    </row>
    <row r="135" s="10" customFormat="true" ht="15" hidden="false" customHeight="false" outlineLevel="0" collapsed="false">
      <c r="A135" s="34"/>
      <c r="B135" s="24"/>
      <c r="C135" s="9" t="n">
        <v>41982</v>
      </c>
      <c r="D135" s="21" t="n">
        <v>4.2</v>
      </c>
      <c r="E135" s="21" t="n">
        <v>2.1</v>
      </c>
      <c r="F135" s="10" t="n">
        <v>7.2</v>
      </c>
      <c r="G135" s="10" t="n">
        <v>1066.1</v>
      </c>
      <c r="H135" s="10" t="n">
        <f aca="false">H134+D135</f>
        <v>30.7</v>
      </c>
      <c r="I135" s="10" t="n">
        <v>0</v>
      </c>
      <c r="J135" s="10" t="n">
        <v>2.3</v>
      </c>
      <c r="K135" s="10" t="n">
        <v>163.7</v>
      </c>
      <c r="L135" s="10" t="n">
        <v>0.7</v>
      </c>
      <c r="M135" s="10" t="n">
        <v>120.5</v>
      </c>
      <c r="N135" s="10" t="n">
        <v>1.6</v>
      </c>
      <c r="O135" s="10" t="n">
        <f aca="false">O134+N135</f>
        <v>70.2</v>
      </c>
      <c r="P135" s="10" t="n">
        <v>91</v>
      </c>
      <c r="Q135" s="10" t="n">
        <v>1</v>
      </c>
      <c r="R135" s="13" t="n">
        <f aca="false">Q135*L135</f>
        <v>0.7</v>
      </c>
      <c r="S135" s="13" t="n">
        <f aca="false">J135-R135</f>
        <v>1.6</v>
      </c>
      <c r="T135" s="13" t="n">
        <f aca="false">MIN(153.6,(T134+S135))</f>
        <v>122.337123287671</v>
      </c>
      <c r="U135" s="10" t="n">
        <v>153.6</v>
      </c>
      <c r="V135" s="18" t="n">
        <v>309.5</v>
      </c>
      <c r="W135" s="10" t="n">
        <v>73.6904761904762</v>
      </c>
      <c r="X135" s="10" t="n">
        <v>52835.9</v>
      </c>
      <c r="Y135" s="10" t="n">
        <f aca="false">Y134+V135</f>
        <v>1904.8</v>
      </c>
      <c r="AA135" s="23" t="n">
        <v>8.11721931303619</v>
      </c>
    </row>
    <row r="136" s="10" customFormat="true" ht="15" hidden="false" customHeight="false" outlineLevel="0" collapsed="false">
      <c r="A136" s="34"/>
      <c r="B136" s="24"/>
      <c r="C136" s="9" t="n">
        <v>41983</v>
      </c>
      <c r="D136" s="10" t="n">
        <v>7.1</v>
      </c>
      <c r="E136" s="21" t="n">
        <v>4.7</v>
      </c>
      <c r="F136" s="10" t="n">
        <v>9.6</v>
      </c>
      <c r="G136" s="10" t="n">
        <v>1073.2</v>
      </c>
      <c r="H136" s="10" t="n">
        <f aca="false">H135+D136</f>
        <v>37.8</v>
      </c>
      <c r="I136" s="35" t="s">
        <v>40</v>
      </c>
      <c r="J136" s="10" t="n">
        <v>2.8</v>
      </c>
      <c r="K136" s="10" t="n">
        <v>166.5</v>
      </c>
      <c r="L136" s="10" t="n">
        <v>1.2</v>
      </c>
      <c r="M136" s="10" t="n">
        <v>121.7</v>
      </c>
      <c r="N136" s="10" t="n">
        <v>1.6</v>
      </c>
      <c r="O136" s="10" t="n">
        <f aca="false">O135+N136</f>
        <v>71.8</v>
      </c>
      <c r="P136" s="10" t="n">
        <v>92</v>
      </c>
      <c r="Q136" s="10" t="n">
        <v>1</v>
      </c>
      <c r="R136" s="13" t="n">
        <f aca="false">Q136*L136</f>
        <v>1.2</v>
      </c>
      <c r="S136" s="13" t="n">
        <f aca="false">J136-R136</f>
        <v>1.6</v>
      </c>
      <c r="T136" s="13" t="n">
        <f aca="false">MIN(153.6,(T135+S136))</f>
        <v>123.937123287671</v>
      </c>
      <c r="U136" s="35" t="s">
        <v>41</v>
      </c>
      <c r="V136" s="18" t="n">
        <v>408.4</v>
      </c>
      <c r="W136" s="10" t="n">
        <v>57.5211267605634</v>
      </c>
      <c r="X136" s="10" t="n">
        <v>53244.3</v>
      </c>
      <c r="Y136" s="10" t="n">
        <f aca="false">Y135+V136</f>
        <v>2313.2</v>
      </c>
      <c r="AA136" s="23" t="n">
        <v>8.095411144313</v>
      </c>
    </row>
    <row r="137" s="10" customFormat="true" ht="15" hidden="false" customHeight="false" outlineLevel="0" collapsed="false">
      <c r="A137" s="34"/>
      <c r="B137" s="16"/>
      <c r="C137" s="9" t="n">
        <v>41984</v>
      </c>
      <c r="D137" s="10" t="n">
        <v>7.4</v>
      </c>
      <c r="E137" s="10" t="n">
        <v>5.3</v>
      </c>
      <c r="F137" s="10" t="n">
        <v>9.7</v>
      </c>
      <c r="G137" s="10" t="n">
        <v>1080.6</v>
      </c>
      <c r="H137" s="10" t="n">
        <f aca="false">H136+D137</f>
        <v>45.2</v>
      </c>
      <c r="I137" s="10" t="n">
        <v>61</v>
      </c>
      <c r="J137" s="10" t="n">
        <v>2.9</v>
      </c>
      <c r="K137" s="10" t="n">
        <v>169.4</v>
      </c>
      <c r="L137" s="10" t="n">
        <v>1</v>
      </c>
      <c r="M137" s="10" t="n">
        <v>122.7</v>
      </c>
      <c r="N137" s="10" t="n">
        <v>1.9</v>
      </c>
      <c r="O137" s="10" t="n">
        <f aca="false">O136+N137</f>
        <v>73.7</v>
      </c>
      <c r="P137" s="10" t="n">
        <v>93</v>
      </c>
      <c r="Q137" s="10" t="n">
        <v>1</v>
      </c>
      <c r="R137" s="13" t="n">
        <f aca="false">Q137*L137</f>
        <v>1</v>
      </c>
      <c r="S137" s="13" t="n">
        <f aca="false">J137-R137</f>
        <v>1.9</v>
      </c>
      <c r="T137" s="13" t="n">
        <f aca="false">MIN(153.6,(T136+S137))</f>
        <v>125.837123287671</v>
      </c>
      <c r="U137" s="19" t="n">
        <f aca="false">AVERAGE(T126:T222)</f>
        <v>146.187270159582</v>
      </c>
      <c r="V137" s="18" t="n">
        <v>197.3</v>
      </c>
      <c r="W137" s="10" t="n">
        <v>26.6621621621622</v>
      </c>
      <c r="X137" s="10" t="n">
        <v>53441.6</v>
      </c>
      <c r="Y137" s="10" t="n">
        <f aca="false">Y136+V137</f>
        <v>2510.5</v>
      </c>
      <c r="AA137" s="23" t="n">
        <v>8.07517553202544</v>
      </c>
    </row>
    <row r="138" s="10" customFormat="true" ht="15" hidden="false" customHeight="false" outlineLevel="0" collapsed="false">
      <c r="A138" s="34"/>
      <c r="B138" s="16"/>
      <c r="C138" s="9" t="n">
        <v>41985</v>
      </c>
      <c r="D138" s="10" t="n">
        <v>8.5</v>
      </c>
      <c r="E138" s="10" t="n">
        <v>7.6</v>
      </c>
      <c r="F138" s="10" t="n">
        <v>9.8</v>
      </c>
      <c r="G138" s="10" t="n">
        <v>1089.1</v>
      </c>
      <c r="H138" s="10" t="n">
        <f aca="false">H137+D138</f>
        <v>53.7</v>
      </c>
      <c r="I138" s="35" t="s">
        <v>42</v>
      </c>
      <c r="J138" s="10" t="n">
        <v>6.7</v>
      </c>
      <c r="K138" s="10" t="n">
        <v>176.1</v>
      </c>
      <c r="L138" s="10" t="n">
        <v>0.8</v>
      </c>
      <c r="M138" s="10" t="n">
        <v>123.5</v>
      </c>
      <c r="N138" s="10" t="n">
        <v>5.9</v>
      </c>
      <c r="O138" s="10" t="n">
        <f aca="false">O137+N138</f>
        <v>79.6</v>
      </c>
      <c r="P138" s="10" t="n">
        <v>94</v>
      </c>
      <c r="Q138" s="10" t="n">
        <v>1</v>
      </c>
      <c r="R138" s="13" t="n">
        <f aca="false">Q138*L138</f>
        <v>0.8</v>
      </c>
      <c r="S138" s="13" t="n">
        <f aca="false">J138-R138</f>
        <v>5.9</v>
      </c>
      <c r="T138" s="13" t="n">
        <f aca="false">MIN(153.6,(T137+S138))</f>
        <v>131.737123287671</v>
      </c>
      <c r="U138" s="35" t="s">
        <v>44</v>
      </c>
      <c r="V138" s="22" t="n">
        <v>67.9</v>
      </c>
      <c r="W138" s="10" t="n">
        <v>7.98823529411765</v>
      </c>
      <c r="X138" s="10" t="n">
        <v>53509.5</v>
      </c>
      <c r="Y138" s="10" t="n">
        <f aca="false">Y137+V138</f>
        <v>2578.4</v>
      </c>
      <c r="AA138" s="23" t="n">
        <v>8.05653689067263</v>
      </c>
    </row>
    <row r="139" s="10" customFormat="true" ht="15" hidden="false" customHeight="false" outlineLevel="0" collapsed="false">
      <c r="A139" s="34"/>
      <c r="B139" s="24"/>
      <c r="C139" s="9" t="n">
        <v>41986</v>
      </c>
      <c r="D139" s="21" t="n">
        <v>3.9</v>
      </c>
      <c r="E139" s="21" t="n">
        <v>3.5</v>
      </c>
      <c r="F139" s="10" t="n">
        <v>5.4</v>
      </c>
      <c r="G139" s="10" t="n">
        <v>1093</v>
      </c>
      <c r="H139" s="10" t="n">
        <f aca="false">H138+D139</f>
        <v>57.6</v>
      </c>
      <c r="I139" s="10" t="n">
        <v>426.7</v>
      </c>
      <c r="J139" s="10" t="n">
        <v>0.1</v>
      </c>
      <c r="K139" s="10" t="n">
        <v>176.2</v>
      </c>
      <c r="L139" s="10" t="n">
        <v>0.5</v>
      </c>
      <c r="M139" s="10" t="n">
        <v>124</v>
      </c>
      <c r="N139" s="11" t="n">
        <v>-0.4</v>
      </c>
      <c r="O139" s="10" t="n">
        <f aca="false">O138+N139</f>
        <v>79.2</v>
      </c>
      <c r="P139" s="10" t="n">
        <v>95</v>
      </c>
      <c r="Q139" s="10" t="n">
        <v>1</v>
      </c>
      <c r="R139" s="13" t="n">
        <f aca="false">Q139*L139</f>
        <v>0.5</v>
      </c>
      <c r="S139" s="13" t="n">
        <f aca="false">J139-R139</f>
        <v>-0.4</v>
      </c>
      <c r="T139" s="13" t="n">
        <f aca="false">MIN(153.6,(T138+S139))</f>
        <v>131.337123287671</v>
      </c>
      <c r="U139" s="13" t="n">
        <v>49</v>
      </c>
      <c r="V139" s="22" t="n">
        <v>89.2</v>
      </c>
      <c r="W139" s="10" t="n">
        <v>22.8717948717949</v>
      </c>
      <c r="X139" s="10" t="n">
        <v>53598.7</v>
      </c>
      <c r="Y139" s="10" t="n">
        <f aca="false">Y138+V139</f>
        <v>2667.6</v>
      </c>
      <c r="AA139" s="23" t="n">
        <v>8.03951805541864</v>
      </c>
    </row>
    <row r="140" s="10" customFormat="true" ht="15" hidden="false" customHeight="false" outlineLevel="0" collapsed="false">
      <c r="A140" s="34"/>
      <c r="B140" s="24"/>
      <c r="C140" s="9" t="n">
        <v>41987</v>
      </c>
      <c r="D140" s="21" t="n">
        <v>1</v>
      </c>
      <c r="E140" s="36" t="n">
        <v>-1.5</v>
      </c>
      <c r="F140" s="21" t="n">
        <v>4.7</v>
      </c>
      <c r="G140" s="10" t="n">
        <v>1094</v>
      </c>
      <c r="H140" s="10" t="n">
        <f aca="false">H139+D140</f>
        <v>58.6</v>
      </c>
      <c r="J140" s="10" t="n">
        <v>0.9</v>
      </c>
      <c r="K140" s="10" t="n">
        <v>177.1</v>
      </c>
      <c r="L140" s="10" t="n">
        <v>0.3</v>
      </c>
      <c r="M140" s="10" t="n">
        <v>124.3</v>
      </c>
      <c r="N140" s="10" t="n">
        <v>0.6</v>
      </c>
      <c r="O140" s="10" t="n">
        <f aca="false">O139+N140</f>
        <v>79.8</v>
      </c>
      <c r="P140" s="10" t="n">
        <v>96</v>
      </c>
      <c r="Q140" s="10" t="n">
        <v>1</v>
      </c>
      <c r="R140" s="13" t="n">
        <f aca="false">Q140*L140</f>
        <v>0.3</v>
      </c>
      <c r="S140" s="13" t="n">
        <f aca="false">J140-R140</f>
        <v>0.6</v>
      </c>
      <c r="T140" s="13" t="n">
        <f aca="false">MIN(153.6,(T139+S140))</f>
        <v>131.937123287671</v>
      </c>
      <c r="V140" s="18" t="n">
        <v>144</v>
      </c>
      <c r="W140" s="10" t="n">
        <v>144</v>
      </c>
      <c r="X140" s="10" t="n">
        <v>53742.7</v>
      </c>
      <c r="Y140" s="10" t="n">
        <f aca="false">Y139+V140</f>
        <v>2811.6</v>
      </c>
      <c r="AA140" s="23" t="n">
        <v>8.02414018521425</v>
      </c>
    </row>
    <row r="141" s="10" customFormat="true" ht="15" hidden="false" customHeight="false" outlineLevel="0" collapsed="false">
      <c r="A141" s="34"/>
      <c r="B141" s="24"/>
      <c r="C141" s="9" t="n">
        <v>41988</v>
      </c>
      <c r="D141" s="10" t="n">
        <v>6.1</v>
      </c>
      <c r="E141" s="21" t="n">
        <v>1.6</v>
      </c>
      <c r="F141" s="10" t="n">
        <v>7.9</v>
      </c>
      <c r="G141" s="10" t="n">
        <v>1100.1</v>
      </c>
      <c r="H141" s="10" t="n">
        <f aca="false">H140+D141</f>
        <v>64.7</v>
      </c>
      <c r="J141" s="10" t="n">
        <v>1</v>
      </c>
      <c r="K141" s="10" t="n">
        <v>178.1</v>
      </c>
      <c r="L141" s="10" t="n">
        <v>0.3</v>
      </c>
      <c r="M141" s="10" t="n">
        <v>124.6</v>
      </c>
      <c r="N141" s="10" t="n">
        <v>0.7</v>
      </c>
      <c r="O141" s="10" t="n">
        <f aca="false">O140+N141</f>
        <v>80.5</v>
      </c>
      <c r="P141" s="10" t="n">
        <v>97</v>
      </c>
      <c r="Q141" s="10" t="n">
        <v>1</v>
      </c>
      <c r="R141" s="13" t="n">
        <f aca="false">Q141*L141</f>
        <v>0.3</v>
      </c>
      <c r="S141" s="13" t="n">
        <f aca="false">J141-R141</f>
        <v>0.7</v>
      </c>
      <c r="T141" s="13" t="n">
        <f aca="false">MIN(153.6,(T140+S141))</f>
        <v>132.637123287671</v>
      </c>
      <c r="U141" s="13" t="n">
        <f aca="false">(U137*100)/153.6</f>
        <v>95.1740040101446</v>
      </c>
      <c r="V141" s="18" t="n">
        <v>255.1</v>
      </c>
      <c r="W141" s="10" t="n">
        <v>41.8196721311475</v>
      </c>
      <c r="X141" s="10" t="n">
        <v>53997.8</v>
      </c>
      <c r="Y141" s="10" t="n">
        <f aca="false">Y140+V141</f>
        <v>3066.7</v>
      </c>
      <c r="AA141" s="23" t="n">
        <v>8.01042267130104</v>
      </c>
    </row>
    <row r="142" s="10" customFormat="true" ht="15" hidden="false" customHeight="false" outlineLevel="0" collapsed="false">
      <c r="A142" s="34"/>
      <c r="B142" s="24"/>
      <c r="C142" s="9" t="n">
        <v>41989</v>
      </c>
      <c r="D142" s="10" t="n">
        <v>5.3</v>
      </c>
      <c r="E142" s="21" t="n">
        <v>4.4</v>
      </c>
      <c r="F142" s="10" t="n">
        <v>7.3</v>
      </c>
      <c r="G142" s="10" t="n">
        <v>1105.4</v>
      </c>
      <c r="H142" s="10" t="n">
        <f aca="false">H141+D142</f>
        <v>70</v>
      </c>
      <c r="J142" s="10" t="n">
        <v>7.9</v>
      </c>
      <c r="K142" s="10" t="n">
        <v>186</v>
      </c>
      <c r="L142" s="10" t="n">
        <v>0.7</v>
      </c>
      <c r="M142" s="10" t="n">
        <v>125.3</v>
      </c>
      <c r="N142" s="10" t="n">
        <v>7.2</v>
      </c>
      <c r="O142" s="10" t="n">
        <f aca="false">O141+N142</f>
        <v>87.7</v>
      </c>
      <c r="P142" s="10" t="n">
        <v>98</v>
      </c>
      <c r="Q142" s="10" t="n">
        <v>1</v>
      </c>
      <c r="R142" s="13" t="n">
        <f aca="false">Q142*L142</f>
        <v>0.7</v>
      </c>
      <c r="S142" s="13" t="n">
        <f aca="false">J142-R142</f>
        <v>7.2</v>
      </c>
      <c r="T142" s="13" t="n">
        <f aca="false">MIN(153.6,(T141+S142))</f>
        <v>139.837123287671</v>
      </c>
      <c r="V142" s="18" t="n">
        <v>263.9</v>
      </c>
      <c r="W142" s="10" t="n">
        <v>49.7924528301887</v>
      </c>
      <c r="X142" s="10" t="n">
        <v>54261.7</v>
      </c>
      <c r="Y142" s="10" t="n">
        <f aca="false">Y141+V142</f>
        <v>3330.6</v>
      </c>
      <c r="AA142" s="23" t="n">
        <v>7.99838305189741</v>
      </c>
    </row>
    <row r="143" s="10" customFormat="true" ht="15" hidden="false" customHeight="false" outlineLevel="0" collapsed="false">
      <c r="A143" s="34"/>
      <c r="B143" s="24"/>
      <c r="C143" s="9" t="n">
        <v>41990</v>
      </c>
      <c r="D143" s="10" t="n">
        <v>8.9</v>
      </c>
      <c r="E143" s="21" t="n">
        <v>3.9</v>
      </c>
      <c r="F143" s="10" t="n">
        <v>12.2</v>
      </c>
      <c r="G143" s="10" t="n">
        <v>1114.3</v>
      </c>
      <c r="H143" s="10" t="n">
        <f aca="false">H142+D143</f>
        <v>78.9</v>
      </c>
      <c r="J143" s="10" t="n">
        <v>2.9</v>
      </c>
      <c r="K143" s="10" t="n">
        <v>188.9</v>
      </c>
      <c r="L143" s="10" t="n">
        <v>0.1</v>
      </c>
      <c r="M143" s="10" t="n">
        <v>125.4</v>
      </c>
      <c r="N143" s="10" t="n">
        <v>2.8</v>
      </c>
      <c r="O143" s="10" t="n">
        <f aca="false">O142+N143</f>
        <v>90.5</v>
      </c>
      <c r="P143" s="10" t="n">
        <v>99</v>
      </c>
      <c r="Q143" s="10" t="n">
        <v>1</v>
      </c>
      <c r="R143" s="13" t="n">
        <f aca="false">Q143*L143</f>
        <v>0.1</v>
      </c>
      <c r="S143" s="13" t="n">
        <f aca="false">J143-R143</f>
        <v>2.8</v>
      </c>
      <c r="T143" s="13" t="n">
        <f aca="false">MIN(153.6,(T142+S143))</f>
        <v>142.637123287671</v>
      </c>
      <c r="V143" s="22" t="n">
        <v>60.5</v>
      </c>
      <c r="W143" s="10" t="n">
        <v>6.79775280898876</v>
      </c>
      <c r="X143" s="10" t="n">
        <v>54322.2</v>
      </c>
      <c r="Y143" s="10" t="n">
        <f aca="false">Y142+V143</f>
        <v>3391.1</v>
      </c>
      <c r="AA143" s="23" t="n">
        <v>7.98803693383211</v>
      </c>
    </row>
    <row r="144" s="10" customFormat="true" ht="15" hidden="false" customHeight="false" outlineLevel="0" collapsed="false">
      <c r="A144" s="34"/>
      <c r="B144" s="16"/>
      <c r="C144" s="9" t="n">
        <v>41991</v>
      </c>
      <c r="D144" s="10" t="n">
        <v>12.5</v>
      </c>
      <c r="E144" s="10" t="n">
        <v>10</v>
      </c>
      <c r="F144" s="10" t="n">
        <v>13.3</v>
      </c>
      <c r="G144" s="10" t="n">
        <v>1126.8</v>
      </c>
      <c r="H144" s="10" t="n">
        <f aca="false">H143+D144</f>
        <v>91.4</v>
      </c>
      <c r="J144" s="10" t="n">
        <v>1.8</v>
      </c>
      <c r="K144" s="10" t="n">
        <v>190.7</v>
      </c>
      <c r="L144" s="10" t="n">
        <v>0.2</v>
      </c>
      <c r="M144" s="10" t="n">
        <v>125.6</v>
      </c>
      <c r="N144" s="10" t="n">
        <v>1.6</v>
      </c>
      <c r="O144" s="10" t="n">
        <f aca="false">O143+N144</f>
        <v>92.1</v>
      </c>
      <c r="P144" s="10" t="n">
        <v>100</v>
      </c>
      <c r="Q144" s="10" t="n">
        <v>1</v>
      </c>
      <c r="R144" s="13" t="n">
        <f aca="false">Q144*L144</f>
        <v>0.2</v>
      </c>
      <c r="S144" s="13" t="n">
        <f aca="false">J144-R144</f>
        <v>1.6</v>
      </c>
      <c r="T144" s="13" t="n">
        <f aca="false">MIN(153.6,(T143+S144))</f>
        <v>144.237123287671</v>
      </c>
      <c r="V144" s="22" t="n">
        <v>71.5</v>
      </c>
      <c r="W144" s="10" t="n">
        <v>5.72</v>
      </c>
      <c r="X144" s="10" t="n">
        <v>54393.7</v>
      </c>
      <c r="Y144" s="10" t="n">
        <f aca="false">Y143+V144</f>
        <v>3462.6</v>
      </c>
      <c r="AA144" s="23" t="n">
        <v>7.97939792184437</v>
      </c>
    </row>
    <row r="145" s="10" customFormat="true" ht="15" hidden="false" customHeight="false" outlineLevel="0" collapsed="false">
      <c r="A145" s="34"/>
      <c r="B145" s="16"/>
      <c r="C145" s="9" t="n">
        <v>41992</v>
      </c>
      <c r="D145" s="10" t="n">
        <v>8.9</v>
      </c>
      <c r="E145" s="10" t="n">
        <v>6.4</v>
      </c>
      <c r="F145" s="10" t="n">
        <v>11.1</v>
      </c>
      <c r="G145" s="10" t="n">
        <v>1135.7</v>
      </c>
      <c r="H145" s="10" t="n">
        <f aca="false">H144+D145</f>
        <v>100.3</v>
      </c>
      <c r="J145" s="10" t="n">
        <v>6.2</v>
      </c>
      <c r="K145" s="10" t="n">
        <v>196.9</v>
      </c>
      <c r="L145" s="10" t="n">
        <v>0.3</v>
      </c>
      <c r="M145" s="10" t="n">
        <v>125.9</v>
      </c>
      <c r="N145" s="10" t="n">
        <v>5.9</v>
      </c>
      <c r="O145" s="10" t="n">
        <f aca="false">O144+N145</f>
        <v>98</v>
      </c>
      <c r="P145" s="10" t="n">
        <v>101</v>
      </c>
      <c r="Q145" s="10" t="n">
        <v>1</v>
      </c>
      <c r="R145" s="13" t="n">
        <f aca="false">Q145*L145</f>
        <v>0.3</v>
      </c>
      <c r="S145" s="13" t="n">
        <f aca="false">J145-R145</f>
        <v>5.9</v>
      </c>
      <c r="T145" s="13" t="n">
        <f aca="false">MIN(153.6,(T144+S145))</f>
        <v>150.137123287671</v>
      </c>
      <c r="V145" s="22" t="n">
        <v>64.1</v>
      </c>
      <c r="W145" s="10" t="n">
        <v>7.20224719101124</v>
      </c>
      <c r="X145" s="10" t="n">
        <v>54457.8</v>
      </c>
      <c r="Y145" s="10" t="n">
        <f aca="false">Y144+V145</f>
        <v>3526.7</v>
      </c>
      <c r="AA145" s="23" t="n">
        <v>7.97247755621257</v>
      </c>
    </row>
    <row r="146" s="10" customFormat="true" ht="15" hidden="false" customHeight="false" outlineLevel="0" collapsed="false">
      <c r="A146" s="34"/>
      <c r="B146" s="24"/>
      <c r="C146" s="9" t="n">
        <v>41993</v>
      </c>
      <c r="D146" s="10" t="n">
        <v>6.2</v>
      </c>
      <c r="E146" s="21" t="n">
        <v>4.7</v>
      </c>
      <c r="F146" s="10" t="n">
        <v>9.2</v>
      </c>
      <c r="G146" s="10" t="n">
        <v>1141.9</v>
      </c>
      <c r="H146" s="10" t="n">
        <f aca="false">H145+D146</f>
        <v>106.5</v>
      </c>
      <c r="J146" s="10" t="n">
        <v>0</v>
      </c>
      <c r="K146" s="10" t="n">
        <v>196.9</v>
      </c>
      <c r="L146" s="10" t="n">
        <v>1.2</v>
      </c>
      <c r="M146" s="10" t="n">
        <v>127.1</v>
      </c>
      <c r="N146" s="11" t="n">
        <v>-1.2</v>
      </c>
      <c r="O146" s="10" t="n">
        <f aca="false">O145+N146</f>
        <v>96.8</v>
      </c>
      <c r="P146" s="10" t="n">
        <v>102</v>
      </c>
      <c r="Q146" s="10" t="n">
        <v>1</v>
      </c>
      <c r="R146" s="13" t="n">
        <f aca="false">Q146*L146</f>
        <v>1.2</v>
      </c>
      <c r="S146" s="13" t="n">
        <f aca="false">J146-R146</f>
        <v>-1.2</v>
      </c>
      <c r="T146" s="13" t="n">
        <f aca="false">MIN(153.6,(T145+S146))</f>
        <v>148.937123287671</v>
      </c>
      <c r="V146" s="18" t="n">
        <v>341.8</v>
      </c>
      <c r="W146" s="10" t="n">
        <v>55.1290322580645</v>
      </c>
      <c r="X146" s="10" t="n">
        <v>54799.6</v>
      </c>
      <c r="Y146" s="10" t="n">
        <f aca="false">Y145+V146</f>
        <v>3868.5</v>
      </c>
      <c r="AA146" s="23" t="n">
        <v>7.96728525930546</v>
      </c>
    </row>
    <row r="147" s="10" customFormat="true" ht="15" hidden="false" customHeight="false" outlineLevel="0" collapsed="false">
      <c r="A147" s="34"/>
      <c r="B147" s="24"/>
      <c r="C147" s="9" t="n">
        <v>41994</v>
      </c>
      <c r="D147" s="10" t="n">
        <v>6.6</v>
      </c>
      <c r="E147" s="21" t="n">
        <v>3.2</v>
      </c>
      <c r="F147" s="10" t="n">
        <v>9.9</v>
      </c>
      <c r="G147" s="10" t="n">
        <v>1148.5</v>
      </c>
      <c r="H147" s="10" t="n">
        <f aca="false">H146+D147</f>
        <v>113.1</v>
      </c>
      <c r="J147" s="10" t="n">
        <v>0.6</v>
      </c>
      <c r="K147" s="10" t="n">
        <v>197.5</v>
      </c>
      <c r="L147" s="10" t="n">
        <v>0.7</v>
      </c>
      <c r="M147" s="10" t="n">
        <v>127.8</v>
      </c>
      <c r="N147" s="11" t="n">
        <v>-0.1</v>
      </c>
      <c r="O147" s="10" t="n">
        <f aca="false">O146+N147</f>
        <v>96.7</v>
      </c>
      <c r="P147" s="10" t="n">
        <v>103</v>
      </c>
      <c r="Q147" s="10" t="n">
        <v>1</v>
      </c>
      <c r="R147" s="13" t="n">
        <f aca="false">Q147*L147</f>
        <v>0.7</v>
      </c>
      <c r="S147" s="13" t="n">
        <f aca="false">J147-R147</f>
        <v>-0.1</v>
      </c>
      <c r="T147" s="13" t="n">
        <f aca="false">MIN(153.6,(T146+S147))</f>
        <v>148.837123287671</v>
      </c>
      <c r="V147" s="18" t="n">
        <v>252.1</v>
      </c>
      <c r="W147" s="10" t="n">
        <v>38.1969696969697</v>
      </c>
      <c r="X147" s="10" t="n">
        <v>55051.7</v>
      </c>
      <c r="Y147" s="10" t="n">
        <f aca="false">Y146+V147</f>
        <v>4120.6</v>
      </c>
      <c r="AA147" s="23" t="n">
        <v>7.9638282915725</v>
      </c>
    </row>
    <row r="148" s="10" customFormat="true" ht="15" hidden="false" customHeight="false" outlineLevel="0" collapsed="false">
      <c r="A148" s="34"/>
      <c r="B148" s="16"/>
      <c r="C148" s="9" t="n">
        <v>41995</v>
      </c>
      <c r="D148" s="10" t="n">
        <v>11.3</v>
      </c>
      <c r="E148" s="10" t="n">
        <v>8.2</v>
      </c>
      <c r="F148" s="10" t="n">
        <v>12.2</v>
      </c>
      <c r="G148" s="10" t="n">
        <v>1159.8</v>
      </c>
      <c r="H148" s="10" t="n">
        <f aca="false">H147+D148</f>
        <v>124.4</v>
      </c>
      <c r="J148" s="10" t="n">
        <v>0.1</v>
      </c>
      <c r="K148" s="10" t="n">
        <v>197.6</v>
      </c>
      <c r="L148" s="10" t="n">
        <v>0.6</v>
      </c>
      <c r="M148" s="10" t="n">
        <v>128.4</v>
      </c>
      <c r="N148" s="11" t="n">
        <v>-0.5</v>
      </c>
      <c r="O148" s="10" t="n">
        <f aca="false">O147+N148</f>
        <v>96.2</v>
      </c>
      <c r="P148" s="10" t="n">
        <v>104</v>
      </c>
      <c r="Q148" s="10" t="n">
        <v>1</v>
      </c>
      <c r="R148" s="13" t="n">
        <f aca="false">Q148*L148</f>
        <v>0.6</v>
      </c>
      <c r="S148" s="13" t="n">
        <f aca="false">J148-R148</f>
        <v>-0.5</v>
      </c>
      <c r="T148" s="13" t="n">
        <f aca="false">MIN(153.6,(T147+S148))</f>
        <v>148.337123287671</v>
      </c>
      <c r="V148" s="22" t="n">
        <v>94.6</v>
      </c>
      <c r="W148" s="10" t="n">
        <v>8.3716814159292</v>
      </c>
      <c r="X148" s="10" t="n">
        <v>55146.3</v>
      </c>
      <c r="Y148" s="10" t="n">
        <f aca="false">Y147+V148</f>
        <v>4215.2</v>
      </c>
      <c r="AA148" s="23" t="n">
        <v>7.96211171740381</v>
      </c>
    </row>
    <row r="149" s="10" customFormat="true" ht="15" hidden="false" customHeight="false" outlineLevel="0" collapsed="false">
      <c r="A149" s="34"/>
      <c r="B149" s="16"/>
      <c r="C149" s="9" t="n">
        <v>41996</v>
      </c>
      <c r="D149" s="10" t="n">
        <v>10.9</v>
      </c>
      <c r="E149" s="10" t="n">
        <v>10.3</v>
      </c>
      <c r="F149" s="10" t="n">
        <v>11.7</v>
      </c>
      <c r="G149" s="10" t="n">
        <v>1170.7</v>
      </c>
      <c r="H149" s="10" t="n">
        <f aca="false">H148+D149</f>
        <v>135.3</v>
      </c>
      <c r="J149" s="10" t="n">
        <v>0.2</v>
      </c>
      <c r="K149" s="10" t="n">
        <v>197.8</v>
      </c>
      <c r="L149" s="10" t="n">
        <v>1.2</v>
      </c>
      <c r="M149" s="10" t="n">
        <v>129.6</v>
      </c>
      <c r="N149" s="11" t="n">
        <v>-1</v>
      </c>
      <c r="O149" s="10" t="n">
        <f aca="false">O148+N149</f>
        <v>95.2</v>
      </c>
      <c r="P149" s="10" t="n">
        <v>105</v>
      </c>
      <c r="Q149" s="10" t="n">
        <v>1</v>
      </c>
      <c r="R149" s="13" t="n">
        <f aca="false">Q149*L149</f>
        <v>1.2</v>
      </c>
      <c r="S149" s="13" t="n">
        <f aca="false">J149-R149</f>
        <v>-1</v>
      </c>
      <c r="T149" s="13" t="n">
        <f aca="false">MIN(153.6,(T148+S149))</f>
        <v>147.337123287671</v>
      </c>
      <c r="V149" s="18" t="n">
        <v>119</v>
      </c>
      <c r="W149" s="10" t="n">
        <v>10.9174311926606</v>
      </c>
      <c r="X149" s="10" t="n">
        <v>55265.3</v>
      </c>
      <c r="Y149" s="10" t="n">
        <f aca="false">Y148+V149</f>
        <v>4334.2</v>
      </c>
      <c r="AA149" s="23" t="n">
        <v>7.96213838119638</v>
      </c>
    </row>
    <row r="150" s="10" customFormat="true" ht="15" hidden="false" customHeight="false" outlineLevel="0" collapsed="false">
      <c r="A150" s="34"/>
      <c r="B150" s="16"/>
      <c r="C150" s="9" t="n">
        <v>41997</v>
      </c>
      <c r="D150" s="10" t="n">
        <v>8.1</v>
      </c>
      <c r="E150" s="10" t="n">
        <v>7.2</v>
      </c>
      <c r="F150" s="10" t="n">
        <v>10</v>
      </c>
      <c r="G150" s="10" t="n">
        <v>1178.8</v>
      </c>
      <c r="H150" s="10" t="n">
        <f aca="false">H149+D150</f>
        <v>143.4</v>
      </c>
      <c r="J150" s="10" t="n">
        <v>2</v>
      </c>
      <c r="K150" s="10" t="n">
        <v>199.8</v>
      </c>
      <c r="L150" s="10" t="n">
        <v>0.9</v>
      </c>
      <c r="M150" s="10" t="n">
        <v>130.5</v>
      </c>
      <c r="N150" s="10" t="n">
        <v>1.1</v>
      </c>
      <c r="O150" s="10" t="n">
        <f aca="false">O149+N150</f>
        <v>96.3</v>
      </c>
      <c r="P150" s="10" t="n">
        <v>106</v>
      </c>
      <c r="Q150" s="10" t="n">
        <v>1</v>
      </c>
      <c r="R150" s="13" t="n">
        <f aca="false">Q150*L150</f>
        <v>0.9</v>
      </c>
      <c r="S150" s="13" t="n">
        <f aca="false">J150-R150</f>
        <v>1.1</v>
      </c>
      <c r="T150" s="13" t="n">
        <f aca="false">MIN(153.6,(T149+S150))</f>
        <v>148.437123287671</v>
      </c>
      <c r="V150" s="22" t="n">
        <v>73.8</v>
      </c>
      <c r="W150" s="10" t="n">
        <v>9.11111111111111</v>
      </c>
      <c r="X150" s="10" t="n">
        <v>55339.1</v>
      </c>
      <c r="Y150" s="10" t="n">
        <f aca="false">Y149+V150</f>
        <v>4408</v>
      </c>
      <c r="AA150" s="23" t="n">
        <v>7.96390889386452</v>
      </c>
    </row>
    <row r="151" s="10" customFormat="true" ht="15" hidden="false" customHeight="false" outlineLevel="0" collapsed="false">
      <c r="A151" s="34"/>
      <c r="B151" s="24"/>
      <c r="C151" s="9" t="n">
        <v>41998</v>
      </c>
      <c r="D151" s="21" t="n">
        <v>4.8</v>
      </c>
      <c r="E151" s="21" t="n">
        <v>3.6</v>
      </c>
      <c r="F151" s="10" t="n">
        <v>7.9</v>
      </c>
      <c r="G151" s="10" t="n">
        <v>1183.6</v>
      </c>
      <c r="H151" s="10" t="n">
        <f aca="false">H150+D151</f>
        <v>148.2</v>
      </c>
      <c r="J151" s="10" t="n">
        <v>0.7</v>
      </c>
      <c r="K151" s="10" t="n">
        <v>200.5</v>
      </c>
      <c r="L151" s="10" t="n">
        <v>0.9</v>
      </c>
      <c r="M151" s="10" t="n">
        <v>131.4</v>
      </c>
      <c r="N151" s="11" t="n">
        <v>-0.2</v>
      </c>
      <c r="O151" s="10" t="n">
        <f aca="false">O150+N151</f>
        <v>96.1</v>
      </c>
      <c r="P151" s="10" t="n">
        <v>107</v>
      </c>
      <c r="Q151" s="10" t="n">
        <v>1</v>
      </c>
      <c r="R151" s="13" t="n">
        <f aca="false">Q151*L151</f>
        <v>0.9</v>
      </c>
      <c r="S151" s="13" t="n">
        <f aca="false">J151-R151</f>
        <v>-0.2</v>
      </c>
      <c r="T151" s="13" t="n">
        <f aca="false">MIN(153.6,(T150+S151))</f>
        <v>148.237123287671</v>
      </c>
      <c r="V151" s="18" t="n">
        <v>495.2</v>
      </c>
      <c r="W151" s="10" t="n">
        <v>103.166666666667</v>
      </c>
      <c r="X151" s="10" t="n">
        <v>55834.3</v>
      </c>
      <c r="Y151" s="10" t="n">
        <f aca="false">Y150+V151</f>
        <v>4903.2</v>
      </c>
      <c r="AA151" s="23" t="n">
        <v>7.96742162992889</v>
      </c>
    </row>
    <row r="152" s="10" customFormat="true" ht="15" hidden="false" customHeight="false" outlineLevel="0" collapsed="false">
      <c r="A152" s="34"/>
      <c r="B152" s="24"/>
      <c r="C152" s="9" t="n">
        <v>41999</v>
      </c>
      <c r="D152" s="21" t="n">
        <v>3.2</v>
      </c>
      <c r="E152" s="21" t="n">
        <v>1.8</v>
      </c>
      <c r="F152" s="10" t="n">
        <v>5.2</v>
      </c>
      <c r="G152" s="10" t="n">
        <v>1186.8</v>
      </c>
      <c r="H152" s="10" t="n">
        <f aca="false">H151+D152</f>
        <v>151.4</v>
      </c>
      <c r="J152" s="10" t="n">
        <v>15.2</v>
      </c>
      <c r="K152" s="10" t="n">
        <v>215.7</v>
      </c>
      <c r="L152" s="10" t="n">
        <v>0.5</v>
      </c>
      <c r="M152" s="10" t="n">
        <v>131.9</v>
      </c>
      <c r="N152" s="10" t="n">
        <v>14.7</v>
      </c>
      <c r="O152" s="10" t="n">
        <f aca="false">O151+N152</f>
        <v>110.8</v>
      </c>
      <c r="P152" s="10" t="n">
        <v>108</v>
      </c>
      <c r="Q152" s="10" t="n">
        <v>1</v>
      </c>
      <c r="R152" s="13" t="n">
        <f aca="false">Q152*L152</f>
        <v>0.5</v>
      </c>
      <c r="S152" s="13" t="n">
        <f aca="false">J152-R152</f>
        <v>14.7</v>
      </c>
      <c r="T152" s="13" t="n">
        <f aca="false">MIN(153.6,(T151+S152))</f>
        <v>153.6</v>
      </c>
      <c r="V152" s="18" t="n">
        <v>125.7</v>
      </c>
      <c r="W152" s="10" t="n">
        <v>39.28125</v>
      </c>
      <c r="X152" s="10" t="n">
        <v>55960</v>
      </c>
      <c r="Y152" s="10" t="n">
        <f aca="false">Y151+V152</f>
        <v>5028.9</v>
      </c>
      <c r="AA152" s="23" t="n">
        <v>7.97267273521279</v>
      </c>
    </row>
    <row r="153" s="10" customFormat="true" ht="15" hidden="false" customHeight="false" outlineLevel="0" collapsed="false">
      <c r="A153" s="34"/>
      <c r="B153" s="24"/>
      <c r="C153" s="9" t="n">
        <v>42000</v>
      </c>
      <c r="D153" s="21" t="n">
        <v>2.5</v>
      </c>
      <c r="E153" s="21" t="n">
        <v>1.7</v>
      </c>
      <c r="F153" s="21" t="n">
        <v>3.7</v>
      </c>
      <c r="G153" s="10" t="n">
        <v>1189.3</v>
      </c>
      <c r="H153" s="10" t="n">
        <f aca="false">H152+D153</f>
        <v>153.9</v>
      </c>
      <c r="J153" s="10" t="n">
        <v>1.4</v>
      </c>
      <c r="K153" s="10" t="n">
        <v>217.1</v>
      </c>
      <c r="L153" s="10" t="n">
        <v>0.6</v>
      </c>
      <c r="M153" s="10" t="n">
        <v>132.5</v>
      </c>
      <c r="N153" s="10" t="n">
        <v>0.8</v>
      </c>
      <c r="O153" s="10" t="n">
        <f aca="false">O152+N153</f>
        <v>111.6</v>
      </c>
      <c r="P153" s="10" t="n">
        <v>109</v>
      </c>
      <c r="Q153" s="10" t="n">
        <v>1</v>
      </c>
      <c r="R153" s="13" t="n">
        <f aca="false">Q153*L153</f>
        <v>0.6</v>
      </c>
      <c r="S153" s="13" t="n">
        <f aca="false">J153-R153</f>
        <v>0.8</v>
      </c>
      <c r="T153" s="13" t="n">
        <f aca="false">MIN(153.6,(T152+S153))</f>
        <v>153.6</v>
      </c>
      <c r="V153" s="22" t="n">
        <v>60.3</v>
      </c>
      <c r="W153" s="10" t="n">
        <v>24.12</v>
      </c>
      <c r="X153" s="10" t="n">
        <v>56020.3</v>
      </c>
      <c r="Y153" s="10" t="n">
        <f aca="false">Y152+V153</f>
        <v>5089.2</v>
      </c>
      <c r="AA153" s="23" t="n">
        <v>7.97965614506847</v>
      </c>
    </row>
    <row r="154" s="10" customFormat="true" ht="15" hidden="false" customHeight="false" outlineLevel="0" collapsed="false">
      <c r="A154" s="34"/>
      <c r="B154" s="24"/>
      <c r="C154" s="9" t="n">
        <v>42001</v>
      </c>
      <c r="D154" s="36" t="n">
        <v>-1.5</v>
      </c>
      <c r="E154" s="36" t="n">
        <v>-2.2</v>
      </c>
      <c r="F154" s="21" t="n">
        <v>0.3</v>
      </c>
      <c r="G154" s="10" t="n">
        <v>1189.3</v>
      </c>
      <c r="H154" s="10" t="n">
        <v>153.9</v>
      </c>
      <c r="J154" s="10" t="n">
        <v>0</v>
      </c>
      <c r="K154" s="10" t="n">
        <v>217.1</v>
      </c>
      <c r="L154" s="10" t="n">
        <v>1</v>
      </c>
      <c r="M154" s="10" t="n">
        <v>133.5</v>
      </c>
      <c r="N154" s="11" t="n">
        <v>-1</v>
      </c>
      <c r="O154" s="10" t="n">
        <f aca="false">O153+N154</f>
        <v>110.6</v>
      </c>
      <c r="P154" s="10" t="n">
        <v>110</v>
      </c>
      <c r="Q154" s="10" t="n">
        <v>1</v>
      </c>
      <c r="R154" s="13" t="n">
        <f aca="false">Q154*L154</f>
        <v>1</v>
      </c>
      <c r="S154" s="13" t="n">
        <f aca="false">J154-R154</f>
        <v>-1</v>
      </c>
      <c r="T154" s="13" t="n">
        <f aca="false">MIN(153.6,(T153+S154))</f>
        <v>152.6</v>
      </c>
      <c r="V154" s="18" t="n">
        <v>564.5</v>
      </c>
      <c r="W154" s="10" t="n">
        <v>-376.333333333333</v>
      </c>
      <c r="X154" s="10" t="n">
        <v>56584.8</v>
      </c>
      <c r="Y154" s="10" t="n">
        <f aca="false">Y153+V154</f>
        <v>5653.7</v>
      </c>
      <c r="AA154" s="23" t="n">
        <v>7.98836361295121</v>
      </c>
    </row>
    <row r="155" s="10" customFormat="true" ht="15" hidden="false" customHeight="false" outlineLevel="0" collapsed="false">
      <c r="A155" s="34"/>
      <c r="B155" s="24"/>
      <c r="C155" s="9" t="n">
        <v>42002</v>
      </c>
      <c r="D155" s="21" t="n">
        <v>2.2</v>
      </c>
      <c r="E155" s="36" t="n">
        <v>-3.5</v>
      </c>
      <c r="F155" s="21" t="n">
        <v>4.9</v>
      </c>
      <c r="G155" s="10" t="n">
        <v>1191.5</v>
      </c>
      <c r="H155" s="10" t="n">
        <f aca="false">H154+D155</f>
        <v>156.1</v>
      </c>
      <c r="J155" s="10" t="n">
        <v>1</v>
      </c>
      <c r="K155" s="10" t="n">
        <v>218.1</v>
      </c>
      <c r="L155" s="10" t="n">
        <v>0.2</v>
      </c>
      <c r="M155" s="10" t="n">
        <v>133.7</v>
      </c>
      <c r="N155" s="10" t="n">
        <v>0.8</v>
      </c>
      <c r="O155" s="10" t="n">
        <f aca="false">O154+N155</f>
        <v>111.4</v>
      </c>
      <c r="P155" s="10" t="n">
        <v>111</v>
      </c>
      <c r="Q155" s="10" t="n">
        <v>1</v>
      </c>
      <c r="R155" s="13" t="n">
        <f aca="false">Q155*L155</f>
        <v>0.2</v>
      </c>
      <c r="S155" s="13" t="n">
        <f aca="false">J155-R155</f>
        <v>0.8</v>
      </c>
      <c r="T155" s="13" t="n">
        <f aca="false">MIN(153.6,(T154+S155))</f>
        <v>153.4</v>
      </c>
      <c r="V155" s="18" t="n">
        <v>147.3</v>
      </c>
      <c r="W155" s="10" t="n">
        <v>66.9545454545455</v>
      </c>
      <c r="X155" s="10" t="n">
        <v>56732.1</v>
      </c>
      <c r="Y155" s="10" t="n">
        <f aca="false">Y154+V155</f>
        <v>5801</v>
      </c>
      <c r="AA155" s="23" t="n">
        <v>7.99878474905749</v>
      </c>
    </row>
    <row r="156" s="10" customFormat="true" ht="15" hidden="false" customHeight="false" outlineLevel="0" collapsed="false">
      <c r="A156" s="34"/>
      <c r="B156" s="24"/>
      <c r="C156" s="9" t="n">
        <v>42003</v>
      </c>
      <c r="D156" s="21" t="n">
        <v>3</v>
      </c>
      <c r="E156" s="21" t="n">
        <v>1.3</v>
      </c>
      <c r="F156" s="21" t="n">
        <v>4.4</v>
      </c>
      <c r="G156" s="10" t="n">
        <v>1194.5</v>
      </c>
      <c r="H156" s="10" t="n">
        <f aca="false">H155+D156</f>
        <v>159.1</v>
      </c>
      <c r="J156" s="10" t="n">
        <v>0</v>
      </c>
      <c r="K156" s="10" t="n">
        <v>218.1</v>
      </c>
      <c r="L156" s="10" t="n">
        <v>0.5</v>
      </c>
      <c r="M156" s="10" t="n">
        <v>134.2</v>
      </c>
      <c r="N156" s="11" t="n">
        <v>-0.5</v>
      </c>
      <c r="O156" s="10" t="n">
        <f aca="false">O155+N156</f>
        <v>110.9</v>
      </c>
      <c r="P156" s="10" t="n">
        <v>112</v>
      </c>
      <c r="Q156" s="10" t="n">
        <v>1</v>
      </c>
      <c r="R156" s="13" t="n">
        <f aca="false">Q156*L156</f>
        <v>0.5</v>
      </c>
      <c r="S156" s="13" t="n">
        <f aca="false">J156-R156</f>
        <v>-0.5</v>
      </c>
      <c r="T156" s="13" t="n">
        <f aca="false">MIN(153.6,(T155+S156))</f>
        <v>152.9</v>
      </c>
      <c r="V156" s="18" t="n">
        <v>306.2</v>
      </c>
      <c r="W156" s="10" t="n">
        <v>102.066666666667</v>
      </c>
      <c r="X156" s="10" t="n">
        <v>57038.3</v>
      </c>
      <c r="Y156" s="10" t="n">
        <f aca="false">Y155+V156</f>
        <v>6107.2</v>
      </c>
      <c r="AA156" s="23" t="n">
        <v>8.01090706864678</v>
      </c>
    </row>
    <row r="157" s="10" customFormat="true" ht="15" hidden="false" customHeight="false" outlineLevel="0" collapsed="false">
      <c r="A157" s="34"/>
      <c r="B157" s="24"/>
      <c r="C157" s="9" t="n">
        <v>42004</v>
      </c>
      <c r="D157" s="21" t="n">
        <v>3.3</v>
      </c>
      <c r="E157" s="21" t="n">
        <v>2</v>
      </c>
      <c r="F157" s="10" t="n">
        <v>6</v>
      </c>
      <c r="G157" s="10" t="n">
        <v>1197.8</v>
      </c>
      <c r="H157" s="10" t="n">
        <f aca="false">H156+D157</f>
        <v>162.4</v>
      </c>
      <c r="J157" s="10" t="n">
        <v>0</v>
      </c>
      <c r="K157" s="10" t="n">
        <v>218.1</v>
      </c>
      <c r="L157" s="10" t="n">
        <v>0.6</v>
      </c>
      <c r="M157" s="10" t="n">
        <v>134.8</v>
      </c>
      <c r="N157" s="11" t="n">
        <v>-0.6</v>
      </c>
      <c r="O157" s="10" t="n">
        <f aca="false">O156+N157</f>
        <v>110.3</v>
      </c>
      <c r="P157" s="10" t="n">
        <v>113</v>
      </c>
      <c r="Q157" s="10" t="n">
        <v>1</v>
      </c>
      <c r="R157" s="13" t="n">
        <f aca="false">Q157*L157</f>
        <v>0.6</v>
      </c>
      <c r="S157" s="13" t="n">
        <f aca="false">J157-R157</f>
        <v>-0.6</v>
      </c>
      <c r="T157" s="13" t="n">
        <f aca="false">MIN(153.6,(T156+S157))</f>
        <v>152.3</v>
      </c>
      <c r="V157" s="18" t="n">
        <v>156.2</v>
      </c>
      <c r="W157" s="10" t="n">
        <v>47.3333333333333</v>
      </c>
      <c r="X157" s="10" t="n">
        <v>57194.5</v>
      </c>
      <c r="Y157" s="10" t="n">
        <f aca="false">Y156+V157</f>
        <v>6263.4</v>
      </c>
      <c r="AA157" s="23" t="n">
        <v>8.02471604957635</v>
      </c>
    </row>
    <row r="158" s="10" customFormat="true" ht="15" hidden="false" customHeight="false" outlineLevel="0" collapsed="false">
      <c r="A158" s="34"/>
      <c r="B158" s="24"/>
      <c r="C158" s="9" t="n">
        <v>42005</v>
      </c>
      <c r="D158" s="21" t="n">
        <v>2.2</v>
      </c>
      <c r="E158" s="36" t="n">
        <v>-0.5</v>
      </c>
      <c r="F158" s="10" t="n">
        <v>6.9</v>
      </c>
      <c r="G158" s="10" t="n">
        <v>1200</v>
      </c>
      <c r="H158" s="10" t="n">
        <f aca="false">H157+D158</f>
        <v>164.6</v>
      </c>
      <c r="J158" s="10" t="n">
        <v>0.4</v>
      </c>
      <c r="K158" s="10" t="n">
        <v>218.5</v>
      </c>
      <c r="L158" s="10" t="n">
        <v>1</v>
      </c>
      <c r="M158" s="10" t="n">
        <v>135.8</v>
      </c>
      <c r="N158" s="11" t="n">
        <v>-0.6</v>
      </c>
      <c r="O158" s="10" t="n">
        <f aca="false">O157+N158</f>
        <v>109.7</v>
      </c>
      <c r="P158" s="10" t="n">
        <v>114</v>
      </c>
      <c r="Q158" s="10" t="n">
        <v>1</v>
      </c>
      <c r="R158" s="13" t="n">
        <f aca="false">Q158*L158</f>
        <v>1</v>
      </c>
      <c r="S158" s="13" t="n">
        <f aca="false">J158-R158</f>
        <v>-0.6</v>
      </c>
      <c r="T158" s="13" t="n">
        <f aca="false">MIN(153.6,(T157+S158))</f>
        <v>151.7</v>
      </c>
      <c r="V158" s="18" t="n">
        <v>330.3</v>
      </c>
      <c r="W158" s="10" t="n">
        <v>150.136363636364</v>
      </c>
      <c r="X158" s="10" t="n">
        <v>57524.8</v>
      </c>
      <c r="Y158" s="10" t="n">
        <f aca="false">Y157+V158</f>
        <v>6593.7</v>
      </c>
      <c r="AA158" s="23" t="n">
        <v>8.04518664960542</v>
      </c>
    </row>
    <row r="159" s="10" customFormat="true" ht="15" hidden="false" customHeight="false" outlineLevel="0" collapsed="false">
      <c r="A159" s="34"/>
      <c r="B159" s="24"/>
      <c r="C159" s="9" t="n">
        <v>42006</v>
      </c>
      <c r="D159" s="10" t="n">
        <v>5.6</v>
      </c>
      <c r="E159" s="21" t="n">
        <v>3.1</v>
      </c>
      <c r="F159" s="10" t="n">
        <v>8.9</v>
      </c>
      <c r="G159" s="10" t="n">
        <v>1205.6</v>
      </c>
      <c r="H159" s="10" t="n">
        <f aca="false">H158+D159</f>
        <v>170.2</v>
      </c>
      <c r="J159" s="10" t="n">
        <v>0.6</v>
      </c>
      <c r="K159" s="10" t="n">
        <v>219.1</v>
      </c>
      <c r="L159" s="10" t="n">
        <v>1</v>
      </c>
      <c r="M159" s="10" t="n">
        <v>136.8</v>
      </c>
      <c r="N159" s="11" t="n">
        <v>-0.4</v>
      </c>
      <c r="O159" s="10" t="n">
        <f aca="false">O158+N159</f>
        <v>109.3</v>
      </c>
      <c r="P159" s="10" t="n">
        <v>115</v>
      </c>
      <c r="Q159" s="10" t="n">
        <v>1</v>
      </c>
      <c r="R159" s="13" t="n">
        <f aca="false">Q159*L159</f>
        <v>1</v>
      </c>
      <c r="S159" s="13" t="n">
        <f aca="false">J159-R159</f>
        <v>-0.4</v>
      </c>
      <c r="T159" s="13" t="n">
        <f aca="false">MIN(153.6,(T158+S159))</f>
        <v>151.3</v>
      </c>
      <c r="V159" s="18" t="n">
        <v>308.2</v>
      </c>
      <c r="W159" s="10" t="n">
        <v>55.0357142857143</v>
      </c>
      <c r="X159" s="10" t="n">
        <v>57833</v>
      </c>
      <c r="Y159" s="10" t="n">
        <f aca="false">Y158+V159</f>
        <v>6901.9</v>
      </c>
      <c r="AA159" s="23" t="n">
        <v>8.06281165656341</v>
      </c>
    </row>
    <row r="160" s="10" customFormat="true" ht="15" hidden="false" customHeight="false" outlineLevel="0" collapsed="false">
      <c r="A160" s="34"/>
      <c r="B160" s="24"/>
      <c r="C160" s="9" t="n">
        <v>42007</v>
      </c>
      <c r="D160" s="21" t="n">
        <v>3.6</v>
      </c>
      <c r="E160" s="21" t="n">
        <v>3.1</v>
      </c>
      <c r="F160" s="21" t="n">
        <v>4.2</v>
      </c>
      <c r="G160" s="10" t="n">
        <v>1209.2</v>
      </c>
      <c r="H160" s="10" t="n">
        <f aca="false">H159+D160</f>
        <v>173.8</v>
      </c>
      <c r="J160" s="10" t="n">
        <v>10.2</v>
      </c>
      <c r="K160" s="10" t="n">
        <v>229.3</v>
      </c>
      <c r="L160" s="10" t="n">
        <v>0.3</v>
      </c>
      <c r="M160" s="10" t="n">
        <v>137.1</v>
      </c>
      <c r="N160" s="10" t="n">
        <v>9.9</v>
      </c>
      <c r="O160" s="10" t="n">
        <f aca="false">O159+N160</f>
        <v>119.2</v>
      </c>
      <c r="P160" s="10" t="n">
        <v>116</v>
      </c>
      <c r="Q160" s="10" t="n">
        <v>1</v>
      </c>
      <c r="R160" s="13" t="n">
        <f aca="false">Q160*L160</f>
        <v>0.3</v>
      </c>
      <c r="S160" s="13" t="n">
        <f aca="false">J160-R160</f>
        <v>9.9</v>
      </c>
      <c r="T160" s="13" t="n">
        <f aca="false">MIN(153.6,(T159+S160))</f>
        <v>153.6</v>
      </c>
      <c r="V160" s="22" t="n">
        <v>61.7</v>
      </c>
      <c r="W160" s="10" t="n">
        <v>17.1388888888889</v>
      </c>
      <c r="X160" s="10" t="n">
        <v>57894.7</v>
      </c>
      <c r="Y160" s="10" t="n">
        <f aca="false">Y159+V160</f>
        <v>6963.6</v>
      </c>
      <c r="AA160" s="23" t="n">
        <v>8.0820618009672</v>
      </c>
    </row>
    <row r="161" s="10" customFormat="true" ht="15" hidden="false" customHeight="false" outlineLevel="0" collapsed="false">
      <c r="A161" s="34"/>
      <c r="B161" s="24"/>
      <c r="C161" s="9" t="n">
        <v>42008</v>
      </c>
      <c r="D161" s="21" t="n">
        <v>1.9</v>
      </c>
      <c r="E161" s="21" t="n">
        <v>0.5</v>
      </c>
      <c r="F161" s="10" t="n">
        <v>5.1</v>
      </c>
      <c r="G161" s="10" t="n">
        <v>1211.1</v>
      </c>
      <c r="H161" s="10" t="n">
        <f aca="false">H160+D161</f>
        <v>175.7</v>
      </c>
      <c r="J161" s="10" t="n">
        <v>0</v>
      </c>
      <c r="K161" s="10" t="n">
        <v>229.3</v>
      </c>
      <c r="L161" s="10" t="n">
        <v>0.5</v>
      </c>
      <c r="M161" s="10" t="n">
        <v>137.6</v>
      </c>
      <c r="N161" s="11" t="n">
        <v>-0.5</v>
      </c>
      <c r="O161" s="10" t="n">
        <f aca="false">O160+N161</f>
        <v>118.7</v>
      </c>
      <c r="P161" s="10" t="n">
        <v>117</v>
      </c>
      <c r="Q161" s="10" t="n">
        <v>1</v>
      </c>
      <c r="R161" s="13" t="n">
        <f aca="false">Q161*L161</f>
        <v>0.5</v>
      </c>
      <c r="S161" s="13" t="n">
        <f aca="false">J161-R161</f>
        <v>-0.5</v>
      </c>
      <c r="T161" s="13" t="n">
        <f aca="false">MIN(153.6,(T160+S161))</f>
        <v>153.1</v>
      </c>
      <c r="V161" s="18" t="n">
        <v>469.5</v>
      </c>
      <c r="W161" s="10" t="n">
        <v>247.105263157895</v>
      </c>
      <c r="X161" s="10" t="n">
        <v>58364.2</v>
      </c>
      <c r="Y161" s="10" t="n">
        <f aca="false">Y160+V161</f>
        <v>7433.1</v>
      </c>
      <c r="AA161" s="23" t="n">
        <v>8.10291464734205</v>
      </c>
    </row>
    <row r="162" s="10" customFormat="true" ht="15" hidden="false" customHeight="false" outlineLevel="0" collapsed="false">
      <c r="A162" s="34"/>
      <c r="B162" s="24"/>
      <c r="C162" s="9" t="n">
        <v>42009</v>
      </c>
      <c r="D162" s="21" t="n">
        <v>0.5</v>
      </c>
      <c r="E162" s="36" t="n">
        <v>-0.9</v>
      </c>
      <c r="F162" s="21" t="n">
        <v>3.5</v>
      </c>
      <c r="G162" s="10" t="n">
        <v>1211.6</v>
      </c>
      <c r="H162" s="10" t="n">
        <f aca="false">H161+D162</f>
        <v>176.2</v>
      </c>
      <c r="J162" s="10" t="n">
        <v>0.1</v>
      </c>
      <c r="K162" s="10" t="n">
        <v>229.4</v>
      </c>
      <c r="L162" s="10" t="n">
        <v>0.6</v>
      </c>
      <c r="M162" s="10" t="n">
        <v>138.2</v>
      </c>
      <c r="N162" s="11" t="n">
        <v>-0.5</v>
      </c>
      <c r="O162" s="10" t="n">
        <f aca="false">O161+N162</f>
        <v>118.2</v>
      </c>
      <c r="P162" s="10" t="n">
        <v>118</v>
      </c>
      <c r="Q162" s="10" t="n">
        <v>1</v>
      </c>
      <c r="R162" s="13" t="n">
        <f aca="false">Q162*L162</f>
        <v>0.6</v>
      </c>
      <c r="S162" s="13" t="n">
        <f aca="false">J162-R162</f>
        <v>-0.5</v>
      </c>
      <c r="T162" s="13" t="n">
        <f aca="false">MIN(153.6,(T161+S162))</f>
        <v>152.6</v>
      </c>
      <c r="V162" s="18" t="n">
        <v>217.5</v>
      </c>
      <c r="W162" s="10" t="n">
        <v>435</v>
      </c>
      <c r="X162" s="10" t="n">
        <v>58581.7</v>
      </c>
      <c r="Y162" s="10" t="n">
        <f aca="false">Y161+V162</f>
        <v>7650.6</v>
      </c>
      <c r="AA162" s="23" t="n">
        <v>8.12534615634364</v>
      </c>
    </row>
    <row r="163" s="10" customFormat="true" ht="15" hidden="false" customHeight="false" outlineLevel="0" collapsed="false">
      <c r="A163" s="34"/>
      <c r="B163" s="24"/>
      <c r="C163" s="9" t="n">
        <v>42010</v>
      </c>
      <c r="D163" s="21" t="n">
        <v>0.9</v>
      </c>
      <c r="E163" s="36" t="n">
        <v>-1.1</v>
      </c>
      <c r="F163" s="21" t="n">
        <v>3.2</v>
      </c>
      <c r="G163" s="10" t="n">
        <v>1212.5</v>
      </c>
      <c r="H163" s="10" t="n">
        <f aca="false">H162+D163</f>
        <v>177.1</v>
      </c>
      <c r="J163" s="10" t="n">
        <v>0</v>
      </c>
      <c r="K163" s="10" t="n">
        <v>229.4</v>
      </c>
      <c r="L163" s="10" t="n">
        <v>0.1</v>
      </c>
      <c r="M163" s="10" t="n">
        <v>138.3</v>
      </c>
      <c r="N163" s="11" t="n">
        <v>-0.1</v>
      </c>
      <c r="O163" s="10" t="n">
        <f aca="false">O162+N163</f>
        <v>118.1</v>
      </c>
      <c r="P163" s="10" t="n">
        <v>119</v>
      </c>
      <c r="Q163" s="10" t="n">
        <v>1</v>
      </c>
      <c r="R163" s="13" t="n">
        <f aca="false">Q163*L163</f>
        <v>0.1</v>
      </c>
      <c r="S163" s="13" t="n">
        <f aca="false">J163-R163</f>
        <v>-0.1</v>
      </c>
      <c r="T163" s="13" t="n">
        <f aca="false">MIN(153.6,(T162+S163))</f>
        <v>152.5</v>
      </c>
      <c r="V163" s="18" t="n">
        <v>108.6</v>
      </c>
      <c r="W163" s="10" t="n">
        <v>120.666666666667</v>
      </c>
      <c r="X163" s="10" t="n">
        <v>58690.3</v>
      </c>
      <c r="Y163" s="10" t="n">
        <f aca="false">Y162+V163</f>
        <v>7759.2</v>
      </c>
      <c r="AA163" s="23" t="n">
        <v>8.14933078511595</v>
      </c>
    </row>
    <row r="164" s="10" customFormat="true" ht="15" hidden="false" customHeight="false" outlineLevel="0" collapsed="false">
      <c r="A164" s="34"/>
      <c r="B164" s="24"/>
      <c r="C164" s="9" t="n">
        <v>42011</v>
      </c>
      <c r="D164" s="21" t="n">
        <v>2.7</v>
      </c>
      <c r="E164" s="36" t="n">
        <v>-0.4</v>
      </c>
      <c r="F164" s="10" t="n">
        <v>7</v>
      </c>
      <c r="G164" s="10" t="n">
        <v>1215.2</v>
      </c>
      <c r="H164" s="10" t="n">
        <f aca="false">H163+D164</f>
        <v>179.8</v>
      </c>
      <c r="J164" s="10" t="n">
        <v>2.4</v>
      </c>
      <c r="K164" s="10" t="n">
        <v>231.8</v>
      </c>
      <c r="L164" s="10" t="n">
        <v>0.7</v>
      </c>
      <c r="M164" s="10" t="n">
        <v>139</v>
      </c>
      <c r="N164" s="10" t="n">
        <v>1.7</v>
      </c>
      <c r="O164" s="10" t="n">
        <f aca="false">O163+N164</f>
        <v>119.8</v>
      </c>
      <c r="P164" s="10" t="n">
        <v>120</v>
      </c>
      <c r="Q164" s="10" t="n">
        <v>1</v>
      </c>
      <c r="R164" s="13" t="n">
        <f aca="false">Q164*L164</f>
        <v>0.7</v>
      </c>
      <c r="S164" s="13" t="n">
        <f aca="false">J164-R164</f>
        <v>1.7</v>
      </c>
      <c r="T164" s="13" t="n">
        <f aca="false">MIN(153.6,(T163+S164))</f>
        <v>153.6</v>
      </c>
      <c r="V164" s="18" t="n">
        <v>322.5</v>
      </c>
      <c r="W164" s="10" t="n">
        <v>119.444444444444</v>
      </c>
      <c r="X164" s="10" t="n">
        <v>59012.8</v>
      </c>
      <c r="Y164" s="10" t="n">
        <f aca="false">Y163+V164</f>
        <v>8081.7</v>
      </c>
      <c r="AA164" s="23" t="n">
        <v>8.17484159157892</v>
      </c>
    </row>
    <row r="165" s="10" customFormat="true" ht="15" hidden="false" customHeight="false" outlineLevel="0" collapsed="false">
      <c r="A165" s="34"/>
      <c r="B165" s="24"/>
      <c r="C165" s="9" t="n">
        <v>42012</v>
      </c>
      <c r="D165" s="21" t="n">
        <v>7.3</v>
      </c>
      <c r="E165" s="21" t="n">
        <v>3.3</v>
      </c>
      <c r="F165" s="10" t="n">
        <v>9.3</v>
      </c>
      <c r="G165" s="10" t="n">
        <v>1222.5</v>
      </c>
      <c r="H165" s="10" t="n">
        <f aca="false">H164+D165</f>
        <v>187.1</v>
      </c>
      <c r="J165" s="10" t="n">
        <v>13.7</v>
      </c>
      <c r="K165" s="10" t="n">
        <v>245.5</v>
      </c>
      <c r="L165" s="10" t="n">
        <v>0.2</v>
      </c>
      <c r="M165" s="10" t="n">
        <v>139.2</v>
      </c>
      <c r="N165" s="10" t="n">
        <v>13.5</v>
      </c>
      <c r="O165" s="10" t="n">
        <f aca="false">O164+N165</f>
        <v>133.3</v>
      </c>
      <c r="P165" s="10" t="n">
        <v>121</v>
      </c>
      <c r="Q165" s="10" t="n">
        <v>1</v>
      </c>
      <c r="R165" s="13" t="n">
        <f aca="false">Q165*L165</f>
        <v>0.2</v>
      </c>
      <c r="S165" s="13" t="n">
        <f aca="false">J165-R165</f>
        <v>13.5</v>
      </c>
      <c r="T165" s="13" t="n">
        <f aca="false">MIN(153.6,(T164+S165))</f>
        <v>153.6</v>
      </c>
      <c r="V165" s="22" t="n">
        <v>69.5</v>
      </c>
      <c r="W165" s="10" t="n">
        <v>9.52054794520548</v>
      </c>
      <c r="X165" s="10" t="n">
        <v>59082.3</v>
      </c>
      <c r="Y165" s="10" t="n">
        <f aca="false">Y164+V165</f>
        <v>8151.2</v>
      </c>
      <c r="AA165" s="23" t="n">
        <v>8.20185034181039</v>
      </c>
    </row>
    <row r="166" s="10" customFormat="true" ht="15" hidden="false" customHeight="false" outlineLevel="0" collapsed="false">
      <c r="A166" s="34"/>
      <c r="B166" s="16"/>
      <c r="C166" s="9" t="n">
        <v>42013</v>
      </c>
      <c r="D166" s="10" t="n">
        <v>10.7</v>
      </c>
      <c r="E166" s="10" t="n">
        <v>6.5</v>
      </c>
      <c r="F166" s="10" t="n">
        <v>13.6</v>
      </c>
      <c r="G166" s="10" t="n">
        <v>1233.2</v>
      </c>
      <c r="H166" s="10" t="n">
        <f aca="false">H165+D166</f>
        <v>197.8</v>
      </c>
      <c r="J166" s="10" t="n">
        <v>0.3</v>
      </c>
      <c r="K166" s="10" t="n">
        <v>245.8</v>
      </c>
      <c r="L166" s="10" t="n">
        <v>0.5</v>
      </c>
      <c r="M166" s="10" t="n">
        <v>139.7</v>
      </c>
      <c r="N166" s="11" t="n">
        <v>-0.2</v>
      </c>
      <c r="O166" s="10" t="n">
        <f aca="false">O165+N166</f>
        <v>133.1</v>
      </c>
      <c r="P166" s="10" t="n">
        <v>122</v>
      </c>
      <c r="Q166" s="10" t="n">
        <v>1</v>
      </c>
      <c r="R166" s="13" t="n">
        <f aca="false">Q166*L166</f>
        <v>0.5</v>
      </c>
      <c r="S166" s="13" t="n">
        <f aca="false">J166-R166</f>
        <v>-0.2</v>
      </c>
      <c r="T166" s="13" t="n">
        <f aca="false">MIN(153.6,(T165+S166))</f>
        <v>153.4</v>
      </c>
      <c r="V166" s="22" t="n">
        <v>57</v>
      </c>
      <c r="W166" s="10" t="n">
        <v>5.32710280373832</v>
      </c>
      <c r="X166" s="10" t="n">
        <v>59139.3</v>
      </c>
      <c r="Y166" s="10" t="n">
        <f aca="false">Y165+V166</f>
        <v>8208.2</v>
      </c>
      <c r="AA166" s="23" t="n">
        <v>8.23032761969451</v>
      </c>
    </row>
    <row r="167" s="10" customFormat="true" ht="15" hidden="false" customHeight="false" outlineLevel="0" collapsed="false">
      <c r="A167" s="34"/>
      <c r="B167" s="16"/>
      <c r="C167" s="9" t="n">
        <v>42014</v>
      </c>
      <c r="D167" s="10" t="n">
        <v>10.4</v>
      </c>
      <c r="E167" s="10" t="n">
        <v>8.5</v>
      </c>
      <c r="F167" s="10" t="n">
        <v>12.8</v>
      </c>
      <c r="G167" s="10" t="n">
        <v>1243.6</v>
      </c>
      <c r="H167" s="10" t="n">
        <f aca="false">H166+D167</f>
        <v>208.2</v>
      </c>
      <c r="J167" s="10" t="n">
        <v>1</v>
      </c>
      <c r="K167" s="10" t="n">
        <v>246.8</v>
      </c>
      <c r="L167" s="10" t="n">
        <v>1.1</v>
      </c>
      <c r="M167" s="10" t="n">
        <v>140.8</v>
      </c>
      <c r="N167" s="11" t="n">
        <v>-0.1</v>
      </c>
      <c r="O167" s="10" t="n">
        <f aca="false">O166+N167</f>
        <v>133</v>
      </c>
      <c r="P167" s="10" t="n">
        <v>123</v>
      </c>
      <c r="Q167" s="10" t="n">
        <v>1</v>
      </c>
      <c r="R167" s="13" t="n">
        <f aca="false">Q167*L167</f>
        <v>1.1</v>
      </c>
      <c r="S167" s="13" t="n">
        <f aca="false">J167-R167</f>
        <v>-0.1</v>
      </c>
      <c r="T167" s="13" t="n">
        <f aca="false">MIN(153.6,(T166+S167))</f>
        <v>153.3</v>
      </c>
      <c r="V167" s="22" t="n">
        <v>90.7</v>
      </c>
      <c r="W167" s="10" t="n">
        <v>8.72115384615385</v>
      </c>
      <c r="X167" s="10" t="n">
        <v>59230</v>
      </c>
      <c r="Y167" s="10" t="n">
        <f aca="false">Y166+V167</f>
        <v>8298.9</v>
      </c>
      <c r="AA167" s="23" t="n">
        <v>8.26024293802581</v>
      </c>
    </row>
    <row r="168" s="10" customFormat="true" ht="15" hidden="false" customHeight="false" outlineLevel="0" collapsed="false">
      <c r="A168" s="34"/>
      <c r="B168" s="24"/>
      <c r="C168" s="9" t="n">
        <v>42015</v>
      </c>
      <c r="D168" s="10" t="n">
        <v>6.2</v>
      </c>
      <c r="E168" s="21" t="n">
        <v>3.7</v>
      </c>
      <c r="F168" s="10" t="n">
        <v>7.5</v>
      </c>
      <c r="G168" s="10" t="n">
        <v>1249.8</v>
      </c>
      <c r="H168" s="10" t="n">
        <f aca="false">H167+D168</f>
        <v>214.4</v>
      </c>
      <c r="J168" s="10" t="n">
        <v>2.8</v>
      </c>
      <c r="K168" s="10" t="n">
        <v>249.6</v>
      </c>
      <c r="L168" s="10" t="n">
        <v>1.2</v>
      </c>
      <c r="M168" s="10" t="n">
        <v>142</v>
      </c>
      <c r="N168" s="10" t="n">
        <v>1.6</v>
      </c>
      <c r="O168" s="10" t="n">
        <f aca="false">O167+N168</f>
        <v>134.6</v>
      </c>
      <c r="P168" s="10" t="n">
        <v>124</v>
      </c>
      <c r="Q168" s="10" t="n">
        <v>1</v>
      </c>
      <c r="R168" s="13" t="n">
        <f aca="false">Q168*L168</f>
        <v>1.2</v>
      </c>
      <c r="S168" s="13" t="n">
        <f aca="false">J168-R168</f>
        <v>1.6</v>
      </c>
      <c r="T168" s="13" t="n">
        <f aca="false">MIN(153.6,(T167+S168))</f>
        <v>153.6</v>
      </c>
      <c r="V168" s="18" t="n">
        <v>462.8</v>
      </c>
      <c r="W168" s="10" t="n">
        <v>74.6451612903226</v>
      </c>
      <c r="X168" s="10" t="n">
        <v>59692.8</v>
      </c>
      <c r="Y168" s="10" t="n">
        <f aca="false">Y167+V168</f>
        <v>8761.7</v>
      </c>
      <c r="AA168" s="23" t="n">
        <v>8.29156485028449</v>
      </c>
    </row>
    <row r="169" s="10" customFormat="true" ht="15" hidden="false" customHeight="false" outlineLevel="0" collapsed="false">
      <c r="A169" s="34"/>
      <c r="B169" s="16"/>
      <c r="C169" s="9" t="n">
        <v>42016</v>
      </c>
      <c r="D169" s="10" t="n">
        <v>8.2</v>
      </c>
      <c r="E169" s="10" t="n">
        <v>6.9</v>
      </c>
      <c r="F169" s="10" t="n">
        <v>10.2</v>
      </c>
      <c r="G169" s="10" t="n">
        <v>1258</v>
      </c>
      <c r="H169" s="10" t="n">
        <f aca="false">H168+D169</f>
        <v>222.6</v>
      </c>
      <c r="J169" s="10" t="n">
        <v>0</v>
      </c>
      <c r="K169" s="10" t="n">
        <v>249.6</v>
      </c>
      <c r="L169" s="10" t="n">
        <v>1.2</v>
      </c>
      <c r="M169" s="10" t="n">
        <v>143.2</v>
      </c>
      <c r="N169" s="11" t="n">
        <v>-1.2</v>
      </c>
      <c r="O169" s="10" t="n">
        <f aca="false">O168+N169</f>
        <v>133.4</v>
      </c>
      <c r="P169" s="10" t="n">
        <v>125</v>
      </c>
      <c r="Q169" s="10" t="n">
        <v>1</v>
      </c>
      <c r="R169" s="13" t="n">
        <f aca="false">Q169*L169</f>
        <v>1.2</v>
      </c>
      <c r="S169" s="13" t="n">
        <f aca="false">J169-R169</f>
        <v>-1.2</v>
      </c>
      <c r="T169" s="13" t="n">
        <f aca="false">MIN(153.6,(T168+S169))</f>
        <v>152.4</v>
      </c>
      <c r="V169" s="22" t="n">
        <v>76.1</v>
      </c>
      <c r="W169" s="10" t="n">
        <v>9.28048780487805</v>
      </c>
      <c r="X169" s="10" t="n">
        <v>59768.9</v>
      </c>
      <c r="Y169" s="10" t="n">
        <f aca="false">Y168+V169</f>
        <v>8837.8</v>
      </c>
      <c r="AA169" s="23" t="n">
        <v>8.32426106233243</v>
      </c>
    </row>
    <row r="170" s="10" customFormat="true" ht="15" hidden="false" customHeight="false" outlineLevel="0" collapsed="false">
      <c r="A170" s="34"/>
      <c r="B170" s="16"/>
      <c r="C170" s="9" t="n">
        <v>42017</v>
      </c>
      <c r="D170" s="10" t="n">
        <v>8.6</v>
      </c>
      <c r="E170" s="10" t="n">
        <v>8.3</v>
      </c>
      <c r="F170" s="10" t="n">
        <v>9.9</v>
      </c>
      <c r="G170" s="10" t="n">
        <v>1266.6</v>
      </c>
      <c r="H170" s="10" t="n">
        <f aca="false">H169+D170</f>
        <v>231.2</v>
      </c>
      <c r="J170" s="10" t="n">
        <v>10.5</v>
      </c>
      <c r="K170" s="10" t="n">
        <v>260.1</v>
      </c>
      <c r="L170" s="10" t="n">
        <v>0.9</v>
      </c>
      <c r="M170" s="10" t="n">
        <v>144.1</v>
      </c>
      <c r="N170" s="10" t="n">
        <v>9.6</v>
      </c>
      <c r="O170" s="10" t="n">
        <f aca="false">O169+N170</f>
        <v>143</v>
      </c>
      <c r="P170" s="10" t="n">
        <v>126</v>
      </c>
      <c r="Q170" s="10" t="n">
        <v>1</v>
      </c>
      <c r="R170" s="13" t="n">
        <f aca="false">Q170*L170</f>
        <v>0.9</v>
      </c>
      <c r="S170" s="13" t="n">
        <f aca="false">J170-R170</f>
        <v>9.6</v>
      </c>
      <c r="T170" s="13" t="n">
        <f aca="false">MIN(153.6,(T169+S170))</f>
        <v>153.6</v>
      </c>
      <c r="V170" s="22" t="n">
        <v>92.6</v>
      </c>
      <c r="W170" s="10" t="n">
        <v>10.7674418604651</v>
      </c>
      <c r="X170" s="10" t="n">
        <v>59861.5</v>
      </c>
      <c r="Y170" s="10" t="n">
        <f aca="false">Y169+V170</f>
        <v>8930.4</v>
      </c>
      <c r="AA170" s="23" t="n">
        <v>8.35829854332072</v>
      </c>
    </row>
    <row r="171" s="10" customFormat="true" ht="15" hidden="false" customHeight="false" outlineLevel="0" collapsed="false">
      <c r="A171" s="34"/>
      <c r="B171" s="24"/>
      <c r="C171" s="9" t="n">
        <v>42018</v>
      </c>
      <c r="D171" s="10" t="n">
        <v>4.6</v>
      </c>
      <c r="E171" s="21" t="n">
        <v>3.3</v>
      </c>
      <c r="F171" s="10" t="n">
        <v>9.8</v>
      </c>
      <c r="G171" s="10" t="n">
        <v>1271.2</v>
      </c>
      <c r="H171" s="10" t="n">
        <f aca="false">H170+D171</f>
        <v>235.8</v>
      </c>
      <c r="J171" s="10" t="n">
        <v>7.8</v>
      </c>
      <c r="K171" s="10" t="n">
        <v>267.9</v>
      </c>
      <c r="L171" s="10" t="n">
        <v>1.4</v>
      </c>
      <c r="M171" s="10" t="n">
        <v>145.5</v>
      </c>
      <c r="N171" s="10" t="n">
        <v>6.4</v>
      </c>
      <c r="O171" s="10" t="n">
        <v>153.6</v>
      </c>
      <c r="P171" s="10" t="n">
        <v>127</v>
      </c>
      <c r="Q171" s="10" t="n">
        <v>1</v>
      </c>
      <c r="R171" s="13" t="n">
        <f aca="false">Q171*L171</f>
        <v>1.4</v>
      </c>
      <c r="S171" s="13" t="n">
        <f aca="false">J171-R171</f>
        <v>6.4</v>
      </c>
      <c r="T171" s="13" t="n">
        <f aca="false">MIN(153.6,(T170+S171))</f>
        <v>153.6</v>
      </c>
      <c r="V171" s="18" t="n">
        <v>304</v>
      </c>
      <c r="W171" s="10" t="n">
        <v>66.0869565217391</v>
      </c>
      <c r="X171" s="10" t="n">
        <v>60165.5</v>
      </c>
      <c r="Y171" s="10" t="n">
        <f aca="false">Y170+V171</f>
        <v>9234.4</v>
      </c>
      <c r="AA171" s="23" t="n">
        <v>8.39364363514614</v>
      </c>
    </row>
    <row r="172" s="10" customFormat="true" ht="15" hidden="false" customHeight="false" outlineLevel="0" collapsed="false">
      <c r="A172" s="34"/>
      <c r="B172" s="16"/>
      <c r="C172" s="9" t="n">
        <v>42019</v>
      </c>
      <c r="D172" s="10" t="n">
        <v>8.1</v>
      </c>
      <c r="E172" s="10" t="n">
        <v>5.5</v>
      </c>
      <c r="F172" s="10" t="n">
        <v>9.5</v>
      </c>
      <c r="G172" s="10" t="n">
        <v>1279.3</v>
      </c>
      <c r="H172" s="10" t="n">
        <f aca="false">H171+D172</f>
        <v>243.9</v>
      </c>
      <c r="J172" s="10" t="n">
        <v>3.1</v>
      </c>
      <c r="K172" s="10" t="n">
        <v>271</v>
      </c>
      <c r="L172" s="10" t="n">
        <v>0.8</v>
      </c>
      <c r="M172" s="10" t="n">
        <v>146.3</v>
      </c>
      <c r="N172" s="10" t="n">
        <v>2.3</v>
      </c>
      <c r="O172" s="10" t="n">
        <v>153.6</v>
      </c>
      <c r="P172" s="10" t="n">
        <v>128</v>
      </c>
      <c r="Q172" s="10" t="n">
        <v>1</v>
      </c>
      <c r="R172" s="13" t="n">
        <f aca="false">Q172*L172</f>
        <v>0.8</v>
      </c>
      <c r="S172" s="13" t="n">
        <f aca="false">J172-R172</f>
        <v>2.3</v>
      </c>
      <c r="T172" s="13" t="n">
        <f aca="false">MIN(153.6,(T171+S172))</f>
        <v>153.6</v>
      </c>
      <c r="V172" s="22" t="n">
        <v>81.4</v>
      </c>
      <c r="W172" s="10" t="n">
        <v>10.0493827160494</v>
      </c>
      <c r="X172" s="10" t="n">
        <v>60246.9</v>
      </c>
      <c r="Y172" s="10" t="n">
        <f aca="false">Y171+V172</f>
        <v>9315.8</v>
      </c>
      <c r="AA172" s="23" t="n">
        <v>8.43026215984552</v>
      </c>
    </row>
    <row r="173" s="10" customFormat="true" ht="15" hidden="false" customHeight="false" outlineLevel="0" collapsed="false">
      <c r="A173" s="34"/>
      <c r="B173" s="24"/>
      <c r="C173" s="9" t="n">
        <v>42020</v>
      </c>
      <c r="D173" s="21" t="n">
        <v>5</v>
      </c>
      <c r="E173" s="21" t="n">
        <v>3.7</v>
      </c>
      <c r="F173" s="10" t="n">
        <v>8</v>
      </c>
      <c r="G173" s="10" t="n">
        <v>1284.3</v>
      </c>
      <c r="H173" s="10" t="n">
        <f aca="false">H172+D173</f>
        <v>248.9</v>
      </c>
      <c r="J173" s="10" t="n">
        <v>0.1</v>
      </c>
      <c r="K173" s="10" t="n">
        <v>271.1</v>
      </c>
      <c r="L173" s="10" t="n">
        <v>1</v>
      </c>
      <c r="M173" s="10" t="n">
        <v>147.3</v>
      </c>
      <c r="N173" s="11" t="n">
        <v>-0.9</v>
      </c>
      <c r="O173" s="10" t="n">
        <f aca="false">O172+N173</f>
        <v>152.7</v>
      </c>
      <c r="P173" s="10" t="n">
        <v>129</v>
      </c>
      <c r="Q173" s="10" t="n">
        <v>1</v>
      </c>
      <c r="R173" s="13" t="n">
        <f aca="false">Q173*L173</f>
        <v>1</v>
      </c>
      <c r="S173" s="13" t="n">
        <f aca="false">J173-R173</f>
        <v>-0.9</v>
      </c>
      <c r="T173" s="13" t="n">
        <f aca="false">MIN(153.6,(T172+S173))</f>
        <v>152.7</v>
      </c>
      <c r="V173" s="18" t="n">
        <v>546.7</v>
      </c>
      <c r="W173" s="10" t="n">
        <v>109.34</v>
      </c>
      <c r="X173" s="10" t="n">
        <v>60793.6</v>
      </c>
      <c r="Y173" s="10" t="n">
        <f aca="false">Y172+V173</f>
        <v>9862.5</v>
      </c>
      <c r="AA173" s="23" t="n">
        <v>8.46811952437174</v>
      </c>
    </row>
    <row r="174" s="10" customFormat="true" ht="15" hidden="false" customHeight="false" outlineLevel="0" collapsed="false">
      <c r="A174" s="34"/>
      <c r="B174" s="24"/>
      <c r="C174" s="9" t="n">
        <v>42021</v>
      </c>
      <c r="D174" s="21" t="n">
        <v>2.7</v>
      </c>
      <c r="E174" s="36" t="n">
        <v>-0.3</v>
      </c>
      <c r="F174" s="21" t="n">
        <v>5</v>
      </c>
      <c r="G174" s="10" t="n">
        <v>1287</v>
      </c>
      <c r="H174" s="10" t="n">
        <f aca="false">H173+D174</f>
        <v>251.6</v>
      </c>
      <c r="J174" s="10" t="n">
        <v>1.6</v>
      </c>
      <c r="K174" s="10" t="n">
        <v>272.7</v>
      </c>
      <c r="L174" s="10" t="n">
        <v>0.8</v>
      </c>
      <c r="M174" s="10" t="n">
        <v>148.1</v>
      </c>
      <c r="N174" s="10" t="n">
        <v>0.8</v>
      </c>
      <c r="O174" s="10" t="n">
        <f aca="false">O173+N174</f>
        <v>153.5</v>
      </c>
      <c r="P174" s="10" t="n">
        <v>130</v>
      </c>
      <c r="Q174" s="10" t="n">
        <v>1</v>
      </c>
      <c r="R174" s="13" t="n">
        <f aca="false">Q174*L174</f>
        <v>0.8</v>
      </c>
      <c r="S174" s="13" t="n">
        <f aca="false">J174-R174</f>
        <v>0.8</v>
      </c>
      <c r="T174" s="13" t="n">
        <f aca="false">MIN(153.6,(T173+S174))</f>
        <v>153.5</v>
      </c>
      <c r="V174" s="18" t="n">
        <v>565.2</v>
      </c>
      <c r="W174" s="10" t="n">
        <v>209.333333333333</v>
      </c>
      <c r="X174" s="10" t="n">
        <v>61358.8</v>
      </c>
      <c r="Y174" s="10" t="n">
        <f aca="false">Y173+V174</f>
        <v>10427.7</v>
      </c>
      <c r="AA174" s="23" t="n">
        <v>8.50718082225267</v>
      </c>
    </row>
    <row r="175" s="10" customFormat="true" ht="15" hidden="false" customHeight="false" outlineLevel="0" collapsed="false">
      <c r="A175" s="34"/>
      <c r="B175" s="24"/>
      <c r="C175" s="9" t="n">
        <v>42022</v>
      </c>
      <c r="D175" s="21" t="n">
        <v>2.8</v>
      </c>
      <c r="E175" s="21" t="n">
        <v>2.5</v>
      </c>
      <c r="F175" s="21" t="n">
        <v>4</v>
      </c>
      <c r="G175" s="10" t="n">
        <v>1289.8</v>
      </c>
      <c r="H175" s="10" t="n">
        <f aca="false">H174+D175</f>
        <v>254.4</v>
      </c>
      <c r="J175" s="10" t="n">
        <v>6.8</v>
      </c>
      <c r="K175" s="10" t="n">
        <v>279.5</v>
      </c>
      <c r="L175" s="10" t="n">
        <v>0.5</v>
      </c>
      <c r="M175" s="10" t="n">
        <v>148.6</v>
      </c>
      <c r="N175" s="10" t="n">
        <v>6.3</v>
      </c>
      <c r="O175" s="10" t="n">
        <v>153.6</v>
      </c>
      <c r="P175" s="10" t="n">
        <v>131</v>
      </c>
      <c r="Q175" s="10" t="n">
        <v>1</v>
      </c>
      <c r="R175" s="13" t="n">
        <f aca="false">Q175*L175</f>
        <v>0.5</v>
      </c>
      <c r="S175" s="13" t="n">
        <f aca="false">J175-R175</f>
        <v>6.3</v>
      </c>
      <c r="T175" s="13" t="n">
        <f aca="false">MIN(153.6,(T174+S175))</f>
        <v>153.6</v>
      </c>
      <c r="V175" s="22" t="n">
        <v>73.3</v>
      </c>
      <c r="W175" s="10" t="n">
        <v>26.1785714285714</v>
      </c>
      <c r="X175" s="10" t="n">
        <v>61432.1</v>
      </c>
      <c r="Y175" s="10" t="n">
        <f aca="false">Y174+V175</f>
        <v>10501</v>
      </c>
      <c r="AA175" s="23" t="n">
        <v>8.54741093169257</v>
      </c>
    </row>
    <row r="176" s="10" customFormat="true" ht="15" hidden="false" customHeight="false" outlineLevel="0" collapsed="false">
      <c r="A176" s="34"/>
      <c r="B176" s="24"/>
      <c r="C176" s="9" t="n">
        <v>42023</v>
      </c>
      <c r="D176" s="21" t="n">
        <v>1.7</v>
      </c>
      <c r="E176" s="21" t="n">
        <v>0.4</v>
      </c>
      <c r="F176" s="21" t="n">
        <v>3.2</v>
      </c>
      <c r="G176" s="10" t="n">
        <v>1291.5</v>
      </c>
      <c r="H176" s="10" t="n">
        <f aca="false">H175+D176</f>
        <v>256.1</v>
      </c>
      <c r="J176" s="10" t="n">
        <v>0.8</v>
      </c>
      <c r="K176" s="10" t="n">
        <v>280.3</v>
      </c>
      <c r="L176" s="10" t="n">
        <v>0.3</v>
      </c>
      <c r="M176" s="10" t="n">
        <v>148.9</v>
      </c>
      <c r="N176" s="10" t="n">
        <v>0.5</v>
      </c>
      <c r="O176" s="10" t="n">
        <v>153.6</v>
      </c>
      <c r="P176" s="10" t="n">
        <v>132</v>
      </c>
      <c r="Q176" s="10" t="n">
        <v>1</v>
      </c>
      <c r="R176" s="13" t="n">
        <f aca="false">Q176*L176</f>
        <v>0.3</v>
      </c>
      <c r="S176" s="13" t="n">
        <f aca="false">J176-R176</f>
        <v>0.5</v>
      </c>
      <c r="T176" s="13" t="n">
        <f aca="false">MIN(153.6,(T175+S176))</f>
        <v>153.6</v>
      </c>
      <c r="V176" s="22" t="n">
        <v>92.4</v>
      </c>
      <c r="W176" s="10" t="n">
        <v>54.3529411764706</v>
      </c>
      <c r="X176" s="10" t="n">
        <v>61524.5</v>
      </c>
      <c r="Y176" s="10" t="n">
        <f aca="false">Y175+V176</f>
        <v>10593.4</v>
      </c>
      <c r="AA176" s="23" t="n">
        <v>8.58877460973502</v>
      </c>
    </row>
    <row r="177" s="10" customFormat="true" ht="15" hidden="false" customHeight="false" outlineLevel="0" collapsed="false">
      <c r="A177" s="34"/>
      <c r="B177" s="24"/>
      <c r="C177" s="9" t="n">
        <v>42024</v>
      </c>
      <c r="D177" s="21" t="n">
        <v>0.6</v>
      </c>
      <c r="E177" s="36" t="n">
        <v>-0.7</v>
      </c>
      <c r="F177" s="21" t="n">
        <v>3.5</v>
      </c>
      <c r="G177" s="10" t="n">
        <v>1292.1</v>
      </c>
      <c r="H177" s="10" t="n">
        <f aca="false">H176+D177</f>
        <v>256.7</v>
      </c>
      <c r="J177" s="10" t="n">
        <v>0</v>
      </c>
      <c r="K177" s="10" t="n">
        <v>280.3</v>
      </c>
      <c r="L177" s="10" t="n">
        <v>0.8</v>
      </c>
      <c r="M177" s="10" t="n">
        <v>149.7</v>
      </c>
      <c r="N177" s="11" t="n">
        <v>-0.8</v>
      </c>
      <c r="O177" s="10" t="n">
        <f aca="false">O176+N177</f>
        <v>152.8</v>
      </c>
      <c r="P177" s="10" t="n">
        <v>133</v>
      </c>
      <c r="Q177" s="10" t="n">
        <v>1</v>
      </c>
      <c r="R177" s="13" t="n">
        <f aca="false">Q177*L177</f>
        <v>0.8</v>
      </c>
      <c r="S177" s="13" t="n">
        <f aca="false">J177-R177</f>
        <v>-0.8</v>
      </c>
      <c r="T177" s="13" t="n">
        <f aca="false">MIN(153.6,(T176+S177))</f>
        <v>152.8</v>
      </c>
      <c r="V177" s="18" t="n">
        <v>445.9</v>
      </c>
      <c r="W177" s="10" t="n">
        <v>743.166666666667</v>
      </c>
      <c r="X177" s="10" t="n">
        <v>61970.4</v>
      </c>
      <c r="Y177" s="10" t="n">
        <f aca="false">Y176+V177</f>
        <v>11039.3</v>
      </c>
      <c r="AA177" s="23" t="n">
        <v>8.63123658216432</v>
      </c>
    </row>
    <row r="178" s="10" customFormat="true" ht="15" hidden="false" customHeight="false" outlineLevel="0" collapsed="false">
      <c r="A178" s="34"/>
      <c r="B178" s="24"/>
      <c r="C178" s="9" t="n">
        <v>42025</v>
      </c>
      <c r="D178" s="21" t="n">
        <v>0.3</v>
      </c>
      <c r="E178" s="36" t="n">
        <v>-0.6</v>
      </c>
      <c r="F178" s="21" t="n">
        <v>2.3</v>
      </c>
      <c r="G178" s="10" t="n">
        <v>1292.4</v>
      </c>
      <c r="H178" s="10" t="n">
        <f aca="false">H177+D178</f>
        <v>257</v>
      </c>
      <c r="J178" s="10" t="n">
        <v>0</v>
      </c>
      <c r="K178" s="10" t="n">
        <v>280.3</v>
      </c>
      <c r="L178" s="10" t="n">
        <v>0.4</v>
      </c>
      <c r="M178" s="10" t="n">
        <v>150.1</v>
      </c>
      <c r="N178" s="11" t="n">
        <v>-0.4</v>
      </c>
      <c r="O178" s="10" t="n">
        <f aca="false">O177+N178</f>
        <v>152.4</v>
      </c>
      <c r="P178" s="10" t="n">
        <v>134</v>
      </c>
      <c r="Q178" s="10" t="n">
        <v>1</v>
      </c>
      <c r="R178" s="13" t="n">
        <f aca="false">Q178*L178</f>
        <v>0.4</v>
      </c>
      <c r="S178" s="13" t="n">
        <f aca="false">J178-R178</f>
        <v>-0.4</v>
      </c>
      <c r="T178" s="13" t="n">
        <f aca="false">MIN(153.6,(T177+S178))</f>
        <v>152.4</v>
      </c>
      <c r="V178" s="18" t="n">
        <v>285.8</v>
      </c>
      <c r="W178" s="10" t="n">
        <v>952.666666666667</v>
      </c>
      <c r="X178" s="10" t="n">
        <v>62256.2</v>
      </c>
      <c r="Y178" s="10" t="n">
        <f aca="false">Y177+V178</f>
        <v>11325.1</v>
      </c>
      <c r="AA178" s="23" t="n">
        <v>8.67476162888025</v>
      </c>
    </row>
    <row r="179" s="10" customFormat="true" ht="15" hidden="false" customHeight="false" outlineLevel="0" collapsed="false">
      <c r="A179" s="34"/>
      <c r="B179" s="24"/>
      <c r="C179" s="9" t="n">
        <v>42026</v>
      </c>
      <c r="D179" s="36" t="n">
        <v>-0.9</v>
      </c>
      <c r="E179" s="36" t="n">
        <v>-2.1</v>
      </c>
      <c r="F179" s="21" t="n">
        <v>0.4</v>
      </c>
      <c r="G179" s="10" t="n">
        <v>1292.4</v>
      </c>
      <c r="H179" s="10" t="n">
        <v>257</v>
      </c>
      <c r="J179" s="10" t="n">
        <v>0</v>
      </c>
      <c r="K179" s="10" t="n">
        <v>280.3</v>
      </c>
      <c r="L179" s="10" t="n">
        <v>0.3</v>
      </c>
      <c r="M179" s="10" t="n">
        <v>150.4</v>
      </c>
      <c r="N179" s="11" t="n">
        <v>-0.3</v>
      </c>
      <c r="O179" s="10" t="n">
        <f aca="false">O178+N179</f>
        <v>152.1</v>
      </c>
      <c r="P179" s="10" t="n">
        <v>135</v>
      </c>
      <c r="Q179" s="10" t="n">
        <v>1</v>
      </c>
      <c r="R179" s="13" t="n">
        <f aca="false">Q179*L179</f>
        <v>0.3</v>
      </c>
      <c r="S179" s="13" t="n">
        <f aca="false">J179-R179</f>
        <v>-0.3</v>
      </c>
      <c r="T179" s="13" t="n">
        <f aca="false">MIN(153.6,(T178+S179))</f>
        <v>152.1</v>
      </c>
      <c r="V179" s="18" t="n">
        <v>195.4</v>
      </c>
      <c r="W179" s="10" t="n">
        <v>-217.111111111111</v>
      </c>
      <c r="X179" s="10" t="n">
        <v>62451.6</v>
      </c>
      <c r="Y179" s="10" t="n">
        <f aca="false">Y178+V179</f>
        <v>11520.5</v>
      </c>
      <c r="AA179" s="23" t="n">
        <v>8.71931466453562</v>
      </c>
    </row>
    <row r="180" s="10" customFormat="true" ht="15" hidden="false" customHeight="false" outlineLevel="0" collapsed="false">
      <c r="A180" s="34"/>
      <c r="B180" s="24"/>
      <c r="C180" s="9" t="n">
        <v>42027</v>
      </c>
      <c r="D180" s="21" t="n">
        <v>0.5</v>
      </c>
      <c r="E180" s="36" t="n">
        <v>-0.8</v>
      </c>
      <c r="F180" s="21" t="n">
        <v>3.2</v>
      </c>
      <c r="G180" s="10" t="n">
        <v>1292.9</v>
      </c>
      <c r="H180" s="10" t="n">
        <f aca="false">H179+D180</f>
        <v>257.5</v>
      </c>
      <c r="J180" s="10" t="n">
        <v>7.1</v>
      </c>
      <c r="K180" s="10" t="n">
        <v>287.4</v>
      </c>
      <c r="L180" s="10" t="n">
        <v>0.7</v>
      </c>
      <c r="M180" s="10" t="n">
        <v>151.1</v>
      </c>
      <c r="N180" s="10" t="n">
        <v>6.4</v>
      </c>
      <c r="O180" s="10" t="n">
        <v>153.6</v>
      </c>
      <c r="P180" s="10" t="n">
        <v>136</v>
      </c>
      <c r="Q180" s="10" t="n">
        <v>1</v>
      </c>
      <c r="R180" s="13" t="n">
        <f aca="false">Q180*L180</f>
        <v>0.7</v>
      </c>
      <c r="S180" s="13" t="n">
        <f aca="false">J180-R180</f>
        <v>6.4</v>
      </c>
      <c r="T180" s="13" t="n">
        <f aca="false">MIN(153.6,(T179+S180))</f>
        <v>153.6</v>
      </c>
      <c r="V180" s="18" t="n">
        <v>654.3</v>
      </c>
      <c r="W180" s="10" t="n">
        <v>1308.6</v>
      </c>
      <c r="X180" s="10" t="n">
        <v>63105.9</v>
      </c>
      <c r="Y180" s="10" t="n">
        <f aca="false">Y179+V180</f>
        <v>12174.8</v>
      </c>
      <c r="AA180" s="23" t="n">
        <v>8.76486081427931</v>
      </c>
    </row>
    <row r="181" s="10" customFormat="true" ht="15" hidden="false" customHeight="false" outlineLevel="0" collapsed="false">
      <c r="A181" s="34"/>
      <c r="B181" s="24"/>
      <c r="C181" s="9" t="n">
        <v>42028</v>
      </c>
      <c r="D181" s="21" t="n">
        <v>2.2</v>
      </c>
      <c r="E181" s="36" t="n">
        <v>-0.8</v>
      </c>
      <c r="F181" s="10" t="n">
        <v>5.7</v>
      </c>
      <c r="G181" s="10" t="n">
        <v>1295.1</v>
      </c>
      <c r="H181" s="10" t="n">
        <f aca="false">H180+D181</f>
        <v>259.7</v>
      </c>
      <c r="J181" s="10" t="n">
        <v>0.2</v>
      </c>
      <c r="K181" s="10" t="n">
        <v>287.6</v>
      </c>
      <c r="L181" s="10" t="n">
        <v>0.7</v>
      </c>
      <c r="M181" s="10" t="n">
        <v>151.8</v>
      </c>
      <c r="N181" s="11" t="n">
        <v>-0.5</v>
      </c>
      <c r="O181" s="10" t="n">
        <f aca="false">O180+N181</f>
        <v>153.1</v>
      </c>
      <c r="P181" s="10" t="n">
        <v>137</v>
      </c>
      <c r="Q181" s="10" t="n">
        <v>1</v>
      </c>
      <c r="R181" s="13" t="n">
        <f aca="false">Q181*L181</f>
        <v>0.7</v>
      </c>
      <c r="S181" s="13" t="n">
        <f aca="false">J181-R181</f>
        <v>-0.5</v>
      </c>
      <c r="T181" s="13" t="n">
        <f aca="false">MIN(153.6,(T180+S181))</f>
        <v>153.1</v>
      </c>
      <c r="V181" s="18" t="n">
        <v>298.3</v>
      </c>
      <c r="W181" s="10" t="n">
        <v>135.590909090909</v>
      </c>
      <c r="X181" s="10" t="n">
        <v>63404.2</v>
      </c>
      <c r="Y181" s="10" t="n">
        <f aca="false">Y180+V181</f>
        <v>12473.1</v>
      </c>
      <c r="AA181" s="23" t="n">
        <v>8.81136548449693</v>
      </c>
    </row>
    <row r="182" s="10" customFormat="true" ht="15" hidden="false" customHeight="false" outlineLevel="0" collapsed="false">
      <c r="A182" s="34"/>
      <c r="B182" s="24"/>
      <c r="C182" s="9" t="n">
        <v>42029</v>
      </c>
      <c r="D182" s="21" t="n">
        <v>3.6</v>
      </c>
      <c r="E182" s="21" t="n">
        <v>0.3</v>
      </c>
      <c r="F182" s="10" t="n">
        <v>6.9</v>
      </c>
      <c r="G182" s="10" t="n">
        <v>1298.7</v>
      </c>
      <c r="H182" s="10" t="n">
        <f aca="false">H181+D182</f>
        <v>263.3</v>
      </c>
      <c r="J182" s="10" t="n">
        <v>0.8</v>
      </c>
      <c r="K182" s="10" t="n">
        <v>288.4</v>
      </c>
      <c r="L182" s="10" t="n">
        <v>0.4</v>
      </c>
      <c r="M182" s="10" t="n">
        <v>152.2</v>
      </c>
      <c r="N182" s="10" t="n">
        <v>0.4</v>
      </c>
      <c r="O182" s="10" t="n">
        <f aca="false">O181+N182</f>
        <v>153.5</v>
      </c>
      <c r="P182" s="10" t="n">
        <v>138</v>
      </c>
      <c r="Q182" s="10" t="n">
        <v>1</v>
      </c>
      <c r="R182" s="13" t="n">
        <f aca="false">Q182*L182</f>
        <v>0.4</v>
      </c>
      <c r="S182" s="13" t="n">
        <f aca="false">J182-R182</f>
        <v>0.4</v>
      </c>
      <c r="T182" s="13" t="n">
        <f aca="false">MIN(153.6,(T181+S182))</f>
        <v>153.5</v>
      </c>
      <c r="V182" s="18" t="n">
        <v>125.5</v>
      </c>
      <c r="W182" s="10" t="n">
        <v>34.8611111111111</v>
      </c>
      <c r="X182" s="10" t="n">
        <v>63529.7</v>
      </c>
      <c r="Y182" s="10" t="n">
        <f aca="false">Y181+V182</f>
        <v>12598.6</v>
      </c>
      <c r="AA182" s="23" t="n">
        <v>8.8587944284878</v>
      </c>
    </row>
    <row r="183" s="10" customFormat="true" ht="15" hidden="false" customHeight="false" outlineLevel="0" collapsed="false">
      <c r="A183" s="34"/>
      <c r="B183" s="24"/>
      <c r="C183" s="9" t="n">
        <v>42030</v>
      </c>
      <c r="D183" s="10" t="n">
        <v>6.9</v>
      </c>
      <c r="E183" s="21" t="n">
        <v>5</v>
      </c>
      <c r="F183" s="10" t="n">
        <v>9.1</v>
      </c>
      <c r="G183" s="10" t="n">
        <v>1305.6</v>
      </c>
      <c r="H183" s="10" t="n">
        <f aca="false">H182+D183</f>
        <v>270.2</v>
      </c>
      <c r="J183" s="10" t="n">
        <v>0.9</v>
      </c>
      <c r="K183" s="10" t="n">
        <v>289.3</v>
      </c>
      <c r="L183" s="10" t="n">
        <v>0.6</v>
      </c>
      <c r="M183" s="10" t="n">
        <v>152.8</v>
      </c>
      <c r="N183" s="10" t="n">
        <v>0.3</v>
      </c>
      <c r="O183" s="10" t="n">
        <v>153.6</v>
      </c>
      <c r="P183" s="10" t="n">
        <v>139</v>
      </c>
      <c r="Q183" s="10" t="n">
        <v>1</v>
      </c>
      <c r="R183" s="13" t="n">
        <f aca="false">Q183*L183</f>
        <v>0.6</v>
      </c>
      <c r="S183" s="13" t="n">
        <f aca="false">J183-R183</f>
        <v>0.3</v>
      </c>
      <c r="T183" s="13" t="n">
        <f aca="false">MIN(153.6,(T182+S183))</f>
        <v>153.6</v>
      </c>
      <c r="V183" s="18" t="n">
        <v>123.7</v>
      </c>
      <c r="W183" s="10" t="n">
        <v>17.9275362318841</v>
      </c>
      <c r="X183" s="10" t="n">
        <v>63653.4</v>
      </c>
      <c r="Y183" s="10" t="n">
        <f aca="false">Y182+V183</f>
        <v>12722.3</v>
      </c>
      <c r="AA183" s="23" t="n">
        <v>8.9071138070594</v>
      </c>
    </row>
    <row r="184" s="10" customFormat="true" ht="15" hidden="false" customHeight="false" outlineLevel="0" collapsed="false">
      <c r="A184" s="34"/>
      <c r="B184" s="24"/>
      <c r="C184" s="9" t="n">
        <v>42031</v>
      </c>
      <c r="D184" s="21" t="n">
        <v>4.7</v>
      </c>
      <c r="E184" s="21" t="n">
        <v>1.5</v>
      </c>
      <c r="F184" s="10" t="n">
        <v>6</v>
      </c>
      <c r="G184" s="10" t="n">
        <v>1310.3</v>
      </c>
      <c r="H184" s="10" t="n">
        <f aca="false">H183+D184</f>
        <v>274.9</v>
      </c>
      <c r="J184" s="10" t="n">
        <v>0.2</v>
      </c>
      <c r="K184" s="10" t="n">
        <v>289.5</v>
      </c>
      <c r="L184" s="10" t="n">
        <v>0.3</v>
      </c>
      <c r="M184" s="10" t="n">
        <v>153.1</v>
      </c>
      <c r="N184" s="11" t="n">
        <v>-0.1</v>
      </c>
      <c r="O184" s="10" t="n">
        <f aca="false">O183+N184</f>
        <v>153.5</v>
      </c>
      <c r="P184" s="10" t="n">
        <v>140</v>
      </c>
      <c r="Q184" s="10" t="n">
        <v>1</v>
      </c>
      <c r="R184" s="13" t="n">
        <f aca="false">Q184*L184</f>
        <v>0.3</v>
      </c>
      <c r="S184" s="13" t="n">
        <f aca="false">J184-R184</f>
        <v>-0.1</v>
      </c>
      <c r="T184" s="13" t="n">
        <f aca="false">MIN(153.6,(T183+S184))</f>
        <v>153.5</v>
      </c>
      <c r="V184" s="22" t="n">
        <v>90.1</v>
      </c>
      <c r="W184" s="10" t="n">
        <v>19.1702127659574</v>
      </c>
      <c r="X184" s="10" t="n">
        <v>63743.5</v>
      </c>
      <c r="Y184" s="10" t="n">
        <f aca="false">Y183+V184</f>
        <v>12812.4</v>
      </c>
      <c r="AA184" s="23" t="n">
        <v>8.95629024405983</v>
      </c>
    </row>
    <row r="185" s="10" customFormat="true" ht="15" hidden="false" customHeight="false" outlineLevel="0" collapsed="false">
      <c r="A185" s="34"/>
      <c r="B185" s="16" t="n">
        <v>8</v>
      </c>
      <c r="C185" s="9" t="n">
        <v>42032</v>
      </c>
      <c r="D185" s="21" t="n">
        <v>5</v>
      </c>
      <c r="E185" s="21" t="n">
        <v>4.6</v>
      </c>
      <c r="F185" s="10" t="n">
        <v>6.7</v>
      </c>
      <c r="G185" s="10" t="n">
        <v>1315.3</v>
      </c>
      <c r="H185" s="10" t="n">
        <f aca="false">H184+D185</f>
        <v>279.9</v>
      </c>
      <c r="J185" s="10" t="n">
        <v>2.9</v>
      </c>
      <c r="K185" s="10" t="n">
        <v>292.4</v>
      </c>
      <c r="L185" s="10" t="n">
        <v>0.9</v>
      </c>
      <c r="M185" s="10" t="n">
        <v>154</v>
      </c>
      <c r="N185" s="10" t="n">
        <v>2</v>
      </c>
      <c r="O185" s="10" t="n">
        <v>153.6</v>
      </c>
      <c r="P185" s="10" t="n">
        <v>141</v>
      </c>
      <c r="Q185" s="10" t="n">
        <v>1</v>
      </c>
      <c r="R185" s="13" t="n">
        <f aca="false">Q185*L185</f>
        <v>0.9</v>
      </c>
      <c r="S185" s="13" t="n">
        <f aca="false">J185-R185</f>
        <v>2</v>
      </c>
      <c r="T185" s="13" t="n">
        <f aca="false">MIN(153.6,(T184+S185))</f>
        <v>153.6</v>
      </c>
      <c r="V185" s="18" t="n">
        <v>180.1</v>
      </c>
      <c r="W185" s="10" t="n">
        <v>36.02</v>
      </c>
      <c r="X185" s="10" t="n">
        <v>63923.6</v>
      </c>
      <c r="Y185" s="10" t="n">
        <f aca="false">Y184+V185</f>
        <v>12992.5</v>
      </c>
      <c r="AA185" s="10" t="n">
        <v>9.00629087690335</v>
      </c>
    </row>
    <row r="186" s="10" customFormat="true" ht="15" hidden="false" customHeight="false" outlineLevel="0" collapsed="false">
      <c r="A186" s="34"/>
      <c r="B186" s="16"/>
      <c r="C186" s="9" t="n">
        <v>42033</v>
      </c>
      <c r="D186" s="21" t="n">
        <v>2.5</v>
      </c>
      <c r="E186" s="21" t="n">
        <v>1.4</v>
      </c>
      <c r="F186" s="21" t="n">
        <v>4.1</v>
      </c>
      <c r="G186" s="10" t="n">
        <v>1317.8</v>
      </c>
      <c r="H186" s="10" t="n">
        <f aca="false">H185+D186</f>
        <v>282.4</v>
      </c>
      <c r="J186" s="10" t="n">
        <v>4.4</v>
      </c>
      <c r="K186" s="10" t="n">
        <v>296.8</v>
      </c>
      <c r="L186" s="10" t="n">
        <v>0.7</v>
      </c>
      <c r="M186" s="10" t="n">
        <v>154.7</v>
      </c>
      <c r="N186" s="10" t="n">
        <v>3.7</v>
      </c>
      <c r="O186" s="10" t="n">
        <v>153.6</v>
      </c>
      <c r="P186" s="10" t="n">
        <v>142</v>
      </c>
      <c r="Q186" s="10" t="n">
        <v>1</v>
      </c>
      <c r="R186" s="13" t="n">
        <f aca="false">Q186*L186</f>
        <v>0.7</v>
      </c>
      <c r="S186" s="13" t="n">
        <f aca="false">J186-R186</f>
        <v>3.7</v>
      </c>
      <c r="T186" s="13" t="n">
        <f aca="false">MIN(153.6,(T185+S186))</f>
        <v>153.6</v>
      </c>
      <c r="V186" s="18" t="n">
        <v>259.9</v>
      </c>
      <c r="W186" s="10" t="n">
        <v>103.96</v>
      </c>
      <c r="X186" s="10" t="n">
        <v>64183.5</v>
      </c>
      <c r="Y186" s="10" t="n">
        <f aca="false">Y185+V186</f>
        <v>13252.4</v>
      </c>
      <c r="AA186" s="10" t="n">
        <v>9.05708340217562</v>
      </c>
    </row>
    <row r="187" s="10" customFormat="true" ht="15" hidden="false" customHeight="false" outlineLevel="0" collapsed="false">
      <c r="A187" s="34"/>
      <c r="B187" s="16"/>
      <c r="C187" s="9" t="n">
        <v>42034</v>
      </c>
      <c r="D187" s="21" t="n">
        <v>2</v>
      </c>
      <c r="E187" s="21" t="n">
        <v>1.1</v>
      </c>
      <c r="F187" s="21" t="n">
        <v>2.5</v>
      </c>
      <c r="G187" s="10" t="n">
        <v>1319.8</v>
      </c>
      <c r="H187" s="10" t="n">
        <f aca="false">H186+D187</f>
        <v>284.4</v>
      </c>
      <c r="J187" s="10" t="n">
        <v>4</v>
      </c>
      <c r="K187" s="10" t="n">
        <v>300.8</v>
      </c>
      <c r="L187" s="10" t="n">
        <v>0.3</v>
      </c>
      <c r="M187" s="10" t="n">
        <v>155</v>
      </c>
      <c r="N187" s="10" t="n">
        <v>3.7</v>
      </c>
      <c r="O187" s="10" t="n">
        <v>153.6</v>
      </c>
      <c r="P187" s="10" t="n">
        <v>143</v>
      </c>
      <c r="Q187" s="10" t="n">
        <v>1</v>
      </c>
      <c r="R187" s="13" t="n">
        <f aca="false">Q187*L187</f>
        <v>0.3</v>
      </c>
      <c r="S187" s="13" t="n">
        <f aca="false">J187-R187</f>
        <v>3.7</v>
      </c>
      <c r="T187" s="13" t="n">
        <f aca="false">MIN(153.6,(T186+S187))</f>
        <v>153.6</v>
      </c>
      <c r="V187" s="18" t="n">
        <v>210.4</v>
      </c>
      <c r="W187" s="10" t="n">
        <v>105.2</v>
      </c>
      <c r="X187" s="10" t="n">
        <v>64393.9</v>
      </c>
      <c r="Y187" s="10" t="n">
        <f aca="false">Y186+V187</f>
        <v>13462.8</v>
      </c>
      <c r="AA187" s="10" t="n">
        <v>9.10863611643238</v>
      </c>
    </row>
    <row r="188" s="10" customFormat="true" ht="15" hidden="false" customHeight="false" outlineLevel="0" collapsed="false">
      <c r="A188" s="34"/>
      <c r="B188" s="16"/>
      <c r="C188" s="9" t="n">
        <v>42035</v>
      </c>
      <c r="D188" s="21" t="n">
        <v>2</v>
      </c>
      <c r="E188" s="21" t="n">
        <v>0.9</v>
      </c>
      <c r="F188" s="21" t="n">
        <v>2.8</v>
      </c>
      <c r="G188" s="10" t="n">
        <v>1321.8</v>
      </c>
      <c r="H188" s="10" t="n">
        <f aca="false">H187+D188</f>
        <v>286.4</v>
      </c>
      <c r="J188" s="10" t="n">
        <v>3.3</v>
      </c>
      <c r="K188" s="10" t="n">
        <v>304.1</v>
      </c>
      <c r="L188" s="10" t="n">
        <v>0.3</v>
      </c>
      <c r="M188" s="10" t="n">
        <v>155.3</v>
      </c>
      <c r="N188" s="10" t="n">
        <v>3</v>
      </c>
      <c r="O188" s="10" t="n">
        <v>153.6</v>
      </c>
      <c r="P188" s="10" t="n">
        <v>144</v>
      </c>
      <c r="Q188" s="10" t="n">
        <v>1</v>
      </c>
      <c r="R188" s="13" t="n">
        <f aca="false">Q188*L188</f>
        <v>0.3</v>
      </c>
      <c r="S188" s="13" t="n">
        <f aca="false">J188-R188</f>
        <v>3</v>
      </c>
      <c r="T188" s="13" t="n">
        <f aca="false">MIN(153.6,(T187+S188))</f>
        <v>153.6</v>
      </c>
      <c r="V188" s="18" t="n">
        <v>216.2</v>
      </c>
      <c r="W188" s="10" t="n">
        <v>108.1</v>
      </c>
      <c r="X188" s="10" t="n">
        <v>64610.1</v>
      </c>
      <c r="Y188" s="10" t="n">
        <f aca="false">Y187+V188</f>
        <v>13679</v>
      </c>
      <c r="AA188" s="10" t="n">
        <v>9.16091795232867</v>
      </c>
    </row>
    <row r="189" s="10" customFormat="true" ht="15" hidden="false" customHeight="false" outlineLevel="0" collapsed="false">
      <c r="A189" s="34"/>
      <c r="B189" s="16"/>
      <c r="C189" s="9" t="n">
        <v>42036</v>
      </c>
      <c r="D189" s="21" t="n">
        <v>3.2</v>
      </c>
      <c r="E189" s="21" t="n">
        <v>2.2</v>
      </c>
      <c r="F189" s="21" t="n">
        <v>4.5</v>
      </c>
      <c r="G189" s="10" t="n">
        <v>1325</v>
      </c>
      <c r="H189" s="10" t="n">
        <f aca="false">H188+D189</f>
        <v>289.6</v>
      </c>
      <c r="J189" s="10" t="n">
        <v>14</v>
      </c>
      <c r="K189" s="10" t="n">
        <v>318.1</v>
      </c>
      <c r="L189" s="10" t="n">
        <v>0.6</v>
      </c>
      <c r="M189" s="10" t="n">
        <v>155.9</v>
      </c>
      <c r="N189" s="10" t="n">
        <v>13.4</v>
      </c>
      <c r="O189" s="10" t="n">
        <v>153.6</v>
      </c>
      <c r="P189" s="10" t="n">
        <v>145</v>
      </c>
      <c r="Q189" s="10" t="n">
        <v>1</v>
      </c>
      <c r="R189" s="13" t="n">
        <f aca="false">Q189*L189</f>
        <v>0.6</v>
      </c>
      <c r="S189" s="13" t="n">
        <f aca="false">J189-R189</f>
        <v>13.4</v>
      </c>
      <c r="T189" s="13" t="n">
        <f aca="false">MIN(153.6,(T188+S189))</f>
        <v>153.6</v>
      </c>
      <c r="V189" s="18" t="n">
        <v>113.7</v>
      </c>
      <c r="W189" s="10" t="n">
        <v>35.53125</v>
      </c>
      <c r="X189" s="10" t="n">
        <v>64723.8</v>
      </c>
      <c r="Y189" s="10" t="n">
        <f aca="false">Y188+V189</f>
        <v>13792.7</v>
      </c>
      <c r="AA189" s="10" t="n">
        <v>9.21389851023566</v>
      </c>
    </row>
    <row r="190" s="10" customFormat="true" ht="15" hidden="false" customHeight="false" outlineLevel="0" collapsed="false">
      <c r="A190" s="34"/>
      <c r="B190" s="16"/>
      <c r="C190" s="9" t="n">
        <v>42037</v>
      </c>
      <c r="D190" s="21" t="n">
        <v>1.2</v>
      </c>
      <c r="E190" s="36" t="n">
        <v>-0.2</v>
      </c>
      <c r="F190" s="21" t="n">
        <v>3.2</v>
      </c>
      <c r="G190" s="10" t="n">
        <v>1326.2</v>
      </c>
      <c r="H190" s="10" t="n">
        <f aca="false">H189+D190</f>
        <v>290.8</v>
      </c>
      <c r="J190" s="10" t="n">
        <v>0</v>
      </c>
      <c r="K190" s="10" t="n">
        <v>318.1</v>
      </c>
      <c r="L190" s="10" t="n">
        <v>0.8</v>
      </c>
      <c r="M190" s="10" t="n">
        <v>156.7</v>
      </c>
      <c r="N190" s="11" t="n">
        <v>-0.8</v>
      </c>
      <c r="O190" s="10" t="n">
        <f aca="false">O189+N190</f>
        <v>152.8</v>
      </c>
      <c r="P190" s="10" t="n">
        <v>146</v>
      </c>
      <c r="Q190" s="10" t="n">
        <v>1</v>
      </c>
      <c r="R190" s="13" t="n">
        <f aca="false">Q190*L190</f>
        <v>0.8</v>
      </c>
      <c r="S190" s="13" t="n">
        <f aca="false">J190-R190</f>
        <v>-0.8</v>
      </c>
      <c r="T190" s="13" t="n">
        <f aca="false">MIN(153.6,(T189+S190))</f>
        <v>152.8</v>
      </c>
      <c r="V190" s="18" t="n">
        <v>620.1</v>
      </c>
      <c r="W190" s="10" t="n">
        <v>516.75</v>
      </c>
      <c r="X190" s="10" t="n">
        <v>65343.9</v>
      </c>
      <c r="Y190" s="10" t="n">
        <f aca="false">Y189+V190</f>
        <v>14412.8</v>
      </c>
      <c r="AA190" s="10" t="n">
        <v>9.26754808551864</v>
      </c>
    </row>
    <row r="191" s="10" customFormat="true" ht="15" hidden="false" customHeight="false" outlineLevel="0" collapsed="false">
      <c r="A191" s="34"/>
      <c r="B191" s="16"/>
      <c r="C191" s="9" t="n">
        <v>42038</v>
      </c>
      <c r="D191" s="21" t="n">
        <v>1</v>
      </c>
      <c r="E191" s="36" t="n">
        <v>-0.5</v>
      </c>
      <c r="F191" s="21" t="n">
        <v>3</v>
      </c>
      <c r="G191" s="10" t="n">
        <v>1327.2</v>
      </c>
      <c r="H191" s="10" t="n">
        <f aca="false">H190+D191</f>
        <v>291.8</v>
      </c>
      <c r="J191" s="10" t="n">
        <v>0</v>
      </c>
      <c r="K191" s="10" t="n">
        <v>318.1</v>
      </c>
      <c r="L191" s="10" t="n">
        <v>0.4</v>
      </c>
      <c r="M191" s="10" t="n">
        <v>157.1</v>
      </c>
      <c r="N191" s="11" t="n">
        <v>-0.4</v>
      </c>
      <c r="O191" s="10" t="n">
        <f aca="false">O190+N191</f>
        <v>152.4</v>
      </c>
      <c r="P191" s="10" t="n">
        <v>147</v>
      </c>
      <c r="Q191" s="10" t="n">
        <v>1</v>
      </c>
      <c r="R191" s="13" t="n">
        <f aca="false">Q191*L191</f>
        <v>0.4</v>
      </c>
      <c r="S191" s="13" t="n">
        <f aca="false">J191-R191</f>
        <v>-0.4</v>
      </c>
      <c r="T191" s="13" t="n">
        <f aca="false">MIN(153.6,(T190+S191))</f>
        <v>152.4</v>
      </c>
      <c r="V191" s="18" t="n">
        <v>430.7</v>
      </c>
      <c r="W191" s="10" t="n">
        <v>430.7</v>
      </c>
      <c r="X191" s="10" t="n">
        <v>65774.6</v>
      </c>
      <c r="Y191" s="10" t="n">
        <f aca="false">Y190+V191</f>
        <v>14843.5</v>
      </c>
      <c r="AA191" s="10" t="n">
        <v>9.32183769166266</v>
      </c>
    </row>
    <row r="192" s="10" customFormat="true" ht="15" hidden="false" customHeight="false" outlineLevel="0" collapsed="false">
      <c r="A192" s="34"/>
      <c r="B192" s="16" t="n">
        <v>9</v>
      </c>
      <c r="C192" s="9" t="n">
        <v>42039</v>
      </c>
      <c r="D192" s="21" t="n">
        <v>1.8</v>
      </c>
      <c r="E192" s="21" t="n">
        <v>0.1</v>
      </c>
      <c r="F192" s="10" t="n">
        <v>5.2</v>
      </c>
      <c r="G192" s="10" t="n">
        <v>1329</v>
      </c>
      <c r="H192" s="10" t="n">
        <f aca="false">H191+D192</f>
        <v>293.6</v>
      </c>
      <c r="J192" s="10" t="n">
        <v>0</v>
      </c>
      <c r="K192" s="10" t="n">
        <v>318.1</v>
      </c>
      <c r="L192" s="10" t="n">
        <v>1.1</v>
      </c>
      <c r="M192" s="10" t="n">
        <v>158.2</v>
      </c>
      <c r="N192" s="11" t="n">
        <v>-1.1</v>
      </c>
      <c r="O192" s="10" t="n">
        <f aca="false">O191+N192</f>
        <v>151.3</v>
      </c>
      <c r="P192" s="10" t="n">
        <v>148</v>
      </c>
      <c r="Q192" s="10" t="n">
        <v>1</v>
      </c>
      <c r="R192" s="13" t="n">
        <f aca="false">Q192*L192</f>
        <v>1.1</v>
      </c>
      <c r="S192" s="13" t="n">
        <f aca="false">J192-R192</f>
        <v>-1.1</v>
      </c>
      <c r="T192" s="13" t="n">
        <f aca="false">MIN(153.6,(T191+S192))</f>
        <v>151.3</v>
      </c>
      <c r="V192" s="18" t="n">
        <v>819</v>
      </c>
      <c r="W192" s="10" t="n">
        <v>455</v>
      </c>
      <c r="X192" s="10" t="n">
        <v>66593.6</v>
      </c>
      <c r="Y192" s="10" t="n">
        <f aca="false">Y191+V192</f>
        <v>15662.5</v>
      </c>
      <c r="AA192" s="10" t="n">
        <v>9.37673907944247</v>
      </c>
    </row>
    <row r="193" s="10" customFormat="true" ht="15" hidden="false" customHeight="false" outlineLevel="0" collapsed="false">
      <c r="A193" s="34"/>
      <c r="B193" s="16"/>
      <c r="C193" s="9" t="n">
        <v>42040</v>
      </c>
      <c r="D193" s="36" t="n">
        <v>-0.3</v>
      </c>
      <c r="E193" s="36" t="n">
        <v>-2.5</v>
      </c>
      <c r="F193" s="21" t="n">
        <v>1.2</v>
      </c>
      <c r="G193" s="10" t="n">
        <v>1329</v>
      </c>
      <c r="H193" s="10" t="n">
        <v>293.6</v>
      </c>
      <c r="J193" s="10" t="n">
        <v>0</v>
      </c>
      <c r="K193" s="10" t="n">
        <v>318.1</v>
      </c>
      <c r="L193" s="10" t="n">
        <v>0.6</v>
      </c>
      <c r="M193" s="10" t="n">
        <v>158.8</v>
      </c>
      <c r="N193" s="11" t="n">
        <v>-0.6</v>
      </c>
      <c r="O193" s="10" t="n">
        <f aca="false">O192+N193</f>
        <v>150.7</v>
      </c>
      <c r="P193" s="10" t="n">
        <v>149</v>
      </c>
      <c r="Q193" s="10" t="n">
        <v>1</v>
      </c>
      <c r="R193" s="13" t="n">
        <f aca="false">Q193*L193</f>
        <v>0.6</v>
      </c>
      <c r="S193" s="13" t="n">
        <f aca="false">J193-R193</f>
        <v>-0.6</v>
      </c>
      <c r="T193" s="13" t="n">
        <f aca="false">MIN(153.6,(T192+S193))</f>
        <v>150.7</v>
      </c>
      <c r="V193" s="18" t="n">
        <v>508</v>
      </c>
      <c r="W193" s="10" t="n">
        <v>-1693.33333333333</v>
      </c>
      <c r="X193" s="10" t="n">
        <v>67101.6</v>
      </c>
      <c r="Y193" s="10" t="n">
        <f aca="false">Y192+V193</f>
        <v>16170.5</v>
      </c>
      <c r="AA193" s="10" t="n">
        <v>9.43222475234099</v>
      </c>
    </row>
    <row r="194" s="10" customFormat="true" ht="15" hidden="false" customHeight="false" outlineLevel="0" collapsed="false">
      <c r="A194" s="34"/>
      <c r="B194" s="16"/>
      <c r="C194" s="9" t="n">
        <v>42041</v>
      </c>
      <c r="D194" s="36" t="n">
        <v>-0.3</v>
      </c>
      <c r="E194" s="36" t="n">
        <v>-1.5</v>
      </c>
      <c r="F194" s="21" t="n">
        <v>0.7</v>
      </c>
      <c r="G194" s="10" t="n">
        <v>1329</v>
      </c>
      <c r="H194" s="10" t="n">
        <v>293.6</v>
      </c>
      <c r="J194" s="10" t="n">
        <v>0</v>
      </c>
      <c r="K194" s="10" t="n">
        <v>318.1</v>
      </c>
      <c r="L194" s="10" t="n">
        <v>1</v>
      </c>
      <c r="M194" s="10" t="n">
        <v>159.8</v>
      </c>
      <c r="N194" s="11" t="n">
        <v>-1</v>
      </c>
      <c r="O194" s="10" t="n">
        <f aca="false">O193+N194</f>
        <v>149.7</v>
      </c>
      <c r="P194" s="10" t="n">
        <v>150</v>
      </c>
      <c r="Q194" s="10" t="n">
        <v>1</v>
      </c>
      <c r="R194" s="13" t="n">
        <f aca="false">Q194*L194</f>
        <v>1</v>
      </c>
      <c r="S194" s="13" t="n">
        <f aca="false">J194-R194</f>
        <v>-1</v>
      </c>
      <c r="T194" s="13" t="n">
        <f aca="false">MIN(153.6,(T193+S194))</f>
        <v>149.7</v>
      </c>
      <c r="V194" s="18" t="n">
        <v>822.5</v>
      </c>
      <c r="W194" s="10" t="n">
        <v>-2741.66666666667</v>
      </c>
      <c r="X194" s="10" t="n">
        <v>67924.1</v>
      </c>
      <c r="Y194" s="10" t="n">
        <f aca="false">Y193+V194</f>
        <v>16993</v>
      </c>
      <c r="AA194" s="10" t="n">
        <v>9.4882679784248</v>
      </c>
    </row>
    <row r="195" s="10" customFormat="true" ht="15" hidden="false" customHeight="false" outlineLevel="0" collapsed="false">
      <c r="A195" s="34"/>
      <c r="B195" s="16"/>
      <c r="C195" s="9" t="n">
        <v>42042</v>
      </c>
      <c r="D195" s="21" t="n">
        <v>2.5</v>
      </c>
      <c r="E195" s="36" t="n">
        <v>-2.3</v>
      </c>
      <c r="F195" s="21" t="n">
        <v>5</v>
      </c>
      <c r="G195" s="10" t="n">
        <v>1331.5</v>
      </c>
      <c r="H195" s="10" t="n">
        <f aca="false">H194+D195</f>
        <v>296.1</v>
      </c>
      <c r="J195" s="10" t="n">
        <v>0</v>
      </c>
      <c r="K195" s="10" t="n">
        <v>318.1</v>
      </c>
      <c r="L195" s="10" t="n">
        <v>1</v>
      </c>
      <c r="M195" s="10" t="n">
        <v>160.8</v>
      </c>
      <c r="N195" s="11" t="n">
        <v>-1</v>
      </c>
      <c r="O195" s="10" t="n">
        <f aca="false">O194+N195</f>
        <v>148.7</v>
      </c>
      <c r="P195" s="10" t="n">
        <v>151</v>
      </c>
      <c r="Q195" s="10" t="n">
        <v>1</v>
      </c>
      <c r="R195" s="13" t="n">
        <f aca="false">Q195*L195</f>
        <v>1</v>
      </c>
      <c r="S195" s="13" t="n">
        <f aca="false">J195-R195</f>
        <v>-1</v>
      </c>
      <c r="T195" s="13" t="n">
        <f aca="false">MIN(153.6,(T194+S195))</f>
        <v>148.7</v>
      </c>
      <c r="V195" s="18" t="n">
        <v>702.2</v>
      </c>
      <c r="W195" s="10" t="n">
        <v>280.88</v>
      </c>
      <c r="X195" s="10" t="n">
        <v>68626.3</v>
      </c>
      <c r="Y195" s="10" t="n">
        <f aca="false">Y194+V195</f>
        <v>17695.2</v>
      </c>
      <c r="AA195" s="10" t="n">
        <v>9.54484279888826</v>
      </c>
    </row>
    <row r="196" s="10" customFormat="true" ht="15" hidden="false" customHeight="false" outlineLevel="0" collapsed="false">
      <c r="A196" s="34"/>
      <c r="B196" s="16"/>
      <c r="C196" s="9" t="n">
        <v>42043</v>
      </c>
      <c r="D196" s="21" t="n">
        <v>4.3</v>
      </c>
      <c r="E196" s="21" t="n">
        <v>4.2</v>
      </c>
      <c r="F196" s="10" t="n">
        <v>6.4</v>
      </c>
      <c r="G196" s="10" t="n">
        <v>1335.8</v>
      </c>
      <c r="H196" s="10" t="n">
        <f aca="false">H195+D196</f>
        <v>300.4</v>
      </c>
      <c r="J196" s="10" t="n">
        <v>0.1</v>
      </c>
      <c r="K196" s="10" t="n">
        <v>318.2</v>
      </c>
      <c r="L196" s="10" t="n">
        <v>1.2</v>
      </c>
      <c r="M196" s="10" t="n">
        <v>162</v>
      </c>
      <c r="N196" s="11" t="n">
        <v>-1.1</v>
      </c>
      <c r="O196" s="10" t="n">
        <f aca="false">O195+N196</f>
        <v>147.6</v>
      </c>
      <c r="P196" s="10" t="n">
        <v>152</v>
      </c>
      <c r="Q196" s="10" t="n">
        <v>1</v>
      </c>
      <c r="R196" s="13" t="n">
        <f aca="false">Q196*L196</f>
        <v>1.2</v>
      </c>
      <c r="S196" s="13" t="n">
        <f aca="false">J196-R196</f>
        <v>-1.1</v>
      </c>
      <c r="T196" s="13" t="n">
        <f aca="false">MIN(153.6,(T195+S196))</f>
        <v>147.6</v>
      </c>
      <c r="V196" s="18" t="n">
        <v>583.7</v>
      </c>
      <c r="W196" s="10" t="n">
        <v>135.744186046512</v>
      </c>
      <c r="X196" s="10" t="n">
        <v>69210</v>
      </c>
      <c r="Y196" s="10" t="n">
        <f aca="false">Y195+V196</f>
        <v>18278.9</v>
      </c>
      <c r="AA196" s="10" t="n">
        <v>9.60192403347783</v>
      </c>
    </row>
    <row r="197" s="10" customFormat="true" ht="15" hidden="false" customHeight="false" outlineLevel="0" collapsed="false">
      <c r="A197" s="34"/>
      <c r="B197" s="16"/>
      <c r="C197" s="9" t="n">
        <v>42044</v>
      </c>
      <c r="D197" s="21" t="n">
        <v>3</v>
      </c>
      <c r="E197" s="21" t="n">
        <v>0.2</v>
      </c>
      <c r="F197" s="21" t="n">
        <v>4.7</v>
      </c>
      <c r="G197" s="10" t="n">
        <v>1338.8</v>
      </c>
      <c r="H197" s="10" t="n">
        <f aca="false">H196+D197</f>
        <v>303.4</v>
      </c>
      <c r="J197" s="10" t="n">
        <v>0.1</v>
      </c>
      <c r="K197" s="10" t="n">
        <v>318.3</v>
      </c>
      <c r="L197" s="10" t="n">
        <v>0.3</v>
      </c>
      <c r="M197" s="10" t="n">
        <v>162.3</v>
      </c>
      <c r="N197" s="11" t="n">
        <v>-0.2</v>
      </c>
      <c r="O197" s="10" t="n">
        <f aca="false">O196+N197</f>
        <v>147.4</v>
      </c>
      <c r="P197" s="10" t="n">
        <v>153</v>
      </c>
      <c r="Q197" s="10" t="n">
        <v>1</v>
      </c>
      <c r="R197" s="13" t="n">
        <f aca="false">Q197*L197</f>
        <v>0.3</v>
      </c>
      <c r="S197" s="13" t="n">
        <f aca="false">J197-R197</f>
        <v>-0.2</v>
      </c>
      <c r="T197" s="13" t="n">
        <f aca="false">MIN(153.6,(T196+S197))</f>
        <v>147.4</v>
      </c>
      <c r="V197" s="18" t="n">
        <v>214.2</v>
      </c>
      <c r="W197" s="10" t="n">
        <v>71.4</v>
      </c>
      <c r="X197" s="10" t="n">
        <v>69424.2</v>
      </c>
      <c r="Y197" s="10" t="n">
        <f aca="false">Y196+V197</f>
        <v>18493.1</v>
      </c>
      <c r="AA197" s="10" t="n">
        <v>9.65948728300696</v>
      </c>
    </row>
    <row r="198" s="10" customFormat="true" ht="15" hidden="false" customHeight="false" outlineLevel="0" collapsed="false">
      <c r="A198" s="34"/>
      <c r="B198" s="16"/>
      <c r="C198" s="9" t="n">
        <v>42045</v>
      </c>
      <c r="D198" s="21" t="n">
        <v>4.9</v>
      </c>
      <c r="E198" s="21" t="n">
        <v>3.5</v>
      </c>
      <c r="F198" s="10" t="n">
        <v>5.9</v>
      </c>
      <c r="G198" s="10" t="n">
        <v>1343.7</v>
      </c>
      <c r="H198" s="10" t="n">
        <f aca="false">H197+D198</f>
        <v>308.3</v>
      </c>
      <c r="J198" s="10" t="n">
        <v>0</v>
      </c>
      <c r="K198" s="10" t="n">
        <v>318.3</v>
      </c>
      <c r="L198" s="10" t="n">
        <v>0.5</v>
      </c>
      <c r="M198" s="10" t="n">
        <v>162.8</v>
      </c>
      <c r="N198" s="11" t="n">
        <v>-0.5</v>
      </c>
      <c r="O198" s="10" t="n">
        <f aca="false">O197+N198</f>
        <v>146.9</v>
      </c>
      <c r="P198" s="10" t="n">
        <v>154</v>
      </c>
      <c r="Q198" s="10" t="n">
        <v>1</v>
      </c>
      <c r="R198" s="13" t="n">
        <f aca="false">Q198*L198</f>
        <v>0.5</v>
      </c>
      <c r="S198" s="13" t="n">
        <f aca="false">J198-R198</f>
        <v>-0.5</v>
      </c>
      <c r="T198" s="13" t="n">
        <f aca="false">MIN(153.6,(T197+S198))</f>
        <v>146.9</v>
      </c>
      <c r="V198" s="18" t="n">
        <v>227.5</v>
      </c>
      <c r="W198" s="10" t="n">
        <v>46.4285714285714</v>
      </c>
      <c r="X198" s="10" t="n">
        <v>69651.7</v>
      </c>
      <c r="Y198" s="10" t="n">
        <f aca="false">Y197+V198</f>
        <v>18720.6</v>
      </c>
      <c r="AA198" s="10" t="n">
        <v>9.71750892916911</v>
      </c>
    </row>
    <row r="199" s="10" customFormat="true" ht="15" hidden="false" customHeight="false" outlineLevel="0" collapsed="false">
      <c r="A199" s="34"/>
      <c r="B199" s="16" t="n">
        <v>10</v>
      </c>
      <c r="C199" s="9" t="n">
        <v>42046</v>
      </c>
      <c r="D199" s="10" t="n">
        <v>6</v>
      </c>
      <c r="E199" s="21" t="n">
        <v>3.3</v>
      </c>
      <c r="F199" s="10" t="n">
        <v>11.8</v>
      </c>
      <c r="G199" s="10" t="n">
        <v>1349.7</v>
      </c>
      <c r="H199" s="10" t="n">
        <f aca="false">H198+D199</f>
        <v>314.3</v>
      </c>
      <c r="J199" s="10" t="n">
        <v>0</v>
      </c>
      <c r="K199" s="10" t="n">
        <v>318.3</v>
      </c>
      <c r="L199" s="10" t="n">
        <v>0.8</v>
      </c>
      <c r="M199" s="10" t="n">
        <v>163.6</v>
      </c>
      <c r="N199" s="11" t="n">
        <v>-0.8</v>
      </c>
      <c r="O199" s="10" t="n">
        <f aca="false">O198+N199</f>
        <v>146.1</v>
      </c>
      <c r="P199" s="10" t="n">
        <v>155</v>
      </c>
      <c r="Q199" s="10" t="n">
        <v>1</v>
      </c>
      <c r="R199" s="13" t="n">
        <f aca="false">Q199*L199</f>
        <v>0.8</v>
      </c>
      <c r="S199" s="13" t="n">
        <f aca="false">J199-R199</f>
        <v>-0.8</v>
      </c>
      <c r="T199" s="13" t="n">
        <f aca="false">MIN(153.6,(T198+S199))</f>
        <v>146.1</v>
      </c>
      <c r="V199" s="18" t="n">
        <v>269.4</v>
      </c>
      <c r="W199" s="10" t="n">
        <v>44.9</v>
      </c>
      <c r="X199" s="10" t="n">
        <v>69921.1</v>
      </c>
      <c r="Y199" s="10" t="n">
        <f aca="false">Y198+V199</f>
        <v>18990</v>
      </c>
      <c r="AA199" s="10" t="n">
        <v>9.77596613185194</v>
      </c>
    </row>
    <row r="200" s="10" customFormat="true" ht="15" hidden="false" customHeight="false" outlineLevel="0" collapsed="false">
      <c r="A200" s="34"/>
      <c r="B200" s="16"/>
      <c r="C200" s="9" t="n">
        <v>42047</v>
      </c>
      <c r="D200" s="21" t="n">
        <v>3.5</v>
      </c>
      <c r="E200" s="21" t="n">
        <v>0.7</v>
      </c>
      <c r="F200" s="10" t="n">
        <v>7.2</v>
      </c>
      <c r="G200" s="10" t="n">
        <v>1353.2</v>
      </c>
      <c r="H200" s="10" t="n">
        <f aca="false">H199+D200</f>
        <v>317.8</v>
      </c>
      <c r="J200" s="10" t="n">
        <v>0</v>
      </c>
      <c r="K200" s="10" t="n">
        <v>318.3</v>
      </c>
      <c r="L200" s="10" t="n">
        <v>0.5</v>
      </c>
      <c r="M200" s="10" t="n">
        <v>164.1</v>
      </c>
      <c r="N200" s="11" t="n">
        <v>-0.5</v>
      </c>
      <c r="O200" s="10" t="n">
        <f aca="false">O199+N200</f>
        <v>145.6</v>
      </c>
      <c r="P200" s="10" t="n">
        <v>156</v>
      </c>
      <c r="Q200" s="10" t="n">
        <v>1</v>
      </c>
      <c r="R200" s="13" t="n">
        <f aca="false">Q200*L200</f>
        <v>0.5</v>
      </c>
      <c r="S200" s="13" t="n">
        <f aca="false">J200-R200</f>
        <v>-0.5</v>
      </c>
      <c r="T200" s="13" t="n">
        <f aca="false">MIN(153.6,(T199+S200))</f>
        <v>145.6</v>
      </c>
      <c r="V200" s="18" t="n">
        <v>272.7</v>
      </c>
      <c r="W200" s="10" t="n">
        <v>77.9142857142857</v>
      </c>
      <c r="X200" s="10" t="n">
        <v>70193.8</v>
      </c>
      <c r="Y200" s="10" t="n">
        <f aca="false">Y199+V200</f>
        <v>19262.7</v>
      </c>
      <c r="AA200" s="10" t="n">
        <v>9.8348368241504</v>
      </c>
    </row>
    <row r="201" s="10" customFormat="true" ht="15" hidden="false" customHeight="false" outlineLevel="0" collapsed="false">
      <c r="A201" s="34"/>
      <c r="B201" s="16"/>
      <c r="C201" s="9" t="n">
        <v>42048</v>
      </c>
      <c r="D201" s="10" t="n">
        <v>5.8</v>
      </c>
      <c r="E201" s="21" t="n">
        <v>0.8</v>
      </c>
      <c r="F201" s="10" t="n">
        <v>9</v>
      </c>
      <c r="G201" s="10" t="n">
        <v>1359</v>
      </c>
      <c r="H201" s="10" t="n">
        <f aca="false">H200+D201</f>
        <v>323.6</v>
      </c>
      <c r="J201" s="10" t="n">
        <v>1.8</v>
      </c>
      <c r="K201" s="10" t="n">
        <v>320.1</v>
      </c>
      <c r="L201" s="10" t="n">
        <v>1</v>
      </c>
      <c r="M201" s="10" t="n">
        <v>165.1</v>
      </c>
      <c r="N201" s="10" t="n">
        <v>0.8</v>
      </c>
      <c r="O201" s="10" t="n">
        <f aca="false">O200+N201</f>
        <v>146.4</v>
      </c>
      <c r="P201" s="10" t="n">
        <v>157</v>
      </c>
      <c r="Q201" s="10" t="n">
        <v>1</v>
      </c>
      <c r="R201" s="13" t="n">
        <f aca="false">Q201*L201</f>
        <v>1</v>
      </c>
      <c r="S201" s="13" t="n">
        <f aca="false">J201-R201</f>
        <v>0.8</v>
      </c>
      <c r="T201" s="13" t="n">
        <f aca="false">MIN(153.6,(T200+S201))</f>
        <v>146.4</v>
      </c>
      <c r="V201" s="18" t="n">
        <v>651.4</v>
      </c>
      <c r="W201" s="10" t="n">
        <v>112.310344827586</v>
      </c>
      <c r="X201" s="10" t="n">
        <v>70845.2</v>
      </c>
      <c r="Y201" s="10" t="n">
        <f aca="false">Y200+V201</f>
        <v>19914.1</v>
      </c>
      <c r="AA201" s="10" t="n">
        <v>9.89409970527011</v>
      </c>
    </row>
    <row r="202" s="10" customFormat="true" ht="15" hidden="false" customHeight="false" outlineLevel="0" collapsed="false">
      <c r="A202" s="34"/>
      <c r="B202" s="16"/>
      <c r="C202" s="9" t="n">
        <v>42049</v>
      </c>
      <c r="D202" s="10" t="n">
        <v>6.9</v>
      </c>
      <c r="E202" s="10" t="n">
        <v>6.1</v>
      </c>
      <c r="F202" s="10" t="n">
        <v>8.9</v>
      </c>
      <c r="G202" s="10" t="n">
        <v>1365.9</v>
      </c>
      <c r="H202" s="10" t="n">
        <f aca="false">H201+D202</f>
        <v>330.5</v>
      </c>
      <c r="J202" s="10" t="n">
        <v>1</v>
      </c>
      <c r="K202" s="10" t="n">
        <v>321.1</v>
      </c>
      <c r="L202" s="10" t="n">
        <v>0.9</v>
      </c>
      <c r="M202" s="10" t="n">
        <v>166</v>
      </c>
      <c r="N202" s="10" t="n">
        <v>0.1</v>
      </c>
      <c r="O202" s="10" t="n">
        <f aca="false">O201+N202</f>
        <v>146.5</v>
      </c>
      <c r="P202" s="10" t="n">
        <v>158</v>
      </c>
      <c r="Q202" s="10" t="n">
        <v>1</v>
      </c>
      <c r="R202" s="13" t="n">
        <f aca="false">Q202*L202</f>
        <v>0.9</v>
      </c>
      <c r="S202" s="13" t="n">
        <f aca="false">J202-R202</f>
        <v>0.1</v>
      </c>
      <c r="T202" s="13" t="n">
        <f aca="false">MIN(153.6,(T201+S202))</f>
        <v>146.5</v>
      </c>
      <c r="V202" s="18" t="n">
        <v>157.7</v>
      </c>
      <c r="W202" s="10" t="n">
        <v>22.8550724637681</v>
      </c>
      <c r="X202" s="10" t="n">
        <v>71002.9</v>
      </c>
      <c r="Y202" s="10" t="n">
        <f aca="false">Y201+V202</f>
        <v>20071.8</v>
      </c>
      <c r="AA202" s="10" t="n">
        <v>9.95373423150502</v>
      </c>
    </row>
    <row r="203" s="10" customFormat="true" ht="15" hidden="false" customHeight="false" outlineLevel="0" collapsed="false">
      <c r="A203" s="34"/>
      <c r="B203" s="16"/>
      <c r="C203" s="9" t="n">
        <v>42050</v>
      </c>
      <c r="D203" s="10" t="n">
        <v>6.2</v>
      </c>
      <c r="E203" s="21" t="n">
        <v>3.8</v>
      </c>
      <c r="F203" s="10" t="n">
        <v>9.3</v>
      </c>
      <c r="G203" s="10" t="n">
        <v>1372.1</v>
      </c>
      <c r="H203" s="10" t="n">
        <f aca="false">H202+D203</f>
        <v>336.7</v>
      </c>
      <c r="J203" s="10" t="n">
        <v>0</v>
      </c>
      <c r="K203" s="10" t="n">
        <v>321.1</v>
      </c>
      <c r="L203" s="10" t="n">
        <v>0.8</v>
      </c>
      <c r="M203" s="10" t="n">
        <v>166.8</v>
      </c>
      <c r="N203" s="11" t="n">
        <v>-0.8</v>
      </c>
      <c r="O203" s="10" t="n">
        <f aca="false">O202+N203</f>
        <v>145.7</v>
      </c>
      <c r="P203" s="10" t="n">
        <v>159</v>
      </c>
      <c r="Q203" s="10" t="n">
        <v>1</v>
      </c>
      <c r="R203" s="13" t="n">
        <f aca="false">Q203*L203</f>
        <v>0.8</v>
      </c>
      <c r="S203" s="13" t="n">
        <f aca="false">J203-R203</f>
        <v>-0.8</v>
      </c>
      <c r="T203" s="13" t="n">
        <f aca="false">MIN(153.6,(T202+S203))</f>
        <v>145.7</v>
      </c>
      <c r="V203" s="18" t="n">
        <v>614.6</v>
      </c>
      <c r="W203" s="10" t="n">
        <v>99.1290322580645</v>
      </c>
      <c r="X203" s="10" t="n">
        <v>71617.5</v>
      </c>
      <c r="Y203" s="10" t="n">
        <f aca="false">Y202+V203</f>
        <v>20686.4</v>
      </c>
      <c r="AA203" s="10" t="n">
        <v>10.0137206054658</v>
      </c>
    </row>
    <row r="204" s="10" customFormat="true" ht="15" hidden="false" customHeight="false" outlineLevel="0" collapsed="false">
      <c r="A204" s="34"/>
      <c r="B204" s="16"/>
      <c r="C204" s="9" t="n">
        <v>42051</v>
      </c>
      <c r="D204" s="21" t="n">
        <v>2.8</v>
      </c>
      <c r="E204" s="36" t="n">
        <v>-0.5</v>
      </c>
      <c r="F204" s="21" t="n">
        <v>4.5</v>
      </c>
      <c r="G204" s="10" t="n">
        <v>1374.9</v>
      </c>
      <c r="H204" s="10" t="n">
        <f aca="false">H203+D204</f>
        <v>339.5</v>
      </c>
      <c r="J204" s="10" t="n">
        <v>1.5</v>
      </c>
      <c r="K204" s="10" t="n">
        <v>322.6</v>
      </c>
      <c r="L204" s="10" t="n">
        <v>0.5</v>
      </c>
      <c r="M204" s="10" t="n">
        <v>167.3</v>
      </c>
      <c r="N204" s="10" t="n">
        <v>1</v>
      </c>
      <c r="O204" s="10" t="n">
        <f aca="false">O203+N204</f>
        <v>146.7</v>
      </c>
      <c r="P204" s="10" t="n">
        <v>160</v>
      </c>
      <c r="Q204" s="10" t="n">
        <v>1</v>
      </c>
      <c r="R204" s="13" t="n">
        <f aca="false">Q204*L204</f>
        <v>0.5</v>
      </c>
      <c r="S204" s="13" t="n">
        <f aca="false">J204-R204</f>
        <v>1</v>
      </c>
      <c r="T204" s="13" t="n">
        <f aca="false">MIN(153.6,(T203+S204))</f>
        <v>146.7</v>
      </c>
      <c r="V204" s="18" t="n">
        <v>365.1</v>
      </c>
      <c r="W204" s="10" t="n">
        <v>130.392857142857</v>
      </c>
      <c r="X204" s="10" t="n">
        <v>71982.6</v>
      </c>
      <c r="Y204" s="10" t="n">
        <f aca="false">Y203+V204</f>
        <v>21051.5</v>
      </c>
      <c r="AA204" s="10" t="n">
        <v>10.0740397637269</v>
      </c>
    </row>
    <row r="205" s="10" customFormat="true" ht="15" hidden="false" customHeight="false" outlineLevel="0" collapsed="false">
      <c r="A205" s="34"/>
      <c r="B205" s="16"/>
      <c r="C205" s="9" t="n">
        <v>42052</v>
      </c>
      <c r="D205" s="21" t="n">
        <v>4.2</v>
      </c>
      <c r="E205" s="21" t="n">
        <v>3.7</v>
      </c>
      <c r="F205" s="10" t="n">
        <v>7.1</v>
      </c>
      <c r="G205" s="10" t="n">
        <v>1379.1</v>
      </c>
      <c r="H205" s="10" t="n">
        <f aca="false">H204+D205</f>
        <v>343.7</v>
      </c>
      <c r="J205" s="10" t="n">
        <v>0.8</v>
      </c>
      <c r="K205" s="10" t="n">
        <v>323.4</v>
      </c>
      <c r="L205" s="10" t="n">
        <v>0.6</v>
      </c>
      <c r="M205" s="10" t="n">
        <v>167.9</v>
      </c>
      <c r="N205" s="10" t="n">
        <v>0.2</v>
      </c>
      <c r="O205" s="10" t="n">
        <f aca="false">O204+N205</f>
        <v>146.9</v>
      </c>
      <c r="P205" s="10" t="n">
        <v>161</v>
      </c>
      <c r="Q205" s="10" t="n">
        <v>1</v>
      </c>
      <c r="R205" s="13" t="n">
        <f aca="false">Q205*L205</f>
        <v>0.6</v>
      </c>
      <c r="S205" s="13" t="n">
        <f aca="false">J205-R205</f>
        <v>0.2</v>
      </c>
      <c r="T205" s="13" t="n">
        <f aca="false">MIN(153.6,(T204+S205))</f>
        <v>146.9</v>
      </c>
      <c r="V205" s="18" t="n">
        <v>194.8</v>
      </c>
      <c r="W205" s="10" t="n">
        <v>46.3809523809524</v>
      </c>
      <c r="X205" s="10" t="n">
        <v>72177.4</v>
      </c>
      <c r="Y205" s="10" t="n">
        <f aca="false">Y204+V205</f>
        <v>21246.3</v>
      </c>
      <c r="AA205" s="10" t="n">
        <v>10.134673363052</v>
      </c>
    </row>
    <row r="206" s="10" customFormat="true" ht="15" hidden="false" customHeight="false" outlineLevel="0" collapsed="false">
      <c r="A206" s="34"/>
      <c r="B206" s="16"/>
      <c r="C206" s="9" t="n">
        <v>42053</v>
      </c>
      <c r="D206" s="21" t="n">
        <v>0.7</v>
      </c>
      <c r="E206" s="36" t="n">
        <v>-2.4</v>
      </c>
      <c r="F206" s="21" t="n">
        <v>4</v>
      </c>
      <c r="G206" s="10" t="n">
        <v>1379.8</v>
      </c>
      <c r="H206" s="10" t="n">
        <f aca="false">H205+D206</f>
        <v>344.4</v>
      </c>
      <c r="J206" s="10" t="n">
        <v>0</v>
      </c>
      <c r="K206" s="10" t="n">
        <v>323.4</v>
      </c>
      <c r="L206" s="10" t="n">
        <v>0.7</v>
      </c>
      <c r="M206" s="10" t="n">
        <v>168.6</v>
      </c>
      <c r="N206" s="11" t="n">
        <v>-0.7</v>
      </c>
      <c r="O206" s="10" t="n">
        <f aca="false">O205+N206</f>
        <v>146.2</v>
      </c>
      <c r="P206" s="10" t="n">
        <v>162</v>
      </c>
      <c r="Q206" s="10" t="n">
        <v>1</v>
      </c>
      <c r="R206" s="13" t="n">
        <f aca="false">Q206*L206</f>
        <v>0.7</v>
      </c>
      <c r="S206" s="13" t="n">
        <f aca="false">J206-R206</f>
        <v>-0.7</v>
      </c>
      <c r="T206" s="13" t="n">
        <f aca="false">MIN(153.6,(T205+S206))</f>
        <v>146.2</v>
      </c>
      <c r="V206" s="18" t="n">
        <v>614.3</v>
      </c>
      <c r="W206" s="10" t="n">
        <v>877.571428571429</v>
      </c>
      <c r="X206" s="10" t="n">
        <v>72791.7</v>
      </c>
      <c r="Y206" s="10" t="n">
        <f aca="false">Y205+V206</f>
        <v>21860.6</v>
      </c>
      <c r="AA206" s="10" t="n">
        <v>10.1956037653486</v>
      </c>
    </row>
    <row r="207" s="10" customFormat="true" ht="15" hidden="false" customHeight="false" outlineLevel="0" collapsed="false">
      <c r="A207" s="34"/>
      <c r="B207" s="16"/>
      <c r="C207" s="9" t="n">
        <v>42054</v>
      </c>
      <c r="D207" s="21" t="n">
        <v>3.9</v>
      </c>
      <c r="E207" s="21" t="n">
        <v>0.7</v>
      </c>
      <c r="F207" s="10" t="n">
        <v>7</v>
      </c>
      <c r="G207" s="10" t="n">
        <v>1383.7</v>
      </c>
      <c r="H207" s="10" t="n">
        <f aca="false">H206+D207</f>
        <v>348.3</v>
      </c>
      <c r="J207" s="10" t="n">
        <v>2.4</v>
      </c>
      <c r="K207" s="10" t="n">
        <v>325.8</v>
      </c>
      <c r="L207" s="10" t="n">
        <v>0.8</v>
      </c>
      <c r="M207" s="10" t="n">
        <v>169.4</v>
      </c>
      <c r="N207" s="10" t="n">
        <v>1.6</v>
      </c>
      <c r="O207" s="10" t="n">
        <f aca="false">O206+N207</f>
        <v>147.8</v>
      </c>
      <c r="P207" s="10" t="n">
        <v>163</v>
      </c>
      <c r="Q207" s="10" t="n">
        <v>1</v>
      </c>
      <c r="R207" s="13" t="n">
        <f aca="false">Q207*L207</f>
        <v>0.8</v>
      </c>
      <c r="S207" s="13" t="n">
        <f aca="false">J207-R207</f>
        <v>1.6</v>
      </c>
      <c r="T207" s="13" t="n">
        <f aca="false">MIN(153.6,(T206+S207))</f>
        <v>147.8</v>
      </c>
      <c r="V207" s="18" t="n">
        <v>515.4</v>
      </c>
      <c r="W207" s="10" t="n">
        <v>132.153846153846</v>
      </c>
      <c r="X207" s="10" t="n">
        <v>73307.1</v>
      </c>
      <c r="Y207" s="10" t="n">
        <f aca="false">Y206+V207</f>
        <v>22376</v>
      </c>
      <c r="AA207" s="10" t="n">
        <v>10.2568140214922</v>
      </c>
    </row>
    <row r="208" s="10" customFormat="true" ht="15" hidden="false" customHeight="false" outlineLevel="0" collapsed="false">
      <c r="A208" s="34"/>
      <c r="B208" s="16"/>
      <c r="C208" s="9" t="n">
        <v>42055</v>
      </c>
      <c r="D208" s="10" t="n">
        <v>6.1</v>
      </c>
      <c r="E208" s="21" t="n">
        <v>4.4</v>
      </c>
      <c r="F208" s="10" t="n">
        <v>7.7</v>
      </c>
      <c r="G208" s="10" t="n">
        <v>1389.8</v>
      </c>
      <c r="H208" s="10" t="n">
        <f aca="false">H207+D208</f>
        <v>354.4</v>
      </c>
      <c r="J208" s="10" t="n">
        <v>13.2</v>
      </c>
      <c r="K208" s="10" t="n">
        <v>339</v>
      </c>
      <c r="L208" s="10" t="n">
        <v>0.4</v>
      </c>
      <c r="M208" s="10" t="n">
        <v>169.8</v>
      </c>
      <c r="N208" s="10" t="n">
        <v>12.8</v>
      </c>
      <c r="O208" s="10" t="n">
        <v>153.6</v>
      </c>
      <c r="P208" s="10" t="n">
        <v>164</v>
      </c>
      <c r="Q208" s="10" t="n">
        <v>1</v>
      </c>
      <c r="R208" s="13" t="n">
        <f aca="false">Q208*L208</f>
        <v>0.4</v>
      </c>
      <c r="S208" s="13" t="n">
        <f aca="false">J208-R208</f>
        <v>12.8</v>
      </c>
      <c r="T208" s="13" t="n">
        <f aca="false">MIN(153.6,(T207+S208))</f>
        <v>153.6</v>
      </c>
      <c r="V208" s="18" t="n">
        <v>118.1</v>
      </c>
      <c r="W208" s="10" t="n">
        <v>19.3606557377049</v>
      </c>
      <c r="X208" s="10" t="n">
        <v>73425.2</v>
      </c>
      <c r="Y208" s="10" t="n">
        <f aca="false">Y207+V208</f>
        <v>22494.1</v>
      </c>
      <c r="AA208" s="10" t="n">
        <v>10.3182878541557</v>
      </c>
    </row>
    <row r="209" s="10" customFormat="true" ht="15" hidden="false" customHeight="false" outlineLevel="0" collapsed="false">
      <c r="A209" s="34"/>
      <c r="B209" s="16"/>
      <c r="C209" s="9" t="n">
        <v>42056</v>
      </c>
      <c r="D209" s="21" t="n">
        <v>3</v>
      </c>
      <c r="E209" s="21" t="n">
        <v>1.2</v>
      </c>
      <c r="F209" s="10" t="n">
        <v>5.7</v>
      </c>
      <c r="G209" s="10" t="n">
        <v>1392.8</v>
      </c>
      <c r="H209" s="10" t="n">
        <f aca="false">H208+D209</f>
        <v>357.4</v>
      </c>
      <c r="J209" s="10" t="n">
        <v>0</v>
      </c>
      <c r="K209" s="10" t="n">
        <v>339</v>
      </c>
      <c r="L209" s="10" t="n">
        <v>0.5</v>
      </c>
      <c r="M209" s="10" t="n">
        <v>170.3</v>
      </c>
      <c r="N209" s="11" t="n">
        <v>-0.5</v>
      </c>
      <c r="O209" s="10" t="n">
        <f aca="false">O208+N209</f>
        <v>153.1</v>
      </c>
      <c r="P209" s="10" t="n">
        <v>165</v>
      </c>
      <c r="Q209" s="10" t="n">
        <v>1</v>
      </c>
      <c r="R209" s="13" t="n">
        <f aca="false">Q209*L209</f>
        <v>0.5</v>
      </c>
      <c r="S209" s="13" t="n">
        <f aca="false">J209-R209</f>
        <v>-0.5</v>
      </c>
      <c r="T209" s="13" t="n">
        <f aca="false">MIN(153.6,(T208+S209))</f>
        <v>153.1</v>
      </c>
      <c r="V209" s="18" t="n">
        <v>177</v>
      </c>
      <c r="W209" s="10" t="n">
        <v>59</v>
      </c>
      <c r="X209" s="10" t="n">
        <v>73602.2</v>
      </c>
      <c r="Y209" s="10" t="n">
        <f aca="false">Y208+V209</f>
        <v>22671.1</v>
      </c>
      <c r="AA209" s="10" t="n">
        <v>10.3800096397642</v>
      </c>
    </row>
    <row r="210" s="10" customFormat="true" ht="15" hidden="false" customHeight="false" outlineLevel="0" collapsed="false">
      <c r="A210" s="34"/>
      <c r="B210" s="16"/>
      <c r="C210" s="9" t="n">
        <v>42057</v>
      </c>
      <c r="D210" s="21" t="n">
        <v>3.5</v>
      </c>
      <c r="E210" s="36" t="n">
        <v>-0.6</v>
      </c>
      <c r="F210" s="10" t="n">
        <v>7</v>
      </c>
      <c r="G210" s="10" t="n">
        <v>1396.3</v>
      </c>
      <c r="H210" s="10" t="n">
        <f aca="false">H209+D210</f>
        <v>360.9</v>
      </c>
      <c r="J210" s="10" t="n">
        <v>5.1</v>
      </c>
      <c r="K210" s="10" t="n">
        <v>344.1</v>
      </c>
      <c r="L210" s="10" t="n">
        <v>1</v>
      </c>
      <c r="M210" s="10" t="n">
        <v>171.3</v>
      </c>
      <c r="N210" s="10" t="n">
        <v>4.1</v>
      </c>
      <c r="O210" s="10" t="n">
        <v>153.6</v>
      </c>
      <c r="P210" s="10" t="n">
        <v>166</v>
      </c>
      <c r="Q210" s="10" t="n">
        <v>1</v>
      </c>
      <c r="R210" s="13" t="n">
        <f aca="false">Q210*L210</f>
        <v>1</v>
      </c>
      <c r="S210" s="13" t="n">
        <f aca="false">J210-R210</f>
        <v>4.1</v>
      </c>
      <c r="T210" s="13" t="n">
        <f aca="false">MIN(153.6,(T209+S210))</f>
        <v>153.6</v>
      </c>
      <c r="V210" s="18" t="n">
        <v>820.1</v>
      </c>
      <c r="W210" s="10" t="n">
        <v>234.314285714286</v>
      </c>
      <c r="X210" s="10" t="n">
        <v>74422.3</v>
      </c>
      <c r="Y210" s="10" t="n">
        <f aca="false">Y209+V210</f>
        <v>23491.2</v>
      </c>
      <c r="AA210" s="10" t="n">
        <v>10.4419643896941</v>
      </c>
    </row>
    <row r="211" s="10" customFormat="true" ht="15" hidden="false" customHeight="false" outlineLevel="0" collapsed="false">
      <c r="A211" s="34"/>
      <c r="B211" s="16"/>
      <c r="C211" s="9" t="n">
        <v>42058</v>
      </c>
      <c r="D211" s="10" t="n">
        <v>5.8</v>
      </c>
      <c r="E211" s="21" t="n">
        <v>4.1</v>
      </c>
      <c r="F211" s="10" t="n">
        <v>9.5</v>
      </c>
      <c r="G211" s="10" t="n">
        <v>1402.1</v>
      </c>
      <c r="H211" s="10" t="n">
        <f aca="false">H210+D211</f>
        <v>366.7</v>
      </c>
      <c r="J211" s="10" t="n">
        <v>3.5</v>
      </c>
      <c r="K211" s="10" t="n">
        <v>347.6</v>
      </c>
      <c r="L211" s="10" t="n">
        <v>1.6</v>
      </c>
      <c r="M211" s="10" t="n">
        <v>172.9</v>
      </c>
      <c r="N211" s="10" t="n">
        <v>1.9</v>
      </c>
      <c r="O211" s="10" t="n">
        <v>153.6</v>
      </c>
      <c r="P211" s="10" t="n">
        <v>167</v>
      </c>
      <c r="Q211" s="10" t="n">
        <v>1</v>
      </c>
      <c r="R211" s="13" t="n">
        <f aca="false">Q211*L211</f>
        <v>1.6</v>
      </c>
      <c r="S211" s="13" t="n">
        <f aca="false">J211-R211</f>
        <v>1.9</v>
      </c>
      <c r="T211" s="13" t="n">
        <f aca="false">MIN(153.6,(T210+S211))</f>
        <v>153.6</v>
      </c>
      <c r="V211" s="18" t="n">
        <v>524.2</v>
      </c>
      <c r="W211" s="10" t="n">
        <v>90.3793103448276</v>
      </c>
      <c r="X211" s="10" t="n">
        <v>74946.5</v>
      </c>
      <c r="Y211" s="10" t="n">
        <f aca="false">Y210+V211</f>
        <v>24015.4</v>
      </c>
      <c r="AA211" s="10" t="n">
        <v>10.5041377308199</v>
      </c>
    </row>
    <row r="212" s="10" customFormat="true" ht="15" hidden="false" customHeight="false" outlineLevel="0" collapsed="false">
      <c r="A212" s="34"/>
      <c r="B212" s="16"/>
      <c r="C212" s="9" t="n">
        <v>42059</v>
      </c>
      <c r="D212" s="21" t="n">
        <v>4.9</v>
      </c>
      <c r="E212" s="21" t="n">
        <v>3</v>
      </c>
      <c r="F212" s="10" t="n">
        <v>8.6</v>
      </c>
      <c r="G212" s="10" t="n">
        <v>1407</v>
      </c>
      <c r="H212" s="10" t="n">
        <f aca="false">H211+D212</f>
        <v>371.6</v>
      </c>
      <c r="J212" s="10" t="n">
        <v>3</v>
      </c>
      <c r="K212" s="10" t="n">
        <v>350.6</v>
      </c>
      <c r="L212" s="10" t="n">
        <v>1.6</v>
      </c>
      <c r="M212" s="10" t="n">
        <v>174.5</v>
      </c>
      <c r="N212" s="10" t="n">
        <v>1.4</v>
      </c>
      <c r="O212" s="10" t="n">
        <v>153.6</v>
      </c>
      <c r="P212" s="10" t="n">
        <v>168</v>
      </c>
      <c r="Q212" s="10" t="n">
        <v>1</v>
      </c>
      <c r="R212" s="13" t="n">
        <f aca="false">Q212*L212</f>
        <v>1.6</v>
      </c>
      <c r="S212" s="13" t="n">
        <f aca="false">J212-R212</f>
        <v>1.4</v>
      </c>
      <c r="T212" s="13" t="n">
        <f aca="false">MIN(153.6,(T211+S212))</f>
        <v>153.6</v>
      </c>
      <c r="V212" s="18" t="n">
        <v>818.8</v>
      </c>
      <c r="W212" s="10" t="n">
        <v>167.102040816327</v>
      </c>
      <c r="X212" s="10" t="n">
        <v>75765.3</v>
      </c>
      <c r="Y212" s="10" t="n">
        <f aca="false">Y211+V212</f>
        <v>24834.2</v>
      </c>
      <c r="AA212" s="10" t="n">
        <v>10.5665158855088</v>
      </c>
    </row>
    <row r="213" s="10" customFormat="true" ht="15" hidden="false" customHeight="false" outlineLevel="0" collapsed="false">
      <c r="A213" s="34"/>
      <c r="B213" s="16"/>
      <c r="C213" s="9" t="n">
        <v>42060</v>
      </c>
      <c r="D213" s="21" t="n">
        <v>5</v>
      </c>
      <c r="E213" s="21" t="n">
        <v>2.5</v>
      </c>
      <c r="F213" s="10" t="n">
        <v>7.3</v>
      </c>
      <c r="G213" s="10" t="n">
        <v>1412</v>
      </c>
      <c r="H213" s="10" t="n">
        <f aca="false">H212+D213</f>
        <v>376.6</v>
      </c>
      <c r="J213" s="10" t="n">
        <v>5</v>
      </c>
      <c r="K213" s="10" t="n">
        <v>355.6</v>
      </c>
      <c r="L213" s="10" t="n">
        <v>0.4</v>
      </c>
      <c r="M213" s="10" t="n">
        <v>174.9</v>
      </c>
      <c r="N213" s="10" t="n">
        <v>4.6</v>
      </c>
      <c r="O213" s="10" t="n">
        <v>153.6</v>
      </c>
      <c r="P213" s="10" t="n">
        <v>169</v>
      </c>
      <c r="Q213" s="10" t="n">
        <v>1</v>
      </c>
      <c r="R213" s="13" t="n">
        <f aca="false">Q213*L213</f>
        <v>0.4</v>
      </c>
      <c r="S213" s="13" t="n">
        <f aca="false">J213-R213</f>
        <v>4.6</v>
      </c>
      <c r="T213" s="13" t="n">
        <f aca="false">MIN(153.6,(T212+S213))</f>
        <v>153.6</v>
      </c>
      <c r="V213" s="18" t="n">
        <v>171.1</v>
      </c>
      <c r="W213" s="10" t="n">
        <v>34.22</v>
      </c>
      <c r="X213" s="10" t="n">
        <v>75936.4</v>
      </c>
      <c r="Y213" s="10" t="n">
        <f aca="false">Y212+V213</f>
        <v>25005.3</v>
      </c>
      <c r="AA213" s="10" t="n">
        <v>10.6290856511529</v>
      </c>
    </row>
    <row r="214" s="10" customFormat="true" ht="15" hidden="false" customHeight="false" outlineLevel="0" collapsed="false">
      <c r="A214" s="34"/>
      <c r="B214" s="16"/>
      <c r="C214" s="9" t="n">
        <v>42061</v>
      </c>
      <c r="D214" s="10" t="n">
        <v>7.7</v>
      </c>
      <c r="E214" s="21" t="n">
        <v>4.8</v>
      </c>
      <c r="F214" s="10" t="n">
        <v>11</v>
      </c>
      <c r="G214" s="10" t="n">
        <v>1419.7</v>
      </c>
      <c r="H214" s="10" t="n">
        <f aca="false">H213+D214</f>
        <v>384.3</v>
      </c>
      <c r="J214" s="10" t="n">
        <v>9.8</v>
      </c>
      <c r="K214" s="10" t="n">
        <v>365.4</v>
      </c>
      <c r="L214" s="10" t="n">
        <v>0.4</v>
      </c>
      <c r="M214" s="10" t="n">
        <v>175.3</v>
      </c>
      <c r="N214" s="10" t="n">
        <v>9.4</v>
      </c>
      <c r="O214" s="10" t="n">
        <v>153.6</v>
      </c>
      <c r="P214" s="10" t="n">
        <v>170</v>
      </c>
      <c r="Q214" s="10" t="n">
        <v>1</v>
      </c>
      <c r="R214" s="13" t="n">
        <f aca="false">Q214*L214</f>
        <v>0.4</v>
      </c>
      <c r="S214" s="13" t="n">
        <f aca="false">J214-R214</f>
        <v>9.4</v>
      </c>
      <c r="T214" s="13" t="n">
        <f aca="false">MIN(153.6,(T213+S214))</f>
        <v>153.6</v>
      </c>
      <c r="V214" s="18" t="n">
        <v>201.7</v>
      </c>
      <c r="W214" s="10" t="n">
        <v>26.1948051948052</v>
      </c>
      <c r="X214" s="10" t="n">
        <v>76138.1</v>
      </c>
      <c r="Y214" s="10" t="n">
        <f aca="false">Y213+V214</f>
        <v>25207</v>
      </c>
      <c r="AA214" s="10" t="n">
        <v>10.6918343793206</v>
      </c>
    </row>
    <row r="215" s="10" customFormat="true" ht="15" hidden="false" customHeight="false" outlineLevel="0" collapsed="false">
      <c r="A215" s="34"/>
      <c r="B215" s="16"/>
      <c r="C215" s="9" t="n">
        <v>42062</v>
      </c>
      <c r="D215" s="21" t="n">
        <v>3.6</v>
      </c>
      <c r="E215" s="21" t="n">
        <v>2.3</v>
      </c>
      <c r="F215" s="10" t="n">
        <v>7</v>
      </c>
      <c r="G215" s="10" t="n">
        <v>1423.3</v>
      </c>
      <c r="H215" s="10" t="n">
        <f aca="false">H214+D215</f>
        <v>387.9</v>
      </c>
      <c r="J215" s="10" t="n">
        <v>0</v>
      </c>
      <c r="K215" s="10" t="n">
        <v>365.4</v>
      </c>
      <c r="L215" s="10" t="n">
        <v>1.6</v>
      </c>
      <c r="M215" s="10" t="n">
        <v>176.9</v>
      </c>
      <c r="N215" s="11" t="n">
        <v>-1.6</v>
      </c>
      <c r="O215" s="10" t="n">
        <f aca="false">O214+N215</f>
        <v>152</v>
      </c>
      <c r="P215" s="10" t="n">
        <v>171</v>
      </c>
      <c r="Q215" s="10" t="n">
        <v>1</v>
      </c>
      <c r="R215" s="13" t="n">
        <f aca="false">Q215*L215</f>
        <v>1.6</v>
      </c>
      <c r="S215" s="13" t="n">
        <f aca="false">J215-R215</f>
        <v>-1.6</v>
      </c>
      <c r="T215" s="13" t="n">
        <f aca="false">MIN(153.6,(T214+S215))</f>
        <v>152</v>
      </c>
      <c r="V215" s="10" t="n">
        <v>1042</v>
      </c>
      <c r="W215" s="10" t="n">
        <v>289.444444444444</v>
      </c>
      <c r="X215" s="10" t="n">
        <v>77180.1</v>
      </c>
      <c r="Y215" s="10" t="n">
        <f aca="false">Y214+V215</f>
        <v>26249</v>
      </c>
      <c r="AA215" s="10" t="n">
        <v>10.7547499546026</v>
      </c>
    </row>
    <row r="216" s="10" customFormat="true" ht="15" hidden="false" customHeight="false" outlineLevel="0" collapsed="false">
      <c r="A216" s="34"/>
      <c r="B216" s="16"/>
      <c r="C216" s="9" t="n">
        <v>42063</v>
      </c>
      <c r="D216" s="10" t="n">
        <v>5.9</v>
      </c>
      <c r="E216" s="21" t="n">
        <v>0.6</v>
      </c>
      <c r="F216" s="10" t="n">
        <v>9.7</v>
      </c>
      <c r="G216" s="10" t="n">
        <v>1429.2</v>
      </c>
      <c r="H216" s="10" t="n">
        <f aca="false">H215+D216</f>
        <v>393.8</v>
      </c>
      <c r="J216" s="10" t="n">
        <v>3</v>
      </c>
      <c r="K216" s="10" t="n">
        <v>368.4</v>
      </c>
      <c r="L216" s="10" t="n">
        <v>1</v>
      </c>
      <c r="M216" s="10" t="n">
        <v>177.9</v>
      </c>
      <c r="N216" s="10" t="n">
        <v>2</v>
      </c>
      <c r="O216" s="10" t="n">
        <v>153.6</v>
      </c>
      <c r="P216" s="10" t="n">
        <v>172</v>
      </c>
      <c r="Q216" s="10" t="n">
        <v>1</v>
      </c>
      <c r="R216" s="13" t="n">
        <f aca="false">Q216*L216</f>
        <v>1</v>
      </c>
      <c r="S216" s="13" t="n">
        <f aca="false">J216-R216</f>
        <v>2</v>
      </c>
      <c r="T216" s="13" t="n">
        <f aca="false">MIN(153.6,(T215+S216))</f>
        <v>153.6</v>
      </c>
      <c r="V216" s="18" t="n">
        <v>605.2</v>
      </c>
      <c r="W216" s="10" t="n">
        <v>102.576271186441</v>
      </c>
      <c r="X216" s="10" t="n">
        <v>77785.3</v>
      </c>
      <c r="Y216" s="10" t="n">
        <f aca="false">Y215+V216</f>
        <v>26854.2</v>
      </c>
      <c r="AA216" s="10" t="n">
        <v>10.8178207732204</v>
      </c>
    </row>
    <row r="217" s="10" customFormat="true" ht="15" hidden="false" customHeight="false" outlineLevel="0" collapsed="false">
      <c r="A217" s="34"/>
      <c r="B217" s="16"/>
      <c r="C217" s="9" t="n">
        <v>42064</v>
      </c>
      <c r="D217" s="10" t="n">
        <v>9</v>
      </c>
      <c r="E217" s="10" t="n">
        <v>7.1</v>
      </c>
      <c r="F217" s="10" t="n">
        <v>10.4</v>
      </c>
      <c r="G217" s="10" t="n">
        <v>1438.2</v>
      </c>
      <c r="H217" s="10" t="n">
        <f aca="false">H216+D217</f>
        <v>402.8</v>
      </c>
      <c r="J217" s="10" t="n">
        <v>3</v>
      </c>
      <c r="K217" s="10" t="n">
        <v>371.4</v>
      </c>
      <c r="L217" s="10" t="n">
        <v>1.5</v>
      </c>
      <c r="M217" s="10" t="n">
        <v>179.4</v>
      </c>
      <c r="N217" s="10" t="n">
        <v>1.5</v>
      </c>
      <c r="O217" s="10" t="n">
        <v>153.6</v>
      </c>
      <c r="P217" s="10" t="n">
        <v>173</v>
      </c>
      <c r="Q217" s="10" t="n">
        <v>1</v>
      </c>
      <c r="R217" s="13" t="n">
        <f aca="false">Q217*L217</f>
        <v>1.5</v>
      </c>
      <c r="S217" s="13" t="n">
        <f aca="false">J217-R217</f>
        <v>1.5</v>
      </c>
      <c r="T217" s="13" t="n">
        <f aca="false">MIN(153.6,(T216+S217))</f>
        <v>153.6</v>
      </c>
      <c r="V217" s="18" t="n">
        <v>563.2</v>
      </c>
      <c r="W217" s="10" t="n">
        <v>62.5777777777778</v>
      </c>
      <c r="X217" s="10" t="n">
        <v>78348.5</v>
      </c>
      <c r="Y217" s="10" t="n">
        <f aca="false">Y216+V217</f>
        <v>27417.4</v>
      </c>
      <c r="AA217" s="10" t="n">
        <v>10.8810357214578</v>
      </c>
    </row>
    <row r="218" s="10" customFormat="true" ht="15" hidden="false" customHeight="false" outlineLevel="0" collapsed="false">
      <c r="A218" s="34"/>
      <c r="B218" s="16"/>
      <c r="C218" s="9" t="n">
        <v>42065</v>
      </c>
      <c r="D218" s="21" t="n">
        <v>5</v>
      </c>
      <c r="E218" s="21" t="n">
        <v>4.2</v>
      </c>
      <c r="F218" s="10" t="n">
        <v>6.7</v>
      </c>
      <c r="G218" s="10" t="n">
        <v>1443.2</v>
      </c>
      <c r="H218" s="10" t="n">
        <f aca="false">H217+D218</f>
        <v>407.8</v>
      </c>
      <c r="J218" s="10" t="n">
        <v>2.7</v>
      </c>
      <c r="K218" s="10" t="n">
        <v>374.1</v>
      </c>
      <c r="L218" s="10" t="n">
        <v>1.5</v>
      </c>
      <c r="M218" s="10" t="n">
        <v>180.9</v>
      </c>
      <c r="N218" s="10" t="n">
        <v>1.2</v>
      </c>
      <c r="O218" s="10" t="n">
        <v>153.6</v>
      </c>
      <c r="P218" s="10" t="n">
        <v>174</v>
      </c>
      <c r="Q218" s="10" t="n">
        <v>1</v>
      </c>
      <c r="R218" s="13" t="n">
        <f aca="false">Q218*L218</f>
        <v>1.5</v>
      </c>
      <c r="S218" s="13" t="n">
        <f aca="false">J218-R218</f>
        <v>1.2</v>
      </c>
      <c r="T218" s="13" t="n">
        <f aca="false">MIN(153.6,(T217+S218))</f>
        <v>153.6</v>
      </c>
      <c r="V218" s="18" t="n">
        <v>753.4</v>
      </c>
      <c r="W218" s="10" t="n">
        <v>150.68</v>
      </c>
      <c r="X218" s="10" t="n">
        <v>79101.9</v>
      </c>
      <c r="Y218" s="10" t="n">
        <f aca="false">Y217+V218</f>
        <v>28170.8</v>
      </c>
      <c r="AA218" s="10" t="n">
        <v>10.9443841539697</v>
      </c>
    </row>
    <row r="219" s="10" customFormat="true" ht="15" hidden="false" customHeight="false" outlineLevel="0" collapsed="false">
      <c r="A219" s="34"/>
      <c r="B219" s="16"/>
      <c r="C219" s="9" t="n">
        <v>42066</v>
      </c>
      <c r="D219" s="21" t="n">
        <v>4.4</v>
      </c>
      <c r="E219" s="21" t="n">
        <v>2.7</v>
      </c>
      <c r="F219" s="10" t="n">
        <v>8</v>
      </c>
      <c r="G219" s="10" t="n">
        <v>1447.6</v>
      </c>
      <c r="H219" s="10" t="n">
        <f aca="false">H218+D219</f>
        <v>412.2</v>
      </c>
      <c r="J219" s="10" t="n">
        <v>1.9</v>
      </c>
      <c r="K219" s="10" t="n">
        <v>376</v>
      </c>
      <c r="L219" s="10" t="n">
        <v>1.1</v>
      </c>
      <c r="M219" s="10" t="n">
        <v>182</v>
      </c>
      <c r="N219" s="10" t="n">
        <v>0.8</v>
      </c>
      <c r="O219" s="10" t="n">
        <v>153.6</v>
      </c>
      <c r="P219" s="10" t="n">
        <v>175</v>
      </c>
      <c r="Q219" s="10" t="n">
        <v>1</v>
      </c>
      <c r="R219" s="13" t="n">
        <f aca="false">Q219*L219</f>
        <v>1.1</v>
      </c>
      <c r="S219" s="13" t="n">
        <f aca="false">J219-R219</f>
        <v>0.8</v>
      </c>
      <c r="T219" s="13" t="n">
        <f aca="false">MIN(153.6,(T218+S219))</f>
        <v>153.6</v>
      </c>
      <c r="V219" s="18" t="n">
        <v>386.8</v>
      </c>
      <c r="W219" s="10" t="n">
        <v>87.9090909090909</v>
      </c>
      <c r="X219" s="10" t="n">
        <v>79488.7</v>
      </c>
      <c r="Y219" s="10" t="n">
        <f aca="false">Y218+V219</f>
        <v>28557.6</v>
      </c>
      <c r="AA219" s="10" t="n">
        <v>11.0078558720175</v>
      </c>
    </row>
    <row r="220" s="10" customFormat="true" ht="15" hidden="false" customHeight="false" outlineLevel="0" collapsed="false">
      <c r="A220" s="34"/>
      <c r="B220" s="16"/>
      <c r="C220" s="9" t="n">
        <v>42067</v>
      </c>
      <c r="D220" s="21" t="n">
        <v>4.4</v>
      </c>
      <c r="E220" s="21" t="n">
        <v>1.3</v>
      </c>
      <c r="F220" s="10" t="n">
        <v>8.7</v>
      </c>
      <c r="G220" s="10" t="n">
        <v>1452</v>
      </c>
      <c r="H220" s="10" t="n">
        <f aca="false">H219+D220</f>
        <v>416.6</v>
      </c>
      <c r="J220" s="10" t="n">
        <v>0</v>
      </c>
      <c r="K220" s="10" t="n">
        <v>376</v>
      </c>
      <c r="L220" s="10" t="n">
        <v>1.6</v>
      </c>
      <c r="M220" s="10" t="n">
        <v>183.6</v>
      </c>
      <c r="N220" s="11" t="n">
        <v>-1.6</v>
      </c>
      <c r="O220" s="10" t="n">
        <f aca="false">O219+N220</f>
        <v>152</v>
      </c>
      <c r="P220" s="10" t="n">
        <v>176</v>
      </c>
      <c r="Q220" s="10" t="n">
        <v>1</v>
      </c>
      <c r="R220" s="13" t="n">
        <f aca="false">Q220*L220</f>
        <v>1.6</v>
      </c>
      <c r="S220" s="13" t="n">
        <f aca="false">J220-R220</f>
        <v>-1.6</v>
      </c>
      <c r="T220" s="13" t="n">
        <f aca="false">MIN(153.6,(T219+S220))</f>
        <v>152</v>
      </c>
      <c r="V220" s="10" t="n">
        <v>1080.4</v>
      </c>
      <c r="W220" s="10" t="n">
        <v>245.545454545455</v>
      </c>
      <c r="X220" s="10" t="n">
        <v>80569.1</v>
      </c>
      <c r="Y220" s="10" t="n">
        <f aca="false">Y219+V220</f>
        <v>29638</v>
      </c>
      <c r="AA220" s="10" t="n">
        <v>11.0714411016731</v>
      </c>
    </row>
    <row r="221" s="10" customFormat="true" ht="15" hidden="false" customHeight="false" outlineLevel="0" collapsed="false">
      <c r="A221" s="34"/>
      <c r="B221" s="16"/>
      <c r="C221" s="9" t="n">
        <v>42068</v>
      </c>
      <c r="D221" s="21" t="n">
        <v>4.7</v>
      </c>
      <c r="E221" s="21" t="n">
        <v>0.5</v>
      </c>
      <c r="F221" s="10" t="n">
        <v>9.4</v>
      </c>
      <c r="G221" s="10" t="n">
        <v>1456.7</v>
      </c>
      <c r="H221" s="10" t="n">
        <f aca="false">H220+D221</f>
        <v>421.3</v>
      </c>
      <c r="J221" s="10" t="n">
        <v>0.2</v>
      </c>
      <c r="K221" s="10" t="n">
        <v>376.2</v>
      </c>
      <c r="L221" s="10" t="n">
        <v>1.4</v>
      </c>
      <c r="M221" s="10" t="n">
        <v>185</v>
      </c>
      <c r="N221" s="11" t="n">
        <v>-1.2</v>
      </c>
      <c r="O221" s="10" t="n">
        <f aca="false">O220+N221</f>
        <v>150.8</v>
      </c>
      <c r="P221" s="10" t="n">
        <v>177</v>
      </c>
      <c r="Q221" s="10" t="n">
        <v>1</v>
      </c>
      <c r="R221" s="13" t="n">
        <f aca="false">Q221*L221</f>
        <v>1.4</v>
      </c>
      <c r="S221" s="13" t="n">
        <f aca="false">J221-R221</f>
        <v>-1.2</v>
      </c>
      <c r="T221" s="13" t="n">
        <f aca="false">MIN(153.6,(T220+S221))</f>
        <v>150.8</v>
      </c>
      <c r="V221" s="10" t="n">
        <v>990.7</v>
      </c>
      <c r="W221" s="10" t="n">
        <v>210.787234042553</v>
      </c>
      <c r="X221" s="10" t="n">
        <v>81559.8</v>
      </c>
      <c r="Y221" s="10" t="n">
        <f aca="false">Y220+V221</f>
        <v>30628.7</v>
      </c>
      <c r="AA221" s="10" t="n">
        <v>11.1351304720285</v>
      </c>
    </row>
    <row r="222" s="28" customFormat="true" ht="15" hidden="false" customHeight="false" outlineLevel="0" collapsed="false">
      <c r="A222" s="34"/>
      <c r="B222" s="37"/>
      <c r="C222" s="26" t="n">
        <v>42069</v>
      </c>
      <c r="D222" s="27" t="n">
        <v>5.4</v>
      </c>
      <c r="E222" s="27" t="n">
        <v>1.4</v>
      </c>
      <c r="F222" s="27" t="n">
        <v>9.5</v>
      </c>
      <c r="G222" s="27" t="n">
        <v>1462.1</v>
      </c>
      <c r="H222" s="28" t="n">
        <f aca="false">H221+D222</f>
        <v>426.7</v>
      </c>
      <c r="I222" s="27"/>
      <c r="J222" s="27" t="n">
        <v>0</v>
      </c>
      <c r="K222" s="27" t="n">
        <v>376.2</v>
      </c>
      <c r="L222" s="27" t="n">
        <v>1.4</v>
      </c>
      <c r="M222" s="27" t="n">
        <v>186.4</v>
      </c>
      <c r="N222" s="27" t="n">
        <v>-1.4</v>
      </c>
      <c r="O222" s="28" t="n">
        <f aca="false">O221+N222</f>
        <v>149.4</v>
      </c>
      <c r="P222" s="28" t="n">
        <v>178</v>
      </c>
      <c r="Q222" s="29" t="n">
        <v>1</v>
      </c>
      <c r="R222" s="30" t="n">
        <f aca="false">Q222*L222</f>
        <v>1.4</v>
      </c>
      <c r="S222" s="30" t="n">
        <f aca="false">J222-R222</f>
        <v>-1.4</v>
      </c>
      <c r="T222" s="31" t="n">
        <f aca="false">MIN(153.6,(T221+S222))</f>
        <v>149.4</v>
      </c>
      <c r="U222" s="27"/>
      <c r="V222" s="32" t="n">
        <v>869.4</v>
      </c>
      <c r="W222" s="27" t="n">
        <v>161</v>
      </c>
      <c r="X222" s="27" t="n">
        <v>82429.2</v>
      </c>
      <c r="Y222" s="29" t="n">
        <f aca="false">Y221+V222</f>
        <v>31498.1</v>
      </c>
      <c r="Z222" s="27"/>
      <c r="AA222" s="29" t="n">
        <v>11.1989149934452</v>
      </c>
    </row>
    <row r="223" s="10" customFormat="true" ht="15" hidden="false" customHeight="true" outlineLevel="0" collapsed="false">
      <c r="A223" s="38" t="s">
        <v>45</v>
      </c>
      <c r="B223" s="16"/>
      <c r="C223" s="9" t="n">
        <v>42070</v>
      </c>
      <c r="D223" s="10" t="n">
        <v>7</v>
      </c>
      <c r="E223" s="21" t="n">
        <v>2.2</v>
      </c>
      <c r="F223" s="10" t="n">
        <v>11.3</v>
      </c>
      <c r="G223" s="10" t="n">
        <v>1469.1</v>
      </c>
      <c r="H223" s="10" t="n">
        <v>7</v>
      </c>
      <c r="I223" s="39" t="s">
        <v>27</v>
      </c>
      <c r="J223" s="10" t="n">
        <v>0</v>
      </c>
      <c r="K223" s="10" t="n">
        <v>376.2</v>
      </c>
      <c r="L223" s="10" t="n">
        <v>2</v>
      </c>
      <c r="M223" s="10" t="n">
        <v>188.4</v>
      </c>
      <c r="N223" s="11" t="n">
        <v>-2</v>
      </c>
      <c r="O223" s="10" t="n">
        <f aca="false">O222+N223</f>
        <v>147.4</v>
      </c>
      <c r="P223" s="10" t="n">
        <v>179</v>
      </c>
      <c r="Q223" s="19" t="n">
        <f aca="false">1+((P223-178)/41)*(1.15-1)</f>
        <v>1.00365853658537</v>
      </c>
      <c r="R223" s="13" t="n">
        <f aca="false">Q223*L223</f>
        <v>2.00731707317073</v>
      </c>
      <c r="S223" s="13" t="n">
        <f aca="false">J223-R223</f>
        <v>-2.00731707317073</v>
      </c>
      <c r="T223" s="13" t="n">
        <f aca="false">MIN(153.6,(T222+S223))</f>
        <v>147.392682926829</v>
      </c>
      <c r="U223" s="39" t="s">
        <v>28</v>
      </c>
      <c r="V223" s="10" t="n">
        <v>1294.5</v>
      </c>
      <c r="W223" s="10" t="n">
        <v>184.928571428571</v>
      </c>
      <c r="X223" s="10" t="n">
        <v>83723.7</v>
      </c>
      <c r="Y223" s="10" t="n">
        <v>1294.5</v>
      </c>
      <c r="Z223" s="39" t="s">
        <v>29</v>
      </c>
      <c r="AA223" s="10" t="n">
        <v>11.2627860358683</v>
      </c>
    </row>
    <row r="224" s="10" customFormat="true" ht="15" hidden="false" customHeight="false" outlineLevel="0" collapsed="false">
      <c r="A224" s="38"/>
      <c r="B224" s="16"/>
      <c r="C224" s="9" t="n">
        <v>42071</v>
      </c>
      <c r="D224" s="10" t="n">
        <v>9.6</v>
      </c>
      <c r="E224" s="21" t="n">
        <v>2.6</v>
      </c>
      <c r="F224" s="10" t="n">
        <v>14.8</v>
      </c>
      <c r="G224" s="10" t="n">
        <v>1478.7</v>
      </c>
      <c r="H224" s="10" t="n">
        <f aca="false">H223+D224</f>
        <v>16.6</v>
      </c>
      <c r="I224" s="10" t="n">
        <f aca="false">MIN(E223:E263)</f>
        <v>-1.6</v>
      </c>
      <c r="J224" s="10" t="n">
        <v>0</v>
      </c>
      <c r="K224" s="10" t="n">
        <v>376.2</v>
      </c>
      <c r="L224" s="10" t="n">
        <v>2</v>
      </c>
      <c r="M224" s="10" t="n">
        <v>190.4</v>
      </c>
      <c r="N224" s="11" t="n">
        <v>-2</v>
      </c>
      <c r="O224" s="10" t="n">
        <f aca="false">O223+N224</f>
        <v>145.4</v>
      </c>
      <c r="P224" s="10" t="n">
        <v>180</v>
      </c>
      <c r="Q224" s="19" t="n">
        <f aca="false">1+((P224-178)/41)*(1.15-1)</f>
        <v>1.00731707317073</v>
      </c>
      <c r="R224" s="13" t="n">
        <f aca="false">Q224*L224</f>
        <v>2.01463414634146</v>
      </c>
      <c r="S224" s="13" t="n">
        <f aca="false">J224-R224</f>
        <v>-2.01463414634146</v>
      </c>
      <c r="T224" s="13" t="n">
        <f aca="false">MIN(153.6,(T223+S224))</f>
        <v>145.378048780488</v>
      </c>
      <c r="V224" s="10" t="n">
        <v>1356.6</v>
      </c>
      <c r="W224" s="10" t="n">
        <v>141.3125</v>
      </c>
      <c r="X224" s="10" t="n">
        <v>85080.3</v>
      </c>
      <c r="Y224" s="10" t="n">
        <f aca="false">Y223+V224</f>
        <v>2651.1</v>
      </c>
      <c r="Z224" s="10" t="n">
        <v>45159.4</v>
      </c>
      <c r="AA224" s="10" t="n">
        <v>11.3267353072316</v>
      </c>
    </row>
    <row r="225" s="10" customFormat="true" ht="15" hidden="false" customHeight="false" outlineLevel="0" collapsed="false">
      <c r="A225" s="38"/>
      <c r="B225" s="16"/>
      <c r="C225" s="9" t="n">
        <v>42072</v>
      </c>
      <c r="D225" s="10" t="n">
        <v>10</v>
      </c>
      <c r="E225" s="10" t="n">
        <v>7.4</v>
      </c>
      <c r="F225" s="10" t="n">
        <v>13.6</v>
      </c>
      <c r="G225" s="10" t="n">
        <v>1488.7</v>
      </c>
      <c r="H225" s="10" t="n">
        <f aca="false">H224+D225</f>
        <v>26.6</v>
      </c>
      <c r="I225" s="39" t="s">
        <v>30</v>
      </c>
      <c r="J225" s="10" t="n">
        <v>0</v>
      </c>
      <c r="K225" s="10" t="n">
        <v>376.2</v>
      </c>
      <c r="L225" s="10" t="n">
        <v>1</v>
      </c>
      <c r="M225" s="10" t="n">
        <v>191.4</v>
      </c>
      <c r="N225" s="11" t="n">
        <v>-1</v>
      </c>
      <c r="O225" s="10" t="n">
        <f aca="false">O224+N225</f>
        <v>144.4</v>
      </c>
      <c r="P225" s="10" t="n">
        <v>181</v>
      </c>
      <c r="Q225" s="19" t="n">
        <f aca="false">1+((P225-178)/41)*(1.15-1)</f>
        <v>1.0109756097561</v>
      </c>
      <c r="R225" s="13" t="n">
        <f aca="false">Q225*L225</f>
        <v>1.0109756097561</v>
      </c>
      <c r="S225" s="13" t="n">
        <f aca="false">J225-R225</f>
        <v>-1.0109756097561</v>
      </c>
      <c r="T225" s="13" t="n">
        <f aca="false">MIN(153.6,(T224+S225))</f>
        <v>144.367073170732</v>
      </c>
      <c r="U225" s="39" t="s">
        <v>31</v>
      </c>
      <c r="V225" s="18" t="n">
        <v>416.9</v>
      </c>
      <c r="W225" s="10" t="n">
        <v>41.69</v>
      </c>
      <c r="X225" s="10" t="n">
        <v>85497.2</v>
      </c>
      <c r="Y225" s="10" t="n">
        <f aca="false">Y224+V225</f>
        <v>3068</v>
      </c>
      <c r="Z225" s="39" t="s">
        <v>32</v>
      </c>
      <c r="AA225" s="10" t="n">
        <v>11.3907548319714</v>
      </c>
    </row>
    <row r="226" s="10" customFormat="true" ht="15" hidden="false" customHeight="false" outlineLevel="0" collapsed="false">
      <c r="A226" s="38"/>
      <c r="B226" s="16"/>
      <c r="C226" s="9" t="n">
        <v>42073</v>
      </c>
      <c r="D226" s="10" t="n">
        <v>8.9</v>
      </c>
      <c r="E226" s="10" t="n">
        <v>7.9</v>
      </c>
      <c r="F226" s="10" t="n">
        <v>12.4</v>
      </c>
      <c r="G226" s="10" t="n">
        <v>1497.6</v>
      </c>
      <c r="H226" s="10" t="n">
        <f aca="false">H225+D226</f>
        <v>35.5</v>
      </c>
      <c r="I226" s="10" t="n">
        <f aca="false">MAX(F223:F263)</f>
        <v>24.2</v>
      </c>
      <c r="J226" s="10" t="n">
        <v>0</v>
      </c>
      <c r="K226" s="10" t="n">
        <v>376.2</v>
      </c>
      <c r="L226" s="10" t="n">
        <v>1.8</v>
      </c>
      <c r="M226" s="10" t="n">
        <v>193.2</v>
      </c>
      <c r="N226" s="11" t="n">
        <v>-1.8</v>
      </c>
      <c r="O226" s="10" t="n">
        <f aca="false">O225+N226</f>
        <v>142.6</v>
      </c>
      <c r="P226" s="10" t="n">
        <v>182</v>
      </c>
      <c r="Q226" s="19" t="n">
        <f aca="false">1+((P226-178)/41)*(1.15-1)</f>
        <v>1.01463414634146</v>
      </c>
      <c r="R226" s="13" t="n">
        <f aca="false">Q226*L226</f>
        <v>1.82634146341463</v>
      </c>
      <c r="S226" s="13" t="n">
        <f aca="false">J226-R226</f>
        <v>-1.82634146341463</v>
      </c>
      <c r="T226" s="13" t="n">
        <f aca="false">MIN(153.6,(T225+S226))</f>
        <v>142.540731707317</v>
      </c>
      <c r="U226" s="10" t="n">
        <v>0</v>
      </c>
      <c r="V226" s="10" t="n">
        <v>995.3</v>
      </c>
      <c r="W226" s="10" t="n">
        <v>111.831460674157</v>
      </c>
      <c r="X226" s="10" t="n">
        <v>86492.5</v>
      </c>
      <c r="Y226" s="10" t="n">
        <f aca="false">Y225+V226</f>
        <v>4063.3</v>
      </c>
      <c r="Z226" s="19" t="n">
        <f aca="false">(Z224/100)/I236</f>
        <v>1.37849206349206</v>
      </c>
      <c r="AA226" s="10" t="n">
        <v>11.4548369296644</v>
      </c>
    </row>
    <row r="227" s="10" customFormat="true" ht="15" hidden="false" customHeight="false" outlineLevel="0" collapsed="false">
      <c r="A227" s="38"/>
      <c r="B227" s="16"/>
      <c r="C227" s="9" t="n">
        <v>42074</v>
      </c>
      <c r="D227" s="10" t="n">
        <v>5.9</v>
      </c>
      <c r="E227" s="21" t="n">
        <v>1.8</v>
      </c>
      <c r="F227" s="10" t="n">
        <v>9.7</v>
      </c>
      <c r="G227" s="10" t="n">
        <v>1503.5</v>
      </c>
      <c r="H227" s="10" t="n">
        <f aca="false">H226+D227</f>
        <v>41.4</v>
      </c>
      <c r="I227" s="39" t="s">
        <v>33</v>
      </c>
      <c r="J227" s="10" t="n">
        <v>0</v>
      </c>
      <c r="K227" s="10" t="n">
        <v>376.2</v>
      </c>
      <c r="L227" s="10" t="n">
        <v>1.5</v>
      </c>
      <c r="M227" s="10" t="n">
        <v>194.7</v>
      </c>
      <c r="N227" s="11" t="n">
        <v>-1.5</v>
      </c>
      <c r="O227" s="10" t="n">
        <f aca="false">O226+N227</f>
        <v>141.1</v>
      </c>
      <c r="P227" s="10" t="n">
        <v>183</v>
      </c>
      <c r="Q227" s="19" t="n">
        <f aca="false">1+((P227-178)/41)*(1.15-1)</f>
        <v>1.01829268292683</v>
      </c>
      <c r="R227" s="13" t="n">
        <f aca="false">Q227*L227</f>
        <v>1.52743902439024</v>
      </c>
      <c r="S227" s="13" t="n">
        <f aca="false">J227-R227</f>
        <v>-1.52743902439024</v>
      </c>
      <c r="T227" s="13" t="n">
        <f aca="false">MIN(153.6,(T226+S227))</f>
        <v>141.013292682927</v>
      </c>
      <c r="U227" s="39" t="s">
        <v>34</v>
      </c>
      <c r="V227" s="10" t="n">
        <v>1053.7</v>
      </c>
      <c r="W227" s="10" t="n">
        <v>178.593220338983</v>
      </c>
      <c r="X227" s="10" t="n">
        <v>87546.2</v>
      </c>
      <c r="Y227" s="10" t="n">
        <f aca="false">Y226+V227</f>
        <v>5117</v>
      </c>
      <c r="Z227" s="39" t="s">
        <v>35</v>
      </c>
      <c r="AA227" s="10" t="n">
        <v>11.5189741938043</v>
      </c>
    </row>
    <row r="228" s="10" customFormat="true" ht="15" hidden="false" customHeight="false" outlineLevel="0" collapsed="false">
      <c r="A228" s="38"/>
      <c r="B228" s="16"/>
      <c r="C228" s="9" t="n">
        <v>42075</v>
      </c>
      <c r="D228" s="10" t="n">
        <v>6.5</v>
      </c>
      <c r="E228" s="36" t="n">
        <v>-0.5</v>
      </c>
      <c r="F228" s="10" t="n">
        <v>13</v>
      </c>
      <c r="G228" s="10" t="n">
        <v>1510</v>
      </c>
      <c r="H228" s="10" t="n">
        <f aca="false">H227+D228</f>
        <v>47.9</v>
      </c>
      <c r="I228" s="13" t="n">
        <f aca="false">AVERAGE(D223:D263)</f>
        <v>7.99024390243902</v>
      </c>
      <c r="J228" s="10" t="n">
        <v>0</v>
      </c>
      <c r="K228" s="10" t="n">
        <v>376.2</v>
      </c>
      <c r="L228" s="10" t="n">
        <v>2.1</v>
      </c>
      <c r="M228" s="10" t="n">
        <v>196.8</v>
      </c>
      <c r="N228" s="11" t="n">
        <v>-2.1</v>
      </c>
      <c r="O228" s="10" t="n">
        <f aca="false">O227+N228</f>
        <v>139</v>
      </c>
      <c r="P228" s="10" t="n">
        <v>184</v>
      </c>
      <c r="Q228" s="19" t="n">
        <f aca="false">1+((P228-178)/41)*(1.15-1)</f>
        <v>1.0219512195122</v>
      </c>
      <c r="R228" s="13" t="n">
        <f aca="false">Q228*L228</f>
        <v>2.14609756097561</v>
      </c>
      <c r="S228" s="13" t="n">
        <f aca="false">J228-R228</f>
        <v>-2.14609756097561</v>
      </c>
      <c r="T228" s="13" t="n">
        <f aca="false">MIN(153.6,(T227+S228))</f>
        <v>138.867195121951</v>
      </c>
      <c r="U228" s="10" t="n">
        <v>0</v>
      </c>
      <c r="V228" s="10" t="n">
        <v>1420.6</v>
      </c>
      <c r="W228" s="10" t="n">
        <v>218.553846153846</v>
      </c>
      <c r="X228" s="10" t="n">
        <v>88966.8</v>
      </c>
      <c r="Y228" s="10" t="n">
        <f aca="false">Y227+V228</f>
        <v>6537.6</v>
      </c>
      <c r="Z228" s="10" t="n">
        <v>15</v>
      </c>
      <c r="AA228" s="10" t="n">
        <v>11.5831594707238</v>
      </c>
    </row>
    <row r="229" s="10" customFormat="true" ht="15" hidden="false" customHeight="false" outlineLevel="0" collapsed="false">
      <c r="A229" s="38"/>
      <c r="B229" s="16"/>
      <c r="C229" s="9" t="n">
        <v>42076</v>
      </c>
      <c r="D229" s="10" t="n">
        <v>6.5</v>
      </c>
      <c r="E229" s="21" t="n">
        <v>2.5</v>
      </c>
      <c r="F229" s="10" t="n">
        <v>11.4</v>
      </c>
      <c r="G229" s="10" t="n">
        <v>1516.5</v>
      </c>
      <c r="H229" s="10" t="n">
        <f aca="false">H228+D229</f>
        <v>54.4</v>
      </c>
      <c r="I229" s="39" t="s">
        <v>36</v>
      </c>
      <c r="J229" s="10" t="n">
        <v>0</v>
      </c>
      <c r="K229" s="10" t="n">
        <v>376.2</v>
      </c>
      <c r="L229" s="10" t="n">
        <v>2.1</v>
      </c>
      <c r="M229" s="10" t="n">
        <v>198.9</v>
      </c>
      <c r="N229" s="11" t="n">
        <v>-2.1</v>
      </c>
      <c r="O229" s="10" t="n">
        <f aca="false">O228+N229</f>
        <v>136.9</v>
      </c>
      <c r="P229" s="10" t="n">
        <v>185</v>
      </c>
      <c r="Q229" s="19" t="n">
        <f aca="false">1+((P229-178)/41)*(1.15-1)</f>
        <v>1.02560975609756</v>
      </c>
      <c r="R229" s="13" t="n">
        <f aca="false">Q229*L229</f>
        <v>2.15378048780488</v>
      </c>
      <c r="S229" s="13" t="n">
        <f aca="false">J229-R229</f>
        <v>-2.15378048780488</v>
      </c>
      <c r="T229" s="13" t="n">
        <f aca="false">MIN(153.6,(T228+S229))</f>
        <v>136.713414634146</v>
      </c>
      <c r="U229" s="39" t="s">
        <v>37</v>
      </c>
      <c r="V229" s="10" t="n">
        <v>1433.3</v>
      </c>
      <c r="W229" s="10" t="n">
        <v>220.507692307692</v>
      </c>
      <c r="X229" s="10" t="n">
        <v>90400.1</v>
      </c>
      <c r="Y229" s="10" t="n">
        <f aca="false">Y228+V229</f>
        <v>7970.9</v>
      </c>
      <c r="AA229" s="10" t="n">
        <v>11.6473858386702</v>
      </c>
    </row>
    <row r="230" s="10" customFormat="true" ht="15" hidden="false" customHeight="false" outlineLevel="0" collapsed="false">
      <c r="A230" s="38"/>
      <c r="B230" s="16"/>
      <c r="C230" s="9" t="n">
        <v>42077</v>
      </c>
      <c r="D230" s="21" t="n">
        <v>4.9</v>
      </c>
      <c r="E230" s="21" t="n">
        <v>2.3</v>
      </c>
      <c r="F230" s="10" t="n">
        <v>8.1</v>
      </c>
      <c r="G230" s="10" t="n">
        <v>1521.4</v>
      </c>
      <c r="H230" s="10" t="n">
        <f aca="false">H229+D230</f>
        <v>59.3</v>
      </c>
      <c r="I230" s="10" t="n">
        <v>2</v>
      </c>
      <c r="J230" s="10" t="n">
        <v>1.2</v>
      </c>
      <c r="K230" s="10" t="n">
        <v>377.4</v>
      </c>
      <c r="L230" s="10" t="n">
        <v>1.9</v>
      </c>
      <c r="M230" s="10" t="n">
        <v>200.8</v>
      </c>
      <c r="N230" s="11" t="n">
        <v>-0.7</v>
      </c>
      <c r="O230" s="10" t="n">
        <f aca="false">O229+N230</f>
        <v>136.2</v>
      </c>
      <c r="P230" s="10" t="n">
        <v>186</v>
      </c>
      <c r="Q230" s="19" t="n">
        <f aca="false">1+((P230-178)/41)*(1.15-1)</f>
        <v>1.02926829268293</v>
      </c>
      <c r="R230" s="13" t="n">
        <f aca="false">Q230*L230</f>
        <v>1.95560975609756</v>
      </c>
      <c r="S230" s="13" t="n">
        <f aca="false">J230-R230</f>
        <v>-0.755609756097561</v>
      </c>
      <c r="T230" s="13" t="n">
        <f aca="false">MIN(153.6,(T229+S230))</f>
        <v>135.957804878049</v>
      </c>
      <c r="U230" s="13" t="n">
        <f aca="false">MIN(T223:T263)</f>
        <v>119.053780487805</v>
      </c>
      <c r="V230" s="10" t="n">
        <v>1359.7</v>
      </c>
      <c r="W230" s="10" t="n">
        <v>277.489795918367</v>
      </c>
      <c r="X230" s="10" t="n">
        <v>91759.8</v>
      </c>
      <c r="Y230" s="10" t="n">
        <f aca="false">Y229+V230</f>
        <v>9330.6</v>
      </c>
      <c r="AA230" s="10" t="n">
        <v>11.7116465870386</v>
      </c>
    </row>
    <row r="231" s="10" customFormat="true" ht="15" hidden="false" customHeight="false" outlineLevel="0" collapsed="false">
      <c r="A231" s="38"/>
      <c r="B231" s="16"/>
      <c r="C231" s="9" t="n">
        <v>42078</v>
      </c>
      <c r="D231" s="10" t="n">
        <v>5.1</v>
      </c>
      <c r="E231" s="21" t="n">
        <v>3.9</v>
      </c>
      <c r="F231" s="10" t="n">
        <v>6.6</v>
      </c>
      <c r="G231" s="10" t="n">
        <v>1526.5</v>
      </c>
      <c r="H231" s="10" t="n">
        <f aca="false">H230+D231</f>
        <v>64.4</v>
      </c>
      <c r="I231" s="39" t="s">
        <v>38</v>
      </c>
      <c r="J231" s="10" t="n">
        <v>0</v>
      </c>
      <c r="K231" s="10" t="n">
        <v>377.4</v>
      </c>
      <c r="L231" s="10" t="n">
        <v>0.7</v>
      </c>
      <c r="M231" s="10" t="n">
        <v>201.5</v>
      </c>
      <c r="N231" s="11" t="n">
        <v>-0.7</v>
      </c>
      <c r="O231" s="10" t="n">
        <f aca="false">O230+N231</f>
        <v>135.5</v>
      </c>
      <c r="P231" s="10" t="n">
        <v>187</v>
      </c>
      <c r="Q231" s="19" t="n">
        <f aca="false">1+((P231-178)/41)*(1.15-1)</f>
        <v>1.03292682926829</v>
      </c>
      <c r="R231" s="13" t="n">
        <f aca="false">Q231*L231</f>
        <v>0.723048780487805</v>
      </c>
      <c r="S231" s="13" t="n">
        <f aca="false">J231-R231</f>
        <v>-0.723048780487805</v>
      </c>
      <c r="T231" s="13" t="n">
        <f aca="false">MIN(153.6,(T230+S231))</f>
        <v>135.234756097561</v>
      </c>
      <c r="U231" s="39" t="s">
        <v>39</v>
      </c>
      <c r="V231" s="18" t="n">
        <v>200.6</v>
      </c>
      <c r="W231" s="10" t="n">
        <v>39.3333333333333</v>
      </c>
      <c r="X231" s="10" t="n">
        <v>91960.4</v>
      </c>
      <c r="Y231" s="10" t="n">
        <f aca="false">Y230+V231</f>
        <v>9531.2</v>
      </c>
      <c r="AA231" s="10" t="n">
        <v>11.7759351957624</v>
      </c>
    </row>
    <row r="232" s="10" customFormat="true" ht="15" hidden="false" customHeight="false" outlineLevel="0" collapsed="false">
      <c r="A232" s="38"/>
      <c r="B232" s="16"/>
      <c r="C232" s="9" t="n">
        <v>42079</v>
      </c>
      <c r="D232" s="10" t="n">
        <v>6.1</v>
      </c>
      <c r="E232" s="21" t="n">
        <v>1.5</v>
      </c>
      <c r="F232" s="10" t="n">
        <v>9.9</v>
      </c>
      <c r="G232" s="10" t="n">
        <v>1532.6</v>
      </c>
      <c r="H232" s="10" t="n">
        <f aca="false">H231+D232</f>
        <v>70.5</v>
      </c>
      <c r="I232" s="10" t="n">
        <v>0</v>
      </c>
      <c r="J232" s="10" t="n">
        <v>0</v>
      </c>
      <c r="K232" s="10" t="n">
        <v>377.4</v>
      </c>
      <c r="L232" s="10" t="n">
        <v>1.3</v>
      </c>
      <c r="M232" s="10" t="n">
        <v>202.8</v>
      </c>
      <c r="N232" s="11" t="n">
        <v>-1.3</v>
      </c>
      <c r="O232" s="10" t="n">
        <f aca="false">O231+N232</f>
        <v>134.2</v>
      </c>
      <c r="P232" s="10" t="n">
        <v>188</v>
      </c>
      <c r="Q232" s="19" t="n">
        <f aca="false">1+((P232-178)/41)*(1.15-1)</f>
        <v>1.03658536585366</v>
      </c>
      <c r="R232" s="13" t="n">
        <f aca="false">Q232*L232</f>
        <v>1.34756097560976</v>
      </c>
      <c r="S232" s="13" t="n">
        <f aca="false">J232-R232</f>
        <v>-1.34756097560976</v>
      </c>
      <c r="T232" s="13" t="n">
        <f aca="false">MIN(153.6,(T231+S232))</f>
        <v>133.887195121951</v>
      </c>
      <c r="U232" s="13" t="n">
        <f aca="false">MAX(T223:T263)</f>
        <v>153.6</v>
      </c>
      <c r="V232" s="10" t="n">
        <v>1263.2</v>
      </c>
      <c r="W232" s="10" t="n">
        <v>207.081967213115</v>
      </c>
      <c r="X232" s="10" t="n">
        <v>93223.6</v>
      </c>
      <c r="Y232" s="10" t="n">
        <f aca="false">Y231+V232</f>
        <v>10794.4</v>
      </c>
      <c r="AA232" s="10" t="n">
        <v>11.8402453148647</v>
      </c>
    </row>
    <row r="233" s="10" customFormat="true" ht="15" hidden="false" customHeight="false" outlineLevel="0" collapsed="false">
      <c r="A233" s="38"/>
      <c r="B233" s="16"/>
      <c r="C233" s="9" t="n">
        <v>42080</v>
      </c>
      <c r="D233" s="10" t="n">
        <v>9</v>
      </c>
      <c r="E233" s="21" t="n">
        <v>3.6</v>
      </c>
      <c r="F233" s="10" t="n">
        <v>14.5</v>
      </c>
      <c r="G233" s="10" t="n">
        <v>1541.6</v>
      </c>
      <c r="H233" s="10" t="n">
        <f aca="false">H232+D233</f>
        <v>79.5</v>
      </c>
      <c r="I233" s="39" t="s">
        <v>40</v>
      </c>
      <c r="J233" s="40" t="n">
        <v>0</v>
      </c>
      <c r="K233" s="10" t="n">
        <v>377.4</v>
      </c>
      <c r="L233" s="10" t="n">
        <v>2.4</v>
      </c>
      <c r="M233" s="10" t="n">
        <v>205.2</v>
      </c>
      <c r="N233" s="11" t="n">
        <v>-2.4</v>
      </c>
      <c r="O233" s="10" t="n">
        <f aca="false">O232+N233</f>
        <v>131.8</v>
      </c>
      <c r="P233" s="10" t="n">
        <v>189</v>
      </c>
      <c r="Q233" s="19" t="n">
        <f aca="false">1+((P233-178)/41)*(1.15-1)</f>
        <v>1.04024390243902</v>
      </c>
      <c r="R233" s="13" t="n">
        <f aca="false">Q233*L233</f>
        <v>2.49658536585366</v>
      </c>
      <c r="S233" s="13" t="n">
        <f aca="false">J233-R233</f>
        <v>-2.49658536585366</v>
      </c>
      <c r="T233" s="13" t="n">
        <f aca="false">MIN(153.6,(T232+S233))</f>
        <v>131.390609756098</v>
      </c>
      <c r="U233" s="39" t="s">
        <v>41</v>
      </c>
      <c r="V233" s="10" t="n">
        <v>1616.4</v>
      </c>
      <c r="W233" s="10" t="n">
        <v>179.6</v>
      </c>
      <c r="X233" s="10" t="n">
        <v>94840</v>
      </c>
      <c r="Y233" s="10" t="n">
        <f aca="false">Y232+V233</f>
        <v>12410.8</v>
      </c>
      <c r="AA233" s="10" t="n">
        <v>11.9045707441638</v>
      </c>
      <c r="AB233" s="41" t="s">
        <v>46</v>
      </c>
    </row>
    <row r="234" s="10" customFormat="true" ht="15" hidden="false" customHeight="false" outlineLevel="0" collapsed="false">
      <c r="A234" s="38"/>
      <c r="B234" s="16"/>
      <c r="C234" s="9" t="n">
        <v>42081</v>
      </c>
      <c r="D234" s="10" t="n">
        <v>7.5</v>
      </c>
      <c r="E234" s="10" t="n">
        <v>5.5</v>
      </c>
      <c r="F234" s="10" t="n">
        <v>10.8</v>
      </c>
      <c r="G234" s="10" t="n">
        <v>1549.1</v>
      </c>
      <c r="H234" s="10" t="n">
        <f aca="false">H233+D234</f>
        <v>87</v>
      </c>
      <c r="I234" s="10" t="n">
        <v>22</v>
      </c>
      <c r="J234" s="40" t="n">
        <v>0</v>
      </c>
      <c r="K234" s="10" t="n">
        <v>377.4</v>
      </c>
      <c r="L234" s="10" t="n">
        <v>2.2</v>
      </c>
      <c r="M234" s="10" t="n">
        <v>207.4</v>
      </c>
      <c r="N234" s="11" t="n">
        <v>-2.2</v>
      </c>
      <c r="O234" s="10" t="n">
        <f aca="false">O233+N234</f>
        <v>129.6</v>
      </c>
      <c r="P234" s="10" t="n">
        <v>190</v>
      </c>
      <c r="Q234" s="19" t="n">
        <f aca="false">1+((P234-178)/41)*(1.15-1)</f>
        <v>1.04390243902439</v>
      </c>
      <c r="R234" s="13" t="n">
        <f aca="false">Q234*L234</f>
        <v>2.29658536585366</v>
      </c>
      <c r="S234" s="13" t="n">
        <f aca="false">J234-R234</f>
        <v>-2.29658536585366</v>
      </c>
      <c r="T234" s="13" t="n">
        <f aca="false">MIN(153.6,(T233+S234))</f>
        <v>129.094024390244</v>
      </c>
      <c r="U234" s="19" t="n">
        <f aca="false">AVERAGE(T223:T263)</f>
        <v>137.971267102915</v>
      </c>
      <c r="V234" s="10" t="n">
        <v>1501.6</v>
      </c>
      <c r="W234" s="10" t="n">
        <v>200.213333333333</v>
      </c>
      <c r="X234" s="10" t="n">
        <v>96341.6</v>
      </c>
      <c r="Y234" s="10" t="n">
        <f aca="false">Y233+V234</f>
        <v>13912.4</v>
      </c>
      <c r="AA234" s="10" t="n">
        <v>11.9689054131336</v>
      </c>
      <c r="AB234" s="19" t="n">
        <f aca="false">AVERAGE(T240:T253)</f>
        <v>144.772700348432</v>
      </c>
    </row>
    <row r="235" s="10" customFormat="true" ht="15" hidden="false" customHeight="false" outlineLevel="0" collapsed="false">
      <c r="A235" s="38"/>
      <c r="B235" s="16"/>
      <c r="C235" s="9" t="n">
        <v>42082</v>
      </c>
      <c r="D235" s="10" t="n">
        <v>6.6</v>
      </c>
      <c r="E235" s="10" t="n">
        <v>5.8</v>
      </c>
      <c r="F235" s="10" t="n">
        <v>7.1</v>
      </c>
      <c r="G235" s="10" t="n">
        <v>1555.7</v>
      </c>
      <c r="H235" s="10" t="n">
        <f aca="false">H234+D235</f>
        <v>93.6</v>
      </c>
      <c r="I235" s="39" t="s">
        <v>42</v>
      </c>
      <c r="J235" s="40" t="n">
        <v>0.2</v>
      </c>
      <c r="K235" s="10" t="n">
        <v>377.6</v>
      </c>
      <c r="L235" s="10" t="n">
        <v>0.8</v>
      </c>
      <c r="M235" s="10" t="n">
        <v>208.2</v>
      </c>
      <c r="N235" s="11" t="n">
        <v>-0.6</v>
      </c>
      <c r="O235" s="10" t="n">
        <f aca="false">O234+N235</f>
        <v>129</v>
      </c>
      <c r="P235" s="10" t="n">
        <v>191</v>
      </c>
      <c r="Q235" s="19" t="n">
        <f aca="false">1+((P235-178)/41)*(1.15-1)</f>
        <v>1.04756097560976</v>
      </c>
      <c r="R235" s="13" t="n">
        <f aca="false">Q235*L235</f>
        <v>0.838048780487805</v>
      </c>
      <c r="S235" s="13" t="n">
        <f aca="false">J235-R235</f>
        <v>-0.638048780487805</v>
      </c>
      <c r="T235" s="13" t="n">
        <f aca="false">MIN(153.6,(T234+S235))</f>
        <v>128.455975609756</v>
      </c>
      <c r="V235" s="18" t="n">
        <v>454.7</v>
      </c>
      <c r="W235" s="10" t="n">
        <v>68.8939393939394</v>
      </c>
      <c r="X235" s="10" t="n">
        <v>96796.3</v>
      </c>
      <c r="Y235" s="10" t="n">
        <f aca="false">Y234+V235</f>
        <v>14367.1</v>
      </c>
      <c r="AA235" s="10" t="n">
        <v>12.0332433609106</v>
      </c>
      <c r="AB235" s="41" t="s">
        <v>47</v>
      </c>
    </row>
    <row r="236" s="10" customFormat="true" ht="15" hidden="false" customHeight="false" outlineLevel="0" collapsed="false">
      <c r="A236" s="38"/>
      <c r="B236" s="16"/>
      <c r="C236" s="9" t="n">
        <v>42083</v>
      </c>
      <c r="D236" s="10" t="n">
        <v>7.3</v>
      </c>
      <c r="E236" s="10" t="n">
        <v>6.4</v>
      </c>
      <c r="F236" s="10" t="n">
        <v>10</v>
      </c>
      <c r="G236" s="10" t="n">
        <v>1563</v>
      </c>
      <c r="H236" s="10" t="n">
        <f aca="false">H235+D236</f>
        <v>100.9</v>
      </c>
      <c r="I236" s="10" t="n">
        <v>327.6</v>
      </c>
      <c r="J236" s="40" t="n">
        <v>0</v>
      </c>
      <c r="K236" s="10" t="n">
        <v>377.6</v>
      </c>
      <c r="L236" s="10" t="n">
        <v>1.6</v>
      </c>
      <c r="M236" s="10" t="n">
        <v>209.8</v>
      </c>
      <c r="N236" s="11" t="n">
        <v>-1.6</v>
      </c>
      <c r="O236" s="10" t="n">
        <f aca="false">O235+N236</f>
        <v>127.4</v>
      </c>
      <c r="P236" s="10" t="n">
        <v>192</v>
      </c>
      <c r="Q236" s="19" t="n">
        <f aca="false">1+((P236-178)/41)*(1.15-1)</f>
        <v>1.05121951219512</v>
      </c>
      <c r="R236" s="13" t="n">
        <f aca="false">Q236*L236</f>
        <v>1.6819512195122</v>
      </c>
      <c r="S236" s="13" t="n">
        <f aca="false">J236-R236</f>
        <v>-1.6819512195122</v>
      </c>
      <c r="T236" s="13" t="n">
        <f aca="false">MIN(153.6,(T235+S236))</f>
        <v>126.774024390244</v>
      </c>
      <c r="U236" s="13" t="n">
        <f aca="false">(U234*100)/153.6</f>
        <v>89.8250436867936</v>
      </c>
      <c r="V236" s="10" t="n">
        <v>909</v>
      </c>
      <c r="W236" s="10" t="n">
        <v>124.520547945205</v>
      </c>
      <c r="X236" s="10" t="n">
        <v>97705.3</v>
      </c>
      <c r="Y236" s="10" t="n">
        <f aca="false">Y235+V236</f>
        <v>15276.1</v>
      </c>
      <c r="AA236" s="10" t="n">
        <v>12.0975787164433</v>
      </c>
      <c r="AB236" s="10" t="n">
        <v>2</v>
      </c>
    </row>
    <row r="237" s="10" customFormat="true" ht="15" hidden="false" customHeight="false" outlineLevel="0" collapsed="false">
      <c r="A237" s="38"/>
      <c r="B237" s="16"/>
      <c r="C237" s="9" t="n">
        <v>42084</v>
      </c>
      <c r="D237" s="10" t="n">
        <v>5.8</v>
      </c>
      <c r="E237" s="21" t="n">
        <v>4</v>
      </c>
      <c r="F237" s="10" t="n">
        <v>8</v>
      </c>
      <c r="G237" s="10" t="n">
        <v>1568.8</v>
      </c>
      <c r="H237" s="10" t="n">
        <f aca="false">H236+D237</f>
        <v>106.7</v>
      </c>
      <c r="J237" s="40" t="n">
        <v>0.4</v>
      </c>
      <c r="K237" s="10" t="n">
        <v>378</v>
      </c>
      <c r="L237" s="10" t="n">
        <v>1.3</v>
      </c>
      <c r="M237" s="10" t="n">
        <v>211.1</v>
      </c>
      <c r="N237" s="11" t="n">
        <v>-0.9</v>
      </c>
      <c r="O237" s="10" t="n">
        <f aca="false">O236+N237</f>
        <v>126.5</v>
      </c>
      <c r="P237" s="10" t="n">
        <v>193</v>
      </c>
      <c r="Q237" s="19" t="n">
        <f aca="false">1+((P237-178)/41)*(1.15-1)</f>
        <v>1.05487804878049</v>
      </c>
      <c r="R237" s="13" t="n">
        <f aca="false">Q237*L237</f>
        <v>1.37134146341463</v>
      </c>
      <c r="S237" s="13" t="n">
        <f aca="false">J237-R237</f>
        <v>-0.971341463414634</v>
      </c>
      <c r="T237" s="13" t="n">
        <f aca="false">MIN(153.6,(T236+S237))</f>
        <v>125.802682926829</v>
      </c>
      <c r="V237" s="18" t="n">
        <v>613.1</v>
      </c>
      <c r="W237" s="10" t="n">
        <v>105.706896551724</v>
      </c>
      <c r="X237" s="10" t="n">
        <v>98318.4</v>
      </c>
      <c r="Y237" s="10" t="n">
        <f aca="false">Y236+V237</f>
        <v>15889.2</v>
      </c>
      <c r="AA237" s="10" t="n">
        <v>12.1619056787767</v>
      </c>
      <c r="AB237" s="41" t="s">
        <v>48</v>
      </c>
    </row>
    <row r="238" s="10" customFormat="true" ht="15" hidden="false" customHeight="false" outlineLevel="0" collapsed="false">
      <c r="A238" s="38"/>
      <c r="B238" s="16"/>
      <c r="C238" s="9" t="n">
        <v>42085</v>
      </c>
      <c r="D238" s="10" t="n">
        <v>5.6</v>
      </c>
      <c r="E238" s="10" t="n">
        <v>5.5</v>
      </c>
      <c r="F238" s="10" t="n">
        <v>7.6</v>
      </c>
      <c r="G238" s="10" t="n">
        <v>1574.4</v>
      </c>
      <c r="H238" s="10" t="n">
        <f aca="false">H237+D238</f>
        <v>112.3</v>
      </c>
      <c r="J238" s="40" t="n">
        <v>0</v>
      </c>
      <c r="K238" s="10" t="n">
        <v>378</v>
      </c>
      <c r="L238" s="10" t="n">
        <v>1.3</v>
      </c>
      <c r="M238" s="10" t="n">
        <v>212.4</v>
      </c>
      <c r="N238" s="11" t="n">
        <v>-1.3</v>
      </c>
      <c r="O238" s="10" t="n">
        <f aca="false">O237+N238</f>
        <v>125.2</v>
      </c>
      <c r="P238" s="10" t="n">
        <v>194</v>
      </c>
      <c r="Q238" s="19" t="n">
        <f aca="false">1+((P238-178)/41)*(1.15-1)</f>
        <v>1.05853658536585</v>
      </c>
      <c r="R238" s="13" t="n">
        <f aca="false">Q238*L238</f>
        <v>1.37609756097561</v>
      </c>
      <c r="S238" s="13" t="n">
        <f aca="false">J238-R238</f>
        <v>-1.37609756097561</v>
      </c>
      <c r="T238" s="13" t="n">
        <f aca="false">MIN(153.6,(T237+S238))</f>
        <v>124.426585365854</v>
      </c>
      <c r="V238" s="18" t="n">
        <v>611.5</v>
      </c>
      <c r="W238" s="10" t="n">
        <v>109.196428571429</v>
      </c>
      <c r="X238" s="10" t="n">
        <v>98929.9</v>
      </c>
      <c r="Y238" s="10" t="n">
        <f aca="false">Y237+V238</f>
        <v>16500.7</v>
      </c>
      <c r="AA238" s="10" t="n">
        <v>12.2262184974628</v>
      </c>
      <c r="AB238" s="10" t="n">
        <v>2</v>
      </c>
    </row>
    <row r="239" s="10" customFormat="true" ht="15" hidden="false" customHeight="false" outlineLevel="0" collapsed="false">
      <c r="A239" s="38"/>
      <c r="B239" s="16"/>
      <c r="C239" s="9" t="n">
        <v>42086</v>
      </c>
      <c r="D239" s="21" t="n">
        <v>4.4</v>
      </c>
      <c r="E239" s="36" t="n">
        <v>-1.6</v>
      </c>
      <c r="F239" s="10" t="n">
        <v>10.2</v>
      </c>
      <c r="G239" s="10" t="n">
        <v>1578.8</v>
      </c>
      <c r="H239" s="10" t="n">
        <f aca="false">H238+D239</f>
        <v>116.7</v>
      </c>
      <c r="J239" s="40" t="n">
        <v>0</v>
      </c>
      <c r="K239" s="10" t="n">
        <v>378</v>
      </c>
      <c r="L239" s="10" t="n">
        <v>1.7</v>
      </c>
      <c r="M239" s="10" t="n">
        <v>214.1</v>
      </c>
      <c r="N239" s="11" t="n">
        <v>-1.7</v>
      </c>
      <c r="O239" s="10" t="n">
        <f aca="false">O238+N239</f>
        <v>123.5</v>
      </c>
      <c r="P239" s="10" t="n">
        <v>195</v>
      </c>
      <c r="Q239" s="19" t="n">
        <f aca="false">1+((P239-178)/41)*(1.15-1)</f>
        <v>1.06219512195122</v>
      </c>
      <c r="R239" s="13" t="n">
        <f aca="false">Q239*L239</f>
        <v>1.80573170731707</v>
      </c>
      <c r="S239" s="13" t="n">
        <f aca="false">J239-R239</f>
        <v>-1.80573170731707</v>
      </c>
      <c r="T239" s="13" t="n">
        <f aca="false">MIN(153.6,(T238+S239))</f>
        <v>122.620853658537</v>
      </c>
      <c r="V239" s="10" t="n">
        <v>1315.6</v>
      </c>
      <c r="W239" s="10" t="n">
        <v>299</v>
      </c>
      <c r="X239" s="10" t="n">
        <v>100245.5</v>
      </c>
      <c r="Y239" s="10" t="n">
        <f aca="false">Y238+V239</f>
        <v>17816.3</v>
      </c>
      <c r="AA239" s="10" t="n">
        <v>12.2905114530911</v>
      </c>
      <c r="AB239" s="41" t="s">
        <v>49</v>
      </c>
    </row>
    <row r="240" s="10" customFormat="true" ht="15" hidden="false" customHeight="false" outlineLevel="0" collapsed="false">
      <c r="A240" s="38"/>
      <c r="B240" s="16"/>
      <c r="C240" s="9" t="n">
        <v>42087</v>
      </c>
      <c r="D240" s="21" t="n">
        <v>4.8</v>
      </c>
      <c r="E240" s="21" t="n">
        <v>0.6</v>
      </c>
      <c r="F240" s="10" t="n">
        <v>10.1</v>
      </c>
      <c r="G240" s="10" t="n">
        <v>1583.6</v>
      </c>
      <c r="H240" s="10" t="n">
        <f aca="false">H239+D240</f>
        <v>121.5</v>
      </c>
      <c r="J240" s="40" t="n">
        <v>11.8</v>
      </c>
      <c r="K240" s="10" t="n">
        <v>389.8</v>
      </c>
      <c r="L240" s="10" t="n">
        <v>1.1</v>
      </c>
      <c r="M240" s="10" t="n">
        <v>215.2</v>
      </c>
      <c r="N240" s="10" t="n">
        <v>10.7</v>
      </c>
      <c r="O240" s="10" t="n">
        <f aca="false">O239+N240</f>
        <v>134.2</v>
      </c>
      <c r="P240" s="10" t="n">
        <v>196</v>
      </c>
      <c r="Q240" s="19" t="n">
        <f aca="false">1+((P240-178)/41)*(1.15-1)</f>
        <v>1.06585365853659</v>
      </c>
      <c r="R240" s="13" t="n">
        <f aca="false">Q240*L240</f>
        <v>1.17243902439024</v>
      </c>
      <c r="S240" s="13" t="n">
        <f aca="false">J240-R240</f>
        <v>10.6275609756098</v>
      </c>
      <c r="T240" s="42" t="n">
        <f aca="false">MIN(153.6,(T239+S240))</f>
        <v>133.248414634146</v>
      </c>
      <c r="V240" s="18" t="n">
        <v>792.5</v>
      </c>
      <c r="W240" s="10" t="n">
        <v>165.104166666667</v>
      </c>
      <c r="X240" s="10" t="n">
        <v>101038</v>
      </c>
      <c r="Y240" s="10" t="n">
        <f aca="false">Y239+V240</f>
        <v>18608.8</v>
      </c>
      <c r="AA240" s="10" t="n">
        <v>12.3547788379283</v>
      </c>
      <c r="AB240" s="10" t="n">
        <v>3</v>
      </c>
    </row>
    <row r="241" s="10" customFormat="true" ht="15" hidden="false" customHeight="false" outlineLevel="0" collapsed="false">
      <c r="A241" s="38"/>
      <c r="B241" s="16"/>
      <c r="C241" s="9" t="n">
        <v>42088</v>
      </c>
      <c r="D241" s="21" t="n">
        <v>4.6</v>
      </c>
      <c r="E241" s="21" t="n">
        <v>4</v>
      </c>
      <c r="F241" s="10" t="n">
        <v>6.7</v>
      </c>
      <c r="G241" s="10" t="n">
        <v>1588.2</v>
      </c>
      <c r="H241" s="10" t="n">
        <f aca="false">H240+D241</f>
        <v>126.1</v>
      </c>
      <c r="J241" s="40" t="n">
        <v>1.7</v>
      </c>
      <c r="K241" s="10" t="n">
        <v>391.5</v>
      </c>
      <c r="L241" s="10" t="n">
        <v>0.7</v>
      </c>
      <c r="M241" s="10" t="n">
        <v>215.9</v>
      </c>
      <c r="N241" s="10" t="n">
        <v>1</v>
      </c>
      <c r="O241" s="10" t="n">
        <f aca="false">O240+N241</f>
        <v>135.2</v>
      </c>
      <c r="P241" s="10" t="n">
        <v>197</v>
      </c>
      <c r="Q241" s="19" t="n">
        <f aca="false">1+((P241-178)/41)*(1.15-1)</f>
        <v>1.06951219512195</v>
      </c>
      <c r="R241" s="13" t="n">
        <f aca="false">Q241*L241</f>
        <v>0.748658536585366</v>
      </c>
      <c r="S241" s="13" t="n">
        <f aca="false">J241-R241</f>
        <v>0.951341463414634</v>
      </c>
      <c r="T241" s="42" t="n">
        <f aca="false">MIN(153.6,(T240+S241))</f>
        <v>134.199756097561</v>
      </c>
      <c r="V241" s="18" t="n">
        <v>240.5</v>
      </c>
      <c r="W241" s="10" t="n">
        <v>52.2826086956522</v>
      </c>
      <c r="X241" s="10" t="n">
        <v>101278.5</v>
      </c>
      <c r="Y241" s="10" t="n">
        <f aca="false">Y240+V241</f>
        <v>18849.3</v>
      </c>
      <c r="AA241" s="10" t="n">
        <v>12.4190149366591</v>
      </c>
      <c r="AB241" s="41" t="s">
        <v>50</v>
      </c>
    </row>
    <row r="242" s="10" customFormat="true" ht="15" hidden="false" customHeight="false" outlineLevel="0" collapsed="false">
      <c r="A242" s="38"/>
      <c r="B242" s="16"/>
      <c r="C242" s="9" t="n">
        <v>42089</v>
      </c>
      <c r="D242" s="21" t="n">
        <v>4.4</v>
      </c>
      <c r="E242" s="21" t="n">
        <v>0.4</v>
      </c>
      <c r="F242" s="10" t="n">
        <v>7.8</v>
      </c>
      <c r="G242" s="10" t="n">
        <v>1592.6</v>
      </c>
      <c r="H242" s="10" t="n">
        <f aca="false">H241+D242</f>
        <v>130.5</v>
      </c>
      <c r="J242" s="40" t="n">
        <v>3.5</v>
      </c>
      <c r="K242" s="10" t="n">
        <v>395</v>
      </c>
      <c r="L242" s="10" t="n">
        <v>0.6</v>
      </c>
      <c r="M242" s="10" t="n">
        <v>216.5</v>
      </c>
      <c r="N242" s="10" t="n">
        <v>2.9</v>
      </c>
      <c r="O242" s="10" t="n">
        <f aca="false">O241+N242</f>
        <v>138.1</v>
      </c>
      <c r="P242" s="10" t="n">
        <v>198</v>
      </c>
      <c r="Q242" s="19" t="n">
        <f aca="false">1+((P242-178)/41)*(1.15-1)</f>
        <v>1.07317073170732</v>
      </c>
      <c r="R242" s="13" t="n">
        <f aca="false">Q242*L242</f>
        <v>0.64390243902439</v>
      </c>
      <c r="S242" s="13" t="n">
        <f aca="false">J242-R242</f>
        <v>2.85609756097561</v>
      </c>
      <c r="T242" s="42" t="n">
        <f aca="false">MIN(153.6,(T241+S242))</f>
        <v>137.055853658537</v>
      </c>
      <c r="V242" s="18" t="n">
        <v>376.6</v>
      </c>
      <c r="W242" s="10" t="n">
        <v>85.5909090909091</v>
      </c>
      <c r="X242" s="10" t="n">
        <v>101655.1</v>
      </c>
      <c r="Y242" s="10" t="n">
        <f aca="false">Y241+V242</f>
        <v>19225.9</v>
      </c>
      <c r="AA242" s="10" t="n">
        <v>12.4832140072194</v>
      </c>
      <c r="AB242" s="10" t="n">
        <f aca="false">SUM(J244:J253)</f>
        <v>34.4</v>
      </c>
    </row>
    <row r="243" s="45" customFormat="true" ht="15" hidden="false" customHeight="false" outlineLevel="0" collapsed="false">
      <c r="A243" s="38"/>
      <c r="B243" s="43"/>
      <c r="C243" s="44" t="n">
        <v>42090</v>
      </c>
      <c r="D243" s="45" t="n">
        <v>6.1</v>
      </c>
      <c r="E243" s="45" t="n">
        <v>3</v>
      </c>
      <c r="F243" s="45" t="n">
        <v>9.9</v>
      </c>
      <c r="G243" s="45" t="n">
        <v>1598.7</v>
      </c>
      <c r="H243" s="45" t="n">
        <f aca="false">H242+D243</f>
        <v>136.6</v>
      </c>
      <c r="J243" s="45" t="n">
        <v>0</v>
      </c>
      <c r="K243" s="45" t="n">
        <v>395</v>
      </c>
      <c r="L243" s="45" t="n">
        <v>2.1</v>
      </c>
      <c r="M243" s="45" t="n">
        <v>218.6</v>
      </c>
      <c r="N243" s="45" t="n">
        <v>-2.1</v>
      </c>
      <c r="O243" s="45" t="n">
        <f aca="false">O242+N243</f>
        <v>136</v>
      </c>
      <c r="P243" s="45" t="n">
        <v>199</v>
      </c>
      <c r="Q243" s="46" t="n">
        <f aca="false">1+((P243-178)/41)*(1.15-1)</f>
        <v>1.07682926829268</v>
      </c>
      <c r="R243" s="47" t="n">
        <f aca="false">Q243*L243</f>
        <v>2.26134146341463</v>
      </c>
      <c r="S243" s="47" t="n">
        <f aca="false">J243-R243</f>
        <v>-2.26134146341463</v>
      </c>
      <c r="T243" s="47" t="n">
        <f aca="false">MIN(153.6,(T242+S243))</f>
        <v>134.794512195122</v>
      </c>
      <c r="V243" s="45" t="n">
        <v>1163.8</v>
      </c>
      <c r="W243" s="45" t="n">
        <v>190.786885245902</v>
      </c>
      <c r="X243" s="45" t="n">
        <v>102818.9</v>
      </c>
      <c r="Y243" s="45" t="n">
        <f aca="false">Y242+V243</f>
        <v>20389.7</v>
      </c>
      <c r="AA243" s="45" t="n">
        <v>12.5473702617134</v>
      </c>
    </row>
    <row r="244" s="10" customFormat="true" ht="15" hidden="false" customHeight="false" outlineLevel="0" collapsed="false">
      <c r="A244" s="38"/>
      <c r="B244" s="16"/>
      <c r="C244" s="9" t="n">
        <v>42091</v>
      </c>
      <c r="D244" s="10" t="n">
        <v>9.9</v>
      </c>
      <c r="E244" s="21" t="n">
        <v>5</v>
      </c>
      <c r="F244" s="10" t="n">
        <v>13.6</v>
      </c>
      <c r="G244" s="10" t="n">
        <v>1608.6</v>
      </c>
      <c r="H244" s="10" t="n">
        <f aca="false">H243+D244</f>
        <v>146.5</v>
      </c>
      <c r="J244" s="40" t="n">
        <v>2.6</v>
      </c>
      <c r="K244" s="10" t="n">
        <v>397.6</v>
      </c>
      <c r="L244" s="10" t="n">
        <v>0.7</v>
      </c>
      <c r="M244" s="10" t="n">
        <v>219.3</v>
      </c>
      <c r="N244" s="10" t="n">
        <v>1.9</v>
      </c>
      <c r="O244" s="10" t="n">
        <f aca="false">O243+N244</f>
        <v>137.9</v>
      </c>
      <c r="P244" s="10" t="n">
        <v>200</v>
      </c>
      <c r="Q244" s="19" t="n">
        <f aca="false">1+((P244-178)/41)*(1.15-1)</f>
        <v>1.08048780487805</v>
      </c>
      <c r="R244" s="13" t="n">
        <f aca="false">Q244*L244</f>
        <v>0.756341463414634</v>
      </c>
      <c r="S244" s="13" t="n">
        <f aca="false">J244-R244</f>
        <v>1.84365853658537</v>
      </c>
      <c r="T244" s="42" t="n">
        <f aca="false">MIN(153.6,(T243+S244))</f>
        <v>136.638170731707</v>
      </c>
      <c r="V244" s="18" t="n">
        <v>346.1</v>
      </c>
      <c r="W244" s="10" t="n">
        <v>34.959595959596</v>
      </c>
      <c r="X244" s="10" t="n">
        <v>103165</v>
      </c>
      <c r="Y244" s="10" t="n">
        <f aca="false">Y243+V244</f>
        <v>20735.8</v>
      </c>
      <c r="AA244" s="10" t="n">
        <v>12.6114778474041</v>
      </c>
    </row>
    <row r="245" s="10" customFormat="true" ht="15" hidden="false" customHeight="false" outlineLevel="0" collapsed="false">
      <c r="A245" s="38"/>
      <c r="B245" s="16"/>
      <c r="C245" s="9" t="n">
        <v>42092</v>
      </c>
      <c r="D245" s="10" t="n">
        <v>10.2</v>
      </c>
      <c r="E245" s="10" t="n">
        <v>9.3</v>
      </c>
      <c r="F245" s="10" t="n">
        <v>11.3</v>
      </c>
      <c r="G245" s="10" t="n">
        <v>1618.8</v>
      </c>
      <c r="H245" s="10" t="n">
        <f aca="false">H244+D245</f>
        <v>156.7</v>
      </c>
      <c r="J245" s="40" t="n">
        <v>10.9</v>
      </c>
      <c r="K245" s="10" t="n">
        <v>408.5</v>
      </c>
      <c r="L245" s="10" t="n">
        <v>1</v>
      </c>
      <c r="M245" s="10" t="n">
        <v>220.3</v>
      </c>
      <c r="N245" s="10" t="n">
        <v>9.9</v>
      </c>
      <c r="O245" s="10" t="n">
        <f aca="false">O244+N245</f>
        <v>147.8</v>
      </c>
      <c r="P245" s="10" t="n">
        <v>201</v>
      </c>
      <c r="Q245" s="19" t="n">
        <f aca="false">1+((P245-178)/41)*(1.15-1)</f>
        <v>1.08414634146341</v>
      </c>
      <c r="R245" s="13" t="n">
        <f aca="false">Q245*L245</f>
        <v>1.08414634146341</v>
      </c>
      <c r="S245" s="13" t="n">
        <f aca="false">J245-R245</f>
        <v>9.81585365853659</v>
      </c>
      <c r="T245" s="42" t="n">
        <f aca="false">MIN(153.6,(T244+S245))</f>
        <v>146.454024390244</v>
      </c>
      <c r="V245" s="18" t="n">
        <v>356.1</v>
      </c>
      <c r="W245" s="10" t="n">
        <v>34.9117647058824</v>
      </c>
      <c r="X245" s="10" t="n">
        <v>103521.1</v>
      </c>
      <c r="Y245" s="10" t="n">
        <f aca="false">Y244+V245</f>
        <v>21091.9</v>
      </c>
      <c r="AA245" s="10" t="n">
        <v>12.6755308277724</v>
      </c>
    </row>
    <row r="246" s="10" customFormat="true" ht="15" hidden="false" customHeight="false" outlineLevel="0" collapsed="false">
      <c r="A246" s="38"/>
      <c r="B246" s="16"/>
      <c r="C246" s="9" t="n">
        <v>42093</v>
      </c>
      <c r="D246" s="10" t="n">
        <v>8.7</v>
      </c>
      <c r="E246" s="10" t="n">
        <v>7.2</v>
      </c>
      <c r="F246" s="10" t="n">
        <v>11.7</v>
      </c>
      <c r="G246" s="10" t="n">
        <v>1627.5</v>
      </c>
      <c r="H246" s="10" t="n">
        <f aca="false">H245+D246</f>
        <v>165.4</v>
      </c>
      <c r="J246" s="40" t="n">
        <v>1.8</v>
      </c>
      <c r="K246" s="10" t="n">
        <v>410.3</v>
      </c>
      <c r="L246" s="10" t="n">
        <v>2.6</v>
      </c>
      <c r="M246" s="10" t="n">
        <v>222.9</v>
      </c>
      <c r="N246" s="11" t="n">
        <v>-0.8</v>
      </c>
      <c r="O246" s="10" t="n">
        <f aca="false">O245+N246</f>
        <v>147</v>
      </c>
      <c r="P246" s="10" t="n">
        <v>202</v>
      </c>
      <c r="Q246" s="19" t="n">
        <f aca="false">1+((P246-178)/41)*(1.15-1)</f>
        <v>1.08780487804878</v>
      </c>
      <c r="R246" s="13" t="n">
        <f aca="false">Q246*L246</f>
        <v>2.82829268292683</v>
      </c>
      <c r="S246" s="13" t="n">
        <f aca="false">J246-R246</f>
        <v>-1.02829268292683</v>
      </c>
      <c r="T246" s="42" t="n">
        <f aca="false">MIN(153.6,(T245+S246))</f>
        <v>145.425731707317</v>
      </c>
      <c r="V246" s="10" t="n">
        <v>1168.4</v>
      </c>
      <c r="W246" s="10" t="n">
        <v>134.298850574713</v>
      </c>
      <c r="X246" s="10" t="n">
        <v>104689.5</v>
      </c>
      <c r="Y246" s="10" t="n">
        <f aca="false">Y245+V246</f>
        <v>22260.3</v>
      </c>
      <c r="AA246" s="10" t="n">
        <v>12.7395231636344</v>
      </c>
    </row>
    <row r="247" s="10" customFormat="true" ht="15" hidden="false" customHeight="false" outlineLevel="0" collapsed="false">
      <c r="A247" s="38"/>
      <c r="B247" s="16"/>
      <c r="C247" s="9" t="n">
        <v>42094</v>
      </c>
      <c r="D247" s="10" t="n">
        <v>9</v>
      </c>
      <c r="E247" s="10" t="n">
        <v>7.3</v>
      </c>
      <c r="F247" s="10" t="n">
        <v>11.5</v>
      </c>
      <c r="G247" s="10" t="n">
        <v>1636.5</v>
      </c>
      <c r="H247" s="10" t="n">
        <f aca="false">H246+D247</f>
        <v>174.4</v>
      </c>
      <c r="J247" s="40" t="n">
        <v>2.3</v>
      </c>
      <c r="K247" s="10" t="n">
        <v>412.6</v>
      </c>
      <c r="L247" s="10" t="n">
        <v>1.9</v>
      </c>
      <c r="M247" s="10" t="n">
        <v>224.8</v>
      </c>
      <c r="N247" s="10" t="n">
        <v>0.4</v>
      </c>
      <c r="O247" s="10" t="n">
        <f aca="false">O246+N247</f>
        <v>147.4</v>
      </c>
      <c r="P247" s="10" t="n">
        <v>203</v>
      </c>
      <c r="Q247" s="19" t="n">
        <f aca="false">1+((P247-178)/41)*(1.15-1)</f>
        <v>1.09146341463415</v>
      </c>
      <c r="R247" s="13" t="n">
        <f aca="false">Q247*L247</f>
        <v>2.07378048780488</v>
      </c>
      <c r="S247" s="13" t="n">
        <f aca="false">J247-R247</f>
        <v>0.226219512195122</v>
      </c>
      <c r="T247" s="42" t="n">
        <f aca="false">MIN(153.6,(T246+S247))</f>
        <v>145.651951219512</v>
      </c>
      <c r="V247" s="18" t="n">
        <v>832.3</v>
      </c>
      <c r="W247" s="10" t="n">
        <v>92.4777777777778</v>
      </c>
      <c r="X247" s="10" t="n">
        <v>105521.8</v>
      </c>
      <c r="Y247" s="10" t="n">
        <f aca="false">Y246+V247</f>
        <v>23092.6</v>
      </c>
      <c r="AA247" s="10" t="n">
        <v>12.8034486943122</v>
      </c>
    </row>
    <row r="248" s="10" customFormat="true" ht="15" hidden="false" customHeight="false" outlineLevel="0" collapsed="false">
      <c r="A248" s="38"/>
      <c r="B248" s="16"/>
      <c r="C248" s="9" t="n">
        <v>42095</v>
      </c>
      <c r="D248" s="10" t="n">
        <v>6.5</v>
      </c>
      <c r="E248" s="21" t="n">
        <v>3.5</v>
      </c>
      <c r="F248" s="10" t="n">
        <v>10</v>
      </c>
      <c r="G248" s="10" t="n">
        <v>1643</v>
      </c>
      <c r="H248" s="10" t="n">
        <f aca="false">H247+D248</f>
        <v>180.9</v>
      </c>
      <c r="J248" s="40" t="n">
        <v>11.8</v>
      </c>
      <c r="K248" s="10" t="n">
        <v>424.4</v>
      </c>
      <c r="L248" s="10" t="n">
        <v>2.5</v>
      </c>
      <c r="M248" s="10" t="n">
        <v>227.3</v>
      </c>
      <c r="N248" s="10" t="n">
        <v>9.3</v>
      </c>
      <c r="O248" s="10" t="n">
        <v>153.6</v>
      </c>
      <c r="P248" s="10" t="n">
        <v>204</v>
      </c>
      <c r="Q248" s="19" t="n">
        <f aca="false">1+((P248-178)/41)*(1.15-1)</f>
        <v>1.09512195121951</v>
      </c>
      <c r="R248" s="13" t="n">
        <f aca="false">Q248*L248</f>
        <v>2.73780487804878</v>
      </c>
      <c r="S248" s="13" t="n">
        <f aca="false">J248-R248</f>
        <v>9.06219512195122</v>
      </c>
      <c r="T248" s="42" t="n">
        <f aca="false">MIN(153.6,(T247+S248))</f>
        <v>153.6</v>
      </c>
      <c r="V248" s="10" t="n">
        <v>1457.7</v>
      </c>
      <c r="W248" s="10" t="n">
        <v>224.261538461538</v>
      </c>
      <c r="X248" s="10" t="n">
        <v>106979.5</v>
      </c>
      <c r="Y248" s="10" t="n">
        <f aca="false">Y247+V248</f>
        <v>24550.3</v>
      </c>
      <c r="AA248" s="10" t="n">
        <v>12.8673011188519</v>
      </c>
    </row>
    <row r="249" s="10" customFormat="true" ht="15" hidden="false" customHeight="false" outlineLevel="0" collapsed="false">
      <c r="A249" s="38"/>
      <c r="B249" s="16"/>
      <c r="C249" s="9" t="n">
        <v>42096</v>
      </c>
      <c r="D249" s="10" t="n">
        <v>6.8</v>
      </c>
      <c r="E249" s="10" t="n">
        <v>6.4</v>
      </c>
      <c r="F249" s="10" t="n">
        <v>9.1</v>
      </c>
      <c r="G249" s="10" t="n">
        <v>1649.8</v>
      </c>
      <c r="H249" s="10" t="n">
        <f aca="false">H248+D249</f>
        <v>187.7</v>
      </c>
      <c r="J249" s="40" t="n">
        <v>0.5</v>
      </c>
      <c r="K249" s="10" t="n">
        <v>424.9</v>
      </c>
      <c r="L249" s="10" t="n">
        <v>1.9</v>
      </c>
      <c r="M249" s="10" t="n">
        <v>229.2</v>
      </c>
      <c r="N249" s="11" t="n">
        <v>-1.4</v>
      </c>
      <c r="O249" s="10" t="n">
        <f aca="false">O248+N249</f>
        <v>152.2</v>
      </c>
      <c r="P249" s="10" t="n">
        <v>205</v>
      </c>
      <c r="Q249" s="19" t="n">
        <f aca="false">1+((P249-178)/41)*(1.15-1)</f>
        <v>1.09878048780488</v>
      </c>
      <c r="R249" s="13" t="n">
        <f aca="false">Q249*L249</f>
        <v>2.08768292682927</v>
      </c>
      <c r="S249" s="13" t="n">
        <f aca="false">J249-R249</f>
        <v>-1.58768292682927</v>
      </c>
      <c r="T249" s="42" t="n">
        <f aca="false">MIN(153.6,(T248+S249))</f>
        <v>152.012317073171</v>
      </c>
      <c r="V249" s="10" t="n">
        <v>1124.6</v>
      </c>
      <c r="W249" s="10" t="n">
        <v>165.382352941176</v>
      </c>
      <c r="X249" s="10" t="n">
        <v>108104.1</v>
      </c>
      <c r="Y249" s="10" t="n">
        <f aca="false">Y248+V249</f>
        <v>25674.9</v>
      </c>
      <c r="AA249" s="10" t="n">
        <v>12.9310739772844</v>
      </c>
    </row>
    <row r="250" s="10" customFormat="true" ht="15" hidden="false" customHeight="false" outlineLevel="0" collapsed="false">
      <c r="A250" s="38"/>
      <c r="B250" s="16"/>
      <c r="C250" s="9" t="n">
        <v>42097</v>
      </c>
      <c r="D250" s="10" t="n">
        <v>6.2</v>
      </c>
      <c r="E250" s="21" t="n">
        <v>1.9</v>
      </c>
      <c r="F250" s="10" t="n">
        <v>8.7</v>
      </c>
      <c r="G250" s="10" t="n">
        <v>1656</v>
      </c>
      <c r="H250" s="10" t="n">
        <f aca="false">H249+D250</f>
        <v>193.9</v>
      </c>
      <c r="J250" s="40" t="n">
        <v>3.5</v>
      </c>
      <c r="K250" s="10" t="n">
        <v>428.4</v>
      </c>
      <c r="L250" s="10" t="n">
        <v>0.3</v>
      </c>
      <c r="M250" s="10" t="n">
        <v>229.5</v>
      </c>
      <c r="N250" s="10" t="n">
        <v>3.2</v>
      </c>
      <c r="O250" s="10" t="n">
        <v>153.6</v>
      </c>
      <c r="P250" s="10" t="n">
        <v>206</v>
      </c>
      <c r="Q250" s="19" t="n">
        <f aca="false">1+((P250-178)/41)*(1.15-1)</f>
        <v>1.10243902439024</v>
      </c>
      <c r="R250" s="13" t="n">
        <f aca="false">Q250*L250</f>
        <v>0.330731707317073</v>
      </c>
      <c r="S250" s="13" t="n">
        <f aca="false">J250-R250</f>
        <v>3.16926829268293</v>
      </c>
      <c r="T250" s="42" t="n">
        <f aca="false">MIN(153.6,(T249+S250))</f>
        <v>153.6</v>
      </c>
      <c r="V250" s="18" t="n">
        <v>293.2</v>
      </c>
      <c r="W250" s="10" t="n">
        <v>47.2903225806452</v>
      </c>
      <c r="X250" s="10" t="n">
        <v>108397.3</v>
      </c>
      <c r="Y250" s="10" t="n">
        <f aca="false">Y249+V250</f>
        <v>25968.1</v>
      </c>
      <c r="AA250" s="10" t="n">
        <v>12.9947606319252</v>
      </c>
    </row>
    <row r="251" s="10" customFormat="true" ht="15" hidden="false" customHeight="false" outlineLevel="0" collapsed="false">
      <c r="A251" s="38"/>
      <c r="B251" s="16"/>
      <c r="C251" s="9" t="n">
        <v>42098</v>
      </c>
      <c r="D251" s="10" t="n">
        <v>5.9</v>
      </c>
      <c r="E251" s="21" t="n">
        <v>5</v>
      </c>
      <c r="F251" s="10" t="n">
        <v>7.2</v>
      </c>
      <c r="G251" s="10" t="n">
        <v>1661.9</v>
      </c>
      <c r="H251" s="10" t="n">
        <f aca="false">H250+D251</f>
        <v>199.8</v>
      </c>
      <c r="J251" s="40" t="n">
        <v>1</v>
      </c>
      <c r="K251" s="10" t="n">
        <v>429.4</v>
      </c>
      <c r="L251" s="10" t="n">
        <v>0.7</v>
      </c>
      <c r="M251" s="10" t="n">
        <v>230.2</v>
      </c>
      <c r="N251" s="10" t="n">
        <v>0.3</v>
      </c>
      <c r="O251" s="10" t="n">
        <v>153.6</v>
      </c>
      <c r="P251" s="10" t="n">
        <v>207</v>
      </c>
      <c r="Q251" s="19" t="n">
        <f aca="false">1+((P251-178)/41)*(1.15-1)</f>
        <v>1.10609756097561</v>
      </c>
      <c r="R251" s="13" t="n">
        <f aca="false">Q251*L251</f>
        <v>0.774268292682927</v>
      </c>
      <c r="S251" s="13" t="n">
        <f aca="false">J251-R251</f>
        <v>0.225731707317073</v>
      </c>
      <c r="T251" s="42" t="n">
        <f aca="false">MIN(153.6,(T250+S251))</f>
        <v>153.6</v>
      </c>
      <c r="V251" s="18" t="n">
        <v>439.3</v>
      </c>
      <c r="W251" s="10" t="n">
        <v>74.4576271186441</v>
      </c>
      <c r="X251" s="10" t="n">
        <v>108836.6</v>
      </c>
      <c r="Y251" s="10" t="n">
        <f aca="false">Y250+V251</f>
        <v>26407.4</v>
      </c>
      <c r="AA251" s="10" t="n">
        <v>13.0583542487133</v>
      </c>
    </row>
    <row r="252" s="10" customFormat="true" ht="15" hidden="false" customHeight="false" outlineLevel="0" collapsed="false">
      <c r="A252" s="38"/>
      <c r="B252" s="16"/>
      <c r="C252" s="9" t="n">
        <v>42099</v>
      </c>
      <c r="D252" s="10" t="n">
        <v>5.3</v>
      </c>
      <c r="E252" s="21" t="n">
        <v>1.9</v>
      </c>
      <c r="F252" s="10" t="n">
        <v>8.6</v>
      </c>
      <c r="G252" s="10" t="n">
        <v>1667.2</v>
      </c>
      <c r="H252" s="10" t="n">
        <f aca="false">H251+D252</f>
        <v>205.1</v>
      </c>
      <c r="J252" s="40" t="n">
        <v>0</v>
      </c>
      <c r="K252" s="10" t="n">
        <v>429.4</v>
      </c>
      <c r="L252" s="10" t="n">
        <v>2.4</v>
      </c>
      <c r="M252" s="10" t="n">
        <v>232.6</v>
      </c>
      <c r="N252" s="11" t="n">
        <v>-2.4</v>
      </c>
      <c r="O252" s="10" t="n">
        <f aca="false">O251+N252</f>
        <v>151.2</v>
      </c>
      <c r="P252" s="10" t="n">
        <v>208</v>
      </c>
      <c r="Q252" s="19" t="n">
        <f aca="false">1+((P252-178)/41)*(1.15-1)</f>
        <v>1.10975609756098</v>
      </c>
      <c r="R252" s="13" t="n">
        <f aca="false">Q252*L252</f>
        <v>2.66341463414634</v>
      </c>
      <c r="S252" s="13" t="n">
        <f aca="false">J252-R252</f>
        <v>-2.66341463414634</v>
      </c>
      <c r="T252" s="42" t="n">
        <f aca="false">MIN(153.6,(T251+S252))</f>
        <v>150.936585365854</v>
      </c>
      <c r="V252" s="10" t="n">
        <v>1945.4</v>
      </c>
      <c r="W252" s="10" t="n">
        <v>367.056603773585</v>
      </c>
      <c r="X252" s="10" t="n">
        <v>110782</v>
      </c>
      <c r="Y252" s="10" t="n">
        <f aca="false">Y251+V252</f>
        <v>28352.8</v>
      </c>
      <c r="AA252" s="10" t="n">
        <v>13.1218477785862</v>
      </c>
    </row>
    <row r="253" s="10" customFormat="true" ht="15" hidden="false" customHeight="false" outlineLevel="0" collapsed="false">
      <c r="A253" s="38"/>
      <c r="B253" s="16"/>
      <c r="C253" s="9" t="n">
        <v>42100</v>
      </c>
      <c r="D253" s="10" t="n">
        <v>5.8</v>
      </c>
      <c r="E253" s="21" t="n">
        <v>1.2</v>
      </c>
      <c r="F253" s="10" t="n">
        <v>9.5</v>
      </c>
      <c r="G253" s="10" t="n">
        <v>1673</v>
      </c>
      <c r="H253" s="10" t="n">
        <f aca="false">H252+D253</f>
        <v>210.9</v>
      </c>
      <c r="J253" s="40" t="n">
        <v>0</v>
      </c>
      <c r="K253" s="10" t="n">
        <v>429.4</v>
      </c>
      <c r="L253" s="10" t="n">
        <v>1.2</v>
      </c>
      <c r="M253" s="10" t="n">
        <v>233.8</v>
      </c>
      <c r="N253" s="11" t="n">
        <v>-1.2</v>
      </c>
      <c r="O253" s="10" t="n">
        <f aca="false">O252+N253</f>
        <v>150</v>
      </c>
      <c r="P253" s="10" t="n">
        <v>209</v>
      </c>
      <c r="Q253" s="19" t="n">
        <f aca="false">1+((P253-178)/41)*(1.15-1)</f>
        <v>1.11341463414634</v>
      </c>
      <c r="R253" s="13" t="n">
        <f aca="false">Q253*L253</f>
        <v>1.33609756097561</v>
      </c>
      <c r="S253" s="13" t="n">
        <f aca="false">J253-R253</f>
        <v>-1.33609756097561</v>
      </c>
      <c r="T253" s="42" t="n">
        <f aca="false">MIN(153.6,(T252+S253))</f>
        <v>149.600487804878</v>
      </c>
      <c r="V253" s="18" t="n">
        <v>851</v>
      </c>
      <c r="W253" s="10" t="n">
        <v>146.724137931034</v>
      </c>
      <c r="X253" s="10" t="n">
        <v>111633</v>
      </c>
      <c r="Y253" s="10" t="n">
        <f aca="false">Y252+V253</f>
        <v>29203.8</v>
      </c>
      <c r="AA253" s="10" t="n">
        <v>13.185233938896</v>
      </c>
    </row>
    <row r="254" s="10" customFormat="true" ht="15" hidden="false" customHeight="false" outlineLevel="0" collapsed="false">
      <c r="A254" s="38"/>
      <c r="B254" s="16"/>
      <c r="C254" s="9" t="n">
        <v>42101</v>
      </c>
      <c r="D254" s="10" t="n">
        <v>7.9</v>
      </c>
      <c r="E254" s="21" t="n">
        <v>1.5</v>
      </c>
      <c r="F254" s="10" t="n">
        <v>13.5</v>
      </c>
      <c r="G254" s="10" t="n">
        <v>1680.9</v>
      </c>
      <c r="H254" s="10" t="n">
        <f aca="false">H253+D254</f>
        <v>218.8</v>
      </c>
      <c r="J254" s="10" t="n">
        <v>0</v>
      </c>
      <c r="K254" s="10" t="n">
        <v>429.4</v>
      </c>
      <c r="L254" s="10" t="n">
        <v>2.3</v>
      </c>
      <c r="M254" s="10" t="n">
        <v>236.1</v>
      </c>
      <c r="N254" s="11" t="n">
        <v>-2.3</v>
      </c>
      <c r="O254" s="10" t="n">
        <f aca="false">O253+N254</f>
        <v>147.7</v>
      </c>
      <c r="P254" s="10" t="n">
        <v>210</v>
      </c>
      <c r="Q254" s="19" t="n">
        <f aca="false">1+((P254-178)/41)*(1.15-1)</f>
        <v>1.11707317073171</v>
      </c>
      <c r="R254" s="13" t="n">
        <f aca="false">Q254*L254</f>
        <v>2.56926829268293</v>
      </c>
      <c r="S254" s="13" t="n">
        <f aca="false">J254-R254</f>
        <v>-2.56926829268293</v>
      </c>
      <c r="T254" s="13" t="n">
        <f aca="false">MIN(153.6,(T253+S254))</f>
        <v>147.031219512195</v>
      </c>
      <c r="V254" s="10" t="n">
        <v>1759.4</v>
      </c>
      <c r="W254" s="10" t="n">
        <v>222.708860759494</v>
      </c>
      <c r="X254" s="10" t="n">
        <v>113392.4</v>
      </c>
      <c r="Y254" s="10" t="n">
        <f aca="false">Y253+V254</f>
        <v>30963.2</v>
      </c>
      <c r="AA254" s="10" t="n">
        <v>13.2485051948674</v>
      </c>
    </row>
    <row r="255" s="50" customFormat="true" ht="15" hidden="false" customHeight="false" outlineLevel="0" collapsed="false">
      <c r="A255" s="38"/>
      <c r="B255" s="48"/>
      <c r="C255" s="49" t="n">
        <v>42102</v>
      </c>
      <c r="D255" s="50" t="n">
        <v>9.1</v>
      </c>
      <c r="E255" s="51" t="n">
        <v>3.7</v>
      </c>
      <c r="F255" s="50" t="n">
        <v>12.9</v>
      </c>
      <c r="G255" s="50" t="n">
        <v>1690</v>
      </c>
      <c r="H255" s="50" t="n">
        <f aca="false">H254+D255</f>
        <v>227.9</v>
      </c>
      <c r="J255" s="50" t="n">
        <v>0</v>
      </c>
      <c r="K255" s="50" t="n">
        <v>429.4</v>
      </c>
      <c r="L255" s="50" t="n">
        <v>2</v>
      </c>
      <c r="M255" s="50" t="n">
        <v>238.1</v>
      </c>
      <c r="N255" s="53" t="n">
        <v>-2</v>
      </c>
      <c r="O255" s="50" t="n">
        <f aca="false">O254+N255</f>
        <v>145.7</v>
      </c>
      <c r="P255" s="50" t="n">
        <v>211</v>
      </c>
      <c r="Q255" s="19" t="n">
        <f aca="false">1+((P255-178)/41)*(1.15-1)</f>
        <v>1.12073170731707</v>
      </c>
      <c r="R255" s="54" t="n">
        <f aca="false">Q255*L255</f>
        <v>2.24146341463415</v>
      </c>
      <c r="S255" s="54" t="n">
        <f aca="false">J255-R255</f>
        <v>-2.24146341463415</v>
      </c>
      <c r="T255" s="13" t="n">
        <f aca="false">MIN(153.6,(T254+S255))</f>
        <v>144.789756097561</v>
      </c>
      <c r="V255" s="50" t="n">
        <v>1465.8</v>
      </c>
      <c r="W255" s="50" t="n">
        <v>161.076923076923</v>
      </c>
      <c r="X255" s="50" t="n">
        <v>114858.2</v>
      </c>
      <c r="Y255" s="10" t="n">
        <f aca="false">Y254+V255</f>
        <v>32429</v>
      </c>
      <c r="AA255" s="10" t="n">
        <v>13.3116537411061</v>
      </c>
    </row>
    <row r="256" s="10" customFormat="true" ht="15" hidden="false" customHeight="true" outlineLevel="0" collapsed="false">
      <c r="A256" s="38"/>
      <c r="B256" s="16"/>
      <c r="C256" s="55" t="n">
        <v>42103</v>
      </c>
      <c r="D256" s="10" t="n">
        <v>11</v>
      </c>
      <c r="E256" s="10" t="n">
        <v>4.1</v>
      </c>
      <c r="F256" s="10" t="n">
        <v>17</v>
      </c>
      <c r="G256" s="10" t="n">
        <v>1701</v>
      </c>
      <c r="H256" s="10" t="n">
        <f aca="false">H255+D256</f>
        <v>238.9</v>
      </c>
      <c r="J256" s="10" t="n">
        <v>0</v>
      </c>
      <c r="K256" s="10" t="n">
        <v>429.4</v>
      </c>
      <c r="L256" s="10" t="n">
        <v>3.2</v>
      </c>
      <c r="M256" s="10" t="n">
        <v>241.3</v>
      </c>
      <c r="N256" s="10" t="n">
        <v>-3.2</v>
      </c>
      <c r="O256" s="10" t="n">
        <f aca="false">O255+N256</f>
        <v>142.5</v>
      </c>
      <c r="P256" s="10" t="n">
        <v>212</v>
      </c>
      <c r="Q256" s="19" t="n">
        <f aca="false">1+((P256-178)/41)*(1.15-1)</f>
        <v>1.12439024390244</v>
      </c>
      <c r="R256" s="13" t="n">
        <f aca="false">Q256*L256</f>
        <v>3.5980487804878</v>
      </c>
      <c r="S256" s="13" t="n">
        <f aca="false">J256-R256</f>
        <v>-3.5980487804878</v>
      </c>
      <c r="T256" s="13" t="n">
        <f aca="false">MIN(153.6,(T255+S256))</f>
        <v>141.191707317073</v>
      </c>
      <c r="V256" s="10" t="n">
        <v>2194.8</v>
      </c>
      <c r="W256" s="10" t="n">
        <v>199.527272727273</v>
      </c>
      <c r="X256" s="10" t="n">
        <v>117053</v>
      </c>
      <c r="Y256" s="10" t="n">
        <f aca="false">Y255+V256</f>
        <v>34623.8</v>
      </c>
      <c r="AA256" s="10" t="n">
        <v>13.3746714831632</v>
      </c>
    </row>
    <row r="257" s="10" customFormat="true" ht="15" hidden="false" customHeight="false" outlineLevel="0" collapsed="false">
      <c r="A257" s="38"/>
      <c r="B257" s="16"/>
      <c r="C257" s="9" t="n">
        <v>42104</v>
      </c>
      <c r="D257" s="10" t="n">
        <v>12.8</v>
      </c>
      <c r="E257" s="10" t="n">
        <v>5.3</v>
      </c>
      <c r="F257" s="10" t="n">
        <v>20.3</v>
      </c>
      <c r="G257" s="10" t="n">
        <v>1713.8</v>
      </c>
      <c r="H257" s="10" t="n">
        <f aca="false">H256+D257</f>
        <v>251.7</v>
      </c>
      <c r="J257" s="10" t="n">
        <v>0.1</v>
      </c>
      <c r="K257" s="10" t="n">
        <v>429.5</v>
      </c>
      <c r="L257" s="10" t="n">
        <v>2.8</v>
      </c>
      <c r="M257" s="10" t="n">
        <v>244.1</v>
      </c>
      <c r="N257" s="11" t="n">
        <v>-2.7</v>
      </c>
      <c r="O257" s="10" t="n">
        <f aca="false">O256+N257</f>
        <v>139.8</v>
      </c>
      <c r="P257" s="10" t="n">
        <v>213</v>
      </c>
      <c r="Q257" s="19" t="n">
        <f aca="false">1+((P257-178)/41)*(1.15-1)</f>
        <v>1.1280487804878</v>
      </c>
      <c r="R257" s="13" t="n">
        <f aca="false">Q257*L257</f>
        <v>3.15853658536585</v>
      </c>
      <c r="S257" s="13" t="n">
        <f aca="false">J257-R257</f>
        <v>-3.05853658536585</v>
      </c>
      <c r="T257" s="13" t="n">
        <f aca="false">MIN(153.6,(T256+S257))</f>
        <v>138.133170731707</v>
      </c>
      <c r="U257" s="56"/>
      <c r="V257" s="10" t="n">
        <v>1501.6</v>
      </c>
      <c r="W257" s="10" t="n">
        <v>117.3125</v>
      </c>
      <c r="X257" s="10" t="n">
        <v>118554.6</v>
      </c>
      <c r="Y257" s="10" t="n">
        <f aca="false">Y256+V257</f>
        <v>36125.4</v>
      </c>
      <c r="AA257" s="10" t="n">
        <v>13.4375500191694</v>
      </c>
    </row>
    <row r="258" s="10" customFormat="true" ht="15" hidden="false" customHeight="false" outlineLevel="0" collapsed="false">
      <c r="A258" s="38"/>
      <c r="B258" s="16"/>
      <c r="C258" s="9" t="n">
        <v>42105</v>
      </c>
      <c r="D258" s="10" t="n">
        <v>10.2</v>
      </c>
      <c r="E258" s="10" t="n">
        <v>8.6</v>
      </c>
      <c r="F258" s="10" t="n">
        <v>13.2</v>
      </c>
      <c r="G258" s="10" t="n">
        <v>1724</v>
      </c>
      <c r="H258" s="10" t="n">
        <f aca="false">H257+D258</f>
        <v>261.9</v>
      </c>
      <c r="J258" s="10" t="n">
        <v>0.9</v>
      </c>
      <c r="K258" s="10" t="n">
        <v>430.4</v>
      </c>
      <c r="L258" s="10" t="n">
        <v>1.8</v>
      </c>
      <c r="M258" s="10" t="n">
        <v>245.9</v>
      </c>
      <c r="N258" s="11" t="n">
        <v>-0.9</v>
      </c>
      <c r="O258" s="10" t="n">
        <f aca="false">O257+N258</f>
        <v>138.9</v>
      </c>
      <c r="P258" s="10" t="n">
        <v>214</v>
      </c>
      <c r="Q258" s="19" t="n">
        <f aca="false">1+((P258-178)/41)*(1.15-1)</f>
        <v>1.13170731707317</v>
      </c>
      <c r="R258" s="13" t="n">
        <f aca="false">Q258*L258</f>
        <v>2.03707317073171</v>
      </c>
      <c r="S258" s="13" t="n">
        <f aca="false">J258-R258</f>
        <v>-1.13707317073171</v>
      </c>
      <c r="T258" s="13" t="n">
        <f aca="false">MIN(153.6,(T257+S258))</f>
        <v>136.996097560976</v>
      </c>
      <c r="V258" s="18" t="n">
        <v>691</v>
      </c>
      <c r="W258" s="10" t="n">
        <v>67.7450980392157</v>
      </c>
      <c r="X258" s="10" t="n">
        <v>119245.6</v>
      </c>
      <c r="Y258" s="10" t="n">
        <f aca="false">Y257+V258</f>
        <v>36816.4</v>
      </c>
      <c r="AA258" s="10" t="n">
        <v>13.5002806215506</v>
      </c>
    </row>
    <row r="259" s="10" customFormat="true" ht="15" hidden="false" customHeight="false" outlineLevel="0" collapsed="false">
      <c r="A259" s="38"/>
      <c r="B259" s="16"/>
      <c r="C259" s="9" t="n">
        <v>42106</v>
      </c>
      <c r="D259" s="10" t="n">
        <v>10.3</v>
      </c>
      <c r="E259" s="21" t="n">
        <v>3.1</v>
      </c>
      <c r="F259" s="10" t="n">
        <v>15.7</v>
      </c>
      <c r="G259" s="10" t="n">
        <v>1734.3</v>
      </c>
      <c r="H259" s="10" t="n">
        <f aca="false">H258+D259</f>
        <v>272.2</v>
      </c>
      <c r="J259" s="10" t="n">
        <v>0</v>
      </c>
      <c r="K259" s="10" t="n">
        <v>430.4</v>
      </c>
      <c r="L259" s="10" t="n">
        <v>3.2</v>
      </c>
      <c r="M259" s="10" t="n">
        <v>249.1</v>
      </c>
      <c r="N259" s="11" t="n">
        <v>-3.2</v>
      </c>
      <c r="O259" s="10" t="n">
        <f aca="false">O258+N259</f>
        <v>135.7</v>
      </c>
      <c r="P259" s="10" t="n">
        <v>215</v>
      </c>
      <c r="Q259" s="19" t="n">
        <f aca="false">1+((P259-178)/41)*(1.15-1)</f>
        <v>1.13536585365854</v>
      </c>
      <c r="R259" s="13" t="n">
        <f aca="false">Q259*L259</f>
        <v>3.63317073170732</v>
      </c>
      <c r="S259" s="13" t="n">
        <f aca="false">J259-R259</f>
        <v>-3.63317073170732</v>
      </c>
      <c r="T259" s="13" t="n">
        <f aca="false">MIN(153.6,(T258+S259))</f>
        <v>133.362926829268</v>
      </c>
      <c r="V259" s="10" t="n">
        <v>1968.4</v>
      </c>
      <c r="W259" s="10" t="n">
        <v>191.106796116505</v>
      </c>
      <c r="X259" s="10" t="n">
        <v>121214</v>
      </c>
      <c r="Y259" s="10" t="n">
        <f aca="false">Y258+V259</f>
        <v>38784.8</v>
      </c>
      <c r="AA259" s="10" t="n">
        <v>13.5628542188418</v>
      </c>
    </row>
    <row r="260" s="10" customFormat="true" ht="15" hidden="false" customHeight="false" outlineLevel="0" collapsed="false">
      <c r="A260" s="38"/>
      <c r="B260" s="16"/>
      <c r="C260" s="9" t="n">
        <v>42107</v>
      </c>
      <c r="D260" s="10" t="n">
        <v>10.9</v>
      </c>
      <c r="E260" s="10" t="n">
        <v>7.8</v>
      </c>
      <c r="F260" s="10" t="n">
        <v>13.6</v>
      </c>
      <c r="G260" s="10" t="n">
        <v>1745.2</v>
      </c>
      <c r="H260" s="10" t="n">
        <f aca="false">H259+D260</f>
        <v>283.1</v>
      </c>
      <c r="J260" s="10" t="n">
        <v>0</v>
      </c>
      <c r="K260" s="10" t="n">
        <v>430.4</v>
      </c>
      <c r="L260" s="10" t="n">
        <v>2.1</v>
      </c>
      <c r="M260" s="10" t="n">
        <v>251.2</v>
      </c>
      <c r="N260" s="11" t="n">
        <v>-2.1</v>
      </c>
      <c r="O260" s="10" t="n">
        <f aca="false">O259+N260</f>
        <v>133.6</v>
      </c>
      <c r="P260" s="10" t="n">
        <v>216</v>
      </c>
      <c r="Q260" s="19" t="n">
        <f aca="false">1+((P260-178)/41)*(1.15-1)</f>
        <v>1.1390243902439</v>
      </c>
      <c r="R260" s="13" t="n">
        <f aca="false">Q260*L260</f>
        <v>2.3919512195122</v>
      </c>
      <c r="S260" s="13" t="n">
        <f aca="false">J260-R260</f>
        <v>-2.3919512195122</v>
      </c>
      <c r="T260" s="13" t="n">
        <f aca="false">MIN(153.6,(T259+S260))</f>
        <v>130.970975609756</v>
      </c>
      <c r="V260" s="10" t="n">
        <v>1113.6</v>
      </c>
      <c r="W260" s="10" t="n">
        <v>102.165137614679</v>
      </c>
      <c r="X260" s="10" t="n">
        <v>122327.6</v>
      </c>
      <c r="Y260" s="10" t="n">
        <f aca="false">Y259+V260</f>
        <v>39898.4</v>
      </c>
      <c r="AA260" s="10" t="n">
        <v>13.6252613776202</v>
      </c>
    </row>
    <row r="261" s="50" customFormat="true" ht="15" hidden="false" customHeight="false" outlineLevel="0" collapsed="false">
      <c r="A261" s="38"/>
      <c r="B261" s="78"/>
      <c r="C261" s="49" t="n">
        <v>42108</v>
      </c>
      <c r="D261" s="50" t="n">
        <v>14.4</v>
      </c>
      <c r="E261" s="50" t="n">
        <v>7.8</v>
      </c>
      <c r="F261" s="50" t="n">
        <v>21.7</v>
      </c>
      <c r="G261" s="50" t="n">
        <v>1759.6</v>
      </c>
      <c r="H261" s="50" t="n">
        <f aca="false">H260+D261</f>
        <v>297.5</v>
      </c>
      <c r="J261" s="50" t="n">
        <v>0</v>
      </c>
      <c r="K261" s="50" t="n">
        <v>430.4</v>
      </c>
      <c r="L261" s="50" t="n">
        <v>3.8</v>
      </c>
      <c r="M261" s="50" t="n">
        <v>255</v>
      </c>
      <c r="N261" s="53" t="n">
        <v>-3.8</v>
      </c>
      <c r="O261" s="50" t="n">
        <f aca="false">O260+N261</f>
        <v>129.8</v>
      </c>
      <c r="P261" s="50" t="n">
        <v>217</v>
      </c>
      <c r="Q261" s="19" t="n">
        <f aca="false">1+((P261-178)/41)*(1.15-1)</f>
        <v>1.14268292682927</v>
      </c>
      <c r="R261" s="54" t="n">
        <f aca="false">Q261*L261</f>
        <v>4.34219512195122</v>
      </c>
      <c r="S261" s="54" t="n">
        <f aca="false">J261-R261</f>
        <v>-4.34219512195122</v>
      </c>
      <c r="T261" s="13" t="n">
        <f aca="false">MIN(153.6,(T260+S261))</f>
        <v>126.628780487805</v>
      </c>
      <c r="V261" s="50" t="n">
        <v>2015</v>
      </c>
      <c r="W261" s="50" t="n">
        <v>139.930555555556</v>
      </c>
      <c r="X261" s="50" t="n">
        <v>124342.6</v>
      </c>
      <c r="Y261" s="10" t="n">
        <f aca="false">Y260+V261</f>
        <v>41913.4</v>
      </c>
      <c r="AA261" s="50" t="n">
        <v>13.6874922845799</v>
      </c>
    </row>
    <row r="262" s="10" customFormat="true" ht="15" hidden="false" customHeight="false" outlineLevel="0" collapsed="false">
      <c r="A262" s="38"/>
      <c r="C262" s="9" t="n">
        <v>42109</v>
      </c>
      <c r="D262" s="10" t="n">
        <v>16</v>
      </c>
      <c r="E262" s="10" t="n">
        <v>9</v>
      </c>
      <c r="F262" s="10" t="n">
        <v>24.2</v>
      </c>
      <c r="G262" s="10" t="n">
        <v>1775.6</v>
      </c>
      <c r="H262" s="50" t="n">
        <f aca="false">H261+D262</f>
        <v>313.5</v>
      </c>
      <c r="J262" s="10" t="n">
        <v>0</v>
      </c>
      <c r="K262" s="10" t="n">
        <v>430.4</v>
      </c>
      <c r="L262" s="10" t="n">
        <v>4.1</v>
      </c>
      <c r="M262" s="10" t="n">
        <v>259.1</v>
      </c>
      <c r="N262" s="11" t="n">
        <v>-4.1</v>
      </c>
      <c r="O262" s="10" t="n">
        <f aca="false">O261+N262</f>
        <v>125.7</v>
      </c>
      <c r="P262" s="10" t="n">
        <v>218</v>
      </c>
      <c r="Q262" s="19" t="n">
        <f aca="false">1+((P262-178)/41)*(1.15-1)</f>
        <v>1.14634146341463</v>
      </c>
      <c r="R262" s="13" t="n">
        <f aca="false">Q262*L262</f>
        <v>4.7</v>
      </c>
      <c r="S262" s="13" t="n">
        <f aca="false">J262-R262</f>
        <v>-4.7</v>
      </c>
      <c r="T262" s="13" t="n">
        <f aca="false">MIN(153.6,(T261+S262))</f>
        <v>121.928780487805</v>
      </c>
      <c r="V262" s="10" t="n">
        <v>2021.5</v>
      </c>
      <c r="W262" s="10" t="n">
        <v>126.34375</v>
      </c>
      <c r="X262" s="10" t="n">
        <v>126364.1</v>
      </c>
      <c r="Y262" s="10" t="n">
        <f aca="false">Y261+V262</f>
        <v>43934.9</v>
      </c>
      <c r="AA262" s="10" t="n">
        <v>13.7495367287754</v>
      </c>
    </row>
    <row r="263" s="29" customFormat="true" ht="15" hidden="false" customHeight="false" outlineLevel="0" collapsed="false">
      <c r="A263" s="38"/>
      <c r="C263" s="79" t="n">
        <v>42110</v>
      </c>
      <c r="D263" s="29" t="n">
        <v>14.1</v>
      </c>
      <c r="E263" s="29" t="n">
        <v>9.1</v>
      </c>
      <c r="F263" s="29" t="n">
        <v>18.3</v>
      </c>
      <c r="G263" s="29" t="n">
        <v>1789.7</v>
      </c>
      <c r="H263" s="80" t="n">
        <f aca="false">H262+D263</f>
        <v>327.6</v>
      </c>
      <c r="J263" s="29" t="n">
        <v>0</v>
      </c>
      <c r="K263" s="29" t="n">
        <v>430.4</v>
      </c>
      <c r="L263" s="29" t="n">
        <v>2.5</v>
      </c>
      <c r="M263" s="29" t="n">
        <v>261.6</v>
      </c>
      <c r="N263" s="81" t="n">
        <v>-2.5</v>
      </c>
      <c r="O263" s="29" t="n">
        <f aca="false">O262+N263</f>
        <v>123.2</v>
      </c>
      <c r="P263" s="29" t="n">
        <v>219</v>
      </c>
      <c r="Q263" s="60" t="n">
        <f aca="false">1+((P263-178)/41)*(1.15-1)</f>
        <v>1.15</v>
      </c>
      <c r="R263" s="31" t="n">
        <f aca="false">Q263*L263</f>
        <v>2.875</v>
      </c>
      <c r="S263" s="31" t="n">
        <f aca="false">J263-R263</f>
        <v>-2.875</v>
      </c>
      <c r="T263" s="31" t="n">
        <f aca="false">MIN(153.6,(T262+S263))</f>
        <v>119.053780487805</v>
      </c>
      <c r="V263" s="29" t="n">
        <v>1224.5</v>
      </c>
      <c r="W263" s="29" t="n">
        <v>86.8439716312057</v>
      </c>
      <c r="X263" s="29" t="n">
        <v>127588.6</v>
      </c>
      <c r="Y263" s="29" t="n">
        <f aca="false">Y262+V263</f>
        <v>45159.4</v>
      </c>
      <c r="AA263" s="29" t="n">
        <v>13.8113840840643</v>
      </c>
    </row>
    <row r="264" s="10" customFormat="true" ht="15" hidden="false" customHeight="false" outlineLevel="0" collapsed="false">
      <c r="A264" s="64" t="s">
        <v>52</v>
      </c>
      <c r="B264" s="10" t="s">
        <v>60</v>
      </c>
      <c r="C264" s="9" t="n">
        <v>42111</v>
      </c>
      <c r="D264" s="10" t="n">
        <v>11</v>
      </c>
      <c r="E264" s="10" t="n">
        <v>9</v>
      </c>
      <c r="F264" s="10" t="n">
        <v>13.9</v>
      </c>
      <c r="G264" s="10" t="n">
        <v>1800.7</v>
      </c>
      <c r="H264" s="10" t="n">
        <f aca="false">D264</f>
        <v>11</v>
      </c>
      <c r="I264" s="65" t="s">
        <v>27</v>
      </c>
      <c r="J264" s="10" t="n">
        <v>0</v>
      </c>
      <c r="K264" s="10" t="n">
        <v>430.4</v>
      </c>
      <c r="L264" s="10" t="n">
        <v>3.6</v>
      </c>
      <c r="M264" s="10" t="n">
        <v>265.2</v>
      </c>
      <c r="N264" s="11" t="n">
        <v>-3.6</v>
      </c>
      <c r="O264" s="10" t="n">
        <f aca="false">O263+N264</f>
        <v>119.6</v>
      </c>
      <c r="P264" s="10" t="n">
        <v>220</v>
      </c>
      <c r="Q264" s="10" t="n">
        <v>1.15</v>
      </c>
      <c r="R264" s="13" t="n">
        <f aca="false">Q264*L264</f>
        <v>4.14</v>
      </c>
      <c r="S264" s="13" t="n">
        <f aca="false">J264-R264</f>
        <v>-4.14</v>
      </c>
      <c r="T264" s="13" t="n">
        <f aca="false">MIN(153.6,(T263+S264))</f>
        <v>114.913780487805</v>
      </c>
      <c r="U264" s="65" t="s">
        <v>28</v>
      </c>
      <c r="V264" s="10" t="n">
        <v>1625.6</v>
      </c>
      <c r="W264" s="10" t="n">
        <v>147.781818181818</v>
      </c>
      <c r="X264" s="10" t="n">
        <v>129214.2</v>
      </c>
      <c r="Y264" s="10" t="n">
        <f aca="false">V264</f>
        <v>1625.6</v>
      </c>
      <c r="Z264" s="65" t="s">
        <v>29</v>
      </c>
      <c r="AA264" s="10" t="n">
        <v>13.8730232917844</v>
      </c>
    </row>
    <row r="265" s="10" customFormat="true" ht="15" hidden="false" customHeight="false" outlineLevel="0" collapsed="false">
      <c r="A265" s="64"/>
      <c r="C265" s="9" t="n">
        <v>42112</v>
      </c>
      <c r="D265" s="10" t="n">
        <v>10.1</v>
      </c>
      <c r="E265" s="21" t="n">
        <v>4.9</v>
      </c>
      <c r="F265" s="10" t="n">
        <v>14.2</v>
      </c>
      <c r="G265" s="10" t="n">
        <v>1810.8</v>
      </c>
      <c r="H265" s="10" t="n">
        <f aca="false">H264+D265</f>
        <v>21.1</v>
      </c>
      <c r="I265" s="29" t="n">
        <f aca="false">MIN(E264:E284)</f>
        <v>2.6</v>
      </c>
      <c r="J265" s="10" t="n">
        <v>0</v>
      </c>
      <c r="K265" s="10" t="n">
        <v>430.4</v>
      </c>
      <c r="L265" s="10" t="n">
        <v>3.8</v>
      </c>
      <c r="M265" s="10" t="n">
        <v>269</v>
      </c>
      <c r="N265" s="11" t="n">
        <v>-3.8</v>
      </c>
      <c r="O265" s="10" t="n">
        <f aca="false">O264+N265</f>
        <v>115.8</v>
      </c>
      <c r="P265" s="10" t="n">
        <v>221</v>
      </c>
      <c r="Q265" s="10" t="n">
        <v>1.15</v>
      </c>
      <c r="R265" s="13" t="n">
        <f aca="false">Q265*L265</f>
        <v>4.37</v>
      </c>
      <c r="S265" s="13" t="n">
        <f aca="false">J265-R265</f>
        <v>-4.37</v>
      </c>
      <c r="T265" s="13" t="n">
        <f aca="false">MIN(153.6,(T264+S265))</f>
        <v>110.543780487805</v>
      </c>
      <c r="U265" s="29"/>
      <c r="V265" s="10" t="n">
        <v>2315.4</v>
      </c>
      <c r="W265" s="10" t="n">
        <v>229.247524752475</v>
      </c>
      <c r="X265" s="10" t="n">
        <v>131529.6</v>
      </c>
      <c r="Y265" s="10" t="n">
        <f aca="false">Y264+V265</f>
        <v>3941</v>
      </c>
      <c r="Z265" s="29" t="n">
        <v>32231</v>
      </c>
      <c r="AA265" s="10" t="n">
        <v>13.9344428437046</v>
      </c>
    </row>
    <row r="266" s="10" customFormat="true" ht="15" hidden="false" customHeight="false" outlineLevel="0" collapsed="false">
      <c r="A266" s="64"/>
      <c r="C266" s="9" t="n">
        <v>42113</v>
      </c>
      <c r="D266" s="10" t="n">
        <v>9.4</v>
      </c>
      <c r="E266" s="21" t="n">
        <v>4.7</v>
      </c>
      <c r="F266" s="10" t="n">
        <v>13.1</v>
      </c>
      <c r="G266" s="10" t="n">
        <v>1820.2</v>
      </c>
      <c r="H266" s="10" t="n">
        <f aca="false">H265+D266</f>
        <v>30.5</v>
      </c>
      <c r="I266" s="65" t="s">
        <v>30</v>
      </c>
      <c r="J266" s="10" t="n">
        <v>0</v>
      </c>
      <c r="K266" s="10" t="n">
        <v>430.4</v>
      </c>
      <c r="L266" s="10" t="n">
        <v>2.8</v>
      </c>
      <c r="M266" s="10" t="n">
        <v>271.8</v>
      </c>
      <c r="N266" s="11" t="n">
        <v>-2.8</v>
      </c>
      <c r="O266" s="10" t="n">
        <f aca="false">O265+N266</f>
        <v>113</v>
      </c>
      <c r="P266" s="10" t="n">
        <v>222</v>
      </c>
      <c r="Q266" s="10" t="n">
        <v>1.15</v>
      </c>
      <c r="R266" s="13" t="n">
        <f aca="false">Q266*L266</f>
        <v>3.22</v>
      </c>
      <c r="S266" s="13" t="n">
        <f aca="false">J266-R266</f>
        <v>-3.22</v>
      </c>
      <c r="T266" s="13" t="n">
        <f aca="false">MIN(153.6,(T265+S266))</f>
        <v>107.323780487805</v>
      </c>
      <c r="U266" s="66" t="s">
        <v>31</v>
      </c>
      <c r="V266" s="10" t="n">
        <v>1982.5</v>
      </c>
      <c r="W266" s="10" t="n">
        <v>210.904255319149</v>
      </c>
      <c r="X266" s="10" t="n">
        <v>133512.1</v>
      </c>
      <c r="Y266" s="10" t="n">
        <f aca="false">Y265+V266</f>
        <v>5923.5</v>
      </c>
      <c r="Z266" s="65" t="s">
        <v>32</v>
      </c>
      <c r="AA266" s="10" t="n">
        <v>13.995630765292</v>
      </c>
    </row>
    <row r="267" s="10" customFormat="true" ht="15" hidden="false" customHeight="false" outlineLevel="0" collapsed="false">
      <c r="A267" s="64"/>
      <c r="C267" s="9" t="n">
        <v>42114</v>
      </c>
      <c r="D267" s="10" t="n">
        <v>12.1</v>
      </c>
      <c r="E267" s="10" t="n">
        <v>5.3</v>
      </c>
      <c r="F267" s="10" t="n">
        <v>18.4</v>
      </c>
      <c r="G267" s="10" t="n">
        <v>1832.3</v>
      </c>
      <c r="H267" s="10" t="n">
        <f aca="false">H266+D267</f>
        <v>42.6</v>
      </c>
      <c r="I267" s="10" t="n">
        <f aca="false">MAX(F264:F284)</f>
        <v>22.5</v>
      </c>
      <c r="J267" s="10" t="n">
        <v>0</v>
      </c>
      <c r="K267" s="10" t="n">
        <v>430.4</v>
      </c>
      <c r="L267" s="10" t="n">
        <v>3.8</v>
      </c>
      <c r="M267" s="10" t="n">
        <v>275.6</v>
      </c>
      <c r="N267" s="11" t="n">
        <v>-3.8</v>
      </c>
      <c r="O267" s="10" t="n">
        <f aca="false">O266+N267</f>
        <v>109.2</v>
      </c>
      <c r="P267" s="10" t="n">
        <v>223</v>
      </c>
      <c r="Q267" s="10" t="n">
        <v>1.15</v>
      </c>
      <c r="R267" s="13" t="n">
        <f aca="false">Q267*L267</f>
        <v>4.37</v>
      </c>
      <c r="S267" s="13" t="n">
        <f aca="false">J267-R267</f>
        <v>-4.37</v>
      </c>
      <c r="T267" s="13" t="n">
        <f aca="false">MIN(153.6,(T266+S267))</f>
        <v>102.953780487805</v>
      </c>
      <c r="U267" s="10" t="n">
        <v>0</v>
      </c>
      <c r="V267" s="10" t="n">
        <v>2071.7</v>
      </c>
      <c r="W267" s="10" t="n">
        <v>171.214876033058</v>
      </c>
      <c r="X267" s="10" t="n">
        <v>135583.8</v>
      </c>
      <c r="Y267" s="10" t="n">
        <f aca="false">Y266+V267</f>
        <v>7995.2</v>
      </c>
      <c r="Z267" s="19" t="n">
        <f aca="false">(Z265/100)/I277</f>
        <v>1.32365503080082</v>
      </c>
      <c r="AA267" s="10" t="n">
        <v>14.0565745993449</v>
      </c>
    </row>
    <row r="268" s="10" customFormat="true" ht="15" hidden="false" customHeight="false" outlineLevel="0" collapsed="false">
      <c r="A268" s="64"/>
      <c r="C268" s="9" t="n">
        <v>42115</v>
      </c>
      <c r="D268" s="10" t="n">
        <v>12.2</v>
      </c>
      <c r="E268" s="10" t="n">
        <v>7.4</v>
      </c>
      <c r="F268" s="10" t="n">
        <v>18.5</v>
      </c>
      <c r="G268" s="10" t="n">
        <v>1844.5</v>
      </c>
      <c r="H268" s="10" t="n">
        <f aca="false">H267+D268</f>
        <v>54.8</v>
      </c>
      <c r="I268" s="65" t="s">
        <v>33</v>
      </c>
      <c r="J268" s="10" t="n">
        <v>0</v>
      </c>
      <c r="K268" s="10" t="n">
        <v>430.4</v>
      </c>
      <c r="L268" s="10" t="n">
        <v>3.9</v>
      </c>
      <c r="M268" s="10" t="n">
        <v>279.5</v>
      </c>
      <c r="N268" s="11" t="n">
        <v>-3.9</v>
      </c>
      <c r="O268" s="10" t="n">
        <f aca="false">O267+N268</f>
        <v>105.3</v>
      </c>
      <c r="P268" s="10" t="n">
        <v>224</v>
      </c>
      <c r="Q268" s="10" t="n">
        <v>1.15</v>
      </c>
      <c r="R268" s="13" t="n">
        <f aca="false">Q268*L268</f>
        <v>4.485</v>
      </c>
      <c r="S268" s="13" t="n">
        <f aca="false">J268-R268</f>
        <v>-4.485</v>
      </c>
      <c r="T268" s="13" t="n">
        <f aca="false">MIN(153.6,(T267+S268))</f>
        <v>98.4687804878049</v>
      </c>
      <c r="U268" s="65" t="s">
        <v>34</v>
      </c>
      <c r="V268" s="10" t="n">
        <v>2078.5</v>
      </c>
      <c r="W268" s="10" t="n">
        <v>170.368852459016</v>
      </c>
      <c r="X268" s="10" t="n">
        <v>137662.3</v>
      </c>
      <c r="Y268" s="10" t="n">
        <f aca="false">Y267+V268</f>
        <v>10073.7</v>
      </c>
      <c r="Z268" s="66" t="s">
        <v>35</v>
      </c>
      <c r="AA268" s="10" t="n">
        <v>14.1172613900444</v>
      </c>
    </row>
    <row r="269" s="10" customFormat="true" ht="15" hidden="false" customHeight="false" outlineLevel="0" collapsed="false">
      <c r="A269" s="64"/>
      <c r="C269" s="9" t="n">
        <v>42116</v>
      </c>
      <c r="D269" s="10" t="n">
        <v>9.9</v>
      </c>
      <c r="E269" s="10" t="n">
        <v>6.3</v>
      </c>
      <c r="F269" s="10" t="n">
        <v>13.7</v>
      </c>
      <c r="G269" s="10" t="n">
        <v>1854.4</v>
      </c>
      <c r="H269" s="10" t="n">
        <f aca="false">H268+D269</f>
        <v>64.7</v>
      </c>
      <c r="I269" s="13" t="n">
        <f aca="false">AVERAGE(D264:D284)</f>
        <v>11.5952380952381</v>
      </c>
      <c r="J269" s="10" t="n">
        <v>0</v>
      </c>
      <c r="K269" s="10" t="n">
        <v>430.4</v>
      </c>
      <c r="L269" s="10" t="n">
        <v>2.9</v>
      </c>
      <c r="M269" s="10" t="n">
        <v>282.4</v>
      </c>
      <c r="N269" s="11" t="n">
        <v>-2.9</v>
      </c>
      <c r="O269" s="10" t="n">
        <f aca="false">O268+N269</f>
        <v>102.4</v>
      </c>
      <c r="P269" s="10" t="n">
        <v>225</v>
      </c>
      <c r="Q269" s="10" t="n">
        <v>1.15</v>
      </c>
      <c r="R269" s="13" t="n">
        <f aca="false">Q269*L269</f>
        <v>3.335</v>
      </c>
      <c r="S269" s="13" t="n">
        <f aca="false">J269-R269</f>
        <v>-3.335</v>
      </c>
      <c r="T269" s="13" t="n">
        <f aca="false">MIN(153.6,(T268+S269))</f>
        <v>95.1337804878049</v>
      </c>
      <c r="U269" s="10" t="n">
        <v>0</v>
      </c>
      <c r="V269" s="10" t="n">
        <v>2034.5</v>
      </c>
      <c r="W269" s="10" t="n">
        <v>205.505050505051</v>
      </c>
      <c r="X269" s="10" t="n">
        <v>139696.8</v>
      </c>
      <c r="Y269" s="10" t="n">
        <f aca="false">Y268+V269</f>
        <v>12108.2</v>
      </c>
      <c r="Z269" s="10" t="n">
        <v>4</v>
      </c>
      <c r="AA269" s="10" t="n">
        <v>14.1776776674823</v>
      </c>
    </row>
    <row r="270" s="10" customFormat="true" ht="15" hidden="false" customHeight="false" outlineLevel="0" collapsed="false">
      <c r="A270" s="64"/>
      <c r="C270" s="9" t="n">
        <v>42117</v>
      </c>
      <c r="D270" s="10" t="n">
        <v>11.6</v>
      </c>
      <c r="E270" s="10" t="n">
        <v>6.4</v>
      </c>
      <c r="F270" s="10" t="n">
        <v>16.4</v>
      </c>
      <c r="G270" s="10" t="n">
        <v>1866</v>
      </c>
      <c r="H270" s="10" t="n">
        <f aca="false">H269+D270</f>
        <v>76.3</v>
      </c>
      <c r="I270" s="65" t="s">
        <v>36</v>
      </c>
      <c r="J270" s="10" t="n">
        <v>0</v>
      </c>
      <c r="K270" s="10" t="n">
        <v>430.4</v>
      </c>
      <c r="L270" s="10" t="n">
        <v>3.6</v>
      </c>
      <c r="M270" s="10" t="n">
        <v>286</v>
      </c>
      <c r="N270" s="11" t="n">
        <v>-3.6</v>
      </c>
      <c r="O270" s="10" t="n">
        <f aca="false">O269+N270</f>
        <v>98.8</v>
      </c>
      <c r="P270" s="10" t="n">
        <v>226</v>
      </c>
      <c r="Q270" s="10" t="n">
        <v>1.15</v>
      </c>
      <c r="R270" s="13" t="n">
        <f aca="false">Q270*L270</f>
        <v>4.14</v>
      </c>
      <c r="S270" s="13" t="n">
        <f aca="false">J270-R270</f>
        <v>-4.14</v>
      </c>
      <c r="T270" s="13" t="n">
        <f aca="false">MIN(153.6,(T269+S270))</f>
        <v>90.9937804878049</v>
      </c>
      <c r="U270" s="65" t="s">
        <v>37</v>
      </c>
      <c r="V270" s="10" t="n">
        <v>2570.8</v>
      </c>
      <c r="W270" s="10" t="n">
        <v>221.620689655172</v>
      </c>
      <c r="X270" s="10" t="n">
        <v>142267.6</v>
      </c>
      <c r="Y270" s="10" t="n">
        <f aca="false">Y269+V270</f>
        <v>14679</v>
      </c>
      <c r="AA270" s="10" t="n">
        <v>14.2378094327304</v>
      </c>
    </row>
    <row r="271" s="10" customFormat="true" ht="15" hidden="false" customHeight="false" outlineLevel="0" collapsed="false">
      <c r="A271" s="64"/>
      <c r="C271" s="9" t="n">
        <v>42118</v>
      </c>
      <c r="D271" s="10" t="n">
        <v>13.5</v>
      </c>
      <c r="E271" s="10" t="n">
        <v>6.5</v>
      </c>
      <c r="F271" s="10" t="n">
        <v>22.5</v>
      </c>
      <c r="G271" s="10" t="n">
        <v>1879.5</v>
      </c>
      <c r="H271" s="10" t="n">
        <f aca="false">H270+D271</f>
        <v>89.8</v>
      </c>
      <c r="I271" s="10" t="n">
        <v>0</v>
      </c>
      <c r="J271" s="10" t="n">
        <v>2.9</v>
      </c>
      <c r="K271" s="10" t="n">
        <v>433.3</v>
      </c>
      <c r="L271" s="10" t="n">
        <v>3.7</v>
      </c>
      <c r="M271" s="10" t="n">
        <v>289.7</v>
      </c>
      <c r="N271" s="11" t="n">
        <v>-0.8</v>
      </c>
      <c r="O271" s="10" t="n">
        <f aca="false">O270+N271</f>
        <v>98</v>
      </c>
      <c r="P271" s="10" t="n">
        <v>227</v>
      </c>
      <c r="Q271" s="10" t="n">
        <v>1.15</v>
      </c>
      <c r="R271" s="13" t="n">
        <f aca="false">Q271*L271</f>
        <v>4.255</v>
      </c>
      <c r="S271" s="13" t="n">
        <f aca="false">J271-R271</f>
        <v>-1.355</v>
      </c>
      <c r="T271" s="13" t="n">
        <f aca="false">MIN(153.6,(T270+S271))</f>
        <v>89.6387804878049</v>
      </c>
      <c r="U271" s="13" t="n">
        <f aca="false">MIN(T264:T284)</f>
        <v>78.2337804878049</v>
      </c>
      <c r="V271" s="10" t="n">
        <v>1854.4</v>
      </c>
      <c r="W271" s="10" t="n">
        <v>137.362962962963</v>
      </c>
      <c r="X271" s="10" t="n">
        <v>144122</v>
      </c>
      <c r="Y271" s="10" t="n">
        <f aca="false">Y270+V271</f>
        <v>16533.4</v>
      </c>
      <c r="AA271" s="10" t="n">
        <v>14.2976421435191</v>
      </c>
    </row>
    <row r="272" s="10" customFormat="true" ht="15" hidden="false" customHeight="false" outlineLevel="0" collapsed="false">
      <c r="A272" s="64"/>
      <c r="C272" s="9" t="n">
        <v>42119</v>
      </c>
      <c r="D272" s="10" t="n">
        <v>13.7</v>
      </c>
      <c r="E272" s="10" t="n">
        <v>11.9</v>
      </c>
      <c r="F272" s="10" t="n">
        <v>15.9</v>
      </c>
      <c r="G272" s="10" t="n">
        <v>1893.2</v>
      </c>
      <c r="H272" s="10" t="n">
        <f aca="false">H271+D272</f>
        <v>103.5</v>
      </c>
      <c r="I272" s="65" t="s">
        <v>38</v>
      </c>
      <c r="J272" s="10" t="n">
        <v>2</v>
      </c>
      <c r="K272" s="10" t="n">
        <v>435.3</v>
      </c>
      <c r="L272" s="10" t="n">
        <v>1.7</v>
      </c>
      <c r="M272" s="10" t="n">
        <v>291.4</v>
      </c>
      <c r="N272" s="10" t="n">
        <v>0.3</v>
      </c>
      <c r="O272" s="10" t="n">
        <f aca="false">O271+N272</f>
        <v>98.3</v>
      </c>
      <c r="P272" s="10" t="n">
        <v>228</v>
      </c>
      <c r="Q272" s="10" t="n">
        <v>1.15</v>
      </c>
      <c r="R272" s="13" t="n">
        <f aca="false">Q272*L272</f>
        <v>1.955</v>
      </c>
      <c r="S272" s="13" t="n">
        <f aca="false">J272-R272</f>
        <v>0.0450000000000002</v>
      </c>
      <c r="T272" s="13" t="n">
        <f aca="false">MIN(153.6,(T271+S272))</f>
        <v>89.6837804878049</v>
      </c>
      <c r="U272" s="65" t="s">
        <v>39</v>
      </c>
      <c r="V272" s="18" t="n">
        <v>403.8</v>
      </c>
      <c r="W272" s="10" t="n">
        <v>29.4744525547445</v>
      </c>
      <c r="X272" s="10" t="n">
        <v>144525.8</v>
      </c>
      <c r="Y272" s="10" t="n">
        <f aca="false">Y271+V272</f>
        <v>16937.2</v>
      </c>
      <c r="AA272" s="10" t="n">
        <v>14.3571607006006</v>
      </c>
    </row>
    <row r="273" s="50" customFormat="true" ht="15" hidden="false" customHeight="false" outlineLevel="0" collapsed="false">
      <c r="A273" s="64"/>
      <c r="C273" s="9" t="n">
        <v>42120</v>
      </c>
      <c r="D273" s="50" t="n">
        <v>12.5</v>
      </c>
      <c r="E273" s="50" t="n">
        <v>11.4</v>
      </c>
      <c r="F273" s="50" t="n">
        <v>16.2</v>
      </c>
      <c r="G273" s="50" t="n">
        <v>1905.7</v>
      </c>
      <c r="H273" s="10" t="n">
        <f aca="false">H272+D273</f>
        <v>116</v>
      </c>
      <c r="I273" s="10" t="n">
        <v>0</v>
      </c>
      <c r="J273" s="50" t="n">
        <v>5.8</v>
      </c>
      <c r="K273" s="50" t="n">
        <v>441.1</v>
      </c>
      <c r="L273" s="50" t="n">
        <v>1.5</v>
      </c>
      <c r="M273" s="50" t="n">
        <v>292.9</v>
      </c>
      <c r="N273" s="50" t="n">
        <v>4.3</v>
      </c>
      <c r="O273" s="50" t="n">
        <f aca="false">O272+N273</f>
        <v>102.6</v>
      </c>
      <c r="P273" s="50" t="n">
        <v>229</v>
      </c>
      <c r="Q273" s="10" t="n">
        <v>1.15</v>
      </c>
      <c r="R273" s="54" t="n">
        <f aca="false">Q273*L273</f>
        <v>1.725</v>
      </c>
      <c r="S273" s="54" t="n">
        <f aca="false">J273-R273</f>
        <v>4.075</v>
      </c>
      <c r="T273" s="13" t="n">
        <f aca="false">MIN(153.6,(T272+S273))</f>
        <v>93.7587804878049</v>
      </c>
      <c r="U273" s="13" t="n">
        <f aca="false">MAX(T264:T284)</f>
        <v>114.913780487805</v>
      </c>
      <c r="V273" s="50" t="n">
        <v>516.6</v>
      </c>
      <c r="W273" s="50" t="n">
        <v>41.328</v>
      </c>
      <c r="X273" s="50" t="n">
        <v>145042.4</v>
      </c>
      <c r="Y273" s="10" t="n">
        <f aca="false">Y272+V273</f>
        <v>17453.8</v>
      </c>
      <c r="AA273" s="10" t="n">
        <v>14.4163494348774</v>
      </c>
    </row>
    <row r="274" s="10" customFormat="true" ht="15" hidden="false" customHeight="true" outlineLevel="0" collapsed="false">
      <c r="A274" s="64"/>
      <c r="C274" s="9" t="n">
        <v>42121</v>
      </c>
      <c r="D274" s="10" t="n">
        <v>8.6</v>
      </c>
      <c r="E274" s="10" t="n">
        <v>6.6</v>
      </c>
      <c r="F274" s="10" t="n">
        <v>12.6</v>
      </c>
      <c r="G274" s="10" t="n">
        <v>1914.3</v>
      </c>
      <c r="H274" s="10" t="n">
        <f aca="false">H273+D274</f>
        <v>124.6</v>
      </c>
      <c r="I274" s="65" t="s">
        <v>40</v>
      </c>
      <c r="J274" s="10" t="n">
        <v>0</v>
      </c>
      <c r="K274" s="10" t="n">
        <v>441.1</v>
      </c>
      <c r="L274" s="10" t="n">
        <v>3.1</v>
      </c>
      <c r="M274" s="10" t="n">
        <v>296</v>
      </c>
      <c r="N274" s="11" t="n">
        <v>-3.1</v>
      </c>
      <c r="O274" s="10" t="n">
        <f aca="false">O273+N274</f>
        <v>99.5</v>
      </c>
      <c r="P274" s="10" t="n">
        <v>230</v>
      </c>
      <c r="Q274" s="10" t="n">
        <v>1.15</v>
      </c>
      <c r="R274" s="13" t="n">
        <f aca="false">Q274*L274</f>
        <v>3.565</v>
      </c>
      <c r="S274" s="13" t="n">
        <f aca="false">J274-R274</f>
        <v>-3.565</v>
      </c>
      <c r="T274" s="13" t="n">
        <f aca="false">MIN(153.6,(T273+S274))</f>
        <v>90.1937804878049</v>
      </c>
      <c r="U274" s="65" t="s">
        <v>41</v>
      </c>
      <c r="V274" s="10" t="n">
        <v>1719.1</v>
      </c>
      <c r="W274" s="10" t="n">
        <v>199.895348837209</v>
      </c>
      <c r="X274" s="10" t="n">
        <v>146761.5</v>
      </c>
      <c r="Y274" s="10" t="n">
        <f aca="false">Y273+V274</f>
        <v>19172.9</v>
      </c>
      <c r="AA274" s="10" t="n">
        <v>14.475192095382</v>
      </c>
    </row>
    <row r="275" s="10" customFormat="true" ht="15" hidden="false" customHeight="false" outlineLevel="0" collapsed="false">
      <c r="A275" s="64"/>
      <c r="C275" s="9" t="n">
        <v>42122</v>
      </c>
      <c r="D275" s="10" t="n">
        <v>8.2</v>
      </c>
      <c r="E275" s="21" t="n">
        <v>2.6</v>
      </c>
      <c r="F275" s="10" t="n">
        <v>12.8</v>
      </c>
      <c r="G275" s="10" t="n">
        <v>1922.5</v>
      </c>
      <c r="H275" s="10" t="n">
        <f aca="false">H274+D275</f>
        <v>132.8</v>
      </c>
      <c r="I275" s="50" t="n">
        <v>5</v>
      </c>
      <c r="J275" s="10" t="n">
        <v>0</v>
      </c>
      <c r="K275" s="10" t="n">
        <v>441.1</v>
      </c>
      <c r="L275" s="10" t="n">
        <v>3.3</v>
      </c>
      <c r="M275" s="10" t="n">
        <v>299.3</v>
      </c>
      <c r="N275" s="11" t="n">
        <v>-3.3</v>
      </c>
      <c r="O275" s="10" t="n">
        <f aca="false">O274+N275</f>
        <v>96.2</v>
      </c>
      <c r="P275" s="10" t="n">
        <v>231</v>
      </c>
      <c r="Q275" s="10" t="n">
        <v>1.15</v>
      </c>
      <c r="R275" s="13" t="n">
        <f aca="false">Q275*L275</f>
        <v>3.795</v>
      </c>
      <c r="S275" s="13" t="n">
        <f aca="false">J275-R275</f>
        <v>-3.795</v>
      </c>
      <c r="T275" s="13" t="n">
        <f aca="false">MIN(153.6,(T274+S275))</f>
        <v>86.3987804878049</v>
      </c>
      <c r="U275" s="19" t="n">
        <f aca="false">AVERAGE(T264:T284)</f>
        <v>93.8849709639954</v>
      </c>
      <c r="V275" s="10" t="n">
        <v>2038.6</v>
      </c>
      <c r="W275" s="10" t="n">
        <v>248.609756097561</v>
      </c>
      <c r="X275" s="10" t="n">
        <v>148800.1</v>
      </c>
      <c r="Y275" s="10" t="n">
        <f aca="false">Y274+V275</f>
        <v>21211.5</v>
      </c>
      <c r="AA275" s="10" t="n">
        <v>14.5336718382007</v>
      </c>
    </row>
    <row r="276" s="10" customFormat="true" ht="15" hidden="false" customHeight="false" outlineLevel="0" collapsed="false">
      <c r="A276" s="64"/>
      <c r="C276" s="9" t="n">
        <v>42123</v>
      </c>
      <c r="D276" s="10" t="n">
        <v>9.8</v>
      </c>
      <c r="E276" s="21" t="n">
        <v>3.7</v>
      </c>
      <c r="F276" s="10" t="n">
        <v>14.7</v>
      </c>
      <c r="G276" s="10" t="n">
        <v>1932.3</v>
      </c>
      <c r="H276" s="10" t="n">
        <f aca="false">H275+D276</f>
        <v>142.6</v>
      </c>
      <c r="I276" s="65" t="s">
        <v>42</v>
      </c>
      <c r="J276" s="10" t="n">
        <v>2.2</v>
      </c>
      <c r="K276" s="10" t="n">
        <v>443.3</v>
      </c>
      <c r="L276" s="10" t="n">
        <v>2.5</v>
      </c>
      <c r="M276" s="10" t="n">
        <v>301.8</v>
      </c>
      <c r="N276" s="11" t="n">
        <v>-0.3</v>
      </c>
      <c r="O276" s="10" t="n">
        <f aca="false">O275+N276</f>
        <v>95.9</v>
      </c>
      <c r="P276" s="10" t="n">
        <v>232</v>
      </c>
      <c r="Q276" s="10" t="n">
        <v>1.15</v>
      </c>
      <c r="R276" s="13" t="n">
        <f aca="false">Q276*L276</f>
        <v>2.875</v>
      </c>
      <c r="S276" s="13" t="n">
        <f aca="false">J276-R276</f>
        <v>-0.675</v>
      </c>
      <c r="T276" s="13" t="n">
        <f aca="false">MIN(153.6,(T275+S276))</f>
        <v>85.7237804878049</v>
      </c>
      <c r="U276" s="56"/>
      <c r="V276" s="10" t="n">
        <v>1314.2</v>
      </c>
      <c r="W276" s="10" t="n">
        <v>134.102040816327</v>
      </c>
      <c r="X276" s="10" t="n">
        <v>150114.3</v>
      </c>
      <c r="Y276" s="10" t="n">
        <f aca="false">Y275+V276</f>
        <v>22525.7</v>
      </c>
      <c r="AA276" s="10" t="n">
        <v>14.5917712164388</v>
      </c>
    </row>
    <row r="277" s="10" customFormat="true" ht="15" hidden="false" customHeight="false" outlineLevel="0" collapsed="false">
      <c r="A277" s="64"/>
      <c r="C277" s="9" t="n">
        <v>42124</v>
      </c>
      <c r="D277" s="10" t="n">
        <v>9.5</v>
      </c>
      <c r="E277" s="10" t="n">
        <v>7.5</v>
      </c>
      <c r="F277" s="10" t="n">
        <v>13.2</v>
      </c>
      <c r="G277" s="10" t="n">
        <v>1941.8</v>
      </c>
      <c r="H277" s="10" t="n">
        <f aca="false">H276+D277</f>
        <v>152.1</v>
      </c>
      <c r="I277" s="10" t="n">
        <v>243.5</v>
      </c>
      <c r="J277" s="10" t="n">
        <v>0.1</v>
      </c>
      <c r="K277" s="10" t="n">
        <v>443.4</v>
      </c>
      <c r="L277" s="10" t="n">
        <v>3.2</v>
      </c>
      <c r="M277" s="10" t="n">
        <v>305</v>
      </c>
      <c r="N277" s="11" t="n">
        <v>-3.1</v>
      </c>
      <c r="O277" s="10" t="n">
        <f aca="false">O276+N277</f>
        <v>92.8</v>
      </c>
      <c r="P277" s="10" t="n">
        <v>233</v>
      </c>
      <c r="Q277" s="10" t="n">
        <v>1.15</v>
      </c>
      <c r="R277" s="13" t="n">
        <f aca="false">Q277*L277</f>
        <v>3.68</v>
      </c>
      <c r="S277" s="13" t="n">
        <f aca="false">J277-R277</f>
        <v>-3.58</v>
      </c>
      <c r="T277" s="13" t="n">
        <f aca="false">MIN(153.6,(T276+S277))</f>
        <v>82.1437804878049</v>
      </c>
      <c r="U277" s="13" t="n">
        <f aca="false">(U275*100)/153.6</f>
        <v>61.1230279713512</v>
      </c>
      <c r="V277" s="10" t="n">
        <v>1958.3</v>
      </c>
      <c r="W277" s="10" t="n">
        <v>206.136842105263</v>
      </c>
      <c r="X277" s="10" t="n">
        <v>152072.6</v>
      </c>
      <c r="Y277" s="10" t="n">
        <f aca="false">Y276+V277</f>
        <v>24484</v>
      </c>
      <c r="AA277" s="10" t="n">
        <v>14.6494721713323</v>
      </c>
    </row>
    <row r="278" s="10" customFormat="true" ht="15" hidden="false" customHeight="false" outlineLevel="0" collapsed="false">
      <c r="A278" s="64"/>
      <c r="C278" s="9" t="n">
        <v>42125</v>
      </c>
      <c r="D278" s="10" t="n">
        <v>9.8</v>
      </c>
      <c r="E278" s="21" t="n">
        <v>4</v>
      </c>
      <c r="F278" s="10" t="n">
        <v>13.2</v>
      </c>
      <c r="G278" s="10" t="n">
        <v>1951.6</v>
      </c>
      <c r="H278" s="10" t="n">
        <f aca="false">H277+D278</f>
        <v>161.9</v>
      </c>
      <c r="J278" s="10" t="n">
        <v>0</v>
      </c>
      <c r="K278" s="10" t="n">
        <v>443.4</v>
      </c>
      <c r="L278" s="10" t="n">
        <v>1.7</v>
      </c>
      <c r="M278" s="10" t="n">
        <v>306.7</v>
      </c>
      <c r="N278" s="11" t="n">
        <v>-1.7</v>
      </c>
      <c r="O278" s="10" t="n">
        <f aca="false">O277+N278</f>
        <v>91.1</v>
      </c>
      <c r="P278" s="10" t="n">
        <v>234</v>
      </c>
      <c r="Q278" s="10" t="n">
        <v>1.15</v>
      </c>
      <c r="R278" s="13" t="n">
        <f aca="false">Q278*L278</f>
        <v>1.955</v>
      </c>
      <c r="S278" s="13" t="n">
        <f aca="false">J278-R278</f>
        <v>-1.955</v>
      </c>
      <c r="T278" s="13" t="n">
        <f aca="false">MIN(153.6,(T277+S278))</f>
        <v>80.1887804878049</v>
      </c>
      <c r="V278" s="18" t="n">
        <v>892.9</v>
      </c>
      <c r="W278" s="10" t="n">
        <v>91.1122448979592</v>
      </c>
      <c r="X278" s="10" t="n">
        <v>152965.5</v>
      </c>
      <c r="Y278" s="10" t="n">
        <f aca="false">Y277+V278</f>
        <v>25376.9</v>
      </c>
      <c r="AA278" s="10" t="n">
        <v>14.7067560246155</v>
      </c>
    </row>
    <row r="279" s="10" customFormat="true" ht="15" hidden="false" customHeight="false" outlineLevel="0" collapsed="false">
      <c r="A279" s="64"/>
      <c r="C279" s="9" t="n">
        <v>42126</v>
      </c>
      <c r="D279" s="10" t="n">
        <v>11.9</v>
      </c>
      <c r="E279" s="10" t="n">
        <v>8.1</v>
      </c>
      <c r="F279" s="10" t="n">
        <v>14.6</v>
      </c>
      <c r="G279" s="10" t="n">
        <v>1963.5</v>
      </c>
      <c r="H279" s="10" t="n">
        <f aca="false">H278+D279</f>
        <v>173.8</v>
      </c>
      <c r="J279" s="10" t="n">
        <v>0</v>
      </c>
      <c r="K279" s="10" t="n">
        <v>443.4</v>
      </c>
      <c r="L279" s="10" t="n">
        <v>1.7</v>
      </c>
      <c r="M279" s="10" t="n">
        <v>308.4</v>
      </c>
      <c r="N279" s="11" t="n">
        <v>-1.7</v>
      </c>
      <c r="O279" s="10" t="n">
        <f aca="false">O278+N279</f>
        <v>89.4</v>
      </c>
      <c r="P279" s="10" t="n">
        <v>235</v>
      </c>
      <c r="Q279" s="10" t="n">
        <v>1.15</v>
      </c>
      <c r="R279" s="13" t="n">
        <f aca="false">Q279*L279</f>
        <v>1.955</v>
      </c>
      <c r="S279" s="13" t="n">
        <f aca="false">J279-R279</f>
        <v>-1.955</v>
      </c>
      <c r="T279" s="13" t="n">
        <f aca="false">MIN(153.6,(T278+S279))</f>
        <v>78.2337804878049</v>
      </c>
      <c r="V279" s="18" t="n">
        <v>850.9</v>
      </c>
      <c r="W279" s="10" t="n">
        <v>71.5042016806723</v>
      </c>
      <c r="X279" s="10" t="n">
        <v>153816.4</v>
      </c>
      <c r="Y279" s="10" t="n">
        <f aca="false">Y278+V279</f>
        <v>26227.8</v>
      </c>
      <c r="AA279" s="10" t="n">
        <v>14.7636034722596</v>
      </c>
    </row>
    <row r="280" s="10" customFormat="true" ht="15" hidden="false" customHeight="false" outlineLevel="0" collapsed="false">
      <c r="A280" s="64"/>
      <c r="C280" s="9" t="n">
        <v>42127</v>
      </c>
      <c r="D280" s="10" t="n">
        <v>14.3</v>
      </c>
      <c r="E280" s="10" t="n">
        <v>12.1</v>
      </c>
      <c r="F280" s="10" t="n">
        <v>17</v>
      </c>
      <c r="G280" s="10" t="n">
        <v>1977.8</v>
      </c>
      <c r="H280" s="10" t="n">
        <f aca="false">H279+D280</f>
        <v>188.1</v>
      </c>
      <c r="J280" s="10" t="n">
        <v>4.5</v>
      </c>
      <c r="K280" s="10" t="n">
        <v>447.9</v>
      </c>
      <c r="L280" s="10" t="n">
        <v>1.3</v>
      </c>
      <c r="M280" s="10" t="n">
        <v>309.7</v>
      </c>
      <c r="N280" s="10" t="n">
        <v>3.2</v>
      </c>
      <c r="O280" s="10" t="n">
        <f aca="false">O279+N280</f>
        <v>92.6</v>
      </c>
      <c r="P280" s="10" t="n">
        <v>236</v>
      </c>
      <c r="Q280" s="10" t="n">
        <v>1.15</v>
      </c>
      <c r="R280" s="13" t="n">
        <f aca="false">Q280*L280</f>
        <v>1.495</v>
      </c>
      <c r="S280" s="13" t="n">
        <f aca="false">J280-R280</f>
        <v>3.005</v>
      </c>
      <c r="T280" s="13" t="n">
        <f aca="false">MIN(153.6,(T279+S280))</f>
        <v>81.2387804878049</v>
      </c>
      <c r="V280" s="18" t="n">
        <v>449.7</v>
      </c>
      <c r="W280" s="10" t="n">
        <v>31.4475524475524</v>
      </c>
      <c r="X280" s="10" t="n">
        <v>154266.1</v>
      </c>
      <c r="Y280" s="10" t="n">
        <f aca="false">Y279+V280</f>
        <v>26677.5</v>
      </c>
      <c r="AA280" s="10" t="n">
        <v>14.8199945797039</v>
      </c>
    </row>
    <row r="281" s="10" customFormat="true" ht="15" hidden="false" customHeight="false" outlineLevel="0" collapsed="false">
      <c r="A281" s="64"/>
      <c r="C281" s="9" t="n">
        <v>42128</v>
      </c>
      <c r="D281" s="10" t="n">
        <v>15.2</v>
      </c>
      <c r="E281" s="10" t="n">
        <v>11.7</v>
      </c>
      <c r="F281" s="10" t="n">
        <v>18.6</v>
      </c>
      <c r="G281" s="10" t="n">
        <v>1993</v>
      </c>
      <c r="H281" s="10" t="n">
        <f aca="false">H280+D281</f>
        <v>203.3</v>
      </c>
      <c r="J281" s="10" t="n">
        <v>21.8</v>
      </c>
      <c r="K281" s="10" t="n">
        <v>469.7</v>
      </c>
      <c r="L281" s="10" t="n">
        <v>2.6</v>
      </c>
      <c r="M281" s="10" t="n">
        <v>312.3</v>
      </c>
      <c r="N281" s="10" t="n">
        <v>19.2</v>
      </c>
      <c r="O281" s="10" t="n">
        <f aca="false">O280+N281</f>
        <v>111.8</v>
      </c>
      <c r="P281" s="10" t="n">
        <v>237</v>
      </c>
      <c r="Q281" s="10" t="n">
        <v>1.15</v>
      </c>
      <c r="R281" s="13" t="n">
        <f aca="false">Q281*L281</f>
        <v>2.99</v>
      </c>
      <c r="S281" s="13" t="n">
        <f aca="false">J281-R281</f>
        <v>18.81</v>
      </c>
      <c r="T281" s="13" t="n">
        <f aca="false">MIN(153.6,(T280+S281))</f>
        <v>100.048780487805</v>
      </c>
      <c r="V281" s="10" t="n">
        <v>1081.7</v>
      </c>
      <c r="W281" s="10" t="n">
        <v>71.1644736842105</v>
      </c>
      <c r="X281" s="10" t="n">
        <v>155347.8</v>
      </c>
      <c r="Y281" s="10" t="n">
        <f aca="false">Y280+V281</f>
        <v>27759.2</v>
      </c>
      <c r="AA281" s="10" t="n">
        <v>14.8759087787058</v>
      </c>
    </row>
    <row r="282" s="50" customFormat="true" ht="15" hidden="false" customHeight="false" outlineLevel="0" collapsed="false">
      <c r="A282" s="82"/>
      <c r="C282" s="49" t="n">
        <v>42129</v>
      </c>
      <c r="D282" s="50" t="n">
        <v>15.7</v>
      </c>
      <c r="E282" s="50" t="n">
        <v>15.5</v>
      </c>
      <c r="F282" s="50" t="n">
        <v>17</v>
      </c>
      <c r="G282" s="50" t="n">
        <v>2008.7</v>
      </c>
      <c r="H282" s="10" t="n">
        <f aca="false">H281+D282</f>
        <v>219</v>
      </c>
      <c r="J282" s="50" t="n">
        <v>4.8</v>
      </c>
      <c r="K282" s="50" t="n">
        <v>474.5</v>
      </c>
      <c r="L282" s="50" t="n">
        <v>3.5</v>
      </c>
      <c r="M282" s="50" t="n">
        <v>315.8</v>
      </c>
      <c r="N282" s="50" t="n">
        <v>1.3</v>
      </c>
      <c r="O282" s="50" t="n">
        <f aca="false">O281+N282</f>
        <v>113.1</v>
      </c>
      <c r="P282" s="50" t="n">
        <v>238</v>
      </c>
      <c r="Q282" s="50" t="n">
        <v>1.15</v>
      </c>
      <c r="R282" s="54" t="n">
        <f aca="false">Q282*L282</f>
        <v>4.025</v>
      </c>
      <c r="S282" s="54" t="n">
        <f aca="false">J282-R282</f>
        <v>0.775</v>
      </c>
      <c r="T282" s="13" t="n">
        <f aca="false">MIN(153.6,(T281+S282))</f>
        <v>100.823780487805</v>
      </c>
      <c r="V282" s="50" t="n">
        <v>1203.1</v>
      </c>
      <c r="W282" s="50" t="n">
        <v>76.6305732484076</v>
      </c>
      <c r="X282" s="50" t="n">
        <v>156550.9</v>
      </c>
      <c r="Y282" s="10" t="n">
        <f aca="false">Y281+V282</f>
        <v>28962.3</v>
      </c>
      <c r="AA282" s="50" t="n">
        <v>14.9313248659396</v>
      </c>
    </row>
    <row r="283" s="10" customFormat="true" ht="15" hidden="false" customHeight="true" outlineLevel="0" collapsed="false">
      <c r="A283" s="64"/>
      <c r="B283" s="16"/>
      <c r="C283" s="9" t="n">
        <v>42130</v>
      </c>
      <c r="D283" s="10" t="n">
        <v>12.2</v>
      </c>
      <c r="E283" s="10" t="n">
        <v>10.4</v>
      </c>
      <c r="F283" s="10" t="n">
        <v>14.3</v>
      </c>
      <c r="G283" s="10" t="n">
        <v>2020.9</v>
      </c>
      <c r="H283" s="10" t="n">
        <f aca="false">H282+D283</f>
        <v>231.2</v>
      </c>
      <c r="J283" s="10" t="n">
        <v>1.4</v>
      </c>
      <c r="K283" s="10" t="n">
        <v>475.9</v>
      </c>
      <c r="L283" s="10" t="n">
        <v>3.2</v>
      </c>
      <c r="M283" s="10" t="n">
        <v>319</v>
      </c>
      <c r="N283" s="11" t="n">
        <v>-1.8</v>
      </c>
      <c r="O283" s="10" t="n">
        <f aca="false">O282+N283</f>
        <v>111.3</v>
      </c>
      <c r="P283" s="10" t="n">
        <v>239</v>
      </c>
      <c r="Q283" s="10" t="n">
        <v>1.15</v>
      </c>
      <c r="R283" s="13" t="n">
        <f aca="false">Q283*L283</f>
        <v>3.68</v>
      </c>
      <c r="S283" s="13" t="n">
        <f aca="false">J283-R283</f>
        <v>-2.28</v>
      </c>
      <c r="T283" s="13" t="n">
        <f aca="false">MIN(153.6,(T282+S283))</f>
        <v>98.5437804878049</v>
      </c>
      <c r="V283" s="10" t="n">
        <v>1369.5</v>
      </c>
      <c r="W283" s="10" t="n">
        <v>112.254098360656</v>
      </c>
      <c r="X283" s="10" t="n">
        <v>157920.4</v>
      </c>
      <c r="Y283" s="10" t="n">
        <f aca="false">Y282+V283</f>
        <v>30331.8</v>
      </c>
      <c r="AA283" s="10" t="n">
        <v>14.9862210034795</v>
      </c>
    </row>
    <row r="284" s="29" customFormat="true" ht="15" hidden="false" customHeight="false" outlineLevel="0" collapsed="false">
      <c r="A284" s="67" t="s">
        <v>55</v>
      </c>
      <c r="B284" s="25" t="s">
        <v>61</v>
      </c>
      <c r="C284" s="79" t="n">
        <v>42131</v>
      </c>
      <c r="D284" s="29" t="n">
        <v>12.3</v>
      </c>
      <c r="E284" s="29" t="n">
        <v>9.2</v>
      </c>
      <c r="F284" s="29" t="n">
        <v>14.6</v>
      </c>
      <c r="G284" s="29" t="n">
        <v>2033.2</v>
      </c>
      <c r="H284" s="29" t="n">
        <f aca="false">H283+D284</f>
        <v>243.5</v>
      </c>
      <c r="J284" s="29" t="n">
        <v>0</v>
      </c>
      <c r="K284" s="29" t="n">
        <v>475.9</v>
      </c>
      <c r="L284" s="29" t="n">
        <v>3.4</v>
      </c>
      <c r="M284" s="29" t="n">
        <v>322.4</v>
      </c>
      <c r="N284" s="81" t="n">
        <v>-3.4</v>
      </c>
      <c r="O284" s="29" t="n">
        <f aca="false">O283+N284</f>
        <v>107.9</v>
      </c>
      <c r="P284" s="29" t="n">
        <v>240</v>
      </c>
      <c r="Q284" s="29" t="n">
        <v>1.15</v>
      </c>
      <c r="R284" s="31" t="n">
        <f aca="false">Q284*L284</f>
        <v>3.91</v>
      </c>
      <c r="S284" s="31" t="n">
        <f aca="false">J284-R284</f>
        <v>-3.91</v>
      </c>
      <c r="T284" s="31" t="n">
        <f aca="false">MIN(153.6,(T283+S284))</f>
        <v>94.6337804878049</v>
      </c>
      <c r="V284" s="29" t="n">
        <v>1899.2</v>
      </c>
      <c r="W284" s="29" t="n">
        <v>154.406504065041</v>
      </c>
      <c r="X284" s="29" t="n">
        <v>159819.6</v>
      </c>
      <c r="Y284" s="29" t="n">
        <f aca="false">Y283+V284</f>
        <v>32231</v>
      </c>
      <c r="AA284" s="29" t="n">
        <v>15.0405747213068</v>
      </c>
    </row>
    <row r="285" s="10" customFormat="true" ht="15" hidden="false" customHeight="false" outlineLevel="0" collapsed="false">
      <c r="A285" s="83" t="s">
        <v>62</v>
      </c>
      <c r="B285" s="16"/>
      <c r="C285" s="9" t="n">
        <v>42132</v>
      </c>
      <c r="D285" s="10" t="n">
        <v>15.4</v>
      </c>
      <c r="E285" s="10" t="n">
        <v>11.2</v>
      </c>
      <c r="F285" s="10" t="n">
        <v>19.1</v>
      </c>
      <c r="G285" s="10" t="n">
        <v>2048.6</v>
      </c>
      <c r="H285" s="10" t="n">
        <f aca="false">D285</f>
        <v>15.4</v>
      </c>
      <c r="I285" s="69" t="s">
        <v>27</v>
      </c>
      <c r="J285" s="10" t="n">
        <v>0.7</v>
      </c>
      <c r="K285" s="10" t="n">
        <v>476.6</v>
      </c>
      <c r="L285" s="10" t="n">
        <v>2.8</v>
      </c>
      <c r="M285" s="10" t="n">
        <v>325.2</v>
      </c>
      <c r="N285" s="11" t="n">
        <v>-2.1</v>
      </c>
      <c r="O285" s="10" t="n">
        <f aca="false">O284+N285</f>
        <v>105.8</v>
      </c>
      <c r="P285" s="10" t="n">
        <v>241</v>
      </c>
      <c r="Q285" s="10" t="n">
        <v>1.15</v>
      </c>
      <c r="R285" s="13" t="n">
        <f aca="false">Q285*L285</f>
        <v>3.22</v>
      </c>
      <c r="S285" s="13" t="n">
        <f aca="false">J285-R285</f>
        <v>-2.52</v>
      </c>
      <c r="T285" s="13" t="n">
        <f aca="false">MIN(153.6,(T284+S285))</f>
        <v>92.1137804878049</v>
      </c>
      <c r="U285" s="69"/>
      <c r="V285" s="10" t="n">
        <v>1362.4</v>
      </c>
      <c r="W285" s="10" t="n">
        <v>88.4675324675325</v>
      </c>
      <c r="X285" s="10" t="n">
        <v>161182</v>
      </c>
      <c r="Y285" s="10" t="n">
        <f aca="false">V285</f>
        <v>1362.4</v>
      </c>
      <c r="Z285" s="69" t="s">
        <v>29</v>
      </c>
      <c r="AA285" s="10" t="n">
        <v>15.0943629219799</v>
      </c>
    </row>
    <row r="286" s="10" customFormat="true" ht="15" hidden="false" customHeight="false" outlineLevel="0" collapsed="false">
      <c r="A286" s="83"/>
      <c r="B286" s="16"/>
      <c r="C286" s="9" t="n">
        <v>42133</v>
      </c>
      <c r="D286" s="10" t="n">
        <v>13.9</v>
      </c>
      <c r="E286" s="10" t="n">
        <v>13.3</v>
      </c>
      <c r="F286" s="10" t="n">
        <v>15.3</v>
      </c>
      <c r="G286" s="10" t="n">
        <v>2062.5</v>
      </c>
      <c r="H286" s="10" t="n">
        <f aca="false">H285+D286</f>
        <v>29.3</v>
      </c>
      <c r="I286" s="10" t="n">
        <f aca="false">MIN(E285:E307)</f>
        <v>6.3</v>
      </c>
      <c r="J286" s="10" t="n">
        <v>0</v>
      </c>
      <c r="K286" s="10" t="n">
        <v>476.6</v>
      </c>
      <c r="L286" s="10" t="n">
        <v>3.1</v>
      </c>
      <c r="M286" s="10" t="n">
        <v>328.3</v>
      </c>
      <c r="N286" s="11" t="n">
        <v>-3.1</v>
      </c>
      <c r="O286" s="10" t="n">
        <f aca="false">O285+N286</f>
        <v>102.7</v>
      </c>
      <c r="P286" s="10" t="n">
        <v>242</v>
      </c>
      <c r="Q286" s="10" t="n">
        <v>1.15</v>
      </c>
      <c r="R286" s="13" t="n">
        <f aca="false">Q286*L286</f>
        <v>3.565</v>
      </c>
      <c r="S286" s="13" t="n">
        <f aca="false">J286-R286</f>
        <v>-3.565</v>
      </c>
      <c r="T286" s="13" t="n">
        <f aca="false">MIN(153.6,(T285+S286))</f>
        <v>88.5487804878049</v>
      </c>
      <c r="U286" s="10" t="n">
        <v>21</v>
      </c>
      <c r="V286" s="10" t="n">
        <v>934.5</v>
      </c>
      <c r="W286" s="10" t="n">
        <v>67.2302158273381</v>
      </c>
      <c r="X286" s="10" t="n">
        <v>162116.5</v>
      </c>
      <c r="Y286" s="10" t="n">
        <f aca="false">Y285+V286</f>
        <v>2296.9</v>
      </c>
      <c r="Z286" s="10" t="n">
        <v>36677.9</v>
      </c>
      <c r="AA286" s="10" t="n">
        <v>15.1475618876151</v>
      </c>
    </row>
    <row r="287" s="10" customFormat="true" ht="15" hidden="false" customHeight="false" outlineLevel="0" collapsed="false">
      <c r="A287" s="83"/>
      <c r="B287" s="16"/>
      <c r="C287" s="9" t="n">
        <v>42134</v>
      </c>
      <c r="D287" s="10" t="n">
        <v>15</v>
      </c>
      <c r="E287" s="10" t="n">
        <v>9.4</v>
      </c>
      <c r="F287" s="10" t="n">
        <v>18.9</v>
      </c>
      <c r="G287" s="10" t="n">
        <v>2077.5</v>
      </c>
      <c r="H287" s="10" t="n">
        <f aca="false">H286+D287</f>
        <v>44.3</v>
      </c>
      <c r="I287" s="69" t="s">
        <v>30</v>
      </c>
      <c r="J287" s="10" t="n">
        <v>0</v>
      </c>
      <c r="K287" s="10" t="n">
        <v>476.6</v>
      </c>
      <c r="L287" s="10" t="n">
        <v>3.3</v>
      </c>
      <c r="M287" s="10" t="n">
        <v>331.6</v>
      </c>
      <c r="N287" s="11" t="n">
        <v>-3.3</v>
      </c>
      <c r="O287" s="10" t="n">
        <f aca="false">O286+N287</f>
        <v>99.4000000000001</v>
      </c>
      <c r="P287" s="10" t="n">
        <v>243</v>
      </c>
      <c r="Q287" s="10" t="n">
        <v>1.15</v>
      </c>
      <c r="R287" s="13" t="n">
        <f aca="false">Q287*L287</f>
        <v>3.795</v>
      </c>
      <c r="S287" s="13" t="n">
        <f aca="false">J287-R287</f>
        <v>-3.795</v>
      </c>
      <c r="T287" s="13" t="n">
        <f aca="false">MIN(153.6,(T286+S287))</f>
        <v>84.7537804878049</v>
      </c>
      <c r="U287" s="69" t="s">
        <v>31</v>
      </c>
      <c r="V287" s="10" t="n">
        <v>1796.1</v>
      </c>
      <c r="W287" s="10" t="n">
        <v>119.74</v>
      </c>
      <c r="X287" s="10" t="n">
        <v>163912.6</v>
      </c>
      <c r="Y287" s="10" t="n">
        <f aca="false">Y286+V287</f>
        <v>4093</v>
      </c>
      <c r="Z287" s="69" t="s">
        <v>32</v>
      </c>
      <c r="AA287" s="10" t="n">
        <v>15.2001472893189</v>
      </c>
    </row>
    <row r="288" s="10" customFormat="true" ht="15" hidden="false" customHeight="false" outlineLevel="0" collapsed="false">
      <c r="A288" s="83"/>
      <c r="B288" s="16"/>
      <c r="C288" s="9" t="n">
        <v>42135</v>
      </c>
      <c r="D288" s="10" t="n">
        <v>18.3</v>
      </c>
      <c r="E288" s="10" t="n">
        <v>13.3</v>
      </c>
      <c r="F288" s="10" t="n">
        <v>23.6</v>
      </c>
      <c r="G288" s="10" t="n">
        <v>2095.8</v>
      </c>
      <c r="H288" s="10" t="n">
        <f aca="false">H287+D288</f>
        <v>62.6</v>
      </c>
      <c r="I288" s="10" t="n">
        <f aca="false">MAX(F285:F307)</f>
        <v>23.6</v>
      </c>
      <c r="J288" s="10" t="n">
        <v>0</v>
      </c>
      <c r="K288" s="10" t="n">
        <v>476.6</v>
      </c>
      <c r="L288" s="10" t="n">
        <v>3.5</v>
      </c>
      <c r="M288" s="10" t="n">
        <v>335.1</v>
      </c>
      <c r="N288" s="11" t="n">
        <v>-3.5</v>
      </c>
      <c r="O288" s="10" t="n">
        <f aca="false">O287+N288</f>
        <v>95.9000000000001</v>
      </c>
      <c r="P288" s="10" t="n">
        <v>244</v>
      </c>
      <c r="Q288" s="10" t="n">
        <v>1.15</v>
      </c>
      <c r="R288" s="13" t="n">
        <f aca="false">Q288*L288</f>
        <v>4.025</v>
      </c>
      <c r="S288" s="13" t="n">
        <f aca="false">J288-R288</f>
        <v>-4.025</v>
      </c>
      <c r="T288" s="13" t="n">
        <f aca="false">MIN(153.6,(T287+S288))</f>
        <v>80.7287804878049</v>
      </c>
      <c r="U288" s="10" t="n">
        <v>0</v>
      </c>
      <c r="V288" s="10" t="n">
        <v>1826.1</v>
      </c>
      <c r="W288" s="10" t="n">
        <v>99.7868852459016</v>
      </c>
      <c r="X288" s="10" t="n">
        <v>165738.7</v>
      </c>
      <c r="Y288" s="10" t="n">
        <f aca="false">Y287+V288</f>
        <v>5919.1</v>
      </c>
      <c r="Z288" s="19" t="n">
        <f aca="false">(Z286/100)/I298</f>
        <v>1.20294850770745</v>
      </c>
      <c r="AA288" s="10" t="n">
        <v>15.2520941992197</v>
      </c>
    </row>
    <row r="289" s="10" customFormat="true" ht="15" hidden="false" customHeight="false" outlineLevel="0" collapsed="false">
      <c r="A289" s="83"/>
      <c r="B289" s="16"/>
      <c r="C289" s="9" t="n">
        <v>42136</v>
      </c>
      <c r="D289" s="10" t="n">
        <v>14.7</v>
      </c>
      <c r="E289" s="10" t="n">
        <v>13.7</v>
      </c>
      <c r="F289" s="10" t="n">
        <v>18.3</v>
      </c>
      <c r="G289" s="10" t="n">
        <v>2110.5</v>
      </c>
      <c r="H289" s="10" t="n">
        <f aca="false">H288+D289</f>
        <v>77.3</v>
      </c>
      <c r="I289" s="69" t="s">
        <v>33</v>
      </c>
      <c r="J289" s="10" t="n">
        <v>0</v>
      </c>
      <c r="K289" s="10" t="n">
        <v>476.6</v>
      </c>
      <c r="L289" s="10" t="n">
        <v>4</v>
      </c>
      <c r="M289" s="10" t="n">
        <v>339.1</v>
      </c>
      <c r="N289" s="11" t="n">
        <v>-4</v>
      </c>
      <c r="O289" s="10" t="n">
        <f aca="false">O288+N289</f>
        <v>91.9000000000001</v>
      </c>
      <c r="P289" s="10" t="n">
        <v>245</v>
      </c>
      <c r="Q289" s="10" t="n">
        <v>1.15</v>
      </c>
      <c r="R289" s="13" t="n">
        <f aca="false">Q289*L289</f>
        <v>4.6</v>
      </c>
      <c r="S289" s="13" t="n">
        <f aca="false">J289-R289</f>
        <v>-4.6</v>
      </c>
      <c r="T289" s="13" t="n">
        <f aca="false">MIN(153.6,(T288+S289))</f>
        <v>76.1287804878049</v>
      </c>
      <c r="U289" s="69" t="s">
        <v>34</v>
      </c>
      <c r="V289" s="10" t="n">
        <v>2070.2</v>
      </c>
      <c r="W289" s="10" t="n">
        <v>140.829931972789</v>
      </c>
      <c r="X289" s="10" t="n">
        <v>167808.9</v>
      </c>
      <c r="Y289" s="10" t="n">
        <f aca="false">Y288+V289</f>
        <v>7989.3</v>
      </c>
      <c r="Z289" s="69" t="s">
        <v>35</v>
      </c>
      <c r="AA289" s="10" t="n">
        <v>15.3033771052422</v>
      </c>
    </row>
    <row r="290" s="10" customFormat="true" ht="15" hidden="false" customHeight="false" outlineLevel="0" collapsed="false">
      <c r="A290" s="83"/>
      <c r="B290" s="16"/>
      <c r="C290" s="9" t="n">
        <v>42137</v>
      </c>
      <c r="D290" s="10" t="n">
        <v>13.2</v>
      </c>
      <c r="E290" s="10" t="n">
        <v>8.6</v>
      </c>
      <c r="F290" s="10" t="n">
        <v>18.4</v>
      </c>
      <c r="G290" s="10" t="n">
        <v>2123.7</v>
      </c>
      <c r="H290" s="10" t="n">
        <f aca="false">H289+D290</f>
        <v>90.5</v>
      </c>
      <c r="I290" s="10" t="n">
        <f aca="false">AVERAGE(D285:D307)</f>
        <v>13.2565217391304</v>
      </c>
      <c r="J290" s="10" t="n">
        <v>0</v>
      </c>
      <c r="K290" s="10" t="n">
        <v>476.6</v>
      </c>
      <c r="L290" s="10" t="n">
        <v>4.4</v>
      </c>
      <c r="M290" s="10" t="n">
        <v>343.5</v>
      </c>
      <c r="N290" s="11" t="n">
        <v>-4.4</v>
      </c>
      <c r="O290" s="10" t="n">
        <f aca="false">O289+N290</f>
        <v>87.5</v>
      </c>
      <c r="P290" s="10" t="n">
        <v>246</v>
      </c>
      <c r="Q290" s="10" t="n">
        <v>1.15</v>
      </c>
      <c r="R290" s="13" t="n">
        <f aca="false">Q290*L290</f>
        <v>5.06</v>
      </c>
      <c r="S290" s="13" t="n">
        <f aca="false">J290-R290</f>
        <v>-5.06</v>
      </c>
      <c r="T290" s="13" t="n">
        <f aca="false">MIN(153.6,(T289+S290))</f>
        <v>71.0687804878049</v>
      </c>
      <c r="U290" s="10" t="n">
        <v>6</v>
      </c>
      <c r="V290" s="10" t="n">
        <v>2425.9</v>
      </c>
      <c r="W290" s="10" t="n">
        <v>183.780303030303</v>
      </c>
      <c r="X290" s="10" t="n">
        <v>170234.8</v>
      </c>
      <c r="Y290" s="10" t="n">
        <f aca="false">Y289+V290</f>
        <v>10415.2</v>
      </c>
      <c r="Z290" s="10" t="n">
        <v>4</v>
      </c>
      <c r="AA290" s="10" t="n">
        <v>15.3539699287636</v>
      </c>
    </row>
    <row r="291" s="10" customFormat="true" ht="15" hidden="false" customHeight="false" outlineLevel="0" collapsed="false">
      <c r="A291" s="83"/>
      <c r="B291" s="16"/>
      <c r="C291" s="9" t="n">
        <v>42138</v>
      </c>
      <c r="D291" s="10" t="n">
        <v>10.4</v>
      </c>
      <c r="E291" s="10" t="n">
        <v>9</v>
      </c>
      <c r="F291" s="10" t="n">
        <v>14</v>
      </c>
      <c r="G291" s="10" t="n">
        <v>2134.1</v>
      </c>
      <c r="H291" s="10" t="n">
        <f aca="false">H290+D291</f>
        <v>100.9</v>
      </c>
      <c r="I291" s="69" t="s">
        <v>36</v>
      </c>
      <c r="J291" s="10" t="n">
        <v>9.2</v>
      </c>
      <c r="K291" s="10" t="n">
        <v>485.8</v>
      </c>
      <c r="L291" s="10" t="n">
        <v>2.3</v>
      </c>
      <c r="M291" s="10" t="n">
        <v>345.8</v>
      </c>
      <c r="N291" s="10" t="n">
        <v>6.9</v>
      </c>
      <c r="O291" s="10" t="n">
        <f aca="false">O290+N291</f>
        <v>94.4000000000001</v>
      </c>
      <c r="P291" s="10" t="n">
        <v>247</v>
      </c>
      <c r="Q291" s="10" t="n">
        <v>1.15</v>
      </c>
      <c r="R291" s="13" t="n">
        <f aca="false">Q291*L291</f>
        <v>2.645</v>
      </c>
      <c r="S291" s="13" t="n">
        <f aca="false">J291-R291</f>
        <v>6.555</v>
      </c>
      <c r="T291" s="13" t="n">
        <f aca="false">MIN(153.6,(T290+S291))</f>
        <v>77.6237804878049</v>
      </c>
      <c r="U291" s="69" t="s">
        <v>37</v>
      </c>
      <c r="V291" s="10" t="n">
        <v>1025.6</v>
      </c>
      <c r="W291" s="10" t="n">
        <v>98.6153846153846</v>
      </c>
      <c r="X291" s="10" t="n">
        <v>171260.4</v>
      </c>
      <c r="Y291" s="10" t="n">
        <f aca="false">Y290+V291</f>
        <v>11440.8</v>
      </c>
      <c r="AA291" s="10" t="n">
        <v>15.4038460452922</v>
      </c>
    </row>
    <row r="292" s="10" customFormat="true" ht="15" hidden="false" customHeight="false" outlineLevel="0" collapsed="false">
      <c r="A292" s="83"/>
      <c r="B292" s="16"/>
      <c r="C292" s="9" t="n">
        <v>42139</v>
      </c>
      <c r="D292" s="10" t="n">
        <v>11.2</v>
      </c>
      <c r="E292" s="10" t="n">
        <v>9.4</v>
      </c>
      <c r="F292" s="10" t="n">
        <v>14.1</v>
      </c>
      <c r="G292" s="10" t="n">
        <v>2145.3</v>
      </c>
      <c r="H292" s="10" t="n">
        <f aca="false">H291+D292</f>
        <v>112.1</v>
      </c>
      <c r="I292" s="10" t="n">
        <v>0</v>
      </c>
      <c r="J292" s="10" t="n">
        <v>0</v>
      </c>
      <c r="K292" s="10" t="n">
        <v>485.8</v>
      </c>
      <c r="L292" s="10" t="n">
        <v>2.1</v>
      </c>
      <c r="M292" s="10" t="n">
        <v>347.9</v>
      </c>
      <c r="N292" s="11" t="n">
        <v>-2.1</v>
      </c>
      <c r="O292" s="10" t="n">
        <f aca="false">O291+N292</f>
        <v>92.3000000000001</v>
      </c>
      <c r="P292" s="10" t="n">
        <v>248</v>
      </c>
      <c r="Q292" s="10" t="n">
        <v>1.15</v>
      </c>
      <c r="R292" s="13" t="n">
        <f aca="false">Q292*L292</f>
        <v>2.415</v>
      </c>
      <c r="S292" s="13" t="n">
        <f aca="false">J292-R292</f>
        <v>-2.415</v>
      </c>
      <c r="T292" s="13" t="n">
        <f aca="false">MIN(153.6,(T291+S292))</f>
        <v>75.2087804878049</v>
      </c>
      <c r="U292" s="13" t="n">
        <f aca="false">MIN(T285:T307)</f>
        <v>34.3687804878049</v>
      </c>
      <c r="V292" s="18" t="n">
        <v>878.5</v>
      </c>
      <c r="W292" s="10" t="n">
        <v>78.4375</v>
      </c>
      <c r="X292" s="10" t="n">
        <v>172138.9</v>
      </c>
      <c r="Y292" s="10" t="n">
        <f aca="false">Y291+V292</f>
        <v>12319.3</v>
      </c>
      <c r="AA292" s="10" t="n">
        <v>15.4529783082962</v>
      </c>
    </row>
    <row r="293" s="10" customFormat="true" ht="15" hidden="false" customHeight="false" outlineLevel="0" collapsed="false">
      <c r="A293" s="83"/>
      <c r="B293" s="16"/>
      <c r="C293" s="9" t="n">
        <v>42140</v>
      </c>
      <c r="D293" s="10" t="n">
        <v>12</v>
      </c>
      <c r="E293" s="10" t="n">
        <v>8</v>
      </c>
      <c r="F293" s="10" t="n">
        <v>15.5</v>
      </c>
      <c r="G293" s="10" t="n">
        <v>2157.3</v>
      </c>
      <c r="H293" s="10" t="n">
        <f aca="false">H292+D293</f>
        <v>124.1</v>
      </c>
      <c r="I293" s="69" t="s">
        <v>38</v>
      </c>
      <c r="J293" s="10" t="n">
        <v>0.2</v>
      </c>
      <c r="K293" s="10" t="n">
        <v>486</v>
      </c>
      <c r="L293" s="10" t="n">
        <v>1</v>
      </c>
      <c r="M293" s="10" t="n">
        <v>348.9</v>
      </c>
      <c r="N293" s="11" t="n">
        <v>-0.8</v>
      </c>
      <c r="O293" s="10" t="n">
        <f aca="false">O292+N293</f>
        <v>91.5000000000001</v>
      </c>
      <c r="P293" s="10" t="n">
        <v>249</v>
      </c>
      <c r="Q293" s="10" t="n">
        <v>1.15</v>
      </c>
      <c r="R293" s="13" t="n">
        <f aca="false">Q293*L293</f>
        <v>1.15</v>
      </c>
      <c r="S293" s="13" t="n">
        <f aca="false">J293-R293</f>
        <v>-0.95</v>
      </c>
      <c r="T293" s="13" t="n">
        <f aca="false">MIN(153.6,(T292+S293))</f>
        <v>74.2587804878049</v>
      </c>
      <c r="U293" s="69" t="s">
        <v>39</v>
      </c>
      <c r="V293" s="18" t="n">
        <v>488.5</v>
      </c>
      <c r="W293" s="10" t="n">
        <v>40.7083333333333</v>
      </c>
      <c r="X293" s="10" t="n">
        <v>172627.4</v>
      </c>
      <c r="Y293" s="10" t="n">
        <f aca="false">Y292+V293</f>
        <v>12807.8</v>
      </c>
      <c r="AA293" s="10" t="n">
        <v>15.5013390763079</v>
      </c>
    </row>
    <row r="294" s="10" customFormat="true" ht="15" hidden="false" customHeight="false" outlineLevel="0" collapsed="false">
      <c r="A294" s="83"/>
      <c r="B294" s="16"/>
      <c r="C294" s="9" t="n">
        <v>42141</v>
      </c>
      <c r="D294" s="10" t="n">
        <v>12.6</v>
      </c>
      <c r="E294" s="10" t="n">
        <v>9</v>
      </c>
      <c r="F294" s="10" t="n">
        <v>17.2</v>
      </c>
      <c r="G294" s="10" t="n">
        <v>2169.9</v>
      </c>
      <c r="H294" s="10" t="n">
        <f aca="false">H293+D294</f>
        <v>136.7</v>
      </c>
      <c r="I294" s="10" t="n">
        <v>0</v>
      </c>
      <c r="J294" s="10" t="n">
        <v>0</v>
      </c>
      <c r="K294" s="10" t="n">
        <v>486</v>
      </c>
      <c r="L294" s="10" t="n">
        <v>3.5</v>
      </c>
      <c r="M294" s="10" t="n">
        <v>352.4</v>
      </c>
      <c r="N294" s="11" t="n">
        <v>-3.5</v>
      </c>
      <c r="O294" s="10" t="n">
        <f aca="false">O293+N294</f>
        <v>88.0000000000001</v>
      </c>
      <c r="P294" s="10" t="n">
        <v>250</v>
      </c>
      <c r="Q294" s="10" t="n">
        <v>1.15</v>
      </c>
      <c r="R294" s="13" t="n">
        <f aca="false">Q294*L294</f>
        <v>4.025</v>
      </c>
      <c r="S294" s="13" t="n">
        <f aca="false">J294-R294</f>
        <v>-4.025</v>
      </c>
      <c r="T294" s="13" t="n">
        <f aca="false">MIN(153.6,(T293+S294))</f>
        <v>70.2337804878049</v>
      </c>
      <c r="U294" s="13" t="n">
        <f aca="false">MAX(T285:T307)</f>
        <v>92.1137804878049</v>
      </c>
      <c r="V294" s="10" t="n">
        <v>1912.2</v>
      </c>
      <c r="W294" s="10" t="n">
        <v>151.761904761905</v>
      </c>
      <c r="X294" s="10" t="n">
        <v>174539.6</v>
      </c>
      <c r="Y294" s="10" t="n">
        <f aca="false">Y293+V294</f>
        <v>14720</v>
      </c>
      <c r="AA294" s="10" t="n">
        <v>15.5489002434172</v>
      </c>
    </row>
    <row r="295" s="10" customFormat="true" ht="15" hidden="false" customHeight="false" outlineLevel="0" collapsed="false">
      <c r="A295" s="83"/>
      <c r="B295" s="16"/>
      <c r="C295" s="9" t="n">
        <v>42142</v>
      </c>
      <c r="D295" s="10" t="n">
        <v>11.8</v>
      </c>
      <c r="E295" s="10" t="n">
        <v>8.3</v>
      </c>
      <c r="F295" s="10" t="n">
        <v>16.6</v>
      </c>
      <c r="G295" s="10" t="n">
        <v>2181.7</v>
      </c>
      <c r="H295" s="10" t="n">
        <f aca="false">H294+D295</f>
        <v>148.5</v>
      </c>
      <c r="I295" s="69" t="s">
        <v>40</v>
      </c>
      <c r="J295" s="10" t="n">
        <v>0.8</v>
      </c>
      <c r="K295" s="10" t="n">
        <v>486.8</v>
      </c>
      <c r="L295" s="10" t="n">
        <v>2.7</v>
      </c>
      <c r="M295" s="10" t="n">
        <v>355.1</v>
      </c>
      <c r="N295" s="11" t="n">
        <v>-1.9</v>
      </c>
      <c r="O295" s="10" t="n">
        <f aca="false">O294+N295</f>
        <v>86.1000000000001</v>
      </c>
      <c r="P295" s="10" t="n">
        <v>251</v>
      </c>
      <c r="Q295" s="10" t="n">
        <v>1.15</v>
      </c>
      <c r="R295" s="13" t="n">
        <f aca="false">Q295*L295</f>
        <v>3.105</v>
      </c>
      <c r="S295" s="13" t="n">
        <f aca="false">J295-R295</f>
        <v>-2.305</v>
      </c>
      <c r="T295" s="13" t="n">
        <f aca="false">MIN(153.6,(T294+S295))</f>
        <v>67.9287804878049</v>
      </c>
      <c r="U295" s="69" t="s">
        <v>41</v>
      </c>
      <c r="V295" s="10" t="n">
        <v>1218.5</v>
      </c>
      <c r="W295" s="10" t="n">
        <v>103.262711864407</v>
      </c>
      <c r="X295" s="10" t="n">
        <v>175758.1</v>
      </c>
      <c r="Y295" s="10" t="n">
        <f aca="false">Y294+V295</f>
        <v>15938.5</v>
      </c>
      <c r="AA295" s="10" t="n">
        <v>15.595633273255</v>
      </c>
    </row>
    <row r="296" s="10" customFormat="true" ht="15" hidden="false" customHeight="false" outlineLevel="0" collapsed="false">
      <c r="A296" s="83"/>
      <c r="B296" s="16"/>
      <c r="C296" s="9" t="n">
        <v>42143</v>
      </c>
      <c r="D296" s="10" t="n">
        <v>10.1</v>
      </c>
      <c r="E296" s="10" t="n">
        <v>8.2</v>
      </c>
      <c r="F296" s="10" t="n">
        <v>12.9</v>
      </c>
      <c r="G296" s="10" t="n">
        <v>2191.8</v>
      </c>
      <c r="H296" s="10" t="n">
        <f aca="false">H295+D296</f>
        <v>158.6</v>
      </c>
      <c r="I296" s="10" t="n">
        <v>0</v>
      </c>
      <c r="J296" s="10" t="n">
        <v>3.6</v>
      </c>
      <c r="K296" s="10" t="n">
        <v>490.4</v>
      </c>
      <c r="L296" s="10" t="n">
        <v>2.8</v>
      </c>
      <c r="M296" s="10" t="n">
        <v>357.9</v>
      </c>
      <c r="N296" s="10" t="n">
        <v>0.8</v>
      </c>
      <c r="O296" s="10" t="n">
        <f aca="false">O295+N296</f>
        <v>86.9000000000001</v>
      </c>
      <c r="P296" s="10" t="n">
        <v>252</v>
      </c>
      <c r="Q296" s="10" t="n">
        <v>1.15</v>
      </c>
      <c r="R296" s="13" t="n">
        <f aca="false">Q296*L296</f>
        <v>3.22</v>
      </c>
      <c r="S296" s="13" t="n">
        <f aca="false">J296-R296</f>
        <v>0.38</v>
      </c>
      <c r="T296" s="13" t="n">
        <f aca="false">MIN(153.6,(T295+S296))</f>
        <v>68.3087804878049</v>
      </c>
      <c r="U296" s="19" t="n">
        <f aca="false">AVERAGE(T285:T307)</f>
        <v>63.5355196182396</v>
      </c>
      <c r="V296" s="10" t="n">
        <v>1514.5</v>
      </c>
      <c r="W296" s="10" t="n">
        <v>149.950495049505</v>
      </c>
      <c r="X296" s="10" t="n">
        <v>177272.6</v>
      </c>
      <c r="Y296" s="10" t="n">
        <f aca="false">Y295+V296</f>
        <v>17453</v>
      </c>
      <c r="AA296" s="10" t="n">
        <v>15.6415092365555</v>
      </c>
    </row>
    <row r="297" s="10" customFormat="true" ht="15" hidden="false" customHeight="false" outlineLevel="0" collapsed="false">
      <c r="A297" s="83"/>
      <c r="B297" s="16"/>
      <c r="C297" s="9" t="n">
        <v>42144</v>
      </c>
      <c r="D297" s="10" t="n">
        <v>10.2</v>
      </c>
      <c r="E297" s="10" t="n">
        <v>6.3</v>
      </c>
      <c r="F297" s="10" t="n">
        <v>13.3</v>
      </c>
      <c r="G297" s="10" t="n">
        <v>2202</v>
      </c>
      <c r="H297" s="10" t="n">
        <f aca="false">H296+D297</f>
        <v>168.8</v>
      </c>
      <c r="I297" s="69" t="s">
        <v>42</v>
      </c>
      <c r="J297" s="10" t="n">
        <v>0.6</v>
      </c>
      <c r="K297" s="10" t="n">
        <v>491</v>
      </c>
      <c r="L297" s="10" t="n">
        <v>3.1</v>
      </c>
      <c r="M297" s="10" t="n">
        <v>361</v>
      </c>
      <c r="N297" s="11" t="n">
        <v>-2.5</v>
      </c>
      <c r="O297" s="10" t="n">
        <f aca="false">O296+N297</f>
        <v>84.4000000000001</v>
      </c>
      <c r="P297" s="10" t="n">
        <v>253</v>
      </c>
      <c r="Q297" s="10" t="n">
        <v>1.15</v>
      </c>
      <c r="R297" s="13" t="n">
        <f aca="false">Q297*L297</f>
        <v>3.565</v>
      </c>
      <c r="S297" s="13" t="n">
        <f aca="false">J297-R297</f>
        <v>-2.965</v>
      </c>
      <c r="T297" s="13" t="n">
        <f aca="false">MIN(153.6,(T296+S297))</f>
        <v>65.3437804878049</v>
      </c>
      <c r="V297" s="10" t="n">
        <v>2031.7</v>
      </c>
      <c r="W297" s="10" t="n">
        <v>199.186274509804</v>
      </c>
      <c r="X297" s="10" t="n">
        <v>179304.3</v>
      </c>
      <c r="Y297" s="10" t="n">
        <f aca="false">Y296+V297</f>
        <v>19484.7</v>
      </c>
      <c r="AA297" s="10" t="n">
        <v>15.6864988523675</v>
      </c>
    </row>
    <row r="298" s="50" customFormat="true" ht="15" hidden="false" customHeight="false" outlineLevel="0" collapsed="false">
      <c r="A298" s="83"/>
      <c r="B298" s="48"/>
      <c r="C298" s="49" t="n">
        <v>42145</v>
      </c>
      <c r="D298" s="50" t="n">
        <v>12.9</v>
      </c>
      <c r="E298" s="50" t="n">
        <v>7</v>
      </c>
      <c r="F298" s="50" t="n">
        <v>16.6</v>
      </c>
      <c r="G298" s="50" t="n">
        <v>2214.9</v>
      </c>
      <c r="H298" s="10" t="n">
        <f aca="false">H297+D298</f>
        <v>181.7</v>
      </c>
      <c r="I298" s="10" t="n">
        <v>304.9</v>
      </c>
      <c r="J298" s="50" t="n">
        <v>0</v>
      </c>
      <c r="K298" s="50" t="n">
        <v>491</v>
      </c>
      <c r="L298" s="50" t="n">
        <v>3.3</v>
      </c>
      <c r="M298" s="50" t="n">
        <v>364.3</v>
      </c>
      <c r="N298" s="53" t="n">
        <v>-3.3</v>
      </c>
      <c r="O298" s="50" t="n">
        <f aca="false">O297+N298</f>
        <v>81.1000000000001</v>
      </c>
      <c r="P298" s="50" t="n">
        <v>254</v>
      </c>
      <c r="Q298" s="10" t="n">
        <v>1.15</v>
      </c>
      <c r="R298" s="54" t="n">
        <f aca="false">Q298*L298</f>
        <v>3.795</v>
      </c>
      <c r="S298" s="54" t="n">
        <f aca="false">J298-R298</f>
        <v>-3.795</v>
      </c>
      <c r="T298" s="13" t="n">
        <f aca="false">MIN(153.6,(T297+S298))</f>
        <v>61.5487804878049</v>
      </c>
      <c r="U298" s="13" t="n">
        <f aca="false">(U296*100)/153.6</f>
        <v>41.3642705847914</v>
      </c>
      <c r="V298" s="50" t="n">
        <v>2132.5</v>
      </c>
      <c r="W298" s="50" t="n">
        <v>165.31007751938</v>
      </c>
      <c r="X298" s="50" t="n">
        <v>181436.8</v>
      </c>
      <c r="Y298" s="10" t="n">
        <f aca="false">Y297+V298</f>
        <v>21617.2</v>
      </c>
      <c r="AA298" s="10" t="n">
        <v>15.7305725329682</v>
      </c>
    </row>
    <row r="299" s="10" customFormat="true" ht="15" hidden="false" customHeight="true" outlineLevel="0" collapsed="false">
      <c r="A299" s="83"/>
      <c r="B299" s="16"/>
      <c r="C299" s="9" t="n">
        <v>42146</v>
      </c>
      <c r="D299" s="10" t="n">
        <v>13.8</v>
      </c>
      <c r="E299" s="10" t="n">
        <v>9.5</v>
      </c>
      <c r="F299" s="10" t="n">
        <v>17.6</v>
      </c>
      <c r="G299" s="10" t="n">
        <v>2228.7</v>
      </c>
      <c r="H299" s="10" t="n">
        <f aca="false">H298+D299</f>
        <v>195.5</v>
      </c>
      <c r="J299" s="10" t="n">
        <v>0</v>
      </c>
      <c r="K299" s="10" t="n">
        <v>491</v>
      </c>
      <c r="L299" s="10" t="n">
        <v>2.5</v>
      </c>
      <c r="M299" s="10" t="n">
        <v>366.8</v>
      </c>
      <c r="N299" s="11" t="n">
        <v>-2.5</v>
      </c>
      <c r="O299" s="10" t="n">
        <f aca="false">O298+N299</f>
        <v>78.6000000000001</v>
      </c>
      <c r="P299" s="10" t="n">
        <v>255</v>
      </c>
      <c r="Q299" s="10" t="n">
        <v>1.15</v>
      </c>
      <c r="R299" s="13" t="n">
        <f aca="false">Q299*L299</f>
        <v>2.875</v>
      </c>
      <c r="S299" s="13" t="n">
        <f aca="false">J299-R299</f>
        <v>-2.875</v>
      </c>
      <c r="T299" s="13" t="n">
        <f aca="false">MIN(153.6,(T298+S299))</f>
        <v>58.6737804878049</v>
      </c>
      <c r="V299" s="10" t="n">
        <v>1333.4</v>
      </c>
      <c r="W299" s="10" t="n">
        <v>96.6231884057971</v>
      </c>
      <c r="X299" s="10" t="n">
        <v>182770.2</v>
      </c>
      <c r="Y299" s="10" t="n">
        <f aca="false">Y298+V299</f>
        <v>22950.6</v>
      </c>
      <c r="AA299" s="10" t="n">
        <v>15.773700432509</v>
      </c>
    </row>
    <row r="300" s="10" customFormat="true" ht="15" hidden="false" customHeight="false" outlineLevel="0" collapsed="false">
      <c r="A300" s="83"/>
      <c r="B300" s="16"/>
      <c r="C300" s="9" t="n">
        <v>42147</v>
      </c>
      <c r="D300" s="10" t="n">
        <v>14.2</v>
      </c>
      <c r="E300" s="10" t="n">
        <v>12</v>
      </c>
      <c r="F300" s="10" t="n">
        <v>17.9</v>
      </c>
      <c r="G300" s="10" t="n">
        <v>2242.9</v>
      </c>
      <c r="H300" s="10" t="n">
        <f aca="false">H299+D300</f>
        <v>209.7</v>
      </c>
      <c r="J300" s="10" t="n">
        <v>0</v>
      </c>
      <c r="K300" s="10" t="n">
        <v>491</v>
      </c>
      <c r="L300" s="10" t="n">
        <v>2</v>
      </c>
      <c r="M300" s="10" t="n">
        <v>368.8</v>
      </c>
      <c r="N300" s="11" t="n">
        <v>-2</v>
      </c>
      <c r="O300" s="10" t="n">
        <f aca="false">O299+N300</f>
        <v>76.6000000000001</v>
      </c>
      <c r="P300" s="10" t="n">
        <v>256</v>
      </c>
      <c r="Q300" s="10" t="n">
        <v>1.15</v>
      </c>
      <c r="R300" s="13" t="n">
        <f aca="false">Q300*L300</f>
        <v>2.3</v>
      </c>
      <c r="S300" s="13" t="n">
        <f aca="false">J300-R300</f>
        <v>-2.3</v>
      </c>
      <c r="T300" s="13" t="n">
        <f aca="false">MIN(153.6,(T299+S300))</f>
        <v>56.3737804878049</v>
      </c>
      <c r="V300" s="18" t="n">
        <v>883.6</v>
      </c>
      <c r="W300" s="10" t="n">
        <v>62.2253521126761</v>
      </c>
      <c r="X300" s="10" t="n">
        <v>183653.8</v>
      </c>
      <c r="Y300" s="10" t="n">
        <f aca="false">Y299+V300</f>
        <v>23834.2</v>
      </c>
      <c r="AA300" s="10" t="n">
        <v>15.8158524994008</v>
      </c>
    </row>
    <row r="301" s="10" customFormat="true" ht="15" hidden="false" customHeight="false" outlineLevel="0" collapsed="false">
      <c r="A301" s="83"/>
      <c r="B301" s="16"/>
      <c r="C301" s="9" t="n">
        <v>42148</v>
      </c>
      <c r="D301" s="10" t="n">
        <v>14.5</v>
      </c>
      <c r="E301" s="10" t="n">
        <v>8.6</v>
      </c>
      <c r="F301" s="10" t="n">
        <v>18.6</v>
      </c>
      <c r="G301" s="10" t="n">
        <v>2257.4</v>
      </c>
      <c r="H301" s="10" t="n">
        <f aca="false">H300+D301</f>
        <v>224.2</v>
      </c>
      <c r="J301" s="10" t="n">
        <v>1</v>
      </c>
      <c r="K301" s="10" t="n">
        <v>492</v>
      </c>
      <c r="L301" s="10" t="n">
        <v>4.2</v>
      </c>
      <c r="M301" s="10" t="n">
        <v>373</v>
      </c>
      <c r="N301" s="11" t="n">
        <v>-3.2</v>
      </c>
      <c r="O301" s="10" t="n">
        <f aca="false">O300+N301</f>
        <v>73.4000000000001</v>
      </c>
      <c r="P301" s="10" t="n">
        <v>257</v>
      </c>
      <c r="Q301" s="10" t="n">
        <v>1.15</v>
      </c>
      <c r="R301" s="13" t="n">
        <f aca="false">Q301*L301</f>
        <v>4.83</v>
      </c>
      <c r="S301" s="13" t="n">
        <f aca="false">J301-R301</f>
        <v>-3.83</v>
      </c>
      <c r="T301" s="13" t="n">
        <f aca="false">MIN(153.6,(T300+S301))</f>
        <v>52.5437804878049</v>
      </c>
      <c r="V301" s="10" t="n">
        <v>2472.2</v>
      </c>
      <c r="W301" s="10" t="n">
        <v>170.496551724138</v>
      </c>
      <c r="X301" s="10" t="n">
        <v>186126</v>
      </c>
      <c r="Y301" s="10" t="n">
        <f aca="false">Y300+V301</f>
        <v>26306.4</v>
      </c>
      <c r="AA301" s="10" t="n">
        <v>15.8569985324188</v>
      </c>
    </row>
    <row r="302" s="10" customFormat="true" ht="15" hidden="false" customHeight="false" outlineLevel="0" collapsed="false">
      <c r="A302" s="83"/>
      <c r="B302" s="16"/>
      <c r="C302" s="9" t="n">
        <v>42149</v>
      </c>
      <c r="D302" s="10" t="n">
        <v>13.6</v>
      </c>
      <c r="E302" s="10" t="n">
        <v>13.1</v>
      </c>
      <c r="F302" s="10" t="n">
        <v>15.3</v>
      </c>
      <c r="G302" s="10" t="n">
        <v>2271</v>
      </c>
      <c r="H302" s="10" t="n">
        <f aca="false">H301+D302</f>
        <v>237.8</v>
      </c>
      <c r="J302" s="10" t="n">
        <v>0</v>
      </c>
      <c r="K302" s="10" t="n">
        <v>492</v>
      </c>
      <c r="L302" s="10" t="n">
        <v>3.6</v>
      </c>
      <c r="M302" s="10" t="n">
        <v>376.6</v>
      </c>
      <c r="N302" s="11" t="n">
        <v>-3.6</v>
      </c>
      <c r="O302" s="10" t="n">
        <f aca="false">O301+N302</f>
        <v>69.8000000000001</v>
      </c>
      <c r="P302" s="10" t="n">
        <v>258</v>
      </c>
      <c r="Q302" s="10" t="n">
        <v>1.15</v>
      </c>
      <c r="R302" s="13" t="n">
        <f aca="false">Q302*L302</f>
        <v>4.14</v>
      </c>
      <c r="S302" s="13" t="n">
        <f aca="false">J302-R302</f>
        <v>-4.14</v>
      </c>
      <c r="T302" s="13" t="n">
        <f aca="false">MIN(153.6,(T301+S302))</f>
        <v>48.4037804878049</v>
      </c>
      <c r="V302" s="10" t="n">
        <v>1713.6</v>
      </c>
      <c r="W302" s="10" t="n">
        <v>126</v>
      </c>
      <c r="X302" s="10" t="n">
        <v>187839.6</v>
      </c>
      <c r="Y302" s="10" t="n">
        <f aca="false">Y301+V302</f>
        <v>28020</v>
      </c>
      <c r="AA302" s="10" t="n">
        <v>15.8971082404776</v>
      </c>
    </row>
    <row r="303" s="10" customFormat="true" ht="15" hidden="false" customHeight="false" outlineLevel="0" collapsed="false">
      <c r="A303" s="83"/>
      <c r="B303" s="16"/>
      <c r="C303" s="9" t="n">
        <v>42150</v>
      </c>
      <c r="D303" s="10" t="n">
        <v>14.2</v>
      </c>
      <c r="E303" s="10" t="n">
        <v>11.2</v>
      </c>
      <c r="F303" s="10" t="n">
        <v>16.4</v>
      </c>
      <c r="G303" s="10" t="n">
        <v>2285.2</v>
      </c>
      <c r="H303" s="10" t="n">
        <f aca="false">H302+D303</f>
        <v>252</v>
      </c>
      <c r="J303" s="10" t="n">
        <v>0</v>
      </c>
      <c r="K303" s="10" t="n">
        <v>492</v>
      </c>
      <c r="L303" s="10" t="n">
        <v>3.2</v>
      </c>
      <c r="M303" s="10" t="n">
        <v>379.8</v>
      </c>
      <c r="N303" s="11" t="n">
        <v>-3.2</v>
      </c>
      <c r="O303" s="10" t="n">
        <f aca="false">O302+N303</f>
        <v>66.6000000000001</v>
      </c>
      <c r="P303" s="10" t="n">
        <v>259</v>
      </c>
      <c r="Q303" s="10" t="n">
        <v>1.15</v>
      </c>
      <c r="R303" s="13" t="n">
        <f aca="false">Q303*L303</f>
        <v>3.68</v>
      </c>
      <c r="S303" s="13" t="n">
        <f aca="false">J303-R303</f>
        <v>-3.68</v>
      </c>
      <c r="T303" s="13" t="n">
        <f aca="false">MIN(153.6,(T302+S303))</f>
        <v>44.7237804878049</v>
      </c>
      <c r="V303" s="10" t="n">
        <v>1732.7</v>
      </c>
      <c r="W303" s="10" t="n">
        <v>122.021126760563</v>
      </c>
      <c r="X303" s="10" t="n">
        <v>189572.3</v>
      </c>
      <c r="Y303" s="10" t="n">
        <f aca="false">Y302+V303</f>
        <v>29752.7</v>
      </c>
      <c r="AA303" s="10" t="n">
        <v>15.9361513059972</v>
      </c>
    </row>
    <row r="304" s="10" customFormat="true" ht="15" hidden="false" customHeight="false" outlineLevel="0" collapsed="false">
      <c r="A304" s="83"/>
      <c r="B304" s="16"/>
      <c r="C304" s="9" t="n">
        <v>42151</v>
      </c>
      <c r="D304" s="10" t="n">
        <v>15.6</v>
      </c>
      <c r="E304" s="10" t="n">
        <v>11.8</v>
      </c>
      <c r="F304" s="10" t="n">
        <v>19</v>
      </c>
      <c r="G304" s="10" t="n">
        <v>2300.8</v>
      </c>
      <c r="H304" s="10" t="n">
        <f aca="false">H303+D304</f>
        <v>267.6</v>
      </c>
      <c r="J304" s="10" t="n">
        <v>0</v>
      </c>
      <c r="K304" s="10" t="n">
        <v>492</v>
      </c>
      <c r="L304" s="10" t="n">
        <v>4.8</v>
      </c>
      <c r="M304" s="10" t="n">
        <v>384.6</v>
      </c>
      <c r="N304" s="11" t="n">
        <v>-4.8</v>
      </c>
      <c r="O304" s="10" t="n">
        <f aca="false">O303+N304</f>
        <v>61.8000000000001</v>
      </c>
      <c r="P304" s="10" t="n">
        <v>260</v>
      </c>
      <c r="Q304" s="10" t="n">
        <v>1.15</v>
      </c>
      <c r="R304" s="13" t="n">
        <f aca="false">Q304*L304</f>
        <v>5.52</v>
      </c>
      <c r="S304" s="13" t="n">
        <f aca="false">J304-R304</f>
        <v>-5.52</v>
      </c>
      <c r="T304" s="13" t="n">
        <f aca="false">MIN(153.6,(T303+S304))</f>
        <v>39.2037804878049</v>
      </c>
      <c r="V304" s="10" t="n">
        <v>2666.8</v>
      </c>
      <c r="W304" s="10" t="n">
        <v>170.948717948718</v>
      </c>
      <c r="X304" s="10" t="n">
        <v>192239.1</v>
      </c>
      <c r="Y304" s="10" t="n">
        <f aca="false">Y303+V304</f>
        <v>32419.5</v>
      </c>
      <c r="AA304" s="10" t="n">
        <v>15.9740974517452</v>
      </c>
    </row>
    <row r="305" s="50" customFormat="true" ht="15" hidden="false" customHeight="false" outlineLevel="0" collapsed="false">
      <c r="A305" s="83"/>
      <c r="B305" s="78" t="n">
        <v>300</v>
      </c>
      <c r="C305" s="49" t="n">
        <v>42152</v>
      </c>
      <c r="D305" s="50" t="n">
        <v>13.7</v>
      </c>
      <c r="E305" s="50" t="n">
        <v>13.3</v>
      </c>
      <c r="F305" s="50" t="n">
        <v>16.3</v>
      </c>
      <c r="G305" s="50" t="n">
        <v>2314.5</v>
      </c>
      <c r="H305" s="10" t="n">
        <f aca="false">H304+D305</f>
        <v>281.3</v>
      </c>
      <c r="J305" s="50" t="n">
        <v>0</v>
      </c>
      <c r="K305" s="50" t="n">
        <v>492</v>
      </c>
      <c r="L305" s="50" t="n">
        <v>3.6</v>
      </c>
      <c r="M305" s="50" t="n">
        <v>388.2</v>
      </c>
      <c r="N305" s="53" t="n">
        <v>-3.6</v>
      </c>
      <c r="O305" s="50" t="n">
        <f aca="false">O304+N305</f>
        <v>58.2000000000001</v>
      </c>
      <c r="P305" s="50" t="n">
        <v>261</v>
      </c>
      <c r="Q305" s="10" t="n">
        <v>1.15</v>
      </c>
      <c r="R305" s="54" t="n">
        <f aca="false">Q305*L305</f>
        <v>4.14</v>
      </c>
      <c r="S305" s="54" t="n">
        <f aca="false">J305-R305</f>
        <v>-4.14</v>
      </c>
      <c r="T305" s="13" t="n">
        <f aca="false">MIN(153.6,(T304+S305))</f>
        <v>35.0637804878049</v>
      </c>
      <c r="V305" s="50" t="n">
        <v>1607.3</v>
      </c>
      <c r="W305" s="50" t="n">
        <v>117.321167883212</v>
      </c>
      <c r="X305" s="50" t="n">
        <v>193846.4</v>
      </c>
      <c r="Y305" s="10" t="n">
        <f aca="false">Y304+V305</f>
        <v>34026.8</v>
      </c>
      <c r="AA305" s="50" t="n">
        <v>16.0109165110057</v>
      </c>
    </row>
    <row r="306" s="10" customFormat="true" ht="15" hidden="false" customHeight="true" outlineLevel="0" collapsed="false">
      <c r="A306" s="83"/>
      <c r="B306" s="16"/>
      <c r="C306" s="9" t="n">
        <v>42153</v>
      </c>
      <c r="D306" s="10" t="n">
        <v>11.2</v>
      </c>
      <c r="E306" s="10" t="n">
        <v>8.6</v>
      </c>
      <c r="F306" s="10" t="n">
        <v>14.4</v>
      </c>
      <c r="G306" s="10" t="n">
        <v>2325.7</v>
      </c>
      <c r="H306" s="10" t="n">
        <f aca="false">H305+D306</f>
        <v>292.5</v>
      </c>
      <c r="J306" s="10" t="n">
        <v>5.4</v>
      </c>
      <c r="K306" s="10" t="n">
        <v>497.4</v>
      </c>
      <c r="L306" s="10" t="n">
        <v>2</v>
      </c>
      <c r="M306" s="10" t="n">
        <v>390.2</v>
      </c>
      <c r="N306" s="10" t="n">
        <v>3.4</v>
      </c>
      <c r="O306" s="10" t="n">
        <f aca="false">O305+N306</f>
        <v>61.6000000000001</v>
      </c>
      <c r="P306" s="10" t="n">
        <v>262</v>
      </c>
      <c r="Q306" s="10" t="n">
        <v>1.15</v>
      </c>
      <c r="R306" s="13" t="n">
        <f aca="false">Q306*L306</f>
        <v>2.3</v>
      </c>
      <c r="S306" s="13" t="n">
        <f aca="false">J306-R306</f>
        <v>3.1</v>
      </c>
      <c r="T306" s="13" t="n">
        <f aca="false">MIN(153.6,(T305+S306))</f>
        <v>38.1637804878049</v>
      </c>
      <c r="V306" s="18" t="n">
        <v>876.3</v>
      </c>
      <c r="W306" s="10" t="n">
        <v>78.2410714285714</v>
      </c>
      <c r="X306" s="10" t="n">
        <v>194722.7</v>
      </c>
      <c r="Y306" s="10" t="n">
        <f aca="false">Y305+V306</f>
        <v>34903.1</v>
      </c>
      <c r="AA306" s="10" t="n">
        <v>16.0465785008894</v>
      </c>
    </row>
    <row r="307" s="86" customFormat="true" ht="15" hidden="false" customHeight="false" outlineLevel="0" collapsed="false">
      <c r="A307" s="83"/>
      <c r="B307" s="84"/>
      <c r="C307" s="85" t="n">
        <v>42154</v>
      </c>
      <c r="D307" s="86" t="n">
        <v>12.4</v>
      </c>
      <c r="E307" s="86" t="n">
        <v>8.7</v>
      </c>
      <c r="F307" s="86" t="n">
        <v>15.3</v>
      </c>
      <c r="G307" s="86" t="n">
        <v>2338.1</v>
      </c>
      <c r="H307" s="29" t="n">
        <f aca="false">H306+D307</f>
        <v>304.9</v>
      </c>
      <c r="J307" s="86" t="n">
        <v>0</v>
      </c>
      <c r="K307" s="86" t="n">
        <v>497.4</v>
      </c>
      <c r="L307" s="86" t="n">
        <v>3.3</v>
      </c>
      <c r="M307" s="86" t="n">
        <v>393.5</v>
      </c>
      <c r="N307" s="87" t="n">
        <v>-3.3</v>
      </c>
      <c r="O307" s="86" t="n">
        <f aca="false">O306+N307</f>
        <v>58.3000000000001</v>
      </c>
      <c r="P307" s="86" t="n">
        <v>263</v>
      </c>
      <c r="Q307" s="86" t="n">
        <v>1.15</v>
      </c>
      <c r="R307" s="88" t="n">
        <f aca="false">Q307*L307</f>
        <v>3.795</v>
      </c>
      <c r="S307" s="88" t="n">
        <f aca="false">J307-R307</f>
        <v>-3.795</v>
      </c>
      <c r="T307" s="31" t="n">
        <f aca="false">MIN(153.6,(T306+S307))</f>
        <v>34.3687804878049</v>
      </c>
      <c r="V307" s="86" t="n">
        <v>1774.8</v>
      </c>
      <c r="W307" s="86" t="n">
        <v>143.129032258065</v>
      </c>
      <c r="X307" s="86" t="n">
        <v>196497.5</v>
      </c>
      <c r="Y307" s="29" t="n">
        <f aca="false">Y306+V307</f>
        <v>36677.9</v>
      </c>
      <c r="AA307" s="86" t="n">
        <v>16.081053698558</v>
      </c>
    </row>
    <row r="308" s="10" customFormat="true" ht="15" hidden="false" customHeight="false" outlineLevel="0" collapsed="false">
      <c r="A308" s="89" t="s">
        <v>63</v>
      </c>
      <c r="B308" s="16"/>
      <c r="C308" s="9" t="n">
        <v>42155</v>
      </c>
      <c r="D308" s="10" t="n">
        <v>13</v>
      </c>
      <c r="E308" s="10" t="n">
        <v>8.8</v>
      </c>
      <c r="F308" s="10" t="n">
        <v>15.3</v>
      </c>
      <c r="G308" s="10" t="n">
        <v>2351.1</v>
      </c>
      <c r="H308" s="10" t="n">
        <f aca="false">D308</f>
        <v>13</v>
      </c>
      <c r="I308" s="71" t="s">
        <v>27</v>
      </c>
      <c r="J308" s="10" t="n">
        <v>7</v>
      </c>
      <c r="K308" s="10" t="n">
        <v>504.4</v>
      </c>
      <c r="L308" s="10" t="n">
        <v>1.2</v>
      </c>
      <c r="M308" s="10" t="n">
        <v>394.7</v>
      </c>
      <c r="N308" s="10" t="n">
        <v>5.8</v>
      </c>
      <c r="O308" s="10" t="n">
        <f aca="false">O307+N308</f>
        <v>64.1000000000001</v>
      </c>
      <c r="P308" s="10" t="n">
        <v>264</v>
      </c>
      <c r="Q308" s="19" t="n">
        <f aca="false">1.15+((P308-263)/54)*(0.35-1.15)</f>
        <v>1.13518518518519</v>
      </c>
      <c r="R308" s="13" t="n">
        <f aca="false">Q308*L308</f>
        <v>1.36222222222222</v>
      </c>
      <c r="S308" s="13" t="n">
        <f aca="false">J308-R308</f>
        <v>5.63777777777778</v>
      </c>
      <c r="T308" s="13" t="n">
        <f aca="false">MIN(153.6,(T307+S308))</f>
        <v>40.0065582655826</v>
      </c>
      <c r="U308" s="71" t="s">
        <v>28</v>
      </c>
      <c r="V308" s="18" t="n">
        <v>763.1</v>
      </c>
      <c r="W308" s="10" t="n">
        <v>58.7</v>
      </c>
      <c r="X308" s="10" t="n">
        <v>197260.6</v>
      </c>
      <c r="Y308" s="10" t="n">
        <f aca="false">V308</f>
        <v>763.1</v>
      </c>
      <c r="Z308" s="71" t="s">
        <v>29</v>
      </c>
      <c r="AA308" s="10" t="n">
        <v>16.1143127200993</v>
      </c>
    </row>
    <row r="309" s="10" customFormat="true" ht="15" hidden="false" customHeight="false" outlineLevel="0" collapsed="false">
      <c r="A309" s="89"/>
      <c r="B309" s="16"/>
      <c r="C309" s="9" t="n">
        <v>42156</v>
      </c>
      <c r="D309" s="10" t="n">
        <v>12.7</v>
      </c>
      <c r="E309" s="10" t="n">
        <v>9.1</v>
      </c>
      <c r="F309" s="10" t="n">
        <v>15.3</v>
      </c>
      <c r="G309" s="10" t="n">
        <v>2363.8</v>
      </c>
      <c r="H309" s="10" t="n">
        <f aca="false">H308+D309</f>
        <v>25.7</v>
      </c>
      <c r="I309" s="10" t="n">
        <f aca="false">MIN(E308:E326)</f>
        <v>8.6</v>
      </c>
      <c r="J309" s="10" t="n">
        <v>2.4</v>
      </c>
      <c r="K309" s="10" t="n">
        <v>506.8</v>
      </c>
      <c r="L309" s="10" t="n">
        <v>2.5</v>
      </c>
      <c r="M309" s="10" t="n">
        <v>397.2</v>
      </c>
      <c r="N309" s="11" t="n">
        <v>-0.1</v>
      </c>
      <c r="O309" s="10" t="n">
        <f aca="false">O308+N309</f>
        <v>64.0000000000001</v>
      </c>
      <c r="P309" s="10" t="n">
        <v>265</v>
      </c>
      <c r="Q309" s="19" t="n">
        <f aca="false">1.15+((P309-263)/54)*(0.35-1.15)</f>
        <v>1.12037037037037</v>
      </c>
      <c r="R309" s="13" t="n">
        <f aca="false">Q309*L309</f>
        <v>2.80092592592593</v>
      </c>
      <c r="S309" s="13" t="n">
        <f aca="false">J309-R309</f>
        <v>-0.400925925925926</v>
      </c>
      <c r="T309" s="13" t="n">
        <f aca="false">MIN(153.6,(T308+S309))</f>
        <v>39.6056323396567</v>
      </c>
      <c r="V309" s="10" t="n">
        <v>1111.3</v>
      </c>
      <c r="W309" s="10" t="n">
        <v>87.503937007874</v>
      </c>
      <c r="X309" s="10" t="n">
        <v>198371.9</v>
      </c>
      <c r="Y309" s="10" t="n">
        <f aca="false">Y308+V309</f>
        <v>1874.4</v>
      </c>
      <c r="Z309" s="10" t="n">
        <v>39258.6</v>
      </c>
      <c r="AA309" s="10" t="n">
        <v>16.146326601747</v>
      </c>
    </row>
    <row r="310" s="10" customFormat="true" ht="15" hidden="false" customHeight="false" outlineLevel="0" collapsed="false">
      <c r="A310" s="89"/>
      <c r="B310" s="16"/>
      <c r="C310" s="9" t="n">
        <v>42157</v>
      </c>
      <c r="D310" s="10" t="n">
        <v>15.2</v>
      </c>
      <c r="E310" s="10" t="n">
        <v>12.2</v>
      </c>
      <c r="F310" s="10" t="n">
        <v>18.7</v>
      </c>
      <c r="G310" s="10" t="n">
        <v>2379</v>
      </c>
      <c r="H310" s="10" t="n">
        <f aca="false">H309+D310</f>
        <v>40.9</v>
      </c>
      <c r="I310" s="71" t="s">
        <v>30</v>
      </c>
      <c r="J310" s="10" t="n">
        <v>0.6</v>
      </c>
      <c r="K310" s="10" t="n">
        <v>507.4</v>
      </c>
      <c r="L310" s="10" t="n">
        <v>2.1</v>
      </c>
      <c r="M310" s="10" t="n">
        <v>399.3</v>
      </c>
      <c r="N310" s="11" t="n">
        <v>-1.5</v>
      </c>
      <c r="O310" s="10" t="n">
        <f aca="false">O309+N310</f>
        <v>62.5000000000001</v>
      </c>
      <c r="P310" s="10" t="n">
        <v>266</v>
      </c>
      <c r="Q310" s="19" t="n">
        <f aca="false">1.15+((P310-263)/54)*(0.35-1.15)</f>
        <v>1.10555555555556</v>
      </c>
      <c r="R310" s="13" t="n">
        <f aca="false">Q310*L310</f>
        <v>2.32166666666667</v>
      </c>
      <c r="S310" s="13" t="n">
        <f aca="false">J310-R310</f>
        <v>-1.72166666666667</v>
      </c>
      <c r="T310" s="13" t="n">
        <f aca="false">MIN(153.6,(T309+S310))</f>
        <v>37.88396567299</v>
      </c>
      <c r="U310" s="71" t="s">
        <v>31</v>
      </c>
      <c r="V310" s="18" t="n">
        <v>562.2</v>
      </c>
      <c r="W310" s="10" t="n">
        <v>36.9868421052632</v>
      </c>
      <c r="X310" s="10" t="n">
        <v>198934.1</v>
      </c>
      <c r="Y310" s="10" t="n">
        <f aca="false">Y309+V310</f>
        <v>2436.6</v>
      </c>
      <c r="Z310" s="71" t="s">
        <v>32</v>
      </c>
      <c r="AA310" s="10" t="n">
        <v>16.1770668831014</v>
      </c>
    </row>
    <row r="311" s="10" customFormat="true" ht="15" hidden="false" customHeight="false" outlineLevel="0" collapsed="false">
      <c r="A311" s="89"/>
      <c r="B311" s="16"/>
      <c r="C311" s="9" t="n">
        <v>42158</v>
      </c>
      <c r="D311" s="10" t="n">
        <v>14.7</v>
      </c>
      <c r="E311" s="10" t="n">
        <v>13.6</v>
      </c>
      <c r="F311" s="10" t="n">
        <v>17.7</v>
      </c>
      <c r="G311" s="10" t="n">
        <v>2393.7</v>
      </c>
      <c r="H311" s="10" t="n">
        <f aca="false">H310+D311</f>
        <v>55.6</v>
      </c>
      <c r="I311" s="10" t="n">
        <f aca="false">MAX(F308:F326)</f>
        <v>31.1</v>
      </c>
      <c r="J311" s="10" t="n">
        <v>0</v>
      </c>
      <c r="K311" s="10" t="n">
        <v>507.4</v>
      </c>
      <c r="L311" s="10" t="n">
        <v>4.2</v>
      </c>
      <c r="M311" s="10" t="n">
        <v>403.5</v>
      </c>
      <c r="N311" s="11" t="n">
        <v>-4.2</v>
      </c>
      <c r="O311" s="10" t="n">
        <f aca="false">O310+N311</f>
        <v>58.3000000000001</v>
      </c>
      <c r="P311" s="10" t="n">
        <v>267</v>
      </c>
      <c r="Q311" s="19" t="n">
        <f aca="false">1.15+((P311-263)/54)*(0.35-1.15)</f>
        <v>1.09074074074074</v>
      </c>
      <c r="R311" s="13" t="n">
        <f aca="false">Q311*L311</f>
        <v>4.58111111111111</v>
      </c>
      <c r="S311" s="13" t="n">
        <f aca="false">J311-R311</f>
        <v>-4.58111111111111</v>
      </c>
      <c r="T311" s="13" t="n">
        <f aca="false">MIN(153.6,(T310+S311))</f>
        <v>33.3028545618789</v>
      </c>
      <c r="U311" s="10" t="n">
        <v>7</v>
      </c>
      <c r="V311" s="10" t="n">
        <v>1828.2</v>
      </c>
      <c r="W311" s="10" t="n">
        <v>124.367346938776</v>
      </c>
      <c r="X311" s="10" t="n">
        <v>200762.3</v>
      </c>
      <c r="Y311" s="10" t="n">
        <f aca="false">Y310+V311</f>
        <v>4264.8</v>
      </c>
      <c r="Z311" s="19" t="n">
        <f aca="false">(Z309/100)/I321</f>
        <v>1.27050485436893</v>
      </c>
      <c r="AA311" s="10" t="n">
        <v>16.2065056919656</v>
      </c>
    </row>
    <row r="312" s="10" customFormat="true" ht="15" hidden="false" customHeight="false" outlineLevel="0" collapsed="false">
      <c r="A312" s="89"/>
      <c r="B312" s="16"/>
      <c r="C312" s="9" t="n">
        <v>42159</v>
      </c>
      <c r="D312" s="10" t="n">
        <v>17.6</v>
      </c>
      <c r="E312" s="10" t="n">
        <v>8.6</v>
      </c>
      <c r="F312" s="10" t="n">
        <v>24.2</v>
      </c>
      <c r="G312" s="10" t="n">
        <v>2411.3</v>
      </c>
      <c r="H312" s="10" t="n">
        <f aca="false">H311+D312</f>
        <v>73.2</v>
      </c>
      <c r="I312" s="71" t="s">
        <v>33</v>
      </c>
      <c r="J312" s="10" t="n">
        <v>0</v>
      </c>
      <c r="K312" s="10" t="n">
        <v>507.4</v>
      </c>
      <c r="L312" s="10" t="n">
        <v>5.3</v>
      </c>
      <c r="M312" s="10" t="n">
        <v>408.8</v>
      </c>
      <c r="N312" s="11" t="n">
        <v>-5.3</v>
      </c>
      <c r="O312" s="10" t="n">
        <f aca="false">O311+N312</f>
        <v>53.0000000000001</v>
      </c>
      <c r="P312" s="10" t="n">
        <v>268</v>
      </c>
      <c r="Q312" s="19" t="n">
        <f aca="false">1.15+((P312-263)/54)*(0.35-1.15)</f>
        <v>1.07592592592593</v>
      </c>
      <c r="R312" s="13" t="n">
        <f aca="false">Q312*L312</f>
        <v>5.70240740740741</v>
      </c>
      <c r="S312" s="13" t="n">
        <f aca="false">J312-R312</f>
        <v>-5.70240740740741</v>
      </c>
      <c r="T312" s="13" t="n">
        <f aca="false">MIN(153.6,(T311+S312))</f>
        <v>27.6004471544715</v>
      </c>
      <c r="U312" s="71" t="s">
        <v>34</v>
      </c>
      <c r="V312" s="10" t="n">
        <v>2940.3</v>
      </c>
      <c r="W312" s="10" t="n">
        <v>167.0625</v>
      </c>
      <c r="X312" s="10" t="n">
        <v>203702.6</v>
      </c>
      <c r="Y312" s="10" t="n">
        <f aca="false">Y311+V312</f>
        <v>7205.1</v>
      </c>
      <c r="Z312" s="71" t="s">
        <v>35</v>
      </c>
      <c r="AA312" s="10" t="n">
        <v>16.2346158303758</v>
      </c>
    </row>
    <row r="313" s="10" customFormat="true" ht="15" hidden="false" customHeight="false" outlineLevel="0" collapsed="false">
      <c r="A313" s="89"/>
      <c r="B313" s="16"/>
      <c r="C313" s="9" t="n">
        <v>42160</v>
      </c>
      <c r="D313" s="10" t="n">
        <v>21.6</v>
      </c>
      <c r="E313" s="10" t="n">
        <v>16.6</v>
      </c>
      <c r="F313" s="20" t="n">
        <v>31.1</v>
      </c>
      <c r="G313" s="10" t="n">
        <v>2432.9</v>
      </c>
      <c r="H313" s="10" t="n">
        <f aca="false">H312+D313</f>
        <v>94.8</v>
      </c>
      <c r="I313" s="13" t="n">
        <f aca="false">AVERAGE(D308:D326)</f>
        <v>16.2631578947368</v>
      </c>
      <c r="J313" s="10" t="n">
        <v>6.7</v>
      </c>
      <c r="K313" s="10" t="n">
        <v>514.1</v>
      </c>
      <c r="L313" s="10" t="n">
        <v>7</v>
      </c>
      <c r="M313" s="10" t="n">
        <v>415.8</v>
      </c>
      <c r="N313" s="11" t="n">
        <v>-0.3</v>
      </c>
      <c r="O313" s="10" t="n">
        <f aca="false">O312+N313</f>
        <v>52.7000000000001</v>
      </c>
      <c r="P313" s="10" t="n">
        <v>269</v>
      </c>
      <c r="Q313" s="19" t="n">
        <f aca="false">1.15+((P313-263)/54)*(0.35-1.15)</f>
        <v>1.06111111111111</v>
      </c>
      <c r="R313" s="13" t="n">
        <f aca="false">Q313*L313</f>
        <v>7.42777777777778</v>
      </c>
      <c r="S313" s="13" t="n">
        <f aca="false">J313-R313</f>
        <v>-0.727777777777778</v>
      </c>
      <c r="T313" s="13" t="n">
        <f aca="false">MIN(153.6,(T312+S313))</f>
        <v>26.8726693766937</v>
      </c>
      <c r="U313" s="10" t="n">
        <v>12</v>
      </c>
      <c r="V313" s="10" t="n">
        <v>2894.1</v>
      </c>
      <c r="W313" s="10" t="n">
        <v>133.986111111111</v>
      </c>
      <c r="X313" s="10" t="n">
        <v>206596.7</v>
      </c>
      <c r="Y313" s="10" t="n">
        <f aca="false">Y312+V313</f>
        <v>10099.2</v>
      </c>
      <c r="Z313" s="10" t="n">
        <v>2</v>
      </c>
      <c r="AA313" s="10" t="n">
        <v>16.2613708613668</v>
      </c>
    </row>
    <row r="314" s="10" customFormat="true" ht="15" hidden="false" customHeight="false" outlineLevel="0" collapsed="false">
      <c r="A314" s="89"/>
      <c r="B314" s="16"/>
      <c r="C314" s="9" t="n">
        <v>42161</v>
      </c>
      <c r="D314" s="10" t="n">
        <v>15.1</v>
      </c>
      <c r="E314" s="10" t="n">
        <v>12.4</v>
      </c>
      <c r="F314" s="10" t="n">
        <v>18.6</v>
      </c>
      <c r="G314" s="10" t="n">
        <v>2448</v>
      </c>
      <c r="H314" s="10" t="n">
        <f aca="false">H313+D314</f>
        <v>109.9</v>
      </c>
      <c r="I314" s="71" t="s">
        <v>36</v>
      </c>
      <c r="J314" s="10" t="n">
        <v>0</v>
      </c>
      <c r="K314" s="10" t="n">
        <v>514.1</v>
      </c>
      <c r="L314" s="10" t="n">
        <v>6</v>
      </c>
      <c r="M314" s="10" t="n">
        <v>421.8</v>
      </c>
      <c r="N314" s="11" t="n">
        <v>-6</v>
      </c>
      <c r="O314" s="10" t="n">
        <f aca="false">O313+N314</f>
        <v>46.7000000000001</v>
      </c>
      <c r="P314" s="10" t="n">
        <v>270</v>
      </c>
      <c r="Q314" s="19" t="n">
        <f aca="false">1.15+((P314-263)/54)*(0.35-1.15)</f>
        <v>1.0462962962963</v>
      </c>
      <c r="R314" s="13" t="n">
        <f aca="false">Q314*L314</f>
        <v>6.27777777777778</v>
      </c>
      <c r="S314" s="13" t="n">
        <f aca="false">J314-R314</f>
        <v>-6.27777777777778</v>
      </c>
      <c r="T314" s="13" t="n">
        <f aca="false">MIN(153.6,(T313+S314))</f>
        <v>20.594891598916</v>
      </c>
      <c r="U314" s="71" t="s">
        <v>37</v>
      </c>
      <c r="V314" s="10" t="n">
        <v>3263.2</v>
      </c>
      <c r="W314" s="10" t="n">
        <v>216.105960264901</v>
      </c>
      <c r="X314" s="10" t="n">
        <v>209859.9</v>
      </c>
      <c r="Y314" s="10" t="n">
        <f aca="false">Y313+V314</f>
        <v>13362.4</v>
      </c>
      <c r="AA314" s="10" t="n">
        <v>16.2867451959825</v>
      </c>
    </row>
    <row r="315" s="10" customFormat="true" ht="15" hidden="false" customHeight="false" outlineLevel="0" collapsed="false">
      <c r="A315" s="89"/>
      <c r="B315" s="16"/>
      <c r="C315" s="9" t="n">
        <v>42162</v>
      </c>
      <c r="D315" s="10" t="n">
        <v>15.2</v>
      </c>
      <c r="E315" s="10" t="n">
        <v>9.6</v>
      </c>
      <c r="F315" s="10" t="n">
        <v>20</v>
      </c>
      <c r="G315" s="10" t="n">
        <v>2463.2</v>
      </c>
      <c r="H315" s="10" t="n">
        <f aca="false">H314+D315</f>
        <v>125.1</v>
      </c>
      <c r="I315" s="10" t="n">
        <v>0</v>
      </c>
      <c r="J315" s="10" t="n">
        <v>0</v>
      </c>
      <c r="K315" s="10" t="n">
        <v>514.1</v>
      </c>
      <c r="L315" s="10" t="n">
        <v>3.7</v>
      </c>
      <c r="M315" s="10" t="n">
        <v>425.5</v>
      </c>
      <c r="N315" s="11" t="n">
        <v>-3.7</v>
      </c>
      <c r="O315" s="10" t="n">
        <f aca="false">O314+N315</f>
        <v>43.0000000000001</v>
      </c>
      <c r="P315" s="10" t="n">
        <v>271</v>
      </c>
      <c r="Q315" s="19" t="n">
        <f aca="false">1.15+((P315-263)/54)*(0.35-1.15)</f>
        <v>1.03148148148148</v>
      </c>
      <c r="R315" s="13" t="n">
        <f aca="false">Q315*L315</f>
        <v>3.81648148148148</v>
      </c>
      <c r="S315" s="13" t="n">
        <f aca="false">J315-R315</f>
        <v>-3.81648148148148</v>
      </c>
      <c r="T315" s="13" t="n">
        <f aca="false">MIN(153.6,(T314+S315))</f>
        <v>16.7784101174345</v>
      </c>
      <c r="U315" s="13" t="n">
        <v>0</v>
      </c>
      <c r="V315" s="10" t="n">
        <v>1987.6</v>
      </c>
      <c r="W315" s="10" t="n">
        <v>130.763157894737</v>
      </c>
      <c r="X315" s="10" t="n">
        <v>211847.5</v>
      </c>
      <c r="Y315" s="10" t="n">
        <f aca="false">Y314+V315</f>
        <v>15350</v>
      </c>
      <c r="AA315" s="10" t="n">
        <v>16.3107141800076</v>
      </c>
    </row>
    <row r="316" s="10" customFormat="true" ht="15" hidden="false" customHeight="false" outlineLevel="0" collapsed="false">
      <c r="A316" s="89"/>
      <c r="B316" s="16"/>
      <c r="C316" s="9" t="n">
        <v>42163</v>
      </c>
      <c r="D316" s="10" t="n">
        <v>13.7</v>
      </c>
      <c r="E316" s="10" t="n">
        <v>10.2</v>
      </c>
      <c r="F316" s="10" t="n">
        <v>17.4</v>
      </c>
      <c r="G316" s="10" t="n">
        <v>2476.9</v>
      </c>
      <c r="H316" s="10" t="n">
        <f aca="false">H315+D316</f>
        <v>138.8</v>
      </c>
      <c r="I316" s="71" t="s">
        <v>38</v>
      </c>
      <c r="J316" s="10" t="n">
        <v>0</v>
      </c>
      <c r="K316" s="10" t="n">
        <v>514.1</v>
      </c>
      <c r="L316" s="10" t="n">
        <v>4.3</v>
      </c>
      <c r="M316" s="10" t="n">
        <v>429.8</v>
      </c>
      <c r="N316" s="11" t="n">
        <v>-4.3</v>
      </c>
      <c r="O316" s="10" t="n">
        <f aca="false">O315+N316</f>
        <v>38.7000000000001</v>
      </c>
      <c r="P316" s="10" t="n">
        <v>272</v>
      </c>
      <c r="Q316" s="19" t="n">
        <f aca="false">1.15+((P316-263)/54)*(0.35-1.15)</f>
        <v>1.01666666666667</v>
      </c>
      <c r="R316" s="13" t="n">
        <f aca="false">Q316*L316</f>
        <v>4.37166666666667</v>
      </c>
      <c r="S316" s="13" t="n">
        <f aca="false">J316-R316</f>
        <v>-4.37166666666667</v>
      </c>
      <c r="T316" s="13" t="n">
        <f aca="false">MIN(153.6,(T315+S316))</f>
        <v>12.4067434507678</v>
      </c>
      <c r="U316" s="71" t="s">
        <v>39</v>
      </c>
      <c r="V316" s="10" t="n">
        <v>2161.7</v>
      </c>
      <c r="W316" s="10" t="n">
        <v>157.788321167883</v>
      </c>
      <c r="X316" s="10" t="n">
        <v>214009.2</v>
      </c>
      <c r="Y316" s="10" t="n">
        <f aca="false">Y315+V316</f>
        <v>17511.7</v>
      </c>
      <c r="AA316" s="10" t="n">
        <v>16.3332541798759</v>
      </c>
    </row>
    <row r="317" s="10" customFormat="true" ht="15" hidden="false" customHeight="false" outlineLevel="0" collapsed="false">
      <c r="A317" s="89"/>
      <c r="B317" s="16"/>
      <c r="C317" s="9" t="n">
        <v>42164</v>
      </c>
      <c r="D317" s="10" t="n">
        <v>13</v>
      </c>
      <c r="E317" s="10" t="n">
        <v>10.4</v>
      </c>
      <c r="F317" s="10" t="n">
        <v>15.7</v>
      </c>
      <c r="G317" s="10" t="n">
        <v>2489.9</v>
      </c>
      <c r="H317" s="10" t="n">
        <f aca="false">H316+D317</f>
        <v>151.8</v>
      </c>
      <c r="I317" s="10" t="n">
        <v>3</v>
      </c>
      <c r="J317" s="10" t="n">
        <v>0</v>
      </c>
      <c r="K317" s="10" t="n">
        <v>514.1</v>
      </c>
      <c r="L317" s="10" t="n">
        <v>5.1</v>
      </c>
      <c r="M317" s="10" t="n">
        <v>434.9</v>
      </c>
      <c r="N317" s="11" t="n">
        <v>-5.1</v>
      </c>
      <c r="O317" s="10" t="n">
        <f aca="false">O316+N317</f>
        <v>33.6000000000001</v>
      </c>
      <c r="P317" s="10" t="n">
        <v>273</v>
      </c>
      <c r="Q317" s="19" t="n">
        <f aca="false">1.15+((P317-263)/54)*(0.35-1.15)</f>
        <v>1.00185185185185</v>
      </c>
      <c r="R317" s="13" t="n">
        <f aca="false">Q317*L317</f>
        <v>5.10944444444444</v>
      </c>
      <c r="S317" s="13" t="n">
        <f aca="false">J317-R317</f>
        <v>-5.10944444444444</v>
      </c>
      <c r="T317" s="13" t="n">
        <f aca="false">MIN(153.6,(T316+S317))</f>
        <v>7.29729900632337</v>
      </c>
      <c r="U317" s="13" t="n">
        <f aca="false">MAX(T308:T326)</f>
        <v>40.0065582655826</v>
      </c>
      <c r="V317" s="10" t="n">
        <v>3063.6</v>
      </c>
      <c r="W317" s="10" t="n">
        <v>235.661538461538</v>
      </c>
      <c r="X317" s="10" t="n">
        <v>217072.8</v>
      </c>
      <c r="Y317" s="10" t="n">
        <f aca="false">Y316+V317</f>
        <v>20575.3</v>
      </c>
      <c r="AA317" s="10" t="n">
        <v>16.3543426671852</v>
      </c>
    </row>
    <row r="318" s="10" customFormat="true" ht="15" hidden="false" customHeight="false" outlineLevel="0" collapsed="false">
      <c r="A318" s="89"/>
      <c r="B318" s="16"/>
      <c r="C318" s="9" t="n">
        <v>42165</v>
      </c>
      <c r="D318" s="10" t="n">
        <v>16.5</v>
      </c>
      <c r="E318" s="10" t="n">
        <v>10.2</v>
      </c>
      <c r="F318" s="10" t="n">
        <v>21.3</v>
      </c>
      <c r="G318" s="10" t="n">
        <v>2506.4</v>
      </c>
      <c r="H318" s="10" t="n">
        <f aca="false">H317+D318</f>
        <v>168.3</v>
      </c>
      <c r="I318" s="71" t="s">
        <v>40</v>
      </c>
      <c r="J318" s="10" t="n">
        <v>0</v>
      </c>
      <c r="K318" s="10" t="n">
        <v>514.1</v>
      </c>
      <c r="L318" s="10" t="n">
        <v>5.8</v>
      </c>
      <c r="M318" s="10" t="n">
        <v>440.7</v>
      </c>
      <c r="N318" s="11" t="n">
        <v>-5.8</v>
      </c>
      <c r="O318" s="10" t="n">
        <f aca="false">O317+N318</f>
        <v>27.8000000000001</v>
      </c>
      <c r="P318" s="10" t="n">
        <v>274</v>
      </c>
      <c r="Q318" s="19" t="n">
        <f aca="false">1.15+((P318-263)/54)*(0.35-1.15)</f>
        <v>0.987037037037037</v>
      </c>
      <c r="R318" s="13" t="n">
        <f aca="false">Q318*L318</f>
        <v>5.72481481481481</v>
      </c>
      <c r="S318" s="13" t="n">
        <f aca="false">J318-R318</f>
        <v>-5.72481481481481</v>
      </c>
      <c r="T318" s="13" t="n">
        <f aca="false">MIN(153.6,(T317+S318))</f>
        <v>1.57248419150856</v>
      </c>
      <c r="U318" s="71" t="s">
        <v>41</v>
      </c>
      <c r="V318" s="10" t="n">
        <v>3055.7</v>
      </c>
      <c r="W318" s="10" t="n">
        <v>185.193939393939</v>
      </c>
      <c r="X318" s="10" t="n">
        <v>220128.5</v>
      </c>
      <c r="Y318" s="10" t="n">
        <f aca="false">Y317+V318</f>
        <v>23631</v>
      </c>
      <c r="AA318" s="10" t="n">
        <v>16.373958301237</v>
      </c>
    </row>
    <row r="319" s="50" customFormat="true" ht="15" hidden="false" customHeight="false" outlineLevel="0" collapsed="false">
      <c r="A319" s="89"/>
      <c r="B319" s="48"/>
      <c r="C319" s="49" t="n">
        <v>42166</v>
      </c>
      <c r="D319" s="50" t="n">
        <v>20.5</v>
      </c>
      <c r="E319" s="50" t="n">
        <v>14.9</v>
      </c>
      <c r="F319" s="72" t="n">
        <v>25.2</v>
      </c>
      <c r="G319" s="50" t="n">
        <v>2526.9</v>
      </c>
      <c r="H319" s="10" t="n">
        <f aca="false">H318+D319</f>
        <v>188.8</v>
      </c>
      <c r="I319" s="10" t="n">
        <v>0</v>
      </c>
      <c r="J319" s="50" t="n">
        <v>0</v>
      </c>
      <c r="K319" s="50" t="n">
        <v>514.1</v>
      </c>
      <c r="L319" s="50" t="n">
        <v>7.2</v>
      </c>
      <c r="M319" s="50" t="n">
        <v>447.9</v>
      </c>
      <c r="N319" s="53" t="n">
        <v>-7.2</v>
      </c>
      <c r="O319" s="50" t="n">
        <f aca="false">O318+N319</f>
        <v>20.6000000000001</v>
      </c>
      <c r="P319" s="50" t="n">
        <v>275</v>
      </c>
      <c r="Q319" s="19" t="n">
        <f aca="false">1.15+((P319-263)/54)*(0.35-1.15)</f>
        <v>0.972222222222222</v>
      </c>
      <c r="R319" s="54" t="n">
        <f aca="false">Q319*L319</f>
        <v>7</v>
      </c>
      <c r="S319" s="54" t="n">
        <f aca="false">J319-R319</f>
        <v>-7</v>
      </c>
      <c r="T319" s="13" t="n">
        <v>0</v>
      </c>
      <c r="U319" s="19" t="n">
        <f aca="false">AVERAGE(T308:T326)</f>
        <v>13.9307169685732</v>
      </c>
      <c r="V319" s="50" t="n">
        <v>3241.4</v>
      </c>
      <c r="W319" s="50" t="n">
        <v>158.117073170732</v>
      </c>
      <c r="X319" s="50" t="n">
        <v>223369.9</v>
      </c>
      <c r="Y319" s="10" t="n">
        <f aca="false">Y318+V319</f>
        <v>26872.4</v>
      </c>
      <c r="AA319" s="10" t="n">
        <v>16.3920810090065</v>
      </c>
    </row>
    <row r="320" s="10" customFormat="true" ht="15" hidden="false" customHeight="true" outlineLevel="0" collapsed="false">
      <c r="A320" s="89"/>
      <c r="B320" s="16"/>
      <c r="C320" s="9" t="n">
        <v>42167</v>
      </c>
      <c r="D320" s="10" t="n">
        <v>21.9</v>
      </c>
      <c r="E320" s="10" t="n">
        <v>18.4</v>
      </c>
      <c r="F320" s="20" t="n">
        <v>27.2</v>
      </c>
      <c r="G320" s="10" t="n">
        <v>2548.8</v>
      </c>
      <c r="H320" s="10" t="n">
        <f aca="false">H319+D320</f>
        <v>210.7</v>
      </c>
      <c r="I320" s="71" t="s">
        <v>42</v>
      </c>
      <c r="J320" s="10" t="n">
        <v>0.6</v>
      </c>
      <c r="K320" s="10" t="n">
        <v>514.7</v>
      </c>
      <c r="L320" s="10" t="n">
        <v>4.7</v>
      </c>
      <c r="M320" s="10" t="n">
        <v>452.6</v>
      </c>
      <c r="N320" s="11" t="n">
        <v>-4.1</v>
      </c>
      <c r="O320" s="10" t="n">
        <f aca="false">O319+N320</f>
        <v>16.5000000000001</v>
      </c>
      <c r="P320" s="10" t="n">
        <v>276</v>
      </c>
      <c r="Q320" s="19" t="n">
        <f aca="false">1.15+((P320-263)/54)*(0.35-1.15)</f>
        <v>0.957407407407407</v>
      </c>
      <c r="R320" s="13" t="n">
        <f aca="false">Q320*L320</f>
        <v>4.49981481481481</v>
      </c>
      <c r="S320" s="13" t="n">
        <f aca="false">J320-R320</f>
        <v>-3.89981481481481</v>
      </c>
      <c r="T320" s="13" t="n">
        <v>0</v>
      </c>
      <c r="V320" s="10" t="n">
        <v>1835.6</v>
      </c>
      <c r="W320" s="10" t="n">
        <v>83.8173515981735</v>
      </c>
      <c r="X320" s="10" t="n">
        <v>225205.5</v>
      </c>
      <c r="Y320" s="10" t="n">
        <f aca="false">Y319+V320</f>
        <v>28708</v>
      </c>
      <c r="AA320" s="10" t="n">
        <v>16.4086920619501</v>
      </c>
    </row>
    <row r="321" s="10" customFormat="true" ht="15" hidden="false" customHeight="false" outlineLevel="0" collapsed="false">
      <c r="A321" s="89"/>
      <c r="B321" s="16"/>
      <c r="C321" s="9" t="n">
        <v>42168</v>
      </c>
      <c r="D321" s="10" t="n">
        <v>17.1</v>
      </c>
      <c r="E321" s="10" t="n">
        <v>14.8</v>
      </c>
      <c r="F321" s="10" t="n">
        <v>20.4</v>
      </c>
      <c r="G321" s="10" t="n">
        <v>2565.9</v>
      </c>
      <c r="H321" s="10" t="n">
        <f aca="false">H320+D321</f>
        <v>227.8</v>
      </c>
      <c r="I321" s="50" t="n">
        <v>309</v>
      </c>
      <c r="J321" s="10" t="n">
        <v>0</v>
      </c>
      <c r="K321" s="10" t="n">
        <v>514.7</v>
      </c>
      <c r="L321" s="10" t="n">
        <v>3.9</v>
      </c>
      <c r="M321" s="10" t="n">
        <v>456.5</v>
      </c>
      <c r="N321" s="11" t="n">
        <v>-3.9</v>
      </c>
      <c r="O321" s="10" t="n">
        <f aca="false">O320+N321</f>
        <v>12.6000000000001</v>
      </c>
      <c r="P321" s="10" t="n">
        <v>277</v>
      </c>
      <c r="Q321" s="19" t="n">
        <f aca="false">1.15+((P321-263)/54)*(0.35-1.15)</f>
        <v>0.942592592592593</v>
      </c>
      <c r="R321" s="13" t="n">
        <f aca="false">Q321*L321</f>
        <v>3.67611111111111</v>
      </c>
      <c r="S321" s="13" t="n">
        <f aca="false">J321-R321</f>
        <v>-3.67611111111111</v>
      </c>
      <c r="T321" s="13" t="n">
        <v>0</v>
      </c>
      <c r="U321" s="13" t="n">
        <f aca="false">(U319*100)/153.6</f>
        <v>9.0694771930815</v>
      </c>
      <c r="V321" s="10" t="n">
        <v>1690.5</v>
      </c>
      <c r="W321" s="10" t="n">
        <v>98.859649122807</v>
      </c>
      <c r="X321" s="10" t="n">
        <v>226896</v>
      </c>
      <c r="Y321" s="10" t="n">
        <f aca="false">Y320+V321</f>
        <v>30398.5</v>
      </c>
      <c r="AA321" s="10" t="n">
        <v>16.4237741490577</v>
      </c>
    </row>
    <row r="322" s="10" customFormat="true" ht="15" hidden="false" customHeight="false" outlineLevel="0" collapsed="false">
      <c r="A322" s="89"/>
      <c r="B322" s="16"/>
      <c r="C322" s="9" t="n">
        <v>42169</v>
      </c>
      <c r="D322" s="10" t="n">
        <v>17.1</v>
      </c>
      <c r="E322" s="10" t="n">
        <v>11.8</v>
      </c>
      <c r="F322" s="10" t="n">
        <v>21.3</v>
      </c>
      <c r="G322" s="10" t="n">
        <v>2583</v>
      </c>
      <c r="H322" s="10" t="n">
        <f aca="false">H321+D322</f>
        <v>244.9</v>
      </c>
      <c r="J322" s="10" t="n">
        <v>0</v>
      </c>
      <c r="K322" s="10" t="n">
        <v>514.7</v>
      </c>
      <c r="L322" s="10" t="n">
        <v>4.3</v>
      </c>
      <c r="M322" s="10" t="n">
        <v>460.8</v>
      </c>
      <c r="N322" s="11" t="n">
        <v>-4.3</v>
      </c>
      <c r="O322" s="10" t="n">
        <f aca="false">O321+N322</f>
        <v>8.30000000000006</v>
      </c>
      <c r="P322" s="10" t="n">
        <v>278</v>
      </c>
      <c r="Q322" s="19" t="n">
        <f aca="false">1.15+((P322-263)/54)*(0.35-1.15)</f>
        <v>0.927777777777778</v>
      </c>
      <c r="R322" s="13" t="n">
        <f aca="false">Q322*L322</f>
        <v>3.98944444444444</v>
      </c>
      <c r="S322" s="13" t="n">
        <f aca="false">J322-R322</f>
        <v>-3.98944444444444</v>
      </c>
      <c r="T322" s="13" t="n">
        <v>0</v>
      </c>
      <c r="V322" s="10" t="n">
        <v>2440.5</v>
      </c>
      <c r="W322" s="10" t="n">
        <v>142.719298245614</v>
      </c>
      <c r="X322" s="10" t="n">
        <v>229336.5</v>
      </c>
      <c r="Y322" s="10" t="n">
        <f aca="false">Y321+V322</f>
        <v>32839</v>
      </c>
      <c r="AA322" s="10" t="n">
        <v>16.4373114455725</v>
      </c>
    </row>
    <row r="323" s="10" customFormat="true" ht="15" hidden="false" customHeight="false" outlineLevel="0" collapsed="false">
      <c r="A323" s="89"/>
      <c r="B323" s="16"/>
      <c r="C323" s="9" t="n">
        <v>42170</v>
      </c>
      <c r="D323" s="10" t="n">
        <v>16</v>
      </c>
      <c r="E323" s="10" t="n">
        <v>14.8</v>
      </c>
      <c r="F323" s="10" t="n">
        <v>18.9</v>
      </c>
      <c r="G323" s="10" t="n">
        <v>2599</v>
      </c>
      <c r="H323" s="10" t="n">
        <f aca="false">H322+D323</f>
        <v>260.9</v>
      </c>
      <c r="J323" s="10" t="n">
        <v>0</v>
      </c>
      <c r="K323" s="10" t="n">
        <v>514.7</v>
      </c>
      <c r="L323" s="10" t="n">
        <v>3.8</v>
      </c>
      <c r="M323" s="10" t="n">
        <v>464.6</v>
      </c>
      <c r="N323" s="11" t="n">
        <v>-3.8</v>
      </c>
      <c r="O323" s="10" t="n">
        <f aca="false">O322+N323</f>
        <v>4.50000000000006</v>
      </c>
      <c r="P323" s="10" t="n">
        <v>279</v>
      </c>
      <c r="Q323" s="19" t="n">
        <f aca="false">1.15+((P323-263)/54)*(0.35-1.15)</f>
        <v>0.912962962962963</v>
      </c>
      <c r="R323" s="13" t="n">
        <f aca="false">Q323*L323</f>
        <v>3.46925925925926</v>
      </c>
      <c r="S323" s="13" t="n">
        <f aca="false">J323-R323</f>
        <v>-3.46925925925926</v>
      </c>
      <c r="T323" s="13" t="n">
        <v>0</v>
      </c>
      <c r="V323" s="10" t="n">
        <v>1829.6</v>
      </c>
      <c r="W323" s="10" t="n">
        <v>114.35</v>
      </c>
      <c r="X323" s="10" t="n">
        <v>231166.1</v>
      </c>
      <c r="Y323" s="10" t="n">
        <f aca="false">Y322+V323</f>
        <v>34668.6</v>
      </c>
      <c r="AA323" s="10" t="n">
        <v>16.4492896768186</v>
      </c>
    </row>
    <row r="324" s="10" customFormat="true" ht="15" hidden="false" customHeight="false" outlineLevel="0" collapsed="false">
      <c r="A324" s="89"/>
      <c r="B324" s="16"/>
      <c r="C324" s="9" t="n">
        <v>42171</v>
      </c>
      <c r="D324" s="10" t="n">
        <v>15</v>
      </c>
      <c r="E324" s="10" t="n">
        <v>10.7</v>
      </c>
      <c r="F324" s="10" t="n">
        <v>18.7</v>
      </c>
      <c r="G324" s="10" t="n">
        <v>2614</v>
      </c>
      <c r="H324" s="10" t="n">
        <f aca="false">H323+D324</f>
        <v>275.9</v>
      </c>
      <c r="J324" s="10" t="n">
        <v>0</v>
      </c>
      <c r="K324" s="10" t="n">
        <v>514.7</v>
      </c>
      <c r="L324" s="10" t="n">
        <v>3.6</v>
      </c>
      <c r="M324" s="10" t="n">
        <v>468.2</v>
      </c>
      <c r="N324" s="11" t="n">
        <v>-3.6</v>
      </c>
      <c r="O324" s="10" t="n">
        <f aca="false">O323+N324</f>
        <v>0.900000000000058</v>
      </c>
      <c r="P324" s="10" t="n">
        <v>280</v>
      </c>
      <c r="Q324" s="19" t="n">
        <f aca="false">1.15+((P324-263)/54)*(0.35-1.15)</f>
        <v>0.898148148148148</v>
      </c>
      <c r="R324" s="13" t="n">
        <f aca="false">Q324*L324</f>
        <v>3.23333333333333</v>
      </c>
      <c r="S324" s="13" t="n">
        <f aca="false">J324-R324</f>
        <v>-3.23333333333333</v>
      </c>
      <c r="T324" s="13" t="n">
        <v>0</v>
      </c>
      <c r="V324" s="10" t="n">
        <v>1735.7</v>
      </c>
      <c r="W324" s="10" t="n">
        <v>115.713333333333</v>
      </c>
      <c r="X324" s="10" t="n">
        <v>232901.8</v>
      </c>
      <c r="Y324" s="10" t="n">
        <f aca="false">Y323+V324</f>
        <v>36404.3</v>
      </c>
      <c r="AA324" s="10" t="n">
        <v>16.4596961766044</v>
      </c>
    </row>
    <row r="325" s="50" customFormat="true" ht="15" hidden="false" customHeight="false" outlineLevel="0" collapsed="false">
      <c r="A325" s="89"/>
      <c r="B325" s="78" t="n">
        <v>600</v>
      </c>
      <c r="C325" s="49" t="n">
        <v>42172</v>
      </c>
      <c r="D325" s="50" t="n">
        <v>17.4</v>
      </c>
      <c r="E325" s="50" t="n">
        <v>11.3</v>
      </c>
      <c r="F325" s="50" t="n">
        <v>22.6</v>
      </c>
      <c r="G325" s="50" t="n">
        <v>2631.4</v>
      </c>
      <c r="H325" s="10" t="n">
        <f aca="false">H324+D325</f>
        <v>293.3</v>
      </c>
      <c r="J325" s="50" t="n">
        <v>3.5</v>
      </c>
      <c r="K325" s="50" t="n">
        <v>518.2</v>
      </c>
      <c r="L325" s="50" t="n">
        <v>3.1</v>
      </c>
      <c r="M325" s="50" t="n">
        <v>471.3</v>
      </c>
      <c r="N325" s="50" t="n">
        <v>0.4</v>
      </c>
      <c r="O325" s="50" t="n">
        <f aca="false">O324+N325</f>
        <v>1.30000000000006</v>
      </c>
      <c r="P325" s="50" t="n">
        <v>281</v>
      </c>
      <c r="Q325" s="19" t="n">
        <f aca="false">1.15+((P325-263)/54)*(0.35-1.15)</f>
        <v>0.883333333333333</v>
      </c>
      <c r="R325" s="54" t="n">
        <f aca="false">Q325*L325</f>
        <v>2.73833333333333</v>
      </c>
      <c r="S325" s="54" t="n">
        <f aca="false">J325-R325</f>
        <v>0.761666666666667</v>
      </c>
      <c r="T325" s="13" t="n">
        <f aca="false">MIN(153.6,(T324+S325))</f>
        <v>0.761666666666667</v>
      </c>
      <c r="V325" s="50" t="n">
        <v>1537.2</v>
      </c>
      <c r="W325" s="50" t="n">
        <v>88.3448275862069</v>
      </c>
      <c r="X325" s="50" t="n">
        <v>234439</v>
      </c>
      <c r="Y325" s="10" t="n">
        <f aca="false">Y324+V325</f>
        <v>37941.5</v>
      </c>
      <c r="AA325" s="50" t="n">
        <v>16.4685199397054</v>
      </c>
    </row>
    <row r="326" s="29" customFormat="true" ht="15" hidden="false" customHeight="true" outlineLevel="0" collapsed="false">
      <c r="A326" s="89"/>
      <c r="B326" s="25"/>
      <c r="C326" s="79" t="n">
        <v>42173</v>
      </c>
      <c r="D326" s="29" t="n">
        <v>15.7</v>
      </c>
      <c r="E326" s="29" t="n">
        <v>15.2</v>
      </c>
      <c r="F326" s="29" t="n">
        <v>18.6</v>
      </c>
      <c r="G326" s="29" t="n">
        <v>2647.1</v>
      </c>
      <c r="H326" s="29" t="n">
        <f aca="false">H325+D326</f>
        <v>309</v>
      </c>
      <c r="J326" s="29" t="n">
        <v>0</v>
      </c>
      <c r="K326" s="29" t="n">
        <v>518.2</v>
      </c>
      <c r="L326" s="29" t="n">
        <v>3.2</v>
      </c>
      <c r="M326" s="29" t="n">
        <v>474.5</v>
      </c>
      <c r="N326" s="81" t="n">
        <v>-3.2</v>
      </c>
      <c r="O326" s="29" t="n">
        <v>0</v>
      </c>
      <c r="P326" s="29" t="n">
        <v>282</v>
      </c>
      <c r="Q326" s="60" t="n">
        <f aca="false">1.15+((P326-263)/54)*(0.35-1.15)</f>
        <v>0.868518518518519</v>
      </c>
      <c r="R326" s="31" t="n">
        <f aca="false">Q326*L326</f>
        <v>2.77925925925926</v>
      </c>
      <c r="S326" s="31" t="n">
        <f aca="false">J326-R326</f>
        <v>-2.77925925925926</v>
      </c>
      <c r="T326" s="31" t="n">
        <v>0</v>
      </c>
      <c r="V326" s="29" t="n">
        <v>1317.1</v>
      </c>
      <c r="W326" s="29" t="n">
        <v>83.8917197452229</v>
      </c>
      <c r="X326" s="29" t="n">
        <v>235756.1</v>
      </c>
      <c r="Y326" s="29" t="n">
        <f aca="false">Y325+V326</f>
        <v>39258.6</v>
      </c>
      <c r="AA326" s="29" t="n">
        <v>16.4757516679702</v>
      </c>
    </row>
    <row r="327" s="10" customFormat="true" ht="15" hidden="false" customHeight="false" outlineLevel="0" collapsed="false">
      <c r="A327" s="90" t="s">
        <v>64</v>
      </c>
      <c r="B327" s="16"/>
      <c r="C327" s="9" t="n">
        <v>42174</v>
      </c>
      <c r="D327" s="10" t="n">
        <v>15</v>
      </c>
      <c r="E327" s="10" t="n">
        <v>10.8</v>
      </c>
      <c r="F327" s="10" t="n">
        <v>16.6</v>
      </c>
      <c r="G327" s="10" t="n">
        <v>2662.1</v>
      </c>
      <c r="H327" s="10" t="n">
        <f aca="false">D327</f>
        <v>15</v>
      </c>
      <c r="I327" s="74" t="s">
        <v>27</v>
      </c>
      <c r="J327" s="10" t="n">
        <v>0</v>
      </c>
      <c r="K327" s="10" t="n">
        <v>518.2</v>
      </c>
      <c r="L327" s="10" t="n">
        <v>1.7</v>
      </c>
      <c r="M327" s="10" t="n">
        <v>476.2</v>
      </c>
      <c r="N327" s="11" t="n">
        <v>-1.7</v>
      </c>
      <c r="O327" s="10" t="n">
        <v>0</v>
      </c>
      <c r="P327" s="10" t="n">
        <v>283</v>
      </c>
      <c r="Q327" s="19" t="n">
        <f aca="false">1.15+((P327-263)/54)*(0.35-1.15)</f>
        <v>0.853703703703704</v>
      </c>
      <c r="R327" s="13" t="n">
        <f aca="false">Q327*L327</f>
        <v>1.4512962962963</v>
      </c>
      <c r="S327" s="13" t="n">
        <f aca="false">J327-R327</f>
        <v>-1.4512962962963</v>
      </c>
      <c r="T327" s="13" t="n">
        <v>0</v>
      </c>
      <c r="U327" s="74" t="s">
        <v>28</v>
      </c>
      <c r="V327" s="10" t="n">
        <v>917.8</v>
      </c>
      <c r="W327" s="10" t="n">
        <v>61.1866666666667</v>
      </c>
      <c r="X327" s="10" t="n">
        <v>236673.9</v>
      </c>
      <c r="Y327" s="10" t="n">
        <f aca="false">V327</f>
        <v>917.8</v>
      </c>
      <c r="Z327" s="74" t="s">
        <v>29</v>
      </c>
      <c r="AA327" s="10" t="n">
        <v>16.4813838096435</v>
      </c>
    </row>
    <row r="328" s="10" customFormat="true" ht="15" hidden="false" customHeight="false" outlineLevel="0" collapsed="false">
      <c r="A328" s="90"/>
      <c r="B328" s="16"/>
      <c r="C328" s="9" t="n">
        <v>42175</v>
      </c>
      <c r="D328" s="10" t="n">
        <v>15.8</v>
      </c>
      <c r="E328" s="10" t="n">
        <v>13.4</v>
      </c>
      <c r="F328" s="10" t="n">
        <v>19.4</v>
      </c>
      <c r="G328" s="10" t="n">
        <v>2677.9</v>
      </c>
      <c r="H328" s="10" t="n">
        <f aca="false">H327+D328</f>
        <v>30.8</v>
      </c>
      <c r="I328" s="10" t="n">
        <f aca="false">MIN(E327:E347)</f>
        <v>9.6</v>
      </c>
      <c r="J328" s="10" t="n">
        <v>8.2</v>
      </c>
      <c r="K328" s="10" t="n">
        <v>526.4</v>
      </c>
      <c r="L328" s="10" t="n">
        <v>3.2</v>
      </c>
      <c r="M328" s="10" t="n">
        <v>479.4</v>
      </c>
      <c r="N328" s="10" t="n">
        <v>5</v>
      </c>
      <c r="O328" s="10" t="n">
        <f aca="false">O327+N328</f>
        <v>5</v>
      </c>
      <c r="P328" s="10" t="n">
        <v>284</v>
      </c>
      <c r="Q328" s="19" t="n">
        <f aca="false">1.15+((P328-263)/54)*(0.35-1.15)</f>
        <v>0.838888888888889</v>
      </c>
      <c r="R328" s="13" t="n">
        <f aca="false">Q328*L328</f>
        <v>2.68444444444444</v>
      </c>
      <c r="S328" s="13" t="n">
        <f aca="false">J328-R328</f>
        <v>5.51555555555555</v>
      </c>
      <c r="T328" s="13" t="n">
        <f aca="false">MIN(153.6,(T327+S328))</f>
        <v>5.51555555555555</v>
      </c>
      <c r="V328" s="10" t="n">
        <v>1642.8</v>
      </c>
      <c r="W328" s="10" t="n">
        <v>103.974683544304</v>
      </c>
      <c r="X328" s="10" t="n">
        <v>238316.7</v>
      </c>
      <c r="Y328" s="10" t="n">
        <f aca="false">Y327+V328</f>
        <v>2560.6</v>
      </c>
      <c r="Z328" s="10" t="n">
        <v>40621.3</v>
      </c>
      <c r="AA328" s="10" t="n">
        <v>16.4854105915546</v>
      </c>
    </row>
    <row r="329" s="10" customFormat="true" ht="15" hidden="false" customHeight="false" outlineLevel="0" collapsed="false">
      <c r="A329" s="90"/>
      <c r="B329" s="16"/>
      <c r="C329" s="9" t="n">
        <v>42176</v>
      </c>
      <c r="D329" s="10" t="n">
        <v>16.3</v>
      </c>
      <c r="E329" s="10" t="n">
        <v>14.3</v>
      </c>
      <c r="F329" s="10" t="n">
        <v>18.2</v>
      </c>
      <c r="G329" s="10" t="n">
        <v>2694.2</v>
      </c>
      <c r="H329" s="10" t="n">
        <f aca="false">H328+D329</f>
        <v>47.1</v>
      </c>
      <c r="I329" s="74" t="s">
        <v>30</v>
      </c>
      <c r="J329" s="10" t="n">
        <v>3.1</v>
      </c>
      <c r="K329" s="10" t="n">
        <v>529.5</v>
      </c>
      <c r="L329" s="10" t="n">
        <v>2.5</v>
      </c>
      <c r="M329" s="10" t="n">
        <v>481.9</v>
      </c>
      <c r="N329" s="10" t="n">
        <v>0.6</v>
      </c>
      <c r="O329" s="10" t="n">
        <f aca="false">O328+N329</f>
        <v>5.6</v>
      </c>
      <c r="P329" s="10" t="n">
        <v>285</v>
      </c>
      <c r="Q329" s="19" t="n">
        <f aca="false">1.15+((P329-263)/54)*(0.35-1.15)</f>
        <v>0.824074074074074</v>
      </c>
      <c r="R329" s="13" t="n">
        <f aca="false">Q329*L329</f>
        <v>2.06018518518519</v>
      </c>
      <c r="S329" s="13" t="n">
        <f aca="false">J329-R329</f>
        <v>1.03981481481482</v>
      </c>
      <c r="T329" s="13" t="n">
        <f aca="false">MIN(153.6,(T328+S329))</f>
        <v>6.55537037037037</v>
      </c>
      <c r="U329" s="74" t="s">
        <v>31</v>
      </c>
      <c r="V329" s="10" t="n">
        <v>1304</v>
      </c>
      <c r="W329" s="10" t="n">
        <v>80</v>
      </c>
      <c r="X329" s="10" t="n">
        <v>239620.7</v>
      </c>
      <c r="Y329" s="10" t="n">
        <f aca="false">Y328+V329</f>
        <v>3864.6</v>
      </c>
      <c r="Z329" s="74" t="s">
        <v>32</v>
      </c>
      <c r="AA329" s="10" t="n">
        <v>16.4878280438807</v>
      </c>
    </row>
    <row r="330" s="10" customFormat="true" ht="15" hidden="false" customHeight="false" outlineLevel="0" collapsed="false">
      <c r="A330" s="90"/>
      <c r="B330" s="16"/>
      <c r="C330" s="9" t="n">
        <v>42177</v>
      </c>
      <c r="D330" s="10" t="n">
        <v>12.7</v>
      </c>
      <c r="E330" s="10" t="n">
        <v>11.8</v>
      </c>
      <c r="F330" s="10" t="n">
        <v>14.4</v>
      </c>
      <c r="G330" s="10" t="n">
        <v>2706.9</v>
      </c>
      <c r="H330" s="10" t="n">
        <f aca="false">H329+D330</f>
        <v>59.8</v>
      </c>
      <c r="I330" s="10" t="n">
        <f aca="false">MAX(F327:F347)</f>
        <v>33.6</v>
      </c>
      <c r="J330" s="10" t="n">
        <v>16.1</v>
      </c>
      <c r="K330" s="10" t="n">
        <v>545.6</v>
      </c>
      <c r="L330" s="10" t="n">
        <v>1.4</v>
      </c>
      <c r="M330" s="10" t="n">
        <v>483.3</v>
      </c>
      <c r="N330" s="10" t="n">
        <v>14.7</v>
      </c>
      <c r="O330" s="10" t="n">
        <f aca="false">O329+N330</f>
        <v>20.3</v>
      </c>
      <c r="P330" s="10" t="n">
        <v>286</v>
      </c>
      <c r="Q330" s="19" t="n">
        <f aca="false">1.15+((P330-263)/54)*(0.35-1.15)</f>
        <v>0.809259259259259</v>
      </c>
      <c r="R330" s="13" t="n">
        <f aca="false">Q330*L330</f>
        <v>1.13296296296296</v>
      </c>
      <c r="S330" s="13" t="n">
        <f aca="false">J330-R330</f>
        <v>14.967037037037</v>
      </c>
      <c r="T330" s="13" t="n">
        <f aca="false">MIN(153.6,(T329+S330))</f>
        <v>21.5224074074074</v>
      </c>
      <c r="U330" s="10" t="n">
        <v>8</v>
      </c>
      <c r="V330" s="18" t="n">
        <v>577.4</v>
      </c>
      <c r="W330" s="10" t="n">
        <v>45.4645669291339</v>
      </c>
      <c r="X330" s="10" t="n">
        <v>240198.1</v>
      </c>
      <c r="Y330" s="10" t="n">
        <f aca="false">Y329+V330</f>
        <v>4442</v>
      </c>
      <c r="Z330" s="19" t="n">
        <f aca="false">(Z328/100)/I340</f>
        <v>1.0099776230731</v>
      </c>
      <c r="AA330" s="10" t="n">
        <v>16.488634017258</v>
      </c>
    </row>
    <row r="331" s="10" customFormat="true" ht="15" hidden="false" customHeight="false" outlineLevel="0" collapsed="false">
      <c r="A331" s="90"/>
      <c r="B331" s="16"/>
      <c r="C331" s="9" t="n">
        <v>42178</v>
      </c>
      <c r="D331" s="10" t="n">
        <v>13.1</v>
      </c>
      <c r="E331" s="10" t="n">
        <v>11.7</v>
      </c>
      <c r="F331" s="10" t="n">
        <v>16.5</v>
      </c>
      <c r="G331" s="10" t="n">
        <v>2720</v>
      </c>
      <c r="H331" s="10" t="n">
        <f aca="false">H330+D331</f>
        <v>72.9</v>
      </c>
      <c r="I331" s="74" t="s">
        <v>33</v>
      </c>
      <c r="J331" s="10" t="n">
        <v>0.5</v>
      </c>
      <c r="K331" s="10" t="n">
        <v>546.1</v>
      </c>
      <c r="L331" s="10" t="n">
        <v>2.6</v>
      </c>
      <c r="M331" s="10" t="n">
        <v>485.9</v>
      </c>
      <c r="N331" s="11" t="n">
        <v>-2.1</v>
      </c>
      <c r="O331" s="10" t="n">
        <f aca="false">O330+N331</f>
        <v>18.2</v>
      </c>
      <c r="P331" s="10" t="n">
        <v>287</v>
      </c>
      <c r="Q331" s="19" t="n">
        <f aca="false">1.15+((P331-263)/54)*(0.35-1.15)</f>
        <v>0.794444444444444</v>
      </c>
      <c r="R331" s="13" t="n">
        <f aca="false">Q331*L331</f>
        <v>2.06555555555556</v>
      </c>
      <c r="S331" s="13" t="n">
        <f aca="false">J331-R331</f>
        <v>-1.56555555555556</v>
      </c>
      <c r="T331" s="13" t="n">
        <f aca="false">MIN(153.6,(T330+S331))</f>
        <v>19.9568518518519</v>
      </c>
      <c r="U331" s="74" t="s">
        <v>34</v>
      </c>
      <c r="V331" s="10" t="n">
        <v>1511.7</v>
      </c>
      <c r="W331" s="10" t="n">
        <v>115.396946564886</v>
      </c>
      <c r="X331" s="10" t="n">
        <v>241709.8</v>
      </c>
      <c r="Y331" s="10" t="n">
        <f aca="false">Y330+V331</f>
        <v>5953.7</v>
      </c>
      <c r="Z331" s="74" t="s">
        <v>35</v>
      </c>
      <c r="AA331" s="10" t="n">
        <v>16.4878281920837</v>
      </c>
    </row>
    <row r="332" s="10" customFormat="true" ht="15" hidden="false" customHeight="false" outlineLevel="0" collapsed="false">
      <c r="A332" s="90"/>
      <c r="B332" s="16"/>
      <c r="C332" s="9" t="n">
        <v>42179</v>
      </c>
      <c r="D332" s="10" t="n">
        <v>16.3</v>
      </c>
      <c r="E332" s="10" t="n">
        <v>9.6</v>
      </c>
      <c r="F332" s="10" t="n">
        <v>20.7</v>
      </c>
      <c r="G332" s="10" t="n">
        <v>2736.3</v>
      </c>
      <c r="H332" s="10" t="n">
        <f aca="false">H331+D332</f>
        <v>89.2</v>
      </c>
      <c r="I332" s="13" t="n">
        <f aca="false">AVERAGE(D327:D347)</f>
        <v>19.152380952381</v>
      </c>
      <c r="J332" s="10" t="n">
        <v>0</v>
      </c>
      <c r="K332" s="10" t="n">
        <v>546.1</v>
      </c>
      <c r="L332" s="10" t="n">
        <v>2.8</v>
      </c>
      <c r="M332" s="10" t="n">
        <v>488.7</v>
      </c>
      <c r="N332" s="11" t="n">
        <v>-2.8</v>
      </c>
      <c r="O332" s="10" t="n">
        <f aca="false">O331+N332</f>
        <v>15.4</v>
      </c>
      <c r="P332" s="10" t="n">
        <v>288</v>
      </c>
      <c r="Q332" s="19" t="n">
        <f aca="false">1.15+((P332-263)/54)*(0.35-1.15)</f>
        <v>0.77962962962963</v>
      </c>
      <c r="R332" s="13" t="n">
        <f aca="false">Q332*L332</f>
        <v>2.18296296296296</v>
      </c>
      <c r="S332" s="13" t="n">
        <f aca="false">J332-R332</f>
        <v>-2.18296296296296</v>
      </c>
      <c r="T332" s="13" t="n">
        <f aca="false">MIN(153.6,(T331+S332))</f>
        <v>17.7738888888889</v>
      </c>
      <c r="U332" s="10" t="n">
        <v>13</v>
      </c>
      <c r="V332" s="10" t="n">
        <v>1722.8</v>
      </c>
      <c r="W332" s="10" t="n">
        <v>105.693251533742</v>
      </c>
      <c r="X332" s="10" t="n">
        <v>243432.6</v>
      </c>
      <c r="Y332" s="10" t="n">
        <f aca="false">Y331+V332</f>
        <v>7676.5</v>
      </c>
      <c r="Z332" s="10" t="n">
        <v>2</v>
      </c>
      <c r="AA332" s="10" t="n">
        <v>16.4854120799234</v>
      </c>
    </row>
    <row r="333" s="10" customFormat="true" ht="15" hidden="false" customHeight="false" outlineLevel="0" collapsed="false">
      <c r="A333" s="90"/>
      <c r="B333" s="16"/>
      <c r="C333" s="9" t="n">
        <v>42180</v>
      </c>
      <c r="D333" s="10" t="n">
        <v>20.4</v>
      </c>
      <c r="E333" s="10" t="n">
        <v>15.3</v>
      </c>
      <c r="F333" s="10" t="n">
        <v>24.5</v>
      </c>
      <c r="G333" s="10" t="n">
        <v>2756.7</v>
      </c>
      <c r="H333" s="10" t="n">
        <f aca="false">H332+D333</f>
        <v>109.6</v>
      </c>
      <c r="I333" s="74" t="s">
        <v>36</v>
      </c>
      <c r="J333" s="10" t="n">
        <v>0</v>
      </c>
      <c r="K333" s="10" t="n">
        <v>546.1</v>
      </c>
      <c r="L333" s="10" t="n">
        <v>4.5</v>
      </c>
      <c r="M333" s="10" t="n">
        <v>493.2</v>
      </c>
      <c r="N333" s="11" t="n">
        <v>-4.5</v>
      </c>
      <c r="O333" s="10" t="n">
        <f aca="false">O332+N333</f>
        <v>10.9</v>
      </c>
      <c r="P333" s="10" t="n">
        <v>289</v>
      </c>
      <c r="Q333" s="19" t="n">
        <f aca="false">1.15+((P333-263)/54)*(0.35-1.15)</f>
        <v>0.764814814814815</v>
      </c>
      <c r="R333" s="13" t="n">
        <f aca="false">Q333*L333</f>
        <v>3.44166666666667</v>
      </c>
      <c r="S333" s="13" t="n">
        <f aca="false">J333-R333</f>
        <v>-3.44166666666667</v>
      </c>
      <c r="T333" s="13" t="n">
        <f aca="false">MIN(153.6,(T332+S333))</f>
        <v>14.3322222222222</v>
      </c>
      <c r="U333" s="74" t="s">
        <v>37</v>
      </c>
      <c r="V333" s="10" t="n">
        <v>2366.4</v>
      </c>
      <c r="W333" s="10" t="n">
        <v>116</v>
      </c>
      <c r="X333" s="10" t="n">
        <v>245799</v>
      </c>
      <c r="Y333" s="10" t="n">
        <f aca="false">Y332+V333</f>
        <v>10042.9</v>
      </c>
      <c r="AA333" s="10" t="n">
        <v>16.4813890170086</v>
      </c>
    </row>
    <row r="334" s="10" customFormat="true" ht="15" hidden="false" customHeight="false" outlineLevel="0" collapsed="false">
      <c r="A334" s="90"/>
      <c r="B334" s="16"/>
      <c r="C334" s="9" t="n">
        <v>42181</v>
      </c>
      <c r="D334" s="10" t="n">
        <v>21.5</v>
      </c>
      <c r="E334" s="10" t="n">
        <v>16.8</v>
      </c>
      <c r="F334" s="20" t="n">
        <v>27</v>
      </c>
      <c r="G334" s="10" t="n">
        <v>2778.2</v>
      </c>
      <c r="H334" s="10" t="n">
        <f aca="false">H333+D334</f>
        <v>131.1</v>
      </c>
      <c r="I334" s="10" t="n">
        <v>0</v>
      </c>
      <c r="J334" s="10" t="n">
        <v>0</v>
      </c>
      <c r="K334" s="10" t="n">
        <v>546.1</v>
      </c>
      <c r="L334" s="10" t="n">
        <v>4.9</v>
      </c>
      <c r="M334" s="10" t="n">
        <v>498.1</v>
      </c>
      <c r="N334" s="11" t="n">
        <v>-4.9</v>
      </c>
      <c r="O334" s="10" t="n">
        <f aca="false">O333+N334</f>
        <v>6</v>
      </c>
      <c r="P334" s="10" t="n">
        <v>290</v>
      </c>
      <c r="Q334" s="19" t="n">
        <f aca="false">1.15+((P334-263)/54)*(0.35-1.15)</f>
        <v>0.75</v>
      </c>
      <c r="R334" s="13" t="n">
        <f aca="false">Q334*L334</f>
        <v>3.675</v>
      </c>
      <c r="S334" s="13" t="n">
        <f aca="false">J334-R334</f>
        <v>-3.675</v>
      </c>
      <c r="T334" s="13" t="n">
        <f aca="false">MIN(153.6,(T333+S334))</f>
        <v>10.6572222222222</v>
      </c>
      <c r="U334" s="10" t="n">
        <v>0</v>
      </c>
      <c r="V334" s="10" t="n">
        <v>2159.1</v>
      </c>
      <c r="W334" s="10" t="n">
        <v>100.423255813953</v>
      </c>
      <c r="X334" s="10" t="n">
        <v>247958.1</v>
      </c>
      <c r="Y334" s="10" t="n">
        <f aca="false">Y333+V334</f>
        <v>12202</v>
      </c>
      <c r="AA334" s="10" t="n">
        <v>16.4757641498855</v>
      </c>
    </row>
    <row r="335" s="10" customFormat="true" ht="15" hidden="false" customHeight="false" outlineLevel="0" collapsed="false">
      <c r="A335" s="90"/>
      <c r="B335" s="16"/>
      <c r="C335" s="9" t="n">
        <v>42182</v>
      </c>
      <c r="D335" s="10" t="n">
        <v>18.8</v>
      </c>
      <c r="E335" s="10" t="n">
        <v>16.6</v>
      </c>
      <c r="F335" s="10" t="n">
        <v>21.9</v>
      </c>
      <c r="G335" s="10" t="n">
        <v>2797</v>
      </c>
      <c r="H335" s="10" t="n">
        <f aca="false">H334+D335</f>
        <v>149.9</v>
      </c>
      <c r="I335" s="74" t="s">
        <v>38</v>
      </c>
      <c r="J335" s="10" t="n">
        <v>0</v>
      </c>
      <c r="K335" s="10" t="n">
        <v>546.1</v>
      </c>
      <c r="L335" s="10" t="n">
        <v>4.8</v>
      </c>
      <c r="M335" s="10" t="n">
        <v>502.9</v>
      </c>
      <c r="N335" s="11" t="n">
        <v>-4.8</v>
      </c>
      <c r="O335" s="10" t="n">
        <f aca="false">O334+N335</f>
        <v>1.2</v>
      </c>
      <c r="P335" s="10" t="n">
        <v>291</v>
      </c>
      <c r="Q335" s="19" t="n">
        <f aca="false">1.15+((P335-263)/54)*(0.35-1.15)</f>
        <v>0.735185185185185</v>
      </c>
      <c r="R335" s="13" t="n">
        <f aca="false">Q335*L335</f>
        <v>3.52888888888889</v>
      </c>
      <c r="S335" s="13" t="n">
        <f aca="false">J335-R335</f>
        <v>-3.52888888888889</v>
      </c>
      <c r="T335" s="13" t="n">
        <f aca="false">MIN(153.6,(T334+S335))</f>
        <v>7.12833333333334</v>
      </c>
      <c r="U335" s="74" t="s">
        <v>39</v>
      </c>
      <c r="V335" s="10" t="n">
        <v>2214.4</v>
      </c>
      <c r="W335" s="10" t="n">
        <v>117.787234042553</v>
      </c>
      <c r="X335" s="10" t="n">
        <v>250172.5</v>
      </c>
      <c r="Y335" s="10" t="n">
        <f aca="false">Y334+V335</f>
        <v>14416.4</v>
      </c>
      <c r="AA335" s="10" t="n">
        <v>16.468544413345</v>
      </c>
    </row>
    <row r="336" s="10" customFormat="true" ht="15" hidden="false" customHeight="false" outlineLevel="0" collapsed="false">
      <c r="A336" s="90"/>
      <c r="B336" s="16"/>
      <c r="C336" s="9" t="n">
        <v>42183</v>
      </c>
      <c r="D336" s="10" t="n">
        <v>19.9</v>
      </c>
      <c r="E336" s="10" t="n">
        <v>13.8</v>
      </c>
      <c r="F336" s="10" t="n">
        <v>24.7</v>
      </c>
      <c r="G336" s="10" t="n">
        <v>2816.9</v>
      </c>
      <c r="H336" s="10" t="n">
        <f aca="false">H335+D336</f>
        <v>169.8</v>
      </c>
      <c r="I336" s="10" t="n">
        <v>7</v>
      </c>
      <c r="J336" s="10" t="n">
        <v>0</v>
      </c>
      <c r="K336" s="10" t="n">
        <v>546.1</v>
      </c>
      <c r="L336" s="10" t="n">
        <v>3.4</v>
      </c>
      <c r="M336" s="10" t="n">
        <v>506.3</v>
      </c>
      <c r="N336" s="11" t="n">
        <v>-3.4</v>
      </c>
      <c r="O336" s="10" t="n">
        <v>0</v>
      </c>
      <c r="P336" s="10" t="n">
        <v>292</v>
      </c>
      <c r="Q336" s="19" t="n">
        <f aca="false">1.15+((P336-263)/54)*(0.35-1.15)</f>
        <v>0.72037037037037</v>
      </c>
      <c r="R336" s="13" t="n">
        <f aca="false">Q336*L336</f>
        <v>2.44925925925926</v>
      </c>
      <c r="S336" s="13" t="n">
        <f aca="false">J336-R336</f>
        <v>-2.44925925925926</v>
      </c>
      <c r="T336" s="13" t="n">
        <f aca="false">MIN(153.6,(T335+S336))</f>
        <v>4.67907407407408</v>
      </c>
      <c r="U336" s="13" t="n">
        <f aca="false">MAX(T327:T347)</f>
        <v>21.5224074074074</v>
      </c>
      <c r="V336" s="10" t="n">
        <v>1737.4</v>
      </c>
      <c r="W336" s="10" t="n">
        <v>87.3065326633166</v>
      </c>
      <c r="X336" s="10" t="n">
        <v>251909.9</v>
      </c>
      <c r="Y336" s="10" t="n">
        <f aca="false">Y335+V336</f>
        <v>16153.8</v>
      </c>
      <c r="AA336" s="10" t="n">
        <v>16.4597385008355</v>
      </c>
    </row>
    <row r="337" s="10" customFormat="true" ht="15" hidden="false" customHeight="false" outlineLevel="0" collapsed="false">
      <c r="A337" s="90"/>
      <c r="B337" s="16"/>
      <c r="C337" s="9" t="n">
        <v>42184</v>
      </c>
      <c r="D337" s="10" t="n">
        <v>20.2</v>
      </c>
      <c r="E337" s="10" t="n">
        <v>16.5</v>
      </c>
      <c r="F337" s="10" t="n">
        <v>24</v>
      </c>
      <c r="G337" s="10" t="n">
        <v>2837.1</v>
      </c>
      <c r="H337" s="10" t="n">
        <f aca="false">H336+D337</f>
        <v>190</v>
      </c>
      <c r="I337" s="74" t="s">
        <v>40</v>
      </c>
      <c r="J337" s="10" t="n">
        <v>0</v>
      </c>
      <c r="K337" s="10" t="n">
        <v>546.1</v>
      </c>
      <c r="L337" s="10" t="n">
        <v>6.3</v>
      </c>
      <c r="M337" s="10" t="n">
        <v>512.6</v>
      </c>
      <c r="N337" s="11" t="n">
        <v>-6.3</v>
      </c>
      <c r="O337" s="10" t="n">
        <v>0</v>
      </c>
      <c r="P337" s="10" t="n">
        <v>293</v>
      </c>
      <c r="Q337" s="19" t="n">
        <f aca="false">1.15+((P337-263)/54)*(0.35-1.15)</f>
        <v>0.705555555555556</v>
      </c>
      <c r="R337" s="13" t="n">
        <f aca="false">Q337*L337</f>
        <v>4.445</v>
      </c>
      <c r="S337" s="13" t="n">
        <f aca="false">J337-R337</f>
        <v>-4.445</v>
      </c>
      <c r="T337" s="13" t="n">
        <f aca="false">MIN(153.6,(T336+S337))</f>
        <v>0.234074074074077</v>
      </c>
      <c r="U337" s="74" t="s">
        <v>41</v>
      </c>
      <c r="V337" s="10" t="n">
        <v>3129.2</v>
      </c>
      <c r="W337" s="10" t="n">
        <v>154.910891089109</v>
      </c>
      <c r="X337" s="10" t="n">
        <v>255039.1</v>
      </c>
      <c r="Y337" s="10" t="n">
        <f aca="false">Y336+V337</f>
        <v>19283</v>
      </c>
      <c r="AA337" s="10" t="n">
        <v>16.4493568276253</v>
      </c>
    </row>
    <row r="338" s="10" customFormat="true" ht="15" hidden="false" customHeight="false" outlineLevel="0" collapsed="false">
      <c r="A338" s="90"/>
      <c r="B338" s="16"/>
      <c r="C338" s="9" t="n">
        <v>42185</v>
      </c>
      <c r="D338" s="10" t="n">
        <v>23.1</v>
      </c>
      <c r="E338" s="10" t="n">
        <v>16</v>
      </c>
      <c r="F338" s="20" t="n">
        <v>28.9</v>
      </c>
      <c r="G338" s="10" t="n">
        <v>2860.2</v>
      </c>
      <c r="H338" s="10" t="n">
        <f aca="false">H337+D338</f>
        <v>213.1</v>
      </c>
      <c r="I338" s="10" t="n">
        <v>0</v>
      </c>
      <c r="J338" s="10" t="n">
        <v>0</v>
      </c>
      <c r="K338" s="10" t="n">
        <v>546.1</v>
      </c>
      <c r="L338" s="10" t="n">
        <v>7.2</v>
      </c>
      <c r="M338" s="10" t="n">
        <v>519.8</v>
      </c>
      <c r="N338" s="11" t="n">
        <v>-7.2</v>
      </c>
      <c r="O338" s="10" t="n">
        <v>0</v>
      </c>
      <c r="P338" s="10" t="n">
        <v>294</v>
      </c>
      <c r="Q338" s="19" t="n">
        <f aca="false">1.15+((P338-263)/54)*(0.35-1.15)</f>
        <v>0.690740740740741</v>
      </c>
      <c r="R338" s="13" t="n">
        <f aca="false">Q338*L338</f>
        <v>4.97333333333333</v>
      </c>
      <c r="S338" s="13" t="n">
        <f aca="false">J338-R338</f>
        <v>-4.97333333333333</v>
      </c>
      <c r="T338" s="13" t="n">
        <v>0</v>
      </c>
      <c r="U338" s="19" t="n">
        <f aca="false">AVERAGE(T327:T347)</f>
        <v>5.38679012345679</v>
      </c>
      <c r="V338" s="10" t="n">
        <v>3208.9</v>
      </c>
      <c r="W338" s="10" t="n">
        <v>138.91341991342</v>
      </c>
      <c r="X338" s="10" t="n">
        <v>258248</v>
      </c>
      <c r="Y338" s="10" t="n">
        <f aca="false">Y337+V338</f>
        <v>22491.9</v>
      </c>
      <c r="AA338" s="10" t="n">
        <v>16.4374114870458</v>
      </c>
    </row>
    <row r="339" s="10" customFormat="true" ht="15" hidden="false" customHeight="false" outlineLevel="0" collapsed="false">
      <c r="A339" s="90"/>
      <c r="B339" s="16"/>
      <c r="C339" s="9" t="n">
        <v>42186</v>
      </c>
      <c r="D339" s="10" t="n">
        <v>27.8</v>
      </c>
      <c r="E339" s="10" t="n">
        <v>21</v>
      </c>
      <c r="F339" s="20" t="n">
        <v>33.6</v>
      </c>
      <c r="G339" s="10" t="n">
        <v>2888</v>
      </c>
      <c r="H339" s="10" t="n">
        <f aca="false">H338+D339</f>
        <v>240.9</v>
      </c>
      <c r="I339" s="74" t="s">
        <v>42</v>
      </c>
      <c r="J339" s="10" t="n">
        <v>0</v>
      </c>
      <c r="K339" s="10" t="n">
        <v>546.1</v>
      </c>
      <c r="L339" s="10" t="n">
        <v>7.8</v>
      </c>
      <c r="M339" s="10" t="n">
        <v>527.6</v>
      </c>
      <c r="N339" s="11" t="n">
        <v>-7.8</v>
      </c>
      <c r="O339" s="10" t="n">
        <v>0</v>
      </c>
      <c r="P339" s="10" t="n">
        <v>295</v>
      </c>
      <c r="Q339" s="19" t="n">
        <f aca="false">1.15+((P339-263)/54)*(0.35-1.15)</f>
        <v>0.675925925925926</v>
      </c>
      <c r="R339" s="13" t="n">
        <f aca="false">Q339*L339</f>
        <v>5.27222222222222</v>
      </c>
      <c r="S339" s="13" t="n">
        <f aca="false">J339-R339</f>
        <v>-5.27222222222222</v>
      </c>
      <c r="T339" s="13" t="n">
        <v>0</v>
      </c>
      <c r="V339" s="10" t="n">
        <v>2829</v>
      </c>
      <c r="W339" s="10" t="n">
        <v>101.762589928058</v>
      </c>
      <c r="X339" s="10" t="n">
        <v>261077</v>
      </c>
      <c r="Y339" s="10" t="n">
        <f aca="false">Y338+V339</f>
        <v>25320.9</v>
      </c>
      <c r="AA339" s="10" t="n">
        <v>16.4239162002015</v>
      </c>
    </row>
    <row r="340" s="10" customFormat="true" ht="15" hidden="false" customHeight="false" outlineLevel="0" collapsed="false">
      <c r="A340" s="90"/>
      <c r="B340" s="16"/>
      <c r="C340" s="9" t="n">
        <v>42187</v>
      </c>
      <c r="D340" s="10" t="n">
        <v>22.7</v>
      </c>
      <c r="E340" s="10" t="n">
        <v>21.9</v>
      </c>
      <c r="F340" s="20" t="n">
        <v>25.6</v>
      </c>
      <c r="G340" s="10" t="n">
        <v>2910.7</v>
      </c>
      <c r="H340" s="10" t="n">
        <f aca="false">H339+D340</f>
        <v>263.6</v>
      </c>
      <c r="I340" s="10" t="n">
        <v>402.2</v>
      </c>
      <c r="J340" s="10" t="n">
        <v>2.7</v>
      </c>
      <c r="K340" s="10" t="n">
        <v>548.8</v>
      </c>
      <c r="L340" s="10" t="n">
        <v>5.2</v>
      </c>
      <c r="M340" s="10" t="n">
        <v>532.8</v>
      </c>
      <c r="N340" s="11" t="n">
        <v>-2.5</v>
      </c>
      <c r="O340" s="75" t="n">
        <v>0</v>
      </c>
      <c r="P340" s="10" t="n">
        <v>296</v>
      </c>
      <c r="Q340" s="19" t="n">
        <f aca="false">1.15+((P340-263)/54)*(0.35-1.15)</f>
        <v>0.661111111111111</v>
      </c>
      <c r="R340" s="13" t="n">
        <f aca="false">Q340*L340</f>
        <v>3.43777777777778</v>
      </c>
      <c r="S340" s="13" t="n">
        <f aca="false">J340-R340</f>
        <v>-0.737777777777777</v>
      </c>
      <c r="T340" s="13" t="n">
        <v>0</v>
      </c>
      <c r="U340" s="13" t="n">
        <f aca="false">(U338*100)/153.6</f>
        <v>3.50702481995885</v>
      </c>
      <c r="V340" s="10" t="n">
        <v>2435.9</v>
      </c>
      <c r="W340" s="10" t="n">
        <v>107.308370044053</v>
      </c>
      <c r="X340" s="10" t="n">
        <v>263512.9</v>
      </c>
      <c r="Y340" s="10" t="n">
        <f aca="false">Y339+V340</f>
        <v>27756.8</v>
      </c>
      <c r="AA340" s="10" t="n">
        <v>16.408886259585</v>
      </c>
    </row>
    <row r="341" s="50" customFormat="true" ht="15" hidden="false" customHeight="false" outlineLevel="0" collapsed="false">
      <c r="A341" s="90"/>
      <c r="B341" s="48"/>
      <c r="C341" s="49" t="n">
        <v>42188</v>
      </c>
      <c r="D341" s="50" t="n">
        <v>24.9</v>
      </c>
      <c r="E341" s="50" t="n">
        <v>18.2</v>
      </c>
      <c r="F341" s="72" t="n">
        <v>30.1</v>
      </c>
      <c r="G341" s="50" t="n">
        <v>2935.6</v>
      </c>
      <c r="H341" s="10" t="n">
        <f aca="false">H340+D341</f>
        <v>288.5</v>
      </c>
      <c r="J341" s="50" t="n">
        <v>0</v>
      </c>
      <c r="K341" s="50" t="n">
        <v>548.8</v>
      </c>
      <c r="L341" s="50" t="n">
        <v>6.3</v>
      </c>
      <c r="M341" s="50" t="n">
        <v>539.1</v>
      </c>
      <c r="N341" s="53" t="n">
        <v>-6.3</v>
      </c>
      <c r="O341" s="50" t="n">
        <v>0</v>
      </c>
      <c r="P341" s="50" t="n">
        <v>297</v>
      </c>
      <c r="Q341" s="19" t="n">
        <f aca="false">1.15+((P341-263)/54)*(0.35-1.15)</f>
        <v>0.646296296296296</v>
      </c>
      <c r="R341" s="54" t="n">
        <f aca="false">Q341*L341</f>
        <v>4.07166666666667</v>
      </c>
      <c r="S341" s="54" t="n">
        <f aca="false">J341-R341</f>
        <v>-4.07166666666667</v>
      </c>
      <c r="T341" s="13" t="n">
        <v>0</v>
      </c>
      <c r="V341" s="50" t="n">
        <v>2733.3</v>
      </c>
      <c r="W341" s="50" t="n">
        <v>109.771084337349</v>
      </c>
      <c r="X341" s="50" t="n">
        <v>266246.2</v>
      </c>
      <c r="Y341" s="10" t="n">
        <f aca="false">Y340+V341</f>
        <v>30490.1</v>
      </c>
      <c r="AA341" s="10" t="n">
        <v>16.3923384670814</v>
      </c>
    </row>
    <row r="342" s="10" customFormat="true" ht="15" hidden="false" customHeight="true" outlineLevel="0" collapsed="false">
      <c r="A342" s="90"/>
      <c r="B342" s="8"/>
      <c r="C342" s="9" t="n">
        <v>42189</v>
      </c>
      <c r="D342" s="10" t="n">
        <v>25.1</v>
      </c>
      <c r="E342" s="10" t="n">
        <v>24.6</v>
      </c>
      <c r="F342" s="20" t="n">
        <v>28.6</v>
      </c>
      <c r="G342" s="10" t="n">
        <v>2960.7</v>
      </c>
      <c r="H342" s="10" t="n">
        <f aca="false">H341+D342</f>
        <v>313.6</v>
      </c>
      <c r="J342" s="10" t="n">
        <v>0</v>
      </c>
      <c r="K342" s="10" t="n">
        <v>548.8</v>
      </c>
      <c r="L342" s="10" t="n">
        <v>5.6</v>
      </c>
      <c r="M342" s="10" t="n">
        <v>544.7</v>
      </c>
      <c r="N342" s="11" t="n">
        <v>-5.6</v>
      </c>
      <c r="O342" s="10" t="n">
        <v>0</v>
      </c>
      <c r="P342" s="10" t="n">
        <v>298</v>
      </c>
      <c r="Q342" s="19" t="n">
        <f aca="false">1.15+((P342-263)/54)*(0.35-1.15)</f>
        <v>0.631481481481481</v>
      </c>
      <c r="R342" s="13" t="n">
        <f aca="false">Q342*L342</f>
        <v>3.5362962962963</v>
      </c>
      <c r="S342" s="13" t="n">
        <f aca="false">J342-R342</f>
        <v>-3.5362962962963</v>
      </c>
      <c r="T342" s="13" t="n">
        <v>0</v>
      </c>
      <c r="V342" s="10" t="n">
        <v>2078.8</v>
      </c>
      <c r="W342" s="10" t="n">
        <v>82.8207171314741</v>
      </c>
      <c r="X342" s="10" t="n">
        <v>268325</v>
      </c>
      <c r="Y342" s="10" t="n">
        <f aca="false">Y341+V342</f>
        <v>32568.9</v>
      </c>
      <c r="AA342" s="10" t="n">
        <v>16.3742910668807</v>
      </c>
    </row>
    <row r="343" s="10" customFormat="true" ht="15" hidden="false" customHeight="false" outlineLevel="0" collapsed="false">
      <c r="A343" s="90"/>
      <c r="B343" s="8"/>
      <c r="C343" s="9" t="n">
        <v>42190</v>
      </c>
      <c r="D343" s="10" t="n">
        <v>18.5</v>
      </c>
      <c r="E343" s="10" t="n">
        <v>18.6</v>
      </c>
      <c r="F343" s="10" t="n">
        <v>19.9</v>
      </c>
      <c r="G343" s="10" t="n">
        <v>2979.2</v>
      </c>
      <c r="H343" s="10" t="n">
        <f aca="false">H342+D343</f>
        <v>332.1</v>
      </c>
      <c r="J343" s="10" t="n">
        <v>3.8</v>
      </c>
      <c r="K343" s="10" t="n">
        <v>552.6</v>
      </c>
      <c r="L343" s="10" t="n">
        <v>2.5</v>
      </c>
      <c r="M343" s="10" t="n">
        <v>547.2</v>
      </c>
      <c r="N343" s="10" t="n">
        <v>1.3</v>
      </c>
      <c r="O343" s="10" t="n">
        <f aca="false">O342+N343</f>
        <v>1.3</v>
      </c>
      <c r="P343" s="10" t="n">
        <v>299</v>
      </c>
      <c r="Q343" s="19" t="n">
        <f aca="false">1.15+((P343-263)/54)*(0.35-1.15)</f>
        <v>0.616666666666667</v>
      </c>
      <c r="R343" s="13" t="n">
        <f aca="false">Q343*L343</f>
        <v>1.54166666666667</v>
      </c>
      <c r="S343" s="13" t="n">
        <f aca="false">J343-R343</f>
        <v>2.25833333333333</v>
      </c>
      <c r="T343" s="13" t="n">
        <f aca="false">MIN(153.6,(T342+S343))</f>
        <v>2.25833333333333</v>
      </c>
      <c r="V343" s="18" t="n">
        <v>873.7</v>
      </c>
      <c r="W343" s="10" t="n">
        <v>47.227027027027</v>
      </c>
      <c r="X343" s="10" t="n">
        <v>269198.7</v>
      </c>
      <c r="Y343" s="10" t="n">
        <f aca="false">Y342+V343</f>
        <v>33442.6</v>
      </c>
      <c r="AA343" s="10" t="n">
        <v>16.3547636738504</v>
      </c>
    </row>
    <row r="344" s="10" customFormat="true" ht="15" hidden="false" customHeight="false" outlineLevel="0" collapsed="false">
      <c r="A344" s="90"/>
      <c r="B344" s="8"/>
      <c r="C344" s="9" t="n">
        <v>42191</v>
      </c>
      <c r="D344" s="10" t="n">
        <v>20.1</v>
      </c>
      <c r="E344" s="10" t="n">
        <v>13.9</v>
      </c>
      <c r="F344" s="20" t="n">
        <v>26</v>
      </c>
      <c r="G344" s="10" t="n">
        <v>2999.3</v>
      </c>
      <c r="H344" s="10" t="n">
        <f aca="false">H343+D344</f>
        <v>352.2</v>
      </c>
      <c r="J344" s="10" t="n">
        <v>0</v>
      </c>
      <c r="K344" s="10" t="n">
        <v>552.6</v>
      </c>
      <c r="L344" s="10" t="n">
        <v>4.3</v>
      </c>
      <c r="M344" s="10" t="n">
        <v>551.5</v>
      </c>
      <c r="N344" s="11" t="n">
        <v>-4.3</v>
      </c>
      <c r="O344" s="10" t="n">
        <v>0</v>
      </c>
      <c r="P344" s="10" t="n">
        <v>300</v>
      </c>
      <c r="Q344" s="19" t="n">
        <f aca="false">1.15+((P344-263)/54)*(0.35-1.15)</f>
        <v>0.601851851851852</v>
      </c>
      <c r="R344" s="13" t="n">
        <f aca="false">Q344*L344</f>
        <v>2.58796296296296</v>
      </c>
      <c r="S344" s="13" t="n">
        <f aca="false">J344-R344</f>
        <v>-2.58796296296296</v>
      </c>
      <c r="T344" s="13" t="n">
        <v>0</v>
      </c>
      <c r="V344" s="10" t="n">
        <v>1789.3</v>
      </c>
      <c r="W344" s="10" t="n">
        <v>89.0199004975124</v>
      </c>
      <c r="X344" s="10" t="n">
        <v>270988</v>
      </c>
      <c r="Y344" s="10" t="n">
        <f aca="false">Y343+V344</f>
        <v>35231.9</v>
      </c>
      <c r="AA344" s="10" t="n">
        <v>16.33377719794</v>
      </c>
    </row>
    <row r="345" s="10" customFormat="true" ht="15" hidden="false" customHeight="false" outlineLevel="0" collapsed="false">
      <c r="A345" s="90"/>
      <c r="B345" s="8"/>
      <c r="C345" s="9" t="n">
        <v>42192</v>
      </c>
      <c r="D345" s="10" t="n">
        <v>18.7</v>
      </c>
      <c r="E345" s="10" t="n">
        <v>17.1</v>
      </c>
      <c r="F345" s="10" t="n">
        <v>23</v>
      </c>
      <c r="G345" s="10" t="n">
        <v>3018</v>
      </c>
      <c r="H345" s="10" t="n">
        <f aca="false">H344+D345</f>
        <v>370.9</v>
      </c>
      <c r="J345" s="10" t="n">
        <v>0</v>
      </c>
      <c r="K345" s="10" t="n">
        <v>552.6</v>
      </c>
      <c r="L345" s="10" t="n">
        <v>4</v>
      </c>
      <c r="M345" s="10" t="n">
        <v>555.5</v>
      </c>
      <c r="N345" s="11" t="n">
        <v>-4</v>
      </c>
      <c r="O345" s="10" t="n">
        <v>0</v>
      </c>
      <c r="P345" s="10" t="n">
        <v>301</v>
      </c>
      <c r="Q345" s="19" t="n">
        <f aca="false">1.15+((P345-263)/54)*(0.35-1.15)</f>
        <v>0.587037037037037</v>
      </c>
      <c r="R345" s="13" t="n">
        <f aca="false">Q345*L345</f>
        <v>2.34814814814815</v>
      </c>
      <c r="S345" s="13" t="n">
        <f aca="false">J345-R345</f>
        <v>-2.34814814814815</v>
      </c>
      <c r="T345" s="13" t="n">
        <v>0</v>
      </c>
      <c r="V345" s="10" t="n">
        <v>1732.5</v>
      </c>
      <c r="W345" s="10" t="n">
        <v>92.6470588235294</v>
      </c>
      <c r="X345" s="10" t="n">
        <v>272720.5</v>
      </c>
      <c r="Y345" s="10" t="n">
        <f aca="false">Y344+V345</f>
        <v>36964.4</v>
      </c>
      <c r="AA345" s="10" t="n">
        <v>16.3113537652065</v>
      </c>
    </row>
    <row r="346" s="50" customFormat="true" ht="15" hidden="false" customHeight="false" outlineLevel="0" collapsed="false">
      <c r="A346" s="90"/>
      <c r="B346" s="91" t="n">
        <v>1000</v>
      </c>
      <c r="C346" s="49" t="n">
        <v>42193</v>
      </c>
      <c r="D346" s="50" t="n">
        <v>15.4</v>
      </c>
      <c r="E346" s="50" t="n">
        <v>13.8</v>
      </c>
      <c r="F346" s="50" t="n">
        <v>17.6</v>
      </c>
      <c r="G346" s="50" t="n">
        <v>3033.4</v>
      </c>
      <c r="H346" s="10" t="n">
        <f aca="false">H345+D346</f>
        <v>386.3</v>
      </c>
      <c r="J346" s="50" t="n">
        <v>3.8</v>
      </c>
      <c r="K346" s="50" t="n">
        <v>556.4</v>
      </c>
      <c r="L346" s="50" t="n">
        <v>2.5</v>
      </c>
      <c r="M346" s="50" t="n">
        <v>558</v>
      </c>
      <c r="N346" s="50" t="n">
        <v>1.3</v>
      </c>
      <c r="O346" s="50" t="n">
        <f aca="false">O345+N346</f>
        <v>1.3</v>
      </c>
      <c r="P346" s="50" t="n">
        <v>302</v>
      </c>
      <c r="Q346" s="19" t="n">
        <f aca="false">1.15+((P346-263)/54)*(0.35-1.15)</f>
        <v>0.572222222222222</v>
      </c>
      <c r="R346" s="54" t="n">
        <f aca="false">Q346*L346</f>
        <v>1.43055555555556</v>
      </c>
      <c r="S346" s="54" t="n">
        <f aca="false">J346-R346</f>
        <v>2.36944444444444</v>
      </c>
      <c r="T346" s="13" t="n">
        <f aca="false">MIN(153.6,(T345+S346))</f>
        <v>2.36944444444444</v>
      </c>
      <c r="V346" s="50" t="n">
        <v>1422.7</v>
      </c>
      <c r="W346" s="50" t="n">
        <v>92.3831168831169</v>
      </c>
      <c r="X346" s="50" t="n">
        <v>274143.2</v>
      </c>
      <c r="Y346" s="10" t="n">
        <f aca="false">Y345+V346</f>
        <v>38387.1</v>
      </c>
      <c r="AA346" s="50" t="n">
        <v>16.2875166360552</v>
      </c>
    </row>
    <row r="347" s="29" customFormat="true" ht="15" hidden="false" customHeight="false" outlineLevel="0" collapsed="false">
      <c r="A347" s="90"/>
      <c r="B347" s="92"/>
      <c r="C347" s="79" t="n">
        <v>42194</v>
      </c>
      <c r="D347" s="29" t="n">
        <v>15.9</v>
      </c>
      <c r="E347" s="29" t="n">
        <v>12.6</v>
      </c>
      <c r="F347" s="29" t="n">
        <v>18.7</v>
      </c>
      <c r="G347" s="29" t="n">
        <v>3049.3</v>
      </c>
      <c r="H347" s="29" t="n">
        <f aca="false">H346+D347</f>
        <v>402.2</v>
      </c>
      <c r="J347" s="29" t="n">
        <v>0</v>
      </c>
      <c r="K347" s="29" t="n">
        <v>556.4</v>
      </c>
      <c r="L347" s="29" t="n">
        <v>4</v>
      </c>
      <c r="M347" s="29" t="n">
        <v>562</v>
      </c>
      <c r="N347" s="81" t="n">
        <v>-4</v>
      </c>
      <c r="O347" s="29" t="n">
        <v>0</v>
      </c>
      <c r="P347" s="29" t="n">
        <v>303</v>
      </c>
      <c r="Q347" s="60" t="n">
        <f aca="false">1.15+((P347-263)/54)*(0.35-1.15)</f>
        <v>0.557407407407407</v>
      </c>
      <c r="R347" s="31" t="n">
        <f aca="false">Q347*L347</f>
        <v>2.22962962962963</v>
      </c>
      <c r="S347" s="31" t="n">
        <f aca="false">J347-R347</f>
        <v>-2.22962962962963</v>
      </c>
      <c r="T347" s="31" t="n">
        <f aca="false">MIN(153.6,(T346+S347))</f>
        <v>0.139814814814815</v>
      </c>
      <c r="V347" s="29" t="n">
        <v>2234.2</v>
      </c>
      <c r="W347" s="29" t="n">
        <v>140.51572327044</v>
      </c>
      <c r="X347" s="29" t="n">
        <v>276377.4</v>
      </c>
      <c r="Y347" s="29" t="n">
        <f aca="false">Y346+V347</f>
        <v>40621.3</v>
      </c>
      <c r="AA347" s="29" t="n">
        <v>16.2622901212915</v>
      </c>
    </row>
    <row r="348" s="10" customFormat="true" ht="15" hidden="false" customHeight="false" outlineLevel="0" collapsed="false">
      <c r="A348" s="7"/>
      <c r="B348" s="8"/>
      <c r="C348" s="9" t="n">
        <v>42195</v>
      </c>
      <c r="D348" s="10" t="n">
        <v>19.5</v>
      </c>
      <c r="E348" s="10" t="n">
        <v>11.1</v>
      </c>
      <c r="F348" s="20" t="n">
        <v>25.3</v>
      </c>
      <c r="G348" s="10" t="n">
        <v>3068.8</v>
      </c>
      <c r="H348" s="10" t="n">
        <f aca="false">H347+D348</f>
        <v>421.7</v>
      </c>
      <c r="J348" s="10" t="n">
        <v>0</v>
      </c>
      <c r="K348" s="10" t="n">
        <v>556.4</v>
      </c>
      <c r="L348" s="10" t="n">
        <v>5.9</v>
      </c>
      <c r="M348" s="10" t="n">
        <v>567.9</v>
      </c>
      <c r="N348" s="11" t="n">
        <v>-5.9</v>
      </c>
      <c r="O348" s="10" t="n">
        <v>0</v>
      </c>
      <c r="P348" s="10" t="n">
        <v>304</v>
      </c>
      <c r="Q348" s="19" t="n">
        <f aca="false">1.15+((P348-263)/54)*(0.35-1.15)</f>
        <v>0.542592592592593</v>
      </c>
      <c r="R348" s="13" t="n">
        <f aca="false">Q348*L348</f>
        <v>3.2012962962963</v>
      </c>
      <c r="S348" s="13" t="n">
        <f aca="false">J348-R348</f>
        <v>-3.2012962962963</v>
      </c>
      <c r="T348" s="13" t="n">
        <f aca="false">MIN(153.6,(T347+S348))</f>
        <v>-3.06148148148148</v>
      </c>
      <c r="V348" s="10" t="n">
        <v>2778.4</v>
      </c>
      <c r="W348" s="10" t="n">
        <v>142.482051282051</v>
      </c>
      <c r="X348" s="10" t="n">
        <v>279155.8</v>
      </c>
      <c r="Y348" s="10" t="n">
        <f aca="false">Y347+V348</f>
        <v>43399.7</v>
      </c>
      <c r="AA348" s="10" t="n">
        <v>16.2356994965715</v>
      </c>
    </row>
    <row r="349" s="10" customFormat="true" ht="15" hidden="false" customHeight="false" outlineLevel="0" collapsed="false">
      <c r="A349" s="7"/>
      <c r="B349" s="8"/>
      <c r="C349" s="9" t="n">
        <v>42196</v>
      </c>
      <c r="D349" s="10" t="n">
        <v>20.5</v>
      </c>
      <c r="E349" s="10" t="n">
        <v>17.8</v>
      </c>
      <c r="F349" s="20" t="n">
        <v>27</v>
      </c>
      <c r="G349" s="10" t="n">
        <v>3089.3</v>
      </c>
      <c r="H349" s="10" t="n">
        <f aca="false">H348+D349</f>
        <v>442.2</v>
      </c>
      <c r="J349" s="10" t="n">
        <v>0</v>
      </c>
      <c r="K349" s="10" t="n">
        <v>556.4</v>
      </c>
      <c r="L349" s="10" t="n">
        <v>7.6</v>
      </c>
      <c r="M349" s="10" t="n">
        <v>575.5</v>
      </c>
      <c r="N349" s="11" t="n">
        <v>-7.6</v>
      </c>
      <c r="O349" s="10" t="n">
        <v>0</v>
      </c>
      <c r="P349" s="10" t="n">
        <v>305</v>
      </c>
      <c r="Q349" s="19" t="n">
        <f aca="false">1.15+((P349-263)/54)*(0.35-1.15)</f>
        <v>0.527777777777778</v>
      </c>
      <c r="R349" s="13" t="n">
        <f aca="false">Q349*L349</f>
        <v>4.01111111111111</v>
      </c>
      <c r="S349" s="13" t="n">
        <f aca="false">J349-R349</f>
        <v>-4.01111111111111</v>
      </c>
      <c r="T349" s="13" t="n">
        <f aca="false">MIN(153.6,(T348+S349))</f>
        <v>-7.07259259259259</v>
      </c>
      <c r="V349" s="10" t="n">
        <v>3143</v>
      </c>
      <c r="W349" s="10" t="n">
        <v>153.317073170732</v>
      </c>
      <c r="X349" s="10" t="n">
        <v>282298.8</v>
      </c>
      <c r="Y349" s="10" t="n">
        <f aca="false">Y348+V349</f>
        <v>46542.7</v>
      </c>
      <c r="AA349" s="10" t="n">
        <v>16.2077709158279</v>
      </c>
    </row>
    <row r="350" s="10" customFormat="true" ht="15" hidden="false" customHeight="false" outlineLevel="0" collapsed="false">
      <c r="A350" s="7"/>
      <c r="B350" s="8"/>
      <c r="C350" s="9" t="n">
        <v>42197</v>
      </c>
      <c r="D350" s="10" t="n">
        <v>17.2</v>
      </c>
      <c r="E350" s="10" t="n">
        <v>14.1</v>
      </c>
      <c r="F350" s="10" t="n">
        <v>20.4</v>
      </c>
      <c r="G350" s="10" t="n">
        <v>3106.5</v>
      </c>
      <c r="H350" s="10" t="n">
        <f aca="false">H349+D350</f>
        <v>459.4</v>
      </c>
      <c r="J350" s="10" t="n">
        <v>1.1</v>
      </c>
      <c r="K350" s="10" t="n">
        <v>557.5</v>
      </c>
      <c r="L350" s="10" t="n">
        <v>2.6</v>
      </c>
      <c r="M350" s="10" t="n">
        <v>578.1</v>
      </c>
      <c r="N350" s="11" t="n">
        <v>-1.5</v>
      </c>
      <c r="O350" s="10" t="n">
        <v>0</v>
      </c>
      <c r="P350" s="10" t="n">
        <v>306</v>
      </c>
      <c r="Q350" s="19" t="n">
        <f aca="false">1.15+((P350-263)/54)*(0.35-1.15)</f>
        <v>0.512962962962963</v>
      </c>
      <c r="R350" s="13" t="n">
        <f aca="false">Q350*L350</f>
        <v>1.3337037037037</v>
      </c>
      <c r="S350" s="13" t="n">
        <f aca="false">J350-R350</f>
        <v>-0.233703703703704</v>
      </c>
      <c r="T350" s="13" t="n">
        <f aca="false">MIN(153.6,(T349+S350))</f>
        <v>-7.3062962962963</v>
      </c>
      <c r="V350" s="10" t="n">
        <v>1094.6</v>
      </c>
      <c r="W350" s="10" t="n">
        <v>63.6395348837209</v>
      </c>
      <c r="X350" s="10" t="n">
        <v>283393.4</v>
      </c>
      <c r="Y350" s="10" t="n">
        <f aca="false">Y349+V350</f>
        <v>47637.3</v>
      </c>
      <c r="AA350" s="10" t="n">
        <v>16.178531324226</v>
      </c>
    </row>
    <row r="351" s="10" customFormat="true" ht="15" hidden="false" customHeight="false" outlineLevel="0" collapsed="false">
      <c r="A351" s="7"/>
      <c r="B351" s="8"/>
      <c r="C351" s="9" t="n">
        <v>42198</v>
      </c>
      <c r="D351" s="10" t="n">
        <v>17.6</v>
      </c>
      <c r="E351" s="10" t="n">
        <v>16.2</v>
      </c>
      <c r="F351" s="10" t="n">
        <v>18.7</v>
      </c>
      <c r="G351" s="10" t="n">
        <v>3124.1</v>
      </c>
      <c r="H351" s="10" t="n">
        <f aca="false">H350+D351</f>
        <v>477</v>
      </c>
      <c r="J351" s="10" t="n">
        <v>1.6</v>
      </c>
      <c r="K351" s="10" t="n">
        <v>559.1</v>
      </c>
      <c r="L351" s="10" t="n">
        <v>1.6</v>
      </c>
      <c r="M351" s="10" t="n">
        <v>579.7</v>
      </c>
      <c r="N351" s="10" t="n">
        <v>0</v>
      </c>
      <c r="O351" s="10" t="n">
        <f aca="false">O350+N351</f>
        <v>0</v>
      </c>
      <c r="P351" s="10" t="n">
        <v>307</v>
      </c>
      <c r="Q351" s="19" t="n">
        <f aca="false">1.15+((P351-263)/54)*(0.35-1.15)</f>
        <v>0.498148148148148</v>
      </c>
      <c r="R351" s="13" t="n">
        <f aca="false">Q351*L351</f>
        <v>0.797037037037037</v>
      </c>
      <c r="S351" s="13" t="n">
        <f aca="false">J351-R351</f>
        <v>0.802962962962963</v>
      </c>
      <c r="T351" s="13" t="n">
        <f aca="false">MIN(153.6,(T350+S351))</f>
        <v>-6.50333333333333</v>
      </c>
      <c r="V351" s="18" t="n">
        <v>635.8</v>
      </c>
      <c r="W351" s="10" t="n">
        <v>36.125</v>
      </c>
      <c r="X351" s="10" t="n">
        <v>284029.2</v>
      </c>
      <c r="Y351" s="10" t="n">
        <f aca="false">Y350+V351</f>
        <v>48273.1</v>
      </c>
      <c r="AA351" s="10" t="n">
        <v>16.148008371183</v>
      </c>
    </row>
    <row r="352" s="10" customFormat="true" ht="15" hidden="false" customHeight="false" outlineLevel="0" collapsed="false">
      <c r="A352" s="7"/>
      <c r="B352" s="8"/>
      <c r="C352" s="9" t="n">
        <v>42199</v>
      </c>
      <c r="D352" s="10" t="n">
        <v>18.4</v>
      </c>
      <c r="E352" s="10" t="n">
        <v>17</v>
      </c>
      <c r="F352" s="10" t="n">
        <v>20.3</v>
      </c>
      <c r="G352" s="10" t="n">
        <v>3142.5</v>
      </c>
      <c r="H352" s="10" t="n">
        <f aca="false">H351+D352</f>
        <v>495.4</v>
      </c>
      <c r="J352" s="10" t="n">
        <v>0.3</v>
      </c>
      <c r="K352" s="10" t="n">
        <v>559.4</v>
      </c>
      <c r="L352" s="10" t="n">
        <v>2.3</v>
      </c>
      <c r="M352" s="10" t="n">
        <v>582</v>
      </c>
      <c r="N352" s="11" t="n">
        <v>-2</v>
      </c>
      <c r="O352" s="10" t="n">
        <v>0</v>
      </c>
      <c r="P352" s="10" t="n">
        <v>308</v>
      </c>
      <c r="Q352" s="19" t="n">
        <f aca="false">1.15+((P352-263)/54)*(0.35-1.15)</f>
        <v>0.483333333333333</v>
      </c>
      <c r="R352" s="13" t="n">
        <f aca="false">Q352*L352</f>
        <v>1.11166666666667</v>
      </c>
      <c r="S352" s="13" t="n">
        <f aca="false">J352-R352</f>
        <v>-0.811666666666666</v>
      </c>
      <c r="T352" s="13" t="n">
        <f aca="false">MIN(153.6,(T351+S352))</f>
        <v>-7.315</v>
      </c>
      <c r="V352" s="18" t="n">
        <v>796.8</v>
      </c>
      <c r="W352" s="10" t="n">
        <v>43.304347826087</v>
      </c>
      <c r="X352" s="10" t="n">
        <v>284826</v>
      </c>
      <c r="Y352" s="10" t="n">
        <f aca="false">Y351+V352</f>
        <v>49069.9</v>
      </c>
      <c r="AA352" s="10" t="n">
        <v>16.1162303239535</v>
      </c>
    </row>
    <row r="353" s="10" customFormat="true" ht="15" hidden="false" customHeight="false" outlineLevel="0" collapsed="false">
      <c r="A353" s="7"/>
      <c r="B353" s="8"/>
      <c r="C353" s="9" t="n">
        <v>42200</v>
      </c>
      <c r="D353" s="10" t="n">
        <v>19</v>
      </c>
      <c r="E353" s="10" t="n">
        <v>16.3</v>
      </c>
      <c r="F353" s="10" t="n">
        <v>21.7</v>
      </c>
      <c r="G353" s="10" t="n">
        <v>3161.5</v>
      </c>
      <c r="H353" s="10" t="n">
        <f aca="false">H352+D353</f>
        <v>514.4</v>
      </c>
      <c r="J353" s="10" t="n">
        <v>1.3</v>
      </c>
      <c r="K353" s="10" t="n">
        <v>560.7</v>
      </c>
      <c r="L353" s="10" t="n">
        <v>1.4</v>
      </c>
      <c r="M353" s="10" t="n">
        <v>583.4</v>
      </c>
      <c r="N353" s="11" t="n">
        <v>-0.0999999999999999</v>
      </c>
      <c r="O353" s="10" t="n">
        <v>0</v>
      </c>
      <c r="P353" s="10" t="n">
        <v>309</v>
      </c>
      <c r="Q353" s="19" t="n">
        <f aca="false">1.15+((P353-263)/54)*(0.35-1.15)</f>
        <v>0.468518518518518</v>
      </c>
      <c r="R353" s="13" t="n">
        <f aca="false">Q353*L353</f>
        <v>0.655925925925926</v>
      </c>
      <c r="S353" s="13" t="n">
        <f aca="false">J353-R353</f>
        <v>0.644074074074074</v>
      </c>
      <c r="T353" s="13" t="n">
        <f aca="false">MIN(153.6,(T352+S353))</f>
        <v>-6.67092592592593</v>
      </c>
      <c r="V353" s="18" t="n">
        <v>668.4</v>
      </c>
      <c r="W353" s="10" t="n">
        <v>35.1789473684211</v>
      </c>
      <c r="X353" s="10" t="n">
        <v>285494.4</v>
      </c>
      <c r="Y353" s="10" t="n">
        <f aca="false">Y352+V353</f>
        <v>49738.3</v>
      </c>
      <c r="AA353" s="10" t="n">
        <v>16.0832259822543</v>
      </c>
    </row>
    <row r="354" s="10" customFormat="true" ht="15" hidden="false" customHeight="false" outlineLevel="0" collapsed="false">
      <c r="A354" s="7"/>
      <c r="B354" s="8"/>
      <c r="C354" s="9" t="n">
        <v>42201</v>
      </c>
      <c r="D354" s="10" t="n">
        <v>22.6</v>
      </c>
      <c r="E354" s="10" t="n">
        <v>17.6</v>
      </c>
      <c r="F354" s="20" t="n">
        <v>25.9</v>
      </c>
      <c r="G354" s="10" t="n">
        <v>3184.1</v>
      </c>
      <c r="H354" s="10" t="n">
        <f aca="false">H353+D354</f>
        <v>537</v>
      </c>
      <c r="J354" s="10" t="n">
        <v>0.7</v>
      </c>
      <c r="K354" s="10" t="n">
        <v>561.4</v>
      </c>
      <c r="L354" s="10" t="n">
        <v>3.6</v>
      </c>
      <c r="M354" s="10" t="n">
        <v>587</v>
      </c>
      <c r="N354" s="11" t="n">
        <v>-2.9</v>
      </c>
      <c r="O354" s="10" t="n">
        <v>0</v>
      </c>
      <c r="P354" s="10" t="n">
        <v>310</v>
      </c>
      <c r="Q354" s="19" t="n">
        <f aca="false">1.15+((P354-263)/54)*(0.35-1.15)</f>
        <v>0.453703703703704</v>
      </c>
      <c r="R354" s="13" t="n">
        <f aca="false">Q354*L354</f>
        <v>1.63333333333333</v>
      </c>
      <c r="S354" s="13" t="n">
        <f aca="false">J354-R354</f>
        <v>-0.933333333333334</v>
      </c>
      <c r="T354" s="13" t="n">
        <f aca="false">MIN(153.6,(T353+S354))</f>
        <v>-7.60425925925926</v>
      </c>
      <c r="V354" s="10" t="n">
        <v>1664.6</v>
      </c>
      <c r="W354" s="10" t="n">
        <v>73.6548672566372</v>
      </c>
      <c r="X354" s="10" t="n">
        <v>287159</v>
      </c>
      <c r="Y354" s="10" t="n">
        <f aca="false">Y353+V354</f>
        <v>51402.9</v>
      </c>
      <c r="AA354" s="10" t="n">
        <v>16.0490245943618</v>
      </c>
    </row>
    <row r="355" s="10" customFormat="true" ht="15" hidden="false" customHeight="false" outlineLevel="0" collapsed="false">
      <c r="A355" s="7"/>
      <c r="B355" s="8"/>
      <c r="C355" s="9" t="n">
        <v>42202</v>
      </c>
      <c r="D355" s="10" t="n">
        <v>21.7</v>
      </c>
      <c r="E355" s="10" t="n">
        <v>20.4</v>
      </c>
      <c r="F355" s="20" t="n">
        <v>26</v>
      </c>
      <c r="G355" s="10" t="n">
        <v>3205.8</v>
      </c>
      <c r="H355" s="10" t="n">
        <f aca="false">H354+D355</f>
        <v>558.7</v>
      </c>
      <c r="J355" s="10" t="n">
        <v>1.3</v>
      </c>
      <c r="K355" s="10" t="n">
        <v>562.7</v>
      </c>
      <c r="L355" s="10" t="n">
        <v>4.2</v>
      </c>
      <c r="M355" s="10" t="n">
        <v>591.2</v>
      </c>
      <c r="N355" s="11" t="n">
        <v>-2.9</v>
      </c>
      <c r="O355" s="10" t="n">
        <v>0</v>
      </c>
      <c r="P355" s="10" t="n">
        <v>311</v>
      </c>
      <c r="Q355" s="19" t="n">
        <f aca="false">1.15+((P355-263)/54)*(0.35-1.15)</f>
        <v>0.438888888888889</v>
      </c>
      <c r="R355" s="13" t="n">
        <f aca="false">Q355*L355</f>
        <v>1.84333333333333</v>
      </c>
      <c r="S355" s="13" t="n">
        <f aca="false">J355-R355</f>
        <v>-0.543333333333333</v>
      </c>
      <c r="T355" s="13" t="n">
        <f aca="false">MIN(153.6,(T354+S355))</f>
        <v>-8.14759259259259</v>
      </c>
      <c r="V355" s="10" t="n">
        <v>1326.7</v>
      </c>
      <c r="W355" s="10" t="n">
        <v>61.1382488479263</v>
      </c>
      <c r="X355" s="10" t="n">
        <v>288485.7</v>
      </c>
      <c r="Y355" s="10" t="n">
        <f aca="false">Y354+V355</f>
        <v>52729.6</v>
      </c>
      <c r="AA355" s="10" t="n">
        <v>16.0136557750835</v>
      </c>
    </row>
    <row r="356" s="10" customFormat="true" ht="15" hidden="false" customHeight="false" outlineLevel="0" collapsed="false">
      <c r="A356" s="7"/>
      <c r="B356" s="8"/>
      <c r="C356" s="9" t="n">
        <v>42203</v>
      </c>
      <c r="D356" s="10" t="n">
        <v>19.1</v>
      </c>
      <c r="E356" s="10" t="n">
        <v>15.1</v>
      </c>
      <c r="F356" s="10" t="n">
        <v>23</v>
      </c>
      <c r="G356" s="10" t="n">
        <v>3224.9</v>
      </c>
      <c r="H356" s="10" t="n">
        <f aca="false">H355+D356</f>
        <v>577.8</v>
      </c>
      <c r="J356" s="10" t="n">
        <v>6.1</v>
      </c>
      <c r="K356" s="10" t="n">
        <v>568.8</v>
      </c>
      <c r="L356" s="10" t="n">
        <v>4.4</v>
      </c>
      <c r="M356" s="10" t="n">
        <v>595.6</v>
      </c>
      <c r="N356" s="10" t="n">
        <v>1.7</v>
      </c>
      <c r="O356" s="10" t="n">
        <f aca="false">O355+N356</f>
        <v>1.7</v>
      </c>
      <c r="P356" s="10" t="n">
        <v>312</v>
      </c>
      <c r="Q356" s="19" t="n">
        <f aca="false">1.15+((P356-263)/54)*(0.35-1.15)</f>
        <v>0.424074074074074</v>
      </c>
      <c r="R356" s="13" t="n">
        <f aca="false">Q356*L356</f>
        <v>1.86592592592593</v>
      </c>
      <c r="S356" s="13" t="n">
        <f aca="false">J356-R356</f>
        <v>4.23407407407407</v>
      </c>
      <c r="T356" s="13" t="n">
        <f aca="false">MIN(153.6,(T355+S356))</f>
        <v>-3.91351851851852</v>
      </c>
      <c r="V356" s="10" t="n">
        <v>1871.8</v>
      </c>
      <c r="W356" s="10" t="n">
        <v>98</v>
      </c>
      <c r="X356" s="10" t="n">
        <v>290357.5</v>
      </c>
      <c r="Y356" s="10" t="n">
        <f aca="false">Y355+V356</f>
        <v>54601.4</v>
      </c>
      <c r="AA356" s="10" t="n">
        <v>15.9771494259616</v>
      </c>
    </row>
    <row r="357" s="10" customFormat="true" ht="15" hidden="false" customHeight="false" outlineLevel="0" collapsed="false">
      <c r="A357" s="7"/>
      <c r="B357" s="8"/>
      <c r="C357" s="9" t="n">
        <v>42204</v>
      </c>
      <c r="D357" s="10" t="n">
        <v>18.5</v>
      </c>
      <c r="E357" s="10" t="n">
        <v>15.6</v>
      </c>
      <c r="F357" s="10" t="n">
        <v>22.1</v>
      </c>
      <c r="G357" s="10" t="n">
        <v>3243.4</v>
      </c>
      <c r="H357" s="10" t="n">
        <f aca="false">H356+D357</f>
        <v>596.3</v>
      </c>
      <c r="J357" s="10" t="n">
        <v>1.2</v>
      </c>
      <c r="K357" s="10" t="n">
        <v>570</v>
      </c>
      <c r="L357" s="10" t="n">
        <v>1.8</v>
      </c>
      <c r="M357" s="10" t="n">
        <v>597.4</v>
      </c>
      <c r="N357" s="11" t="n">
        <v>-0.6</v>
      </c>
      <c r="O357" s="10" t="n">
        <f aca="false">O356+N357</f>
        <v>1.1</v>
      </c>
      <c r="P357" s="10" t="n">
        <v>313</v>
      </c>
      <c r="Q357" s="19" t="n">
        <f aca="false">1.15+((P357-263)/54)*(0.35-1.15)</f>
        <v>0.409259259259259</v>
      </c>
      <c r="R357" s="13" t="n">
        <f aca="false">Q357*L357</f>
        <v>0.736666666666667</v>
      </c>
      <c r="S357" s="13" t="n">
        <f aca="false">J357-R357</f>
        <v>0.463333333333333</v>
      </c>
      <c r="T357" s="13" t="n">
        <f aca="false">MIN(153.6,(T356+S357))</f>
        <v>-3.45018518518518</v>
      </c>
      <c r="V357" s="18" t="n">
        <v>658.6</v>
      </c>
      <c r="W357" s="10" t="n">
        <v>35.6</v>
      </c>
      <c r="X357" s="10" t="n">
        <v>291016.1</v>
      </c>
      <c r="Y357" s="10" t="n">
        <f aca="false">Y356+V357</f>
        <v>55260</v>
      </c>
      <c r="AA357" s="10" t="n">
        <v>15.9395356580286</v>
      </c>
    </row>
    <row r="358" s="10" customFormat="true" ht="15" hidden="false" customHeight="false" outlineLevel="0" collapsed="false">
      <c r="A358" s="7"/>
      <c r="B358" s="8"/>
      <c r="C358" s="9" t="n">
        <v>42205</v>
      </c>
      <c r="D358" s="10" t="n">
        <v>20.5</v>
      </c>
      <c r="E358" s="10" t="n">
        <v>16.3</v>
      </c>
      <c r="F358" s="10" t="n">
        <v>23.2</v>
      </c>
      <c r="G358" s="10" t="n">
        <v>3263.9</v>
      </c>
      <c r="H358" s="10" t="n">
        <f aca="false">H357+D358</f>
        <v>616.8</v>
      </c>
      <c r="J358" s="10" t="n">
        <v>2.6</v>
      </c>
      <c r="K358" s="10" t="n">
        <v>572.6</v>
      </c>
      <c r="L358" s="10" t="n">
        <v>1.7</v>
      </c>
      <c r="M358" s="10" t="n">
        <v>599.1</v>
      </c>
      <c r="N358" s="10" t="n">
        <v>0.9</v>
      </c>
      <c r="O358" s="10" t="n">
        <f aca="false">O357+N358</f>
        <v>2</v>
      </c>
      <c r="P358" s="10" t="n">
        <v>314</v>
      </c>
      <c r="Q358" s="19" t="n">
        <f aca="false">1.15+((P358-263)/54)*(0.35-1.15)</f>
        <v>0.394444444444445</v>
      </c>
      <c r="R358" s="13" t="n">
        <f aca="false">Q358*L358</f>
        <v>0.670555555555556</v>
      </c>
      <c r="S358" s="13" t="n">
        <f aca="false">J358-R358</f>
        <v>1.92944444444444</v>
      </c>
      <c r="T358" s="13" t="n">
        <f aca="false">MIN(153.6,(T357+S358))</f>
        <v>-1.52074074074074</v>
      </c>
      <c r="V358" s="18" t="n">
        <v>674.2</v>
      </c>
      <c r="W358" s="10" t="n">
        <v>32.8878048780488</v>
      </c>
      <c r="X358" s="10" t="n">
        <v>291690.3</v>
      </c>
      <c r="Y358" s="10" t="n">
        <f aca="false">Y357+V358</f>
        <v>55934.2</v>
      </c>
      <c r="AA358" s="10" t="n">
        <v>15.9008447173948</v>
      </c>
    </row>
    <row r="359" s="10" customFormat="true" ht="15" hidden="false" customHeight="false" outlineLevel="0" collapsed="false">
      <c r="A359" s="7"/>
      <c r="B359" s="8"/>
      <c r="C359" s="9" t="n">
        <v>42206</v>
      </c>
      <c r="D359" s="10" t="n">
        <v>20.8</v>
      </c>
      <c r="E359" s="10" t="n">
        <v>18.2</v>
      </c>
      <c r="F359" s="10" t="n">
        <v>23.8</v>
      </c>
      <c r="G359" s="10" t="n">
        <v>3284.7</v>
      </c>
      <c r="H359" s="10" t="n">
        <f aca="false">H358+D359</f>
        <v>637.6</v>
      </c>
      <c r="J359" s="10" t="n">
        <v>0</v>
      </c>
      <c r="K359" s="10" t="n">
        <v>572.6</v>
      </c>
      <c r="L359" s="10" t="n">
        <v>2.7</v>
      </c>
      <c r="M359" s="10" t="n">
        <v>601.8</v>
      </c>
      <c r="N359" s="11" t="n">
        <v>-2.7</v>
      </c>
      <c r="O359" s="10" t="n">
        <v>0</v>
      </c>
      <c r="P359" s="10" t="n">
        <v>315</v>
      </c>
      <c r="Q359" s="19" t="n">
        <f aca="false">1.15+((P359-263)/54)*(0.35-1.15)</f>
        <v>0.37962962962963</v>
      </c>
      <c r="R359" s="13" t="n">
        <f aca="false">Q359*L359</f>
        <v>1.025</v>
      </c>
      <c r="S359" s="13" t="n">
        <f aca="false">J359-R359</f>
        <v>-1.025</v>
      </c>
      <c r="T359" s="13" t="n">
        <f aca="false">MIN(153.6,(T358+S359))</f>
        <v>-2.54574074074074</v>
      </c>
      <c r="V359" s="10" t="n">
        <v>1290</v>
      </c>
      <c r="W359" s="10" t="n">
        <v>62.0192307692308</v>
      </c>
      <c r="X359" s="10" t="n">
        <v>292980.3</v>
      </c>
      <c r="Y359" s="10" t="n">
        <f aca="false">Y358+V359</f>
        <v>57224.2</v>
      </c>
      <c r="AA359" s="10" t="n">
        <v>15.8611069139063</v>
      </c>
    </row>
    <row r="360" s="10" customFormat="true" ht="15" hidden="false" customHeight="false" outlineLevel="0" collapsed="false">
      <c r="A360" s="7"/>
      <c r="B360" s="8"/>
      <c r="C360" s="9" t="n">
        <v>42207</v>
      </c>
      <c r="D360" s="10" t="n">
        <v>19.5</v>
      </c>
      <c r="E360" s="10" t="n">
        <v>17.3</v>
      </c>
      <c r="F360" s="10" t="n">
        <v>23.5</v>
      </c>
      <c r="G360" s="10" t="n">
        <v>3304.2</v>
      </c>
      <c r="H360" s="10" t="n">
        <f aca="false">H359+D360</f>
        <v>657.1</v>
      </c>
      <c r="J360" s="10" t="n">
        <v>0</v>
      </c>
      <c r="K360" s="10" t="n">
        <v>572.6</v>
      </c>
      <c r="L360" s="10" t="n">
        <v>4.3</v>
      </c>
      <c r="M360" s="10" t="n">
        <v>606.1</v>
      </c>
      <c r="N360" s="11" t="n">
        <v>-4.3</v>
      </c>
      <c r="O360" s="10" t="n">
        <v>0</v>
      </c>
      <c r="P360" s="10" t="n">
        <v>316</v>
      </c>
      <c r="Q360" s="19" t="n">
        <f aca="false">1.15+((P360-263)/54)*(0.35-1.15)</f>
        <v>0.364814814814815</v>
      </c>
      <c r="R360" s="13" t="n">
        <f aca="false">Q360*L360</f>
        <v>1.5687037037037</v>
      </c>
      <c r="S360" s="13" t="n">
        <f aca="false">J360-R360</f>
        <v>-1.5687037037037</v>
      </c>
      <c r="T360" s="13" t="n">
        <f aca="false">MIN(153.6,(T359+S360))</f>
        <v>-4.11444444444444</v>
      </c>
      <c r="V360" s="10" t="n">
        <v>1403.2</v>
      </c>
      <c r="W360" s="10" t="n">
        <v>71.9589743589744</v>
      </c>
      <c r="X360" s="10" t="n">
        <v>294383.5</v>
      </c>
      <c r="Y360" s="10" t="n">
        <f aca="false">Y359+V360</f>
        <v>58627.4</v>
      </c>
      <c r="AA360" s="10" t="n">
        <v>15.8203525530745</v>
      </c>
    </row>
    <row r="361" s="10" customFormat="true" ht="15" hidden="false" customHeight="false" outlineLevel="0" collapsed="false">
      <c r="A361" s="7"/>
      <c r="B361" s="8"/>
      <c r="C361" s="9" t="n">
        <v>42208</v>
      </c>
      <c r="D361" s="10" t="n">
        <v>18.2</v>
      </c>
      <c r="E361" s="10" t="n">
        <v>14.6</v>
      </c>
      <c r="F361" s="10" t="n">
        <v>21.4</v>
      </c>
      <c r="G361" s="10" t="n">
        <v>3322.4</v>
      </c>
      <c r="H361" s="10" t="n">
        <f aca="false">H360+D361</f>
        <v>675.3</v>
      </c>
      <c r="J361" s="10" t="n">
        <v>0</v>
      </c>
      <c r="K361" s="10" t="n">
        <v>572.6</v>
      </c>
      <c r="L361" s="10" t="n">
        <v>2.8</v>
      </c>
      <c r="M361" s="10" t="n">
        <v>608.9</v>
      </c>
      <c r="N361" s="11" t="n">
        <v>-2.8</v>
      </c>
      <c r="O361" s="10" t="n">
        <v>0</v>
      </c>
      <c r="P361" s="10" t="n">
        <v>317</v>
      </c>
      <c r="Q361" s="19" t="n">
        <f aca="false">1.15+((P361-263)/54)*(0.35-1.15)</f>
        <v>0.35</v>
      </c>
      <c r="R361" s="13" t="n">
        <f aca="false">Q361*L361</f>
        <v>0.98</v>
      </c>
      <c r="S361" s="13" t="n">
        <f aca="false">J361-R361</f>
        <v>-0.98</v>
      </c>
      <c r="T361" s="13" t="n">
        <f aca="false">MIN(153.6,(T360+S361))</f>
        <v>-5.09444444444444</v>
      </c>
      <c r="V361" s="10" t="n">
        <v>1180.1</v>
      </c>
      <c r="W361" s="10" t="n">
        <v>64.8406593406593</v>
      </c>
      <c r="X361" s="10" t="n">
        <v>295563.6</v>
      </c>
      <c r="Y361" s="10" t="n">
        <f aca="false">Y360+V361</f>
        <v>59807.5</v>
      </c>
      <c r="AA361" s="10" t="n">
        <v>15.7786118714384</v>
      </c>
    </row>
    <row r="362" s="10" customFormat="true" ht="15" hidden="false" customHeight="false" outlineLevel="0" collapsed="false">
      <c r="A362" s="77" t="s">
        <v>56</v>
      </c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</sheetData>
  <mergeCells count="13">
    <mergeCell ref="D1:I2"/>
    <mergeCell ref="J1:U2"/>
    <mergeCell ref="V1:Z2"/>
    <mergeCell ref="G4:H4"/>
    <mergeCell ref="X4:Y4"/>
    <mergeCell ref="A44:Z44"/>
    <mergeCell ref="A45:A125"/>
    <mergeCell ref="A126:A222"/>
    <mergeCell ref="A223:A263"/>
    <mergeCell ref="A285:A307"/>
    <mergeCell ref="A308:A326"/>
    <mergeCell ref="A327:A347"/>
    <mergeCell ref="A362:Z362"/>
  </mergeCells>
  <conditionalFormatting sqref="T1:T4">
    <cfRule type="cellIs" priority="2" operator="equal" aboveAverage="0" equalAverage="0" bottom="0" percent="0" rank="0" text="" dxfId="6">
      <formula>0</formula>
    </cfRule>
    <cfRule type="cellIs" priority="3" operator="lessThanOrEqual" aboveAverage="0" equalAverage="0" bottom="0" percent="0" rank="0" text="" dxfId="7">
      <formula>51.2</formula>
    </cfRule>
  </conditionalFormatting>
  <conditionalFormatting sqref="T5:T362">
    <cfRule type="cellIs" priority="4" operator="equal" aboveAverage="0" equalAverage="0" bottom="0" percent="0" rank="0" text="" dxfId="8">
      <formula>0</formula>
    </cfRule>
    <cfRule type="cellIs" priority="5" operator="lessThanOrEqual" aboveAverage="0" equalAverage="0" bottom="0" percent="0" rank="0" text="" dxfId="9">
      <formula>51.2</formula>
    </cfRule>
  </conditionalFormatting>
  <conditionalFormatting sqref="S45:S361">
    <cfRule type="cellIs" priority="6" operator="lessThanOrEqual" aboveAverage="0" equalAverage="0" bottom="0" percent="0" rank="0" text="" dxfId="10">
      <formula>0</formula>
    </cfRule>
  </conditionalFormatting>
  <conditionalFormatting sqref="S5">
    <cfRule type="cellIs" priority="7" operator="lessThanOrEqual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2019-11-06T11:57:11Z</dcterms:created>
  <dc:creator>adminigepp</dc:creator>
  <dc:description/>
  <dc:language>fr-FR</dc:language>
  <cp:lastModifiedBy/>
  <dcterms:modified xsi:type="dcterms:W3CDTF">2025-12-09T13:50:56Z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