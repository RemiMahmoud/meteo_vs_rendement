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28800" windowHeight="1170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B197" i="1" l="1"/>
  <c r="AB189" i="1"/>
  <c r="AB176" i="1"/>
  <c r="AB168" i="1"/>
  <c r="AD189" i="1"/>
  <c r="AD187" i="1"/>
  <c r="AD185" i="1"/>
  <c r="AB197" i="2"/>
  <c r="AB189" i="2"/>
  <c r="AD191" i="1" l="1"/>
  <c r="AD183" i="1"/>
  <c r="U240" i="2"/>
  <c r="T288" i="2"/>
  <c r="T289" i="2" s="1"/>
  <c r="T290" i="2" s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27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193" i="2"/>
  <c r="U110" i="1" l="1"/>
  <c r="U19" i="1"/>
  <c r="U306" i="1" l="1"/>
  <c r="U286" i="1"/>
  <c r="U263" i="1"/>
  <c r="U242" i="1"/>
  <c r="U206" i="1"/>
  <c r="I299" i="2"/>
  <c r="I297" i="2"/>
  <c r="I295" i="2"/>
  <c r="I279" i="2"/>
  <c r="I277" i="2"/>
  <c r="I275" i="2"/>
  <c r="Y294" i="2"/>
  <c r="Y293" i="2"/>
  <c r="Y274" i="2"/>
  <c r="Y273" i="2"/>
  <c r="Y250" i="2"/>
  <c r="Y251" i="2" s="1"/>
  <c r="Y252" i="2" s="1"/>
  <c r="Y253" i="2" s="1"/>
  <c r="Y254" i="2" s="1"/>
  <c r="Y255" i="2" s="1"/>
  <c r="Y256" i="2" s="1"/>
  <c r="Y257" i="2" s="1"/>
  <c r="Y258" i="2" s="1"/>
  <c r="Y259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49" i="2"/>
  <c r="I255" i="2"/>
  <c r="I253" i="2"/>
  <c r="I251" i="2"/>
  <c r="H294" i="2"/>
  <c r="H293" i="2"/>
  <c r="H274" i="2"/>
  <c r="H273" i="2"/>
  <c r="H250" i="2"/>
  <c r="H249" i="2"/>
  <c r="Y229" i="2"/>
  <c r="Y228" i="2"/>
  <c r="I234" i="2"/>
  <c r="I232" i="2"/>
  <c r="I230" i="2"/>
  <c r="H229" i="2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28" i="2"/>
  <c r="U19" i="2"/>
  <c r="U110" i="2"/>
  <c r="I198" i="2"/>
  <c r="I196" i="2"/>
  <c r="R316" i="2"/>
  <c r="S316" i="2" s="1"/>
  <c r="R315" i="2"/>
  <c r="S315" i="2" s="1"/>
  <c r="R314" i="2"/>
  <c r="S314" i="2" s="1"/>
  <c r="R313" i="2"/>
  <c r="S313" i="2" s="1"/>
  <c r="R312" i="2"/>
  <c r="S312" i="2" s="1"/>
  <c r="R311" i="2"/>
  <c r="S311" i="2" s="1"/>
  <c r="R310" i="2"/>
  <c r="S310" i="2" s="1"/>
  <c r="R309" i="2"/>
  <c r="S309" i="2" s="1"/>
  <c r="H309" i="2"/>
  <c r="H310" i="2" s="1"/>
  <c r="H311" i="2" s="1"/>
  <c r="H312" i="2" s="1"/>
  <c r="H313" i="2" s="1"/>
  <c r="H314" i="2" s="1"/>
  <c r="H315" i="2" s="1"/>
  <c r="H316" i="2" s="1"/>
  <c r="R308" i="2"/>
  <c r="S308" i="2" s="1"/>
  <c r="R307" i="2"/>
  <c r="S307" i="2" s="1"/>
  <c r="R306" i="2"/>
  <c r="S306" i="2" s="1"/>
  <c r="R305" i="2"/>
  <c r="S305" i="2" s="1"/>
  <c r="R304" i="2"/>
  <c r="S304" i="2" s="1"/>
  <c r="R303" i="2"/>
  <c r="S303" i="2" s="1"/>
  <c r="R302" i="2"/>
  <c r="S302" i="2" s="1"/>
  <c r="R301" i="2"/>
  <c r="S301" i="2" s="1"/>
  <c r="R300" i="2"/>
  <c r="S300" i="2" s="1"/>
  <c r="R299" i="2"/>
  <c r="S299" i="2" s="1"/>
  <c r="R298" i="2"/>
  <c r="S298" i="2" s="1"/>
  <c r="Z297" i="2"/>
  <c r="R297" i="2"/>
  <c r="S297" i="2" s="1"/>
  <c r="R296" i="2"/>
  <c r="S296" i="2" s="1"/>
  <c r="Y295" i="2"/>
  <c r="Y296" i="2" s="1"/>
  <c r="Y297" i="2" s="1"/>
  <c r="Y298" i="2" s="1"/>
  <c r="Y299" i="2" s="1"/>
  <c r="Y300" i="2" s="1"/>
  <c r="Y301" i="2" s="1"/>
  <c r="Y302" i="2" s="1"/>
  <c r="Y303" i="2" s="1"/>
  <c r="Y304" i="2" s="1"/>
  <c r="Y305" i="2" s="1"/>
  <c r="Y306" i="2" s="1"/>
  <c r="Y307" i="2" s="1"/>
  <c r="Y308" i="2" s="1"/>
  <c r="Y309" i="2" s="1"/>
  <c r="Y310" i="2" s="1"/>
  <c r="Y311" i="2" s="1"/>
  <c r="Y312" i="2" s="1"/>
  <c r="Y313" i="2" s="1"/>
  <c r="Y314" i="2" s="1"/>
  <c r="Y315" i="2" s="1"/>
  <c r="Y316" i="2" s="1"/>
  <c r="R295" i="2"/>
  <c r="S295" i="2" s="1"/>
  <c r="H295" i="2"/>
  <c r="H296" i="2" s="1"/>
  <c r="H297" i="2" s="1"/>
  <c r="H298" i="2" s="1"/>
  <c r="H299" i="2" s="1"/>
  <c r="H300" i="2" s="1"/>
  <c r="H301" i="2" s="1"/>
  <c r="H302" i="2" s="1"/>
  <c r="H303" i="2" s="1"/>
  <c r="H304" i="2" s="1"/>
  <c r="H305" i="2" s="1"/>
  <c r="H306" i="2" s="1"/>
  <c r="H307" i="2" s="1"/>
  <c r="H308" i="2" s="1"/>
  <c r="R294" i="2"/>
  <c r="S294" i="2" s="1"/>
  <c r="R293" i="2"/>
  <c r="S293" i="2" s="1"/>
  <c r="R292" i="2"/>
  <c r="S292" i="2" s="1"/>
  <c r="R291" i="2"/>
  <c r="S291" i="2" s="1"/>
  <c r="R290" i="2"/>
  <c r="S290" i="2" s="1"/>
  <c r="R289" i="2"/>
  <c r="S289" i="2" s="1"/>
  <c r="R288" i="2"/>
  <c r="S288" i="2" s="1"/>
  <c r="R287" i="2"/>
  <c r="S287" i="2" s="1"/>
  <c r="R286" i="2"/>
  <c r="S286" i="2" s="1"/>
  <c r="R285" i="2"/>
  <c r="S285" i="2" s="1"/>
  <c r="R284" i="2"/>
  <c r="S284" i="2" s="1"/>
  <c r="R283" i="2"/>
  <c r="S283" i="2" s="1"/>
  <c r="S282" i="2"/>
  <c r="R282" i="2"/>
  <c r="S281" i="2"/>
  <c r="R281" i="2"/>
  <c r="R280" i="2"/>
  <c r="S280" i="2" s="1"/>
  <c r="R279" i="2"/>
  <c r="S279" i="2" s="1"/>
  <c r="R278" i="2"/>
  <c r="S278" i="2" s="1"/>
  <c r="Z277" i="2"/>
  <c r="R277" i="2"/>
  <c r="S277" i="2" s="1"/>
  <c r="R276" i="2"/>
  <c r="S276" i="2" s="1"/>
  <c r="Y275" i="2"/>
  <c r="Y276" i="2" s="1"/>
  <c r="Y277" i="2" s="1"/>
  <c r="Y278" i="2" s="1"/>
  <c r="Y279" i="2" s="1"/>
  <c r="Y280" i="2" s="1"/>
  <c r="Y281" i="2" s="1"/>
  <c r="Y282" i="2" s="1"/>
  <c r="Y283" i="2" s="1"/>
  <c r="Y284" i="2" s="1"/>
  <c r="Y285" i="2" s="1"/>
  <c r="Y286" i="2" s="1"/>
  <c r="Y287" i="2" s="1"/>
  <c r="Y288" i="2" s="1"/>
  <c r="Y289" i="2" s="1"/>
  <c r="Y290" i="2" s="1"/>
  <c r="Y291" i="2" s="1"/>
  <c r="Y292" i="2" s="1"/>
  <c r="R275" i="2"/>
  <c r="S275" i="2" s="1"/>
  <c r="H275" i="2"/>
  <c r="H276" i="2" s="1"/>
  <c r="H277" i="2" s="1"/>
  <c r="H278" i="2" s="1"/>
  <c r="H279" i="2" s="1"/>
  <c r="H280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R274" i="2"/>
  <c r="S274" i="2" s="1"/>
  <c r="S273" i="2"/>
  <c r="R273" i="2"/>
  <c r="S272" i="2"/>
  <c r="R272" i="2"/>
  <c r="S271" i="2"/>
  <c r="R271" i="2"/>
  <c r="R270" i="2"/>
  <c r="S270" i="2" s="1"/>
  <c r="S269" i="2"/>
  <c r="R269" i="2"/>
  <c r="S268" i="2"/>
  <c r="R268" i="2"/>
  <c r="R267" i="2"/>
  <c r="S267" i="2" s="1"/>
  <c r="R266" i="2"/>
  <c r="S266" i="2" s="1"/>
  <c r="S265" i="2"/>
  <c r="R265" i="2"/>
  <c r="S264" i="2"/>
  <c r="R264" i="2"/>
  <c r="R263" i="2"/>
  <c r="S263" i="2" s="1"/>
  <c r="R262" i="2"/>
  <c r="S262" i="2" s="1"/>
  <c r="S261" i="2"/>
  <c r="R261" i="2"/>
  <c r="R260" i="2"/>
  <c r="S260" i="2" s="1"/>
  <c r="S259" i="2"/>
  <c r="R259" i="2"/>
  <c r="R258" i="2"/>
  <c r="S258" i="2" s="1"/>
  <c r="R257" i="2"/>
  <c r="S257" i="2" s="1"/>
  <c r="S256" i="2"/>
  <c r="R256" i="2"/>
  <c r="R255" i="2"/>
  <c r="S255" i="2" s="1"/>
  <c r="S254" i="2"/>
  <c r="R254" i="2"/>
  <c r="Z253" i="2"/>
  <c r="R253" i="2"/>
  <c r="S253" i="2" s="1"/>
  <c r="S252" i="2"/>
  <c r="R252" i="2"/>
  <c r="S251" i="2"/>
  <c r="R251" i="2"/>
  <c r="H251" i="2"/>
  <c r="H252" i="2" s="1"/>
  <c r="H253" i="2" s="1"/>
  <c r="H254" i="2" s="1"/>
  <c r="H255" i="2" s="1"/>
  <c r="H256" i="2" s="1"/>
  <c r="H257" i="2" s="1"/>
  <c r="H258" i="2" s="1"/>
  <c r="H259" i="2" s="1"/>
  <c r="H260" i="2" s="1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S250" i="2"/>
  <c r="R250" i="2"/>
  <c r="R249" i="2"/>
  <c r="S249" i="2" s="1"/>
  <c r="S248" i="2"/>
  <c r="R248" i="2"/>
  <c r="S247" i="2"/>
  <c r="R247" i="2"/>
  <c r="R246" i="2"/>
  <c r="S246" i="2" s="1"/>
  <c r="R245" i="2"/>
  <c r="S245" i="2" s="1"/>
  <c r="R244" i="2"/>
  <c r="S244" i="2" s="1"/>
  <c r="S243" i="2"/>
  <c r="R243" i="2"/>
  <c r="R242" i="2"/>
  <c r="S242" i="2" s="1"/>
  <c r="R241" i="2"/>
  <c r="S241" i="2" s="1"/>
  <c r="R240" i="2"/>
  <c r="S240" i="2" s="1"/>
  <c r="S239" i="2"/>
  <c r="R239" i="2"/>
  <c r="S238" i="2"/>
  <c r="R238" i="2"/>
  <c r="R237" i="2"/>
  <c r="S237" i="2" s="1"/>
  <c r="S236" i="2"/>
  <c r="R236" i="2"/>
  <c r="R235" i="2"/>
  <c r="S235" i="2" s="1"/>
  <c r="R234" i="2"/>
  <c r="S234" i="2" s="1"/>
  <c r="S233" i="2"/>
  <c r="R233" i="2"/>
  <c r="Z232" i="2"/>
  <c r="R232" i="2"/>
  <c r="S232" i="2" s="1"/>
  <c r="R231" i="2"/>
  <c r="S231" i="2" s="1"/>
  <c r="Y230" i="2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R230" i="2"/>
  <c r="S230" i="2" s="1"/>
  <c r="S229" i="2"/>
  <c r="R229" i="2"/>
  <c r="R228" i="2"/>
  <c r="S228" i="2" s="1"/>
  <c r="R227" i="2"/>
  <c r="S227" i="2" s="1"/>
  <c r="R226" i="2"/>
  <c r="S226" i="2" s="1"/>
  <c r="R225" i="2"/>
  <c r="S225" i="2" s="1"/>
  <c r="R224" i="2"/>
  <c r="S224" i="2" s="1"/>
  <c r="R223" i="2"/>
  <c r="S223" i="2" s="1"/>
  <c r="R222" i="2"/>
  <c r="S222" i="2" s="1"/>
  <c r="R221" i="2"/>
  <c r="S221" i="2" s="1"/>
  <c r="S220" i="2"/>
  <c r="R220" i="2"/>
  <c r="R219" i="2"/>
  <c r="S219" i="2" s="1"/>
  <c r="R218" i="2"/>
  <c r="S218" i="2" s="1"/>
  <c r="R217" i="2"/>
  <c r="S217" i="2" s="1"/>
  <c r="R216" i="2"/>
  <c r="S216" i="2" s="1"/>
  <c r="R215" i="2"/>
  <c r="S215" i="2" s="1"/>
  <c r="R214" i="2"/>
  <c r="S214" i="2" s="1"/>
  <c r="R213" i="2"/>
  <c r="S213" i="2" s="1"/>
  <c r="S212" i="2"/>
  <c r="R212" i="2"/>
  <c r="R211" i="2"/>
  <c r="S211" i="2" s="1"/>
  <c r="R210" i="2"/>
  <c r="S210" i="2" s="1"/>
  <c r="R209" i="2"/>
  <c r="S209" i="2" s="1"/>
  <c r="R208" i="2"/>
  <c r="S208" i="2" s="1"/>
  <c r="R207" i="2"/>
  <c r="S207" i="2" s="1"/>
  <c r="R206" i="2"/>
  <c r="S206" i="2" s="1"/>
  <c r="R205" i="2"/>
  <c r="S205" i="2" s="1"/>
  <c r="R204" i="2"/>
  <c r="S204" i="2" s="1"/>
  <c r="R203" i="2"/>
  <c r="S203" i="2" s="1"/>
  <c r="R202" i="2"/>
  <c r="S202" i="2" s="1"/>
  <c r="R201" i="2"/>
  <c r="S201" i="2" s="1"/>
  <c r="R200" i="2"/>
  <c r="S200" i="2" s="1"/>
  <c r="R199" i="2"/>
  <c r="S199" i="2" s="1"/>
  <c r="R198" i="2"/>
  <c r="S198" i="2" s="1"/>
  <c r="R197" i="2"/>
  <c r="S197" i="2" s="1"/>
  <c r="Z196" i="2"/>
  <c r="R196" i="2"/>
  <c r="S196" i="2" s="1"/>
  <c r="R195" i="2"/>
  <c r="S195" i="2" s="1"/>
  <c r="Y194" i="2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Y218" i="2" s="1"/>
  <c r="Y219" i="2" s="1"/>
  <c r="Y220" i="2" s="1"/>
  <c r="Y221" i="2" s="1"/>
  <c r="Y222" i="2" s="1"/>
  <c r="Y223" i="2" s="1"/>
  <c r="Y224" i="2" s="1"/>
  <c r="Y225" i="2" s="1"/>
  <c r="Y226" i="2" s="1"/>
  <c r="Y227" i="2" s="1"/>
  <c r="R194" i="2"/>
  <c r="S194" i="2" s="1"/>
  <c r="H194" i="2"/>
  <c r="H195" i="2" s="1"/>
  <c r="H196" i="2" s="1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H218" i="2" s="1"/>
  <c r="H219" i="2" s="1"/>
  <c r="H220" i="2" s="1"/>
  <c r="H221" i="2" s="1"/>
  <c r="H222" i="2" s="1"/>
  <c r="H223" i="2" s="1"/>
  <c r="H224" i="2" s="1"/>
  <c r="H225" i="2" s="1"/>
  <c r="H226" i="2" s="1"/>
  <c r="H227" i="2" s="1"/>
  <c r="R193" i="2"/>
  <c r="S193" i="2" s="1"/>
  <c r="S192" i="2"/>
  <c r="R192" i="2"/>
  <c r="S191" i="2"/>
  <c r="R191" i="2"/>
  <c r="S190" i="2"/>
  <c r="R190" i="2"/>
  <c r="S189" i="2"/>
  <c r="R189" i="2"/>
  <c r="S188" i="2"/>
  <c r="R188" i="2"/>
  <c r="S187" i="2"/>
  <c r="R187" i="2"/>
  <c r="S186" i="2"/>
  <c r="R186" i="2"/>
  <c r="S185" i="2"/>
  <c r="R185" i="2"/>
  <c r="S184" i="2"/>
  <c r="R184" i="2"/>
  <c r="S183" i="2"/>
  <c r="R183" i="2"/>
  <c r="S182" i="2"/>
  <c r="R182" i="2"/>
  <c r="S181" i="2"/>
  <c r="R181" i="2"/>
  <c r="S180" i="2"/>
  <c r="R180" i="2"/>
  <c r="S179" i="2"/>
  <c r="R179" i="2"/>
  <c r="S178" i="2"/>
  <c r="R178" i="2"/>
  <c r="S177" i="2"/>
  <c r="R177" i="2"/>
  <c r="S176" i="2"/>
  <c r="R176" i="2"/>
  <c r="S175" i="2"/>
  <c r="R175" i="2"/>
  <c r="S174" i="2"/>
  <c r="R174" i="2"/>
  <c r="S173" i="2"/>
  <c r="R173" i="2"/>
  <c r="S172" i="2"/>
  <c r="R172" i="2"/>
  <c r="S171" i="2"/>
  <c r="R171" i="2"/>
  <c r="S170" i="2"/>
  <c r="R170" i="2"/>
  <c r="H170" i="2"/>
  <c r="H171" i="2" s="1"/>
  <c r="H172" i="2" s="1"/>
  <c r="H173" i="2" s="1"/>
  <c r="H174" i="2" s="1"/>
  <c r="H175" i="2" s="1"/>
  <c r="H176" i="2" s="1"/>
  <c r="H177" i="2" s="1"/>
  <c r="H178" i="2" s="1"/>
  <c r="H179" i="2" s="1"/>
  <c r="H180" i="2" s="1"/>
  <c r="H181" i="2" s="1"/>
  <c r="H182" i="2" s="1"/>
  <c r="H183" i="2" s="1"/>
  <c r="H184" i="2" s="1"/>
  <c r="H185" i="2" s="1"/>
  <c r="H186" i="2" s="1"/>
  <c r="H187" i="2" s="1"/>
  <c r="H188" i="2" s="1"/>
  <c r="H189" i="2" s="1"/>
  <c r="H190" i="2" s="1"/>
  <c r="H191" i="2" s="1"/>
  <c r="H192" i="2" s="1"/>
  <c r="S169" i="2"/>
  <c r="R169" i="2"/>
  <c r="R168" i="2"/>
  <c r="S168" i="2" s="1"/>
  <c r="R167" i="2"/>
  <c r="S167" i="2" s="1"/>
  <c r="R166" i="2"/>
  <c r="S166" i="2" s="1"/>
  <c r="R165" i="2"/>
  <c r="S165" i="2" s="1"/>
  <c r="R164" i="2"/>
  <c r="S164" i="2" s="1"/>
  <c r="H164" i="2"/>
  <c r="H165" i="2" s="1"/>
  <c r="H166" i="2" s="1"/>
  <c r="H167" i="2" s="1"/>
  <c r="H168" i="2" s="1"/>
  <c r="R163" i="2"/>
  <c r="S163" i="2" s="1"/>
  <c r="S162" i="2"/>
  <c r="R162" i="2"/>
  <c r="R161" i="2"/>
  <c r="S161" i="2" s="1"/>
  <c r="R160" i="2"/>
  <c r="S160" i="2" s="1"/>
  <c r="R159" i="2"/>
  <c r="S159" i="2" s="1"/>
  <c r="R158" i="2"/>
  <c r="S158" i="2" s="1"/>
  <c r="R157" i="2"/>
  <c r="S157" i="2" s="1"/>
  <c r="R156" i="2"/>
  <c r="S156" i="2" s="1"/>
  <c r="R155" i="2"/>
  <c r="S155" i="2" s="1"/>
  <c r="R154" i="2"/>
  <c r="S154" i="2" s="1"/>
  <c r="R153" i="2"/>
  <c r="S153" i="2" s="1"/>
  <c r="R152" i="2"/>
  <c r="S152" i="2" s="1"/>
  <c r="R151" i="2"/>
  <c r="S151" i="2" s="1"/>
  <c r="H151" i="2"/>
  <c r="H152" i="2" s="1"/>
  <c r="H153" i="2" s="1"/>
  <c r="H154" i="2" s="1"/>
  <c r="H155" i="2" s="1"/>
  <c r="H156" i="2" s="1"/>
  <c r="H157" i="2" s="1"/>
  <c r="H158" i="2" s="1"/>
  <c r="H159" i="2" s="1"/>
  <c r="H160" i="2" s="1"/>
  <c r="H161" i="2" s="1"/>
  <c r="R150" i="2"/>
  <c r="S150" i="2" s="1"/>
  <c r="H150" i="2"/>
  <c r="R149" i="2"/>
  <c r="S149" i="2" s="1"/>
  <c r="R148" i="2"/>
  <c r="S148" i="2" s="1"/>
  <c r="R147" i="2"/>
  <c r="S147" i="2" s="1"/>
  <c r="S146" i="2"/>
  <c r="R146" i="2"/>
  <c r="R145" i="2"/>
  <c r="S145" i="2" s="1"/>
  <c r="R144" i="2"/>
  <c r="S144" i="2" s="1"/>
  <c r="R143" i="2"/>
  <c r="S143" i="2" s="1"/>
  <c r="R142" i="2"/>
  <c r="S142" i="2" s="1"/>
  <c r="S141" i="2"/>
  <c r="R141" i="2"/>
  <c r="R140" i="2"/>
  <c r="S140" i="2" s="1"/>
  <c r="R139" i="2"/>
  <c r="S139" i="2" s="1"/>
  <c r="R138" i="2"/>
  <c r="S138" i="2" s="1"/>
  <c r="S137" i="2"/>
  <c r="R137" i="2"/>
  <c r="R136" i="2"/>
  <c r="S136" i="2" s="1"/>
  <c r="R135" i="2"/>
  <c r="S135" i="2" s="1"/>
  <c r="R134" i="2"/>
  <c r="S134" i="2" s="1"/>
  <c r="R133" i="2"/>
  <c r="S133" i="2" s="1"/>
  <c r="H133" i="2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R132" i="2"/>
  <c r="S132" i="2" s="1"/>
  <c r="H132" i="2"/>
  <c r="R131" i="2"/>
  <c r="S131" i="2" s="1"/>
  <c r="R130" i="2"/>
  <c r="S130" i="2" s="1"/>
  <c r="S129" i="2"/>
  <c r="R129" i="2"/>
  <c r="S128" i="2"/>
  <c r="R128" i="2"/>
  <c r="S127" i="2"/>
  <c r="R127" i="2"/>
  <c r="R126" i="2"/>
  <c r="S126" i="2" s="1"/>
  <c r="S125" i="2"/>
  <c r="R125" i="2"/>
  <c r="S124" i="2"/>
  <c r="R124" i="2"/>
  <c r="H124" i="2"/>
  <c r="H125" i="2" s="1"/>
  <c r="H126" i="2" s="1"/>
  <c r="H127" i="2" s="1"/>
  <c r="H128" i="2" s="1"/>
  <c r="H129" i="2" s="1"/>
  <c r="H130" i="2" s="1"/>
  <c r="S123" i="2"/>
  <c r="R123" i="2"/>
  <c r="R122" i="2"/>
  <c r="S122" i="2" s="1"/>
  <c r="R121" i="2"/>
  <c r="S121" i="2" s="1"/>
  <c r="R120" i="2"/>
  <c r="S120" i="2" s="1"/>
  <c r="R119" i="2"/>
  <c r="S119" i="2" s="1"/>
  <c r="S118" i="2"/>
  <c r="R118" i="2"/>
  <c r="S117" i="2"/>
  <c r="R117" i="2"/>
  <c r="S116" i="2"/>
  <c r="R116" i="2"/>
  <c r="R115" i="2"/>
  <c r="S115" i="2" s="1"/>
  <c r="R114" i="2"/>
  <c r="S114" i="2" s="1"/>
  <c r="S113" i="2"/>
  <c r="R113" i="2"/>
  <c r="S112" i="2"/>
  <c r="R112" i="2"/>
  <c r="R111" i="2"/>
  <c r="S111" i="2" s="1"/>
  <c r="R110" i="2"/>
  <c r="S110" i="2" s="1"/>
  <c r="H110" i="2"/>
  <c r="H111" i="2" s="1"/>
  <c r="H112" i="2" s="1"/>
  <c r="H113" i="2" s="1"/>
  <c r="H114" i="2" s="1"/>
  <c r="H115" i="2" s="1"/>
  <c r="H116" i="2" s="1"/>
  <c r="H117" i="2" s="1"/>
  <c r="H118" i="2" s="1"/>
  <c r="H119" i="2" s="1"/>
  <c r="H120" i="2" s="1"/>
  <c r="H121" i="2" s="1"/>
  <c r="H122" i="2" s="1"/>
  <c r="R109" i="2"/>
  <c r="S109" i="2" s="1"/>
  <c r="R108" i="2"/>
  <c r="S108" i="2" s="1"/>
  <c r="R107" i="2"/>
  <c r="S107" i="2" s="1"/>
  <c r="R106" i="2"/>
  <c r="S106" i="2" s="1"/>
  <c r="S105" i="2"/>
  <c r="R105" i="2"/>
  <c r="R104" i="2"/>
  <c r="S104" i="2" s="1"/>
  <c r="S103" i="2"/>
  <c r="R103" i="2"/>
  <c r="S102" i="2"/>
  <c r="R102" i="2"/>
  <c r="S101" i="2"/>
  <c r="R101" i="2"/>
  <c r="S100" i="2"/>
  <c r="R100" i="2"/>
  <c r="Y99" i="2"/>
  <c r="Y100" i="2" s="1"/>
  <c r="Y101" i="2" s="1"/>
  <c r="Y102" i="2" s="1"/>
  <c r="Y103" i="2" s="1"/>
  <c r="Y104" i="2" s="1"/>
  <c r="Y105" i="2" s="1"/>
  <c r="Y106" i="2" s="1"/>
  <c r="Y107" i="2" s="1"/>
  <c r="Y108" i="2" s="1"/>
  <c r="Y109" i="2" s="1"/>
  <c r="Y110" i="2" s="1"/>
  <c r="Y111" i="2" s="1"/>
  <c r="Y112" i="2" s="1"/>
  <c r="Y113" i="2" s="1"/>
  <c r="Y114" i="2" s="1"/>
  <c r="Y115" i="2" s="1"/>
  <c r="Y116" i="2" s="1"/>
  <c r="Y117" i="2" s="1"/>
  <c r="Y118" i="2" s="1"/>
  <c r="Y119" i="2" s="1"/>
  <c r="Y120" i="2" s="1"/>
  <c r="Y121" i="2" s="1"/>
  <c r="Y122" i="2" s="1"/>
  <c r="Y123" i="2" s="1"/>
  <c r="Y124" i="2" s="1"/>
  <c r="Y125" i="2" s="1"/>
  <c r="Y126" i="2" s="1"/>
  <c r="Y127" i="2" s="1"/>
  <c r="Y128" i="2" s="1"/>
  <c r="Y129" i="2" s="1"/>
  <c r="Y130" i="2" s="1"/>
  <c r="Y131" i="2" s="1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R99" i="2"/>
  <c r="S99" i="2" s="1"/>
  <c r="Z98" i="2"/>
  <c r="S98" i="2"/>
  <c r="R98" i="2"/>
  <c r="R97" i="2"/>
  <c r="S97" i="2" s="1"/>
  <c r="R96" i="2"/>
  <c r="S96" i="2" s="1"/>
  <c r="H96" i="2"/>
  <c r="H97" i="2" s="1"/>
  <c r="H98" i="2" s="1"/>
  <c r="H99" i="2" s="1"/>
  <c r="H100" i="2" s="1"/>
  <c r="H101" i="2" s="1"/>
  <c r="H102" i="2" s="1"/>
  <c r="H103" i="2" s="1"/>
  <c r="H104" i="2" s="1"/>
  <c r="H105" i="2" s="1"/>
  <c r="H106" i="2" s="1"/>
  <c r="H107" i="2" s="1"/>
  <c r="H108" i="2" s="1"/>
  <c r="H109" i="2" s="1"/>
  <c r="Y95" i="2"/>
  <c r="Y96" i="2" s="1"/>
  <c r="Y97" i="2" s="1"/>
  <c r="Y98" i="2" s="1"/>
  <c r="R95" i="2"/>
  <c r="S95" i="2" s="1"/>
  <c r="R94" i="2"/>
  <c r="S94" i="2" s="1"/>
  <c r="Q94" i="2"/>
  <c r="Q93" i="2"/>
  <c r="R93" i="2" s="1"/>
  <c r="S93" i="2" s="1"/>
  <c r="Q92" i="2"/>
  <c r="R92" i="2" s="1"/>
  <c r="S92" i="2" s="1"/>
  <c r="R91" i="2"/>
  <c r="S91" i="2" s="1"/>
  <c r="Q91" i="2"/>
  <c r="Q90" i="2"/>
  <c r="R90" i="2" s="1"/>
  <c r="S90" i="2" s="1"/>
  <c r="R89" i="2"/>
  <c r="S89" i="2" s="1"/>
  <c r="Q89" i="2"/>
  <c r="Q88" i="2"/>
  <c r="R88" i="2" s="1"/>
  <c r="S88" i="2" s="1"/>
  <c r="Q87" i="2"/>
  <c r="R87" i="2" s="1"/>
  <c r="S87" i="2" s="1"/>
  <c r="Q86" i="2"/>
  <c r="R86" i="2" s="1"/>
  <c r="S86" i="2" s="1"/>
  <c r="R85" i="2"/>
  <c r="S85" i="2" s="1"/>
  <c r="Q85" i="2"/>
  <c r="Q84" i="2"/>
  <c r="R84" i="2" s="1"/>
  <c r="S84" i="2" s="1"/>
  <c r="R83" i="2"/>
  <c r="S83" i="2" s="1"/>
  <c r="Q83" i="2"/>
  <c r="Q82" i="2"/>
  <c r="R82" i="2" s="1"/>
  <c r="S82" i="2" s="1"/>
  <c r="R81" i="2"/>
  <c r="S81" i="2" s="1"/>
  <c r="Q81" i="2"/>
  <c r="Q80" i="2"/>
  <c r="R80" i="2" s="1"/>
  <c r="S80" i="2" s="1"/>
  <c r="Q79" i="2"/>
  <c r="R79" i="2" s="1"/>
  <c r="S79" i="2" s="1"/>
  <c r="Q78" i="2"/>
  <c r="R78" i="2" s="1"/>
  <c r="S78" i="2" s="1"/>
  <c r="R77" i="2"/>
  <c r="S77" i="2" s="1"/>
  <c r="Q77" i="2"/>
  <c r="Q76" i="2"/>
  <c r="R76" i="2" s="1"/>
  <c r="S76" i="2" s="1"/>
  <c r="R75" i="2"/>
  <c r="S75" i="2" s="1"/>
  <c r="Q75" i="2"/>
  <c r="Q74" i="2"/>
  <c r="R74" i="2" s="1"/>
  <c r="S74" i="2" s="1"/>
  <c r="R73" i="2"/>
  <c r="S73" i="2" s="1"/>
  <c r="Q73" i="2"/>
  <c r="Q72" i="2"/>
  <c r="R72" i="2" s="1"/>
  <c r="S72" i="2" s="1"/>
  <c r="Q71" i="2"/>
  <c r="R71" i="2" s="1"/>
  <c r="S71" i="2" s="1"/>
  <c r="Q70" i="2"/>
  <c r="R70" i="2" s="1"/>
  <c r="S70" i="2" s="1"/>
  <c r="R69" i="2"/>
  <c r="S69" i="2" s="1"/>
  <c r="Q69" i="2"/>
  <c r="Q68" i="2"/>
  <c r="R68" i="2" s="1"/>
  <c r="S68" i="2" s="1"/>
  <c r="R67" i="2"/>
  <c r="S67" i="2" s="1"/>
  <c r="Q67" i="2"/>
  <c r="Q66" i="2"/>
  <c r="R66" i="2" s="1"/>
  <c r="S66" i="2" s="1"/>
  <c r="R65" i="2"/>
  <c r="S65" i="2" s="1"/>
  <c r="Q65" i="2"/>
  <c r="Q64" i="2"/>
  <c r="R64" i="2" s="1"/>
  <c r="S64" i="2" s="1"/>
  <c r="Q63" i="2"/>
  <c r="R63" i="2" s="1"/>
  <c r="S63" i="2" s="1"/>
  <c r="Q62" i="2"/>
  <c r="R62" i="2" s="1"/>
  <c r="S62" i="2" s="1"/>
  <c r="R61" i="2"/>
  <c r="S61" i="2" s="1"/>
  <c r="Q61" i="2"/>
  <c r="Q60" i="2"/>
  <c r="R60" i="2" s="1"/>
  <c r="S60" i="2" s="1"/>
  <c r="R59" i="2"/>
  <c r="S59" i="2" s="1"/>
  <c r="Q59" i="2"/>
  <c r="Q58" i="2"/>
  <c r="R58" i="2" s="1"/>
  <c r="S58" i="2" s="1"/>
  <c r="R57" i="2"/>
  <c r="S57" i="2" s="1"/>
  <c r="Q57" i="2"/>
  <c r="Q56" i="2"/>
  <c r="R56" i="2" s="1"/>
  <c r="S56" i="2" s="1"/>
  <c r="Q55" i="2"/>
  <c r="R55" i="2" s="1"/>
  <c r="S55" i="2" s="1"/>
  <c r="Q54" i="2"/>
  <c r="R54" i="2" s="1"/>
  <c r="S54" i="2" s="1"/>
  <c r="R53" i="2"/>
  <c r="S53" i="2" s="1"/>
  <c r="Q53" i="2"/>
  <c r="Q52" i="2"/>
  <c r="R52" i="2" s="1"/>
  <c r="S52" i="2" s="1"/>
  <c r="R51" i="2"/>
  <c r="S51" i="2" s="1"/>
  <c r="Q51" i="2"/>
  <c r="Q50" i="2"/>
  <c r="R50" i="2" s="1"/>
  <c r="S50" i="2" s="1"/>
  <c r="R49" i="2"/>
  <c r="S49" i="2" s="1"/>
  <c r="Q49" i="2"/>
  <c r="Q48" i="2"/>
  <c r="R48" i="2" s="1"/>
  <c r="S48" i="2" s="1"/>
  <c r="Q47" i="2"/>
  <c r="R47" i="2" s="1"/>
  <c r="S47" i="2" s="1"/>
  <c r="Q46" i="2"/>
  <c r="R46" i="2" s="1"/>
  <c r="S46" i="2" s="1"/>
  <c r="R45" i="2"/>
  <c r="S45" i="2" s="1"/>
  <c r="Q45" i="2"/>
  <c r="Q44" i="2"/>
  <c r="R44" i="2" s="1"/>
  <c r="S44" i="2" s="1"/>
  <c r="R43" i="2"/>
  <c r="S43" i="2" s="1"/>
  <c r="Q43" i="2"/>
  <c r="Q42" i="2"/>
  <c r="R42" i="2" s="1"/>
  <c r="S42" i="2" s="1"/>
  <c r="R41" i="2"/>
  <c r="S41" i="2" s="1"/>
  <c r="Q41" i="2"/>
  <c r="Q40" i="2"/>
  <c r="R40" i="2" s="1"/>
  <c r="S40" i="2" s="1"/>
  <c r="Q39" i="2"/>
  <c r="R39" i="2" s="1"/>
  <c r="S39" i="2" s="1"/>
  <c r="Q38" i="2"/>
  <c r="R38" i="2" s="1"/>
  <c r="S38" i="2" s="1"/>
  <c r="R37" i="2"/>
  <c r="S37" i="2" s="1"/>
  <c r="Q37" i="2"/>
  <c r="Q36" i="2"/>
  <c r="R36" i="2" s="1"/>
  <c r="S36" i="2" s="1"/>
  <c r="R35" i="2"/>
  <c r="S35" i="2" s="1"/>
  <c r="Q35" i="2"/>
  <c r="Q34" i="2"/>
  <c r="R34" i="2" s="1"/>
  <c r="S34" i="2" s="1"/>
  <c r="R33" i="2"/>
  <c r="S33" i="2" s="1"/>
  <c r="Q33" i="2"/>
  <c r="Q32" i="2"/>
  <c r="R32" i="2" s="1"/>
  <c r="S32" i="2" s="1"/>
  <c r="Q31" i="2"/>
  <c r="R31" i="2" s="1"/>
  <c r="S31" i="2" s="1"/>
  <c r="Q30" i="2"/>
  <c r="R30" i="2" s="1"/>
  <c r="S30" i="2" s="1"/>
  <c r="R29" i="2"/>
  <c r="S29" i="2" s="1"/>
  <c r="Q29" i="2"/>
  <c r="Q28" i="2"/>
  <c r="R28" i="2" s="1"/>
  <c r="S28" i="2" s="1"/>
  <c r="R27" i="2"/>
  <c r="S27" i="2" s="1"/>
  <c r="Q27" i="2"/>
  <c r="Q26" i="2"/>
  <c r="R26" i="2" s="1"/>
  <c r="S26" i="2" s="1"/>
  <c r="R25" i="2"/>
  <c r="S25" i="2" s="1"/>
  <c r="Q25" i="2"/>
  <c r="Q24" i="2"/>
  <c r="R24" i="2" s="1"/>
  <c r="S24" i="2" s="1"/>
  <c r="Q23" i="2"/>
  <c r="R23" i="2" s="1"/>
  <c r="S23" i="2" s="1"/>
  <c r="Q22" i="2"/>
  <c r="R22" i="2" s="1"/>
  <c r="S22" i="2" s="1"/>
  <c r="R21" i="2"/>
  <c r="S21" i="2" s="1"/>
  <c r="Q21" i="2"/>
  <c r="Q20" i="2"/>
  <c r="R20" i="2" s="1"/>
  <c r="S20" i="2" s="1"/>
  <c r="R19" i="2"/>
  <c r="S19" i="2" s="1"/>
  <c r="Q19" i="2"/>
  <c r="Q18" i="2"/>
  <c r="R18" i="2" s="1"/>
  <c r="S18" i="2" s="1"/>
  <c r="Q17" i="2"/>
  <c r="R17" i="2" s="1"/>
  <c r="S17" i="2" s="1"/>
  <c r="R16" i="2"/>
  <c r="S16" i="2" s="1"/>
  <c r="Q16" i="2"/>
  <c r="R15" i="2"/>
  <c r="S15" i="2" s="1"/>
  <c r="Q15" i="2"/>
  <c r="S14" i="2"/>
  <c r="R14" i="2"/>
  <c r="R13" i="2"/>
  <c r="S13" i="2" s="1"/>
  <c r="R12" i="2"/>
  <c r="S12" i="2" s="1"/>
  <c r="R11" i="2"/>
  <c r="S11" i="2" s="1"/>
  <c r="R10" i="2"/>
  <c r="S10" i="2" s="1"/>
  <c r="Z9" i="2"/>
  <c r="S9" i="2"/>
  <c r="R9" i="2"/>
  <c r="R8" i="2"/>
  <c r="S8" i="2" s="1"/>
  <c r="S7" i="2"/>
  <c r="T7" i="2" s="1"/>
  <c r="R7" i="2"/>
  <c r="O7" i="2"/>
  <c r="O8" i="2" s="1"/>
  <c r="O9" i="2" s="1"/>
  <c r="O10" i="2" s="1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4" i="2" s="1"/>
  <c r="O45" i="2" s="1"/>
  <c r="O46" i="2" s="1"/>
  <c r="O47" i="2" s="1"/>
  <c r="O48" i="2" s="1"/>
  <c r="O49" i="2" s="1"/>
  <c r="O50" i="2" s="1"/>
  <c r="O51" i="2" s="1"/>
  <c r="O52" i="2" s="1"/>
  <c r="O53" i="2" s="1"/>
  <c r="O54" i="2" s="1"/>
  <c r="O55" i="2" s="1"/>
  <c r="O56" i="2" s="1"/>
  <c r="O57" i="2" s="1"/>
  <c r="O58" i="2" s="1"/>
  <c r="O59" i="2" s="1"/>
  <c r="O60" i="2" s="1"/>
  <c r="O61" i="2" s="1"/>
  <c r="O62" i="2" s="1"/>
  <c r="O63" i="2" s="1"/>
  <c r="O64" i="2" s="1"/>
  <c r="O65" i="2" s="1"/>
  <c r="O66" i="2" s="1"/>
  <c r="O67" i="2" s="1"/>
  <c r="O68" i="2" s="1"/>
  <c r="O69" i="2" s="1"/>
  <c r="O70" i="2" s="1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O202" i="2" s="1"/>
  <c r="O203" i="2" s="1"/>
  <c r="O204" i="2" s="1"/>
  <c r="O205" i="2" s="1"/>
  <c r="O206" i="2" s="1"/>
  <c r="O207" i="2" s="1"/>
  <c r="O208" i="2" s="1"/>
  <c r="O209" i="2" s="1"/>
  <c r="O210" i="2" s="1"/>
  <c r="O211" i="2" s="1"/>
  <c r="O212" i="2" s="1"/>
  <c r="O213" i="2" s="1"/>
  <c r="O214" i="2" s="1"/>
  <c r="O215" i="2" s="1"/>
  <c r="O216" i="2" s="1"/>
  <c r="O217" i="2" s="1"/>
  <c r="O218" i="2" s="1"/>
  <c r="O219" i="2" s="1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O280" i="2" s="1"/>
  <c r="O281" i="2" s="1"/>
  <c r="O282" i="2" s="1"/>
  <c r="O283" i="2" s="1"/>
  <c r="O284" i="2" s="1"/>
  <c r="O285" i="2" s="1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R6" i="2"/>
  <c r="S6" i="2" s="1"/>
  <c r="Q316" i="1"/>
  <c r="R316" i="1" s="1"/>
  <c r="S316" i="1" s="1"/>
  <c r="Q315" i="1"/>
  <c r="R315" i="1" s="1"/>
  <c r="S315" i="1" s="1"/>
  <c r="R314" i="1"/>
  <c r="S314" i="1" s="1"/>
  <c r="Q314" i="1"/>
  <c r="Q313" i="1"/>
  <c r="R313" i="1" s="1"/>
  <c r="S313" i="1" s="1"/>
  <c r="R312" i="1"/>
  <c r="S312" i="1" s="1"/>
  <c r="Q312" i="1"/>
  <c r="Q311" i="1"/>
  <c r="R311" i="1" s="1"/>
  <c r="S311" i="1" s="1"/>
  <c r="Q310" i="1"/>
  <c r="R310" i="1" s="1"/>
  <c r="S310" i="1" s="1"/>
  <c r="Q309" i="1"/>
  <c r="R309" i="1" s="1"/>
  <c r="S309" i="1" s="1"/>
  <c r="Q308" i="1"/>
  <c r="R308" i="1" s="1"/>
  <c r="S308" i="1" s="1"/>
  <c r="Q307" i="1"/>
  <c r="R307" i="1" s="1"/>
  <c r="S307" i="1" s="1"/>
  <c r="R306" i="1"/>
  <c r="S306" i="1" s="1"/>
  <c r="Q306" i="1"/>
  <c r="R305" i="1"/>
  <c r="S305" i="1" s="1"/>
  <c r="Q305" i="1"/>
  <c r="Q304" i="1"/>
  <c r="R304" i="1" s="1"/>
  <c r="S304" i="1" s="1"/>
  <c r="S303" i="1"/>
  <c r="Q303" i="1"/>
  <c r="R303" i="1" s="1"/>
  <c r="R302" i="1"/>
  <c r="S302" i="1" s="1"/>
  <c r="Q302" i="1"/>
  <c r="R301" i="1"/>
  <c r="S301" i="1" s="1"/>
  <c r="Q301" i="1"/>
  <c r="Q300" i="1"/>
  <c r="R300" i="1" s="1"/>
  <c r="S300" i="1" s="1"/>
  <c r="Q299" i="1"/>
  <c r="R299" i="1" s="1"/>
  <c r="S299" i="1" s="1"/>
  <c r="I299" i="1"/>
  <c r="Q298" i="1"/>
  <c r="R298" i="1" s="1"/>
  <c r="S298" i="1" s="1"/>
  <c r="Z297" i="1"/>
  <c r="Q297" i="1"/>
  <c r="R297" i="1" s="1"/>
  <c r="S297" i="1" s="1"/>
  <c r="I297" i="1"/>
  <c r="Q296" i="1"/>
  <c r="R296" i="1" s="1"/>
  <c r="S296" i="1" s="1"/>
  <c r="Y295" i="1"/>
  <c r="Y296" i="1" s="1"/>
  <c r="Y297" i="1" s="1"/>
  <c r="Y298" i="1" s="1"/>
  <c r="Y299" i="1" s="1"/>
  <c r="Y300" i="1" s="1"/>
  <c r="Y301" i="1" s="1"/>
  <c r="Y302" i="1" s="1"/>
  <c r="Y303" i="1" s="1"/>
  <c r="Y304" i="1" s="1"/>
  <c r="Y305" i="1" s="1"/>
  <c r="Y306" i="1" s="1"/>
  <c r="Y307" i="1" s="1"/>
  <c r="Y308" i="1" s="1"/>
  <c r="Y309" i="1" s="1"/>
  <c r="Y310" i="1" s="1"/>
  <c r="Y311" i="1" s="1"/>
  <c r="Y312" i="1" s="1"/>
  <c r="Y313" i="1" s="1"/>
  <c r="Y314" i="1" s="1"/>
  <c r="Y315" i="1" s="1"/>
  <c r="Y316" i="1" s="1"/>
  <c r="Q295" i="1"/>
  <c r="R295" i="1" s="1"/>
  <c r="S295" i="1" s="1"/>
  <c r="I295" i="1"/>
  <c r="H295" i="1"/>
  <c r="H296" i="1" s="1"/>
  <c r="H297" i="1" s="1"/>
  <c r="H298" i="1" s="1"/>
  <c r="H299" i="1" s="1"/>
  <c r="H300" i="1" s="1"/>
  <c r="H301" i="1" s="1"/>
  <c r="H302" i="1" s="1"/>
  <c r="H303" i="1" s="1"/>
  <c r="H304" i="1" s="1"/>
  <c r="H305" i="1" s="1"/>
  <c r="H306" i="1" s="1"/>
  <c r="H307" i="1" s="1"/>
  <c r="H308" i="1" s="1"/>
  <c r="H309" i="1" s="1"/>
  <c r="H310" i="1" s="1"/>
  <c r="H311" i="1" s="1"/>
  <c r="H312" i="1" s="1"/>
  <c r="H313" i="1" s="1"/>
  <c r="H314" i="1" s="1"/>
  <c r="H315" i="1" s="1"/>
  <c r="H316" i="1" s="1"/>
  <c r="Q294" i="1"/>
  <c r="R294" i="1" s="1"/>
  <c r="S294" i="1" s="1"/>
  <c r="S293" i="1"/>
  <c r="R293" i="1"/>
  <c r="Q293" i="1"/>
  <c r="S292" i="1"/>
  <c r="R292" i="1"/>
  <c r="Q292" i="1"/>
  <c r="Q291" i="1"/>
  <c r="R291" i="1" s="1"/>
  <c r="S291" i="1" s="1"/>
  <c r="Q290" i="1"/>
  <c r="R290" i="1" s="1"/>
  <c r="S290" i="1" s="1"/>
  <c r="Q289" i="1"/>
  <c r="R289" i="1" s="1"/>
  <c r="S289" i="1" s="1"/>
  <c r="Q288" i="1"/>
  <c r="R288" i="1" s="1"/>
  <c r="S288" i="1" s="1"/>
  <c r="Q287" i="1"/>
  <c r="R287" i="1" s="1"/>
  <c r="S287" i="1" s="1"/>
  <c r="Y286" i="1"/>
  <c r="Y287" i="1" s="1"/>
  <c r="Y288" i="1" s="1"/>
  <c r="Y289" i="1" s="1"/>
  <c r="Y290" i="1" s="1"/>
  <c r="Y291" i="1" s="1"/>
  <c r="Y292" i="1" s="1"/>
  <c r="Y293" i="1" s="1"/>
  <c r="S286" i="1"/>
  <c r="Q286" i="1"/>
  <c r="R286" i="1" s="1"/>
  <c r="Q285" i="1"/>
  <c r="R285" i="1" s="1"/>
  <c r="S285" i="1" s="1"/>
  <c r="R284" i="1"/>
  <c r="S284" i="1" s="1"/>
  <c r="Q284" i="1"/>
  <c r="S283" i="1"/>
  <c r="R283" i="1"/>
  <c r="Q283" i="1"/>
  <c r="S282" i="1"/>
  <c r="Q282" i="1"/>
  <c r="R282" i="1" s="1"/>
  <c r="Q281" i="1"/>
  <c r="R281" i="1" s="1"/>
  <c r="S281" i="1" s="1"/>
  <c r="Q280" i="1"/>
  <c r="R280" i="1" s="1"/>
  <c r="S280" i="1" s="1"/>
  <c r="Q279" i="1"/>
  <c r="R279" i="1" s="1"/>
  <c r="S279" i="1" s="1"/>
  <c r="I279" i="1"/>
  <c r="Q278" i="1"/>
  <c r="R278" i="1" s="1"/>
  <c r="S278" i="1" s="1"/>
  <c r="Z277" i="1"/>
  <c r="Q277" i="1"/>
  <c r="R277" i="1" s="1"/>
  <c r="S277" i="1" s="1"/>
  <c r="I277" i="1"/>
  <c r="Q276" i="1"/>
  <c r="R276" i="1" s="1"/>
  <c r="S276" i="1" s="1"/>
  <c r="Y275" i="1"/>
  <c r="Y276" i="1" s="1"/>
  <c r="Y277" i="1" s="1"/>
  <c r="Y278" i="1" s="1"/>
  <c r="Y279" i="1" s="1"/>
  <c r="Y280" i="1" s="1"/>
  <c r="Y281" i="1" s="1"/>
  <c r="Y282" i="1" s="1"/>
  <c r="Y283" i="1" s="1"/>
  <c r="Y284" i="1" s="1"/>
  <c r="Y285" i="1" s="1"/>
  <c r="Q275" i="1"/>
  <c r="R275" i="1" s="1"/>
  <c r="S275" i="1" s="1"/>
  <c r="I275" i="1"/>
  <c r="H275" i="1"/>
  <c r="H276" i="1" s="1"/>
  <c r="H277" i="1" s="1"/>
  <c r="H278" i="1" s="1"/>
  <c r="H279" i="1" s="1"/>
  <c r="H280" i="1" s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Q274" i="1"/>
  <c r="R274" i="1" s="1"/>
  <c r="S274" i="1" s="1"/>
  <c r="S273" i="1"/>
  <c r="R273" i="1"/>
  <c r="S272" i="1"/>
  <c r="R272" i="1"/>
  <c r="R271" i="1"/>
  <c r="S271" i="1" s="1"/>
  <c r="R270" i="1"/>
  <c r="S270" i="1" s="1"/>
  <c r="Y269" i="1"/>
  <c r="Y270" i="1" s="1"/>
  <c r="Y271" i="1" s="1"/>
  <c r="Y272" i="1" s="1"/>
  <c r="Y273" i="1" s="1"/>
  <c r="S269" i="1"/>
  <c r="R269" i="1"/>
  <c r="R268" i="1"/>
  <c r="S268" i="1" s="1"/>
  <c r="R267" i="1"/>
  <c r="S267" i="1" s="1"/>
  <c r="Y266" i="1"/>
  <c r="Y267" i="1" s="1"/>
  <c r="Y268" i="1" s="1"/>
  <c r="R266" i="1"/>
  <c r="S266" i="1" s="1"/>
  <c r="S265" i="1"/>
  <c r="R265" i="1"/>
  <c r="S264" i="1"/>
  <c r="R264" i="1"/>
  <c r="R263" i="1"/>
  <c r="S263" i="1" s="1"/>
  <c r="R262" i="1"/>
  <c r="S262" i="1" s="1"/>
  <c r="Y261" i="1"/>
  <c r="Y262" i="1" s="1"/>
  <c r="Y263" i="1" s="1"/>
  <c r="Y264" i="1" s="1"/>
  <c r="Y265" i="1" s="1"/>
  <c r="S261" i="1"/>
  <c r="R261" i="1"/>
  <c r="R260" i="1"/>
  <c r="S260" i="1" s="1"/>
  <c r="S259" i="1"/>
  <c r="R259" i="1"/>
  <c r="S258" i="1"/>
  <c r="R258" i="1"/>
  <c r="R257" i="1"/>
  <c r="S257" i="1" s="1"/>
  <c r="Y256" i="1"/>
  <c r="Y257" i="1" s="1"/>
  <c r="Y258" i="1" s="1"/>
  <c r="Y259" i="1" s="1"/>
  <c r="Y260" i="1" s="1"/>
  <c r="S256" i="1"/>
  <c r="R256" i="1"/>
  <c r="R255" i="1"/>
  <c r="S255" i="1" s="1"/>
  <c r="I255" i="1"/>
  <c r="S254" i="1"/>
  <c r="R254" i="1"/>
  <c r="Z253" i="1"/>
  <c r="R253" i="1"/>
  <c r="S253" i="1" s="1"/>
  <c r="I253" i="1"/>
  <c r="S252" i="1"/>
  <c r="R252" i="1"/>
  <c r="Y251" i="1"/>
  <c r="Y252" i="1" s="1"/>
  <c r="Y253" i="1" s="1"/>
  <c r="Y254" i="1" s="1"/>
  <c r="Y255" i="1" s="1"/>
  <c r="S251" i="1"/>
  <c r="R251" i="1"/>
  <c r="I251" i="1"/>
  <c r="H251" i="1"/>
  <c r="H252" i="1" s="1"/>
  <c r="H253" i="1" s="1"/>
  <c r="H254" i="1" s="1"/>
  <c r="H255" i="1" s="1"/>
  <c r="H256" i="1" s="1"/>
  <c r="H257" i="1" s="1"/>
  <c r="H258" i="1" s="1"/>
  <c r="H259" i="1" s="1"/>
  <c r="H260" i="1" s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S250" i="1"/>
  <c r="R250" i="1"/>
  <c r="R249" i="1"/>
  <c r="S249" i="1" s="1"/>
  <c r="R248" i="1"/>
  <c r="S248" i="1" s="1"/>
  <c r="Y247" i="1"/>
  <c r="Y248" i="1" s="1"/>
  <c r="Y249" i="1" s="1"/>
  <c r="S247" i="1"/>
  <c r="R247" i="1"/>
  <c r="R246" i="1"/>
  <c r="S246" i="1" s="1"/>
  <c r="R245" i="1"/>
  <c r="S245" i="1" s="1"/>
  <c r="R244" i="1"/>
  <c r="S244" i="1" s="1"/>
  <c r="S243" i="1"/>
  <c r="R243" i="1"/>
  <c r="S242" i="1"/>
  <c r="R242" i="1"/>
  <c r="R241" i="1"/>
  <c r="S241" i="1" s="1"/>
  <c r="R240" i="1"/>
  <c r="S240" i="1" s="1"/>
  <c r="H240" i="1"/>
  <c r="H241" i="1" s="1"/>
  <c r="H242" i="1" s="1"/>
  <c r="H243" i="1" s="1"/>
  <c r="H244" i="1" s="1"/>
  <c r="H245" i="1" s="1"/>
  <c r="H246" i="1" s="1"/>
  <c r="H247" i="1" s="1"/>
  <c r="H248" i="1" s="1"/>
  <c r="H249" i="1" s="1"/>
  <c r="S239" i="1"/>
  <c r="R239" i="1"/>
  <c r="S238" i="1"/>
  <c r="R238" i="1"/>
  <c r="R237" i="1"/>
  <c r="S237" i="1" s="1"/>
  <c r="R236" i="1"/>
  <c r="S236" i="1" s="1"/>
  <c r="R235" i="1"/>
  <c r="S235" i="1" s="1"/>
  <c r="S234" i="1"/>
  <c r="R234" i="1"/>
  <c r="I234" i="1"/>
  <c r="H234" i="1"/>
  <c r="H235" i="1" s="1"/>
  <c r="H236" i="1" s="1"/>
  <c r="H237" i="1" s="1"/>
  <c r="H238" i="1" s="1"/>
  <c r="H239" i="1" s="1"/>
  <c r="Y233" i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S233" i="1"/>
  <c r="R233" i="1"/>
  <c r="Z232" i="1"/>
  <c r="Y232" i="1"/>
  <c r="S232" i="1"/>
  <c r="R232" i="1"/>
  <c r="I232" i="1"/>
  <c r="Y231" i="1"/>
  <c r="S231" i="1"/>
  <c r="R231" i="1"/>
  <c r="Y230" i="1"/>
  <c r="R230" i="1"/>
  <c r="S230" i="1" s="1"/>
  <c r="I230" i="1"/>
  <c r="H230" i="1"/>
  <c r="H231" i="1" s="1"/>
  <c r="H232" i="1" s="1"/>
  <c r="H233" i="1" s="1"/>
  <c r="S229" i="1"/>
  <c r="R229" i="1"/>
  <c r="S228" i="1"/>
  <c r="R228" i="1"/>
  <c r="Q228" i="1"/>
  <c r="R227" i="1"/>
  <c r="S227" i="1" s="1"/>
  <c r="Q227" i="1"/>
  <c r="R226" i="1"/>
  <c r="S226" i="1" s="1"/>
  <c r="Q226" i="1"/>
  <c r="R225" i="1"/>
  <c r="S225" i="1" s="1"/>
  <c r="Q225" i="1"/>
  <c r="Q224" i="1"/>
  <c r="R224" i="1" s="1"/>
  <c r="S224" i="1" s="1"/>
  <c r="Q223" i="1"/>
  <c r="R223" i="1" s="1"/>
  <c r="S223" i="1" s="1"/>
  <c r="Q222" i="1"/>
  <c r="R222" i="1" s="1"/>
  <c r="S222" i="1" s="1"/>
  <c r="S221" i="1"/>
  <c r="R221" i="1"/>
  <c r="Q221" i="1"/>
  <c r="S220" i="1"/>
  <c r="R220" i="1"/>
  <c r="Q220" i="1"/>
  <c r="R219" i="1"/>
  <c r="S219" i="1" s="1"/>
  <c r="Q219" i="1"/>
  <c r="R218" i="1"/>
  <c r="S218" i="1" s="1"/>
  <c r="Q218" i="1"/>
  <c r="Q217" i="1"/>
  <c r="R217" i="1" s="1"/>
  <c r="S217" i="1" s="1"/>
  <c r="Q216" i="1"/>
  <c r="R216" i="1" s="1"/>
  <c r="S216" i="1" s="1"/>
  <c r="Q215" i="1"/>
  <c r="R215" i="1" s="1"/>
  <c r="S215" i="1" s="1"/>
  <c r="Q214" i="1"/>
  <c r="R214" i="1" s="1"/>
  <c r="S214" i="1" s="1"/>
  <c r="Q213" i="1"/>
  <c r="R213" i="1" s="1"/>
  <c r="S213" i="1" s="1"/>
  <c r="S212" i="1"/>
  <c r="R212" i="1"/>
  <c r="Q212" i="1"/>
  <c r="R211" i="1"/>
  <c r="S211" i="1" s="1"/>
  <c r="Q211" i="1"/>
  <c r="R210" i="1"/>
  <c r="S210" i="1" s="1"/>
  <c r="Q210" i="1"/>
  <c r="R209" i="1"/>
  <c r="S209" i="1" s="1"/>
  <c r="Q209" i="1"/>
  <c r="Q208" i="1"/>
  <c r="R208" i="1" s="1"/>
  <c r="S208" i="1" s="1"/>
  <c r="Q207" i="1"/>
  <c r="R207" i="1" s="1"/>
  <c r="S207" i="1" s="1"/>
  <c r="Q206" i="1"/>
  <c r="R206" i="1" s="1"/>
  <c r="S206" i="1" s="1"/>
  <c r="Q205" i="1"/>
  <c r="R205" i="1" s="1"/>
  <c r="S205" i="1" s="1"/>
  <c r="Q204" i="1"/>
  <c r="R204" i="1" s="1"/>
  <c r="S204" i="1" s="1"/>
  <c r="S203" i="1"/>
  <c r="R203" i="1"/>
  <c r="Q203" i="1"/>
  <c r="S202" i="1"/>
  <c r="R202" i="1"/>
  <c r="Q202" i="1"/>
  <c r="R201" i="1"/>
  <c r="S201" i="1" s="1"/>
  <c r="Q201" i="1"/>
  <c r="Q200" i="1"/>
  <c r="R200" i="1" s="1"/>
  <c r="S200" i="1" s="1"/>
  <c r="Q199" i="1"/>
  <c r="R199" i="1" s="1"/>
  <c r="S199" i="1" s="1"/>
  <c r="R198" i="1"/>
  <c r="S198" i="1" s="1"/>
  <c r="Q198" i="1"/>
  <c r="I198" i="1"/>
  <c r="R197" i="1"/>
  <c r="S197" i="1" s="1"/>
  <c r="Q197" i="1"/>
  <c r="H197" i="1"/>
  <c r="H198" i="1" s="1"/>
  <c r="H199" i="1" s="1"/>
  <c r="H200" i="1" s="1"/>
  <c r="H201" i="1" s="1"/>
  <c r="H202" i="1" s="1"/>
  <c r="H203" i="1" s="1"/>
  <c r="H204" i="1" s="1"/>
  <c r="H205" i="1" s="1"/>
  <c r="H206" i="1" s="1"/>
  <c r="H207" i="1" s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H218" i="1" s="1"/>
  <c r="H219" i="1" s="1"/>
  <c r="H220" i="1" s="1"/>
  <c r="H221" i="1" s="1"/>
  <c r="H222" i="1" s="1"/>
  <c r="H223" i="1" s="1"/>
  <c r="H224" i="1" s="1"/>
  <c r="H225" i="1" s="1"/>
  <c r="H226" i="1" s="1"/>
  <c r="H227" i="1" s="1"/>
  <c r="H228" i="1" s="1"/>
  <c r="Z196" i="1"/>
  <c r="Y196" i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Y218" i="1" s="1"/>
  <c r="Y219" i="1" s="1"/>
  <c r="Y220" i="1" s="1"/>
  <c r="Y221" i="1" s="1"/>
  <c r="Y222" i="1" s="1"/>
  <c r="Y223" i="1" s="1"/>
  <c r="Y224" i="1" s="1"/>
  <c r="Y225" i="1" s="1"/>
  <c r="Y226" i="1" s="1"/>
  <c r="Y227" i="1" s="1"/>
  <c r="Y228" i="1" s="1"/>
  <c r="R196" i="1"/>
  <c r="S196" i="1" s="1"/>
  <c r="Q196" i="1"/>
  <c r="I196" i="1"/>
  <c r="Y195" i="1"/>
  <c r="R195" i="1"/>
  <c r="S195" i="1" s="1"/>
  <c r="Q195" i="1"/>
  <c r="H195" i="1"/>
  <c r="H196" i="1" s="1"/>
  <c r="Y194" i="1"/>
  <c r="Q194" i="1"/>
  <c r="R194" i="1" s="1"/>
  <c r="S194" i="1" s="1"/>
  <c r="H194" i="1"/>
  <c r="R193" i="1"/>
  <c r="S193" i="1" s="1"/>
  <c r="Q193" i="1"/>
  <c r="R192" i="1"/>
  <c r="S192" i="1" s="1"/>
  <c r="S191" i="1"/>
  <c r="R191" i="1"/>
  <c r="S190" i="1"/>
  <c r="R190" i="1"/>
  <c r="R189" i="1"/>
  <c r="S189" i="1" s="1"/>
  <c r="R188" i="1"/>
  <c r="S188" i="1" s="1"/>
  <c r="S187" i="1"/>
  <c r="R187" i="1"/>
  <c r="S186" i="1"/>
  <c r="R186" i="1"/>
  <c r="R185" i="1"/>
  <c r="S185" i="1" s="1"/>
  <c r="R184" i="1"/>
  <c r="S184" i="1" s="1"/>
  <c r="S183" i="1"/>
  <c r="R183" i="1"/>
  <c r="S182" i="1"/>
  <c r="R182" i="1"/>
  <c r="R181" i="1"/>
  <c r="S181" i="1" s="1"/>
  <c r="R180" i="1"/>
  <c r="S180" i="1" s="1"/>
  <c r="S179" i="1"/>
  <c r="R179" i="1"/>
  <c r="S178" i="1"/>
  <c r="R178" i="1"/>
  <c r="R177" i="1"/>
  <c r="S177" i="1" s="1"/>
  <c r="R176" i="1"/>
  <c r="S176" i="1" s="1"/>
  <c r="S175" i="1"/>
  <c r="R175" i="1"/>
  <c r="S174" i="1"/>
  <c r="R174" i="1"/>
  <c r="R173" i="1"/>
  <c r="S173" i="1" s="1"/>
  <c r="R172" i="1"/>
  <c r="S172" i="1" s="1"/>
  <c r="S171" i="1"/>
  <c r="R171" i="1"/>
  <c r="H171" i="1"/>
  <c r="H172" i="1" s="1"/>
  <c r="H173" i="1" s="1"/>
  <c r="H174" i="1" s="1"/>
  <c r="H175" i="1" s="1"/>
  <c r="H176" i="1" s="1"/>
  <c r="H177" i="1" s="1"/>
  <c r="H178" i="1" s="1"/>
  <c r="H179" i="1" s="1"/>
  <c r="H180" i="1" s="1"/>
  <c r="H181" i="1" s="1"/>
  <c r="H182" i="1" s="1"/>
  <c r="H183" i="1" s="1"/>
  <c r="H184" i="1" s="1"/>
  <c r="H185" i="1" s="1"/>
  <c r="H186" i="1" s="1"/>
  <c r="H187" i="1" s="1"/>
  <c r="H188" i="1" s="1"/>
  <c r="H189" i="1" s="1"/>
  <c r="H190" i="1" s="1"/>
  <c r="H191" i="1" s="1"/>
  <c r="H192" i="1" s="1"/>
  <c r="S170" i="1"/>
  <c r="R170" i="1"/>
  <c r="H170" i="1"/>
  <c r="R169" i="1"/>
  <c r="S169" i="1" s="1"/>
  <c r="R168" i="1"/>
  <c r="S168" i="1" s="1"/>
  <c r="R167" i="1"/>
  <c r="S167" i="1" s="1"/>
  <c r="S166" i="1"/>
  <c r="R166" i="1"/>
  <c r="S165" i="1"/>
  <c r="R165" i="1"/>
  <c r="R164" i="1"/>
  <c r="S164" i="1" s="1"/>
  <c r="H164" i="1"/>
  <c r="H165" i="1" s="1"/>
  <c r="H166" i="1" s="1"/>
  <c r="H167" i="1" s="1"/>
  <c r="H168" i="1" s="1"/>
  <c r="R163" i="1"/>
  <c r="S163" i="1" s="1"/>
  <c r="R162" i="1"/>
  <c r="S162" i="1" s="1"/>
  <c r="R161" i="1"/>
  <c r="S161" i="1" s="1"/>
  <c r="R160" i="1"/>
  <c r="S160" i="1" s="1"/>
  <c r="S159" i="1"/>
  <c r="R159" i="1"/>
  <c r="S158" i="1"/>
  <c r="R158" i="1"/>
  <c r="R157" i="1"/>
  <c r="S157" i="1" s="1"/>
  <c r="R156" i="1"/>
  <c r="S156" i="1" s="1"/>
  <c r="S155" i="1"/>
  <c r="R155" i="1"/>
  <c r="S154" i="1"/>
  <c r="R154" i="1"/>
  <c r="R153" i="1"/>
  <c r="S153" i="1" s="1"/>
  <c r="R152" i="1"/>
  <c r="S152" i="1" s="1"/>
  <c r="S151" i="1"/>
  <c r="R151" i="1"/>
  <c r="H151" i="1"/>
  <c r="H152" i="1" s="1"/>
  <c r="H153" i="1" s="1"/>
  <c r="H154" i="1" s="1"/>
  <c r="H155" i="1" s="1"/>
  <c r="H156" i="1" s="1"/>
  <c r="H157" i="1" s="1"/>
  <c r="H158" i="1" s="1"/>
  <c r="H159" i="1" s="1"/>
  <c r="H160" i="1" s="1"/>
  <c r="H161" i="1" s="1"/>
  <c r="S150" i="1"/>
  <c r="R150" i="1"/>
  <c r="H150" i="1"/>
  <c r="R149" i="1"/>
  <c r="S149" i="1" s="1"/>
  <c r="S148" i="1"/>
  <c r="R148" i="1"/>
  <c r="S147" i="1"/>
  <c r="R147" i="1"/>
  <c r="S146" i="1"/>
  <c r="R146" i="1"/>
  <c r="S145" i="1"/>
  <c r="R145" i="1"/>
  <c r="S144" i="1"/>
  <c r="R144" i="1"/>
  <c r="R143" i="1"/>
  <c r="S143" i="1" s="1"/>
  <c r="R142" i="1"/>
  <c r="S142" i="1" s="1"/>
  <c r="S141" i="1"/>
  <c r="R141" i="1"/>
  <c r="S140" i="1"/>
  <c r="R140" i="1"/>
  <c r="R139" i="1"/>
  <c r="S139" i="1" s="1"/>
  <c r="R138" i="1"/>
  <c r="S138" i="1" s="1"/>
  <c r="S137" i="1"/>
  <c r="R137" i="1"/>
  <c r="S136" i="1"/>
  <c r="R136" i="1"/>
  <c r="R135" i="1"/>
  <c r="S135" i="1" s="1"/>
  <c r="R134" i="1"/>
  <c r="S134" i="1" s="1"/>
  <c r="S133" i="1"/>
  <c r="R133" i="1"/>
  <c r="H133" i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S132" i="1"/>
  <c r="R132" i="1"/>
  <c r="H132" i="1"/>
  <c r="R131" i="1"/>
  <c r="S131" i="1" s="1"/>
  <c r="S130" i="1"/>
  <c r="R130" i="1"/>
  <c r="R129" i="1"/>
  <c r="S129" i="1" s="1"/>
  <c r="R128" i="1"/>
  <c r="S128" i="1" s="1"/>
  <c r="S127" i="1"/>
  <c r="R127" i="1"/>
  <c r="S126" i="1"/>
  <c r="R126" i="1"/>
  <c r="R125" i="1"/>
  <c r="S125" i="1" s="1"/>
  <c r="S124" i="1"/>
  <c r="R124" i="1"/>
  <c r="H124" i="1"/>
  <c r="H125" i="1" s="1"/>
  <c r="H126" i="1" s="1"/>
  <c r="H127" i="1" s="1"/>
  <c r="H128" i="1" s="1"/>
  <c r="H129" i="1" s="1"/>
  <c r="H130" i="1" s="1"/>
  <c r="S123" i="1"/>
  <c r="R123" i="1"/>
  <c r="S122" i="1"/>
  <c r="R122" i="1"/>
  <c r="S121" i="1"/>
  <c r="R121" i="1"/>
  <c r="R120" i="1"/>
  <c r="S120" i="1" s="1"/>
  <c r="R119" i="1"/>
  <c r="S119" i="1" s="1"/>
  <c r="S118" i="1"/>
  <c r="R118" i="1"/>
  <c r="S117" i="1"/>
  <c r="R117" i="1"/>
  <c r="R116" i="1"/>
  <c r="S116" i="1" s="1"/>
  <c r="R115" i="1"/>
  <c r="S115" i="1" s="1"/>
  <c r="S114" i="1"/>
  <c r="R114" i="1"/>
  <c r="S113" i="1"/>
  <c r="R113" i="1"/>
  <c r="R112" i="1"/>
  <c r="S112" i="1" s="1"/>
  <c r="S111" i="1"/>
  <c r="R111" i="1"/>
  <c r="S110" i="1"/>
  <c r="R110" i="1"/>
  <c r="R109" i="1"/>
  <c r="S109" i="1" s="1"/>
  <c r="S108" i="1"/>
  <c r="R108" i="1"/>
  <c r="S107" i="1"/>
  <c r="R107" i="1"/>
  <c r="R106" i="1"/>
  <c r="S106" i="1" s="1"/>
  <c r="R105" i="1"/>
  <c r="S105" i="1" s="1"/>
  <c r="R104" i="1"/>
  <c r="S104" i="1" s="1"/>
  <c r="S103" i="1"/>
  <c r="R103" i="1"/>
  <c r="R102" i="1"/>
  <c r="S102" i="1" s="1"/>
  <c r="S101" i="1"/>
  <c r="R101" i="1"/>
  <c r="R100" i="1"/>
  <c r="S100" i="1" s="1"/>
  <c r="R99" i="1"/>
  <c r="S99" i="1" s="1"/>
  <c r="H99" i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121" i="1" s="1"/>
  <c r="H122" i="1" s="1"/>
  <c r="Z98" i="1"/>
  <c r="Y98" i="1"/>
  <c r="Y99" i="1" s="1"/>
  <c r="Y100" i="1" s="1"/>
  <c r="Y101" i="1" s="1"/>
  <c r="Y102" i="1" s="1"/>
  <c r="Y103" i="1" s="1"/>
  <c r="Y104" i="1" s="1"/>
  <c r="Y105" i="1" s="1"/>
  <c r="Y106" i="1" s="1"/>
  <c r="Y107" i="1" s="1"/>
  <c r="Y108" i="1" s="1"/>
  <c r="Y109" i="1" s="1"/>
  <c r="Y110" i="1" s="1"/>
  <c r="Y111" i="1" s="1"/>
  <c r="Y112" i="1" s="1"/>
  <c r="Y113" i="1" s="1"/>
  <c r="Y114" i="1" s="1"/>
  <c r="Y115" i="1" s="1"/>
  <c r="Y116" i="1" s="1"/>
  <c r="Y117" i="1" s="1"/>
  <c r="Y118" i="1" s="1"/>
  <c r="Y119" i="1" s="1"/>
  <c r="Y120" i="1" s="1"/>
  <c r="Y121" i="1" s="1"/>
  <c r="Y122" i="1" s="1"/>
  <c r="Y123" i="1" s="1"/>
  <c r="Y124" i="1" s="1"/>
  <c r="Y125" i="1" s="1"/>
  <c r="Y126" i="1" s="1"/>
  <c r="Y127" i="1" s="1"/>
  <c r="Y128" i="1" s="1"/>
  <c r="Y129" i="1" s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S98" i="1"/>
  <c r="R98" i="1"/>
  <c r="H98" i="1"/>
  <c r="Y97" i="1"/>
  <c r="S97" i="1"/>
  <c r="R97" i="1"/>
  <c r="H97" i="1"/>
  <c r="R96" i="1"/>
  <c r="S96" i="1" s="1"/>
  <c r="H96" i="1"/>
  <c r="Y95" i="1"/>
  <c r="Y96" i="1" s="1"/>
  <c r="R95" i="1"/>
  <c r="S95" i="1" s="1"/>
  <c r="Q94" i="1"/>
  <c r="R94" i="1" s="1"/>
  <c r="S94" i="1" s="1"/>
  <c r="Q93" i="1"/>
  <c r="R93" i="1" s="1"/>
  <c r="S93" i="1" s="1"/>
  <c r="Q92" i="1"/>
  <c r="R92" i="1" s="1"/>
  <c r="S92" i="1" s="1"/>
  <c r="S91" i="1"/>
  <c r="R91" i="1"/>
  <c r="Q91" i="1"/>
  <c r="Q90" i="1"/>
  <c r="R90" i="1" s="1"/>
  <c r="S90" i="1" s="1"/>
  <c r="R89" i="1"/>
  <c r="S89" i="1" s="1"/>
  <c r="Q89" i="1"/>
  <c r="Q88" i="1"/>
  <c r="R88" i="1" s="1"/>
  <c r="S88" i="1" s="1"/>
  <c r="Q87" i="1"/>
  <c r="R87" i="1" s="1"/>
  <c r="S87" i="1" s="1"/>
  <c r="S86" i="1"/>
  <c r="Q86" i="1"/>
  <c r="R86" i="1" s="1"/>
  <c r="R85" i="1"/>
  <c r="S85" i="1" s="1"/>
  <c r="Q85" i="1"/>
  <c r="Q84" i="1"/>
  <c r="R84" i="1" s="1"/>
  <c r="S84" i="1" s="1"/>
  <c r="R83" i="1"/>
  <c r="S83" i="1" s="1"/>
  <c r="Q83" i="1"/>
  <c r="Q82" i="1"/>
  <c r="R82" i="1" s="1"/>
  <c r="S82" i="1" s="1"/>
  <c r="R81" i="1"/>
  <c r="S81" i="1" s="1"/>
  <c r="Q81" i="1"/>
  <c r="R80" i="1"/>
  <c r="S80" i="1" s="1"/>
  <c r="Q80" i="1"/>
  <c r="Q79" i="1"/>
  <c r="R79" i="1" s="1"/>
  <c r="S79" i="1" s="1"/>
  <c r="Q78" i="1"/>
  <c r="R78" i="1" s="1"/>
  <c r="S78" i="1" s="1"/>
  <c r="Q77" i="1"/>
  <c r="R77" i="1" s="1"/>
  <c r="S77" i="1" s="1"/>
  <c r="Q76" i="1"/>
  <c r="R76" i="1" s="1"/>
  <c r="S76" i="1" s="1"/>
  <c r="S75" i="1"/>
  <c r="R75" i="1"/>
  <c r="Q75" i="1"/>
  <c r="Q74" i="1"/>
  <c r="R74" i="1" s="1"/>
  <c r="S74" i="1" s="1"/>
  <c r="R73" i="1"/>
  <c r="S73" i="1" s="1"/>
  <c r="Q73" i="1"/>
  <c r="Q72" i="1"/>
  <c r="R72" i="1" s="1"/>
  <c r="S72" i="1" s="1"/>
  <c r="Q71" i="1"/>
  <c r="R71" i="1" s="1"/>
  <c r="S71" i="1" s="1"/>
  <c r="S70" i="1"/>
  <c r="Q70" i="1"/>
  <c r="R70" i="1" s="1"/>
  <c r="R69" i="1"/>
  <c r="S69" i="1" s="1"/>
  <c r="Q69" i="1"/>
  <c r="Q68" i="1"/>
  <c r="R68" i="1" s="1"/>
  <c r="S68" i="1" s="1"/>
  <c r="R67" i="1"/>
  <c r="S67" i="1" s="1"/>
  <c r="Q67" i="1"/>
  <c r="Q66" i="1"/>
  <c r="R66" i="1" s="1"/>
  <c r="S66" i="1" s="1"/>
  <c r="R65" i="1"/>
  <c r="S65" i="1" s="1"/>
  <c r="Q65" i="1"/>
  <c r="R64" i="1"/>
  <c r="S64" i="1" s="1"/>
  <c r="Q64" i="1"/>
  <c r="Q63" i="1"/>
  <c r="R63" i="1" s="1"/>
  <c r="S63" i="1" s="1"/>
  <c r="Q62" i="1"/>
  <c r="R62" i="1" s="1"/>
  <c r="S62" i="1" s="1"/>
  <c r="Q61" i="1"/>
  <c r="R61" i="1" s="1"/>
  <c r="S61" i="1" s="1"/>
  <c r="Q60" i="1"/>
  <c r="R60" i="1" s="1"/>
  <c r="S60" i="1" s="1"/>
  <c r="S59" i="1"/>
  <c r="R59" i="1"/>
  <c r="Q59" i="1"/>
  <c r="Q58" i="1"/>
  <c r="R58" i="1" s="1"/>
  <c r="S58" i="1" s="1"/>
  <c r="R57" i="1"/>
  <c r="S57" i="1" s="1"/>
  <c r="Q57" i="1"/>
  <c r="Q56" i="1"/>
  <c r="R56" i="1" s="1"/>
  <c r="S56" i="1" s="1"/>
  <c r="Q55" i="1"/>
  <c r="R55" i="1" s="1"/>
  <c r="S55" i="1" s="1"/>
  <c r="S54" i="1"/>
  <c r="Q54" i="1"/>
  <c r="R54" i="1" s="1"/>
  <c r="R53" i="1"/>
  <c r="S53" i="1" s="1"/>
  <c r="Q53" i="1"/>
  <c r="Q52" i="1"/>
  <c r="R52" i="1" s="1"/>
  <c r="S52" i="1" s="1"/>
  <c r="R51" i="1"/>
  <c r="S51" i="1" s="1"/>
  <c r="Q51" i="1"/>
  <c r="Q50" i="1"/>
  <c r="R50" i="1" s="1"/>
  <c r="S50" i="1" s="1"/>
  <c r="R49" i="1"/>
  <c r="S49" i="1" s="1"/>
  <c r="Q49" i="1"/>
  <c r="R48" i="1"/>
  <c r="S48" i="1" s="1"/>
  <c r="Q48" i="1"/>
  <c r="Q47" i="1"/>
  <c r="R47" i="1" s="1"/>
  <c r="S47" i="1" s="1"/>
  <c r="Q46" i="1"/>
  <c r="R46" i="1" s="1"/>
  <c r="S46" i="1" s="1"/>
  <c r="Q45" i="1"/>
  <c r="R45" i="1" s="1"/>
  <c r="S45" i="1" s="1"/>
  <c r="Q44" i="1"/>
  <c r="R44" i="1" s="1"/>
  <c r="S44" i="1" s="1"/>
  <c r="S43" i="1"/>
  <c r="R43" i="1"/>
  <c r="Q43" i="1"/>
  <c r="Q42" i="1"/>
  <c r="R42" i="1" s="1"/>
  <c r="S42" i="1" s="1"/>
  <c r="R41" i="1"/>
  <c r="S41" i="1" s="1"/>
  <c r="Q41" i="1"/>
  <c r="Q40" i="1"/>
  <c r="R40" i="1" s="1"/>
  <c r="S40" i="1" s="1"/>
  <c r="Q39" i="1"/>
  <c r="R39" i="1" s="1"/>
  <c r="S39" i="1" s="1"/>
  <c r="S38" i="1"/>
  <c r="Q38" i="1"/>
  <c r="R38" i="1" s="1"/>
  <c r="R37" i="1"/>
  <c r="S37" i="1" s="1"/>
  <c r="Q37" i="1"/>
  <c r="Q36" i="1"/>
  <c r="R36" i="1" s="1"/>
  <c r="S36" i="1" s="1"/>
  <c r="R35" i="1"/>
  <c r="S35" i="1" s="1"/>
  <c r="Q35" i="1"/>
  <c r="Q34" i="1"/>
  <c r="R34" i="1" s="1"/>
  <c r="S34" i="1" s="1"/>
  <c r="R33" i="1"/>
  <c r="S33" i="1" s="1"/>
  <c r="Q33" i="1"/>
  <c r="R32" i="1"/>
  <c r="S32" i="1" s="1"/>
  <c r="Q32" i="1"/>
  <c r="Q31" i="1"/>
  <c r="R31" i="1" s="1"/>
  <c r="S31" i="1" s="1"/>
  <c r="Q30" i="1"/>
  <c r="R30" i="1" s="1"/>
  <c r="S30" i="1" s="1"/>
  <c r="Q29" i="1"/>
  <c r="R29" i="1" s="1"/>
  <c r="S29" i="1" s="1"/>
  <c r="Q28" i="1"/>
  <c r="R28" i="1" s="1"/>
  <c r="S28" i="1" s="1"/>
  <c r="R27" i="1"/>
  <c r="S27" i="1" s="1"/>
  <c r="Q27" i="1"/>
  <c r="Q26" i="1"/>
  <c r="R26" i="1" s="1"/>
  <c r="S26" i="1" s="1"/>
  <c r="R25" i="1"/>
  <c r="S25" i="1" s="1"/>
  <c r="Q25" i="1"/>
  <c r="Q24" i="1"/>
  <c r="R24" i="1" s="1"/>
  <c r="S24" i="1" s="1"/>
  <c r="Q23" i="1"/>
  <c r="R23" i="1" s="1"/>
  <c r="S23" i="1" s="1"/>
  <c r="Q22" i="1"/>
  <c r="R22" i="1" s="1"/>
  <c r="S22" i="1" s="1"/>
  <c r="R21" i="1"/>
  <c r="S21" i="1" s="1"/>
  <c r="Q21" i="1"/>
  <c r="Q20" i="1"/>
  <c r="R20" i="1" s="1"/>
  <c r="S20" i="1" s="1"/>
  <c r="R19" i="1"/>
  <c r="S19" i="1" s="1"/>
  <c r="Q19" i="1"/>
  <c r="Q18" i="1"/>
  <c r="R18" i="1" s="1"/>
  <c r="S18" i="1" s="1"/>
  <c r="Q17" i="1"/>
  <c r="R17" i="1" s="1"/>
  <c r="S17" i="1" s="1"/>
  <c r="R16" i="1"/>
  <c r="S16" i="1" s="1"/>
  <c r="Q16" i="1"/>
  <c r="R15" i="1"/>
  <c r="S15" i="1" s="1"/>
  <c r="Q15" i="1"/>
  <c r="S14" i="1"/>
  <c r="R14" i="1"/>
  <c r="R13" i="1"/>
  <c r="S13" i="1" s="1"/>
  <c r="R12" i="1"/>
  <c r="S12" i="1" s="1"/>
  <c r="R11" i="1"/>
  <c r="S11" i="1" s="1"/>
  <c r="R10" i="1"/>
  <c r="S10" i="1" s="1"/>
  <c r="Z9" i="1"/>
  <c r="S9" i="1"/>
  <c r="R9" i="1"/>
  <c r="R8" i="1"/>
  <c r="S8" i="1" s="1"/>
  <c r="S7" i="1"/>
  <c r="R7" i="1"/>
  <c r="R6" i="1"/>
  <c r="S6" i="1" s="1"/>
  <c r="O7" i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O49" i="1" s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O69" i="1" s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O188" i="1" s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O207" i="1" s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T8" i="2" l="1"/>
  <c r="T9" i="2" s="1"/>
  <c r="T10" i="2" s="1"/>
  <c r="T11" i="2" s="1"/>
  <c r="T12" i="2" s="1"/>
  <c r="T13" i="2" s="1"/>
  <c r="T14" i="2" s="1"/>
  <c r="T15" i="2" s="1"/>
  <c r="T16" i="2" s="1"/>
  <c r="T17" i="2" s="1"/>
  <c r="T18" i="2" s="1"/>
  <c r="T19" i="2" s="1"/>
  <c r="T20" i="2" s="1"/>
  <c r="T21" i="2" s="1"/>
  <c r="T22" i="2" s="1"/>
  <c r="T23" i="2" s="1"/>
  <c r="T24" i="2" s="1"/>
  <c r="T25" i="2" s="1"/>
  <c r="T26" i="2" s="1"/>
  <c r="T27" i="2" s="1"/>
  <c r="T28" i="2" s="1"/>
  <c r="T29" i="2" s="1"/>
  <c r="T30" i="2" s="1"/>
  <c r="T31" i="2" s="1"/>
  <c r="T32" i="2" s="1"/>
  <c r="T33" i="2" s="1"/>
  <c r="T34" i="2" s="1"/>
  <c r="T35" i="2" s="1"/>
  <c r="T36" i="2" s="1"/>
  <c r="T37" i="2" s="1"/>
  <c r="T38" i="2" s="1"/>
  <c r="T39" i="2" s="1"/>
  <c r="T40" i="2" s="1"/>
  <c r="T41" i="2" s="1"/>
  <c r="T42" i="2" s="1"/>
  <c r="T43" i="2" s="1"/>
  <c r="T44" i="2" s="1"/>
  <c r="T45" i="2" s="1"/>
  <c r="T46" i="2" s="1"/>
  <c r="T47" i="2" s="1"/>
  <c r="T48" i="2" s="1"/>
  <c r="T49" i="2" s="1"/>
  <c r="T50" i="2" s="1"/>
  <c r="T51" i="2" s="1"/>
  <c r="T52" i="2" s="1"/>
  <c r="T53" i="2" s="1"/>
  <c r="T54" i="2" s="1"/>
  <c r="T55" i="2" s="1"/>
  <c r="T56" i="2" s="1"/>
  <c r="T57" i="2" s="1"/>
  <c r="T58" i="2" s="1"/>
  <c r="T59" i="2" s="1"/>
  <c r="T60" i="2" s="1"/>
  <c r="T61" i="2" s="1"/>
  <c r="T62" i="2" s="1"/>
  <c r="T63" i="2" s="1"/>
  <c r="T64" i="2" s="1"/>
  <c r="T65" i="2" s="1"/>
  <c r="T66" i="2" s="1"/>
  <c r="T67" i="2" s="1"/>
  <c r="T68" i="2" s="1"/>
  <c r="T69" i="2" s="1"/>
  <c r="T70" i="2" s="1"/>
  <c r="T71" i="2" s="1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7" i="1"/>
  <c r="T96" i="2" l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U17" i="2"/>
  <c r="U15" i="2"/>
  <c r="U13" i="2"/>
  <c r="T8" i="1"/>
  <c r="T9" i="1" s="1"/>
  <c r="T10" i="1" s="1"/>
  <c r="T11" i="1" s="1"/>
  <c r="T12" i="1" s="1"/>
  <c r="T13" i="1" s="1"/>
  <c r="T14" i="1" s="1"/>
  <c r="T15" i="1" s="1"/>
  <c r="T16" i="1" s="1"/>
  <c r="T17" i="1" s="1"/>
  <c r="T18" i="1" s="1"/>
  <c r="T19" i="1" s="1"/>
  <c r="T20" i="1" s="1"/>
  <c r="T21" i="1" s="1"/>
  <c r="T22" i="1" s="1"/>
  <c r="T23" i="1" s="1"/>
  <c r="T24" i="1" s="1"/>
  <c r="T25" i="1" s="1"/>
  <c r="T26" i="1" s="1"/>
  <c r="T27" i="1" s="1"/>
  <c r="T28" i="1" s="1"/>
  <c r="T29" i="1" s="1"/>
  <c r="T30" i="1" s="1"/>
  <c r="T31" i="1" s="1"/>
  <c r="T32" i="1" s="1"/>
  <c r="T33" i="1" s="1"/>
  <c r="T34" i="1" s="1"/>
  <c r="T35" i="1" s="1"/>
  <c r="T36" i="1" s="1"/>
  <c r="T37" i="1" s="1"/>
  <c r="T38" i="1" s="1"/>
  <c r="T39" i="1" s="1"/>
  <c r="T40" i="1" s="1"/>
  <c r="T41" i="1" s="1"/>
  <c r="T42" i="1" s="1"/>
  <c r="T43" i="1" s="1"/>
  <c r="T44" i="1" s="1"/>
  <c r="T45" i="1" s="1"/>
  <c r="T46" i="1" s="1"/>
  <c r="T47" i="1" s="1"/>
  <c r="T48" i="1" s="1"/>
  <c r="T49" i="1" s="1"/>
  <c r="T50" i="1" s="1"/>
  <c r="T51" i="1" s="1"/>
  <c r="T52" i="1" s="1"/>
  <c r="T53" i="1" s="1"/>
  <c r="T54" i="1" s="1"/>
  <c r="T55" i="1" s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T69" i="1" s="1"/>
  <c r="T70" i="1" s="1"/>
  <c r="T71" i="1" s="1"/>
  <c r="T72" i="1" s="1"/>
  <c r="T73" i="1" s="1"/>
  <c r="T74" i="1" s="1"/>
  <c r="T75" i="1" s="1"/>
  <c r="T76" i="1" s="1"/>
  <c r="T77" i="1" s="1"/>
  <c r="T78" i="1" s="1"/>
  <c r="T79" i="1" s="1"/>
  <c r="T80" i="1" s="1"/>
  <c r="T81" i="1" s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194" i="2" l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T219" i="2" s="1"/>
  <c r="T220" i="2" s="1"/>
  <c r="T221" i="2" s="1"/>
  <c r="T222" i="2" s="1"/>
  <c r="T223" i="2" s="1"/>
  <c r="T224" i="2" s="1"/>
  <c r="T225" i="2" s="1"/>
  <c r="T226" i="2" s="1"/>
  <c r="T227" i="2" s="1"/>
  <c r="T228" i="2" s="1"/>
  <c r="U102" i="2"/>
  <c r="U106" i="2"/>
  <c r="U104" i="2"/>
  <c r="U15" i="1"/>
  <c r="U13" i="1"/>
  <c r="U17" i="1"/>
  <c r="T96" i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T128" i="1" s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229" i="2" l="1"/>
  <c r="T230" i="2" s="1"/>
  <c r="U204" i="2"/>
  <c r="U205" i="2" s="1"/>
  <c r="U200" i="2"/>
  <c r="U202" i="2"/>
  <c r="U102" i="1"/>
  <c r="U106" i="1"/>
  <c r="U104" i="1"/>
  <c r="T194" i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T219" i="1" s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1" i="2" l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U202" i="1"/>
  <c r="U200" i="1"/>
  <c r="U204" i="1"/>
  <c r="T230" i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U236" i="2" l="1"/>
  <c r="U238" i="2"/>
  <c r="U242" i="2"/>
  <c r="T250" i="2"/>
  <c r="T251" i="2" s="1"/>
  <c r="T252" i="2" s="1"/>
  <c r="T253" i="2" s="1"/>
  <c r="T254" i="2" s="1"/>
  <c r="T255" i="2" s="1"/>
  <c r="T256" i="2" s="1"/>
  <c r="T257" i="2" s="1"/>
  <c r="T258" i="2" s="1"/>
  <c r="T259" i="2" s="1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U238" i="1"/>
  <c r="U236" i="1"/>
  <c r="U240" i="1"/>
  <c r="T251" i="1"/>
  <c r="T252" i="1" s="1"/>
  <c r="T253" i="1" s="1"/>
  <c r="T254" i="1" s="1"/>
  <c r="T255" i="1" s="1"/>
  <c r="T256" i="1" s="1"/>
  <c r="T257" i="1" s="1"/>
  <c r="T258" i="1" s="1"/>
  <c r="T259" i="1" s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U257" i="2" l="1"/>
  <c r="U261" i="2"/>
  <c r="U263" i="2" s="1"/>
  <c r="U259" i="2"/>
  <c r="T274" i="2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U257" i="1"/>
  <c r="U261" i="1"/>
  <c r="U259" i="1"/>
  <c r="T275" i="1"/>
  <c r="T276" i="1" s="1"/>
  <c r="T277" i="1" s="1"/>
  <c r="T278" i="1" s="1"/>
  <c r="T279" i="1" s="1"/>
  <c r="T280" i="1" s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U285" i="2" l="1"/>
  <c r="U286" i="2" s="1"/>
  <c r="U283" i="2"/>
  <c r="U281" i="2"/>
  <c r="U285" i="1"/>
  <c r="U283" i="1"/>
  <c r="U281" i="1"/>
  <c r="T295" i="1"/>
  <c r="T296" i="1" s="1"/>
  <c r="T297" i="1" s="1"/>
  <c r="T298" i="1" s="1"/>
  <c r="T299" i="1" s="1"/>
  <c r="T300" i="1" s="1"/>
  <c r="T301" i="1" s="1"/>
  <c r="T302" i="1" s="1"/>
  <c r="T303" i="1" s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U305" i="1"/>
  <c r="U305" i="2" l="1"/>
  <c r="U307" i="2" s="1"/>
  <c r="U301" i="2"/>
  <c r="U303" i="2"/>
  <c r="U303" i="1"/>
  <c r="U301" i="1"/>
</calcChain>
</file>

<file path=xl/sharedStrings.xml><?xml version="1.0" encoding="utf-8"?>
<sst xmlns="http://schemas.openxmlformats.org/spreadsheetml/2006/main" count="317" uniqueCount="57">
  <si>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</si>
  <si>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</si>
  <si>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</si>
  <si>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</si>
  <si>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</si>
  <si>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</si>
  <si>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</si>
  <si>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</si>
  <si>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</si>
  <si>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</si>
  <si>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</si>
  <si>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</si>
  <si>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</si>
  <si>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</si>
  <si>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</si>
  <si>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</si>
  <si>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</si>
  <si>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</si>
  <si>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</si>
  <si>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</si>
  <si>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</si>
  <si>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</si>
  <si>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</si>
  <si>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</si>
  <si>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Cumul_RG</t>
  </si>
  <si>
    <t>SEMIS SYN15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</si>
  <si>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</si>
  <si>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</si>
  <si>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</si>
  <si>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</si>
  <si>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</si>
  <si>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</si>
  <si>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</si>
  <si>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</si>
  <si>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</si>
  <si>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</si>
  <si>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</si>
  <si>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</si>
  <si>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</si>
  <si>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</si>
  <si>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</si>
  <si>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</si>
  <si>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</si>
  <si>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</si>
  <si>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</si>
  <si>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</si>
  <si>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Montego</t>
  </si>
  <si>
    <t>Aviso</t>
  </si>
  <si>
    <t>Fin FLO</t>
  </si>
  <si>
    <t>WSC_I</t>
  </si>
  <si>
    <t>BI</t>
  </si>
  <si>
    <t>DRF</t>
  </si>
  <si>
    <t>TS</t>
  </si>
  <si>
    <t>IRF</t>
  </si>
  <si>
    <t>N50</t>
  </si>
  <si>
    <t>N80</t>
  </si>
  <si>
    <t>WSC_i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</si>
</sst>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u/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b/>
      <sz val="11"/>
      <color rgb="FFFF0000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</fonts>
  <fills count="21">
    <fill>
      <patternFill patternType="none"/>
    </fill>
    <fill>
      <patternFill patternType="gray125"/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CCC0D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0070C0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4F81BD"/>
        <bgColor rgb="FF000000"/>
      </patternFill>
    </fill>
    <fill>
      <patternFill patternType="solid">
        <fgColor rgb="FFB1A0C7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Fill="1" applyAlignme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4" fillId="0" borderId="0" xfId="0" applyFont="1" applyFill="1" applyBorder="1"/>
    <xf numFmtId="0" fontId="5" fillId="0" borderId="0" xfId="0" applyFont="1" applyFill="1" applyBorder="1" applyAlignment="1">
      <alignment horizontal="center" vertical="center"/>
    </xf>
    <xf numFmtId="14" fontId="4" fillId="4" borderId="0" xfId="0" applyNumberFormat="1" applyFont="1" applyFill="1" applyBorder="1"/>
    <xf numFmtId="0" fontId="5" fillId="3" borderId="0" xfId="0" applyFont="1" applyFill="1" applyBorder="1"/>
    <xf numFmtId="0" fontId="4" fillId="5" borderId="0" xfId="0" applyFont="1" applyFill="1" applyBorder="1"/>
    <xf numFmtId="164" fontId="4" fillId="0" borderId="0" xfId="0" applyNumberFormat="1" applyFont="1" applyFill="1" applyBorder="1"/>
    <xf numFmtId="0" fontId="4" fillId="6" borderId="0" xfId="0" applyFont="1" applyFill="1" applyBorder="1"/>
    <xf numFmtId="2" fontId="4" fillId="0" borderId="0" xfId="0" applyNumberFormat="1" applyFont="1" applyFill="1" applyBorder="1"/>
    <xf numFmtId="0" fontId="4" fillId="7" borderId="0" xfId="0" applyFont="1" applyFill="1" applyBorder="1"/>
    <xf numFmtId="0" fontId="4" fillId="8" borderId="0" xfId="0" applyFont="1" applyFill="1" applyBorder="1"/>
    <xf numFmtId="0" fontId="4" fillId="9" borderId="0" xfId="0" applyFont="1" applyFill="1" applyBorder="1"/>
    <xf numFmtId="14" fontId="6" fillId="0" borderId="0" xfId="0" applyNumberFormat="1" applyFont="1" applyFill="1" applyBorder="1"/>
    <xf numFmtId="0" fontId="6" fillId="0" borderId="0" xfId="0" applyFont="1" applyFill="1" applyBorder="1"/>
    <xf numFmtId="0" fontId="7" fillId="0" borderId="0" xfId="0" applyFont="1" applyFill="1" applyBorder="1"/>
    <xf numFmtId="164" fontId="7" fillId="0" borderId="0" xfId="0" applyNumberFormat="1" applyFont="1" applyFill="1" applyBorder="1"/>
    <xf numFmtId="0" fontId="5" fillId="11" borderId="0" xfId="0" applyFont="1" applyFill="1" applyBorder="1" applyAlignment="1">
      <alignment horizontal="center" vertical="center"/>
    </xf>
    <xf numFmtId="0" fontId="5" fillId="10" borderId="0" xfId="0" applyFont="1" applyFill="1" applyBorder="1"/>
    <xf numFmtId="0" fontId="4" fillId="12" borderId="0" xfId="0" applyFont="1" applyFill="1" applyBorder="1"/>
    <xf numFmtId="0" fontId="4" fillId="13" borderId="0" xfId="0" applyFont="1" applyFill="1" applyBorder="1"/>
    <xf numFmtId="0" fontId="5" fillId="14" borderId="0" xfId="0" applyFont="1" applyFill="1" applyBorder="1"/>
    <xf numFmtId="0" fontId="8" fillId="0" borderId="0" xfId="0" applyFont="1" applyFill="1" applyBorder="1" applyAlignment="1">
      <alignment horizontal="center" vertical="center"/>
    </xf>
    <xf numFmtId="0" fontId="9" fillId="0" borderId="0" xfId="0" applyFont="1" applyFill="1" applyBorder="1"/>
    <xf numFmtId="164" fontId="9" fillId="0" borderId="0" xfId="0" applyNumberFormat="1" applyFont="1" applyFill="1" applyBorder="1"/>
    <xf numFmtId="0" fontId="5" fillId="0" borderId="0" xfId="0" applyFont="1" applyFill="1" applyBorder="1"/>
    <xf numFmtId="0" fontId="7" fillId="0" borderId="0" xfId="0" applyFont="1" applyFill="1" applyBorder="1" applyAlignment="1">
      <alignment horizontal="center" vertical="center"/>
    </xf>
    <xf numFmtId="14" fontId="7" fillId="4" borderId="0" xfId="0" applyNumberFormat="1" applyFont="1" applyFill="1" applyBorder="1"/>
    <xf numFmtId="0" fontId="7" fillId="8" borderId="0" xfId="0" applyFont="1" applyFill="1" applyBorder="1"/>
    <xf numFmtId="0" fontId="7" fillId="5" borderId="0" xfId="0" applyFont="1" applyFill="1" applyBorder="1"/>
    <xf numFmtId="0" fontId="5" fillId="15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/>
    <xf numFmtId="0" fontId="5" fillId="15" borderId="0" xfId="0" applyFont="1" applyFill="1" applyBorder="1"/>
    <xf numFmtId="0" fontId="8" fillId="15" borderId="0" xfId="0" applyFont="1" applyFill="1" applyBorder="1" applyAlignment="1">
      <alignment horizontal="center" vertical="center"/>
    </xf>
    <xf numFmtId="0" fontId="7" fillId="15" borderId="0" xfId="0" applyFont="1" applyFill="1" applyBorder="1" applyAlignment="1">
      <alignment horizontal="center" vertical="center"/>
    </xf>
    <xf numFmtId="0" fontId="7" fillId="0" borderId="0" xfId="0" applyFont="1" applyFill="1" applyBorder="1" applyAlignment="1"/>
    <xf numFmtId="0" fontId="7" fillId="6" borderId="0" xfId="0" applyFont="1" applyFill="1" applyBorder="1"/>
    <xf numFmtId="0" fontId="5" fillId="7" borderId="0" xfId="0" applyFont="1" applyFill="1" applyBorder="1"/>
    <xf numFmtId="14" fontId="9" fillId="4" borderId="0" xfId="0" applyNumberFormat="1" applyFont="1" applyFill="1" applyBorder="1"/>
    <xf numFmtId="0" fontId="5" fillId="16" borderId="0" xfId="0" applyFont="1" applyFill="1" applyBorder="1"/>
    <xf numFmtId="0" fontId="5" fillId="17" borderId="0" xfId="0" applyFont="1" applyFill="1" applyBorder="1"/>
    <xf numFmtId="0" fontId="4" fillId="0" borderId="0" xfId="0" applyFont="1" applyFill="1" applyBorder="1" applyAlignment="1">
      <alignment horizontal="center" vertical="center"/>
    </xf>
    <xf numFmtId="0" fontId="4" fillId="15" borderId="0" xfId="0" applyFont="1" applyFill="1" applyBorder="1" applyAlignment="1">
      <alignment horizontal="center" vertical="center"/>
    </xf>
    <xf numFmtId="0" fontId="9" fillId="0" borderId="0" xfId="0" applyFont="1" applyFill="1" applyBorder="1" applyAlignment="1"/>
    <xf numFmtId="0" fontId="9" fillId="6" borderId="0" xfId="0" applyFont="1" applyFill="1" applyBorder="1"/>
    <xf numFmtId="0" fontId="9" fillId="0" borderId="0" xfId="0" applyFont="1" applyFill="1" applyBorder="1" applyAlignment="1">
      <alignment horizontal="center" vertical="center"/>
    </xf>
    <xf numFmtId="0" fontId="9" fillId="5" borderId="0" xfId="0" applyFont="1" applyFill="1" applyBorder="1"/>
    <xf numFmtId="2" fontId="9" fillId="0" borderId="0" xfId="0" applyNumberFormat="1" applyFont="1" applyFill="1" applyBorder="1"/>
    <xf numFmtId="0" fontId="5" fillId="0" borderId="1" xfId="0" applyFont="1" applyFill="1" applyBorder="1" applyAlignment="1">
      <alignment horizontal="center" vertical="center"/>
    </xf>
    <xf numFmtId="14" fontId="7" fillId="0" borderId="1" xfId="0" applyNumberFormat="1" applyFont="1" applyFill="1" applyBorder="1"/>
    <xf numFmtId="0" fontId="7" fillId="0" borderId="1" xfId="0" applyFont="1" applyFill="1" applyBorder="1"/>
    <xf numFmtId="0" fontId="10" fillId="0" borderId="1" xfId="0" applyFont="1" applyFill="1" applyBorder="1"/>
    <xf numFmtId="164" fontId="7" fillId="0" borderId="1" xfId="0" applyNumberFormat="1" applyFont="1" applyFill="1" applyBorder="1"/>
    <xf numFmtId="164" fontId="10" fillId="0" borderId="1" xfId="0" applyNumberFormat="1" applyFont="1" applyFill="1" applyBorder="1"/>
    <xf numFmtId="0" fontId="10" fillId="9" borderId="1" xfId="0" applyFont="1" applyFill="1" applyBorder="1"/>
    <xf numFmtId="0" fontId="7" fillId="0" borderId="1" xfId="0" applyFont="1" applyFill="1" applyBorder="1" applyAlignment="1">
      <alignment horizontal="center" vertical="center"/>
    </xf>
    <xf numFmtId="14" fontId="7" fillId="4" borderId="1" xfId="0" applyNumberFormat="1" applyFont="1" applyFill="1" applyBorder="1"/>
    <xf numFmtId="0" fontId="7" fillId="5" borderId="1" xfId="0" applyFont="1" applyFill="1" applyBorder="1"/>
    <xf numFmtId="2" fontId="10" fillId="0" borderId="1" xfId="0" applyNumberFormat="1" applyFont="1" applyFill="1" applyBorder="1"/>
    <xf numFmtId="0" fontId="7" fillId="15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/>
    <xf numFmtId="0" fontId="7" fillId="6" borderId="1" xfId="0" applyFont="1" applyFill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17" borderId="0" xfId="0" applyFont="1" applyFill="1" applyBorder="1" applyAlignment="1">
      <alignment horizontal="center" vertical="center" textRotation="255"/>
    </xf>
    <xf numFmtId="0" fontId="3" fillId="2" borderId="0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 vertical="center" textRotation="255"/>
    </xf>
    <xf numFmtId="0" fontId="5" fillId="10" borderId="0" xfId="0" applyFont="1" applyFill="1" applyBorder="1" applyAlignment="1">
      <alignment horizontal="center" vertical="center" textRotation="255"/>
    </xf>
    <xf numFmtId="0" fontId="5" fillId="14" borderId="0" xfId="0" applyFont="1" applyFill="1" applyBorder="1" applyAlignment="1">
      <alignment horizontal="center" vertical="center" textRotation="255"/>
    </xf>
    <xf numFmtId="0" fontId="5" fillId="7" borderId="0" xfId="0" applyFont="1" applyFill="1" applyBorder="1" applyAlignment="1">
      <alignment horizontal="center" vertical="center" textRotation="255"/>
    </xf>
    <xf numFmtId="0" fontId="5" fillId="16" borderId="0" xfId="0" applyFont="1" applyFill="1" applyBorder="1" applyAlignment="1">
      <alignment horizontal="center" vertical="center" textRotation="255"/>
    </xf>
    <xf numFmtId="0" fontId="5" fillId="18" borderId="0" xfId="0" applyFont="1" applyFill="1" applyBorder="1" applyAlignment="1">
      <alignment horizontal="center" vertical="center"/>
    </xf>
    <xf numFmtId="14" fontId="4" fillId="19" borderId="0" xfId="0" applyNumberFormat="1" applyFont="1" applyFill="1" applyBorder="1"/>
    <xf numFmtId="0" fontId="4" fillId="18" borderId="0" xfId="0" applyFont="1" applyFill="1" applyBorder="1"/>
    <xf numFmtId="0" fontId="4" fillId="19" borderId="0" xfId="0" applyFont="1" applyFill="1" applyBorder="1"/>
    <xf numFmtId="164" fontId="4" fillId="18" borderId="0" xfId="0" applyNumberFormat="1" applyFont="1" applyFill="1" applyBorder="1"/>
    <xf numFmtId="2" fontId="4" fillId="18" borderId="0" xfId="0" applyNumberFormat="1" applyFont="1" applyFill="1" applyBorder="1"/>
    <xf numFmtId="0" fontId="4" fillId="20" borderId="0" xfId="0" applyFont="1" applyFill="1" applyBorder="1"/>
    <xf numFmtId="0" fontId="7" fillId="20" borderId="1" xfId="0" applyFont="1" applyFill="1" applyBorder="1"/>
    <xf numFmtId="164" fontId="4" fillId="20" borderId="0" xfId="0" applyNumberFormat="1" applyFont="1" applyFill="1" applyBorder="1"/>
    <xf numFmtId="0" fontId="10" fillId="0" borderId="0" xfId="0" applyFont="1" applyFill="1" applyBorder="1"/>
    <xf numFmtId="0" fontId="6" fillId="20" borderId="0" xfId="0" applyFont="1" applyFill="1" applyBorder="1"/>
  </cellXfs>
  <cellStyles count="1">
    <cellStyle name="Normal" xfId="0" builtinId="0"/>
  </cellStyles>
  <dxfs count="10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16"/>
  <sheetViews>
    <sheetView tabSelected="1" topLeftCell="A163" zoomScale="70" zoomScaleNormal="70" workbookViewId="0">
      <selection activeCell="AD191" sqref="AD191"/>
    </sheetView>
  </sheetViews>
  <sheetFormatPr baseColWidth="10" defaultRowHeight="15" x14ac:dyDescent="0.25"/>
  <sheetData>
    <row r="1" spans="1:27" x14ac:dyDescent="0.25">
      <c r="B1" s="1"/>
      <c r="D1" s="64" t="s">
        <v>0</v>
      </c>
      <c r="E1" s="64"/>
      <c r="F1" s="64"/>
      <c r="G1" s="64"/>
      <c r="H1" s="64"/>
      <c r="I1" s="64"/>
      <c r="J1" s="64" t="s">
        <v>1</v>
      </c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 t="s">
        <v>2</v>
      </c>
      <c r="W1" s="64"/>
      <c r="X1" s="64"/>
      <c r="Y1" s="64"/>
      <c r="Z1" s="64"/>
    </row>
    <row r="2" spans="1:27" x14ac:dyDescent="0.25">
      <c r="B2" s="1"/>
      <c r="C2" s="2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spans="1:27" x14ac:dyDescent="0.25">
      <c r="B3" s="1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64" t="s">
        <v>3</v>
      </c>
      <c r="Q3" s="64"/>
      <c r="R3" s="64"/>
      <c r="S3" s="64"/>
      <c r="T3" s="64"/>
      <c r="U3" s="3"/>
      <c r="V3" s="3"/>
      <c r="W3" s="3"/>
      <c r="X3" s="3"/>
      <c r="Y3" s="3"/>
      <c r="Z3" s="3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65" t="s">
        <v>9</v>
      </c>
      <c r="H4" s="65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65" t="s">
        <v>24</v>
      </c>
      <c r="Y4" s="65"/>
      <c r="Z4" t="s">
        <v>10</v>
      </c>
    </row>
    <row r="5" spans="1:27" s="4" customFormat="1" x14ac:dyDescent="0.25">
      <c r="A5" s="67" t="s">
        <v>25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spans="1:27" s="4" customFormat="1" x14ac:dyDescent="0.25">
      <c r="A6" s="68" t="s">
        <v>26</v>
      </c>
      <c r="B6" s="5"/>
      <c r="C6" s="6">
        <v>41884</v>
      </c>
      <c r="D6" s="4">
        <v>16.899999999999999</v>
      </c>
      <c r="E6" s="4">
        <v>14.3</v>
      </c>
      <c r="F6" s="4">
        <v>19.600000000000001</v>
      </c>
      <c r="G6" s="4">
        <v>16.899999999999999</v>
      </c>
      <c r="I6" s="7" t="s">
        <v>27</v>
      </c>
      <c r="J6" s="4">
        <v>0.5</v>
      </c>
      <c r="K6" s="4">
        <v>0.5</v>
      </c>
      <c r="L6" s="4">
        <v>1.3</v>
      </c>
      <c r="M6" s="4">
        <v>1.3</v>
      </c>
      <c r="N6" s="8">
        <v>-0.8</v>
      </c>
      <c r="O6" s="4">
        <v>44.1</v>
      </c>
      <c r="P6" s="4">
        <v>1</v>
      </c>
      <c r="Q6" s="4">
        <v>0.35</v>
      </c>
      <c r="R6" s="9">
        <f t="shared" ref="R6:R69" si="0">Q6*L6</f>
        <v>0.45499999999999996</v>
      </c>
      <c r="S6" s="9">
        <f t="shared" ref="S6:S69" si="1">J6-R6</f>
        <v>4.500000000000004E-2</v>
      </c>
      <c r="T6" s="9">
        <v>44.9</v>
      </c>
      <c r="U6" s="7" t="s">
        <v>28</v>
      </c>
      <c r="V6" s="10">
        <v>680.3</v>
      </c>
      <c r="W6" s="4">
        <v>40.254437869822489</v>
      </c>
      <c r="X6" s="4">
        <v>680.3</v>
      </c>
      <c r="Z6" s="7" t="s">
        <v>29</v>
      </c>
      <c r="AA6" s="4">
        <v>13.483462596145699</v>
      </c>
    </row>
    <row r="7" spans="1:27" s="4" customFormat="1" x14ac:dyDescent="0.25">
      <c r="A7" s="68"/>
      <c r="B7" s="5"/>
      <c r="C7" s="6">
        <v>41885</v>
      </c>
      <c r="D7" s="4">
        <v>16.100000000000001</v>
      </c>
      <c r="E7" s="4">
        <v>11.7</v>
      </c>
      <c r="F7" s="4">
        <v>20.100000000000001</v>
      </c>
      <c r="G7" s="4">
        <v>33</v>
      </c>
      <c r="I7" s="4">
        <v>3.4</v>
      </c>
      <c r="J7" s="4">
        <v>0.1</v>
      </c>
      <c r="K7" s="4">
        <v>0.6</v>
      </c>
      <c r="L7" s="4">
        <v>2.9</v>
      </c>
      <c r="M7" s="4">
        <v>4.2</v>
      </c>
      <c r="N7" s="8">
        <v>-2.8</v>
      </c>
      <c r="O7" s="4">
        <f>O6+N7</f>
        <v>41.300000000000004</v>
      </c>
      <c r="P7" s="4">
        <v>2</v>
      </c>
      <c r="Q7" s="4">
        <v>0.35</v>
      </c>
      <c r="R7" s="9">
        <f t="shared" si="0"/>
        <v>1.0149999999999999</v>
      </c>
      <c r="S7" s="9">
        <f t="shared" si="1"/>
        <v>-0.91499999999999992</v>
      </c>
      <c r="T7" s="9">
        <f>MIN(189.6,(T6+S7))</f>
        <v>43.984999999999999</v>
      </c>
      <c r="U7" s="4">
        <v>62</v>
      </c>
      <c r="V7" s="4">
        <v>1658.5</v>
      </c>
      <c r="W7" s="4">
        <v>103.01242236024844</v>
      </c>
      <c r="X7" s="4">
        <v>2338.8000000000002</v>
      </c>
      <c r="Z7" s="4">
        <v>59277.7</v>
      </c>
      <c r="AA7" s="4">
        <v>13.4238979567242</v>
      </c>
    </row>
    <row r="8" spans="1:27" s="4" customFormat="1" x14ac:dyDescent="0.25">
      <c r="A8" s="68"/>
      <c r="B8" s="5"/>
      <c r="C8" s="6">
        <v>41886</v>
      </c>
      <c r="D8" s="4">
        <v>16.7</v>
      </c>
      <c r="E8" s="4">
        <v>11.9</v>
      </c>
      <c r="F8" s="4">
        <v>20.7</v>
      </c>
      <c r="G8" s="4">
        <v>49.7</v>
      </c>
      <c r="I8" s="7" t="s">
        <v>30</v>
      </c>
      <c r="J8" s="4">
        <v>0</v>
      </c>
      <c r="K8" s="4">
        <v>0.6</v>
      </c>
      <c r="L8" s="4">
        <v>1.9</v>
      </c>
      <c r="M8" s="4">
        <v>6.1</v>
      </c>
      <c r="N8" s="8">
        <v>-1.9</v>
      </c>
      <c r="O8" s="4">
        <f t="shared" ref="O8:O71" si="2">O7+N8</f>
        <v>39.400000000000006</v>
      </c>
      <c r="P8" s="4">
        <v>3</v>
      </c>
      <c r="Q8" s="4">
        <v>0.35</v>
      </c>
      <c r="R8" s="9">
        <f t="shared" si="0"/>
        <v>0.66499999999999992</v>
      </c>
      <c r="S8" s="9">
        <f t="shared" si="1"/>
        <v>-0.66499999999999992</v>
      </c>
      <c r="T8" s="9">
        <f t="shared" ref="T8:T71" si="3">MIN(189.6,(T7+S8))</f>
        <v>43.32</v>
      </c>
      <c r="U8" s="7" t="s">
        <v>31</v>
      </c>
      <c r="V8" s="4">
        <v>1232</v>
      </c>
      <c r="W8" s="4">
        <v>73.772455089820369</v>
      </c>
      <c r="X8" s="4">
        <v>3570.8</v>
      </c>
      <c r="Z8" s="7" t="s">
        <v>32</v>
      </c>
      <c r="AA8" s="4">
        <v>13.364187900017599</v>
      </c>
    </row>
    <row r="9" spans="1:27" s="4" customFormat="1" x14ac:dyDescent="0.25">
      <c r="A9" s="68"/>
      <c r="B9" s="5"/>
      <c r="C9" s="6">
        <v>41887</v>
      </c>
      <c r="D9" s="4">
        <v>17.899999999999999</v>
      </c>
      <c r="E9" s="4">
        <v>14.2</v>
      </c>
      <c r="F9" s="4">
        <v>22.2</v>
      </c>
      <c r="G9" s="4">
        <v>67.599999999999994</v>
      </c>
      <c r="I9" s="4">
        <v>25.7</v>
      </c>
      <c r="J9" s="4">
        <v>0</v>
      </c>
      <c r="K9" s="4">
        <v>0.6</v>
      </c>
      <c r="L9" s="4">
        <v>2.8</v>
      </c>
      <c r="M9" s="4">
        <v>8.8999999999999986</v>
      </c>
      <c r="N9" s="8">
        <v>-2.8</v>
      </c>
      <c r="O9" s="4">
        <f t="shared" si="2"/>
        <v>36.600000000000009</v>
      </c>
      <c r="P9" s="4">
        <v>4</v>
      </c>
      <c r="Q9" s="4">
        <v>0.35</v>
      </c>
      <c r="R9" s="9">
        <f t="shared" si="0"/>
        <v>0.97999999999999987</v>
      </c>
      <c r="S9" s="9">
        <f t="shared" si="1"/>
        <v>-0.97999999999999987</v>
      </c>
      <c r="T9" s="9">
        <f t="shared" si="3"/>
        <v>42.34</v>
      </c>
      <c r="U9" s="4">
        <v>0</v>
      </c>
      <c r="V9" s="4">
        <v>1426.4</v>
      </c>
      <c r="W9" s="4">
        <v>79.687150837988838</v>
      </c>
      <c r="X9" s="4">
        <v>4997.2000000000007</v>
      </c>
      <c r="Z9" s="11">
        <f>(Z7/100)/I19</f>
        <v>0.53297698255709391</v>
      </c>
      <c r="AA9" s="4">
        <v>13.3043407395317</v>
      </c>
    </row>
    <row r="10" spans="1:27" s="4" customFormat="1" x14ac:dyDescent="0.25">
      <c r="A10" s="68"/>
      <c r="B10" s="5"/>
      <c r="C10" s="6">
        <v>41888</v>
      </c>
      <c r="D10" s="4">
        <v>18.100000000000001</v>
      </c>
      <c r="E10" s="4">
        <v>16.7</v>
      </c>
      <c r="F10" s="4">
        <v>21.2</v>
      </c>
      <c r="G10" s="4">
        <v>85.699999999999989</v>
      </c>
      <c r="I10" s="7" t="s">
        <v>33</v>
      </c>
      <c r="J10" s="4">
        <v>0.2</v>
      </c>
      <c r="K10" s="4">
        <v>0.8</v>
      </c>
      <c r="L10" s="4">
        <v>2.1</v>
      </c>
      <c r="M10" s="4">
        <v>10.999999999999998</v>
      </c>
      <c r="N10" s="8">
        <v>-1.9000000000000001</v>
      </c>
      <c r="O10" s="4">
        <f t="shared" si="2"/>
        <v>34.70000000000001</v>
      </c>
      <c r="P10" s="4">
        <v>5</v>
      </c>
      <c r="Q10" s="4">
        <v>0.35</v>
      </c>
      <c r="R10" s="9">
        <f t="shared" si="0"/>
        <v>0.73499999999999999</v>
      </c>
      <c r="S10" s="9">
        <f t="shared" si="1"/>
        <v>-0.53499999999999992</v>
      </c>
      <c r="T10" s="9">
        <f t="shared" si="3"/>
        <v>41.805000000000007</v>
      </c>
      <c r="U10" s="7" t="s">
        <v>34</v>
      </c>
      <c r="V10" s="4">
        <v>1042.4000000000001</v>
      </c>
      <c r="W10" s="4">
        <v>57.591160220994475</v>
      </c>
      <c r="X10" s="4">
        <v>6039.6</v>
      </c>
      <c r="Z10" s="7" t="s">
        <v>35</v>
      </c>
      <c r="AA10" s="4">
        <v>13.2443644788464</v>
      </c>
    </row>
    <row r="11" spans="1:27" s="4" customFormat="1" x14ac:dyDescent="0.25">
      <c r="A11" s="68"/>
      <c r="B11" s="5"/>
      <c r="C11" s="6">
        <v>41889</v>
      </c>
      <c r="D11" s="4">
        <v>17.100000000000001</v>
      </c>
      <c r="E11" s="4">
        <v>13</v>
      </c>
      <c r="F11" s="4">
        <v>22</v>
      </c>
      <c r="G11" s="4">
        <v>102.79999999999998</v>
      </c>
      <c r="I11" s="9">
        <v>12.496629213483146</v>
      </c>
      <c r="J11" s="4">
        <v>0.2</v>
      </c>
      <c r="K11" s="4">
        <v>1</v>
      </c>
      <c r="L11" s="4">
        <v>1.8</v>
      </c>
      <c r="M11" s="4">
        <v>12.799999999999999</v>
      </c>
      <c r="N11" s="8">
        <v>-1.6</v>
      </c>
      <c r="O11" s="4">
        <f t="shared" si="2"/>
        <v>33.100000000000009</v>
      </c>
      <c r="P11" s="4">
        <v>6</v>
      </c>
      <c r="Q11" s="4">
        <v>0.35</v>
      </c>
      <c r="R11" s="9">
        <f t="shared" si="0"/>
        <v>0.63</v>
      </c>
      <c r="S11" s="9">
        <f t="shared" si="1"/>
        <v>-0.43</v>
      </c>
      <c r="T11" s="9">
        <f t="shared" si="3"/>
        <v>41.375000000000007</v>
      </c>
      <c r="U11" s="4">
        <v>36</v>
      </c>
      <c r="V11" s="10">
        <v>878.2</v>
      </c>
      <c r="W11" s="4">
        <v>51.356725146198826</v>
      </c>
      <c r="X11" s="4">
        <v>6917.8</v>
      </c>
      <c r="Z11" s="4">
        <v>64</v>
      </c>
      <c r="AA11" s="4">
        <v>13.1842668281984</v>
      </c>
    </row>
    <row r="12" spans="1:27" s="4" customFormat="1" x14ac:dyDescent="0.25">
      <c r="A12" s="68"/>
      <c r="B12" s="5"/>
      <c r="C12" s="6">
        <v>41890</v>
      </c>
      <c r="D12" s="4">
        <v>16.399999999999999</v>
      </c>
      <c r="E12" s="4">
        <v>13.1</v>
      </c>
      <c r="F12" s="4">
        <v>21.2</v>
      </c>
      <c r="G12" s="4">
        <v>119.19999999999999</v>
      </c>
      <c r="I12" s="7" t="s">
        <v>36</v>
      </c>
      <c r="J12" s="4">
        <v>0</v>
      </c>
      <c r="K12" s="4">
        <v>1</v>
      </c>
      <c r="L12" s="4">
        <v>3.3</v>
      </c>
      <c r="M12" s="4">
        <v>16.099999999999998</v>
      </c>
      <c r="N12" s="8">
        <v>-3.3</v>
      </c>
      <c r="O12" s="4">
        <f t="shared" si="2"/>
        <v>29.800000000000008</v>
      </c>
      <c r="P12" s="4">
        <v>7</v>
      </c>
      <c r="Q12" s="4">
        <v>0.35</v>
      </c>
      <c r="R12" s="9">
        <f t="shared" si="0"/>
        <v>1.1549999999999998</v>
      </c>
      <c r="S12" s="9">
        <f t="shared" si="1"/>
        <v>-1.1549999999999998</v>
      </c>
      <c r="T12" s="9">
        <f t="shared" si="3"/>
        <v>40.220000000000006</v>
      </c>
      <c r="U12" s="7" t="s">
        <v>37</v>
      </c>
      <c r="V12" s="4">
        <v>1750.8</v>
      </c>
      <c r="W12" s="4">
        <v>106.75609756097562</v>
      </c>
      <c r="X12" s="4">
        <v>8668.6</v>
      </c>
      <c r="AA12" s="4">
        <v>13.124055221142701</v>
      </c>
    </row>
    <row r="13" spans="1:27" s="4" customFormat="1" x14ac:dyDescent="0.25">
      <c r="A13" s="68"/>
      <c r="B13" s="5"/>
      <c r="C13" s="6">
        <v>41891</v>
      </c>
      <c r="D13" s="4">
        <v>14.8</v>
      </c>
      <c r="E13" s="4">
        <v>10.6</v>
      </c>
      <c r="F13" s="4">
        <v>19.399999999999999</v>
      </c>
      <c r="G13" s="4">
        <v>134</v>
      </c>
      <c r="I13" s="4">
        <v>0</v>
      </c>
      <c r="J13" s="4">
        <v>0</v>
      </c>
      <c r="K13" s="4">
        <v>1</v>
      </c>
      <c r="L13" s="4">
        <v>3</v>
      </c>
      <c r="M13" s="4">
        <v>19.099999999999998</v>
      </c>
      <c r="N13" s="8">
        <v>-3</v>
      </c>
      <c r="O13" s="4">
        <f t="shared" si="2"/>
        <v>26.800000000000008</v>
      </c>
      <c r="P13" s="4">
        <v>8</v>
      </c>
      <c r="Q13" s="4">
        <v>0.35</v>
      </c>
      <c r="R13" s="9">
        <f t="shared" si="0"/>
        <v>1.0499999999999998</v>
      </c>
      <c r="S13" s="9">
        <f t="shared" si="1"/>
        <v>-1.0499999999999998</v>
      </c>
      <c r="T13" s="9">
        <f t="shared" si="3"/>
        <v>39.170000000000009</v>
      </c>
      <c r="U13" s="9">
        <f>MIN(T6:T94)</f>
        <v>32.253500000000017</v>
      </c>
      <c r="V13" s="4">
        <v>1647.3</v>
      </c>
      <c r="W13" s="4">
        <v>111.30405405405405</v>
      </c>
      <c r="X13" s="4">
        <v>10315.9</v>
      </c>
      <c r="AA13" s="4">
        <v>13.063736831279501</v>
      </c>
    </row>
    <row r="14" spans="1:27" s="4" customFormat="1" x14ac:dyDescent="0.25">
      <c r="A14" s="68"/>
      <c r="B14" s="5"/>
      <c r="C14" s="6">
        <v>41892</v>
      </c>
      <c r="D14" s="4">
        <v>14.1</v>
      </c>
      <c r="E14" s="4">
        <v>11.8</v>
      </c>
      <c r="F14" s="4">
        <v>18.7</v>
      </c>
      <c r="G14" s="4">
        <v>148.1</v>
      </c>
      <c r="I14" s="7" t="s">
        <v>38</v>
      </c>
      <c r="J14" s="4">
        <v>0</v>
      </c>
      <c r="K14" s="4">
        <v>1</v>
      </c>
      <c r="L14" s="4">
        <v>2.6</v>
      </c>
      <c r="M14" s="4">
        <v>21.7</v>
      </c>
      <c r="N14" s="8">
        <v>-2.6</v>
      </c>
      <c r="O14" s="4">
        <f t="shared" si="2"/>
        <v>24.200000000000006</v>
      </c>
      <c r="P14" s="4">
        <v>9</v>
      </c>
      <c r="Q14" s="4">
        <v>0.35</v>
      </c>
      <c r="R14" s="9">
        <f t="shared" si="0"/>
        <v>0.90999999999999992</v>
      </c>
      <c r="S14" s="9">
        <f t="shared" si="1"/>
        <v>-0.90999999999999992</v>
      </c>
      <c r="T14" s="9">
        <f t="shared" si="3"/>
        <v>38.260000000000012</v>
      </c>
      <c r="U14" s="7" t="s">
        <v>39</v>
      </c>
      <c r="V14" s="4">
        <v>985.4</v>
      </c>
      <c r="W14" s="4">
        <v>69.886524822695037</v>
      </c>
      <c r="X14" s="4">
        <v>11301.3</v>
      </c>
      <c r="AA14" s="4">
        <v>13.0033185890361</v>
      </c>
    </row>
    <row r="15" spans="1:27" s="4" customFormat="1" x14ac:dyDescent="0.25">
      <c r="A15" s="68"/>
      <c r="B15" s="5"/>
      <c r="C15" s="6">
        <v>41893</v>
      </c>
      <c r="D15" s="4">
        <v>14</v>
      </c>
      <c r="E15" s="4">
        <v>8.6999999999999993</v>
      </c>
      <c r="F15" s="4">
        <v>19.2</v>
      </c>
      <c r="G15" s="4">
        <v>162.1</v>
      </c>
      <c r="I15" s="4">
        <v>2</v>
      </c>
      <c r="J15" s="4">
        <v>0.2</v>
      </c>
      <c r="K15" s="4">
        <v>1.2</v>
      </c>
      <c r="L15" s="4">
        <v>2.2000000000000002</v>
      </c>
      <c r="M15" s="4">
        <v>23.9</v>
      </c>
      <c r="N15" s="8">
        <v>-2</v>
      </c>
      <c r="O15" s="4">
        <f t="shared" si="2"/>
        <v>22.200000000000006</v>
      </c>
      <c r="P15" s="4">
        <v>10</v>
      </c>
      <c r="Q15" s="4">
        <f>0.35+((P15-9)/80)*(1-0.35)</f>
        <v>0.35812499999999997</v>
      </c>
      <c r="R15" s="9">
        <f t="shared" si="0"/>
        <v>0.78787499999999999</v>
      </c>
      <c r="S15" s="9">
        <f t="shared" si="1"/>
        <v>-0.58787499999999993</v>
      </c>
      <c r="T15" s="9">
        <f t="shared" si="3"/>
        <v>37.672125000000015</v>
      </c>
      <c r="U15" s="9">
        <f>MAX(T7:T94)</f>
        <v>129.08287499999997</v>
      </c>
      <c r="V15" s="4">
        <v>1040</v>
      </c>
      <c r="W15" s="4">
        <v>74.285714285714292</v>
      </c>
      <c r="X15" s="4">
        <v>12341.3</v>
      </c>
      <c r="AA15" s="4">
        <v>12.942807198494201</v>
      </c>
    </row>
    <row r="16" spans="1:27" s="4" customFormat="1" x14ac:dyDescent="0.25">
      <c r="A16" s="68"/>
      <c r="B16" s="5"/>
      <c r="C16" s="6">
        <v>41894</v>
      </c>
      <c r="D16" s="4">
        <v>14.9</v>
      </c>
      <c r="E16" s="4">
        <v>9.6</v>
      </c>
      <c r="F16" s="4">
        <v>19.899999999999999</v>
      </c>
      <c r="G16" s="4">
        <v>177</v>
      </c>
      <c r="I16" s="7" t="s">
        <v>40</v>
      </c>
      <c r="J16" s="4">
        <v>0.1</v>
      </c>
      <c r="K16" s="4">
        <v>1.3</v>
      </c>
      <c r="L16" s="4">
        <v>3.2</v>
      </c>
      <c r="M16" s="4">
        <v>27.099999999999998</v>
      </c>
      <c r="N16" s="8">
        <v>-3.1</v>
      </c>
      <c r="O16" s="4">
        <f t="shared" si="2"/>
        <v>19.100000000000005</v>
      </c>
      <c r="P16" s="4">
        <v>11</v>
      </c>
      <c r="Q16" s="4">
        <f t="shared" ref="Q16:Q79" si="4">0.35+((P16-9)/80)*(1-0.35)</f>
        <v>0.36624999999999996</v>
      </c>
      <c r="R16" s="9">
        <f t="shared" si="0"/>
        <v>1.1719999999999999</v>
      </c>
      <c r="S16" s="9">
        <f t="shared" si="1"/>
        <v>-1.0719999999999998</v>
      </c>
      <c r="T16" s="9">
        <f t="shared" si="3"/>
        <v>36.600125000000013</v>
      </c>
      <c r="U16" s="7" t="s">
        <v>41</v>
      </c>
      <c r="V16" s="4">
        <v>1705.5</v>
      </c>
      <c r="W16" s="4">
        <v>114.46308724832214</v>
      </c>
      <c r="X16" s="4">
        <v>14046.8</v>
      </c>
      <c r="AA16" s="4">
        <v>12.8822091542565</v>
      </c>
    </row>
    <row r="17" spans="1:27" s="4" customFormat="1" x14ac:dyDescent="0.25">
      <c r="A17" s="68"/>
      <c r="B17" s="5"/>
      <c r="C17" s="6">
        <v>41895</v>
      </c>
      <c r="D17" s="4">
        <v>15.4</v>
      </c>
      <c r="E17" s="4">
        <v>12</v>
      </c>
      <c r="F17" s="4">
        <v>19.100000000000001</v>
      </c>
      <c r="G17" s="4">
        <v>192.4</v>
      </c>
      <c r="I17" s="4">
        <v>4</v>
      </c>
      <c r="J17" s="4">
        <v>0.1</v>
      </c>
      <c r="K17" s="4">
        <v>1.4000000000000001</v>
      </c>
      <c r="L17" s="4">
        <v>2.9</v>
      </c>
      <c r="M17" s="4">
        <v>29.999999999999996</v>
      </c>
      <c r="N17" s="8">
        <v>-2.8</v>
      </c>
      <c r="O17" s="4">
        <f t="shared" si="2"/>
        <v>16.300000000000004</v>
      </c>
      <c r="P17" s="4">
        <v>12</v>
      </c>
      <c r="Q17" s="4">
        <f t="shared" si="4"/>
        <v>0.37437499999999996</v>
      </c>
      <c r="R17" s="9">
        <f t="shared" si="0"/>
        <v>1.0856874999999999</v>
      </c>
      <c r="S17" s="9">
        <f t="shared" si="1"/>
        <v>-0.98568749999999994</v>
      </c>
      <c r="T17" s="9">
        <f t="shared" si="3"/>
        <v>35.614437500000015</v>
      </c>
      <c r="U17" s="11">
        <f>AVERAGE(T6:T94)</f>
        <v>78.76788764044943</v>
      </c>
      <c r="V17" s="4">
        <v>1564.2</v>
      </c>
      <c r="W17" s="4">
        <v>101.57142857142857</v>
      </c>
      <c r="X17" s="4">
        <v>15611</v>
      </c>
      <c r="AA17" s="4">
        <v>12.8215307583491</v>
      </c>
    </row>
    <row r="18" spans="1:27" s="4" customFormat="1" x14ac:dyDescent="0.25">
      <c r="A18" s="68"/>
      <c r="B18" s="5"/>
      <c r="C18" s="6">
        <v>41896</v>
      </c>
      <c r="D18" s="4">
        <v>15.1</v>
      </c>
      <c r="E18" s="4">
        <v>12.4</v>
      </c>
      <c r="F18" s="4">
        <v>17.899999999999999</v>
      </c>
      <c r="G18" s="4">
        <v>207.5</v>
      </c>
      <c r="I18" s="7" t="s">
        <v>42</v>
      </c>
      <c r="J18" s="4">
        <v>0</v>
      </c>
      <c r="K18" s="4">
        <v>1.4000000000000001</v>
      </c>
      <c r="L18" s="4">
        <v>1.7</v>
      </c>
      <c r="M18" s="4">
        <v>31.699999999999996</v>
      </c>
      <c r="N18" s="8">
        <v>-1.7</v>
      </c>
      <c r="O18" s="4">
        <f t="shared" si="2"/>
        <v>14.600000000000005</v>
      </c>
      <c r="P18" s="4">
        <v>13</v>
      </c>
      <c r="Q18" s="4">
        <f t="shared" si="4"/>
        <v>0.38249999999999995</v>
      </c>
      <c r="R18" s="9">
        <f t="shared" si="0"/>
        <v>0.65024999999999988</v>
      </c>
      <c r="S18" s="9">
        <f t="shared" si="1"/>
        <v>-0.65024999999999988</v>
      </c>
      <c r="T18" s="9">
        <f t="shared" si="3"/>
        <v>34.964187500000016</v>
      </c>
      <c r="V18" s="10">
        <v>778.1</v>
      </c>
      <c r="W18" s="4">
        <v>51.529801324503318</v>
      </c>
      <c r="X18" s="4">
        <v>16389.099999999999</v>
      </c>
      <c r="AA18" s="4">
        <v>12.760778137156301</v>
      </c>
    </row>
    <row r="19" spans="1:27" s="4" customFormat="1" x14ac:dyDescent="0.25">
      <c r="A19" s="68"/>
      <c r="B19" s="5"/>
      <c r="C19" s="6">
        <v>41897</v>
      </c>
      <c r="D19" s="4">
        <v>16</v>
      </c>
      <c r="E19" s="4">
        <v>10.3</v>
      </c>
      <c r="F19" s="4">
        <v>22.3</v>
      </c>
      <c r="G19" s="4">
        <v>223.5</v>
      </c>
      <c r="I19" s="4">
        <v>1112.2</v>
      </c>
      <c r="J19" s="4">
        <v>0</v>
      </c>
      <c r="K19" s="4">
        <v>1.4000000000000001</v>
      </c>
      <c r="L19" s="4">
        <v>2</v>
      </c>
      <c r="M19" s="4">
        <v>33.699999999999996</v>
      </c>
      <c r="N19" s="8">
        <v>-2</v>
      </c>
      <c r="O19" s="4">
        <f t="shared" si="2"/>
        <v>12.600000000000005</v>
      </c>
      <c r="P19" s="4">
        <v>14</v>
      </c>
      <c r="Q19" s="4">
        <f t="shared" si="4"/>
        <v>0.390625</v>
      </c>
      <c r="R19" s="9">
        <f t="shared" si="0"/>
        <v>0.78125</v>
      </c>
      <c r="S19" s="9">
        <f t="shared" si="1"/>
        <v>-0.78125</v>
      </c>
      <c r="T19" s="9">
        <f t="shared" si="3"/>
        <v>34.182937500000016</v>
      </c>
      <c r="U19" s="4">
        <f>(U17*100)/189.6</f>
        <v>41.544244536102021</v>
      </c>
      <c r="V19" s="4">
        <v>1005.4</v>
      </c>
      <c r="W19" s="4">
        <v>62.837499999999999</v>
      </c>
      <c r="X19" s="4">
        <v>17394.5</v>
      </c>
      <c r="AA19" s="4">
        <v>12.6999572583863</v>
      </c>
    </row>
    <row r="20" spans="1:27" s="4" customFormat="1" x14ac:dyDescent="0.25">
      <c r="A20" s="68"/>
      <c r="B20" s="5"/>
      <c r="C20" s="6">
        <v>41898</v>
      </c>
      <c r="D20" s="4">
        <v>17</v>
      </c>
      <c r="E20" s="4">
        <v>10</v>
      </c>
      <c r="F20" s="4">
        <v>23.5</v>
      </c>
      <c r="G20" s="4">
        <v>240.5</v>
      </c>
      <c r="J20" s="4">
        <v>0</v>
      </c>
      <c r="K20" s="4">
        <v>1.4000000000000001</v>
      </c>
      <c r="L20" s="4">
        <v>2.9</v>
      </c>
      <c r="M20" s="4">
        <v>36.599999999999994</v>
      </c>
      <c r="N20" s="8">
        <v>-2.9</v>
      </c>
      <c r="O20" s="4">
        <f t="shared" si="2"/>
        <v>9.7000000000000046</v>
      </c>
      <c r="P20" s="4">
        <v>15</v>
      </c>
      <c r="Q20" s="4">
        <f t="shared" si="4"/>
        <v>0.39874999999999999</v>
      </c>
      <c r="R20" s="9">
        <f t="shared" si="0"/>
        <v>1.1563749999999999</v>
      </c>
      <c r="S20" s="9">
        <f t="shared" si="1"/>
        <v>-1.1563749999999999</v>
      </c>
      <c r="T20" s="9">
        <f t="shared" si="3"/>
        <v>33.026562500000018</v>
      </c>
      <c r="V20" s="4">
        <v>1584.4</v>
      </c>
      <c r="W20" s="4">
        <v>93.2</v>
      </c>
      <c r="X20" s="4">
        <v>18978.900000000001</v>
      </c>
      <c r="AA20" s="4">
        <v>12.639073948071101</v>
      </c>
    </row>
    <row r="21" spans="1:27" s="4" customFormat="1" x14ac:dyDescent="0.25">
      <c r="A21" s="68"/>
      <c r="B21" s="5"/>
      <c r="C21" s="6">
        <v>41899</v>
      </c>
      <c r="D21" s="4">
        <v>19.100000000000001</v>
      </c>
      <c r="E21" s="4">
        <v>14.2</v>
      </c>
      <c r="F21" s="4">
        <v>24.2</v>
      </c>
      <c r="G21" s="4">
        <v>259.60000000000002</v>
      </c>
      <c r="J21" s="4">
        <v>0</v>
      </c>
      <c r="K21" s="4">
        <v>1.4000000000000001</v>
      </c>
      <c r="L21" s="4">
        <v>1.9</v>
      </c>
      <c r="M21" s="4">
        <v>38.499999999999993</v>
      </c>
      <c r="N21" s="8">
        <v>-1.9</v>
      </c>
      <c r="O21" s="4">
        <f t="shared" si="2"/>
        <v>7.8000000000000043</v>
      </c>
      <c r="P21" s="4">
        <v>16</v>
      </c>
      <c r="Q21" s="4">
        <f t="shared" si="4"/>
        <v>0.40687499999999999</v>
      </c>
      <c r="R21" s="9">
        <f t="shared" si="0"/>
        <v>0.77306249999999999</v>
      </c>
      <c r="S21" s="9">
        <f t="shared" si="1"/>
        <v>-0.77306249999999999</v>
      </c>
      <c r="T21" s="9">
        <f t="shared" si="3"/>
        <v>32.253500000000017</v>
      </c>
      <c r="V21" s="10">
        <v>688.2</v>
      </c>
      <c r="W21" s="4">
        <v>36.031413612565444</v>
      </c>
      <c r="X21" s="4">
        <v>19667.100000000002</v>
      </c>
      <c r="AA21" s="4">
        <v>12.5781339075999</v>
      </c>
    </row>
    <row r="22" spans="1:27" s="4" customFormat="1" x14ac:dyDescent="0.25">
      <c r="A22" s="68"/>
      <c r="B22" s="5"/>
      <c r="C22" s="6">
        <v>41900</v>
      </c>
      <c r="D22" s="4">
        <v>18.7</v>
      </c>
      <c r="E22" s="4">
        <v>15.9</v>
      </c>
      <c r="F22" s="4">
        <v>24.8</v>
      </c>
      <c r="G22" s="4">
        <v>278.3</v>
      </c>
      <c r="J22" s="4">
        <v>7.2</v>
      </c>
      <c r="K22" s="4">
        <v>8.6</v>
      </c>
      <c r="L22" s="4">
        <v>2.8</v>
      </c>
      <c r="M22" s="4">
        <v>41.29999999999999</v>
      </c>
      <c r="N22" s="4">
        <v>4.4000000000000004</v>
      </c>
      <c r="O22" s="4">
        <f t="shared" si="2"/>
        <v>12.200000000000005</v>
      </c>
      <c r="P22" s="4">
        <v>17</v>
      </c>
      <c r="Q22" s="4">
        <f t="shared" si="4"/>
        <v>0.41499999999999998</v>
      </c>
      <c r="R22" s="9">
        <f t="shared" si="0"/>
        <v>1.1619999999999999</v>
      </c>
      <c r="S22" s="9">
        <f t="shared" si="1"/>
        <v>6.0380000000000003</v>
      </c>
      <c r="T22" s="9">
        <f t="shared" si="3"/>
        <v>38.291500000000013</v>
      </c>
      <c r="V22" s="4">
        <v>1236.5</v>
      </c>
      <c r="W22" s="4">
        <v>66.122994652406419</v>
      </c>
      <c r="X22" s="4">
        <v>20903.600000000002</v>
      </c>
      <c r="AA22" s="4">
        <v>12.517142730791599</v>
      </c>
    </row>
    <row r="23" spans="1:27" s="4" customFormat="1" x14ac:dyDescent="0.25">
      <c r="A23" s="68"/>
      <c r="B23" s="5"/>
      <c r="C23" s="6">
        <v>41901</v>
      </c>
      <c r="D23" s="4">
        <v>19.3</v>
      </c>
      <c r="E23" s="4">
        <v>14</v>
      </c>
      <c r="F23" s="12">
        <v>25.5</v>
      </c>
      <c r="G23" s="4">
        <v>297.60000000000002</v>
      </c>
      <c r="J23" s="4">
        <v>0</v>
      </c>
      <c r="K23" s="4">
        <v>8.6</v>
      </c>
      <c r="L23" s="4">
        <v>3</v>
      </c>
      <c r="M23" s="4">
        <v>44.29999999999999</v>
      </c>
      <c r="N23" s="8">
        <v>-3</v>
      </c>
      <c r="O23" s="4">
        <f t="shared" si="2"/>
        <v>9.2000000000000046</v>
      </c>
      <c r="P23" s="4">
        <v>18</v>
      </c>
      <c r="Q23" s="4">
        <f t="shared" si="4"/>
        <v>0.42312499999999997</v>
      </c>
      <c r="R23" s="9">
        <f t="shared" si="0"/>
        <v>1.2693749999999999</v>
      </c>
      <c r="S23" s="9">
        <f t="shared" si="1"/>
        <v>-1.2693749999999999</v>
      </c>
      <c r="T23" s="9">
        <f t="shared" si="3"/>
        <v>37.022125000000017</v>
      </c>
      <c r="V23" s="4">
        <v>1378.3</v>
      </c>
      <c r="W23" s="4">
        <v>71.414507772020727</v>
      </c>
      <c r="X23" s="4">
        <v>22281.9</v>
      </c>
      <c r="AA23" s="4">
        <v>12.4561059210099</v>
      </c>
    </row>
    <row r="24" spans="1:27" s="4" customFormat="1" x14ac:dyDescent="0.25">
      <c r="A24" s="68"/>
      <c r="B24" s="5"/>
      <c r="C24" s="6">
        <v>41902</v>
      </c>
      <c r="D24" s="4">
        <v>18.399999999999999</v>
      </c>
      <c r="E24" s="4">
        <v>14.6</v>
      </c>
      <c r="F24" s="12">
        <v>25.7</v>
      </c>
      <c r="G24" s="4">
        <v>316</v>
      </c>
      <c r="J24" s="4">
        <v>11.3</v>
      </c>
      <c r="K24" s="4">
        <v>19.899999999999999</v>
      </c>
      <c r="L24" s="4">
        <v>1.8</v>
      </c>
      <c r="M24" s="4">
        <v>46.099999999999987</v>
      </c>
      <c r="N24" s="4">
        <v>9.5</v>
      </c>
      <c r="O24" s="4">
        <f t="shared" si="2"/>
        <v>18.700000000000003</v>
      </c>
      <c r="P24" s="4">
        <v>19</v>
      </c>
      <c r="Q24" s="4">
        <f t="shared" si="4"/>
        <v>0.43124999999999997</v>
      </c>
      <c r="R24" s="9">
        <f t="shared" si="0"/>
        <v>0.77625</v>
      </c>
      <c r="S24" s="9">
        <f t="shared" si="1"/>
        <v>10.523750000000001</v>
      </c>
      <c r="T24" s="9">
        <f t="shared" si="3"/>
        <v>47.545875000000017</v>
      </c>
      <c r="V24" s="10">
        <v>598.20000000000005</v>
      </c>
      <c r="W24" s="4">
        <v>32.510869565217398</v>
      </c>
      <c r="X24" s="4">
        <v>22880.100000000002</v>
      </c>
      <c r="AA24" s="4">
        <v>12.3950289083268</v>
      </c>
    </row>
    <row r="25" spans="1:27" s="4" customFormat="1" x14ac:dyDescent="0.25">
      <c r="A25" s="68"/>
      <c r="B25" s="5"/>
      <c r="C25" s="6">
        <v>41903</v>
      </c>
      <c r="D25" s="4">
        <v>15.1</v>
      </c>
      <c r="E25" s="4">
        <v>14.1</v>
      </c>
      <c r="F25" s="4">
        <v>17.2</v>
      </c>
      <c r="G25" s="4">
        <v>331.1</v>
      </c>
      <c r="J25" s="4">
        <v>0.1</v>
      </c>
      <c r="K25" s="4">
        <v>20</v>
      </c>
      <c r="L25" s="4">
        <v>2.2000000000000002</v>
      </c>
      <c r="M25" s="4">
        <v>48.29999999999999</v>
      </c>
      <c r="N25" s="8">
        <v>-2.1</v>
      </c>
      <c r="O25" s="4">
        <f t="shared" si="2"/>
        <v>16.600000000000001</v>
      </c>
      <c r="P25" s="4">
        <v>20</v>
      </c>
      <c r="Q25" s="4">
        <f t="shared" si="4"/>
        <v>0.43937499999999996</v>
      </c>
      <c r="R25" s="9">
        <f t="shared" si="0"/>
        <v>0.96662499999999996</v>
      </c>
      <c r="S25" s="9">
        <f t="shared" si="1"/>
        <v>-0.86662499999999998</v>
      </c>
      <c r="T25" s="9">
        <f t="shared" si="3"/>
        <v>46.679250000000017</v>
      </c>
      <c r="V25" s="4">
        <v>1249.8</v>
      </c>
      <c r="W25" s="4">
        <v>82.768211920529794</v>
      </c>
      <c r="X25" s="4">
        <v>24129.9</v>
      </c>
      <c r="AA25" s="4">
        <v>12.3339170667409</v>
      </c>
    </row>
    <row r="26" spans="1:27" s="4" customFormat="1" x14ac:dyDescent="0.25">
      <c r="A26" s="68"/>
      <c r="B26" s="5"/>
      <c r="C26" s="6">
        <v>41904</v>
      </c>
      <c r="D26" s="4">
        <v>12.1</v>
      </c>
      <c r="E26" s="4">
        <v>8.9</v>
      </c>
      <c r="F26" s="4">
        <v>16.3</v>
      </c>
      <c r="G26" s="4">
        <v>343.20000000000005</v>
      </c>
      <c r="J26" s="4">
        <v>0</v>
      </c>
      <c r="K26" s="4">
        <v>20</v>
      </c>
      <c r="L26" s="4">
        <v>2</v>
      </c>
      <c r="M26" s="4">
        <v>50.29999999999999</v>
      </c>
      <c r="N26" s="8">
        <v>-2</v>
      </c>
      <c r="O26" s="4">
        <f t="shared" si="2"/>
        <v>14.600000000000001</v>
      </c>
      <c r="P26" s="4">
        <v>21</v>
      </c>
      <c r="Q26" s="4">
        <f t="shared" si="4"/>
        <v>0.44750000000000001</v>
      </c>
      <c r="R26" s="9">
        <f t="shared" si="0"/>
        <v>0.89500000000000002</v>
      </c>
      <c r="S26" s="9">
        <f t="shared" si="1"/>
        <v>-0.89500000000000002</v>
      </c>
      <c r="T26" s="9">
        <f t="shared" si="3"/>
        <v>45.784250000000014</v>
      </c>
      <c r="V26" s="4">
        <v>1039.0999999999999</v>
      </c>
      <c r="W26" s="4">
        <v>85.876033057851231</v>
      </c>
      <c r="X26" s="4">
        <v>25169</v>
      </c>
      <c r="AA26" s="4">
        <v>12.272775731457299</v>
      </c>
    </row>
    <row r="27" spans="1:27" s="4" customFormat="1" x14ac:dyDescent="0.25">
      <c r="A27" s="68"/>
      <c r="B27" s="5"/>
      <c r="C27" s="6">
        <v>41905</v>
      </c>
      <c r="D27" s="4">
        <v>10.9</v>
      </c>
      <c r="E27" s="4">
        <v>5.8</v>
      </c>
      <c r="F27" s="4">
        <v>16.600000000000001</v>
      </c>
      <c r="G27" s="4">
        <v>354.1</v>
      </c>
      <c r="J27" s="4">
        <v>0</v>
      </c>
      <c r="K27" s="4">
        <v>20</v>
      </c>
      <c r="L27" s="4">
        <v>1.7</v>
      </c>
      <c r="M27" s="4">
        <v>51.999999999999993</v>
      </c>
      <c r="N27" s="8">
        <v>-1.7</v>
      </c>
      <c r="O27" s="4">
        <f t="shared" si="2"/>
        <v>12.900000000000002</v>
      </c>
      <c r="P27" s="4">
        <v>22</v>
      </c>
      <c r="Q27" s="4">
        <f t="shared" si="4"/>
        <v>0.455625</v>
      </c>
      <c r="R27" s="9">
        <f t="shared" si="0"/>
        <v>0.77456249999999993</v>
      </c>
      <c r="S27" s="9">
        <f t="shared" si="1"/>
        <v>-0.77456249999999993</v>
      </c>
      <c r="T27" s="9">
        <f t="shared" si="3"/>
        <v>45.009687500000013</v>
      </c>
      <c r="V27" s="4">
        <v>1042</v>
      </c>
      <c r="W27" s="4">
        <v>95.596330275229349</v>
      </c>
      <c r="X27" s="4">
        <v>26211</v>
      </c>
      <c r="AA27" s="4">
        <v>12.2116102162378</v>
      </c>
    </row>
    <row r="28" spans="1:27" s="4" customFormat="1" x14ac:dyDescent="0.25">
      <c r="A28" s="68"/>
      <c r="B28" s="5"/>
      <c r="C28" s="6">
        <v>41906</v>
      </c>
      <c r="D28" s="4">
        <v>11.5</v>
      </c>
      <c r="E28" s="4">
        <v>7.7</v>
      </c>
      <c r="F28" s="4">
        <v>16.3</v>
      </c>
      <c r="G28" s="4">
        <v>365.6</v>
      </c>
      <c r="J28" s="4">
        <v>5.8</v>
      </c>
      <c r="K28" s="4">
        <v>25.8</v>
      </c>
      <c r="L28" s="4">
        <v>1.3</v>
      </c>
      <c r="M28" s="4">
        <v>53.29999999999999</v>
      </c>
      <c r="N28" s="4">
        <v>4.5</v>
      </c>
      <c r="O28" s="4">
        <f t="shared" si="2"/>
        <v>17.400000000000002</v>
      </c>
      <c r="P28" s="4">
        <v>23</v>
      </c>
      <c r="Q28" s="4">
        <f t="shared" si="4"/>
        <v>0.46375</v>
      </c>
      <c r="R28" s="9">
        <f t="shared" si="0"/>
        <v>0.60287500000000005</v>
      </c>
      <c r="S28" s="9">
        <f t="shared" si="1"/>
        <v>5.1971249999999998</v>
      </c>
      <c r="T28" s="9">
        <f t="shared" si="3"/>
        <v>50.206812500000012</v>
      </c>
      <c r="V28" s="10">
        <v>669.6</v>
      </c>
      <c r="W28" s="4">
        <v>58.22608695652174</v>
      </c>
      <c r="X28" s="4">
        <v>26880.6</v>
      </c>
      <c r="AA28" s="4">
        <v>12.1504258308271</v>
      </c>
    </row>
    <row r="29" spans="1:27" s="4" customFormat="1" x14ac:dyDescent="0.25">
      <c r="A29" s="68"/>
      <c r="B29" s="5"/>
      <c r="C29" s="6">
        <v>41907</v>
      </c>
      <c r="D29" s="4">
        <v>11.2</v>
      </c>
      <c r="E29" s="4">
        <v>6.6</v>
      </c>
      <c r="F29" s="4">
        <v>16.600000000000001</v>
      </c>
      <c r="G29" s="4">
        <v>376.8</v>
      </c>
      <c r="J29" s="4">
        <v>0</v>
      </c>
      <c r="K29" s="4">
        <v>25.8</v>
      </c>
      <c r="L29" s="4">
        <v>2.1</v>
      </c>
      <c r="M29" s="4">
        <v>55.399999999999991</v>
      </c>
      <c r="N29" s="8">
        <v>-2.1</v>
      </c>
      <c r="O29" s="4">
        <f t="shared" si="2"/>
        <v>15.300000000000002</v>
      </c>
      <c r="P29" s="4">
        <v>24</v>
      </c>
      <c r="Q29" s="4">
        <f t="shared" si="4"/>
        <v>0.47187499999999999</v>
      </c>
      <c r="R29" s="9">
        <f t="shared" si="0"/>
        <v>0.99093750000000003</v>
      </c>
      <c r="S29" s="9">
        <f t="shared" si="1"/>
        <v>-0.99093750000000003</v>
      </c>
      <c r="T29" s="9">
        <f t="shared" si="3"/>
        <v>49.215875000000011</v>
      </c>
      <c r="V29" s="4">
        <v>1119.8</v>
      </c>
      <c r="W29" s="4">
        <v>99.982142857142861</v>
      </c>
      <c r="X29" s="4">
        <v>28000.399999999998</v>
      </c>
      <c r="AA29" s="4">
        <v>12.0892278984656</v>
      </c>
    </row>
    <row r="30" spans="1:27" s="4" customFormat="1" x14ac:dyDescent="0.25">
      <c r="A30" s="68"/>
      <c r="B30" s="5"/>
      <c r="C30" s="6">
        <v>41908</v>
      </c>
      <c r="D30" s="4">
        <v>14.2</v>
      </c>
      <c r="E30" s="4">
        <v>8.5</v>
      </c>
      <c r="F30" s="4">
        <v>19.899999999999999</v>
      </c>
      <c r="G30" s="4">
        <v>391</v>
      </c>
      <c r="J30" s="4">
        <v>0</v>
      </c>
      <c r="K30" s="4">
        <v>25.8</v>
      </c>
      <c r="L30" s="4">
        <v>2.1</v>
      </c>
      <c r="M30" s="4">
        <v>57.499999999999993</v>
      </c>
      <c r="N30" s="8">
        <v>-2.1</v>
      </c>
      <c r="O30" s="4">
        <f t="shared" si="2"/>
        <v>13.200000000000003</v>
      </c>
      <c r="P30" s="4">
        <v>25</v>
      </c>
      <c r="Q30" s="4">
        <f t="shared" si="4"/>
        <v>0.48</v>
      </c>
      <c r="R30" s="9">
        <f t="shared" si="0"/>
        <v>1.008</v>
      </c>
      <c r="S30" s="9">
        <f t="shared" si="1"/>
        <v>-1.008</v>
      </c>
      <c r="T30" s="9">
        <f t="shared" si="3"/>
        <v>48.207875000000008</v>
      </c>
      <c r="V30" s="4">
        <v>1039</v>
      </c>
      <c r="W30" s="4">
        <v>73.16901408450704</v>
      </c>
      <c r="X30" s="4">
        <v>29039.399999999998</v>
      </c>
      <c r="AA30" s="4">
        <v>12.028021773495899</v>
      </c>
    </row>
    <row r="31" spans="1:27" s="4" customFormat="1" x14ac:dyDescent="0.25">
      <c r="A31" s="68"/>
      <c r="B31" s="5"/>
      <c r="C31" s="6">
        <v>41909</v>
      </c>
      <c r="D31" s="4">
        <v>16.899999999999999</v>
      </c>
      <c r="E31" s="4">
        <v>14.4</v>
      </c>
      <c r="F31" s="4">
        <v>21.4</v>
      </c>
      <c r="G31" s="4">
        <v>407.9</v>
      </c>
      <c r="J31" s="4">
        <v>0</v>
      </c>
      <c r="K31" s="4">
        <v>25.8</v>
      </c>
      <c r="L31" s="4">
        <v>2.1</v>
      </c>
      <c r="M31" s="4">
        <v>59.599999999999994</v>
      </c>
      <c r="N31" s="8">
        <v>-2.1</v>
      </c>
      <c r="O31" s="4">
        <f t="shared" si="2"/>
        <v>11.100000000000003</v>
      </c>
      <c r="P31" s="4">
        <v>26</v>
      </c>
      <c r="Q31" s="4">
        <f t="shared" si="4"/>
        <v>0.48812499999999998</v>
      </c>
      <c r="R31" s="9">
        <f t="shared" si="0"/>
        <v>1.0250625</v>
      </c>
      <c r="S31" s="9">
        <f t="shared" si="1"/>
        <v>-1.0250625</v>
      </c>
      <c r="T31" s="9">
        <f t="shared" si="3"/>
        <v>47.182812500000011</v>
      </c>
      <c r="V31" s="4">
        <v>930.3</v>
      </c>
      <c r="W31" s="4">
        <v>55.047337278106511</v>
      </c>
      <c r="X31" s="4">
        <v>29969.699999999997</v>
      </c>
      <c r="AA31" s="4">
        <v>11.9668128590714</v>
      </c>
    </row>
    <row r="32" spans="1:27" s="4" customFormat="1" x14ac:dyDescent="0.25">
      <c r="A32" s="68"/>
      <c r="B32" s="5"/>
      <c r="C32" s="6">
        <v>41910</v>
      </c>
      <c r="D32" s="4">
        <v>16</v>
      </c>
      <c r="E32" s="4">
        <v>11.2</v>
      </c>
      <c r="F32" s="4">
        <v>20.9</v>
      </c>
      <c r="G32" s="4">
        <v>423.9</v>
      </c>
      <c r="J32" s="4">
        <v>0</v>
      </c>
      <c r="K32" s="4">
        <v>25.8</v>
      </c>
      <c r="L32" s="4">
        <v>2.1</v>
      </c>
      <c r="M32" s="4">
        <v>61.699999999999996</v>
      </c>
      <c r="N32" s="8">
        <v>-2.1</v>
      </c>
      <c r="O32" s="4">
        <f t="shared" si="2"/>
        <v>9.0000000000000036</v>
      </c>
      <c r="P32" s="4">
        <v>27</v>
      </c>
      <c r="Q32" s="4">
        <f t="shared" si="4"/>
        <v>0.49624999999999997</v>
      </c>
      <c r="R32" s="9">
        <f t="shared" si="0"/>
        <v>1.042125</v>
      </c>
      <c r="S32" s="9">
        <f t="shared" si="1"/>
        <v>-1.042125</v>
      </c>
      <c r="T32" s="9">
        <f t="shared" si="3"/>
        <v>46.140687500000013</v>
      </c>
      <c r="V32" s="4">
        <v>1186.9000000000001</v>
      </c>
      <c r="W32" s="4">
        <v>74.181250000000006</v>
      </c>
      <c r="X32" s="4">
        <v>31156.6</v>
      </c>
      <c r="AA32" s="4">
        <v>11.9056066249754</v>
      </c>
    </row>
    <row r="33" spans="1:27" s="4" customFormat="1" x14ac:dyDescent="0.25">
      <c r="A33" s="68"/>
      <c r="B33" s="5"/>
      <c r="C33" s="6">
        <v>41911</v>
      </c>
      <c r="D33" s="4">
        <v>17</v>
      </c>
      <c r="E33" s="4">
        <v>14.5</v>
      </c>
      <c r="F33" s="4">
        <v>20.399999999999999</v>
      </c>
      <c r="G33" s="4">
        <v>440.9</v>
      </c>
      <c r="J33" s="4">
        <v>5.4</v>
      </c>
      <c r="K33" s="4">
        <v>31.200000000000003</v>
      </c>
      <c r="L33" s="4">
        <v>1.3</v>
      </c>
      <c r="M33" s="4">
        <v>62.999999999999993</v>
      </c>
      <c r="N33" s="4">
        <v>4.1000000000000005</v>
      </c>
      <c r="O33" s="4">
        <f t="shared" si="2"/>
        <v>13.100000000000005</v>
      </c>
      <c r="P33" s="4">
        <v>28</v>
      </c>
      <c r="Q33" s="4">
        <f t="shared" si="4"/>
        <v>0.50437500000000002</v>
      </c>
      <c r="R33" s="9">
        <f t="shared" si="0"/>
        <v>0.65568750000000009</v>
      </c>
      <c r="S33" s="9">
        <f t="shared" si="1"/>
        <v>4.7443125000000004</v>
      </c>
      <c r="T33" s="9">
        <f t="shared" si="3"/>
        <v>50.885000000000012</v>
      </c>
      <c r="V33" s="10">
        <v>607.1</v>
      </c>
      <c r="W33" s="4">
        <v>35.711764705882352</v>
      </c>
      <c r="X33" s="4">
        <v>31763.699999999997</v>
      </c>
      <c r="AA33" s="4">
        <v>11.8444086255583</v>
      </c>
    </row>
    <row r="34" spans="1:27" s="4" customFormat="1" x14ac:dyDescent="0.25">
      <c r="A34" s="68"/>
      <c r="B34" s="5"/>
      <c r="C34" s="6">
        <v>41912</v>
      </c>
      <c r="D34" s="4">
        <v>15.9</v>
      </c>
      <c r="E34" s="4">
        <v>12.6</v>
      </c>
      <c r="F34" s="4">
        <v>20.9</v>
      </c>
      <c r="G34" s="4">
        <v>456.79999999999995</v>
      </c>
      <c r="J34" s="4">
        <v>0.1</v>
      </c>
      <c r="K34" s="4">
        <v>31.300000000000004</v>
      </c>
      <c r="L34" s="4">
        <v>2.2000000000000002</v>
      </c>
      <c r="M34" s="4">
        <v>65.199999999999989</v>
      </c>
      <c r="N34" s="8">
        <v>-2.1</v>
      </c>
      <c r="O34" s="4">
        <f t="shared" si="2"/>
        <v>11.000000000000005</v>
      </c>
      <c r="P34" s="4">
        <v>29</v>
      </c>
      <c r="Q34" s="4">
        <f t="shared" si="4"/>
        <v>0.51249999999999996</v>
      </c>
      <c r="R34" s="9">
        <f t="shared" si="0"/>
        <v>1.1274999999999999</v>
      </c>
      <c r="S34" s="9">
        <f t="shared" si="1"/>
        <v>-1.0274999999999999</v>
      </c>
      <c r="T34" s="9">
        <f t="shared" si="3"/>
        <v>49.857500000000016</v>
      </c>
      <c r="V34" s="4">
        <v>1072.5999999999999</v>
      </c>
      <c r="W34" s="4">
        <v>67.459119496855337</v>
      </c>
      <c r="X34" s="4">
        <v>32836.299999999996</v>
      </c>
      <c r="AA34" s="4">
        <v>11.7832245178004</v>
      </c>
    </row>
    <row r="35" spans="1:27" s="4" customFormat="1" x14ac:dyDescent="0.25">
      <c r="A35" s="68"/>
      <c r="B35" s="5"/>
      <c r="C35" s="6">
        <v>41913</v>
      </c>
      <c r="D35" s="4">
        <v>16</v>
      </c>
      <c r="E35" s="4">
        <v>10.9</v>
      </c>
      <c r="F35" s="4">
        <v>21.9</v>
      </c>
      <c r="G35" s="4">
        <v>472.79999999999995</v>
      </c>
      <c r="J35" s="4">
        <v>0.2</v>
      </c>
      <c r="K35" s="4">
        <v>31.500000000000004</v>
      </c>
      <c r="L35" s="4">
        <v>2.2999999999999998</v>
      </c>
      <c r="M35" s="4">
        <v>67.499999999999986</v>
      </c>
      <c r="N35" s="8">
        <v>-2.0999999999999996</v>
      </c>
      <c r="O35" s="4">
        <f t="shared" si="2"/>
        <v>8.9000000000000057</v>
      </c>
      <c r="P35" s="4">
        <v>30</v>
      </c>
      <c r="Q35" s="4">
        <f t="shared" si="4"/>
        <v>0.520625</v>
      </c>
      <c r="R35" s="9">
        <f t="shared" si="0"/>
        <v>1.1974374999999999</v>
      </c>
      <c r="S35" s="9">
        <f t="shared" si="1"/>
        <v>-0.99743749999999998</v>
      </c>
      <c r="T35" s="9">
        <f t="shared" si="3"/>
        <v>48.860062500000019</v>
      </c>
      <c r="V35" s="4">
        <v>1157.3</v>
      </c>
      <c r="W35" s="4">
        <v>72.331249999999997</v>
      </c>
      <c r="X35" s="4">
        <v>33993.599999999999</v>
      </c>
      <c r="AA35" s="4">
        <v>11.7220600795062</v>
      </c>
    </row>
    <row r="36" spans="1:27" s="4" customFormat="1" x14ac:dyDescent="0.25">
      <c r="A36" s="68"/>
      <c r="B36" s="5"/>
      <c r="C36" s="6">
        <v>41914</v>
      </c>
      <c r="D36" s="4">
        <v>15.8</v>
      </c>
      <c r="E36" s="4">
        <v>14.7</v>
      </c>
      <c r="F36" s="4">
        <v>18.7</v>
      </c>
      <c r="G36" s="4">
        <v>488.59999999999997</v>
      </c>
      <c r="J36" s="4">
        <v>0.1</v>
      </c>
      <c r="K36" s="4">
        <v>31.600000000000005</v>
      </c>
      <c r="L36" s="4">
        <v>0.9</v>
      </c>
      <c r="M36" s="4">
        <v>68.399999999999991</v>
      </c>
      <c r="N36" s="8">
        <v>-0.8</v>
      </c>
      <c r="O36" s="4">
        <f t="shared" si="2"/>
        <v>8.100000000000005</v>
      </c>
      <c r="P36" s="4">
        <v>31</v>
      </c>
      <c r="Q36" s="4">
        <f t="shared" si="4"/>
        <v>0.52875000000000005</v>
      </c>
      <c r="R36" s="9">
        <f t="shared" si="0"/>
        <v>0.47587500000000005</v>
      </c>
      <c r="S36" s="9">
        <f t="shared" si="1"/>
        <v>-0.37587500000000007</v>
      </c>
      <c r="T36" s="9">
        <f t="shared" si="3"/>
        <v>48.484187500000019</v>
      </c>
      <c r="V36" s="10">
        <v>390.3</v>
      </c>
      <c r="W36" s="4">
        <v>24.702531645569621</v>
      </c>
      <c r="X36" s="4">
        <v>34383.9</v>
      </c>
      <c r="AA36" s="4">
        <v>11.6609212276372</v>
      </c>
    </row>
    <row r="37" spans="1:27" s="4" customFormat="1" x14ac:dyDescent="0.25">
      <c r="A37" s="68"/>
      <c r="B37" s="5"/>
      <c r="C37" s="6">
        <v>41915</v>
      </c>
      <c r="D37" s="4">
        <v>15.2</v>
      </c>
      <c r="E37" s="4">
        <v>9.4</v>
      </c>
      <c r="F37" s="4">
        <v>22</v>
      </c>
      <c r="G37" s="4">
        <v>503.79999999999995</v>
      </c>
      <c r="J37" s="4">
        <v>0</v>
      </c>
      <c r="K37" s="4">
        <v>31.600000000000005</v>
      </c>
      <c r="L37" s="4">
        <v>1.7</v>
      </c>
      <c r="M37" s="4">
        <v>70.099999999999994</v>
      </c>
      <c r="N37" s="8">
        <v>-1.7</v>
      </c>
      <c r="O37" s="4">
        <f t="shared" si="2"/>
        <v>6.4000000000000048</v>
      </c>
      <c r="P37" s="4">
        <v>32</v>
      </c>
      <c r="Q37" s="4">
        <f t="shared" si="4"/>
        <v>0.53687499999999999</v>
      </c>
      <c r="R37" s="9">
        <f t="shared" si="0"/>
        <v>0.91268749999999998</v>
      </c>
      <c r="S37" s="9">
        <f t="shared" si="1"/>
        <v>-0.91268749999999998</v>
      </c>
      <c r="T37" s="9">
        <f t="shared" si="3"/>
        <v>47.571500000000022</v>
      </c>
      <c r="V37" s="10">
        <v>865.6</v>
      </c>
      <c r="W37" s="4">
        <v>56.947368421052637</v>
      </c>
      <c r="X37" s="4">
        <v>35249.5</v>
      </c>
      <c r="AA37" s="4">
        <v>11.599814036787199</v>
      </c>
    </row>
    <row r="38" spans="1:27" s="4" customFormat="1" x14ac:dyDescent="0.25">
      <c r="A38" s="68"/>
      <c r="B38" s="5"/>
      <c r="C38" s="6">
        <v>41916</v>
      </c>
      <c r="D38" s="4">
        <v>13.8</v>
      </c>
      <c r="E38" s="4">
        <v>9.3000000000000007</v>
      </c>
      <c r="F38" s="4">
        <v>21</v>
      </c>
      <c r="G38" s="4">
        <v>517.59999999999991</v>
      </c>
      <c r="J38" s="4">
        <v>6</v>
      </c>
      <c r="K38" s="4">
        <v>37.600000000000009</v>
      </c>
      <c r="L38" s="4">
        <v>1.9</v>
      </c>
      <c r="M38" s="4">
        <v>72</v>
      </c>
      <c r="N38" s="4">
        <v>4.0999999999999996</v>
      </c>
      <c r="O38" s="4">
        <f t="shared" si="2"/>
        <v>10.500000000000004</v>
      </c>
      <c r="P38" s="4">
        <v>33</v>
      </c>
      <c r="Q38" s="4">
        <f t="shared" si="4"/>
        <v>0.54499999999999993</v>
      </c>
      <c r="R38" s="9">
        <f t="shared" si="0"/>
        <v>1.0354999999999999</v>
      </c>
      <c r="S38" s="9">
        <f t="shared" si="1"/>
        <v>4.9645000000000001</v>
      </c>
      <c r="T38" s="9">
        <f t="shared" si="3"/>
        <v>52.536000000000023</v>
      </c>
      <c r="V38" s="10">
        <v>636.70000000000005</v>
      </c>
      <c r="W38" s="4">
        <v>46.137681159420289</v>
      </c>
      <c r="X38" s="4">
        <v>35886.199999999997</v>
      </c>
      <c r="AA38" s="4">
        <v>11.538744757803499</v>
      </c>
    </row>
    <row r="39" spans="1:27" s="4" customFormat="1" x14ac:dyDescent="0.25">
      <c r="A39" s="68"/>
      <c r="B39" s="5"/>
      <c r="C39" s="6">
        <v>41917</v>
      </c>
      <c r="D39" s="4">
        <v>12.1</v>
      </c>
      <c r="E39" s="4">
        <v>9.6999999999999993</v>
      </c>
      <c r="F39" s="4">
        <v>14.8</v>
      </c>
      <c r="G39" s="4">
        <v>529.69999999999993</v>
      </c>
      <c r="J39" s="4">
        <v>0</v>
      </c>
      <c r="K39" s="4">
        <v>37.600000000000009</v>
      </c>
      <c r="L39" s="4">
        <v>1.8</v>
      </c>
      <c r="M39" s="4">
        <v>73.8</v>
      </c>
      <c r="N39" s="8">
        <v>-1.8</v>
      </c>
      <c r="O39" s="4">
        <f t="shared" si="2"/>
        <v>8.7000000000000028</v>
      </c>
      <c r="P39" s="4">
        <v>34</v>
      </c>
      <c r="Q39" s="4">
        <f t="shared" si="4"/>
        <v>0.55312499999999998</v>
      </c>
      <c r="R39" s="9">
        <f t="shared" si="0"/>
        <v>0.99562499999999998</v>
      </c>
      <c r="S39" s="9">
        <f t="shared" si="1"/>
        <v>-0.99562499999999998</v>
      </c>
      <c r="T39" s="9">
        <f t="shared" si="3"/>
        <v>51.540375000000026</v>
      </c>
      <c r="V39" s="10">
        <v>865.6</v>
      </c>
      <c r="W39" s="4">
        <v>71.537190082644628</v>
      </c>
      <c r="X39" s="4">
        <v>36751.799999999996</v>
      </c>
      <c r="AA39" s="4">
        <v>11.477719836557</v>
      </c>
    </row>
    <row r="40" spans="1:27" s="4" customFormat="1" x14ac:dyDescent="0.25">
      <c r="A40" s="68"/>
      <c r="B40" s="5"/>
      <c r="C40" s="6">
        <v>41918</v>
      </c>
      <c r="D40" s="4">
        <v>11.1</v>
      </c>
      <c r="E40" s="4">
        <v>7.8</v>
      </c>
      <c r="F40" s="4">
        <v>13.6</v>
      </c>
      <c r="G40" s="4">
        <v>540.79999999999995</v>
      </c>
      <c r="J40" s="4">
        <v>4.7</v>
      </c>
      <c r="K40" s="4">
        <v>42.300000000000011</v>
      </c>
      <c r="L40" s="4">
        <v>0.9</v>
      </c>
      <c r="M40" s="4">
        <v>74.7</v>
      </c>
      <c r="N40" s="4">
        <v>3.8000000000000003</v>
      </c>
      <c r="O40" s="4">
        <f t="shared" si="2"/>
        <v>12.500000000000004</v>
      </c>
      <c r="P40" s="4">
        <v>35</v>
      </c>
      <c r="Q40" s="4">
        <f t="shared" si="4"/>
        <v>0.56125000000000003</v>
      </c>
      <c r="R40" s="9">
        <f t="shared" si="0"/>
        <v>0.50512500000000005</v>
      </c>
      <c r="S40" s="9">
        <f t="shared" si="1"/>
        <v>4.1948749999999997</v>
      </c>
      <c r="T40" s="9">
        <f t="shared" si="3"/>
        <v>55.735250000000022</v>
      </c>
      <c r="V40" s="10">
        <v>622.29999999999995</v>
      </c>
      <c r="W40" s="4">
        <v>56.063063063063062</v>
      </c>
      <c r="X40" s="4">
        <v>37374.1</v>
      </c>
      <c r="AA40" s="4">
        <v>11.4167459328616</v>
      </c>
    </row>
    <row r="41" spans="1:27" s="4" customFormat="1" x14ac:dyDescent="0.25">
      <c r="A41" s="68"/>
      <c r="B41" s="5"/>
      <c r="C41" s="6">
        <v>41919</v>
      </c>
      <c r="D41" s="4">
        <v>11.7</v>
      </c>
      <c r="E41" s="4">
        <v>10.3</v>
      </c>
      <c r="F41" s="4">
        <v>13.9</v>
      </c>
      <c r="G41" s="4">
        <v>552.5</v>
      </c>
      <c r="J41" s="4">
        <v>1.3</v>
      </c>
      <c r="K41" s="4">
        <v>43.600000000000009</v>
      </c>
      <c r="L41" s="4">
        <v>1.5</v>
      </c>
      <c r="M41" s="4">
        <v>76.2</v>
      </c>
      <c r="N41" s="8">
        <v>-0.19999999999999996</v>
      </c>
      <c r="O41" s="4">
        <f t="shared" si="2"/>
        <v>12.300000000000004</v>
      </c>
      <c r="P41" s="4">
        <v>36</v>
      </c>
      <c r="Q41" s="4">
        <f t="shared" si="4"/>
        <v>0.56937499999999996</v>
      </c>
      <c r="R41" s="9">
        <f t="shared" si="0"/>
        <v>0.85406249999999995</v>
      </c>
      <c r="S41" s="9">
        <f t="shared" si="1"/>
        <v>0.4459375000000001</v>
      </c>
      <c r="T41" s="9">
        <f t="shared" si="3"/>
        <v>56.181187500000021</v>
      </c>
      <c r="V41" s="10">
        <v>825.7</v>
      </c>
      <c r="W41" s="4">
        <v>70.572649572649581</v>
      </c>
      <c r="X41" s="4">
        <v>38199.799999999996</v>
      </c>
      <c r="AA41" s="4">
        <v>11.355829939541399</v>
      </c>
    </row>
    <row r="42" spans="1:27" s="4" customFormat="1" x14ac:dyDescent="0.25">
      <c r="A42" s="68"/>
      <c r="B42" s="5"/>
      <c r="C42" s="6">
        <v>41920</v>
      </c>
      <c r="D42" s="4">
        <v>13.8</v>
      </c>
      <c r="E42" s="4">
        <v>9.1</v>
      </c>
      <c r="F42" s="4">
        <v>16.3</v>
      </c>
      <c r="G42" s="4">
        <v>566.29999999999995</v>
      </c>
      <c r="J42" s="4">
        <v>8.8000000000000007</v>
      </c>
      <c r="K42" s="4">
        <v>52.400000000000006</v>
      </c>
      <c r="L42" s="4">
        <v>0.4</v>
      </c>
      <c r="M42" s="4">
        <v>76.600000000000009</v>
      </c>
      <c r="N42" s="4">
        <v>8.4</v>
      </c>
      <c r="O42" s="4">
        <f t="shared" si="2"/>
        <v>20.700000000000003</v>
      </c>
      <c r="P42" s="4">
        <v>37</v>
      </c>
      <c r="Q42" s="4">
        <f t="shared" si="4"/>
        <v>0.5774999999999999</v>
      </c>
      <c r="R42" s="9">
        <f t="shared" si="0"/>
        <v>0.23099999999999998</v>
      </c>
      <c r="S42" s="9">
        <f t="shared" si="1"/>
        <v>8.5690000000000008</v>
      </c>
      <c r="T42" s="9">
        <f t="shared" si="3"/>
        <v>64.750187500000024</v>
      </c>
      <c r="V42" s="10">
        <v>279.7</v>
      </c>
      <c r="W42" s="4">
        <v>20.268115942028984</v>
      </c>
      <c r="X42" s="4">
        <v>38479.499999999993</v>
      </c>
      <c r="AA42" s="4">
        <v>11.2949790016434</v>
      </c>
    </row>
    <row r="43" spans="1:27" s="4" customFormat="1" x14ac:dyDescent="0.25">
      <c r="A43" s="68"/>
      <c r="B43" s="5"/>
      <c r="C43" s="6">
        <v>41921</v>
      </c>
      <c r="D43" s="4">
        <v>14.8</v>
      </c>
      <c r="E43" s="4">
        <v>13.1</v>
      </c>
      <c r="F43" s="4">
        <v>17.600000000000001</v>
      </c>
      <c r="G43" s="4">
        <v>581.09999999999991</v>
      </c>
      <c r="J43" s="4">
        <v>0.9</v>
      </c>
      <c r="K43" s="4">
        <v>53.300000000000004</v>
      </c>
      <c r="L43" s="4">
        <v>1.7</v>
      </c>
      <c r="M43" s="4">
        <v>78.300000000000011</v>
      </c>
      <c r="N43" s="8">
        <v>-0.79999999999999993</v>
      </c>
      <c r="O43" s="4">
        <f t="shared" si="2"/>
        <v>19.900000000000002</v>
      </c>
      <c r="P43" s="4">
        <v>38</v>
      </c>
      <c r="Q43" s="4">
        <f t="shared" si="4"/>
        <v>0.58562499999999995</v>
      </c>
      <c r="R43" s="9">
        <f t="shared" si="0"/>
        <v>0.99556249999999991</v>
      </c>
      <c r="S43" s="9">
        <f t="shared" si="1"/>
        <v>-9.5562499999999884E-2</v>
      </c>
      <c r="T43" s="9">
        <f t="shared" si="3"/>
        <v>64.654625000000024</v>
      </c>
      <c r="V43" s="10">
        <v>640.5</v>
      </c>
      <c r="W43" s="4">
        <v>43.277027027027025</v>
      </c>
      <c r="X43" s="4">
        <v>39119.999999999993</v>
      </c>
      <c r="AA43" s="4">
        <v>11.2342005357897</v>
      </c>
    </row>
    <row r="44" spans="1:27" s="4" customFormat="1" x14ac:dyDescent="0.25">
      <c r="A44" s="68"/>
      <c r="B44" s="5"/>
      <c r="C44" s="6">
        <v>41922</v>
      </c>
      <c r="D44" s="4">
        <v>12.8</v>
      </c>
      <c r="E44" s="4">
        <v>10.7</v>
      </c>
      <c r="F44" s="4">
        <v>16.5</v>
      </c>
      <c r="G44" s="4">
        <v>593.89999999999986</v>
      </c>
      <c r="J44" s="4">
        <v>2.2000000000000002</v>
      </c>
      <c r="K44" s="4">
        <v>55.500000000000007</v>
      </c>
      <c r="L44" s="4">
        <v>1.7</v>
      </c>
      <c r="M44" s="4">
        <v>80.000000000000014</v>
      </c>
      <c r="N44" s="4">
        <v>0.50000000000000022</v>
      </c>
      <c r="O44" s="4">
        <f t="shared" si="2"/>
        <v>20.400000000000002</v>
      </c>
      <c r="P44" s="4">
        <v>39</v>
      </c>
      <c r="Q44" s="4">
        <f t="shared" si="4"/>
        <v>0.59375</v>
      </c>
      <c r="R44" s="9">
        <f t="shared" si="0"/>
        <v>1.0093749999999999</v>
      </c>
      <c r="S44" s="9">
        <f t="shared" si="1"/>
        <v>1.1906250000000003</v>
      </c>
      <c r="T44" s="9">
        <f t="shared" si="3"/>
        <v>65.845250000000021</v>
      </c>
      <c r="V44" s="10">
        <v>807.5</v>
      </c>
      <c r="W44" s="4">
        <v>63.0859375</v>
      </c>
      <c r="X44" s="4">
        <v>39927.499999999993</v>
      </c>
      <c r="AA44" s="4">
        <v>11.173502249662</v>
      </c>
    </row>
    <row r="45" spans="1:27" s="4" customFormat="1" x14ac:dyDescent="0.25">
      <c r="A45" s="68"/>
      <c r="B45" s="5"/>
      <c r="C45" s="6">
        <v>41923</v>
      </c>
      <c r="D45" s="4">
        <v>12.5</v>
      </c>
      <c r="E45" s="4">
        <v>10</v>
      </c>
      <c r="F45" s="4">
        <v>16.399999999999999</v>
      </c>
      <c r="G45" s="4">
        <v>606.39999999999986</v>
      </c>
      <c r="J45" s="4">
        <v>9.6</v>
      </c>
      <c r="K45" s="4">
        <v>65.100000000000009</v>
      </c>
      <c r="L45" s="4">
        <v>1.2</v>
      </c>
      <c r="M45" s="4">
        <v>81.200000000000017</v>
      </c>
      <c r="N45" s="4">
        <v>8.4</v>
      </c>
      <c r="O45" s="4">
        <f t="shared" si="2"/>
        <v>28.800000000000004</v>
      </c>
      <c r="P45" s="4">
        <v>40</v>
      </c>
      <c r="Q45" s="4">
        <f t="shared" si="4"/>
        <v>0.60187499999999994</v>
      </c>
      <c r="R45" s="9">
        <f t="shared" si="0"/>
        <v>0.72224999999999995</v>
      </c>
      <c r="S45" s="9">
        <f t="shared" si="1"/>
        <v>8.8777499999999989</v>
      </c>
      <c r="T45" s="9">
        <f t="shared" si="3"/>
        <v>74.723000000000013</v>
      </c>
      <c r="V45" s="10">
        <v>564.9</v>
      </c>
      <c r="W45" s="4">
        <v>45.192</v>
      </c>
      <c r="X45" s="4">
        <v>40492.399999999994</v>
      </c>
      <c r="AA45" s="4">
        <v>11.112892161608199</v>
      </c>
    </row>
    <row r="46" spans="1:27" s="4" customFormat="1" x14ac:dyDescent="0.25">
      <c r="A46" s="68"/>
      <c r="B46" s="5"/>
      <c r="C46" s="6">
        <v>41924</v>
      </c>
      <c r="D46" s="4">
        <v>12.2</v>
      </c>
      <c r="E46" s="4">
        <v>8.6</v>
      </c>
      <c r="F46" s="4">
        <v>14.7</v>
      </c>
      <c r="G46" s="4">
        <v>618.59999999999991</v>
      </c>
      <c r="J46" s="4">
        <v>3.2</v>
      </c>
      <c r="K46" s="4">
        <v>68.300000000000011</v>
      </c>
      <c r="L46" s="4">
        <v>0.7</v>
      </c>
      <c r="M46" s="4">
        <v>81.90000000000002</v>
      </c>
      <c r="N46" s="4">
        <v>2.5</v>
      </c>
      <c r="O46" s="4">
        <f t="shared" si="2"/>
        <v>31.300000000000004</v>
      </c>
      <c r="P46" s="4">
        <v>41</v>
      </c>
      <c r="Q46" s="4">
        <f t="shared" si="4"/>
        <v>0.61</v>
      </c>
      <c r="R46" s="9">
        <f t="shared" si="0"/>
        <v>0.42699999999999999</v>
      </c>
      <c r="S46" s="9">
        <f t="shared" si="1"/>
        <v>2.7730000000000001</v>
      </c>
      <c r="T46" s="9">
        <f t="shared" si="3"/>
        <v>77.496000000000009</v>
      </c>
      <c r="V46" s="10">
        <v>349.8</v>
      </c>
      <c r="W46" s="4">
        <v>28.672131147540988</v>
      </c>
      <c r="X46" s="4">
        <v>40842.199999999997</v>
      </c>
      <c r="AA46" s="4">
        <v>11.0523786203561</v>
      </c>
    </row>
    <row r="47" spans="1:27" s="4" customFormat="1" x14ac:dyDescent="0.25">
      <c r="A47" s="68"/>
      <c r="B47" s="5"/>
      <c r="C47" s="6">
        <v>41925</v>
      </c>
      <c r="D47" s="4">
        <v>13.6</v>
      </c>
      <c r="E47" s="4">
        <v>12.6</v>
      </c>
      <c r="F47" s="4">
        <v>15.8</v>
      </c>
      <c r="G47" s="4">
        <v>632.19999999999993</v>
      </c>
      <c r="J47" s="4">
        <v>0</v>
      </c>
      <c r="K47" s="4">
        <v>68.300000000000011</v>
      </c>
      <c r="L47" s="4">
        <v>1.6</v>
      </c>
      <c r="M47" s="4">
        <v>83.500000000000014</v>
      </c>
      <c r="N47" s="8">
        <v>-1.6</v>
      </c>
      <c r="O47" s="4">
        <f t="shared" si="2"/>
        <v>29.700000000000003</v>
      </c>
      <c r="P47" s="4">
        <v>42</v>
      </c>
      <c r="Q47" s="4">
        <f t="shared" si="4"/>
        <v>0.61812500000000004</v>
      </c>
      <c r="R47" s="9">
        <f t="shared" si="0"/>
        <v>0.9890000000000001</v>
      </c>
      <c r="S47" s="9">
        <f t="shared" si="1"/>
        <v>-0.9890000000000001</v>
      </c>
      <c r="T47" s="9">
        <f t="shared" si="3"/>
        <v>76.507000000000005</v>
      </c>
      <c r="V47" s="10">
        <v>503.1</v>
      </c>
      <c r="W47" s="4">
        <v>36.992647058823529</v>
      </c>
      <c r="X47" s="4">
        <v>41345.299999999996</v>
      </c>
      <c r="AA47" s="4">
        <v>10.9919703248208</v>
      </c>
    </row>
    <row r="48" spans="1:27" s="4" customFormat="1" x14ac:dyDescent="0.25">
      <c r="A48" s="68"/>
      <c r="B48" s="5"/>
      <c r="C48" s="6">
        <v>41926</v>
      </c>
      <c r="D48" s="4">
        <v>11.5</v>
      </c>
      <c r="E48" s="4">
        <v>9.1</v>
      </c>
      <c r="F48" s="4">
        <v>16</v>
      </c>
      <c r="G48" s="4">
        <v>643.69999999999993</v>
      </c>
      <c r="J48" s="4">
        <v>0.1</v>
      </c>
      <c r="K48" s="4">
        <v>68.400000000000006</v>
      </c>
      <c r="L48" s="4">
        <v>1.7</v>
      </c>
      <c r="M48" s="4">
        <v>85.200000000000017</v>
      </c>
      <c r="N48" s="8">
        <v>-1.5999999999999999</v>
      </c>
      <c r="O48" s="4">
        <f t="shared" si="2"/>
        <v>28.1</v>
      </c>
      <c r="P48" s="4">
        <v>43</v>
      </c>
      <c r="Q48" s="4">
        <f t="shared" si="4"/>
        <v>0.62624999999999997</v>
      </c>
      <c r="R48" s="9">
        <f t="shared" si="0"/>
        <v>1.0646249999999999</v>
      </c>
      <c r="S48" s="9">
        <f t="shared" si="1"/>
        <v>-0.96462499999999995</v>
      </c>
      <c r="T48" s="9">
        <f t="shared" si="3"/>
        <v>75.542375000000007</v>
      </c>
      <c r="V48" s="10">
        <v>710.6</v>
      </c>
      <c r="W48" s="4">
        <v>61.791304347826092</v>
      </c>
      <c r="X48" s="4">
        <v>42055.899999999994</v>
      </c>
      <c r="AA48" s="4">
        <v>10.931676343982099</v>
      </c>
    </row>
    <row r="49" spans="1:27" s="4" customFormat="1" x14ac:dyDescent="0.25">
      <c r="A49" s="68"/>
      <c r="B49" s="5"/>
      <c r="C49" s="6">
        <v>41927</v>
      </c>
      <c r="D49" s="4">
        <v>11.7</v>
      </c>
      <c r="E49" s="4">
        <v>8.1</v>
      </c>
      <c r="F49" s="4">
        <v>14</v>
      </c>
      <c r="G49" s="4">
        <v>655.4</v>
      </c>
      <c r="J49" s="4">
        <v>2.4</v>
      </c>
      <c r="K49" s="4">
        <v>70.800000000000011</v>
      </c>
      <c r="L49" s="4">
        <v>0.2</v>
      </c>
      <c r="M49" s="4">
        <v>85.40000000000002</v>
      </c>
      <c r="N49" s="4">
        <v>2.1999999999999997</v>
      </c>
      <c r="O49" s="4">
        <f t="shared" si="2"/>
        <v>30.3</v>
      </c>
      <c r="P49" s="4">
        <v>44</v>
      </c>
      <c r="Q49" s="4">
        <f t="shared" si="4"/>
        <v>0.63437499999999991</v>
      </c>
      <c r="R49" s="9">
        <f t="shared" si="0"/>
        <v>0.12687499999999999</v>
      </c>
      <c r="S49" s="9">
        <f t="shared" si="1"/>
        <v>2.2731249999999998</v>
      </c>
      <c r="T49" s="9">
        <f t="shared" si="3"/>
        <v>77.8155</v>
      </c>
      <c r="V49" s="10">
        <v>248.2</v>
      </c>
      <c r="W49" s="4">
        <v>21.213675213675213</v>
      </c>
      <c r="X49" s="4">
        <v>42304.099999999991</v>
      </c>
      <c r="AA49" s="4">
        <v>10.8715061368113</v>
      </c>
    </row>
    <row r="50" spans="1:27" s="4" customFormat="1" x14ac:dyDescent="0.25">
      <c r="A50" s="68"/>
      <c r="B50" s="5"/>
      <c r="C50" s="6">
        <v>41928</v>
      </c>
      <c r="D50" s="4">
        <v>15.3</v>
      </c>
      <c r="E50" s="4">
        <v>13.6</v>
      </c>
      <c r="F50" s="4">
        <v>17.600000000000001</v>
      </c>
      <c r="G50" s="4">
        <v>670.69999999999993</v>
      </c>
      <c r="J50" s="4">
        <v>12.3</v>
      </c>
      <c r="K50" s="4">
        <v>83.100000000000009</v>
      </c>
      <c r="L50" s="4">
        <v>1.3</v>
      </c>
      <c r="M50" s="4">
        <v>86.700000000000017</v>
      </c>
      <c r="N50" s="4">
        <v>11</v>
      </c>
      <c r="O50" s="4">
        <f t="shared" si="2"/>
        <v>41.3</v>
      </c>
      <c r="P50" s="4">
        <v>45</v>
      </c>
      <c r="Q50" s="4">
        <f t="shared" si="4"/>
        <v>0.64250000000000007</v>
      </c>
      <c r="R50" s="9">
        <f t="shared" si="0"/>
        <v>0.83525000000000016</v>
      </c>
      <c r="S50" s="9">
        <f t="shared" si="1"/>
        <v>11.46475</v>
      </c>
      <c r="T50" s="9">
        <f t="shared" si="3"/>
        <v>89.280249999999995</v>
      </c>
      <c r="V50" s="10">
        <v>592.20000000000005</v>
      </c>
      <c r="W50" s="4">
        <v>38.705882352941181</v>
      </c>
      <c r="X50" s="4">
        <v>42896.299999999988</v>
      </c>
      <c r="AA50" s="4">
        <v>10.811469572217</v>
      </c>
    </row>
    <row r="51" spans="1:27" s="4" customFormat="1" x14ac:dyDescent="0.25">
      <c r="A51" s="68"/>
      <c r="B51" s="5"/>
      <c r="C51" s="6">
        <v>41929</v>
      </c>
      <c r="D51" s="4">
        <v>14.7</v>
      </c>
      <c r="E51" s="4">
        <v>12.6</v>
      </c>
      <c r="F51" s="4">
        <v>17</v>
      </c>
      <c r="G51" s="4">
        <v>685.4</v>
      </c>
      <c r="J51" s="4">
        <v>0</v>
      </c>
      <c r="K51" s="4">
        <v>83.100000000000009</v>
      </c>
      <c r="L51" s="4">
        <v>0.8</v>
      </c>
      <c r="M51" s="4">
        <v>87.500000000000014</v>
      </c>
      <c r="N51" s="8">
        <v>-0.8</v>
      </c>
      <c r="O51" s="4">
        <f t="shared" si="2"/>
        <v>40.5</v>
      </c>
      <c r="P51" s="4">
        <v>46</v>
      </c>
      <c r="Q51" s="4">
        <f t="shared" si="4"/>
        <v>0.65062500000000001</v>
      </c>
      <c r="R51" s="9">
        <f t="shared" si="0"/>
        <v>0.52050000000000007</v>
      </c>
      <c r="S51" s="9">
        <f t="shared" si="1"/>
        <v>-0.52050000000000007</v>
      </c>
      <c r="T51" s="9">
        <f t="shared" si="3"/>
        <v>88.759749999999997</v>
      </c>
      <c r="V51" s="10">
        <v>384.8</v>
      </c>
      <c r="W51" s="4">
        <v>26.176870748299322</v>
      </c>
      <c r="X51" s="4">
        <v>43281.099999999991</v>
      </c>
      <c r="AA51" s="4">
        <v>10.7515769489798</v>
      </c>
    </row>
    <row r="52" spans="1:27" s="4" customFormat="1" x14ac:dyDescent="0.25">
      <c r="A52" s="68"/>
      <c r="B52" s="5"/>
      <c r="C52" s="6">
        <v>41930</v>
      </c>
      <c r="D52" s="4">
        <v>17.3</v>
      </c>
      <c r="E52" s="4">
        <v>13.9</v>
      </c>
      <c r="F52" s="4">
        <v>21.8</v>
      </c>
      <c r="G52" s="4">
        <v>702.69999999999993</v>
      </c>
      <c r="J52" s="4">
        <v>0.1</v>
      </c>
      <c r="K52" s="4">
        <v>83.2</v>
      </c>
      <c r="L52" s="4">
        <v>2.2000000000000002</v>
      </c>
      <c r="M52" s="4">
        <v>89.700000000000017</v>
      </c>
      <c r="N52" s="8">
        <v>-2.1</v>
      </c>
      <c r="O52" s="4">
        <f t="shared" si="2"/>
        <v>38.4</v>
      </c>
      <c r="P52" s="4">
        <v>47</v>
      </c>
      <c r="Q52" s="4">
        <f t="shared" si="4"/>
        <v>0.65874999999999995</v>
      </c>
      <c r="R52" s="9">
        <f t="shared" si="0"/>
        <v>1.4492499999999999</v>
      </c>
      <c r="S52" s="9">
        <f t="shared" si="1"/>
        <v>-1.3492499999999998</v>
      </c>
      <c r="T52" s="9">
        <f t="shared" si="3"/>
        <v>87.410499999999999</v>
      </c>
      <c r="V52" s="4">
        <v>1055.5999999999999</v>
      </c>
      <c r="W52" s="4">
        <v>61.017341040462419</v>
      </c>
      <c r="X52" s="4">
        <v>44336.69999999999</v>
      </c>
      <c r="AA52" s="4">
        <v>10.691839015636999</v>
      </c>
    </row>
    <row r="53" spans="1:27" s="4" customFormat="1" x14ac:dyDescent="0.25">
      <c r="A53" s="68"/>
      <c r="B53" s="5"/>
      <c r="C53" s="6">
        <v>41931</v>
      </c>
      <c r="D53" s="4">
        <v>16.2</v>
      </c>
      <c r="E53" s="4">
        <v>13.6</v>
      </c>
      <c r="F53" s="4">
        <v>22.2</v>
      </c>
      <c r="G53" s="4">
        <v>718.9</v>
      </c>
      <c r="J53" s="4">
        <v>0.4</v>
      </c>
      <c r="K53" s="4">
        <v>83.600000000000009</v>
      </c>
      <c r="L53" s="4">
        <v>2.4</v>
      </c>
      <c r="M53" s="4">
        <v>92.100000000000023</v>
      </c>
      <c r="N53" s="8">
        <v>-2</v>
      </c>
      <c r="O53" s="4">
        <f t="shared" si="2"/>
        <v>36.4</v>
      </c>
      <c r="P53" s="4">
        <v>48</v>
      </c>
      <c r="Q53" s="4">
        <f t="shared" si="4"/>
        <v>0.666875</v>
      </c>
      <c r="R53" s="9">
        <f t="shared" si="0"/>
        <v>1.6005</v>
      </c>
      <c r="S53" s="9">
        <f t="shared" si="1"/>
        <v>-1.2004999999999999</v>
      </c>
      <c r="T53" s="9">
        <f t="shared" si="3"/>
        <v>86.21</v>
      </c>
      <c r="V53" s="4">
        <v>994.8</v>
      </c>
      <c r="W53" s="4">
        <v>61.407407407407405</v>
      </c>
      <c r="X53" s="4">
        <v>45331.499999999993</v>
      </c>
      <c r="AA53" s="4">
        <v>10.6322669902773</v>
      </c>
    </row>
    <row r="54" spans="1:27" s="4" customFormat="1" x14ac:dyDescent="0.25">
      <c r="A54" s="68"/>
      <c r="B54" s="5"/>
      <c r="C54" s="6">
        <v>41932</v>
      </c>
      <c r="D54" s="4">
        <v>12.5</v>
      </c>
      <c r="E54" s="4">
        <v>11.5</v>
      </c>
      <c r="F54" s="4">
        <v>15.6</v>
      </c>
      <c r="G54" s="4">
        <v>731.4</v>
      </c>
      <c r="J54" s="4">
        <v>0</v>
      </c>
      <c r="K54" s="4">
        <v>83.600000000000009</v>
      </c>
      <c r="L54" s="4">
        <v>1.2</v>
      </c>
      <c r="M54" s="4">
        <v>93.300000000000026</v>
      </c>
      <c r="N54" s="8">
        <v>-1.2</v>
      </c>
      <c r="O54" s="4">
        <f t="shared" si="2"/>
        <v>35.199999999999996</v>
      </c>
      <c r="P54" s="4">
        <v>49</v>
      </c>
      <c r="Q54" s="4">
        <f t="shared" si="4"/>
        <v>0.67500000000000004</v>
      </c>
      <c r="R54" s="9">
        <f t="shared" si="0"/>
        <v>0.81</v>
      </c>
      <c r="S54" s="9">
        <f t="shared" si="1"/>
        <v>-0.81</v>
      </c>
      <c r="T54" s="9">
        <f t="shared" si="3"/>
        <v>85.399999999999991</v>
      </c>
      <c r="V54" s="10">
        <v>498</v>
      </c>
      <c r="W54" s="4">
        <v>39.840000000000003</v>
      </c>
      <c r="X54" s="4">
        <v>45829.499999999993</v>
      </c>
      <c r="AA54" s="4">
        <v>10.572872580196901</v>
      </c>
    </row>
    <row r="55" spans="1:27" s="4" customFormat="1" x14ac:dyDescent="0.25">
      <c r="A55" s="68"/>
      <c r="B55" s="5"/>
      <c r="C55" s="6">
        <v>41933</v>
      </c>
      <c r="D55" s="4">
        <v>11.2</v>
      </c>
      <c r="E55" s="4">
        <v>10.6</v>
      </c>
      <c r="F55" s="4">
        <v>13.1</v>
      </c>
      <c r="G55" s="4">
        <v>742.6</v>
      </c>
      <c r="J55" s="4">
        <v>5.8</v>
      </c>
      <c r="K55" s="4">
        <v>89.4</v>
      </c>
      <c r="L55" s="4">
        <v>1.4</v>
      </c>
      <c r="M55" s="4">
        <v>94.700000000000031</v>
      </c>
      <c r="N55" s="4">
        <v>4.4000000000000004</v>
      </c>
      <c r="O55" s="4">
        <f t="shared" si="2"/>
        <v>39.599999999999994</v>
      </c>
      <c r="P55" s="4">
        <v>50</v>
      </c>
      <c r="Q55" s="4">
        <f t="shared" si="4"/>
        <v>0.68312499999999998</v>
      </c>
      <c r="R55" s="9">
        <f t="shared" si="0"/>
        <v>0.95637499999999986</v>
      </c>
      <c r="S55" s="9">
        <f t="shared" si="1"/>
        <v>4.8436250000000003</v>
      </c>
      <c r="T55" s="9">
        <f t="shared" si="3"/>
        <v>90.243624999999994</v>
      </c>
      <c r="V55" s="10">
        <v>278.10000000000002</v>
      </c>
      <c r="W55" s="4">
        <v>24.830357142857146</v>
      </c>
      <c r="X55" s="4">
        <v>46107.599999999991</v>
      </c>
      <c r="AA55" s="4">
        <v>10.513668001364699</v>
      </c>
    </row>
    <row r="56" spans="1:27" s="4" customFormat="1" x14ac:dyDescent="0.25">
      <c r="A56" s="68"/>
      <c r="B56" s="5"/>
      <c r="C56" s="6">
        <v>41934</v>
      </c>
      <c r="D56" s="4">
        <v>8.9</v>
      </c>
      <c r="E56" s="4">
        <v>6.2</v>
      </c>
      <c r="F56" s="4">
        <v>12.6</v>
      </c>
      <c r="G56" s="4">
        <v>751.5</v>
      </c>
      <c r="J56" s="4">
        <v>0</v>
      </c>
      <c r="K56" s="4">
        <v>89.4</v>
      </c>
      <c r="L56" s="4">
        <v>1.4</v>
      </c>
      <c r="M56" s="4">
        <v>96.100000000000037</v>
      </c>
      <c r="N56" s="8">
        <v>-1.4</v>
      </c>
      <c r="O56" s="4">
        <f t="shared" si="2"/>
        <v>38.199999999999996</v>
      </c>
      <c r="P56" s="4">
        <v>51</v>
      </c>
      <c r="Q56" s="4">
        <f t="shared" si="4"/>
        <v>0.69125000000000003</v>
      </c>
      <c r="R56" s="9">
        <f t="shared" si="0"/>
        <v>0.96775</v>
      </c>
      <c r="S56" s="9">
        <f t="shared" si="1"/>
        <v>-0.96775</v>
      </c>
      <c r="T56" s="9">
        <f t="shared" si="3"/>
        <v>89.275874999999999</v>
      </c>
      <c r="V56" s="10">
        <v>486.9</v>
      </c>
      <c r="W56" s="4">
        <v>54.707865168539321</v>
      </c>
      <c r="X56" s="4">
        <v>46594.499999999993</v>
      </c>
      <c r="AA56" s="4">
        <v>10.4546659976386</v>
      </c>
    </row>
    <row r="57" spans="1:27" s="4" customFormat="1" x14ac:dyDescent="0.25">
      <c r="A57" s="68"/>
      <c r="B57" s="5"/>
      <c r="C57" s="6">
        <v>41935</v>
      </c>
      <c r="D57" s="4">
        <v>11.5</v>
      </c>
      <c r="E57" s="4">
        <v>8</v>
      </c>
      <c r="F57" s="4">
        <v>13.9</v>
      </c>
      <c r="G57" s="4">
        <v>763</v>
      </c>
      <c r="J57" s="4">
        <v>0.1</v>
      </c>
      <c r="K57" s="4">
        <v>89.5</v>
      </c>
      <c r="L57" s="4">
        <v>0.7</v>
      </c>
      <c r="M57" s="4">
        <v>96.80000000000004</v>
      </c>
      <c r="N57" s="8">
        <v>-0.6</v>
      </c>
      <c r="O57" s="4">
        <f t="shared" si="2"/>
        <v>37.599999999999994</v>
      </c>
      <c r="P57" s="4">
        <v>52</v>
      </c>
      <c r="Q57" s="4">
        <f t="shared" si="4"/>
        <v>0.69937499999999997</v>
      </c>
      <c r="R57" s="9">
        <f t="shared" si="0"/>
        <v>0.48956249999999996</v>
      </c>
      <c r="S57" s="9">
        <f t="shared" si="1"/>
        <v>-0.38956249999999992</v>
      </c>
      <c r="T57" s="9">
        <f t="shared" si="3"/>
        <v>88.886312500000003</v>
      </c>
      <c r="V57" s="10">
        <v>208.9</v>
      </c>
      <c r="W57" s="4">
        <v>18.165217391304349</v>
      </c>
      <c r="X57" s="4">
        <v>46803.399999999994</v>
      </c>
      <c r="AA57" s="4">
        <v>10.3958798596663</v>
      </c>
    </row>
    <row r="58" spans="1:27" s="4" customFormat="1" x14ac:dyDescent="0.25">
      <c r="A58" s="68"/>
      <c r="B58" s="5"/>
      <c r="C58" s="6">
        <v>41936</v>
      </c>
      <c r="D58" s="4">
        <v>11.6</v>
      </c>
      <c r="E58" s="4">
        <v>10.6</v>
      </c>
      <c r="F58" s="4">
        <v>12.9</v>
      </c>
      <c r="G58" s="4">
        <v>774.6</v>
      </c>
      <c r="J58" s="4">
        <v>4.7</v>
      </c>
      <c r="K58" s="4">
        <v>94.2</v>
      </c>
      <c r="L58" s="4">
        <v>0.7</v>
      </c>
      <c r="M58" s="4">
        <v>97.500000000000043</v>
      </c>
      <c r="N58" s="4">
        <v>4</v>
      </c>
      <c r="O58" s="4">
        <f t="shared" si="2"/>
        <v>41.599999999999994</v>
      </c>
      <c r="P58" s="4">
        <v>53</v>
      </c>
      <c r="Q58" s="4">
        <f t="shared" si="4"/>
        <v>0.70750000000000002</v>
      </c>
      <c r="R58" s="9">
        <f t="shared" si="0"/>
        <v>0.49524999999999997</v>
      </c>
      <c r="S58" s="9">
        <f t="shared" si="1"/>
        <v>4.2047500000000007</v>
      </c>
      <c r="T58" s="9">
        <f t="shared" si="3"/>
        <v>93.091062500000007</v>
      </c>
      <c r="V58" s="10">
        <v>185</v>
      </c>
      <c r="W58" s="4">
        <v>15.948275862068966</v>
      </c>
      <c r="X58" s="4">
        <v>46988.399999999994</v>
      </c>
      <c r="AA58" s="4">
        <v>10.337323443400599</v>
      </c>
    </row>
    <row r="59" spans="1:27" s="4" customFormat="1" x14ac:dyDescent="0.25">
      <c r="A59" s="68"/>
      <c r="B59" s="5"/>
      <c r="C59" s="6">
        <v>41937</v>
      </c>
      <c r="D59" s="4">
        <v>12.3</v>
      </c>
      <c r="E59" s="4">
        <v>11.6</v>
      </c>
      <c r="F59" s="4">
        <v>15</v>
      </c>
      <c r="G59" s="4">
        <v>786.9</v>
      </c>
      <c r="J59" s="4">
        <v>0.8</v>
      </c>
      <c r="K59" s="4">
        <v>95</v>
      </c>
      <c r="L59" s="4">
        <v>1.1000000000000001</v>
      </c>
      <c r="M59" s="4">
        <v>98.600000000000037</v>
      </c>
      <c r="N59" s="8">
        <v>-0.30000000000000004</v>
      </c>
      <c r="O59" s="4">
        <f t="shared" si="2"/>
        <v>41.3</v>
      </c>
      <c r="P59" s="4">
        <v>54</v>
      </c>
      <c r="Q59" s="4">
        <f t="shared" si="4"/>
        <v>0.71562499999999996</v>
      </c>
      <c r="R59" s="9">
        <f t="shared" si="0"/>
        <v>0.78718750000000004</v>
      </c>
      <c r="S59" s="9">
        <f t="shared" si="1"/>
        <v>1.2812500000000004E-2</v>
      </c>
      <c r="T59" s="9">
        <f t="shared" si="3"/>
        <v>93.103875000000002</v>
      </c>
      <c r="V59" s="10">
        <v>398.1</v>
      </c>
      <c r="W59" s="4">
        <v>32.365853658536587</v>
      </c>
      <c r="X59" s="4">
        <v>47386.499999999993</v>
      </c>
      <c r="AA59" s="4">
        <v>10.2790111881509</v>
      </c>
    </row>
    <row r="60" spans="1:27" s="4" customFormat="1" x14ac:dyDescent="0.25">
      <c r="A60" s="68"/>
      <c r="B60" s="5"/>
      <c r="C60" s="6">
        <v>41938</v>
      </c>
      <c r="D60" s="4">
        <v>11.5</v>
      </c>
      <c r="E60" s="4">
        <v>10</v>
      </c>
      <c r="F60" s="4">
        <v>14.8</v>
      </c>
      <c r="G60" s="4">
        <v>798.4</v>
      </c>
      <c r="J60" s="4">
        <v>0.3</v>
      </c>
      <c r="K60" s="4">
        <v>95.3</v>
      </c>
      <c r="L60" s="4">
        <v>0.8</v>
      </c>
      <c r="M60" s="4">
        <v>99.400000000000034</v>
      </c>
      <c r="N60" s="8">
        <v>-0.5</v>
      </c>
      <c r="O60" s="4">
        <f t="shared" si="2"/>
        <v>40.799999999999997</v>
      </c>
      <c r="P60" s="4">
        <v>55</v>
      </c>
      <c r="Q60" s="4">
        <f t="shared" si="4"/>
        <v>0.72374999999999989</v>
      </c>
      <c r="R60" s="9">
        <f t="shared" si="0"/>
        <v>0.57899999999999996</v>
      </c>
      <c r="S60" s="9">
        <f t="shared" si="1"/>
        <v>-0.27899999999999997</v>
      </c>
      <c r="T60" s="9">
        <f t="shared" si="3"/>
        <v>92.824875000000006</v>
      </c>
      <c r="V60" s="10">
        <v>263.8</v>
      </c>
      <c r="W60" s="4">
        <v>22.939130434782609</v>
      </c>
      <c r="X60" s="4">
        <v>47650.299999999996</v>
      </c>
      <c r="AA60" s="4">
        <v>10.2209581340834</v>
      </c>
    </row>
    <row r="61" spans="1:27" s="4" customFormat="1" x14ac:dyDescent="0.25">
      <c r="A61" s="68"/>
      <c r="B61" s="5"/>
      <c r="C61" s="6">
        <v>41939</v>
      </c>
      <c r="D61" s="4">
        <v>10.3</v>
      </c>
      <c r="E61" s="4">
        <v>6.9</v>
      </c>
      <c r="F61" s="4">
        <v>13.5</v>
      </c>
      <c r="G61" s="4">
        <v>808.69999999999993</v>
      </c>
      <c r="J61" s="4">
        <v>0.3</v>
      </c>
      <c r="K61" s="4">
        <v>95.6</v>
      </c>
      <c r="L61" s="4">
        <v>0.6</v>
      </c>
      <c r="M61" s="4">
        <v>100.00000000000003</v>
      </c>
      <c r="N61" s="8">
        <v>-0.3</v>
      </c>
      <c r="O61" s="4">
        <f t="shared" si="2"/>
        <v>40.5</v>
      </c>
      <c r="P61" s="4">
        <v>56</v>
      </c>
      <c r="Q61" s="4">
        <f t="shared" si="4"/>
        <v>0.73187500000000005</v>
      </c>
      <c r="R61" s="9">
        <f t="shared" si="0"/>
        <v>0.43912500000000004</v>
      </c>
      <c r="S61" s="9">
        <f t="shared" si="1"/>
        <v>-0.13912500000000005</v>
      </c>
      <c r="T61" s="9">
        <f t="shared" si="3"/>
        <v>92.685749999999999</v>
      </c>
      <c r="V61" s="10">
        <v>358.7</v>
      </c>
      <c r="W61" s="4">
        <v>34.825242718446596</v>
      </c>
      <c r="X61" s="4">
        <v>48008.999999999993</v>
      </c>
      <c r="AA61" s="4">
        <v>10.1631799390808</v>
      </c>
    </row>
    <row r="62" spans="1:27" s="4" customFormat="1" x14ac:dyDescent="0.25">
      <c r="A62" s="68"/>
      <c r="B62" s="5"/>
      <c r="C62" s="6">
        <v>41940</v>
      </c>
      <c r="D62" s="4">
        <v>9.5</v>
      </c>
      <c r="E62" s="4">
        <v>8.9</v>
      </c>
      <c r="F62" s="4">
        <v>10.4</v>
      </c>
      <c r="G62" s="4">
        <v>818.19999999999993</v>
      </c>
      <c r="J62" s="4">
        <v>0</v>
      </c>
      <c r="K62" s="4">
        <v>95.6</v>
      </c>
      <c r="L62" s="4">
        <v>0.4</v>
      </c>
      <c r="M62" s="4">
        <v>100.40000000000003</v>
      </c>
      <c r="N62" s="8">
        <v>-0.4</v>
      </c>
      <c r="O62" s="4">
        <f t="shared" si="2"/>
        <v>40.1</v>
      </c>
      <c r="P62" s="4">
        <v>57</v>
      </c>
      <c r="Q62" s="4">
        <f t="shared" si="4"/>
        <v>0.74</v>
      </c>
      <c r="R62" s="9">
        <f t="shared" si="0"/>
        <v>0.29599999999999999</v>
      </c>
      <c r="S62" s="9">
        <f t="shared" si="1"/>
        <v>-0.29599999999999999</v>
      </c>
      <c r="T62" s="9">
        <f t="shared" si="3"/>
        <v>92.389749999999992</v>
      </c>
      <c r="V62" s="10">
        <v>202.5</v>
      </c>
      <c r="W62" s="4">
        <v>21.315789473684209</v>
      </c>
      <c r="X62" s="4">
        <v>48211.499999999993</v>
      </c>
      <c r="AA62" s="4">
        <v>10.105692894858199</v>
      </c>
    </row>
    <row r="63" spans="1:27" s="4" customFormat="1" x14ac:dyDescent="0.25">
      <c r="A63" s="68"/>
      <c r="B63" s="5"/>
      <c r="C63" s="6">
        <v>41941</v>
      </c>
      <c r="D63" s="4">
        <v>11.2</v>
      </c>
      <c r="E63" s="4">
        <v>9.6</v>
      </c>
      <c r="F63" s="4">
        <v>12.4</v>
      </c>
      <c r="G63" s="4">
        <v>829.4</v>
      </c>
      <c r="J63" s="4">
        <v>0.4</v>
      </c>
      <c r="K63" s="4">
        <v>96</v>
      </c>
      <c r="L63" s="4">
        <v>0.4</v>
      </c>
      <c r="M63" s="4">
        <v>100.80000000000004</v>
      </c>
      <c r="N63" s="4">
        <v>0</v>
      </c>
      <c r="O63" s="4">
        <f t="shared" si="2"/>
        <v>40.1</v>
      </c>
      <c r="P63" s="4">
        <v>58</v>
      </c>
      <c r="Q63" s="4">
        <f t="shared" si="4"/>
        <v>0.74812500000000004</v>
      </c>
      <c r="R63" s="9">
        <f t="shared" si="0"/>
        <v>0.29925000000000002</v>
      </c>
      <c r="S63" s="9">
        <f t="shared" si="1"/>
        <v>0.10075000000000001</v>
      </c>
      <c r="T63" s="9">
        <f t="shared" si="3"/>
        <v>92.490499999999997</v>
      </c>
      <c r="V63" s="10">
        <v>270.7</v>
      </c>
      <c r="W63" s="4">
        <v>24.169642857142858</v>
      </c>
      <c r="X63" s="4">
        <v>48482.19999999999</v>
      </c>
      <c r="AA63" s="4">
        <v>10.0485139422284</v>
      </c>
    </row>
    <row r="64" spans="1:27" s="4" customFormat="1" x14ac:dyDescent="0.25">
      <c r="A64" s="68"/>
      <c r="B64" s="5"/>
      <c r="C64" s="6">
        <v>41942</v>
      </c>
      <c r="D64" s="4">
        <v>12.9</v>
      </c>
      <c r="E64" s="4">
        <v>10.1</v>
      </c>
      <c r="F64" s="4">
        <v>16.399999999999999</v>
      </c>
      <c r="G64" s="4">
        <v>842.3</v>
      </c>
      <c r="J64" s="4">
        <v>0.1</v>
      </c>
      <c r="K64" s="4">
        <v>96.1</v>
      </c>
      <c r="L64" s="4">
        <v>0.6</v>
      </c>
      <c r="M64" s="4">
        <v>101.40000000000003</v>
      </c>
      <c r="N64" s="8">
        <v>-0.5</v>
      </c>
      <c r="O64" s="4">
        <f t="shared" si="2"/>
        <v>39.6</v>
      </c>
      <c r="P64" s="4">
        <v>59</v>
      </c>
      <c r="Q64" s="4">
        <f t="shared" si="4"/>
        <v>0.75624999999999998</v>
      </c>
      <c r="R64" s="9">
        <f t="shared" si="0"/>
        <v>0.45374999999999999</v>
      </c>
      <c r="S64" s="9">
        <f t="shared" si="1"/>
        <v>-0.35375000000000001</v>
      </c>
      <c r="T64" s="9">
        <f t="shared" si="3"/>
        <v>92.136749999999992</v>
      </c>
      <c r="V64" s="10">
        <v>205.6</v>
      </c>
      <c r="W64" s="4">
        <v>15.937984496124031</v>
      </c>
      <c r="X64" s="4">
        <v>48687.799999999988</v>
      </c>
      <c r="AA64" s="4">
        <v>9.9916606854013104</v>
      </c>
    </row>
    <row r="65" spans="1:27" s="4" customFormat="1" x14ac:dyDescent="0.25">
      <c r="A65" s="68"/>
      <c r="B65" s="5"/>
      <c r="C65" s="6">
        <v>41943</v>
      </c>
      <c r="D65" s="4">
        <v>13.4</v>
      </c>
      <c r="E65" s="4">
        <v>9.8000000000000007</v>
      </c>
      <c r="F65" s="4">
        <v>18.7</v>
      </c>
      <c r="G65" s="4">
        <v>855.69999999999993</v>
      </c>
      <c r="J65" s="4">
        <v>0.1</v>
      </c>
      <c r="K65" s="4">
        <v>96.199999999999989</v>
      </c>
      <c r="L65" s="4">
        <v>1.7</v>
      </c>
      <c r="M65" s="4">
        <v>103.10000000000004</v>
      </c>
      <c r="N65" s="8">
        <v>-1.5999999999999999</v>
      </c>
      <c r="O65" s="4">
        <f t="shared" si="2"/>
        <v>38</v>
      </c>
      <c r="P65" s="4">
        <v>60</v>
      </c>
      <c r="Q65" s="4">
        <f t="shared" si="4"/>
        <v>0.76437500000000003</v>
      </c>
      <c r="R65" s="9">
        <f t="shared" si="0"/>
        <v>1.2994375</v>
      </c>
      <c r="S65" s="9">
        <f t="shared" si="1"/>
        <v>-1.1994374999999999</v>
      </c>
      <c r="T65" s="9">
        <f t="shared" si="3"/>
        <v>90.93731249999999</v>
      </c>
      <c r="V65" s="10">
        <v>769.4</v>
      </c>
      <c r="W65" s="4">
        <v>57.417910447761194</v>
      </c>
      <c r="X65" s="4">
        <v>49457.19999999999</v>
      </c>
      <c r="AA65" s="4">
        <v>9.9351514051933396</v>
      </c>
    </row>
    <row r="66" spans="1:27" s="4" customFormat="1" x14ac:dyDescent="0.25">
      <c r="A66" s="68"/>
      <c r="B66" s="5"/>
      <c r="C66" s="6">
        <v>41944</v>
      </c>
      <c r="D66" s="4">
        <v>14</v>
      </c>
      <c r="E66" s="4">
        <v>9.6999999999999993</v>
      </c>
      <c r="F66" s="4">
        <v>18.600000000000001</v>
      </c>
      <c r="G66" s="4">
        <v>869.69999999999993</v>
      </c>
      <c r="J66" s="4">
        <v>0.1</v>
      </c>
      <c r="K66" s="4">
        <v>96.299999999999983</v>
      </c>
      <c r="L66" s="4">
        <v>1.4</v>
      </c>
      <c r="M66" s="4">
        <v>104.50000000000004</v>
      </c>
      <c r="N66" s="8">
        <v>-1.2999999999999998</v>
      </c>
      <c r="O66" s="4">
        <f t="shared" si="2"/>
        <v>36.700000000000003</v>
      </c>
      <c r="P66" s="4">
        <v>61</v>
      </c>
      <c r="Q66" s="4">
        <f t="shared" si="4"/>
        <v>0.77249999999999996</v>
      </c>
      <c r="R66" s="9">
        <f t="shared" si="0"/>
        <v>1.0814999999999999</v>
      </c>
      <c r="S66" s="9">
        <f t="shared" si="1"/>
        <v>-0.98149999999999993</v>
      </c>
      <c r="T66" s="9">
        <f t="shared" si="3"/>
        <v>89.955812499999993</v>
      </c>
      <c r="V66" s="10">
        <v>791.4</v>
      </c>
      <c r="W66" s="4">
        <v>56.528571428571425</v>
      </c>
      <c r="X66" s="4">
        <v>50248.599999999991</v>
      </c>
      <c r="AA66" s="4">
        <v>9.8790050710149195</v>
      </c>
    </row>
    <row r="67" spans="1:27" s="4" customFormat="1" x14ac:dyDescent="0.25">
      <c r="A67" s="68"/>
      <c r="B67" s="5"/>
      <c r="C67" s="6">
        <v>41945</v>
      </c>
      <c r="D67" s="4">
        <v>13.7</v>
      </c>
      <c r="E67" s="4">
        <v>11.2</v>
      </c>
      <c r="F67" s="4">
        <v>16</v>
      </c>
      <c r="G67" s="4">
        <v>883.4</v>
      </c>
      <c r="J67" s="4">
        <v>2.9</v>
      </c>
      <c r="K67" s="4">
        <v>99.199999999999989</v>
      </c>
      <c r="L67" s="4">
        <v>1</v>
      </c>
      <c r="M67" s="4">
        <v>105.50000000000004</v>
      </c>
      <c r="N67" s="4">
        <v>1.9</v>
      </c>
      <c r="O67" s="4">
        <f t="shared" si="2"/>
        <v>38.6</v>
      </c>
      <c r="P67" s="4">
        <v>62</v>
      </c>
      <c r="Q67" s="4">
        <f t="shared" si="4"/>
        <v>0.7806249999999999</v>
      </c>
      <c r="R67" s="9">
        <f t="shared" si="0"/>
        <v>0.7806249999999999</v>
      </c>
      <c r="S67" s="9">
        <f t="shared" si="1"/>
        <v>2.1193749999999998</v>
      </c>
      <c r="T67" s="9">
        <f t="shared" si="3"/>
        <v>92.075187499999998</v>
      </c>
      <c r="V67" s="10">
        <v>277.60000000000002</v>
      </c>
      <c r="W67" s="4">
        <v>20.262773722627738</v>
      </c>
      <c r="X67" s="4">
        <v>50526.19999999999</v>
      </c>
      <c r="AA67" s="4">
        <v>9.8232413514974795</v>
      </c>
    </row>
    <row r="68" spans="1:27" s="4" customFormat="1" x14ac:dyDescent="0.25">
      <c r="A68" s="68"/>
      <c r="B68" s="5"/>
      <c r="C68" s="6">
        <v>41946</v>
      </c>
      <c r="D68" s="4">
        <v>11.9</v>
      </c>
      <c r="E68" s="4">
        <v>10.5</v>
      </c>
      <c r="F68" s="4">
        <v>14.3</v>
      </c>
      <c r="G68" s="4">
        <v>895.3</v>
      </c>
      <c r="J68" s="4">
        <v>20.100000000000001</v>
      </c>
      <c r="K68" s="4">
        <v>119.29999999999998</v>
      </c>
      <c r="L68" s="4">
        <v>1.3</v>
      </c>
      <c r="M68" s="4">
        <v>106.80000000000004</v>
      </c>
      <c r="N68" s="4">
        <v>18.8</v>
      </c>
      <c r="O68" s="4">
        <f t="shared" si="2"/>
        <v>57.400000000000006</v>
      </c>
      <c r="P68" s="4">
        <v>63</v>
      </c>
      <c r="Q68" s="4">
        <f t="shared" si="4"/>
        <v>0.78875000000000006</v>
      </c>
      <c r="R68" s="9">
        <f t="shared" si="0"/>
        <v>1.0253750000000001</v>
      </c>
      <c r="S68" s="9">
        <f t="shared" si="1"/>
        <v>19.074625000000001</v>
      </c>
      <c r="T68" s="9">
        <f t="shared" si="3"/>
        <v>111.1498125</v>
      </c>
      <c r="V68" s="10">
        <v>147.5</v>
      </c>
      <c r="W68" s="4">
        <v>12.394957983193278</v>
      </c>
      <c r="X68" s="4">
        <v>50673.69999999999</v>
      </c>
      <c r="AA68" s="4">
        <v>9.7678806236124096</v>
      </c>
    </row>
    <row r="69" spans="1:27" s="4" customFormat="1" x14ac:dyDescent="0.25">
      <c r="A69" s="68"/>
      <c r="B69" s="5"/>
      <c r="C69" s="6">
        <v>41947</v>
      </c>
      <c r="D69" s="4">
        <v>8.1</v>
      </c>
      <c r="E69" s="4">
        <v>7.4</v>
      </c>
      <c r="F69" s="4">
        <v>9.6999999999999993</v>
      </c>
      <c r="G69" s="4">
        <v>903.4</v>
      </c>
      <c r="J69" s="4">
        <v>0.3</v>
      </c>
      <c r="K69" s="4">
        <v>119.59999999999998</v>
      </c>
      <c r="L69" s="4">
        <v>0.7</v>
      </c>
      <c r="M69" s="4">
        <v>107.50000000000004</v>
      </c>
      <c r="N69" s="8">
        <v>-0.39999999999999997</v>
      </c>
      <c r="O69" s="4">
        <f t="shared" si="2"/>
        <v>57.000000000000007</v>
      </c>
      <c r="P69" s="4">
        <v>64</v>
      </c>
      <c r="Q69" s="4">
        <f t="shared" si="4"/>
        <v>0.796875</v>
      </c>
      <c r="R69" s="9">
        <f t="shared" si="0"/>
        <v>0.55781249999999993</v>
      </c>
      <c r="S69" s="9">
        <f t="shared" si="1"/>
        <v>-0.25781249999999994</v>
      </c>
      <c r="T69" s="9">
        <f t="shared" si="3"/>
        <v>110.892</v>
      </c>
      <c r="V69" s="10">
        <v>475.5</v>
      </c>
      <c r="W69" s="4">
        <v>58.703703703703709</v>
      </c>
      <c r="X69" s="4">
        <v>51149.19999999999</v>
      </c>
      <c r="AA69" s="4">
        <v>9.7129439801277098</v>
      </c>
    </row>
    <row r="70" spans="1:27" s="4" customFormat="1" x14ac:dyDescent="0.25">
      <c r="A70" s="68"/>
      <c r="B70" s="5"/>
      <c r="C70" s="6">
        <v>41948</v>
      </c>
      <c r="D70" s="4">
        <v>6.7</v>
      </c>
      <c r="E70" s="13">
        <v>4.5999999999999996</v>
      </c>
      <c r="F70" s="4">
        <v>9</v>
      </c>
      <c r="G70" s="4">
        <v>910.1</v>
      </c>
      <c r="J70" s="4">
        <v>0.2</v>
      </c>
      <c r="K70" s="4">
        <v>119.79999999999998</v>
      </c>
      <c r="L70" s="4">
        <v>0.6</v>
      </c>
      <c r="M70" s="4">
        <v>108.10000000000004</v>
      </c>
      <c r="N70" s="8">
        <v>-0.39999999999999997</v>
      </c>
      <c r="O70" s="4">
        <f t="shared" si="2"/>
        <v>56.600000000000009</v>
      </c>
      <c r="P70" s="4">
        <v>65</v>
      </c>
      <c r="Q70" s="4">
        <f t="shared" si="4"/>
        <v>0.80499999999999994</v>
      </c>
      <c r="R70" s="9">
        <f t="shared" ref="R70:R133" si="5">Q70*L70</f>
        <v>0.48299999999999993</v>
      </c>
      <c r="S70" s="9">
        <f t="shared" ref="S70:S133" si="6">J70-R70</f>
        <v>-0.28299999999999992</v>
      </c>
      <c r="T70" s="9">
        <f t="shared" si="3"/>
        <v>110.60899999999999</v>
      </c>
      <c r="V70" s="10">
        <v>267.5</v>
      </c>
      <c r="W70" s="4">
        <v>39.92537313432836</v>
      </c>
      <c r="X70" s="4">
        <v>51416.69999999999</v>
      </c>
      <c r="AA70" s="4">
        <v>9.6584532352409607</v>
      </c>
    </row>
    <row r="71" spans="1:27" s="4" customFormat="1" x14ac:dyDescent="0.25">
      <c r="A71" s="68"/>
      <c r="B71" s="5"/>
      <c r="C71" s="6">
        <v>41949</v>
      </c>
      <c r="D71" s="4">
        <v>7</v>
      </c>
      <c r="E71" s="13">
        <v>3.4</v>
      </c>
      <c r="F71" s="4">
        <v>10.9</v>
      </c>
      <c r="G71" s="4">
        <v>917.1</v>
      </c>
      <c r="J71" s="4">
        <v>0.3</v>
      </c>
      <c r="K71" s="4">
        <v>120.09999999999998</v>
      </c>
      <c r="L71" s="4">
        <v>0.8</v>
      </c>
      <c r="M71" s="4">
        <v>108.90000000000003</v>
      </c>
      <c r="N71" s="8">
        <v>-0.5</v>
      </c>
      <c r="O71" s="4">
        <f t="shared" si="2"/>
        <v>56.100000000000009</v>
      </c>
      <c r="P71" s="4">
        <v>66</v>
      </c>
      <c r="Q71" s="4">
        <f t="shared" si="4"/>
        <v>0.81312499999999999</v>
      </c>
      <c r="R71" s="9">
        <f t="shared" si="5"/>
        <v>0.65050000000000008</v>
      </c>
      <c r="S71" s="9">
        <f t="shared" si="6"/>
        <v>-0.35050000000000009</v>
      </c>
      <c r="T71" s="9">
        <f t="shared" si="3"/>
        <v>110.2585</v>
      </c>
      <c r="V71" s="10">
        <v>504.8</v>
      </c>
      <c r="W71" s="4">
        <v>72.114285714285714</v>
      </c>
      <c r="X71" s="4">
        <v>51921.499999999993</v>
      </c>
      <c r="AA71" s="4">
        <v>9.6044309282204594</v>
      </c>
    </row>
    <row r="72" spans="1:27" s="4" customFormat="1" x14ac:dyDescent="0.25">
      <c r="A72" s="68"/>
      <c r="B72" s="5"/>
      <c r="C72" s="6">
        <v>41950</v>
      </c>
      <c r="D72" s="4">
        <v>9.5</v>
      </c>
      <c r="E72" s="4">
        <v>6.9</v>
      </c>
      <c r="F72" s="4">
        <v>11.8</v>
      </c>
      <c r="G72" s="4">
        <v>926.6</v>
      </c>
      <c r="J72" s="4">
        <v>3.4</v>
      </c>
      <c r="K72" s="4">
        <v>123.49999999999999</v>
      </c>
      <c r="L72" s="4">
        <v>1.1000000000000001</v>
      </c>
      <c r="M72" s="4">
        <v>110.00000000000003</v>
      </c>
      <c r="N72" s="4">
        <v>2.2999999999999998</v>
      </c>
      <c r="O72" s="4">
        <f t="shared" ref="O72:O135" si="7">O71+N72</f>
        <v>58.400000000000006</v>
      </c>
      <c r="P72" s="4">
        <v>67</v>
      </c>
      <c r="Q72" s="4">
        <f t="shared" si="4"/>
        <v>0.82125000000000004</v>
      </c>
      <c r="R72" s="9">
        <f t="shared" si="5"/>
        <v>0.90337500000000015</v>
      </c>
      <c r="S72" s="9">
        <f t="shared" si="6"/>
        <v>2.4966249999999999</v>
      </c>
      <c r="T72" s="9">
        <f t="shared" ref="T72:T135" si="8">MIN(189.6,(T71+S72))</f>
        <v>112.75512499999999</v>
      </c>
      <c r="V72" s="10">
        <v>379.9</v>
      </c>
      <c r="W72" s="4">
        <v>39.989473684210523</v>
      </c>
      <c r="X72" s="4">
        <v>52301.399999999994</v>
      </c>
      <c r="AA72" s="4">
        <v>9.5509003248806295</v>
      </c>
    </row>
    <row r="73" spans="1:27" s="4" customFormat="1" x14ac:dyDescent="0.25">
      <c r="A73" s="68"/>
      <c r="B73" s="5"/>
      <c r="C73" s="6">
        <v>41951</v>
      </c>
      <c r="D73" s="4">
        <v>9.6</v>
      </c>
      <c r="E73" s="4">
        <v>6.9</v>
      </c>
      <c r="F73" s="4">
        <v>11.7</v>
      </c>
      <c r="G73" s="4">
        <v>936.2</v>
      </c>
      <c r="J73" s="4">
        <v>0</v>
      </c>
      <c r="K73" s="4">
        <v>123.49999999999999</v>
      </c>
      <c r="L73" s="4">
        <v>0.7</v>
      </c>
      <c r="M73" s="4">
        <v>110.70000000000003</v>
      </c>
      <c r="N73" s="8">
        <v>-0.7</v>
      </c>
      <c r="O73" s="4">
        <f t="shared" si="7"/>
        <v>57.7</v>
      </c>
      <c r="P73" s="4">
        <v>68</v>
      </c>
      <c r="Q73" s="4">
        <f t="shared" si="4"/>
        <v>0.82937499999999997</v>
      </c>
      <c r="R73" s="9">
        <f t="shared" si="5"/>
        <v>0.58056249999999998</v>
      </c>
      <c r="S73" s="9">
        <f t="shared" si="6"/>
        <v>-0.58056249999999998</v>
      </c>
      <c r="T73" s="9">
        <f t="shared" si="8"/>
        <v>112.17456249999999</v>
      </c>
      <c r="V73" s="10">
        <v>419.9</v>
      </c>
      <c r="W73" s="4">
        <v>43.739583333333336</v>
      </c>
      <c r="X73" s="4">
        <v>52721.299999999996</v>
      </c>
      <c r="AA73" s="4">
        <v>9.4978854167126094</v>
      </c>
    </row>
    <row r="74" spans="1:27" s="4" customFormat="1" x14ac:dyDescent="0.25">
      <c r="A74" s="68"/>
      <c r="B74" s="5"/>
      <c r="C74" s="6">
        <v>41952</v>
      </c>
      <c r="D74" s="4">
        <v>9.4</v>
      </c>
      <c r="E74" s="4">
        <v>8.6999999999999993</v>
      </c>
      <c r="F74" s="4">
        <v>11.1</v>
      </c>
      <c r="G74" s="4">
        <v>945.6</v>
      </c>
      <c r="J74" s="4">
        <v>0.2</v>
      </c>
      <c r="K74" s="4">
        <v>123.69999999999999</v>
      </c>
      <c r="L74" s="4">
        <v>0.7</v>
      </c>
      <c r="M74" s="4">
        <v>111.40000000000003</v>
      </c>
      <c r="N74" s="8">
        <v>-0.49999999999999994</v>
      </c>
      <c r="O74" s="4">
        <f t="shared" si="7"/>
        <v>57.2</v>
      </c>
      <c r="P74" s="4">
        <v>69</v>
      </c>
      <c r="Q74" s="4">
        <f t="shared" si="4"/>
        <v>0.83750000000000002</v>
      </c>
      <c r="R74" s="9">
        <f t="shared" si="5"/>
        <v>0.58624999999999994</v>
      </c>
      <c r="S74" s="9">
        <f t="shared" si="6"/>
        <v>-0.38624999999999993</v>
      </c>
      <c r="T74" s="9">
        <f t="shared" si="8"/>
        <v>111.78831249999999</v>
      </c>
      <c r="V74" s="10">
        <v>272.39999999999998</v>
      </c>
      <c r="W74" s="4">
        <v>28.978723404255316</v>
      </c>
      <c r="X74" s="4">
        <v>52993.7</v>
      </c>
      <c r="AA74" s="4">
        <v>9.44541091748669</v>
      </c>
    </row>
    <row r="75" spans="1:27" s="4" customFormat="1" x14ac:dyDescent="0.25">
      <c r="A75" s="68"/>
      <c r="B75" s="5"/>
      <c r="C75" s="6">
        <v>41953</v>
      </c>
      <c r="D75" s="4">
        <v>7.4</v>
      </c>
      <c r="E75" s="4">
        <v>4.9000000000000004</v>
      </c>
      <c r="F75" s="4">
        <v>10.4</v>
      </c>
      <c r="G75" s="4">
        <v>953</v>
      </c>
      <c r="J75" s="4">
        <v>0.2</v>
      </c>
      <c r="K75" s="4">
        <v>123.89999999999999</v>
      </c>
      <c r="L75" s="4">
        <v>0.8</v>
      </c>
      <c r="M75" s="4">
        <v>112.20000000000003</v>
      </c>
      <c r="N75" s="8">
        <v>-0.60000000000000009</v>
      </c>
      <c r="O75" s="4">
        <f t="shared" si="7"/>
        <v>56.6</v>
      </c>
      <c r="P75" s="4">
        <v>70</v>
      </c>
      <c r="Q75" s="4">
        <f t="shared" si="4"/>
        <v>0.84562499999999996</v>
      </c>
      <c r="R75" s="9">
        <f t="shared" si="5"/>
        <v>0.67649999999999999</v>
      </c>
      <c r="S75" s="9">
        <f t="shared" si="6"/>
        <v>-0.47649999999999998</v>
      </c>
      <c r="T75" s="9">
        <f t="shared" si="8"/>
        <v>111.31181249999999</v>
      </c>
      <c r="V75" s="10">
        <v>508.6</v>
      </c>
      <c r="W75" s="4">
        <v>68.729729729729726</v>
      </c>
      <c r="X75" s="4">
        <v>53502.299999999996</v>
      </c>
      <c r="AA75" s="4">
        <v>9.3935022571399802</v>
      </c>
    </row>
    <row r="76" spans="1:27" s="4" customFormat="1" x14ac:dyDescent="0.25">
      <c r="A76" s="68"/>
      <c r="B76" s="5"/>
      <c r="C76" s="6">
        <v>41954</v>
      </c>
      <c r="D76" s="4">
        <v>9.6</v>
      </c>
      <c r="E76" s="4">
        <v>5.2</v>
      </c>
      <c r="F76" s="4">
        <v>12.9</v>
      </c>
      <c r="G76" s="4">
        <v>962.6</v>
      </c>
      <c r="J76" s="4">
        <v>0.2</v>
      </c>
      <c r="K76" s="4">
        <v>124.1</v>
      </c>
      <c r="L76" s="4">
        <v>0.8</v>
      </c>
      <c r="M76" s="4">
        <v>113.00000000000003</v>
      </c>
      <c r="N76" s="8">
        <v>-0.60000000000000009</v>
      </c>
      <c r="O76" s="4">
        <f t="shared" si="7"/>
        <v>56</v>
      </c>
      <c r="P76" s="4">
        <v>71</v>
      </c>
      <c r="Q76" s="4">
        <f t="shared" si="4"/>
        <v>0.85375000000000001</v>
      </c>
      <c r="R76" s="9">
        <f t="shared" si="5"/>
        <v>0.68300000000000005</v>
      </c>
      <c r="S76" s="9">
        <f t="shared" si="6"/>
        <v>-0.48300000000000004</v>
      </c>
      <c r="T76" s="9">
        <f t="shared" si="8"/>
        <v>110.82881249999998</v>
      </c>
      <c r="V76" s="10">
        <v>561.79999999999995</v>
      </c>
      <c r="W76" s="4">
        <v>58.520833333333329</v>
      </c>
      <c r="X76" s="4">
        <v>54064.1</v>
      </c>
      <c r="AA76" s="4">
        <v>9.3421855727611405</v>
      </c>
    </row>
    <row r="77" spans="1:27" s="4" customFormat="1" x14ac:dyDescent="0.25">
      <c r="A77" s="68"/>
      <c r="B77" s="5"/>
      <c r="C77" s="6">
        <v>41955</v>
      </c>
      <c r="D77" s="4">
        <v>9.6999999999999993</v>
      </c>
      <c r="E77" s="4">
        <v>7.4</v>
      </c>
      <c r="F77" s="4">
        <v>13.5</v>
      </c>
      <c r="G77" s="4">
        <v>972.30000000000007</v>
      </c>
      <c r="J77" s="4">
        <v>0.1</v>
      </c>
      <c r="K77" s="4">
        <v>124.19999999999999</v>
      </c>
      <c r="L77" s="4">
        <v>1.1000000000000001</v>
      </c>
      <c r="M77" s="4">
        <v>114.10000000000002</v>
      </c>
      <c r="N77" s="8">
        <v>-1</v>
      </c>
      <c r="O77" s="4">
        <f t="shared" si="7"/>
        <v>55</v>
      </c>
      <c r="P77" s="4">
        <v>72</v>
      </c>
      <c r="Q77" s="4">
        <f t="shared" si="4"/>
        <v>0.86187499999999995</v>
      </c>
      <c r="R77" s="9">
        <f t="shared" si="5"/>
        <v>0.94806250000000003</v>
      </c>
      <c r="S77" s="9">
        <f t="shared" si="6"/>
        <v>-0.84806250000000005</v>
      </c>
      <c r="T77" s="9">
        <f t="shared" si="8"/>
        <v>109.98074999999999</v>
      </c>
      <c r="V77" s="10">
        <v>598.29999999999995</v>
      </c>
      <c r="W77" s="4">
        <v>61.680412371134018</v>
      </c>
      <c r="X77" s="4">
        <v>54662.400000000001</v>
      </c>
      <c r="AA77" s="4">
        <v>9.2914876964832498</v>
      </c>
    </row>
    <row r="78" spans="1:27" s="4" customFormat="1" x14ac:dyDescent="0.25">
      <c r="A78" s="68"/>
      <c r="B78" s="5"/>
      <c r="C78" s="6">
        <v>41956</v>
      </c>
      <c r="D78" s="4">
        <v>8.3000000000000007</v>
      </c>
      <c r="E78" s="4">
        <v>5.4</v>
      </c>
      <c r="F78" s="4">
        <v>11</v>
      </c>
      <c r="G78" s="4">
        <v>980.6</v>
      </c>
      <c r="J78" s="4">
        <v>0</v>
      </c>
      <c r="K78" s="4">
        <v>124.19999999999999</v>
      </c>
      <c r="L78" s="4">
        <v>0.5</v>
      </c>
      <c r="M78" s="4">
        <v>114.60000000000002</v>
      </c>
      <c r="N78" s="8">
        <v>-0.5</v>
      </c>
      <c r="O78" s="4">
        <f t="shared" si="7"/>
        <v>54.5</v>
      </c>
      <c r="P78" s="4">
        <v>73</v>
      </c>
      <c r="Q78" s="4">
        <f t="shared" si="4"/>
        <v>0.87</v>
      </c>
      <c r="R78" s="9">
        <f t="shared" si="5"/>
        <v>0.435</v>
      </c>
      <c r="S78" s="9">
        <f t="shared" si="6"/>
        <v>-0.435</v>
      </c>
      <c r="T78" s="9">
        <f t="shared" si="8"/>
        <v>109.54574999999998</v>
      </c>
      <c r="V78" s="10">
        <v>265.3</v>
      </c>
      <c r="W78" s="4">
        <v>31.963855421686745</v>
      </c>
      <c r="X78" s="4">
        <v>54927.700000000004</v>
      </c>
      <c r="AA78" s="4">
        <v>9.2414361400975</v>
      </c>
    </row>
    <row r="79" spans="1:27" s="4" customFormat="1" x14ac:dyDescent="0.25">
      <c r="A79" s="68"/>
      <c r="B79" s="5"/>
      <c r="C79" s="6">
        <v>41957</v>
      </c>
      <c r="D79" s="4">
        <v>9.1</v>
      </c>
      <c r="E79" s="4">
        <v>7.5</v>
      </c>
      <c r="F79" s="4">
        <v>10</v>
      </c>
      <c r="G79" s="4">
        <v>989.7</v>
      </c>
      <c r="J79" s="4">
        <v>10.8</v>
      </c>
      <c r="K79" s="4">
        <v>135</v>
      </c>
      <c r="L79" s="4">
        <v>0.4</v>
      </c>
      <c r="M79" s="4">
        <v>115.00000000000003</v>
      </c>
      <c r="N79" s="4">
        <v>10.4</v>
      </c>
      <c r="O79" s="4">
        <f t="shared" si="7"/>
        <v>64.900000000000006</v>
      </c>
      <c r="P79" s="4">
        <v>74</v>
      </c>
      <c r="Q79" s="4">
        <f t="shared" si="4"/>
        <v>0.87812500000000004</v>
      </c>
      <c r="R79" s="9">
        <f t="shared" si="5"/>
        <v>0.35125000000000006</v>
      </c>
      <c r="S79" s="9">
        <f t="shared" si="6"/>
        <v>10.44875</v>
      </c>
      <c r="T79" s="9">
        <f t="shared" si="8"/>
        <v>119.99449999999999</v>
      </c>
      <c r="V79" s="10">
        <v>118.6</v>
      </c>
      <c r="W79" s="4">
        <v>13.032967032967033</v>
      </c>
      <c r="X79" s="4">
        <v>55046.3</v>
      </c>
      <c r="AA79" s="4">
        <v>9.1920590762033303</v>
      </c>
    </row>
    <row r="80" spans="1:27" s="4" customFormat="1" x14ac:dyDescent="0.25">
      <c r="A80" s="68"/>
      <c r="B80" s="5"/>
      <c r="C80" s="6">
        <v>41958</v>
      </c>
      <c r="D80" s="4">
        <v>9.5</v>
      </c>
      <c r="E80" s="4">
        <v>9.1</v>
      </c>
      <c r="F80" s="4">
        <v>11.4</v>
      </c>
      <c r="G80" s="4">
        <v>999.2</v>
      </c>
      <c r="J80" s="4">
        <v>3.5</v>
      </c>
      <c r="K80" s="4">
        <v>138.5</v>
      </c>
      <c r="L80" s="4">
        <v>0.4</v>
      </c>
      <c r="M80" s="4">
        <v>115.40000000000003</v>
      </c>
      <c r="N80" s="4">
        <v>3.1</v>
      </c>
      <c r="O80" s="4">
        <f t="shared" si="7"/>
        <v>68</v>
      </c>
      <c r="P80" s="4">
        <v>75</v>
      </c>
      <c r="Q80" s="4">
        <f t="shared" ref="Q80:Q94" si="9">0.35+((P80-9)/80)*(1-0.35)</f>
        <v>0.88624999999999998</v>
      </c>
      <c r="R80" s="9">
        <f t="shared" si="5"/>
        <v>0.35450000000000004</v>
      </c>
      <c r="S80" s="9">
        <f t="shared" si="6"/>
        <v>3.1455000000000002</v>
      </c>
      <c r="T80" s="9">
        <f t="shared" si="8"/>
        <v>123.13999999999999</v>
      </c>
      <c r="V80" s="10">
        <v>127.3</v>
      </c>
      <c r="W80" s="4">
        <v>13.4</v>
      </c>
      <c r="X80" s="4">
        <v>55173.600000000006</v>
      </c>
      <c r="AA80" s="4">
        <v>9.1433853157159692</v>
      </c>
    </row>
    <row r="81" spans="1:27" s="4" customFormat="1" x14ac:dyDescent="0.25">
      <c r="A81" s="68"/>
      <c r="B81" s="5"/>
      <c r="C81" s="6">
        <v>41959</v>
      </c>
      <c r="D81" s="4">
        <v>8.4</v>
      </c>
      <c r="E81" s="4">
        <v>6.8</v>
      </c>
      <c r="F81" s="4">
        <v>10.1</v>
      </c>
      <c r="G81" s="4">
        <v>1007.6</v>
      </c>
      <c r="J81" s="4">
        <v>1.2</v>
      </c>
      <c r="K81" s="4">
        <v>139.69999999999999</v>
      </c>
      <c r="L81" s="4">
        <v>0.3</v>
      </c>
      <c r="M81" s="4">
        <v>115.70000000000003</v>
      </c>
      <c r="N81" s="4">
        <v>0.89999999999999991</v>
      </c>
      <c r="O81" s="4">
        <f t="shared" si="7"/>
        <v>68.900000000000006</v>
      </c>
      <c r="P81" s="4">
        <v>76</v>
      </c>
      <c r="Q81" s="4">
        <f t="shared" si="9"/>
        <v>0.89437500000000003</v>
      </c>
      <c r="R81" s="9">
        <f t="shared" si="5"/>
        <v>0.26831250000000001</v>
      </c>
      <c r="S81" s="9">
        <f t="shared" si="6"/>
        <v>0.9316875</v>
      </c>
      <c r="T81" s="9">
        <f t="shared" si="8"/>
        <v>124.07168749999998</v>
      </c>
      <c r="V81" s="10">
        <v>182.7</v>
      </c>
      <c r="W81" s="4">
        <v>21.749999999999996</v>
      </c>
      <c r="X81" s="4">
        <v>55356.3</v>
      </c>
      <c r="AA81" s="4">
        <v>9.0954442815598995</v>
      </c>
    </row>
    <row r="82" spans="1:27" s="4" customFormat="1" x14ac:dyDescent="0.25">
      <c r="A82" s="68"/>
      <c r="B82" s="5"/>
      <c r="C82" s="6">
        <v>41960</v>
      </c>
      <c r="D82" s="4">
        <v>8.3000000000000007</v>
      </c>
      <c r="E82" s="4">
        <v>7.5</v>
      </c>
      <c r="F82" s="4">
        <v>9.4</v>
      </c>
      <c r="G82" s="4">
        <v>1015.9</v>
      </c>
      <c r="J82" s="4">
        <v>1.6</v>
      </c>
      <c r="K82" s="4">
        <v>141.29999999999998</v>
      </c>
      <c r="L82" s="4">
        <v>0.4</v>
      </c>
      <c r="M82" s="4">
        <v>116.10000000000004</v>
      </c>
      <c r="N82" s="4">
        <v>1.2000000000000002</v>
      </c>
      <c r="O82" s="4">
        <f t="shared" si="7"/>
        <v>70.100000000000009</v>
      </c>
      <c r="P82" s="4">
        <v>77</v>
      </c>
      <c r="Q82" s="4">
        <f t="shared" si="9"/>
        <v>0.90249999999999997</v>
      </c>
      <c r="R82" s="9">
        <f t="shared" si="5"/>
        <v>0.36099999999999999</v>
      </c>
      <c r="S82" s="9">
        <f t="shared" si="6"/>
        <v>1.2390000000000001</v>
      </c>
      <c r="T82" s="9">
        <f t="shared" si="8"/>
        <v>125.31068749999999</v>
      </c>
      <c r="V82" s="10">
        <v>196</v>
      </c>
      <c r="W82" s="4">
        <v>23.6144578313253</v>
      </c>
      <c r="X82" s="4">
        <v>55552.3</v>
      </c>
      <c r="AA82" s="4">
        <v>9.0482659783868105</v>
      </c>
    </row>
    <row r="83" spans="1:27" s="4" customFormat="1" x14ac:dyDescent="0.25">
      <c r="A83" s="68"/>
      <c r="B83" s="5"/>
      <c r="C83" s="6">
        <v>41961</v>
      </c>
      <c r="D83" s="4">
        <v>8</v>
      </c>
      <c r="E83" s="4">
        <v>7.3</v>
      </c>
      <c r="F83" s="4">
        <v>10.5</v>
      </c>
      <c r="G83" s="4">
        <v>1023.9</v>
      </c>
      <c r="J83" s="4">
        <v>0.1</v>
      </c>
      <c r="K83" s="4">
        <v>141.39999999999998</v>
      </c>
      <c r="L83" s="4">
        <v>0.8</v>
      </c>
      <c r="M83" s="4">
        <v>116.90000000000003</v>
      </c>
      <c r="N83" s="8">
        <v>-0.70000000000000007</v>
      </c>
      <c r="O83" s="4">
        <f t="shared" si="7"/>
        <v>69.400000000000006</v>
      </c>
      <c r="P83" s="4">
        <v>78</v>
      </c>
      <c r="Q83" s="4">
        <f t="shared" si="9"/>
        <v>0.91062500000000002</v>
      </c>
      <c r="R83" s="9">
        <f t="shared" si="5"/>
        <v>0.72850000000000004</v>
      </c>
      <c r="S83" s="9">
        <f t="shared" si="6"/>
        <v>-0.62850000000000006</v>
      </c>
      <c r="T83" s="9">
        <f t="shared" si="8"/>
        <v>124.68218749999998</v>
      </c>
      <c r="V83" s="10">
        <v>389.8</v>
      </c>
      <c r="W83" s="4">
        <v>48.725000000000001</v>
      </c>
      <c r="X83" s="4">
        <v>55942.100000000006</v>
      </c>
      <c r="AA83" s="4">
        <v>9.0018809581692096</v>
      </c>
    </row>
    <row r="84" spans="1:27" s="4" customFormat="1" x14ac:dyDescent="0.25">
      <c r="A84" s="68"/>
      <c r="B84" s="5"/>
      <c r="C84" s="6">
        <v>41962</v>
      </c>
      <c r="D84" s="4">
        <v>6.6</v>
      </c>
      <c r="E84" s="4">
        <v>5.8</v>
      </c>
      <c r="F84" s="4">
        <v>7.2</v>
      </c>
      <c r="G84" s="4">
        <v>1030.5</v>
      </c>
      <c r="J84" s="4">
        <v>0.2</v>
      </c>
      <c r="K84" s="4">
        <v>141.59999999999997</v>
      </c>
      <c r="L84" s="4">
        <v>0.3</v>
      </c>
      <c r="M84" s="4">
        <v>117.20000000000003</v>
      </c>
      <c r="N84" s="8">
        <v>-9.9999999999999978E-2</v>
      </c>
      <c r="O84" s="4">
        <f t="shared" si="7"/>
        <v>69.300000000000011</v>
      </c>
      <c r="P84" s="4">
        <v>79</v>
      </c>
      <c r="Q84" s="4">
        <f t="shared" si="9"/>
        <v>0.91874999999999996</v>
      </c>
      <c r="R84" s="9">
        <f t="shared" si="5"/>
        <v>0.27562499999999995</v>
      </c>
      <c r="S84" s="9">
        <f t="shared" si="6"/>
        <v>-7.5624999999999942E-2</v>
      </c>
      <c r="T84" s="9">
        <f t="shared" si="8"/>
        <v>124.60656249999998</v>
      </c>
      <c r="V84" s="10">
        <v>217.9</v>
      </c>
      <c r="W84" s="4">
        <v>33.015151515151516</v>
      </c>
      <c r="X84" s="4">
        <v>56160.000000000007</v>
      </c>
      <c r="AA84" s="14">
        <v>8.9563202815366694</v>
      </c>
    </row>
    <row r="85" spans="1:27" s="4" customFormat="1" x14ac:dyDescent="0.25">
      <c r="A85" s="68"/>
      <c r="B85" s="5"/>
      <c r="C85" s="6">
        <v>41963</v>
      </c>
      <c r="D85" s="4">
        <v>6.6</v>
      </c>
      <c r="E85" s="4">
        <v>6.3</v>
      </c>
      <c r="F85" s="4">
        <v>7.2</v>
      </c>
      <c r="G85" s="4">
        <v>1037.0999999999999</v>
      </c>
      <c r="J85" s="4">
        <v>0</v>
      </c>
      <c r="K85" s="4">
        <v>141.59999999999997</v>
      </c>
      <c r="L85" s="4">
        <v>0.4</v>
      </c>
      <c r="M85" s="4">
        <v>117.60000000000004</v>
      </c>
      <c r="N85" s="8">
        <v>-0.4</v>
      </c>
      <c r="O85" s="4">
        <f t="shared" si="7"/>
        <v>68.900000000000006</v>
      </c>
      <c r="P85" s="4">
        <v>80</v>
      </c>
      <c r="Q85" s="4">
        <f t="shared" si="9"/>
        <v>0.926875</v>
      </c>
      <c r="R85" s="9">
        <f t="shared" si="5"/>
        <v>0.37075000000000002</v>
      </c>
      <c r="S85" s="9">
        <f t="shared" si="6"/>
        <v>-0.37075000000000002</v>
      </c>
      <c r="T85" s="9">
        <f t="shared" si="8"/>
        <v>124.23581249999998</v>
      </c>
      <c r="V85" s="10">
        <v>349.1</v>
      </c>
      <c r="W85" s="4">
        <v>52.893939393939398</v>
      </c>
      <c r="X85" s="4">
        <v>56509.100000000006</v>
      </c>
      <c r="AA85" s="14">
        <v>8.9116154747402199</v>
      </c>
    </row>
    <row r="86" spans="1:27" s="4" customFormat="1" x14ac:dyDescent="0.25">
      <c r="A86" s="68"/>
      <c r="B86" s="5"/>
      <c r="C86" s="6">
        <v>41964</v>
      </c>
      <c r="D86" s="4">
        <v>6.6</v>
      </c>
      <c r="E86" s="13">
        <v>4.3</v>
      </c>
      <c r="F86" s="4">
        <v>8.1999999999999993</v>
      </c>
      <c r="G86" s="4">
        <v>1043.6999999999998</v>
      </c>
      <c r="J86" s="4">
        <v>0.1</v>
      </c>
      <c r="K86" s="4">
        <v>141.69999999999996</v>
      </c>
      <c r="L86" s="4">
        <v>0.4</v>
      </c>
      <c r="M86" s="4">
        <v>118.00000000000004</v>
      </c>
      <c r="N86" s="8">
        <v>-0.30000000000000004</v>
      </c>
      <c r="O86" s="4">
        <f t="shared" si="7"/>
        <v>68.600000000000009</v>
      </c>
      <c r="P86" s="4">
        <v>81</v>
      </c>
      <c r="Q86" s="4">
        <f t="shared" si="9"/>
        <v>0.93500000000000005</v>
      </c>
      <c r="R86" s="9">
        <f t="shared" si="5"/>
        <v>0.37400000000000005</v>
      </c>
      <c r="S86" s="9">
        <f t="shared" si="6"/>
        <v>-0.27400000000000002</v>
      </c>
      <c r="T86" s="9">
        <f t="shared" si="8"/>
        <v>123.96181249999998</v>
      </c>
      <c r="V86" s="10">
        <v>395</v>
      </c>
      <c r="W86" s="4">
        <v>59.848484848484851</v>
      </c>
      <c r="X86" s="4">
        <v>56904.100000000006</v>
      </c>
      <c r="AA86" s="14">
        <v>8.8677984821521605</v>
      </c>
    </row>
    <row r="87" spans="1:27" s="4" customFormat="1" x14ac:dyDescent="0.25">
      <c r="A87" s="68"/>
      <c r="B87" s="5"/>
      <c r="C87" s="6">
        <v>41965</v>
      </c>
      <c r="D87" s="4">
        <v>9.4</v>
      </c>
      <c r="E87" s="4">
        <v>6</v>
      </c>
      <c r="F87" s="4">
        <v>12.4</v>
      </c>
      <c r="G87" s="4">
        <v>1053.0999999999999</v>
      </c>
      <c r="J87" s="4">
        <v>0.7</v>
      </c>
      <c r="K87" s="4">
        <v>142.39999999999995</v>
      </c>
      <c r="L87" s="4">
        <v>0.6</v>
      </c>
      <c r="M87" s="4">
        <v>118.60000000000004</v>
      </c>
      <c r="N87" s="4">
        <v>9.9999999999999978E-2</v>
      </c>
      <c r="O87" s="4">
        <f t="shared" si="7"/>
        <v>68.7</v>
      </c>
      <c r="P87" s="4">
        <v>82</v>
      </c>
      <c r="Q87" s="4">
        <f t="shared" si="9"/>
        <v>0.94312499999999999</v>
      </c>
      <c r="R87" s="9">
        <f t="shared" si="5"/>
        <v>0.56587500000000002</v>
      </c>
      <c r="S87" s="9">
        <f t="shared" si="6"/>
        <v>0.13412499999999994</v>
      </c>
      <c r="T87" s="9">
        <f t="shared" si="8"/>
        <v>124.09593749999998</v>
      </c>
      <c r="V87" s="10">
        <v>362.3</v>
      </c>
      <c r="W87" s="4">
        <v>38.542553191489361</v>
      </c>
      <c r="X87" s="4">
        <v>57266.400000000009</v>
      </c>
      <c r="AA87" s="14">
        <v>8.8249016142338892</v>
      </c>
    </row>
    <row r="88" spans="1:27" s="4" customFormat="1" x14ac:dyDescent="0.25">
      <c r="A88" s="68"/>
      <c r="B88" s="5"/>
      <c r="C88" s="6">
        <v>41966</v>
      </c>
      <c r="D88" s="4">
        <v>10.8</v>
      </c>
      <c r="E88" s="4">
        <v>7.8</v>
      </c>
      <c r="F88" s="4">
        <v>13.7</v>
      </c>
      <c r="G88" s="4">
        <v>1063.8999999999999</v>
      </c>
      <c r="J88" s="4">
        <v>0.3</v>
      </c>
      <c r="K88" s="4">
        <v>142.69999999999996</v>
      </c>
      <c r="L88" s="4">
        <v>0.7</v>
      </c>
      <c r="M88" s="4">
        <v>119.30000000000004</v>
      </c>
      <c r="N88" s="8">
        <v>-0.39999999999999997</v>
      </c>
      <c r="O88" s="4">
        <f t="shared" si="7"/>
        <v>68.3</v>
      </c>
      <c r="P88" s="4">
        <v>83</v>
      </c>
      <c r="Q88" s="4">
        <f t="shared" si="9"/>
        <v>0.95125000000000004</v>
      </c>
      <c r="R88" s="9">
        <f t="shared" si="5"/>
        <v>0.66587499999999999</v>
      </c>
      <c r="S88" s="9">
        <f t="shared" si="6"/>
        <v>-0.36587500000000001</v>
      </c>
      <c r="T88" s="9">
        <f t="shared" si="8"/>
        <v>123.73006249999997</v>
      </c>
      <c r="V88" s="10">
        <v>449.2</v>
      </c>
      <c r="W88" s="4">
        <v>41.592592592592588</v>
      </c>
      <c r="X88" s="4">
        <v>57715.600000000006</v>
      </c>
      <c r="AA88" s="14">
        <v>8.78295749093237</v>
      </c>
    </row>
    <row r="89" spans="1:27" s="4" customFormat="1" x14ac:dyDescent="0.25">
      <c r="A89" s="68"/>
      <c r="B89" s="5"/>
      <c r="C89" s="6">
        <v>41967</v>
      </c>
      <c r="D89" s="4">
        <v>8.1999999999999993</v>
      </c>
      <c r="E89" s="4">
        <v>6.9</v>
      </c>
      <c r="F89" s="4">
        <v>10.3</v>
      </c>
      <c r="G89" s="4">
        <v>1072.0999999999999</v>
      </c>
      <c r="J89" s="4">
        <v>0</v>
      </c>
      <c r="K89" s="4">
        <v>142.69999999999996</v>
      </c>
      <c r="L89" s="4">
        <v>0.8</v>
      </c>
      <c r="M89" s="4">
        <v>120.10000000000004</v>
      </c>
      <c r="N89" s="8">
        <v>-0.8</v>
      </c>
      <c r="O89" s="4">
        <f t="shared" si="7"/>
        <v>67.5</v>
      </c>
      <c r="P89" s="4">
        <v>84</v>
      </c>
      <c r="Q89" s="4">
        <f t="shared" si="9"/>
        <v>0.95937499999999998</v>
      </c>
      <c r="R89" s="9">
        <f t="shared" si="5"/>
        <v>0.76750000000000007</v>
      </c>
      <c r="S89" s="9">
        <f t="shared" si="6"/>
        <v>-0.76750000000000007</v>
      </c>
      <c r="T89" s="9">
        <f t="shared" si="8"/>
        <v>122.96256249999998</v>
      </c>
      <c r="V89" s="10">
        <v>478.7</v>
      </c>
      <c r="W89" s="4">
        <v>58.378048780487809</v>
      </c>
      <c r="X89" s="4">
        <v>58194.3</v>
      </c>
      <c r="AA89" s="14">
        <v>8.74199898049803</v>
      </c>
    </row>
    <row r="90" spans="1:27" s="4" customFormat="1" x14ac:dyDescent="0.25">
      <c r="A90" s="68"/>
      <c r="B90" s="5"/>
      <c r="C90" s="6">
        <v>41968</v>
      </c>
      <c r="D90" s="4">
        <v>7.4</v>
      </c>
      <c r="E90" s="4">
        <v>5.6</v>
      </c>
      <c r="F90" s="4">
        <v>8.8000000000000007</v>
      </c>
      <c r="G90" s="4">
        <v>1079.5</v>
      </c>
      <c r="J90" s="4">
        <v>4.8</v>
      </c>
      <c r="K90" s="4">
        <v>147.49999999999997</v>
      </c>
      <c r="L90" s="4">
        <v>0.4</v>
      </c>
      <c r="M90" s="4">
        <v>120.50000000000004</v>
      </c>
      <c r="N90" s="4">
        <v>4.3999999999999995</v>
      </c>
      <c r="O90" s="4">
        <f t="shared" si="7"/>
        <v>71.900000000000006</v>
      </c>
      <c r="P90" s="4">
        <v>85</v>
      </c>
      <c r="Q90" s="4">
        <f t="shared" si="9"/>
        <v>0.96749999999999992</v>
      </c>
      <c r="R90" s="9">
        <f t="shared" si="5"/>
        <v>0.38700000000000001</v>
      </c>
      <c r="S90" s="9">
        <f t="shared" si="6"/>
        <v>4.4130000000000003</v>
      </c>
      <c r="T90" s="9">
        <f t="shared" si="8"/>
        <v>127.37556249999997</v>
      </c>
      <c r="V90" s="10">
        <v>214.1</v>
      </c>
      <c r="W90" s="4">
        <v>28.932432432432432</v>
      </c>
      <c r="X90" s="4">
        <v>58408.4</v>
      </c>
      <c r="AA90" s="14">
        <v>8.7020591337516908</v>
      </c>
    </row>
    <row r="91" spans="1:27" s="4" customFormat="1" x14ac:dyDescent="0.25">
      <c r="A91" s="68"/>
      <c r="B91" s="5"/>
      <c r="C91" s="6">
        <v>41969</v>
      </c>
      <c r="D91" s="4">
        <v>9</v>
      </c>
      <c r="E91" s="4">
        <v>7.5</v>
      </c>
      <c r="F91" s="4">
        <v>10.199999999999999</v>
      </c>
      <c r="G91" s="4">
        <v>1088.5</v>
      </c>
      <c r="J91" s="4">
        <v>2</v>
      </c>
      <c r="K91" s="4">
        <v>149.49999999999997</v>
      </c>
      <c r="L91" s="4">
        <v>0.3</v>
      </c>
      <c r="M91" s="4">
        <v>120.80000000000004</v>
      </c>
      <c r="N91" s="4">
        <v>1.7</v>
      </c>
      <c r="O91" s="4">
        <f t="shared" si="7"/>
        <v>73.600000000000009</v>
      </c>
      <c r="P91" s="4">
        <v>86</v>
      </c>
      <c r="Q91" s="4">
        <f t="shared" si="9"/>
        <v>0.97562499999999996</v>
      </c>
      <c r="R91" s="9">
        <f t="shared" si="5"/>
        <v>0.29268749999999999</v>
      </c>
      <c r="S91" s="9">
        <f t="shared" si="6"/>
        <v>1.7073125</v>
      </c>
      <c r="T91" s="9">
        <f t="shared" si="8"/>
        <v>129.08287499999997</v>
      </c>
      <c r="V91" s="10">
        <v>142.69999999999999</v>
      </c>
      <c r="W91" s="4">
        <v>15.855555555555554</v>
      </c>
      <c r="X91" s="4">
        <v>58551.1</v>
      </c>
      <c r="AA91" s="14">
        <v>8.6631711138664507</v>
      </c>
    </row>
    <row r="92" spans="1:27" s="4" customFormat="1" x14ac:dyDescent="0.25">
      <c r="A92" s="68"/>
      <c r="B92" s="5"/>
      <c r="C92" s="6">
        <v>41970</v>
      </c>
      <c r="D92" s="4">
        <v>9.5</v>
      </c>
      <c r="E92" s="4">
        <v>8.9</v>
      </c>
      <c r="F92" s="4">
        <v>10.199999999999999</v>
      </c>
      <c r="G92" s="4">
        <v>1098</v>
      </c>
      <c r="J92" s="4">
        <v>0.2</v>
      </c>
      <c r="K92" s="4">
        <v>149.69999999999996</v>
      </c>
      <c r="L92" s="4">
        <v>0.4</v>
      </c>
      <c r="M92" s="4">
        <v>121.20000000000005</v>
      </c>
      <c r="N92" s="8">
        <v>-0.2</v>
      </c>
      <c r="O92" s="4">
        <f t="shared" si="7"/>
        <v>73.400000000000006</v>
      </c>
      <c r="P92" s="4">
        <v>87</v>
      </c>
      <c r="Q92" s="4">
        <f t="shared" si="9"/>
        <v>0.98375000000000001</v>
      </c>
      <c r="R92" s="9">
        <f t="shared" si="5"/>
        <v>0.39350000000000002</v>
      </c>
      <c r="S92" s="9">
        <f t="shared" si="6"/>
        <v>-0.19350000000000001</v>
      </c>
      <c r="T92" s="9">
        <f t="shared" si="8"/>
        <v>128.88937499999997</v>
      </c>
      <c r="V92" s="10">
        <v>176.4</v>
      </c>
      <c r="W92" s="4">
        <v>18.568421052631578</v>
      </c>
      <c r="X92" s="4">
        <v>58727.5</v>
      </c>
      <c r="AA92" s="14">
        <v>8.6253681217716895</v>
      </c>
    </row>
    <row r="93" spans="1:27" s="4" customFormat="1" x14ac:dyDescent="0.25">
      <c r="A93" s="68"/>
      <c r="B93" s="5"/>
      <c r="C93" s="6">
        <v>41971</v>
      </c>
      <c r="D93" s="4">
        <v>9</v>
      </c>
      <c r="E93" s="4">
        <v>7.6</v>
      </c>
      <c r="F93" s="4">
        <v>11.2</v>
      </c>
      <c r="G93" s="4">
        <v>1107</v>
      </c>
      <c r="J93" s="4">
        <v>0</v>
      </c>
      <c r="K93" s="4">
        <v>149.69999999999996</v>
      </c>
      <c r="L93" s="4">
        <v>0.7</v>
      </c>
      <c r="M93" s="4">
        <v>121.90000000000005</v>
      </c>
      <c r="N93" s="8">
        <v>-0.7</v>
      </c>
      <c r="O93" s="4">
        <f t="shared" si="7"/>
        <v>72.7</v>
      </c>
      <c r="P93" s="4">
        <v>88</v>
      </c>
      <c r="Q93" s="4">
        <f t="shared" si="9"/>
        <v>0.99187500000000006</v>
      </c>
      <c r="R93" s="9">
        <f t="shared" si="5"/>
        <v>0.6943125</v>
      </c>
      <c r="S93" s="9">
        <f t="shared" si="6"/>
        <v>-0.6943125</v>
      </c>
      <c r="T93" s="9">
        <f t="shared" si="8"/>
        <v>128.19506249999998</v>
      </c>
      <c r="V93" s="10">
        <v>201.6</v>
      </c>
      <c r="W93" s="4">
        <v>22.4</v>
      </c>
      <c r="X93" s="4">
        <v>58929.1</v>
      </c>
      <c r="AA93" s="14">
        <v>8.5886833173305508</v>
      </c>
    </row>
    <row r="94" spans="1:27" s="53" customFormat="1" ht="15.75" thickBot="1" x14ac:dyDescent="0.3">
      <c r="A94" s="68"/>
      <c r="B94" s="50"/>
      <c r="C94" s="51">
        <v>41972</v>
      </c>
      <c r="D94" s="52">
        <v>5.2</v>
      </c>
      <c r="E94" s="52">
        <v>3.6</v>
      </c>
      <c r="F94" s="52">
        <v>7.6</v>
      </c>
      <c r="G94" s="52">
        <v>1112.2</v>
      </c>
      <c r="H94" s="52"/>
      <c r="I94" s="52"/>
      <c r="J94" s="52">
        <v>0.1</v>
      </c>
      <c r="K94" s="52">
        <v>149.79999999999995</v>
      </c>
      <c r="L94" s="52">
        <v>0.7</v>
      </c>
      <c r="M94" s="52">
        <v>122.60000000000005</v>
      </c>
      <c r="N94" s="52">
        <v>-0.6</v>
      </c>
      <c r="O94" s="52">
        <f t="shared" si="7"/>
        <v>72.100000000000009</v>
      </c>
      <c r="P94" s="52">
        <v>89</v>
      </c>
      <c r="Q94" s="53">
        <f t="shared" si="9"/>
        <v>1</v>
      </c>
      <c r="R94" s="54">
        <f t="shared" si="5"/>
        <v>0.7</v>
      </c>
      <c r="S94" s="54">
        <f t="shared" si="6"/>
        <v>-0.6</v>
      </c>
      <c r="T94" s="55">
        <f t="shared" si="8"/>
        <v>127.59506249999998</v>
      </c>
      <c r="U94" s="52"/>
      <c r="V94" s="52">
        <v>348.6</v>
      </c>
      <c r="W94" s="52">
        <v>67.038461538461547</v>
      </c>
      <c r="X94" s="52">
        <v>59277.7</v>
      </c>
      <c r="Y94" s="52"/>
      <c r="Z94" s="52"/>
      <c r="AA94" s="56">
        <v>8.5531497364884093</v>
      </c>
    </row>
    <row r="95" spans="1:27" s="4" customFormat="1" x14ac:dyDescent="0.25">
      <c r="A95" s="69" t="s">
        <v>43</v>
      </c>
      <c r="B95" s="19"/>
      <c r="C95" s="6">
        <v>41973</v>
      </c>
      <c r="D95" s="13">
        <v>4.5999999999999996</v>
      </c>
      <c r="E95" s="13">
        <v>3.2</v>
      </c>
      <c r="F95" s="4">
        <v>7.3</v>
      </c>
      <c r="G95" s="4">
        <v>1116.8</v>
      </c>
      <c r="H95" s="4">
        <v>4.5999999999999996</v>
      </c>
      <c r="I95" s="20" t="s">
        <v>27</v>
      </c>
      <c r="J95" s="4">
        <v>0.8</v>
      </c>
      <c r="K95" s="4">
        <v>150.59999999999997</v>
      </c>
      <c r="L95" s="4">
        <v>0.4</v>
      </c>
      <c r="M95" s="4">
        <v>123.00000000000006</v>
      </c>
      <c r="N95" s="4">
        <v>0.4</v>
      </c>
      <c r="O95" s="4">
        <f t="shared" si="7"/>
        <v>72.500000000000014</v>
      </c>
      <c r="P95" s="4">
        <v>90</v>
      </c>
      <c r="Q95" s="4">
        <v>1</v>
      </c>
      <c r="R95" s="9">
        <f t="shared" si="5"/>
        <v>0.4</v>
      </c>
      <c r="S95" s="9">
        <f t="shared" si="6"/>
        <v>0.4</v>
      </c>
      <c r="T95" s="9">
        <f t="shared" si="8"/>
        <v>127.99506249999999</v>
      </c>
      <c r="U95" s="20" t="s">
        <v>28</v>
      </c>
      <c r="V95" s="10">
        <v>213.6</v>
      </c>
      <c r="W95" s="4">
        <v>46.434782608695656</v>
      </c>
      <c r="X95" s="4">
        <v>59491.299999999996</v>
      </c>
      <c r="Y95" s="4">
        <f>V95</f>
        <v>213.6</v>
      </c>
      <c r="Z95" s="20" t="s">
        <v>29</v>
      </c>
      <c r="AA95" s="14">
        <v>8.5188002046386906</v>
      </c>
    </row>
    <row r="96" spans="1:27" s="4" customFormat="1" x14ac:dyDescent="0.25">
      <c r="A96" s="69"/>
      <c r="B96" s="19"/>
      <c r="C96" s="6">
        <v>41974</v>
      </c>
      <c r="D96" s="13">
        <v>3.2</v>
      </c>
      <c r="E96" s="13">
        <v>2.7</v>
      </c>
      <c r="F96" s="13">
        <v>2.9</v>
      </c>
      <c r="G96" s="4">
        <v>1120</v>
      </c>
      <c r="H96" s="4">
        <f>H95+D96</f>
        <v>7.8</v>
      </c>
      <c r="I96" s="4">
        <v>-3.8</v>
      </c>
      <c r="J96" s="4">
        <v>0.2</v>
      </c>
      <c r="K96" s="4">
        <v>150.79999999999995</v>
      </c>
      <c r="L96" s="4">
        <v>0.3</v>
      </c>
      <c r="M96" s="4">
        <v>123.30000000000005</v>
      </c>
      <c r="N96" s="8">
        <v>-9.9999999999999978E-2</v>
      </c>
      <c r="O96" s="4">
        <f t="shared" si="7"/>
        <v>72.40000000000002</v>
      </c>
      <c r="P96" s="4">
        <v>91</v>
      </c>
      <c r="Q96" s="4">
        <v>1</v>
      </c>
      <c r="R96" s="9">
        <f t="shared" si="5"/>
        <v>0.3</v>
      </c>
      <c r="S96" s="9">
        <f t="shared" si="6"/>
        <v>-9.9999999999999978E-2</v>
      </c>
      <c r="T96" s="9">
        <f t="shared" si="8"/>
        <v>127.89506249999999</v>
      </c>
      <c r="U96" s="4">
        <v>50</v>
      </c>
      <c r="V96" s="10">
        <v>224.4</v>
      </c>
      <c r="W96" s="4">
        <v>70.125</v>
      </c>
      <c r="X96" s="4">
        <v>59715.7</v>
      </c>
      <c r="Y96" s="4">
        <f>Y95+V96</f>
        <v>438</v>
      </c>
      <c r="Z96" s="4">
        <v>32663.999999999993</v>
      </c>
      <c r="AA96" s="14">
        <v>8.4856672465020804</v>
      </c>
    </row>
    <row r="97" spans="1:27" s="4" customFormat="1" x14ac:dyDescent="0.25">
      <c r="A97" s="69"/>
      <c r="B97" s="19"/>
      <c r="C97" s="6">
        <v>41975</v>
      </c>
      <c r="D97" s="13">
        <v>2.2999999999999998</v>
      </c>
      <c r="E97" s="13">
        <v>1.7</v>
      </c>
      <c r="F97" s="13">
        <v>3.1</v>
      </c>
      <c r="G97" s="4">
        <v>1122.3</v>
      </c>
      <c r="H97" s="4">
        <f t="shared" ref="H97:H160" si="10">H96+D97</f>
        <v>10.1</v>
      </c>
      <c r="I97" s="20" t="s">
        <v>30</v>
      </c>
      <c r="J97" s="4">
        <v>1.4</v>
      </c>
      <c r="K97" s="4">
        <v>152.19999999999996</v>
      </c>
      <c r="L97" s="4">
        <v>0.3</v>
      </c>
      <c r="M97" s="4">
        <v>123.60000000000005</v>
      </c>
      <c r="N97" s="4">
        <v>1.0999999999999999</v>
      </c>
      <c r="O97" s="4">
        <f t="shared" si="7"/>
        <v>73.500000000000014</v>
      </c>
      <c r="P97" s="4">
        <v>92</v>
      </c>
      <c r="Q97" s="4">
        <v>1</v>
      </c>
      <c r="R97" s="9">
        <f t="shared" si="5"/>
        <v>0.3</v>
      </c>
      <c r="S97" s="9">
        <f t="shared" si="6"/>
        <v>1.0999999999999999</v>
      </c>
      <c r="T97" s="9">
        <f t="shared" si="8"/>
        <v>128.99506249999999</v>
      </c>
      <c r="U97" s="20" t="s">
        <v>31</v>
      </c>
      <c r="V97" s="10">
        <v>164.1</v>
      </c>
      <c r="W97" s="4">
        <v>71.34782608695653</v>
      </c>
      <c r="X97" s="4">
        <v>59879.799999999996</v>
      </c>
      <c r="Y97" s="4">
        <f t="shared" ref="Y97:Y160" si="11">Y96+V97</f>
        <v>602.1</v>
      </c>
      <c r="Z97" s="20" t="s">
        <v>32</v>
      </c>
      <c r="AA97" s="14">
        <v>8.45378299286625</v>
      </c>
    </row>
    <row r="98" spans="1:27" s="4" customFormat="1" x14ac:dyDescent="0.25">
      <c r="A98" s="69"/>
      <c r="B98" s="19"/>
      <c r="C98" s="6">
        <v>41976</v>
      </c>
      <c r="D98" s="13">
        <v>1.3</v>
      </c>
      <c r="E98" s="13">
        <v>0.5</v>
      </c>
      <c r="F98" s="13">
        <v>2.1</v>
      </c>
      <c r="G98" s="4">
        <v>1123.5999999999999</v>
      </c>
      <c r="H98" s="4">
        <f t="shared" si="10"/>
        <v>11.4</v>
      </c>
      <c r="I98" s="4">
        <v>14.5</v>
      </c>
      <c r="J98" s="4">
        <v>0</v>
      </c>
      <c r="K98" s="4">
        <v>152.19999999999996</v>
      </c>
      <c r="L98" s="4">
        <v>0.5</v>
      </c>
      <c r="M98" s="4">
        <v>124.10000000000005</v>
      </c>
      <c r="N98" s="8">
        <v>-0.5</v>
      </c>
      <c r="O98" s="4">
        <f t="shared" si="7"/>
        <v>73.000000000000014</v>
      </c>
      <c r="P98" s="4">
        <v>93</v>
      </c>
      <c r="Q98" s="4">
        <v>1</v>
      </c>
      <c r="R98" s="9">
        <f t="shared" si="5"/>
        <v>0.5</v>
      </c>
      <c r="S98" s="9">
        <f t="shared" si="6"/>
        <v>-0.5</v>
      </c>
      <c r="T98" s="9">
        <f t="shared" si="8"/>
        <v>128.49506249999999</v>
      </c>
      <c r="U98" s="4">
        <v>0</v>
      </c>
      <c r="V98" s="10">
        <v>379.3</v>
      </c>
      <c r="W98" s="4">
        <v>291.76923076923077</v>
      </c>
      <c r="X98" s="4">
        <v>60259.1</v>
      </c>
      <c r="Y98" s="4">
        <f t="shared" si="11"/>
        <v>981.40000000000009</v>
      </c>
      <c r="Z98" s="11">
        <f>(Z96/100)/I108</f>
        <v>0.83347792804286791</v>
      </c>
      <c r="AA98" s="14">
        <v>8.4231790845843495</v>
      </c>
    </row>
    <row r="99" spans="1:27" s="4" customFormat="1" x14ac:dyDescent="0.25">
      <c r="A99" s="69"/>
      <c r="B99" s="19"/>
      <c r="C99" s="6">
        <v>41977</v>
      </c>
      <c r="D99" s="13">
        <v>1.6</v>
      </c>
      <c r="E99" s="13">
        <v>0.4</v>
      </c>
      <c r="F99" s="13">
        <v>3.3</v>
      </c>
      <c r="G99" s="4">
        <v>1125.1999999999998</v>
      </c>
      <c r="H99" s="4">
        <f t="shared" si="10"/>
        <v>13</v>
      </c>
      <c r="I99" s="20" t="s">
        <v>33</v>
      </c>
      <c r="J99" s="4">
        <v>0.5</v>
      </c>
      <c r="K99" s="4">
        <v>152.69999999999996</v>
      </c>
      <c r="L99" s="4">
        <v>0.3</v>
      </c>
      <c r="M99" s="4">
        <v>124.40000000000005</v>
      </c>
      <c r="N99" s="4">
        <v>0.2</v>
      </c>
      <c r="O99" s="4">
        <f t="shared" si="7"/>
        <v>73.200000000000017</v>
      </c>
      <c r="P99" s="4">
        <v>94</v>
      </c>
      <c r="Q99" s="4">
        <v>1</v>
      </c>
      <c r="R99" s="9">
        <f t="shared" si="5"/>
        <v>0.3</v>
      </c>
      <c r="S99" s="9">
        <f t="shared" si="6"/>
        <v>0.2</v>
      </c>
      <c r="T99" s="9">
        <f t="shared" si="8"/>
        <v>128.69506249999998</v>
      </c>
      <c r="U99" s="20" t="s">
        <v>34</v>
      </c>
      <c r="V99" s="10">
        <v>246.1</v>
      </c>
      <c r="W99" s="4">
        <v>153.8125</v>
      </c>
      <c r="X99" s="4">
        <v>60505.2</v>
      </c>
      <c r="Y99" s="4">
        <f t="shared" si="11"/>
        <v>1227.5</v>
      </c>
      <c r="Z99" s="20" t="s">
        <v>35</v>
      </c>
      <c r="AA99" s="14">
        <v>8.3938865742811508</v>
      </c>
    </row>
    <row r="100" spans="1:27" s="4" customFormat="1" x14ac:dyDescent="0.25">
      <c r="A100" s="69"/>
      <c r="B100" s="19"/>
      <c r="C100" s="6">
        <v>41978</v>
      </c>
      <c r="D100" s="13">
        <v>3.8</v>
      </c>
      <c r="E100" s="13">
        <v>2.4</v>
      </c>
      <c r="F100" s="13">
        <v>4.3</v>
      </c>
      <c r="G100" s="4">
        <v>1128.9999999999998</v>
      </c>
      <c r="H100" s="4">
        <f t="shared" si="10"/>
        <v>16.8</v>
      </c>
      <c r="I100" s="9">
        <v>3.9428571428571439</v>
      </c>
      <c r="J100" s="4">
        <v>0.7</v>
      </c>
      <c r="K100" s="4">
        <v>153.39999999999995</v>
      </c>
      <c r="L100" s="4">
        <v>0.3</v>
      </c>
      <c r="M100" s="4">
        <v>124.70000000000005</v>
      </c>
      <c r="N100" s="4">
        <v>0.39999999999999997</v>
      </c>
      <c r="O100" s="4">
        <f t="shared" si="7"/>
        <v>73.600000000000023</v>
      </c>
      <c r="P100" s="4">
        <v>95</v>
      </c>
      <c r="Q100" s="4">
        <v>1</v>
      </c>
      <c r="R100" s="9">
        <f t="shared" si="5"/>
        <v>0.3</v>
      </c>
      <c r="S100" s="9">
        <f t="shared" si="6"/>
        <v>0.39999999999999997</v>
      </c>
      <c r="T100" s="9">
        <f t="shared" si="8"/>
        <v>129.09506249999998</v>
      </c>
      <c r="U100" s="4">
        <v>0</v>
      </c>
      <c r="V100" s="10">
        <v>284.39999999999998</v>
      </c>
      <c r="W100" s="4">
        <v>74.84210526315789</v>
      </c>
      <c r="X100" s="4">
        <v>60789.599999999999</v>
      </c>
      <c r="Y100" s="4">
        <f t="shared" si="11"/>
        <v>1511.9</v>
      </c>
      <c r="Z100" s="4">
        <v>95</v>
      </c>
      <c r="AA100" s="14">
        <v>8.3659358262648702</v>
      </c>
    </row>
    <row r="101" spans="1:27" s="4" customFormat="1" x14ac:dyDescent="0.25">
      <c r="A101" s="69"/>
      <c r="B101" s="19"/>
      <c r="C101" s="6">
        <v>41979</v>
      </c>
      <c r="D101" s="13">
        <v>2.8</v>
      </c>
      <c r="E101" s="13">
        <v>1</v>
      </c>
      <c r="F101" s="4">
        <v>5.9</v>
      </c>
      <c r="G101" s="4">
        <v>1131.7999999999997</v>
      </c>
      <c r="H101" s="4">
        <f t="shared" si="10"/>
        <v>19.600000000000001</v>
      </c>
      <c r="I101" s="20" t="s">
        <v>36</v>
      </c>
      <c r="J101" s="4">
        <v>0</v>
      </c>
      <c r="K101" s="4">
        <v>153.39999999999995</v>
      </c>
      <c r="L101" s="4">
        <v>0.5</v>
      </c>
      <c r="M101" s="4">
        <v>125.20000000000005</v>
      </c>
      <c r="N101" s="8">
        <v>-0.5</v>
      </c>
      <c r="O101" s="4">
        <f t="shared" si="7"/>
        <v>73.100000000000023</v>
      </c>
      <c r="P101" s="4">
        <v>96</v>
      </c>
      <c r="Q101" s="4">
        <v>1</v>
      </c>
      <c r="R101" s="9">
        <f t="shared" si="5"/>
        <v>0.5</v>
      </c>
      <c r="S101" s="9">
        <f t="shared" si="6"/>
        <v>-0.5</v>
      </c>
      <c r="T101" s="9">
        <f t="shared" si="8"/>
        <v>128.59506249999998</v>
      </c>
      <c r="U101" s="20" t="s">
        <v>37</v>
      </c>
      <c r="V101" s="10">
        <v>228.3</v>
      </c>
      <c r="W101" s="4">
        <v>81.535714285714292</v>
      </c>
      <c r="X101" s="4">
        <v>61017.9</v>
      </c>
      <c r="Y101" s="4">
        <f t="shared" si="11"/>
        <v>1740.2</v>
      </c>
      <c r="AA101" s="14">
        <v>8.3393564151903394</v>
      </c>
    </row>
    <row r="102" spans="1:27" s="4" customFormat="1" x14ac:dyDescent="0.25">
      <c r="A102" s="69"/>
      <c r="B102" s="19"/>
      <c r="C102" s="6">
        <v>41980</v>
      </c>
      <c r="D102" s="13">
        <v>2.2000000000000002</v>
      </c>
      <c r="E102" s="21">
        <v>-0.7</v>
      </c>
      <c r="F102" s="4">
        <v>5.8</v>
      </c>
      <c r="G102" s="4">
        <v>1133.9999999999998</v>
      </c>
      <c r="H102" s="4">
        <f t="shared" si="10"/>
        <v>21.8</v>
      </c>
      <c r="I102" s="4">
        <v>28</v>
      </c>
      <c r="J102" s="4">
        <v>1.6</v>
      </c>
      <c r="K102" s="4">
        <v>154.99999999999994</v>
      </c>
      <c r="L102" s="4">
        <v>0.3</v>
      </c>
      <c r="M102" s="4">
        <v>125.50000000000004</v>
      </c>
      <c r="N102" s="4">
        <v>1.3</v>
      </c>
      <c r="O102" s="4">
        <f t="shared" si="7"/>
        <v>74.40000000000002</v>
      </c>
      <c r="P102" s="4">
        <v>97</v>
      </c>
      <c r="Q102" s="4">
        <v>1</v>
      </c>
      <c r="R102" s="9">
        <f t="shared" si="5"/>
        <v>0.3</v>
      </c>
      <c r="S102" s="9">
        <f t="shared" si="6"/>
        <v>1.3</v>
      </c>
      <c r="T102" s="9">
        <f t="shared" si="8"/>
        <v>129.89506249999999</v>
      </c>
      <c r="U102" s="9">
        <f>MIN(T95:T192)</f>
        <v>127.89506249999999</v>
      </c>
      <c r="V102" s="10">
        <v>116.4</v>
      </c>
      <c r="W102" s="4">
        <v>52.909090909090907</v>
      </c>
      <c r="X102" s="4">
        <v>61134.3</v>
      </c>
      <c r="Y102" s="4">
        <f t="shared" si="11"/>
        <v>1856.6000000000001</v>
      </c>
      <c r="AA102" s="14">
        <v>8.3141770240623103</v>
      </c>
    </row>
    <row r="103" spans="1:27" s="4" customFormat="1" x14ac:dyDescent="0.25">
      <c r="A103" s="69"/>
      <c r="B103" s="19"/>
      <c r="C103" s="6">
        <v>41981</v>
      </c>
      <c r="D103" s="13">
        <v>2</v>
      </c>
      <c r="E103" s="13">
        <v>1</v>
      </c>
      <c r="F103" s="13">
        <v>3.6</v>
      </c>
      <c r="G103" s="4">
        <v>1135.9999999999998</v>
      </c>
      <c r="H103" s="4">
        <f t="shared" si="10"/>
        <v>23.8</v>
      </c>
      <c r="I103" s="20" t="s">
        <v>38</v>
      </c>
      <c r="J103" s="4">
        <v>5</v>
      </c>
      <c r="K103" s="4">
        <v>159.99999999999994</v>
      </c>
      <c r="L103" s="4">
        <v>0.3</v>
      </c>
      <c r="M103" s="4">
        <v>125.80000000000004</v>
      </c>
      <c r="N103" s="4">
        <v>4.7</v>
      </c>
      <c r="O103" s="4">
        <f t="shared" si="7"/>
        <v>79.100000000000023</v>
      </c>
      <c r="P103" s="4">
        <v>98</v>
      </c>
      <c r="Q103" s="4">
        <v>1</v>
      </c>
      <c r="R103" s="9">
        <f t="shared" si="5"/>
        <v>0.3</v>
      </c>
      <c r="S103" s="9">
        <f t="shared" si="6"/>
        <v>4.7</v>
      </c>
      <c r="T103" s="9">
        <f t="shared" si="8"/>
        <v>134.59506249999998</v>
      </c>
      <c r="U103" s="20" t="s">
        <v>39</v>
      </c>
      <c r="V103" s="22">
        <v>77.3</v>
      </c>
      <c r="W103" s="4">
        <v>38.65</v>
      </c>
      <c r="X103" s="4">
        <v>61211.600000000006</v>
      </c>
      <c r="Y103" s="4">
        <f t="shared" si="11"/>
        <v>1933.9</v>
      </c>
      <c r="AA103" s="14">
        <v>8.2904253422086001</v>
      </c>
    </row>
    <row r="104" spans="1:27" s="4" customFormat="1" x14ac:dyDescent="0.25">
      <c r="A104" s="69"/>
      <c r="B104" s="19"/>
      <c r="C104" s="6">
        <v>41982</v>
      </c>
      <c r="D104" s="13">
        <v>2.9</v>
      </c>
      <c r="E104" s="13">
        <v>0.7</v>
      </c>
      <c r="F104" s="4">
        <v>6.6</v>
      </c>
      <c r="G104" s="4">
        <v>1138.8999999999999</v>
      </c>
      <c r="H104" s="4">
        <f t="shared" si="10"/>
        <v>26.7</v>
      </c>
      <c r="I104" s="4">
        <v>0</v>
      </c>
      <c r="J104" s="4">
        <v>2</v>
      </c>
      <c r="K104" s="4">
        <v>161.99999999999994</v>
      </c>
      <c r="L104" s="4">
        <v>0.6</v>
      </c>
      <c r="M104" s="4">
        <v>126.40000000000003</v>
      </c>
      <c r="N104" s="4">
        <v>1.4</v>
      </c>
      <c r="O104" s="4">
        <f t="shared" si="7"/>
        <v>80.500000000000028</v>
      </c>
      <c r="P104" s="4">
        <v>99</v>
      </c>
      <c r="Q104" s="4">
        <v>1</v>
      </c>
      <c r="R104" s="9">
        <f t="shared" si="5"/>
        <v>0.6</v>
      </c>
      <c r="S104" s="9">
        <f t="shared" si="6"/>
        <v>1.4</v>
      </c>
      <c r="T104" s="9">
        <f t="shared" si="8"/>
        <v>135.99506249999999</v>
      </c>
      <c r="U104" s="9">
        <f>MAX(T95:T192)</f>
        <v>189.6</v>
      </c>
      <c r="V104" s="10">
        <v>335.5</v>
      </c>
      <c r="W104" s="4">
        <v>115.68965517241379</v>
      </c>
      <c r="X104" s="4">
        <v>61547.100000000006</v>
      </c>
      <c r="Y104" s="4">
        <f t="shared" si="11"/>
        <v>2269.4</v>
      </c>
      <c r="AA104" s="14">
        <v>8.2681279638867906</v>
      </c>
    </row>
    <row r="105" spans="1:27" s="4" customFormat="1" x14ac:dyDescent="0.25">
      <c r="A105" s="69"/>
      <c r="B105" s="5"/>
      <c r="C105" s="6">
        <v>41983</v>
      </c>
      <c r="D105" s="4">
        <v>6.8</v>
      </c>
      <c r="E105" s="13">
        <v>3.3</v>
      </c>
      <c r="F105" s="4">
        <v>9</v>
      </c>
      <c r="G105" s="4">
        <v>1145.6999999999998</v>
      </c>
      <c r="H105" s="4">
        <f t="shared" si="10"/>
        <v>33.5</v>
      </c>
      <c r="I105" s="20" t="s">
        <v>40</v>
      </c>
      <c r="J105" s="4">
        <v>3</v>
      </c>
      <c r="K105" s="4">
        <v>164.99999999999994</v>
      </c>
      <c r="L105" s="4">
        <v>0.4</v>
      </c>
      <c r="M105" s="4">
        <v>126.80000000000004</v>
      </c>
      <c r="N105" s="4">
        <v>2.6</v>
      </c>
      <c r="O105" s="4">
        <f t="shared" si="7"/>
        <v>83.100000000000023</v>
      </c>
      <c r="P105" s="4">
        <v>100</v>
      </c>
      <c r="Q105" s="4">
        <v>1</v>
      </c>
      <c r="R105" s="9">
        <f t="shared" si="5"/>
        <v>0.4</v>
      </c>
      <c r="S105" s="9">
        <f t="shared" si="6"/>
        <v>2.6</v>
      </c>
      <c r="T105" s="9">
        <f t="shared" si="8"/>
        <v>138.59506249999998</v>
      </c>
      <c r="U105" s="20" t="s">
        <v>41</v>
      </c>
      <c r="V105" s="10">
        <v>149</v>
      </c>
      <c r="W105" s="4">
        <v>21.911764705882355</v>
      </c>
      <c r="X105" s="4">
        <v>61696.100000000006</v>
      </c>
      <c r="Y105" s="4">
        <f t="shared" si="11"/>
        <v>2418.4</v>
      </c>
      <c r="AA105" s="14">
        <v>8.24731028821774</v>
      </c>
    </row>
    <row r="106" spans="1:27" s="4" customFormat="1" x14ac:dyDescent="0.25">
      <c r="A106" s="69"/>
      <c r="B106" s="5"/>
      <c r="C106" s="6">
        <v>41984</v>
      </c>
      <c r="D106" s="4">
        <v>7.1</v>
      </c>
      <c r="E106" s="4">
        <v>5.7</v>
      </c>
      <c r="F106" s="4">
        <v>8.5</v>
      </c>
      <c r="G106" s="4">
        <v>1152.7999999999997</v>
      </c>
      <c r="H106" s="4">
        <f t="shared" si="10"/>
        <v>40.6</v>
      </c>
      <c r="I106" s="4">
        <v>57</v>
      </c>
      <c r="J106" s="4">
        <v>7.3</v>
      </c>
      <c r="K106" s="4">
        <v>172.29999999999995</v>
      </c>
      <c r="L106" s="4">
        <v>0.7</v>
      </c>
      <c r="M106" s="4">
        <v>127.50000000000004</v>
      </c>
      <c r="N106" s="4">
        <v>6.6</v>
      </c>
      <c r="O106" s="4">
        <f t="shared" si="7"/>
        <v>89.700000000000017</v>
      </c>
      <c r="P106" s="4">
        <v>101</v>
      </c>
      <c r="Q106" s="4">
        <v>1</v>
      </c>
      <c r="R106" s="9">
        <f t="shared" si="5"/>
        <v>0.7</v>
      </c>
      <c r="S106" s="9">
        <f t="shared" si="6"/>
        <v>6.6</v>
      </c>
      <c r="T106" s="9">
        <f t="shared" si="8"/>
        <v>145.19506249999998</v>
      </c>
      <c r="U106" s="11">
        <f>AVERAGE(T95:T192)</f>
        <v>179.09966007653071</v>
      </c>
      <c r="V106" s="10">
        <v>115.2</v>
      </c>
      <c r="W106" s="4">
        <v>16.225352112676056</v>
      </c>
      <c r="X106" s="4">
        <v>61811.3</v>
      </c>
      <c r="Y106" s="4">
        <f t="shared" si="11"/>
        <v>2533.6</v>
      </c>
      <c r="AA106" s="14">
        <v>8.2279964211608494</v>
      </c>
    </row>
    <row r="107" spans="1:27" s="4" customFormat="1" x14ac:dyDescent="0.25">
      <c r="A107" s="69"/>
      <c r="B107" s="5"/>
      <c r="C107" s="6">
        <v>41985</v>
      </c>
      <c r="D107" s="4">
        <v>8.3000000000000007</v>
      </c>
      <c r="E107" s="4">
        <v>7.4</v>
      </c>
      <c r="F107" s="4">
        <v>9.6</v>
      </c>
      <c r="G107" s="4">
        <v>1161.0999999999997</v>
      </c>
      <c r="H107" s="4">
        <f t="shared" si="10"/>
        <v>48.900000000000006</v>
      </c>
      <c r="I107" s="20" t="s">
        <v>42</v>
      </c>
      <c r="J107" s="4">
        <v>16.8</v>
      </c>
      <c r="K107" s="4">
        <v>189.09999999999997</v>
      </c>
      <c r="L107" s="4">
        <v>0.7</v>
      </c>
      <c r="M107" s="4">
        <v>128.20000000000005</v>
      </c>
      <c r="N107" s="4">
        <v>16.100000000000001</v>
      </c>
      <c r="O107" s="4">
        <f t="shared" si="7"/>
        <v>105.80000000000001</v>
      </c>
      <c r="P107" s="4">
        <v>102</v>
      </c>
      <c r="Q107" s="4">
        <v>1</v>
      </c>
      <c r="R107" s="9">
        <f t="shared" si="5"/>
        <v>0.7</v>
      </c>
      <c r="S107" s="9">
        <f t="shared" si="6"/>
        <v>16.100000000000001</v>
      </c>
      <c r="T107" s="9">
        <f t="shared" si="8"/>
        <v>161.29506249999997</v>
      </c>
      <c r="U107" s="20" t="s">
        <v>44</v>
      </c>
      <c r="V107" s="22">
        <v>65.5</v>
      </c>
      <c r="W107" s="4">
        <v>7.8915662650602405</v>
      </c>
      <c r="X107" s="4">
        <v>61876.800000000003</v>
      </c>
      <c r="Y107" s="4">
        <f t="shared" si="11"/>
        <v>2599.1</v>
      </c>
      <c r="AA107" s="14">
        <v>8.2102090802609293</v>
      </c>
    </row>
    <row r="108" spans="1:27" s="4" customFormat="1" x14ac:dyDescent="0.25">
      <c r="A108" s="69"/>
      <c r="B108" s="19"/>
      <c r="C108" s="6">
        <v>41986</v>
      </c>
      <c r="D108" s="13">
        <v>3.1</v>
      </c>
      <c r="E108" s="13">
        <v>2.8</v>
      </c>
      <c r="F108" s="13">
        <v>3.9</v>
      </c>
      <c r="G108" s="4">
        <v>1164.1999999999996</v>
      </c>
      <c r="H108" s="4">
        <f t="shared" si="10"/>
        <v>52.000000000000007</v>
      </c>
      <c r="I108" s="13">
        <v>391.9</v>
      </c>
      <c r="J108" s="4">
        <v>2.1</v>
      </c>
      <c r="K108" s="4">
        <v>191.19999999999996</v>
      </c>
      <c r="L108" s="4">
        <v>0.1</v>
      </c>
      <c r="M108" s="4">
        <v>128.30000000000004</v>
      </c>
      <c r="N108" s="4">
        <v>2</v>
      </c>
      <c r="O108" s="4">
        <f t="shared" si="7"/>
        <v>107.80000000000001</v>
      </c>
      <c r="P108" s="4">
        <v>103</v>
      </c>
      <c r="Q108" s="4">
        <v>1</v>
      </c>
      <c r="R108" s="9">
        <f t="shared" si="5"/>
        <v>0.1</v>
      </c>
      <c r="S108" s="9">
        <f t="shared" si="6"/>
        <v>2</v>
      </c>
      <c r="T108" s="9">
        <f t="shared" si="8"/>
        <v>163.29506249999997</v>
      </c>
      <c r="U108" s="4">
        <v>36</v>
      </c>
      <c r="V108" s="22">
        <v>79.099999999999994</v>
      </c>
      <c r="W108" s="4">
        <v>25.516129032258061</v>
      </c>
      <c r="X108" s="4">
        <v>61955.9</v>
      </c>
      <c r="Y108" s="4">
        <f t="shared" si="11"/>
        <v>2678.2</v>
      </c>
      <c r="AA108" s="14">
        <v>8.1939695029020498</v>
      </c>
    </row>
    <row r="109" spans="1:27" s="4" customFormat="1" x14ac:dyDescent="0.25">
      <c r="A109" s="69"/>
      <c r="B109" s="19"/>
      <c r="C109" s="6">
        <v>41987</v>
      </c>
      <c r="D109" s="13">
        <v>0.3</v>
      </c>
      <c r="E109" s="21">
        <v>-0.9</v>
      </c>
      <c r="F109" s="13">
        <v>3.1</v>
      </c>
      <c r="G109" s="4">
        <v>1164.4999999999995</v>
      </c>
      <c r="H109" s="4">
        <f t="shared" si="10"/>
        <v>52.300000000000004</v>
      </c>
      <c r="J109" s="4">
        <v>0.3</v>
      </c>
      <c r="K109" s="4">
        <v>191.49999999999997</v>
      </c>
      <c r="L109" s="4">
        <v>0.3</v>
      </c>
      <c r="M109" s="4">
        <v>128.60000000000005</v>
      </c>
      <c r="N109" s="4">
        <v>0</v>
      </c>
      <c r="O109" s="4">
        <f t="shared" si="7"/>
        <v>107.80000000000001</v>
      </c>
      <c r="P109" s="4">
        <v>104</v>
      </c>
      <c r="Q109" s="4">
        <v>1</v>
      </c>
      <c r="R109" s="9">
        <f t="shared" si="5"/>
        <v>0.3</v>
      </c>
      <c r="S109" s="9">
        <f t="shared" si="6"/>
        <v>0</v>
      </c>
      <c r="T109" s="9">
        <f t="shared" si="8"/>
        <v>163.29506249999997</v>
      </c>
      <c r="V109" s="10">
        <v>148.6</v>
      </c>
      <c r="W109" s="4">
        <v>495.33333333333331</v>
      </c>
      <c r="X109" s="4">
        <v>62104.5</v>
      </c>
      <c r="Y109" s="4">
        <f t="shared" si="11"/>
        <v>2826.7999999999997</v>
      </c>
      <c r="AA109" s="14">
        <v>8.1792973588013904</v>
      </c>
    </row>
    <row r="110" spans="1:27" s="4" customFormat="1" x14ac:dyDescent="0.25">
      <c r="A110" s="69"/>
      <c r="B110" s="19"/>
      <c r="C110" s="6">
        <v>41988</v>
      </c>
      <c r="D110" s="13">
        <v>4.5999999999999996</v>
      </c>
      <c r="E110" s="13">
        <v>1.3</v>
      </c>
      <c r="F110" s="4">
        <v>6</v>
      </c>
      <c r="G110" s="4">
        <v>1169.0999999999995</v>
      </c>
      <c r="H110" s="4">
        <f t="shared" si="10"/>
        <v>56.900000000000006</v>
      </c>
      <c r="J110" s="4">
        <v>1.4</v>
      </c>
      <c r="K110" s="4">
        <v>192.89999999999998</v>
      </c>
      <c r="L110" s="4">
        <v>0.1</v>
      </c>
      <c r="M110" s="4">
        <v>128.70000000000005</v>
      </c>
      <c r="N110" s="4">
        <v>1.2999999999999998</v>
      </c>
      <c r="O110" s="4">
        <f t="shared" si="7"/>
        <v>109.10000000000001</v>
      </c>
      <c r="P110" s="4">
        <v>105</v>
      </c>
      <c r="Q110" s="4">
        <v>1</v>
      </c>
      <c r="R110" s="9">
        <f t="shared" si="5"/>
        <v>0.1</v>
      </c>
      <c r="S110" s="9">
        <f t="shared" si="6"/>
        <v>1.2999999999999998</v>
      </c>
      <c r="T110" s="9">
        <f t="shared" si="8"/>
        <v>164.59506249999998</v>
      </c>
      <c r="U110" s="4">
        <f>(U106*100)/189.6</f>
        <v>94.461846031925475</v>
      </c>
      <c r="V110" s="22">
        <v>68.3</v>
      </c>
      <c r="W110" s="4">
        <v>14.847826086956522</v>
      </c>
      <c r="X110" s="4">
        <v>62172.800000000003</v>
      </c>
      <c r="Y110" s="4">
        <f t="shared" si="11"/>
        <v>2895.1</v>
      </c>
      <c r="AA110" s="14">
        <v>8.1662106674633801</v>
      </c>
    </row>
    <row r="111" spans="1:27" s="4" customFormat="1" x14ac:dyDescent="0.25">
      <c r="A111" s="69"/>
      <c r="B111" s="5"/>
      <c r="C111" s="6">
        <v>41989</v>
      </c>
      <c r="D111" s="4">
        <v>5.9</v>
      </c>
      <c r="E111" s="13">
        <v>4.8</v>
      </c>
      <c r="F111" s="4">
        <v>8.1</v>
      </c>
      <c r="G111" s="4">
        <v>1174.9999999999995</v>
      </c>
      <c r="H111" s="4">
        <f t="shared" si="10"/>
        <v>62.800000000000004</v>
      </c>
      <c r="J111" s="4">
        <v>6.7</v>
      </c>
      <c r="K111" s="4">
        <v>199.59999999999997</v>
      </c>
      <c r="L111" s="4">
        <v>0.5</v>
      </c>
      <c r="M111" s="4">
        <v>129.20000000000005</v>
      </c>
      <c r="N111" s="4">
        <v>6.2</v>
      </c>
      <c r="O111" s="4">
        <f t="shared" si="7"/>
        <v>115.30000000000001</v>
      </c>
      <c r="P111" s="4">
        <v>106</v>
      </c>
      <c r="Q111" s="4">
        <v>1</v>
      </c>
      <c r="R111" s="9">
        <f t="shared" si="5"/>
        <v>0.5</v>
      </c>
      <c r="S111" s="9">
        <f t="shared" si="6"/>
        <v>6.2</v>
      </c>
      <c r="T111" s="9">
        <f t="shared" si="8"/>
        <v>170.79506249999997</v>
      </c>
      <c r="V111" s="10">
        <v>292.89999999999998</v>
      </c>
      <c r="W111" s="4">
        <v>49.644067796610166</v>
      </c>
      <c r="X111" s="4">
        <v>62465.700000000004</v>
      </c>
      <c r="Y111" s="4">
        <f t="shared" si="11"/>
        <v>3188</v>
      </c>
      <c r="AA111" s="14">
        <v>8.1547257212929107</v>
      </c>
    </row>
    <row r="112" spans="1:27" s="4" customFormat="1" x14ac:dyDescent="0.25">
      <c r="A112" s="69"/>
      <c r="B112" s="5"/>
      <c r="C112" s="6">
        <v>41990</v>
      </c>
      <c r="D112" s="4">
        <v>8.9</v>
      </c>
      <c r="E112" s="13">
        <v>4.0999999999999996</v>
      </c>
      <c r="F112" s="4">
        <v>11.6</v>
      </c>
      <c r="G112" s="4">
        <v>1183.8999999999996</v>
      </c>
      <c r="H112" s="4">
        <f t="shared" si="10"/>
        <v>71.7</v>
      </c>
      <c r="J112" s="4">
        <v>5.9</v>
      </c>
      <c r="K112" s="4">
        <v>205.49999999999997</v>
      </c>
      <c r="L112" s="4">
        <v>0.1</v>
      </c>
      <c r="M112" s="4">
        <v>129.30000000000004</v>
      </c>
      <c r="N112" s="4">
        <v>5.8000000000000007</v>
      </c>
      <c r="O112" s="4">
        <f t="shared" si="7"/>
        <v>121.10000000000001</v>
      </c>
      <c r="P112" s="4">
        <v>107</v>
      </c>
      <c r="Q112" s="4">
        <v>1</v>
      </c>
      <c r="R112" s="9">
        <f t="shared" si="5"/>
        <v>0.1</v>
      </c>
      <c r="S112" s="9">
        <f t="shared" si="6"/>
        <v>5.8000000000000007</v>
      </c>
      <c r="T112" s="9">
        <f t="shared" si="8"/>
        <v>176.59506249999998</v>
      </c>
      <c r="V112" s="22">
        <v>75.2</v>
      </c>
      <c r="W112" s="4">
        <v>8.4494382022471903</v>
      </c>
      <c r="X112" s="4">
        <v>62540.9</v>
      </c>
      <c r="Y112" s="4">
        <f t="shared" si="11"/>
        <v>3263.2</v>
      </c>
      <c r="AA112" s="14">
        <v>8.1448570150340593</v>
      </c>
    </row>
    <row r="113" spans="1:27" s="4" customFormat="1" x14ac:dyDescent="0.25">
      <c r="A113" s="69"/>
      <c r="B113" s="5"/>
      <c r="C113" s="6">
        <v>41991</v>
      </c>
      <c r="D113" s="4">
        <v>11.9</v>
      </c>
      <c r="E113" s="4">
        <v>10.6</v>
      </c>
      <c r="F113" s="4">
        <v>13</v>
      </c>
      <c r="G113" s="4">
        <v>1195.7999999999997</v>
      </c>
      <c r="H113" s="4">
        <f t="shared" si="10"/>
        <v>83.600000000000009</v>
      </c>
      <c r="J113" s="4">
        <v>0.6</v>
      </c>
      <c r="K113" s="4">
        <v>206.09999999999997</v>
      </c>
      <c r="L113" s="4">
        <v>0.5</v>
      </c>
      <c r="M113" s="4">
        <v>129.80000000000004</v>
      </c>
      <c r="N113" s="4">
        <v>9.9999999999999978E-2</v>
      </c>
      <c r="O113" s="4">
        <f t="shared" si="7"/>
        <v>121.2</v>
      </c>
      <c r="P113" s="4">
        <v>108</v>
      </c>
      <c r="Q113" s="4">
        <v>1</v>
      </c>
      <c r="R113" s="9">
        <f t="shared" si="5"/>
        <v>0.5</v>
      </c>
      <c r="S113" s="9">
        <f t="shared" si="6"/>
        <v>9.9999999999999978E-2</v>
      </c>
      <c r="T113" s="9">
        <f t="shared" si="8"/>
        <v>176.69506249999998</v>
      </c>
      <c r="V113" s="22">
        <v>98.1</v>
      </c>
      <c r="W113" s="4">
        <v>8.2436974789915958</v>
      </c>
      <c r="X113" s="4">
        <v>62639</v>
      </c>
      <c r="Y113" s="4">
        <f t="shared" si="11"/>
        <v>3361.2999999999997</v>
      </c>
      <c r="AA113" s="14">
        <v>8.1366171821599593</v>
      </c>
    </row>
    <row r="114" spans="1:27" s="4" customFormat="1" x14ac:dyDescent="0.25">
      <c r="A114" s="69"/>
      <c r="B114" s="5"/>
      <c r="C114" s="6">
        <v>41992</v>
      </c>
      <c r="D114" s="4">
        <v>9.3000000000000007</v>
      </c>
      <c r="E114" s="4">
        <v>7.3</v>
      </c>
      <c r="F114" s="4">
        <v>11.5</v>
      </c>
      <c r="G114" s="4">
        <v>1205.0999999999997</v>
      </c>
      <c r="H114" s="4">
        <f t="shared" si="10"/>
        <v>92.9</v>
      </c>
      <c r="J114" s="4">
        <v>4.8</v>
      </c>
      <c r="K114" s="4">
        <v>210.89999999999998</v>
      </c>
      <c r="L114" s="4">
        <v>0.6</v>
      </c>
      <c r="M114" s="4">
        <v>130.40000000000003</v>
      </c>
      <c r="N114" s="4">
        <v>4.2</v>
      </c>
      <c r="O114" s="4">
        <f t="shared" si="7"/>
        <v>125.4</v>
      </c>
      <c r="P114" s="4">
        <v>109</v>
      </c>
      <c r="Q114" s="4">
        <v>1</v>
      </c>
      <c r="R114" s="9">
        <f t="shared" si="5"/>
        <v>0.6</v>
      </c>
      <c r="S114" s="9">
        <f t="shared" si="6"/>
        <v>4.2</v>
      </c>
      <c r="T114" s="9">
        <f t="shared" si="8"/>
        <v>180.89506249999997</v>
      </c>
      <c r="V114" s="22">
        <v>85.9</v>
      </c>
      <c r="W114" s="4">
        <v>9.236559139784946</v>
      </c>
      <c r="X114" s="4">
        <v>62724.9</v>
      </c>
      <c r="Y114" s="4">
        <f t="shared" si="11"/>
        <v>3447.2</v>
      </c>
      <c r="AA114" s="14">
        <v>8.1300169387881809</v>
      </c>
    </row>
    <row r="115" spans="1:27" s="4" customFormat="1" x14ac:dyDescent="0.25">
      <c r="A115" s="69"/>
      <c r="B115" s="5"/>
      <c r="C115" s="6">
        <v>41993</v>
      </c>
      <c r="D115" s="4">
        <v>6</v>
      </c>
      <c r="E115" s="13">
        <v>4.3</v>
      </c>
      <c r="F115" s="4">
        <v>8.3000000000000007</v>
      </c>
      <c r="G115" s="4">
        <v>1211.0999999999997</v>
      </c>
      <c r="H115" s="4">
        <f t="shared" si="10"/>
        <v>98.9</v>
      </c>
      <c r="J115" s="4">
        <v>0.4</v>
      </c>
      <c r="K115" s="4">
        <v>211.29999999999998</v>
      </c>
      <c r="L115" s="4">
        <v>0.7</v>
      </c>
      <c r="M115" s="4">
        <v>131.10000000000002</v>
      </c>
      <c r="N115" s="8">
        <v>-0.29999999999999993</v>
      </c>
      <c r="O115" s="4">
        <f t="shared" si="7"/>
        <v>125.10000000000001</v>
      </c>
      <c r="P115" s="4">
        <v>110</v>
      </c>
      <c r="Q115" s="4">
        <v>1</v>
      </c>
      <c r="R115" s="9">
        <f t="shared" si="5"/>
        <v>0.7</v>
      </c>
      <c r="S115" s="9">
        <f t="shared" si="6"/>
        <v>-0.29999999999999993</v>
      </c>
      <c r="T115" s="9">
        <f t="shared" si="8"/>
        <v>180.59506249999995</v>
      </c>
      <c r="V115" s="10">
        <v>120.1</v>
      </c>
      <c r="W115" s="4">
        <v>20.016666666666666</v>
      </c>
      <c r="X115" s="4">
        <v>62845</v>
      </c>
      <c r="Y115" s="4">
        <f t="shared" si="11"/>
        <v>3567.2999999999997</v>
      </c>
      <c r="AA115" s="14">
        <v>8.1250650356366894</v>
      </c>
    </row>
    <row r="116" spans="1:27" s="4" customFormat="1" x14ac:dyDescent="0.25">
      <c r="A116" s="69"/>
      <c r="B116" s="5"/>
      <c r="C116" s="6">
        <v>41994</v>
      </c>
      <c r="D116" s="4">
        <v>6.3</v>
      </c>
      <c r="E116" s="13">
        <v>2.9</v>
      </c>
      <c r="F116" s="4">
        <v>8.3000000000000007</v>
      </c>
      <c r="G116" s="4">
        <v>1217.3999999999996</v>
      </c>
      <c r="H116" s="4">
        <f t="shared" si="10"/>
        <v>105.2</v>
      </c>
      <c r="J116" s="4">
        <v>0</v>
      </c>
      <c r="K116" s="4">
        <v>211.29999999999998</v>
      </c>
      <c r="L116" s="4">
        <v>0.5</v>
      </c>
      <c r="M116" s="4">
        <v>131.60000000000002</v>
      </c>
      <c r="N116" s="8">
        <v>-0.5</v>
      </c>
      <c r="O116" s="4">
        <f t="shared" si="7"/>
        <v>124.60000000000001</v>
      </c>
      <c r="P116" s="4">
        <v>111</v>
      </c>
      <c r="Q116" s="4">
        <v>1</v>
      </c>
      <c r="R116" s="9">
        <f t="shared" si="5"/>
        <v>0.5</v>
      </c>
      <c r="S116" s="9">
        <f t="shared" si="6"/>
        <v>-0.5</v>
      </c>
      <c r="T116" s="9">
        <f t="shared" si="8"/>
        <v>180.09506249999995</v>
      </c>
      <c r="V116" s="10">
        <v>121.5</v>
      </c>
      <c r="W116" s="4">
        <v>19.285714285714285</v>
      </c>
      <c r="X116" s="4">
        <v>62966.5</v>
      </c>
      <c r="Y116" s="4">
        <f t="shared" si="11"/>
        <v>3688.7999999999997</v>
      </c>
      <c r="AA116" s="14">
        <v>8.1217682184677304</v>
      </c>
    </row>
    <row r="117" spans="1:27" s="4" customFormat="1" x14ac:dyDescent="0.25">
      <c r="A117" s="69"/>
      <c r="B117" s="5"/>
      <c r="C117" s="6">
        <v>41995</v>
      </c>
      <c r="D117" s="4">
        <v>9.6999999999999993</v>
      </c>
      <c r="E117" s="4">
        <v>7.5</v>
      </c>
      <c r="F117" s="4">
        <v>10.6</v>
      </c>
      <c r="G117" s="4">
        <v>1227.0999999999997</v>
      </c>
      <c r="H117" s="4">
        <f t="shared" si="10"/>
        <v>114.9</v>
      </c>
      <c r="J117" s="4">
        <v>0</v>
      </c>
      <c r="K117" s="4">
        <v>211.29999999999998</v>
      </c>
      <c r="L117" s="4">
        <v>0.6</v>
      </c>
      <c r="M117" s="4">
        <v>132.20000000000002</v>
      </c>
      <c r="N117" s="8">
        <v>-0.6</v>
      </c>
      <c r="O117" s="4">
        <f t="shared" si="7"/>
        <v>124.00000000000001</v>
      </c>
      <c r="P117" s="4">
        <v>112</v>
      </c>
      <c r="Q117" s="4">
        <v>1</v>
      </c>
      <c r="R117" s="9">
        <f t="shared" si="5"/>
        <v>0.6</v>
      </c>
      <c r="S117" s="9">
        <f t="shared" si="6"/>
        <v>-0.6</v>
      </c>
      <c r="T117" s="9">
        <f t="shared" si="8"/>
        <v>179.49506249999996</v>
      </c>
      <c r="V117" s="22">
        <v>79.5</v>
      </c>
      <c r="W117" s="4">
        <v>8.1958762886597949</v>
      </c>
      <c r="X117" s="4">
        <v>63046</v>
      </c>
      <c r="Y117" s="4">
        <f t="shared" si="11"/>
        <v>3768.2999999999997</v>
      </c>
      <c r="AA117" s="14">
        <v>8.1201311973919896</v>
      </c>
    </row>
    <row r="118" spans="1:27" s="4" customFormat="1" x14ac:dyDescent="0.25">
      <c r="A118" s="69"/>
      <c r="B118" s="5"/>
      <c r="C118" s="6">
        <v>41996</v>
      </c>
      <c r="D118" s="4">
        <v>9.6999999999999993</v>
      </c>
      <c r="E118" s="4">
        <v>9.1999999999999993</v>
      </c>
      <c r="F118" s="4">
        <v>10.6</v>
      </c>
      <c r="G118" s="4">
        <v>1236.7999999999997</v>
      </c>
      <c r="H118" s="4">
        <f t="shared" si="10"/>
        <v>124.60000000000001</v>
      </c>
      <c r="J118" s="4">
        <v>0</v>
      </c>
      <c r="K118" s="4">
        <v>211.29999999999998</v>
      </c>
      <c r="L118" s="4">
        <v>0.8</v>
      </c>
      <c r="M118" s="4">
        <v>133.00000000000003</v>
      </c>
      <c r="N118" s="8">
        <v>-0.8</v>
      </c>
      <c r="O118" s="4">
        <f t="shared" si="7"/>
        <v>123.20000000000002</v>
      </c>
      <c r="P118" s="4">
        <v>113</v>
      </c>
      <c r="Q118" s="4">
        <v>1</v>
      </c>
      <c r="R118" s="9">
        <f t="shared" si="5"/>
        <v>0.8</v>
      </c>
      <c r="S118" s="9">
        <f t="shared" si="6"/>
        <v>-0.8</v>
      </c>
      <c r="T118" s="9">
        <f t="shared" si="8"/>
        <v>178.69506249999995</v>
      </c>
      <c r="V118" s="10">
        <v>127.2</v>
      </c>
      <c r="W118" s="4">
        <v>13.113402061855671</v>
      </c>
      <c r="X118" s="4">
        <v>63173.2</v>
      </c>
      <c r="Y118" s="4">
        <f t="shared" si="11"/>
        <v>3895.4999999999995</v>
      </c>
      <c r="AA118" s="14">
        <v>8.1201566253249204</v>
      </c>
    </row>
    <row r="119" spans="1:27" s="4" customFormat="1" x14ac:dyDescent="0.25">
      <c r="A119" s="69"/>
      <c r="B119" s="5"/>
      <c r="C119" s="6">
        <v>41997</v>
      </c>
      <c r="D119" s="4">
        <v>8.1</v>
      </c>
      <c r="E119" s="4">
        <v>7.7</v>
      </c>
      <c r="F119" s="4">
        <v>10.3</v>
      </c>
      <c r="G119" s="4">
        <v>1244.8999999999996</v>
      </c>
      <c r="H119" s="4">
        <f t="shared" si="10"/>
        <v>132.70000000000002</v>
      </c>
      <c r="J119" s="4">
        <v>1.2</v>
      </c>
      <c r="K119" s="4">
        <v>212.49999999999997</v>
      </c>
      <c r="L119" s="4">
        <v>1.1000000000000001</v>
      </c>
      <c r="M119" s="4">
        <v>134.10000000000002</v>
      </c>
      <c r="N119" s="4">
        <v>9.9999999999999867E-2</v>
      </c>
      <c r="O119" s="4">
        <f t="shared" si="7"/>
        <v>123.30000000000001</v>
      </c>
      <c r="P119" s="4">
        <v>114</v>
      </c>
      <c r="Q119" s="4">
        <v>1</v>
      </c>
      <c r="R119" s="9">
        <f t="shared" si="5"/>
        <v>1.1000000000000001</v>
      </c>
      <c r="S119" s="9">
        <f t="shared" si="6"/>
        <v>9.9999999999999867E-2</v>
      </c>
      <c r="T119" s="9">
        <f t="shared" si="8"/>
        <v>178.79506249999994</v>
      </c>
      <c r="V119" s="10">
        <v>122.8</v>
      </c>
      <c r="W119" s="4">
        <v>15.160493827160494</v>
      </c>
      <c r="X119" s="4">
        <v>63296</v>
      </c>
      <c r="Y119" s="4">
        <f t="shared" si="11"/>
        <v>4018.2999999999997</v>
      </c>
      <c r="AA119" s="14">
        <v>8.1218450858009206</v>
      </c>
    </row>
    <row r="120" spans="1:27" s="4" customFormat="1" x14ac:dyDescent="0.25">
      <c r="A120" s="69"/>
      <c r="B120" s="19"/>
      <c r="C120" s="6">
        <v>41998</v>
      </c>
      <c r="D120" s="13">
        <v>4.3</v>
      </c>
      <c r="E120" s="13">
        <v>3.4</v>
      </c>
      <c r="F120" s="4">
        <v>7.5</v>
      </c>
      <c r="G120" s="4">
        <v>1249.1999999999996</v>
      </c>
      <c r="H120" s="4">
        <f t="shared" si="10"/>
        <v>137.00000000000003</v>
      </c>
      <c r="J120" s="4">
        <v>0</v>
      </c>
      <c r="K120" s="4">
        <v>212.49999999999997</v>
      </c>
      <c r="L120" s="4">
        <v>0.9</v>
      </c>
      <c r="M120" s="4">
        <v>135.00000000000003</v>
      </c>
      <c r="N120" s="8">
        <v>-0.9</v>
      </c>
      <c r="O120" s="4">
        <f t="shared" si="7"/>
        <v>122.4</v>
      </c>
      <c r="P120" s="4">
        <v>115</v>
      </c>
      <c r="Q120" s="4">
        <v>1</v>
      </c>
      <c r="R120" s="9">
        <f t="shared" si="5"/>
        <v>0.9</v>
      </c>
      <c r="S120" s="9">
        <f t="shared" si="6"/>
        <v>-0.9</v>
      </c>
      <c r="T120" s="9">
        <f t="shared" si="8"/>
        <v>177.89506249999994</v>
      </c>
      <c r="V120" s="10">
        <v>394.2</v>
      </c>
      <c r="W120" s="4">
        <v>91.674418604651166</v>
      </c>
      <c r="X120" s="4">
        <v>63690.2</v>
      </c>
      <c r="Y120" s="4">
        <f t="shared" si="11"/>
        <v>4412.5</v>
      </c>
      <c r="AA120" s="14">
        <v>8.1251950902625492</v>
      </c>
    </row>
    <row r="121" spans="1:27" s="4" customFormat="1" x14ac:dyDescent="0.25">
      <c r="A121" s="69"/>
      <c r="B121" s="19"/>
      <c r="C121" s="6">
        <v>41999</v>
      </c>
      <c r="D121" s="13">
        <v>2.4</v>
      </c>
      <c r="E121" s="13">
        <v>0.3</v>
      </c>
      <c r="F121" s="13">
        <v>3.8</v>
      </c>
      <c r="G121" s="4">
        <v>1251.5999999999997</v>
      </c>
      <c r="H121" s="4">
        <f t="shared" si="10"/>
        <v>139.40000000000003</v>
      </c>
      <c r="J121" s="4">
        <v>11</v>
      </c>
      <c r="K121" s="4">
        <v>223.49999999999997</v>
      </c>
      <c r="L121" s="4">
        <v>0.3</v>
      </c>
      <c r="M121" s="4">
        <v>135.30000000000004</v>
      </c>
      <c r="N121" s="4">
        <v>10.7</v>
      </c>
      <c r="O121" s="4">
        <f t="shared" si="7"/>
        <v>133.1</v>
      </c>
      <c r="P121" s="4">
        <v>116</v>
      </c>
      <c r="Q121" s="4">
        <v>1</v>
      </c>
      <c r="R121" s="9">
        <f t="shared" si="5"/>
        <v>0.3</v>
      </c>
      <c r="S121" s="9">
        <f t="shared" si="6"/>
        <v>10.7</v>
      </c>
      <c r="T121" s="9">
        <f t="shared" si="8"/>
        <v>188.59506249999993</v>
      </c>
      <c r="V121" s="10">
        <v>247.4</v>
      </c>
      <c r="W121" s="4">
        <v>103.08333333333334</v>
      </c>
      <c r="X121" s="4">
        <v>63937.599999999999</v>
      </c>
      <c r="Y121" s="4">
        <f t="shared" si="11"/>
        <v>4659.8999999999996</v>
      </c>
      <c r="AA121" s="14">
        <v>8.1302030848504891</v>
      </c>
    </row>
    <row r="122" spans="1:27" s="4" customFormat="1" x14ac:dyDescent="0.25">
      <c r="A122" s="69"/>
      <c r="B122" s="19"/>
      <c r="C122" s="6">
        <v>42000</v>
      </c>
      <c r="D122" s="13">
        <v>3</v>
      </c>
      <c r="E122" s="13">
        <v>2.2999999999999998</v>
      </c>
      <c r="F122" s="13">
        <v>4.3</v>
      </c>
      <c r="G122" s="4">
        <v>1254.5999999999997</v>
      </c>
      <c r="H122" s="4">
        <f t="shared" si="10"/>
        <v>142.40000000000003</v>
      </c>
      <c r="J122" s="4">
        <v>2.2000000000000002</v>
      </c>
      <c r="K122" s="4">
        <v>225.69999999999996</v>
      </c>
      <c r="L122" s="4">
        <v>0.6</v>
      </c>
      <c r="M122" s="4">
        <v>135.90000000000003</v>
      </c>
      <c r="N122" s="4">
        <v>1.6</v>
      </c>
      <c r="O122" s="4">
        <f t="shared" si="7"/>
        <v>134.69999999999999</v>
      </c>
      <c r="P122" s="4">
        <v>117</v>
      </c>
      <c r="Q122" s="4">
        <v>1</v>
      </c>
      <c r="R122" s="9">
        <f t="shared" si="5"/>
        <v>0.6</v>
      </c>
      <c r="S122" s="9">
        <f t="shared" si="6"/>
        <v>1.6</v>
      </c>
      <c r="T122" s="9">
        <f t="shared" si="8"/>
        <v>189.6</v>
      </c>
      <c r="V122" s="22">
        <v>81</v>
      </c>
      <c r="W122" s="4">
        <v>27</v>
      </c>
      <c r="X122" s="4">
        <v>64018.6</v>
      </c>
      <c r="Y122" s="4">
        <f t="shared" si="11"/>
        <v>4740.8999999999996</v>
      </c>
      <c r="AA122" s="14">
        <v>8.1368634666289203</v>
      </c>
    </row>
    <row r="123" spans="1:27" s="4" customFormat="1" x14ac:dyDescent="0.25">
      <c r="A123" s="69"/>
      <c r="B123" s="19"/>
      <c r="C123" s="6">
        <v>42001</v>
      </c>
      <c r="D123" s="21">
        <v>-1.7</v>
      </c>
      <c r="E123" s="21">
        <v>-2</v>
      </c>
      <c r="F123" s="21">
        <v>-1.3</v>
      </c>
      <c r="G123" s="4">
        <v>1254.5999999999999</v>
      </c>
      <c r="H123" s="4">
        <v>142.4</v>
      </c>
      <c r="J123" s="4">
        <v>0</v>
      </c>
      <c r="K123" s="4">
        <v>225.69999999999996</v>
      </c>
      <c r="L123" s="4">
        <v>0.7</v>
      </c>
      <c r="M123" s="4">
        <v>136.60000000000002</v>
      </c>
      <c r="N123" s="8">
        <v>-0.7</v>
      </c>
      <c r="O123" s="4">
        <f t="shared" si="7"/>
        <v>134</v>
      </c>
      <c r="P123" s="4">
        <v>118</v>
      </c>
      <c r="Q123" s="4">
        <v>1</v>
      </c>
      <c r="R123" s="9">
        <f t="shared" si="5"/>
        <v>0.7</v>
      </c>
      <c r="S123" s="9">
        <f t="shared" si="6"/>
        <v>-0.7</v>
      </c>
      <c r="T123" s="9">
        <f t="shared" si="8"/>
        <v>188.9</v>
      </c>
      <c r="V123" s="10">
        <v>561.5</v>
      </c>
      <c r="W123" s="4">
        <v>-330.29411764705884</v>
      </c>
      <c r="X123" s="4">
        <v>64580.1</v>
      </c>
      <c r="Y123" s="4">
        <f t="shared" si="11"/>
        <v>5302.4</v>
      </c>
      <c r="AA123" s="14">
        <v>8.1451686090903195</v>
      </c>
    </row>
    <row r="124" spans="1:27" s="4" customFormat="1" x14ac:dyDescent="0.25">
      <c r="A124" s="69"/>
      <c r="B124" s="19"/>
      <c r="C124" s="6">
        <v>42002</v>
      </c>
      <c r="D124" s="13">
        <v>0.4</v>
      </c>
      <c r="E124" s="21">
        <v>-3.8</v>
      </c>
      <c r="F124" s="13">
        <v>2.6</v>
      </c>
      <c r="G124" s="4">
        <v>1255</v>
      </c>
      <c r="H124" s="4">
        <f t="shared" si="10"/>
        <v>142.80000000000001</v>
      </c>
      <c r="J124" s="4">
        <v>0</v>
      </c>
      <c r="K124" s="4">
        <v>225.69999999999996</v>
      </c>
      <c r="L124" s="4">
        <v>0.2</v>
      </c>
      <c r="M124" s="4">
        <v>136.80000000000001</v>
      </c>
      <c r="N124" s="8">
        <v>-0.2</v>
      </c>
      <c r="O124" s="4">
        <f t="shared" si="7"/>
        <v>133.80000000000001</v>
      </c>
      <c r="P124" s="4">
        <v>119</v>
      </c>
      <c r="Q124" s="4">
        <v>1</v>
      </c>
      <c r="R124" s="9">
        <f t="shared" si="5"/>
        <v>0.2</v>
      </c>
      <c r="S124" s="9">
        <f t="shared" si="6"/>
        <v>-0.2</v>
      </c>
      <c r="T124" s="9">
        <f t="shared" si="8"/>
        <v>188.70000000000002</v>
      </c>
      <c r="V124" s="10">
        <v>286.7</v>
      </c>
      <c r="W124" s="4">
        <v>716.74999999999989</v>
      </c>
      <c r="X124" s="4">
        <v>64866.799999999996</v>
      </c>
      <c r="Y124" s="4">
        <f t="shared" si="11"/>
        <v>5589.0999999999995</v>
      </c>
      <c r="AA124" s="14">
        <v>8.1551088966962393</v>
      </c>
    </row>
    <row r="125" spans="1:27" s="4" customFormat="1" x14ac:dyDescent="0.25">
      <c r="A125" s="69"/>
      <c r="B125" s="19"/>
      <c r="C125" s="6">
        <v>42003</v>
      </c>
      <c r="D125" s="13">
        <v>1.7</v>
      </c>
      <c r="E125" s="21">
        <v>-0.2</v>
      </c>
      <c r="F125" s="13">
        <v>2.7</v>
      </c>
      <c r="G125" s="4">
        <v>1256.7</v>
      </c>
      <c r="H125" s="4">
        <f t="shared" si="10"/>
        <v>144.5</v>
      </c>
      <c r="J125" s="4">
        <v>0.1</v>
      </c>
      <c r="K125" s="4">
        <v>225.79999999999995</v>
      </c>
      <c r="L125" s="4">
        <v>0.2</v>
      </c>
      <c r="M125" s="4">
        <v>137</v>
      </c>
      <c r="N125" s="8">
        <v>-0.1</v>
      </c>
      <c r="O125" s="4">
        <f t="shared" si="7"/>
        <v>133.70000000000002</v>
      </c>
      <c r="P125" s="4">
        <v>120</v>
      </c>
      <c r="Q125" s="4">
        <v>1</v>
      </c>
      <c r="R125" s="9">
        <f t="shared" si="5"/>
        <v>0.2</v>
      </c>
      <c r="S125" s="9">
        <f t="shared" si="6"/>
        <v>-0.1</v>
      </c>
      <c r="T125" s="9">
        <f t="shared" si="8"/>
        <v>188.60000000000002</v>
      </c>
      <c r="V125" s="10">
        <v>191.4</v>
      </c>
      <c r="W125" s="4">
        <v>112.58823529411765</v>
      </c>
      <c r="X125" s="4">
        <v>65058.2</v>
      </c>
      <c r="Y125" s="4">
        <f t="shared" si="11"/>
        <v>5780.4999999999991</v>
      </c>
      <c r="AA125" s="14">
        <v>8.1666727681266398</v>
      </c>
    </row>
    <row r="126" spans="1:27" s="4" customFormat="1" x14ac:dyDescent="0.25">
      <c r="A126" s="69"/>
      <c r="B126" s="19"/>
      <c r="C126" s="6">
        <v>42004</v>
      </c>
      <c r="D126" s="13">
        <v>2</v>
      </c>
      <c r="E126" s="13">
        <v>1.4</v>
      </c>
      <c r="F126" s="13">
        <v>4.3</v>
      </c>
      <c r="G126" s="4">
        <v>1258.7</v>
      </c>
      <c r="H126" s="4">
        <f t="shared" si="10"/>
        <v>146.5</v>
      </c>
      <c r="J126" s="4">
        <v>0</v>
      </c>
      <c r="K126" s="4">
        <v>225.79999999999995</v>
      </c>
      <c r="L126" s="4">
        <v>0.6</v>
      </c>
      <c r="M126" s="4">
        <v>137.6</v>
      </c>
      <c r="N126" s="8">
        <v>-0.6</v>
      </c>
      <c r="O126" s="4">
        <f t="shared" si="7"/>
        <v>133.10000000000002</v>
      </c>
      <c r="P126" s="4">
        <v>121</v>
      </c>
      <c r="Q126" s="4">
        <v>1</v>
      </c>
      <c r="R126" s="9">
        <f t="shared" si="5"/>
        <v>0.6</v>
      </c>
      <c r="S126" s="9">
        <f t="shared" si="6"/>
        <v>-0.6</v>
      </c>
      <c r="T126" s="9">
        <f t="shared" si="8"/>
        <v>188.00000000000003</v>
      </c>
      <c r="V126" s="10">
        <v>288.10000000000002</v>
      </c>
      <c r="W126" s="4">
        <v>144.05000000000001</v>
      </c>
      <c r="X126" s="4">
        <v>65346.299999999996</v>
      </c>
      <c r="Y126" s="4">
        <f t="shared" si="11"/>
        <v>6068.5999999999995</v>
      </c>
      <c r="AA126" s="14">
        <v>8.1798467678323803</v>
      </c>
    </row>
    <row r="127" spans="1:27" s="4" customFormat="1" x14ac:dyDescent="0.25">
      <c r="A127" s="69"/>
      <c r="B127" s="19"/>
      <c r="C127" s="6">
        <v>42005</v>
      </c>
      <c r="D127" s="13">
        <v>1.3</v>
      </c>
      <c r="E127" s="21">
        <v>-1.2</v>
      </c>
      <c r="F127" s="4">
        <v>6.6</v>
      </c>
      <c r="G127" s="4">
        <v>1260</v>
      </c>
      <c r="H127" s="4">
        <f t="shared" si="10"/>
        <v>147.80000000000001</v>
      </c>
      <c r="J127" s="4">
        <v>0.9</v>
      </c>
      <c r="K127" s="4">
        <v>226.69999999999996</v>
      </c>
      <c r="L127" s="4">
        <v>0.8</v>
      </c>
      <c r="M127" s="4">
        <v>138.4</v>
      </c>
      <c r="N127" s="4">
        <v>9.9999999999999978E-2</v>
      </c>
      <c r="O127" s="4">
        <f t="shared" si="7"/>
        <v>133.20000000000002</v>
      </c>
      <c r="P127" s="4">
        <v>122</v>
      </c>
      <c r="Q127" s="4">
        <v>1</v>
      </c>
      <c r="R127" s="9">
        <f t="shared" si="5"/>
        <v>0.8</v>
      </c>
      <c r="S127" s="9">
        <f t="shared" si="6"/>
        <v>9.9999999999999978E-2</v>
      </c>
      <c r="T127" s="9">
        <f t="shared" si="8"/>
        <v>188.10000000000002</v>
      </c>
      <c r="V127" s="10">
        <v>369</v>
      </c>
      <c r="W127" s="4">
        <v>283.84615384615381</v>
      </c>
      <c r="X127" s="4">
        <v>65715.299999999988</v>
      </c>
      <c r="Y127" s="4">
        <f t="shared" si="11"/>
        <v>6437.5999999999995</v>
      </c>
      <c r="AA127" s="14">
        <v>8.1993783370637594</v>
      </c>
    </row>
    <row r="128" spans="1:27" s="4" customFormat="1" x14ac:dyDescent="0.25">
      <c r="A128" s="69"/>
      <c r="B128" s="5"/>
      <c r="C128" s="6">
        <v>42006</v>
      </c>
      <c r="D128" s="4">
        <v>5.6</v>
      </c>
      <c r="E128" s="13">
        <v>2</v>
      </c>
      <c r="F128" s="4">
        <v>10</v>
      </c>
      <c r="G128" s="4">
        <v>1265.5999999999999</v>
      </c>
      <c r="H128" s="4">
        <f t="shared" si="10"/>
        <v>153.4</v>
      </c>
      <c r="J128" s="4">
        <v>0.3</v>
      </c>
      <c r="K128" s="4">
        <v>226.99999999999997</v>
      </c>
      <c r="L128" s="4">
        <v>0.7</v>
      </c>
      <c r="M128" s="4">
        <v>139.1</v>
      </c>
      <c r="N128" s="8">
        <v>-0.39999999999999997</v>
      </c>
      <c r="O128" s="4">
        <f t="shared" si="7"/>
        <v>132.80000000000001</v>
      </c>
      <c r="P128" s="4">
        <v>123</v>
      </c>
      <c r="Q128" s="4">
        <v>1</v>
      </c>
      <c r="R128" s="9">
        <f t="shared" si="5"/>
        <v>0.7</v>
      </c>
      <c r="S128" s="9">
        <f t="shared" si="6"/>
        <v>-0.39999999999999997</v>
      </c>
      <c r="T128" s="9">
        <f t="shared" si="8"/>
        <v>187.70000000000002</v>
      </c>
      <c r="V128" s="10">
        <v>280.89999999999998</v>
      </c>
      <c r="W128" s="4">
        <v>50.160714285714285</v>
      </c>
      <c r="X128" s="4">
        <v>65996.199999999983</v>
      </c>
      <c r="Y128" s="4">
        <f t="shared" si="11"/>
        <v>6718.4999999999991</v>
      </c>
      <c r="AA128" s="14">
        <v>8.2161970055471301</v>
      </c>
    </row>
    <row r="129" spans="1:27" s="4" customFormat="1" x14ac:dyDescent="0.25">
      <c r="A129" s="69"/>
      <c r="B129" s="5"/>
      <c r="C129" s="6">
        <v>42007</v>
      </c>
      <c r="D129" s="4">
        <v>5.4</v>
      </c>
      <c r="E129" s="13">
        <v>0.8</v>
      </c>
      <c r="F129" s="4">
        <v>11.7</v>
      </c>
      <c r="G129" s="4">
        <v>1271</v>
      </c>
      <c r="H129" s="4">
        <f t="shared" si="10"/>
        <v>158.80000000000001</v>
      </c>
      <c r="J129" s="4">
        <v>10.1</v>
      </c>
      <c r="K129" s="4">
        <v>237.09999999999997</v>
      </c>
      <c r="L129" s="4">
        <v>0.5</v>
      </c>
      <c r="M129" s="4">
        <v>139.6</v>
      </c>
      <c r="N129" s="4">
        <v>9.6</v>
      </c>
      <c r="O129" s="4">
        <f t="shared" si="7"/>
        <v>142.4</v>
      </c>
      <c r="P129" s="4">
        <v>124</v>
      </c>
      <c r="Q129" s="4">
        <v>1</v>
      </c>
      <c r="R129" s="9">
        <f t="shared" si="5"/>
        <v>0.5</v>
      </c>
      <c r="S129" s="9">
        <f t="shared" si="6"/>
        <v>9.6</v>
      </c>
      <c r="T129" s="9">
        <f t="shared" si="8"/>
        <v>189.6</v>
      </c>
      <c r="V129" s="22">
        <v>62.8</v>
      </c>
      <c r="W129" s="4">
        <v>11.629629629629628</v>
      </c>
      <c r="X129" s="4">
        <v>66058.999999999985</v>
      </c>
      <c r="Y129" s="4">
        <f t="shared" si="11"/>
        <v>6781.2999999999993</v>
      </c>
      <c r="AA129" s="14">
        <v>8.2345687255759508</v>
      </c>
    </row>
    <row r="130" spans="1:27" s="4" customFormat="1" x14ac:dyDescent="0.25">
      <c r="A130" s="69"/>
      <c r="B130" s="19"/>
      <c r="C130" s="6">
        <v>42008</v>
      </c>
      <c r="D130" s="13">
        <v>2.7</v>
      </c>
      <c r="E130" s="13">
        <v>1.3</v>
      </c>
      <c r="F130" s="4">
        <v>5.9</v>
      </c>
      <c r="G130" s="4">
        <v>1273.7</v>
      </c>
      <c r="H130" s="4">
        <f t="shared" si="10"/>
        <v>161.5</v>
      </c>
      <c r="J130" s="4">
        <v>0</v>
      </c>
      <c r="K130" s="4">
        <v>237.09999999999997</v>
      </c>
      <c r="L130" s="4">
        <v>0.5</v>
      </c>
      <c r="M130" s="4">
        <v>140.1</v>
      </c>
      <c r="N130" s="8">
        <v>-0.5</v>
      </c>
      <c r="O130" s="4">
        <f t="shared" si="7"/>
        <v>141.9</v>
      </c>
      <c r="P130" s="4">
        <v>125</v>
      </c>
      <c r="Q130" s="4">
        <v>1</v>
      </c>
      <c r="R130" s="9">
        <f t="shared" si="5"/>
        <v>0.5</v>
      </c>
      <c r="S130" s="9">
        <f t="shared" si="6"/>
        <v>-0.5</v>
      </c>
      <c r="T130" s="9">
        <f t="shared" si="8"/>
        <v>189.1</v>
      </c>
      <c r="V130" s="10">
        <v>386</v>
      </c>
      <c r="W130" s="4">
        <v>142.96296296296296</v>
      </c>
      <c r="X130" s="4">
        <v>66444.999999999985</v>
      </c>
      <c r="Y130" s="4">
        <f t="shared" si="11"/>
        <v>7167.2999999999993</v>
      </c>
      <c r="AA130" s="14">
        <v>8.2544726576602301</v>
      </c>
    </row>
    <row r="131" spans="1:27" s="4" customFormat="1" x14ac:dyDescent="0.25">
      <c r="A131" s="69"/>
      <c r="B131" s="19"/>
      <c r="C131" s="6">
        <v>42009</v>
      </c>
      <c r="D131" s="21">
        <v>-0.7</v>
      </c>
      <c r="E131" s="21">
        <v>-0.7</v>
      </c>
      <c r="F131" s="21">
        <v>-0.4</v>
      </c>
      <c r="G131" s="4">
        <v>1273.7</v>
      </c>
      <c r="H131" s="4">
        <v>161.5</v>
      </c>
      <c r="J131" s="4">
        <v>0.1</v>
      </c>
      <c r="K131" s="4">
        <v>237.19999999999996</v>
      </c>
      <c r="L131" s="4">
        <v>0.3</v>
      </c>
      <c r="M131" s="4">
        <v>140.4</v>
      </c>
      <c r="N131" s="8">
        <v>-0.19999999999999998</v>
      </c>
      <c r="O131" s="4">
        <f t="shared" si="7"/>
        <v>141.70000000000002</v>
      </c>
      <c r="P131" s="4">
        <v>126</v>
      </c>
      <c r="Q131" s="4">
        <v>1</v>
      </c>
      <c r="R131" s="9">
        <f t="shared" si="5"/>
        <v>0.3</v>
      </c>
      <c r="S131" s="9">
        <f t="shared" si="6"/>
        <v>-0.19999999999999998</v>
      </c>
      <c r="T131" s="9">
        <f t="shared" si="8"/>
        <v>188.9</v>
      </c>
      <c r="V131" s="10">
        <v>235.3</v>
      </c>
      <c r="W131" s="4">
        <v>-336.14285714285717</v>
      </c>
      <c r="X131" s="4">
        <v>66680.299999999988</v>
      </c>
      <c r="Y131" s="4">
        <f t="shared" si="11"/>
        <v>7402.5999999999995</v>
      </c>
      <c r="AA131" s="14">
        <v>8.2758864581092606</v>
      </c>
    </row>
    <row r="132" spans="1:27" s="4" customFormat="1" x14ac:dyDescent="0.25">
      <c r="A132" s="69"/>
      <c r="B132" s="19"/>
      <c r="C132" s="6">
        <v>42010</v>
      </c>
      <c r="D132" s="13">
        <v>0.6</v>
      </c>
      <c r="E132" s="21">
        <v>-1.7</v>
      </c>
      <c r="F132" s="13">
        <v>2.6</v>
      </c>
      <c r="G132" s="4">
        <v>1274.3</v>
      </c>
      <c r="H132" s="4">
        <f t="shared" si="10"/>
        <v>162.1</v>
      </c>
      <c r="J132" s="4">
        <v>0.1</v>
      </c>
      <c r="K132" s="4">
        <v>237.29999999999995</v>
      </c>
      <c r="L132" s="4">
        <v>0.2</v>
      </c>
      <c r="M132" s="4">
        <v>140.6</v>
      </c>
      <c r="N132" s="8">
        <v>-0.1</v>
      </c>
      <c r="O132" s="4">
        <f t="shared" si="7"/>
        <v>141.60000000000002</v>
      </c>
      <c r="P132" s="4">
        <v>127</v>
      </c>
      <c r="Q132" s="4">
        <v>1</v>
      </c>
      <c r="R132" s="9">
        <f t="shared" si="5"/>
        <v>0.2</v>
      </c>
      <c r="S132" s="9">
        <f t="shared" si="6"/>
        <v>-0.1</v>
      </c>
      <c r="T132" s="9">
        <f t="shared" si="8"/>
        <v>188.8</v>
      </c>
      <c r="V132" s="10">
        <v>208.1</v>
      </c>
      <c r="W132" s="4">
        <v>346.83333333333331</v>
      </c>
      <c r="X132" s="4">
        <v>66888.399999999994</v>
      </c>
      <c r="Y132" s="4">
        <f t="shared" si="11"/>
        <v>7610.7</v>
      </c>
      <c r="AA132" s="14">
        <v>8.2987863696968294</v>
      </c>
    </row>
    <row r="133" spans="1:27" s="4" customFormat="1" x14ac:dyDescent="0.25">
      <c r="A133" s="69"/>
      <c r="B133" s="19"/>
      <c r="C133" s="6">
        <v>42011</v>
      </c>
      <c r="D133" s="13">
        <v>1.7</v>
      </c>
      <c r="E133" s="21">
        <v>-0.1</v>
      </c>
      <c r="F133" s="4">
        <v>7.1</v>
      </c>
      <c r="G133" s="4">
        <v>1276</v>
      </c>
      <c r="H133" s="4">
        <f t="shared" si="10"/>
        <v>163.79999999999998</v>
      </c>
      <c r="J133" s="4">
        <v>2.5</v>
      </c>
      <c r="K133" s="4">
        <v>239.79999999999995</v>
      </c>
      <c r="L133" s="4">
        <v>0.7</v>
      </c>
      <c r="M133" s="4">
        <v>141.29999999999998</v>
      </c>
      <c r="N133" s="4">
        <v>1.8</v>
      </c>
      <c r="O133" s="4">
        <f t="shared" si="7"/>
        <v>143.40000000000003</v>
      </c>
      <c r="P133" s="4">
        <v>128</v>
      </c>
      <c r="Q133" s="4">
        <v>1</v>
      </c>
      <c r="R133" s="9">
        <f t="shared" si="5"/>
        <v>0.7</v>
      </c>
      <c r="S133" s="9">
        <f t="shared" si="6"/>
        <v>1.8</v>
      </c>
      <c r="T133" s="9">
        <f t="shared" si="8"/>
        <v>189.6</v>
      </c>
      <c r="V133" s="10">
        <v>165.7</v>
      </c>
      <c r="W133" s="4">
        <v>97.470588235294116</v>
      </c>
      <c r="X133" s="4">
        <v>67054.099999999991</v>
      </c>
      <c r="Y133" s="4">
        <f t="shared" si="11"/>
        <v>7776.4</v>
      </c>
      <c r="AA133" s="14">
        <v>8.3231473160309903</v>
      </c>
    </row>
    <row r="134" spans="1:27" s="4" customFormat="1" x14ac:dyDescent="0.25">
      <c r="A134" s="69"/>
      <c r="B134" s="5"/>
      <c r="C134" s="6">
        <v>42012</v>
      </c>
      <c r="D134" s="4">
        <v>7.1</v>
      </c>
      <c r="E134" s="13">
        <v>3.2</v>
      </c>
      <c r="F134" s="4">
        <v>9.1</v>
      </c>
      <c r="G134" s="4">
        <v>1283.0999999999999</v>
      </c>
      <c r="H134" s="4">
        <f t="shared" si="10"/>
        <v>170.89999999999998</v>
      </c>
      <c r="J134" s="4">
        <v>7.3</v>
      </c>
      <c r="K134" s="4">
        <v>247.09999999999997</v>
      </c>
      <c r="L134" s="4">
        <v>0.1</v>
      </c>
      <c r="M134" s="4">
        <v>141.39999999999998</v>
      </c>
      <c r="N134" s="4">
        <v>7.2</v>
      </c>
      <c r="O134" s="4">
        <f t="shared" si="7"/>
        <v>150.60000000000002</v>
      </c>
      <c r="P134" s="4">
        <v>129</v>
      </c>
      <c r="Q134" s="4">
        <v>1</v>
      </c>
      <c r="R134" s="9">
        <f t="shared" ref="R134:R197" si="12">Q134*L134</f>
        <v>0.1</v>
      </c>
      <c r="S134" s="9">
        <f t="shared" ref="S134:S197" si="13">J134-R134</f>
        <v>7.2</v>
      </c>
      <c r="T134" s="9">
        <f t="shared" si="8"/>
        <v>189.6</v>
      </c>
      <c r="V134" s="10">
        <v>94.9</v>
      </c>
      <c r="W134" s="4">
        <v>13.366197183098594</v>
      </c>
      <c r="X134" s="4">
        <v>67148.999999999985</v>
      </c>
      <c r="Y134" s="4">
        <f t="shared" si="11"/>
        <v>7871.2999999999993</v>
      </c>
      <c r="AA134" s="14">
        <v>8.3489429988931008</v>
      </c>
    </row>
    <row r="135" spans="1:27" s="4" customFormat="1" x14ac:dyDescent="0.25">
      <c r="A135" s="69"/>
      <c r="B135" s="5"/>
      <c r="C135" s="6">
        <v>42013</v>
      </c>
      <c r="D135" s="4">
        <v>10.5</v>
      </c>
      <c r="E135" s="4">
        <v>6.4</v>
      </c>
      <c r="F135" s="4">
        <v>14.5</v>
      </c>
      <c r="G135" s="4">
        <v>1293.5999999999999</v>
      </c>
      <c r="H135" s="4">
        <f t="shared" si="10"/>
        <v>181.39999999999998</v>
      </c>
      <c r="J135" s="4">
        <v>0.8</v>
      </c>
      <c r="K135" s="4">
        <v>247.89999999999998</v>
      </c>
      <c r="L135" s="4">
        <v>0.8</v>
      </c>
      <c r="M135" s="4">
        <v>142.19999999999999</v>
      </c>
      <c r="N135" s="4">
        <v>0</v>
      </c>
      <c r="O135" s="4">
        <f t="shared" si="7"/>
        <v>150.60000000000002</v>
      </c>
      <c r="P135" s="4">
        <v>130</v>
      </c>
      <c r="Q135" s="4">
        <v>1</v>
      </c>
      <c r="R135" s="9">
        <f t="shared" si="12"/>
        <v>0.8</v>
      </c>
      <c r="S135" s="9">
        <f t="shared" si="13"/>
        <v>0</v>
      </c>
      <c r="T135" s="9">
        <f t="shared" si="8"/>
        <v>189.6</v>
      </c>
      <c r="V135" s="10">
        <v>106.2</v>
      </c>
      <c r="W135" s="4">
        <v>10.114285714285714</v>
      </c>
      <c r="X135" s="4">
        <v>67255.199999999983</v>
      </c>
      <c r="Y135" s="4">
        <f t="shared" si="11"/>
        <v>7977.4999999999991</v>
      </c>
      <c r="AA135" s="14">
        <v>8.3761459978144099</v>
      </c>
    </row>
    <row r="136" spans="1:27" s="4" customFormat="1" x14ac:dyDescent="0.25">
      <c r="A136" s="69"/>
      <c r="B136" s="5"/>
      <c r="C136" s="6">
        <v>42014</v>
      </c>
      <c r="D136" s="4">
        <v>10.5</v>
      </c>
      <c r="E136" s="4">
        <v>8.4</v>
      </c>
      <c r="F136" s="4">
        <v>12.7</v>
      </c>
      <c r="G136" s="4">
        <v>1304.0999999999999</v>
      </c>
      <c r="H136" s="4">
        <f t="shared" si="10"/>
        <v>191.89999999999998</v>
      </c>
      <c r="J136" s="4">
        <v>2.2000000000000002</v>
      </c>
      <c r="K136" s="4">
        <v>250.09999999999997</v>
      </c>
      <c r="L136" s="4">
        <v>1.1000000000000001</v>
      </c>
      <c r="M136" s="4">
        <v>143.29999999999998</v>
      </c>
      <c r="N136" s="4">
        <v>1.1000000000000001</v>
      </c>
      <c r="O136" s="4">
        <f t="shared" ref="O136:O199" si="14">O135+N136</f>
        <v>151.70000000000002</v>
      </c>
      <c r="P136" s="4">
        <v>131</v>
      </c>
      <c r="Q136" s="4">
        <v>1</v>
      </c>
      <c r="R136" s="9">
        <f t="shared" si="12"/>
        <v>1.1000000000000001</v>
      </c>
      <c r="S136" s="9">
        <f t="shared" si="13"/>
        <v>1.1000000000000001</v>
      </c>
      <c r="T136" s="9">
        <f t="shared" ref="T136:T199" si="15">MIN(189.6,(T135+S136))</f>
        <v>189.6</v>
      </c>
      <c r="V136" s="10">
        <v>249.2</v>
      </c>
      <c r="W136" s="4">
        <v>23.733333333333331</v>
      </c>
      <c r="X136" s="4">
        <v>67504.39999999998</v>
      </c>
      <c r="Y136" s="4">
        <f t="shared" si="11"/>
        <v>8226.6999999999989</v>
      </c>
      <c r="AA136" s="14">
        <v>8.4047278711707794</v>
      </c>
    </row>
    <row r="137" spans="1:27" s="4" customFormat="1" x14ac:dyDescent="0.25">
      <c r="A137" s="69"/>
      <c r="B137" s="5"/>
      <c r="C137" s="6">
        <v>42015</v>
      </c>
      <c r="D137" s="4">
        <v>5.7</v>
      </c>
      <c r="E137" s="13">
        <v>3.7</v>
      </c>
      <c r="F137" s="4">
        <v>7.5</v>
      </c>
      <c r="G137" s="4">
        <v>1309.8</v>
      </c>
      <c r="H137" s="4">
        <f t="shared" si="10"/>
        <v>197.59999999999997</v>
      </c>
      <c r="J137" s="4">
        <v>0</v>
      </c>
      <c r="K137" s="4">
        <v>250.09999999999997</v>
      </c>
      <c r="L137" s="4">
        <v>1.3</v>
      </c>
      <c r="M137" s="4">
        <v>144.6</v>
      </c>
      <c r="N137" s="8">
        <v>-1.3</v>
      </c>
      <c r="O137" s="4">
        <f t="shared" si="14"/>
        <v>150.4</v>
      </c>
      <c r="P137" s="4">
        <v>132</v>
      </c>
      <c r="Q137" s="4">
        <v>1</v>
      </c>
      <c r="R137" s="9">
        <f t="shared" si="12"/>
        <v>1.3</v>
      </c>
      <c r="S137" s="9">
        <f t="shared" si="13"/>
        <v>-1.3</v>
      </c>
      <c r="T137" s="9">
        <f t="shared" si="15"/>
        <v>188.29999999999998</v>
      </c>
      <c r="V137" s="10">
        <v>507</v>
      </c>
      <c r="W137" s="4">
        <v>88.94736842105263</v>
      </c>
      <c r="X137" s="4">
        <v>68011.39999999998</v>
      </c>
      <c r="Y137" s="4">
        <f t="shared" si="11"/>
        <v>8733.6999999999989</v>
      </c>
      <c r="AA137" s="14">
        <v>8.4346592580961808</v>
      </c>
    </row>
    <row r="138" spans="1:27" s="4" customFormat="1" x14ac:dyDescent="0.25">
      <c r="A138" s="69"/>
      <c r="B138" s="5"/>
      <c r="C138" s="6">
        <v>42016</v>
      </c>
      <c r="D138" s="4">
        <v>7.9</v>
      </c>
      <c r="E138" s="4">
        <v>6.2</v>
      </c>
      <c r="F138" s="4">
        <v>9.3000000000000007</v>
      </c>
      <c r="G138" s="4">
        <v>1317.7</v>
      </c>
      <c r="H138" s="4">
        <f t="shared" si="10"/>
        <v>205.49999999999997</v>
      </c>
      <c r="J138" s="4">
        <v>0</v>
      </c>
      <c r="K138" s="4">
        <v>250.09999999999997</v>
      </c>
      <c r="L138" s="4">
        <v>1.2</v>
      </c>
      <c r="M138" s="4">
        <v>145.79999999999998</v>
      </c>
      <c r="N138" s="8">
        <v>-1.2</v>
      </c>
      <c r="O138" s="4">
        <f t="shared" si="14"/>
        <v>149.20000000000002</v>
      </c>
      <c r="P138" s="4">
        <v>133</v>
      </c>
      <c r="Q138" s="4">
        <v>1</v>
      </c>
      <c r="R138" s="9">
        <f t="shared" si="12"/>
        <v>1.2</v>
      </c>
      <c r="S138" s="9">
        <f t="shared" si="13"/>
        <v>-1.2</v>
      </c>
      <c r="T138" s="9">
        <f t="shared" si="15"/>
        <v>187.1</v>
      </c>
      <c r="V138" s="10">
        <v>109.3</v>
      </c>
      <c r="W138" s="4">
        <v>13.835443037974683</v>
      </c>
      <c r="X138" s="4">
        <v>68120.699999999983</v>
      </c>
      <c r="Y138" s="4">
        <f t="shared" si="11"/>
        <v>8842.9999999999982</v>
      </c>
      <c r="AA138" s="14">
        <v>8.4659099805428095</v>
      </c>
    </row>
    <row r="139" spans="1:27" s="4" customFormat="1" x14ac:dyDescent="0.25">
      <c r="A139" s="69"/>
      <c r="B139" s="5"/>
      <c r="C139" s="6">
        <v>42017</v>
      </c>
      <c r="D139" s="4">
        <v>8.1</v>
      </c>
      <c r="E139" s="4">
        <v>7</v>
      </c>
      <c r="F139" s="4">
        <v>9.5</v>
      </c>
      <c r="G139" s="4">
        <v>1325.8</v>
      </c>
      <c r="H139" s="4">
        <f t="shared" si="10"/>
        <v>213.59999999999997</v>
      </c>
      <c r="J139" s="4">
        <v>2.2999999999999998</v>
      </c>
      <c r="K139" s="4">
        <v>252.39999999999998</v>
      </c>
      <c r="L139" s="4">
        <v>0.8</v>
      </c>
      <c r="M139" s="4">
        <v>146.6</v>
      </c>
      <c r="N139" s="4">
        <v>1.4999999999999998</v>
      </c>
      <c r="O139" s="4">
        <f t="shared" si="14"/>
        <v>150.70000000000002</v>
      </c>
      <c r="P139" s="4">
        <v>134</v>
      </c>
      <c r="Q139" s="4">
        <v>1</v>
      </c>
      <c r="R139" s="9">
        <f t="shared" si="12"/>
        <v>0.8</v>
      </c>
      <c r="S139" s="9">
        <f t="shared" si="13"/>
        <v>1.4999999999999998</v>
      </c>
      <c r="T139" s="9">
        <f t="shared" si="15"/>
        <v>188.6</v>
      </c>
      <c r="V139" s="10">
        <v>136.5</v>
      </c>
      <c r="W139" s="4">
        <v>16.851851851851851</v>
      </c>
      <c r="X139" s="4">
        <v>68257.199999999983</v>
      </c>
      <c r="Y139" s="4">
        <f t="shared" si="11"/>
        <v>8979.4999999999982</v>
      </c>
      <c r="AA139" s="14">
        <v>8.4984491448488804</v>
      </c>
    </row>
    <row r="140" spans="1:27" s="4" customFormat="1" x14ac:dyDescent="0.25">
      <c r="A140" s="69"/>
      <c r="B140" s="19"/>
      <c r="C140" s="6">
        <v>42018</v>
      </c>
      <c r="D140" s="13">
        <v>4.5999999999999996</v>
      </c>
      <c r="E140" s="13">
        <v>3.5</v>
      </c>
      <c r="F140" s="4">
        <v>9.1999999999999993</v>
      </c>
      <c r="G140" s="4">
        <v>1330.3999999999999</v>
      </c>
      <c r="H140" s="4">
        <f t="shared" si="10"/>
        <v>218.19999999999996</v>
      </c>
      <c r="J140" s="4">
        <v>7.4</v>
      </c>
      <c r="K140" s="4">
        <v>259.79999999999995</v>
      </c>
      <c r="L140" s="4">
        <v>1.2</v>
      </c>
      <c r="M140" s="4">
        <v>147.79999999999998</v>
      </c>
      <c r="N140" s="4">
        <v>6.2</v>
      </c>
      <c r="O140" s="4">
        <f t="shared" si="14"/>
        <v>156.9</v>
      </c>
      <c r="P140" s="4">
        <v>135</v>
      </c>
      <c r="Q140" s="4">
        <v>1</v>
      </c>
      <c r="R140" s="9">
        <f t="shared" si="12"/>
        <v>1.2</v>
      </c>
      <c r="S140" s="9">
        <f t="shared" si="13"/>
        <v>6.2</v>
      </c>
      <c r="T140" s="9">
        <f t="shared" si="15"/>
        <v>189.6</v>
      </c>
      <c r="V140" s="10">
        <v>280.3</v>
      </c>
      <c r="W140" s="4">
        <v>60.934782608695656</v>
      </c>
      <c r="X140" s="4">
        <v>68537.499999999985</v>
      </c>
      <c r="Y140" s="4">
        <f t="shared" si="11"/>
        <v>9259.7999999999975</v>
      </c>
      <c r="AA140" s="14">
        <v>8.5322452422138895</v>
      </c>
    </row>
    <row r="141" spans="1:27" s="4" customFormat="1" x14ac:dyDescent="0.25">
      <c r="A141" s="69"/>
      <c r="B141" s="5"/>
      <c r="C141" s="6">
        <v>42019</v>
      </c>
      <c r="D141" s="4">
        <v>8.1</v>
      </c>
      <c r="E141" s="13">
        <v>4.5999999999999996</v>
      </c>
      <c r="F141" s="4">
        <v>9.8000000000000007</v>
      </c>
      <c r="G141" s="4">
        <v>1338.4999999999998</v>
      </c>
      <c r="H141" s="4">
        <f t="shared" si="10"/>
        <v>226.29999999999995</v>
      </c>
      <c r="J141" s="4">
        <v>2</v>
      </c>
      <c r="K141" s="4">
        <v>261.79999999999995</v>
      </c>
      <c r="L141" s="4">
        <v>0.7</v>
      </c>
      <c r="M141" s="4">
        <v>148.49999999999997</v>
      </c>
      <c r="N141" s="4">
        <v>1.3</v>
      </c>
      <c r="O141" s="4">
        <f t="shared" si="14"/>
        <v>158.20000000000002</v>
      </c>
      <c r="P141" s="4">
        <v>136</v>
      </c>
      <c r="Q141" s="4">
        <v>1</v>
      </c>
      <c r="R141" s="9">
        <f t="shared" si="12"/>
        <v>0.7</v>
      </c>
      <c r="S141" s="9">
        <f t="shared" si="13"/>
        <v>1.3</v>
      </c>
      <c r="T141" s="9">
        <f t="shared" si="15"/>
        <v>189.6</v>
      </c>
      <c r="V141" s="10">
        <v>120.2</v>
      </c>
      <c r="W141" s="4">
        <v>14.839506172839506</v>
      </c>
      <c r="X141" s="4">
        <v>68657.699999999983</v>
      </c>
      <c r="Y141" s="4">
        <f t="shared" si="11"/>
        <v>9379.9999999999982</v>
      </c>
      <c r="AA141" s="14">
        <v>8.5672662475236692</v>
      </c>
    </row>
    <row r="142" spans="1:27" s="4" customFormat="1" x14ac:dyDescent="0.25">
      <c r="A142" s="69"/>
      <c r="B142" s="19"/>
      <c r="C142" s="6">
        <v>42020</v>
      </c>
      <c r="D142" s="13">
        <v>4.5999999999999996</v>
      </c>
      <c r="E142" s="13">
        <v>3.8</v>
      </c>
      <c r="F142" s="4">
        <v>6.8</v>
      </c>
      <c r="G142" s="4">
        <v>1343.0999999999997</v>
      </c>
      <c r="H142" s="4">
        <f t="shared" si="10"/>
        <v>230.89999999999995</v>
      </c>
      <c r="J142" s="4">
        <v>2.4</v>
      </c>
      <c r="K142" s="4">
        <v>264.19999999999993</v>
      </c>
      <c r="L142" s="4">
        <v>0.6</v>
      </c>
      <c r="M142" s="4">
        <v>149.09999999999997</v>
      </c>
      <c r="N142" s="4">
        <v>1.7999999999999998</v>
      </c>
      <c r="O142" s="4">
        <f t="shared" si="14"/>
        <v>160.00000000000003</v>
      </c>
      <c r="P142" s="4">
        <v>137</v>
      </c>
      <c r="Q142" s="4">
        <v>1</v>
      </c>
      <c r="R142" s="9">
        <f t="shared" si="12"/>
        <v>0.6</v>
      </c>
      <c r="S142" s="9">
        <f t="shared" si="13"/>
        <v>1.7999999999999998</v>
      </c>
      <c r="T142" s="9">
        <f t="shared" si="15"/>
        <v>189.6</v>
      </c>
      <c r="V142" s="10">
        <v>259.7</v>
      </c>
      <c r="W142" s="4">
        <v>56.456521739130437</v>
      </c>
      <c r="X142" s="4">
        <v>68917.39999999998</v>
      </c>
      <c r="Y142" s="4">
        <f t="shared" si="11"/>
        <v>9639.6999999999989</v>
      </c>
      <c r="AA142" s="14">
        <v>8.6034797160143501</v>
      </c>
    </row>
    <row r="143" spans="1:27" s="4" customFormat="1" x14ac:dyDescent="0.25">
      <c r="A143" s="69"/>
      <c r="B143" s="19"/>
      <c r="C143" s="6">
        <v>42021</v>
      </c>
      <c r="D143" s="13">
        <v>2.1</v>
      </c>
      <c r="E143" s="13">
        <v>0</v>
      </c>
      <c r="F143" s="4">
        <v>5.0999999999999996</v>
      </c>
      <c r="G143" s="4">
        <v>1345.1999999999996</v>
      </c>
      <c r="H143" s="4">
        <f t="shared" si="10"/>
        <v>232.99999999999994</v>
      </c>
      <c r="J143" s="4">
        <v>0</v>
      </c>
      <c r="K143" s="4">
        <v>264.19999999999993</v>
      </c>
      <c r="L143" s="4">
        <v>0.7</v>
      </c>
      <c r="M143" s="4">
        <v>149.79999999999995</v>
      </c>
      <c r="N143" s="8">
        <v>-0.7</v>
      </c>
      <c r="O143" s="4">
        <f t="shared" si="14"/>
        <v>159.30000000000004</v>
      </c>
      <c r="P143" s="4">
        <v>138</v>
      </c>
      <c r="Q143" s="4">
        <v>1</v>
      </c>
      <c r="R143" s="9">
        <f t="shared" si="12"/>
        <v>0.7</v>
      </c>
      <c r="S143" s="9">
        <f t="shared" si="13"/>
        <v>-0.7</v>
      </c>
      <c r="T143" s="9">
        <f t="shared" si="15"/>
        <v>188.9</v>
      </c>
      <c r="V143" s="10">
        <v>603.70000000000005</v>
      </c>
      <c r="W143" s="4">
        <v>287.47619047619048</v>
      </c>
      <c r="X143" s="4">
        <v>69521.099999999977</v>
      </c>
      <c r="Y143" s="4">
        <f t="shared" si="11"/>
        <v>10243.4</v>
      </c>
      <c r="AA143" s="14">
        <v>8.6408528773124402</v>
      </c>
    </row>
    <row r="144" spans="1:27" s="4" customFormat="1" x14ac:dyDescent="0.25">
      <c r="A144" s="69"/>
      <c r="B144" s="19"/>
      <c r="C144" s="6">
        <v>42022</v>
      </c>
      <c r="D144" s="13">
        <v>2.7</v>
      </c>
      <c r="E144" s="13">
        <v>1.6</v>
      </c>
      <c r="F144" s="13">
        <v>3.8</v>
      </c>
      <c r="G144" s="4">
        <v>1347.8999999999996</v>
      </c>
      <c r="H144" s="4">
        <f t="shared" si="10"/>
        <v>235.69999999999993</v>
      </c>
      <c r="J144" s="4">
        <v>3.2</v>
      </c>
      <c r="K144" s="4">
        <v>267.39999999999992</v>
      </c>
      <c r="L144" s="4">
        <v>0.3</v>
      </c>
      <c r="M144" s="4">
        <v>150.09999999999997</v>
      </c>
      <c r="N144" s="4">
        <v>2.9000000000000004</v>
      </c>
      <c r="O144" s="4">
        <f t="shared" si="14"/>
        <v>162.20000000000005</v>
      </c>
      <c r="P144" s="4">
        <v>139</v>
      </c>
      <c r="Q144" s="4">
        <v>1</v>
      </c>
      <c r="R144" s="9">
        <f t="shared" si="12"/>
        <v>0.3</v>
      </c>
      <c r="S144" s="9">
        <f t="shared" si="13"/>
        <v>2.9000000000000004</v>
      </c>
      <c r="T144" s="9">
        <f t="shared" si="15"/>
        <v>189.6</v>
      </c>
      <c r="V144" s="10">
        <v>105.9</v>
      </c>
      <c r="W144" s="4">
        <v>39.222222222222221</v>
      </c>
      <c r="X144" s="4">
        <v>69626.999999999971</v>
      </c>
      <c r="Y144" s="4">
        <f t="shared" si="11"/>
        <v>10349.299999999999</v>
      </c>
      <c r="AA144" s="14">
        <v>8.6793527264390509</v>
      </c>
    </row>
    <row r="145" spans="1:27" s="4" customFormat="1" x14ac:dyDescent="0.25">
      <c r="A145" s="69"/>
      <c r="B145" s="19"/>
      <c r="C145" s="6">
        <v>42023</v>
      </c>
      <c r="D145" s="13">
        <v>1.6</v>
      </c>
      <c r="E145" s="13">
        <v>0.7</v>
      </c>
      <c r="F145" s="13">
        <v>2.4</v>
      </c>
      <c r="G145" s="4">
        <v>1349.4999999999995</v>
      </c>
      <c r="H145" s="4">
        <f t="shared" si="10"/>
        <v>237.29999999999993</v>
      </c>
      <c r="J145" s="4">
        <v>0.2</v>
      </c>
      <c r="K145" s="4">
        <v>267.59999999999991</v>
      </c>
      <c r="L145" s="4">
        <v>0.3</v>
      </c>
      <c r="M145" s="4">
        <v>150.39999999999998</v>
      </c>
      <c r="N145" s="8">
        <v>-9.9999999999999978E-2</v>
      </c>
      <c r="O145" s="4">
        <f t="shared" si="14"/>
        <v>162.10000000000005</v>
      </c>
      <c r="P145" s="4">
        <v>140</v>
      </c>
      <c r="Q145" s="4">
        <v>1</v>
      </c>
      <c r="R145" s="9">
        <f t="shared" si="12"/>
        <v>0.3</v>
      </c>
      <c r="S145" s="9">
        <f t="shared" si="13"/>
        <v>-9.9999999999999978E-2</v>
      </c>
      <c r="T145" s="9">
        <f t="shared" si="15"/>
        <v>189.5</v>
      </c>
      <c r="V145" s="10">
        <v>170.4</v>
      </c>
      <c r="W145" s="4">
        <v>106.5</v>
      </c>
      <c r="X145" s="4">
        <v>69797.399999999965</v>
      </c>
      <c r="Y145" s="4">
        <f t="shared" si="11"/>
        <v>10519.699999999999</v>
      </c>
      <c r="AA145" s="14">
        <v>8.7189461114168108</v>
      </c>
    </row>
    <row r="146" spans="1:27" s="4" customFormat="1" x14ac:dyDescent="0.25">
      <c r="A146" s="69"/>
      <c r="B146" s="19"/>
      <c r="C146" s="6">
        <v>42024</v>
      </c>
      <c r="D146" s="21">
        <v>-0.7</v>
      </c>
      <c r="E146" s="21">
        <v>-1.4</v>
      </c>
      <c r="F146" s="21">
        <v>-0.4</v>
      </c>
      <c r="G146" s="4">
        <v>1349.5</v>
      </c>
      <c r="H146" s="4">
        <v>237.3</v>
      </c>
      <c r="J146" s="4">
        <v>0</v>
      </c>
      <c r="K146" s="4">
        <v>267.59999999999991</v>
      </c>
      <c r="L146" s="4">
        <v>0.2</v>
      </c>
      <c r="M146" s="4">
        <v>150.59999999999997</v>
      </c>
      <c r="N146" s="8">
        <v>-0.2</v>
      </c>
      <c r="O146" s="4">
        <f t="shared" si="14"/>
        <v>161.90000000000006</v>
      </c>
      <c r="P146" s="4">
        <v>141</v>
      </c>
      <c r="Q146" s="4">
        <v>1</v>
      </c>
      <c r="R146" s="9">
        <f t="shared" si="12"/>
        <v>0.2</v>
      </c>
      <c r="S146" s="9">
        <f t="shared" si="13"/>
        <v>-0.2</v>
      </c>
      <c r="T146" s="9">
        <f t="shared" si="15"/>
        <v>189.3</v>
      </c>
      <c r="V146" s="10">
        <v>212</v>
      </c>
      <c r="W146" s="4">
        <v>-302.85714285714289</v>
      </c>
      <c r="X146" s="4">
        <v>70009.399999999965</v>
      </c>
      <c r="Y146" s="4">
        <f t="shared" si="11"/>
        <v>10731.699999999999</v>
      </c>
      <c r="AA146" s="14">
        <v>8.7595998171692599</v>
      </c>
    </row>
    <row r="147" spans="1:27" s="4" customFormat="1" x14ac:dyDescent="0.25">
      <c r="A147" s="69"/>
      <c r="B147" s="19"/>
      <c r="C147" s="6">
        <v>42025</v>
      </c>
      <c r="D147" s="21">
        <v>-0.1</v>
      </c>
      <c r="E147" s="21">
        <v>-0.7</v>
      </c>
      <c r="F147" s="13">
        <v>1</v>
      </c>
      <c r="G147" s="4">
        <v>1349.5</v>
      </c>
      <c r="H147" s="4">
        <v>237.3</v>
      </c>
      <c r="J147" s="4">
        <v>0</v>
      </c>
      <c r="K147" s="4">
        <v>267.59999999999991</v>
      </c>
      <c r="L147" s="4">
        <v>0.3</v>
      </c>
      <c r="M147" s="4">
        <v>150.89999999999998</v>
      </c>
      <c r="N147" s="8">
        <v>-0.3</v>
      </c>
      <c r="O147" s="4">
        <f t="shared" si="14"/>
        <v>161.60000000000005</v>
      </c>
      <c r="P147" s="4">
        <v>142</v>
      </c>
      <c r="Q147" s="4">
        <v>1</v>
      </c>
      <c r="R147" s="9">
        <f t="shared" si="12"/>
        <v>0.3</v>
      </c>
      <c r="S147" s="9">
        <f t="shared" si="13"/>
        <v>-0.3</v>
      </c>
      <c r="T147" s="9">
        <f t="shared" si="15"/>
        <v>189</v>
      </c>
      <c r="V147" s="10">
        <v>157.9</v>
      </c>
      <c r="W147" s="4">
        <v>-1579</v>
      </c>
      <c r="X147" s="4">
        <v>70167.299999999959</v>
      </c>
      <c r="Y147" s="4">
        <f t="shared" si="11"/>
        <v>10889.599999999999</v>
      </c>
      <c r="AA147" s="14">
        <v>8.8012806454525201</v>
      </c>
    </row>
    <row r="148" spans="1:27" s="4" customFormat="1" x14ac:dyDescent="0.25">
      <c r="A148" s="69"/>
      <c r="B148" s="19"/>
      <c r="C148" s="6">
        <v>42026</v>
      </c>
      <c r="D148" s="21">
        <v>-0.8</v>
      </c>
      <c r="E148" s="21">
        <v>-2.2999999999999998</v>
      </c>
      <c r="F148" s="13">
        <v>0.8</v>
      </c>
      <c r="G148" s="4">
        <v>1349.5</v>
      </c>
      <c r="H148" s="4">
        <v>237.3</v>
      </c>
      <c r="J148" s="4">
        <v>0</v>
      </c>
      <c r="K148" s="4">
        <v>267.59999999999991</v>
      </c>
      <c r="L148" s="4">
        <v>0.4</v>
      </c>
      <c r="M148" s="4">
        <v>151.29999999999998</v>
      </c>
      <c r="N148" s="8">
        <v>-0.4</v>
      </c>
      <c r="O148" s="4">
        <f t="shared" si="14"/>
        <v>161.20000000000005</v>
      </c>
      <c r="P148" s="4">
        <v>143</v>
      </c>
      <c r="Q148" s="4">
        <v>1</v>
      </c>
      <c r="R148" s="9">
        <f t="shared" si="12"/>
        <v>0.4</v>
      </c>
      <c r="S148" s="9">
        <f t="shared" si="13"/>
        <v>-0.4</v>
      </c>
      <c r="T148" s="9">
        <f t="shared" si="15"/>
        <v>188.6</v>
      </c>
      <c r="V148" s="10">
        <v>423.8</v>
      </c>
      <c r="W148" s="4">
        <v>-529.75</v>
      </c>
      <c r="X148" s="4">
        <v>70591.099999999962</v>
      </c>
      <c r="Y148" s="4">
        <f t="shared" si="11"/>
        <v>11313.399999999998</v>
      </c>
      <c r="AA148" s="14">
        <v>8.8439554906079998</v>
      </c>
    </row>
    <row r="149" spans="1:27" s="4" customFormat="1" x14ac:dyDescent="0.25">
      <c r="A149" s="69"/>
      <c r="B149" s="19"/>
      <c r="C149" s="6">
        <v>42027</v>
      </c>
      <c r="D149" s="21">
        <v>-0.3</v>
      </c>
      <c r="E149" s="21">
        <v>-1.1000000000000001</v>
      </c>
      <c r="F149" s="13">
        <v>1</v>
      </c>
      <c r="G149" s="4">
        <v>1349.5</v>
      </c>
      <c r="H149" s="4">
        <v>237.3</v>
      </c>
      <c r="J149" s="4">
        <v>1.9</v>
      </c>
      <c r="K149" s="4">
        <v>269.49999999999989</v>
      </c>
      <c r="L149" s="4">
        <v>0.6</v>
      </c>
      <c r="M149" s="4">
        <v>151.89999999999998</v>
      </c>
      <c r="N149" s="4">
        <v>1.2999999999999998</v>
      </c>
      <c r="O149" s="4">
        <f t="shared" si="14"/>
        <v>162.50000000000006</v>
      </c>
      <c r="P149" s="4">
        <v>144</v>
      </c>
      <c r="Q149" s="4">
        <v>1</v>
      </c>
      <c r="R149" s="9">
        <f t="shared" si="12"/>
        <v>0.6</v>
      </c>
      <c r="S149" s="9">
        <f t="shared" si="13"/>
        <v>1.2999999999999998</v>
      </c>
      <c r="T149" s="9">
        <f t="shared" si="15"/>
        <v>189.6</v>
      </c>
      <c r="V149" s="10">
        <v>555.5</v>
      </c>
      <c r="W149" s="4">
        <v>-1851.6666666666667</v>
      </c>
      <c r="X149" s="4">
        <v>71146.599999999962</v>
      </c>
      <c r="Y149" s="4">
        <f t="shared" si="11"/>
        <v>11868.899999999998</v>
      </c>
      <c r="AA149" s="14">
        <v>8.8875914109718099</v>
      </c>
    </row>
    <row r="150" spans="1:27" s="4" customFormat="1" x14ac:dyDescent="0.25">
      <c r="A150" s="69"/>
      <c r="B150" s="19"/>
      <c r="C150" s="6">
        <v>42028</v>
      </c>
      <c r="D150" s="13">
        <v>1.7</v>
      </c>
      <c r="E150" s="21">
        <v>-1.2</v>
      </c>
      <c r="F150" s="4">
        <v>5.0999999999999996</v>
      </c>
      <c r="G150" s="4">
        <v>1351.2</v>
      </c>
      <c r="H150" s="4">
        <f t="shared" si="10"/>
        <v>239</v>
      </c>
      <c r="J150" s="4">
        <v>0.6</v>
      </c>
      <c r="K150" s="4">
        <v>270.09999999999991</v>
      </c>
      <c r="L150" s="4">
        <v>0.7</v>
      </c>
      <c r="M150" s="4">
        <v>152.59999999999997</v>
      </c>
      <c r="N150" s="8">
        <v>-9.9999999999999978E-2</v>
      </c>
      <c r="O150" s="4">
        <f t="shared" si="14"/>
        <v>162.40000000000006</v>
      </c>
      <c r="P150" s="4">
        <v>145</v>
      </c>
      <c r="Q150" s="4">
        <v>1</v>
      </c>
      <c r="R150" s="9">
        <f t="shared" si="12"/>
        <v>0.7</v>
      </c>
      <c r="S150" s="9">
        <f t="shared" si="13"/>
        <v>-9.9999999999999978E-2</v>
      </c>
      <c r="T150" s="9">
        <f t="shared" si="15"/>
        <v>189.5</v>
      </c>
      <c r="V150" s="10">
        <v>418.6</v>
      </c>
      <c r="W150" s="4">
        <v>246.23529411764707</v>
      </c>
      <c r="X150" s="4">
        <v>71565.199999999968</v>
      </c>
      <c r="Y150" s="4">
        <f t="shared" si="11"/>
        <v>12287.499999999998</v>
      </c>
      <c r="AA150" s="14">
        <v>8.9321556958211907</v>
      </c>
    </row>
    <row r="151" spans="1:27" s="4" customFormat="1" x14ac:dyDescent="0.25">
      <c r="A151" s="69"/>
      <c r="B151" s="19"/>
      <c r="C151" s="6">
        <v>42029</v>
      </c>
      <c r="D151" s="13">
        <v>2.6</v>
      </c>
      <c r="E151" s="13">
        <v>0.2</v>
      </c>
      <c r="F151" s="4">
        <v>5.8</v>
      </c>
      <c r="G151" s="4">
        <v>1353.8</v>
      </c>
      <c r="H151" s="4">
        <f t="shared" si="10"/>
        <v>241.6</v>
      </c>
      <c r="J151" s="4">
        <v>0.7</v>
      </c>
      <c r="K151" s="4">
        <v>270.7999999999999</v>
      </c>
      <c r="L151" s="4">
        <v>0.4</v>
      </c>
      <c r="M151" s="4">
        <v>152.99999999999997</v>
      </c>
      <c r="N151" s="4">
        <v>0.29999999999999993</v>
      </c>
      <c r="O151" s="4">
        <f t="shared" si="14"/>
        <v>162.70000000000007</v>
      </c>
      <c r="P151" s="4">
        <v>146</v>
      </c>
      <c r="Q151" s="4">
        <v>1</v>
      </c>
      <c r="R151" s="9">
        <f t="shared" si="12"/>
        <v>0.4</v>
      </c>
      <c r="S151" s="9">
        <f t="shared" si="13"/>
        <v>0.29999999999999993</v>
      </c>
      <c r="T151" s="9">
        <f t="shared" si="15"/>
        <v>189.6</v>
      </c>
      <c r="V151" s="10">
        <v>154.19999999999999</v>
      </c>
      <c r="W151" s="4">
        <v>59.307692307692299</v>
      </c>
      <c r="X151" s="4">
        <v>71719.399999999965</v>
      </c>
      <c r="Y151" s="4">
        <f t="shared" si="11"/>
        <v>12441.699999999999</v>
      </c>
      <c r="AA151" s="14">
        <v>8.9776159277803007</v>
      </c>
    </row>
    <row r="152" spans="1:27" s="4" customFormat="1" x14ac:dyDescent="0.25">
      <c r="A152" s="69"/>
      <c r="B152" s="5"/>
      <c r="C152" s="6">
        <v>42030</v>
      </c>
      <c r="D152" s="4">
        <v>6.3</v>
      </c>
      <c r="E152" s="13">
        <v>4.2</v>
      </c>
      <c r="F152" s="4">
        <v>8.4</v>
      </c>
      <c r="G152" s="4">
        <v>1360.1</v>
      </c>
      <c r="H152" s="4">
        <f t="shared" si="10"/>
        <v>247.9</v>
      </c>
      <c r="J152" s="4">
        <v>1.4</v>
      </c>
      <c r="K152" s="4">
        <v>272.19999999999987</v>
      </c>
      <c r="L152" s="4">
        <v>0.3</v>
      </c>
      <c r="M152" s="4">
        <v>153.29999999999998</v>
      </c>
      <c r="N152" s="4">
        <v>1.0999999999999999</v>
      </c>
      <c r="O152" s="4">
        <f t="shared" si="14"/>
        <v>163.80000000000007</v>
      </c>
      <c r="P152" s="4">
        <v>147</v>
      </c>
      <c r="Q152" s="4">
        <v>1</v>
      </c>
      <c r="R152" s="9">
        <f t="shared" si="12"/>
        <v>0.3</v>
      </c>
      <c r="S152" s="9">
        <f t="shared" si="13"/>
        <v>1.0999999999999999</v>
      </c>
      <c r="T152" s="9">
        <f t="shared" si="15"/>
        <v>189.6</v>
      </c>
      <c r="V152" s="10">
        <v>144.69999999999999</v>
      </c>
      <c r="W152" s="4">
        <v>22.968253968253968</v>
      </c>
      <c r="X152" s="4">
        <v>71864.099999999962</v>
      </c>
      <c r="Y152" s="4">
        <f t="shared" si="11"/>
        <v>12586.4</v>
      </c>
      <c r="AA152" s="4">
        <v>9.0239400406467194</v>
      </c>
    </row>
    <row r="153" spans="1:27" s="4" customFormat="1" x14ac:dyDescent="0.25">
      <c r="A153" s="69"/>
      <c r="B153" s="5"/>
      <c r="C153" s="6">
        <v>42031</v>
      </c>
      <c r="D153" s="13">
        <v>3.9</v>
      </c>
      <c r="E153" s="13">
        <v>0.9</v>
      </c>
      <c r="F153" s="4">
        <v>5.8</v>
      </c>
      <c r="G153" s="4">
        <v>1364</v>
      </c>
      <c r="H153" s="4">
        <f t="shared" si="10"/>
        <v>251.8</v>
      </c>
      <c r="J153" s="4">
        <v>0</v>
      </c>
      <c r="K153" s="4">
        <v>272.19999999999987</v>
      </c>
      <c r="L153" s="4">
        <v>0.4</v>
      </c>
      <c r="M153" s="4">
        <v>153.69999999999999</v>
      </c>
      <c r="N153" s="8">
        <v>-0.4</v>
      </c>
      <c r="O153" s="4">
        <f t="shared" si="14"/>
        <v>163.40000000000006</v>
      </c>
      <c r="P153" s="4">
        <v>148</v>
      </c>
      <c r="Q153" s="4">
        <v>1</v>
      </c>
      <c r="R153" s="9">
        <f t="shared" si="12"/>
        <v>0.4</v>
      </c>
      <c r="S153" s="9">
        <f t="shared" si="13"/>
        <v>-0.4</v>
      </c>
      <c r="T153" s="9">
        <f t="shared" si="15"/>
        <v>189.2</v>
      </c>
      <c r="V153" s="10">
        <v>279</v>
      </c>
      <c r="W153" s="4">
        <v>71.538461538461533</v>
      </c>
      <c r="X153" s="4">
        <v>72143.099999999962</v>
      </c>
      <c r="Y153" s="4">
        <f t="shared" si="11"/>
        <v>12865.4</v>
      </c>
      <c r="AA153" s="4">
        <v>9.0710963726359406</v>
      </c>
    </row>
    <row r="154" spans="1:27" s="4" customFormat="1" x14ac:dyDescent="0.25">
      <c r="A154" s="69"/>
      <c r="B154" s="5">
        <v>8</v>
      </c>
      <c r="C154" s="6">
        <v>42032</v>
      </c>
      <c r="D154" s="4">
        <v>5.2</v>
      </c>
      <c r="E154" s="13">
        <v>4.8</v>
      </c>
      <c r="F154" s="4">
        <v>6.4</v>
      </c>
      <c r="G154" s="4">
        <v>1369.2</v>
      </c>
      <c r="H154" s="4">
        <f t="shared" si="10"/>
        <v>257</v>
      </c>
      <c r="J154" s="4">
        <v>3.1</v>
      </c>
      <c r="K154" s="4">
        <v>275.2999999999999</v>
      </c>
      <c r="L154" s="4">
        <v>0.8</v>
      </c>
      <c r="M154" s="4">
        <v>154.5</v>
      </c>
      <c r="N154" s="4">
        <v>2.2999999999999998</v>
      </c>
      <c r="O154" s="4">
        <f t="shared" si="14"/>
        <v>165.70000000000007</v>
      </c>
      <c r="P154" s="4">
        <v>149</v>
      </c>
      <c r="Q154" s="4">
        <v>1</v>
      </c>
      <c r="R154" s="9">
        <f t="shared" si="12"/>
        <v>0.8</v>
      </c>
      <c r="S154" s="9">
        <f t="shared" si="13"/>
        <v>2.2999999999999998</v>
      </c>
      <c r="T154" s="9">
        <f t="shared" si="15"/>
        <v>189.6</v>
      </c>
      <c r="V154" s="10">
        <v>186.9</v>
      </c>
      <c r="W154" s="4">
        <v>35.942307692307693</v>
      </c>
      <c r="X154" s="4">
        <v>72329.999999999956</v>
      </c>
      <c r="Y154" s="4">
        <f t="shared" si="11"/>
        <v>13052.3</v>
      </c>
      <c r="AA154" s="4">
        <v>9.1190537150738002</v>
      </c>
    </row>
    <row r="155" spans="1:27" s="4" customFormat="1" x14ac:dyDescent="0.25">
      <c r="A155" s="69"/>
      <c r="B155" s="5"/>
      <c r="C155" s="6">
        <v>42033</v>
      </c>
      <c r="D155" s="13">
        <v>3</v>
      </c>
      <c r="E155" s="13">
        <v>2.5</v>
      </c>
      <c r="F155" s="13">
        <v>4.4000000000000004</v>
      </c>
      <c r="G155" s="4">
        <v>1372.2</v>
      </c>
      <c r="H155" s="4">
        <f t="shared" si="10"/>
        <v>260</v>
      </c>
      <c r="J155" s="4">
        <v>6.1</v>
      </c>
      <c r="K155" s="4">
        <v>281.39999999999992</v>
      </c>
      <c r="L155" s="4">
        <v>0.6</v>
      </c>
      <c r="M155" s="4">
        <v>155.1</v>
      </c>
      <c r="N155" s="4">
        <v>5.5</v>
      </c>
      <c r="O155" s="4">
        <f t="shared" si="14"/>
        <v>171.20000000000007</v>
      </c>
      <c r="P155" s="4">
        <v>150</v>
      </c>
      <c r="Q155" s="4">
        <v>1</v>
      </c>
      <c r="R155" s="9">
        <f t="shared" si="12"/>
        <v>0.6</v>
      </c>
      <c r="S155" s="9">
        <f t="shared" si="13"/>
        <v>5.5</v>
      </c>
      <c r="T155" s="9">
        <f t="shared" si="15"/>
        <v>189.6</v>
      </c>
      <c r="V155" s="10">
        <v>150.6</v>
      </c>
      <c r="W155" s="4">
        <v>50.199999999999996</v>
      </c>
      <c r="X155" s="4">
        <v>72480.599999999962</v>
      </c>
      <c r="Y155" s="4">
        <f t="shared" si="11"/>
        <v>13202.9</v>
      </c>
      <c r="AA155" s="4">
        <v>9.1677813565960093</v>
      </c>
    </row>
    <row r="156" spans="1:27" s="4" customFormat="1" x14ac:dyDescent="0.25">
      <c r="A156" s="69"/>
      <c r="B156" s="5"/>
      <c r="C156" s="6">
        <v>42034</v>
      </c>
      <c r="D156" s="13">
        <v>1.4</v>
      </c>
      <c r="E156" s="13">
        <v>0.6</v>
      </c>
      <c r="F156" s="13">
        <v>2</v>
      </c>
      <c r="G156" s="4">
        <v>1373.6000000000001</v>
      </c>
      <c r="H156" s="4">
        <f t="shared" si="10"/>
        <v>261.39999999999998</v>
      </c>
      <c r="J156" s="4">
        <v>2.9</v>
      </c>
      <c r="K156" s="4">
        <v>284.2999999999999</v>
      </c>
      <c r="L156" s="4">
        <v>0.3</v>
      </c>
      <c r="M156" s="4">
        <v>155.4</v>
      </c>
      <c r="N156" s="4">
        <v>2.6</v>
      </c>
      <c r="O156" s="4">
        <f t="shared" si="14"/>
        <v>173.80000000000007</v>
      </c>
      <c r="P156" s="4">
        <v>151</v>
      </c>
      <c r="Q156" s="4">
        <v>1</v>
      </c>
      <c r="R156" s="9">
        <f t="shared" si="12"/>
        <v>0.3</v>
      </c>
      <c r="S156" s="9">
        <f t="shared" si="13"/>
        <v>2.6</v>
      </c>
      <c r="T156" s="9">
        <f t="shared" si="15"/>
        <v>189.6</v>
      </c>
      <c r="V156" s="10">
        <v>203.8</v>
      </c>
      <c r="W156" s="4">
        <v>145.57142857142858</v>
      </c>
      <c r="X156" s="4">
        <v>72684.399999999965</v>
      </c>
      <c r="Y156" s="4">
        <f t="shared" si="11"/>
        <v>13406.699999999999</v>
      </c>
      <c r="AA156" s="4">
        <v>9.2172491229400499</v>
      </c>
    </row>
    <row r="157" spans="1:27" s="4" customFormat="1" x14ac:dyDescent="0.25">
      <c r="A157" s="69"/>
      <c r="B157" s="5"/>
      <c r="C157" s="6">
        <v>42035</v>
      </c>
      <c r="D157" s="13">
        <v>1.7</v>
      </c>
      <c r="E157" s="13">
        <v>0.1</v>
      </c>
      <c r="F157" s="13">
        <v>3.1</v>
      </c>
      <c r="G157" s="4">
        <v>1375.3000000000002</v>
      </c>
      <c r="H157" s="4">
        <f t="shared" si="10"/>
        <v>263.09999999999997</v>
      </c>
      <c r="J157" s="4">
        <v>1.3</v>
      </c>
      <c r="K157" s="4">
        <v>285.59999999999991</v>
      </c>
      <c r="L157" s="4">
        <v>0.2</v>
      </c>
      <c r="M157" s="4">
        <v>155.6</v>
      </c>
      <c r="N157" s="4">
        <v>1.1000000000000001</v>
      </c>
      <c r="O157" s="4">
        <f t="shared" si="14"/>
        <v>174.90000000000006</v>
      </c>
      <c r="P157" s="4">
        <v>152</v>
      </c>
      <c r="Q157" s="4">
        <v>1</v>
      </c>
      <c r="R157" s="9">
        <f t="shared" si="12"/>
        <v>0.2</v>
      </c>
      <c r="S157" s="9">
        <f t="shared" si="13"/>
        <v>1.1000000000000001</v>
      </c>
      <c r="T157" s="9">
        <f t="shared" si="15"/>
        <v>189.6</v>
      </c>
      <c r="V157" s="10">
        <v>125</v>
      </c>
      <c r="W157" s="4">
        <v>73.529411764705884</v>
      </c>
      <c r="X157" s="4">
        <v>72809.399999999965</v>
      </c>
      <c r="Y157" s="4">
        <f t="shared" si="11"/>
        <v>13531.699999999999</v>
      </c>
      <c r="AA157" s="4">
        <v>9.2674274124373994</v>
      </c>
    </row>
    <row r="158" spans="1:27" s="4" customFormat="1" x14ac:dyDescent="0.25">
      <c r="A158" s="69"/>
      <c r="B158" s="5"/>
      <c r="C158" s="6">
        <v>42036</v>
      </c>
      <c r="D158" s="13">
        <v>3</v>
      </c>
      <c r="E158" s="13">
        <v>1.9</v>
      </c>
      <c r="F158" s="13">
        <v>3.9</v>
      </c>
      <c r="G158" s="4">
        <v>1378.3000000000002</v>
      </c>
      <c r="H158" s="4">
        <f t="shared" si="10"/>
        <v>266.09999999999997</v>
      </c>
      <c r="J158" s="4">
        <v>0.8</v>
      </c>
      <c r="K158" s="4">
        <v>286.39999999999992</v>
      </c>
      <c r="L158" s="4">
        <v>0.6</v>
      </c>
      <c r="M158" s="4">
        <v>156.19999999999999</v>
      </c>
      <c r="N158" s="4">
        <v>0.20000000000000007</v>
      </c>
      <c r="O158" s="4">
        <f t="shared" si="14"/>
        <v>175.10000000000005</v>
      </c>
      <c r="P158" s="4">
        <v>153</v>
      </c>
      <c r="Q158" s="4">
        <v>1</v>
      </c>
      <c r="R158" s="9">
        <f t="shared" si="12"/>
        <v>0.6</v>
      </c>
      <c r="S158" s="9">
        <f t="shared" si="13"/>
        <v>0.20000000000000007</v>
      </c>
      <c r="T158" s="9">
        <f t="shared" si="15"/>
        <v>189.6</v>
      </c>
      <c r="V158" s="10">
        <v>173.5</v>
      </c>
      <c r="W158" s="4">
        <v>57.833333333333336</v>
      </c>
      <c r="X158" s="4">
        <v>72982.899999999965</v>
      </c>
      <c r="Y158" s="4">
        <f t="shared" si="11"/>
        <v>13705.199999999999</v>
      </c>
      <c r="AA158" s="4">
        <v>9.31828722733351</v>
      </c>
    </row>
    <row r="159" spans="1:27" s="4" customFormat="1" x14ac:dyDescent="0.25">
      <c r="A159" s="69"/>
      <c r="B159" s="5"/>
      <c r="C159" s="6">
        <v>42037</v>
      </c>
      <c r="D159" s="13">
        <v>1.2</v>
      </c>
      <c r="E159" s="13">
        <v>0.7</v>
      </c>
      <c r="F159" s="13">
        <v>2.9</v>
      </c>
      <c r="G159" s="4">
        <v>1379.5000000000002</v>
      </c>
      <c r="H159" s="4">
        <f t="shared" si="10"/>
        <v>267.29999999999995</v>
      </c>
      <c r="J159" s="4">
        <v>0</v>
      </c>
      <c r="K159" s="4">
        <v>286.39999999999992</v>
      </c>
      <c r="L159" s="4">
        <v>0.8</v>
      </c>
      <c r="M159" s="4">
        <v>157</v>
      </c>
      <c r="N159" s="8">
        <v>-0.8</v>
      </c>
      <c r="O159" s="4">
        <f t="shared" si="14"/>
        <v>174.30000000000004</v>
      </c>
      <c r="P159" s="4">
        <v>154</v>
      </c>
      <c r="Q159" s="4">
        <v>1</v>
      </c>
      <c r="R159" s="9">
        <f t="shared" si="12"/>
        <v>0.8</v>
      </c>
      <c r="S159" s="9">
        <f t="shared" si="13"/>
        <v>-0.8</v>
      </c>
      <c r="T159" s="9">
        <f t="shared" si="15"/>
        <v>188.79999999999998</v>
      </c>
      <c r="V159" s="10">
        <v>647.6</v>
      </c>
      <c r="W159" s="4">
        <v>539.66666666666674</v>
      </c>
      <c r="X159" s="4">
        <v>73630.499999999971</v>
      </c>
      <c r="Y159" s="4">
        <f t="shared" si="11"/>
        <v>14352.8</v>
      </c>
      <c r="AA159" s="4">
        <v>9.3698002010794905</v>
      </c>
    </row>
    <row r="160" spans="1:27" s="4" customFormat="1" x14ac:dyDescent="0.25">
      <c r="A160" s="69"/>
      <c r="B160" s="5"/>
      <c r="C160" s="6">
        <v>42038</v>
      </c>
      <c r="D160" s="13">
        <v>0.5</v>
      </c>
      <c r="E160" s="21">
        <v>-1.1000000000000001</v>
      </c>
      <c r="F160" s="13">
        <v>2.2000000000000002</v>
      </c>
      <c r="G160" s="4">
        <v>1380.0000000000002</v>
      </c>
      <c r="H160" s="4">
        <f t="shared" si="10"/>
        <v>267.79999999999995</v>
      </c>
      <c r="J160" s="4">
        <v>0</v>
      </c>
      <c r="K160" s="4">
        <v>286.39999999999992</v>
      </c>
      <c r="L160" s="4">
        <v>0.3</v>
      </c>
      <c r="M160" s="4">
        <v>157.30000000000001</v>
      </c>
      <c r="N160" s="8">
        <v>-0.3</v>
      </c>
      <c r="O160" s="4">
        <f t="shared" si="14"/>
        <v>174.00000000000003</v>
      </c>
      <c r="P160" s="4">
        <v>155</v>
      </c>
      <c r="Q160" s="4">
        <v>1</v>
      </c>
      <c r="R160" s="9">
        <f t="shared" si="12"/>
        <v>0.3</v>
      </c>
      <c r="S160" s="9">
        <f t="shared" si="13"/>
        <v>-0.3</v>
      </c>
      <c r="T160" s="9">
        <f t="shared" si="15"/>
        <v>188.49999999999997</v>
      </c>
      <c r="V160" s="10">
        <v>449.9</v>
      </c>
      <c r="W160" s="4">
        <v>899.8</v>
      </c>
      <c r="X160" s="4">
        <v>74080.399999999965</v>
      </c>
      <c r="Y160" s="4">
        <f t="shared" si="11"/>
        <v>14802.699999999999</v>
      </c>
      <c r="AA160" s="4">
        <v>9.42193862175289</v>
      </c>
    </row>
    <row r="161" spans="1:28" s="4" customFormat="1" x14ac:dyDescent="0.25">
      <c r="A161" s="69"/>
      <c r="B161" s="5">
        <v>9</v>
      </c>
      <c r="C161" s="6">
        <v>42039</v>
      </c>
      <c r="D161" s="13">
        <v>1.2</v>
      </c>
      <c r="E161" s="21">
        <v>-1</v>
      </c>
      <c r="F161" s="13">
        <v>3.1</v>
      </c>
      <c r="G161" s="4">
        <v>1381.2000000000003</v>
      </c>
      <c r="H161" s="4">
        <f t="shared" ref="H161:H224" si="16">H160+D161</f>
        <v>268.99999999999994</v>
      </c>
      <c r="J161" s="4">
        <v>0</v>
      </c>
      <c r="K161" s="4">
        <v>286.39999999999992</v>
      </c>
      <c r="L161" s="4">
        <v>0.8</v>
      </c>
      <c r="M161" s="4">
        <v>158.10000000000002</v>
      </c>
      <c r="N161" s="8">
        <v>-0.8</v>
      </c>
      <c r="O161" s="4">
        <f t="shared" si="14"/>
        <v>173.20000000000002</v>
      </c>
      <c r="P161" s="4">
        <v>156</v>
      </c>
      <c r="Q161" s="4">
        <v>1</v>
      </c>
      <c r="R161" s="9">
        <f t="shared" si="12"/>
        <v>0.8</v>
      </c>
      <c r="S161" s="9">
        <f t="shared" si="13"/>
        <v>-0.8</v>
      </c>
      <c r="T161" s="9">
        <f t="shared" si="15"/>
        <v>187.69999999999996</v>
      </c>
      <c r="V161" s="10">
        <v>853.6</v>
      </c>
      <c r="W161" s="4">
        <v>711.33333333333337</v>
      </c>
      <c r="X161" s="4">
        <v>74933.999999999971</v>
      </c>
      <c r="Y161" s="4">
        <f t="shared" ref="Y161:Y224" si="17">Y160+V161</f>
        <v>15656.3</v>
      </c>
      <c r="AA161" s="4">
        <v>9.4746754517760401</v>
      </c>
    </row>
    <row r="162" spans="1:28" s="4" customFormat="1" x14ac:dyDescent="0.25">
      <c r="A162" s="69"/>
      <c r="B162" s="5"/>
      <c r="C162" s="6">
        <v>42040</v>
      </c>
      <c r="D162" s="21">
        <v>-0.1</v>
      </c>
      <c r="E162" s="21">
        <v>-0.8</v>
      </c>
      <c r="F162" s="13">
        <v>0.9</v>
      </c>
      <c r="G162" s="4">
        <v>1381.2</v>
      </c>
      <c r="H162" s="4">
        <v>269</v>
      </c>
      <c r="J162" s="4">
        <v>0</v>
      </c>
      <c r="K162" s="4">
        <v>286.39999999999992</v>
      </c>
      <c r="L162" s="4">
        <v>0.5</v>
      </c>
      <c r="M162" s="4">
        <v>158.60000000000002</v>
      </c>
      <c r="N162" s="8">
        <v>-0.5</v>
      </c>
      <c r="O162" s="4">
        <f t="shared" si="14"/>
        <v>172.70000000000002</v>
      </c>
      <c r="P162" s="4">
        <v>157</v>
      </c>
      <c r="Q162" s="4">
        <v>1</v>
      </c>
      <c r="R162" s="9">
        <f t="shared" si="12"/>
        <v>0.5</v>
      </c>
      <c r="S162" s="9">
        <f t="shared" si="13"/>
        <v>-0.5</v>
      </c>
      <c r="T162" s="9">
        <f t="shared" si="15"/>
        <v>187.19999999999996</v>
      </c>
      <c r="V162" s="10">
        <v>331.2</v>
      </c>
      <c r="W162" s="4">
        <v>-3311.9999999999995</v>
      </c>
      <c r="X162" s="4">
        <v>75265.199999999968</v>
      </c>
      <c r="Y162" s="4">
        <f t="shared" si="17"/>
        <v>15987.5</v>
      </c>
      <c r="AA162" s="4">
        <v>9.5279843441082193</v>
      </c>
    </row>
    <row r="163" spans="1:28" s="4" customFormat="1" x14ac:dyDescent="0.25">
      <c r="A163" s="69"/>
      <c r="B163" s="5"/>
      <c r="C163" s="6">
        <v>42041</v>
      </c>
      <c r="D163" s="21">
        <v>-0.7</v>
      </c>
      <c r="E163" s="21">
        <v>-1.4</v>
      </c>
      <c r="F163" s="13">
        <v>0.4</v>
      </c>
      <c r="G163" s="4">
        <v>1381.2</v>
      </c>
      <c r="H163" s="4">
        <v>269</v>
      </c>
      <c r="J163" s="4">
        <v>0</v>
      </c>
      <c r="K163" s="4">
        <v>286.39999999999992</v>
      </c>
      <c r="L163" s="4">
        <v>1.1000000000000001</v>
      </c>
      <c r="M163" s="4">
        <v>159.70000000000002</v>
      </c>
      <c r="N163" s="8">
        <v>-1.1000000000000001</v>
      </c>
      <c r="O163" s="4">
        <f t="shared" si="14"/>
        <v>171.60000000000002</v>
      </c>
      <c r="P163" s="4">
        <v>158</v>
      </c>
      <c r="Q163" s="4">
        <v>1</v>
      </c>
      <c r="R163" s="9">
        <f t="shared" si="12"/>
        <v>1.1000000000000001</v>
      </c>
      <c r="S163" s="9">
        <f t="shared" si="13"/>
        <v>-1.1000000000000001</v>
      </c>
      <c r="T163" s="9">
        <f t="shared" si="15"/>
        <v>186.09999999999997</v>
      </c>
      <c r="V163" s="10">
        <v>387</v>
      </c>
      <c r="W163" s="4">
        <v>-552.85714285714289</v>
      </c>
      <c r="X163" s="4">
        <v>75652.199999999968</v>
      </c>
      <c r="Y163" s="4">
        <f t="shared" si="17"/>
        <v>16374.5</v>
      </c>
      <c r="AA163" s="4">
        <v>9.5818396550943596</v>
      </c>
    </row>
    <row r="164" spans="1:28" s="4" customFormat="1" x14ac:dyDescent="0.25">
      <c r="A164" s="69"/>
      <c r="B164" s="5"/>
      <c r="C164" s="6">
        <v>42042</v>
      </c>
      <c r="D164" s="13">
        <v>1.1000000000000001</v>
      </c>
      <c r="E164" s="21">
        <v>-2.6</v>
      </c>
      <c r="F164" s="13">
        <v>3.7</v>
      </c>
      <c r="G164" s="4">
        <v>1382.3</v>
      </c>
      <c r="H164" s="4">
        <f t="shared" si="16"/>
        <v>270.10000000000002</v>
      </c>
      <c r="J164" s="4">
        <v>0</v>
      </c>
      <c r="K164" s="4">
        <v>286.39999999999992</v>
      </c>
      <c r="L164" s="4">
        <v>0.9</v>
      </c>
      <c r="M164" s="4">
        <v>160.60000000000002</v>
      </c>
      <c r="N164" s="8">
        <v>-0.9</v>
      </c>
      <c r="O164" s="4">
        <f t="shared" si="14"/>
        <v>170.70000000000002</v>
      </c>
      <c r="P164" s="4">
        <v>159</v>
      </c>
      <c r="Q164" s="4">
        <v>1</v>
      </c>
      <c r="R164" s="9">
        <f t="shared" si="12"/>
        <v>0.9</v>
      </c>
      <c r="S164" s="9">
        <f t="shared" si="13"/>
        <v>-0.9</v>
      </c>
      <c r="T164" s="9">
        <f t="shared" si="15"/>
        <v>185.19999999999996</v>
      </c>
      <c r="V164" s="10">
        <v>790.3</v>
      </c>
      <c r="W164" s="4">
        <v>718.45454545454538</v>
      </c>
      <c r="X164" s="4">
        <v>76442.499999999971</v>
      </c>
      <c r="Y164" s="4">
        <f t="shared" si="17"/>
        <v>17164.8</v>
      </c>
      <c r="AA164" s="4">
        <v>9.6362164541563295</v>
      </c>
    </row>
    <row r="165" spans="1:28" s="4" customFormat="1" x14ac:dyDescent="0.25">
      <c r="A165" s="69"/>
      <c r="B165" s="5"/>
      <c r="C165" s="6">
        <v>42043</v>
      </c>
      <c r="D165" s="13">
        <v>3.6</v>
      </c>
      <c r="E165" s="13">
        <v>2.8</v>
      </c>
      <c r="F165" s="4">
        <v>5.5</v>
      </c>
      <c r="G165" s="4">
        <v>1385.8999999999999</v>
      </c>
      <c r="H165" s="4">
        <f t="shared" si="16"/>
        <v>273.70000000000005</v>
      </c>
      <c r="J165" s="4">
        <v>0</v>
      </c>
      <c r="K165" s="4">
        <v>286.39999999999992</v>
      </c>
      <c r="L165" s="4">
        <v>0.9</v>
      </c>
      <c r="M165" s="4">
        <v>161.50000000000003</v>
      </c>
      <c r="N165" s="8">
        <v>-0.9</v>
      </c>
      <c r="O165" s="4">
        <f t="shared" si="14"/>
        <v>169.8</v>
      </c>
      <c r="P165" s="4">
        <v>160</v>
      </c>
      <c r="Q165" s="4">
        <v>1</v>
      </c>
      <c r="R165" s="9">
        <f t="shared" si="12"/>
        <v>0.9</v>
      </c>
      <c r="S165" s="9">
        <f t="shared" si="13"/>
        <v>-0.9</v>
      </c>
      <c r="T165" s="9">
        <f t="shared" si="15"/>
        <v>184.29999999999995</v>
      </c>
      <c r="V165" s="10">
        <v>469.9</v>
      </c>
      <c r="W165" s="4">
        <v>130.52777777777777</v>
      </c>
      <c r="X165" s="4">
        <v>76912.399999999965</v>
      </c>
      <c r="Y165" s="4">
        <f t="shared" si="17"/>
        <v>17634.7</v>
      </c>
      <c r="AA165" s="4">
        <v>9.6910905305149306</v>
      </c>
    </row>
    <row r="166" spans="1:28" s="4" customFormat="1" x14ac:dyDescent="0.25">
      <c r="A166" s="69"/>
      <c r="B166" s="5"/>
      <c r="C166" s="6">
        <v>42044</v>
      </c>
      <c r="D166" s="13">
        <v>1</v>
      </c>
      <c r="E166" s="21">
        <v>-0.4</v>
      </c>
      <c r="F166" s="13">
        <v>2.4</v>
      </c>
      <c r="G166" s="4">
        <v>1386.8999999999999</v>
      </c>
      <c r="H166" s="4">
        <f t="shared" si="16"/>
        <v>274.70000000000005</v>
      </c>
      <c r="J166" s="4">
        <v>0.2</v>
      </c>
      <c r="K166" s="4">
        <v>286.59999999999991</v>
      </c>
      <c r="L166" s="4">
        <v>0.4</v>
      </c>
      <c r="M166" s="4">
        <v>161.90000000000003</v>
      </c>
      <c r="N166" s="8">
        <v>-0.2</v>
      </c>
      <c r="O166" s="4">
        <f t="shared" si="14"/>
        <v>169.60000000000002</v>
      </c>
      <c r="P166" s="4">
        <v>161</v>
      </c>
      <c r="Q166" s="4">
        <v>1</v>
      </c>
      <c r="R166" s="9">
        <f t="shared" si="12"/>
        <v>0.4</v>
      </c>
      <c r="S166" s="9">
        <f t="shared" si="13"/>
        <v>-0.2</v>
      </c>
      <c r="T166" s="9">
        <f t="shared" si="15"/>
        <v>184.09999999999997</v>
      </c>
      <c r="V166" s="10">
        <v>295.3</v>
      </c>
      <c r="W166" s="4">
        <v>295.3</v>
      </c>
      <c r="X166" s="4">
        <v>77207.699999999968</v>
      </c>
      <c r="Y166" s="4">
        <f t="shared" si="17"/>
        <v>17930</v>
      </c>
      <c r="AA166" s="4">
        <v>9.7464383971307509</v>
      </c>
    </row>
    <row r="167" spans="1:28" s="4" customFormat="1" x14ac:dyDescent="0.25">
      <c r="A167" s="69"/>
      <c r="B167" s="5"/>
      <c r="C167" s="6">
        <v>42045</v>
      </c>
      <c r="D167" s="13">
        <v>3.5</v>
      </c>
      <c r="E167" s="13">
        <v>1.3</v>
      </c>
      <c r="F167" s="4">
        <v>5.3</v>
      </c>
      <c r="G167" s="4">
        <v>1390.3999999999999</v>
      </c>
      <c r="H167" s="4">
        <f t="shared" si="16"/>
        <v>278.20000000000005</v>
      </c>
      <c r="J167" s="79">
        <v>0</v>
      </c>
      <c r="K167" s="4">
        <v>286.59999999999991</v>
      </c>
      <c r="L167" s="4">
        <v>0.5</v>
      </c>
      <c r="M167" s="4">
        <v>162.40000000000003</v>
      </c>
      <c r="N167" s="8">
        <v>-0.5</v>
      </c>
      <c r="O167" s="4">
        <f t="shared" si="14"/>
        <v>169.10000000000002</v>
      </c>
      <c r="P167" s="4">
        <v>162</v>
      </c>
      <c r="Q167" s="4">
        <v>1</v>
      </c>
      <c r="R167" s="9">
        <f t="shared" si="12"/>
        <v>0.5</v>
      </c>
      <c r="S167" s="9">
        <f t="shared" si="13"/>
        <v>-0.5</v>
      </c>
      <c r="T167" s="9">
        <f t="shared" si="15"/>
        <v>183.59999999999997</v>
      </c>
      <c r="V167" s="10">
        <v>401</v>
      </c>
      <c r="W167" s="4">
        <v>114.57142857142857</v>
      </c>
      <c r="X167" s="4">
        <v>77608.699999999968</v>
      </c>
      <c r="Y167" s="4">
        <f t="shared" si="17"/>
        <v>18331</v>
      </c>
      <c r="AA167" s="4">
        <v>9.8022372920506502</v>
      </c>
      <c r="AB167" s="82" t="s">
        <v>56</v>
      </c>
    </row>
    <row r="168" spans="1:28" s="4" customFormat="1" x14ac:dyDescent="0.25">
      <c r="A168" s="69"/>
      <c r="B168" s="5">
        <v>10</v>
      </c>
      <c r="C168" s="6">
        <v>42046</v>
      </c>
      <c r="D168" s="13">
        <v>3</v>
      </c>
      <c r="E168" s="13">
        <v>2.8</v>
      </c>
      <c r="F168" s="13">
        <v>4.3</v>
      </c>
      <c r="G168" s="4">
        <v>1393.3999999999999</v>
      </c>
      <c r="H168" s="4">
        <f t="shared" si="16"/>
        <v>281.20000000000005</v>
      </c>
      <c r="J168" s="79">
        <v>0</v>
      </c>
      <c r="K168" s="4">
        <v>286.59999999999991</v>
      </c>
      <c r="L168" s="4">
        <v>0.8</v>
      </c>
      <c r="M168" s="4">
        <v>163.20000000000005</v>
      </c>
      <c r="N168" s="8">
        <v>-0.8</v>
      </c>
      <c r="O168" s="4">
        <f t="shared" si="14"/>
        <v>168.3</v>
      </c>
      <c r="P168" s="4">
        <v>163</v>
      </c>
      <c r="Q168" s="4">
        <v>1</v>
      </c>
      <c r="R168" s="9">
        <f t="shared" si="12"/>
        <v>0.8</v>
      </c>
      <c r="S168" s="9">
        <f t="shared" si="13"/>
        <v>-0.8</v>
      </c>
      <c r="T168" s="9">
        <f t="shared" si="15"/>
        <v>182.79999999999995</v>
      </c>
      <c r="V168" s="10">
        <v>523.5</v>
      </c>
      <c r="W168" s="4">
        <v>174.5</v>
      </c>
      <c r="X168" s="4">
        <v>78132.199999999968</v>
      </c>
      <c r="Y168" s="4">
        <f t="shared" si="17"/>
        <v>18854.5</v>
      </c>
      <c r="AA168" s="4">
        <v>9.8584651773438203</v>
      </c>
      <c r="AB168" s="9">
        <f>AVERAGE(T174:T187)</f>
        <v>188.08571428571426</v>
      </c>
    </row>
    <row r="169" spans="1:28" s="4" customFormat="1" x14ac:dyDescent="0.25">
      <c r="A169" s="69"/>
      <c r="B169" s="5"/>
      <c r="C169" s="6">
        <v>42047</v>
      </c>
      <c r="D169" s="21">
        <v>-0.4</v>
      </c>
      <c r="E169" s="21">
        <v>-1.3</v>
      </c>
      <c r="F169" s="13">
        <v>1</v>
      </c>
      <c r="G169" s="4">
        <v>1393.4</v>
      </c>
      <c r="H169" s="4">
        <v>281.2</v>
      </c>
      <c r="J169" s="79">
        <v>0</v>
      </c>
      <c r="K169" s="4">
        <v>286.59999999999991</v>
      </c>
      <c r="L169" s="4">
        <v>0.4</v>
      </c>
      <c r="M169" s="4">
        <v>163.60000000000005</v>
      </c>
      <c r="N169" s="8">
        <v>-0.4</v>
      </c>
      <c r="O169" s="4">
        <f t="shared" si="14"/>
        <v>167.9</v>
      </c>
      <c r="P169" s="4">
        <v>164</v>
      </c>
      <c r="Q169" s="4">
        <v>1</v>
      </c>
      <c r="R169" s="9">
        <f t="shared" si="12"/>
        <v>0.4</v>
      </c>
      <c r="S169" s="9">
        <f t="shared" si="13"/>
        <v>-0.4</v>
      </c>
      <c r="T169" s="9">
        <f t="shared" si="15"/>
        <v>182.39999999999995</v>
      </c>
      <c r="V169" s="10">
        <v>399</v>
      </c>
      <c r="W169" s="4">
        <v>-997.5</v>
      </c>
      <c r="X169" s="4">
        <v>78531.199999999968</v>
      </c>
      <c r="Y169" s="4">
        <f t="shared" si="17"/>
        <v>19253.5</v>
      </c>
      <c r="AA169" s="4">
        <v>9.9151007358076004</v>
      </c>
      <c r="AB169" s="82" t="s">
        <v>50</v>
      </c>
    </row>
    <row r="170" spans="1:28" s="4" customFormat="1" x14ac:dyDescent="0.25">
      <c r="A170" s="69"/>
      <c r="B170" s="5"/>
      <c r="C170" s="6">
        <v>42048</v>
      </c>
      <c r="D170" s="4">
        <v>5.4</v>
      </c>
      <c r="E170" s="21">
        <v>-1.4</v>
      </c>
      <c r="F170" s="4">
        <v>9.4</v>
      </c>
      <c r="G170" s="4">
        <v>1398.8000000000002</v>
      </c>
      <c r="H170" s="4">
        <f t="shared" si="16"/>
        <v>286.59999999999997</v>
      </c>
      <c r="J170" s="79">
        <v>2.1</v>
      </c>
      <c r="K170" s="4">
        <v>288.69999999999993</v>
      </c>
      <c r="L170" s="4">
        <v>0.4</v>
      </c>
      <c r="M170" s="4">
        <v>164.00000000000006</v>
      </c>
      <c r="N170" s="4">
        <v>1.7000000000000002</v>
      </c>
      <c r="O170" s="4">
        <f t="shared" si="14"/>
        <v>169.6</v>
      </c>
      <c r="P170" s="4">
        <v>165</v>
      </c>
      <c r="Q170" s="4">
        <v>1</v>
      </c>
      <c r="R170" s="9">
        <f t="shared" si="12"/>
        <v>0.4</v>
      </c>
      <c r="S170" s="9">
        <f t="shared" si="13"/>
        <v>1.7000000000000002</v>
      </c>
      <c r="T170" s="9">
        <f t="shared" si="15"/>
        <v>184.09999999999994</v>
      </c>
      <c r="V170" s="10">
        <v>471.8</v>
      </c>
      <c r="W170" s="4">
        <v>87.370370370370367</v>
      </c>
      <c r="X170" s="4">
        <v>79002.999999999971</v>
      </c>
      <c r="Y170" s="4">
        <f t="shared" si="17"/>
        <v>19725.3</v>
      </c>
      <c r="AA170" s="4">
        <v>9.9721233656181401</v>
      </c>
      <c r="AB170" s="4">
        <v>3</v>
      </c>
    </row>
    <row r="171" spans="1:28" s="4" customFormat="1" x14ac:dyDescent="0.25">
      <c r="A171" s="69"/>
      <c r="B171" s="5"/>
      <c r="C171" s="6">
        <v>42049</v>
      </c>
      <c r="D171" s="4">
        <v>6.1</v>
      </c>
      <c r="E171" s="13">
        <v>4.8</v>
      </c>
      <c r="F171" s="4">
        <v>7.9</v>
      </c>
      <c r="G171" s="4">
        <v>1404.9</v>
      </c>
      <c r="H171" s="4">
        <f t="shared" si="16"/>
        <v>292.7</v>
      </c>
      <c r="J171" s="79">
        <v>1.8</v>
      </c>
      <c r="K171" s="4">
        <v>290.49999999999994</v>
      </c>
      <c r="L171" s="4">
        <v>0.5</v>
      </c>
      <c r="M171" s="4">
        <v>164.50000000000006</v>
      </c>
      <c r="N171" s="4">
        <v>1.3</v>
      </c>
      <c r="O171" s="4">
        <f t="shared" si="14"/>
        <v>170.9</v>
      </c>
      <c r="P171" s="4">
        <v>166</v>
      </c>
      <c r="Q171" s="4">
        <v>1</v>
      </c>
      <c r="R171" s="9">
        <f t="shared" si="12"/>
        <v>0.5</v>
      </c>
      <c r="S171" s="9">
        <f t="shared" si="13"/>
        <v>1.3</v>
      </c>
      <c r="T171" s="9">
        <f t="shared" si="15"/>
        <v>185.39999999999995</v>
      </c>
      <c r="V171" s="10">
        <v>136.5</v>
      </c>
      <c r="W171" s="4">
        <v>22.377049180327869</v>
      </c>
      <c r="X171" s="4">
        <v>79139.499999999971</v>
      </c>
      <c r="Y171" s="4">
        <f t="shared" si="17"/>
        <v>19861.8</v>
      </c>
      <c r="AA171" s="4">
        <v>10.0295131730956</v>
      </c>
      <c r="AB171" s="82" t="s">
        <v>51</v>
      </c>
    </row>
    <row r="172" spans="1:28" s="4" customFormat="1" x14ac:dyDescent="0.25">
      <c r="A172" s="69"/>
      <c r="B172" s="5"/>
      <c r="C172" s="6">
        <v>42050</v>
      </c>
      <c r="D172" s="4">
        <v>5.5</v>
      </c>
      <c r="E172" s="13">
        <v>3.7</v>
      </c>
      <c r="F172" s="4">
        <v>8.1999999999999993</v>
      </c>
      <c r="G172" s="4">
        <v>1410.4</v>
      </c>
      <c r="H172" s="4">
        <f t="shared" si="16"/>
        <v>298.2</v>
      </c>
      <c r="J172" s="79">
        <v>0.2</v>
      </c>
      <c r="K172" s="4">
        <v>290.69999999999993</v>
      </c>
      <c r="L172" s="4">
        <v>0.8</v>
      </c>
      <c r="M172" s="4">
        <v>165.30000000000007</v>
      </c>
      <c r="N172" s="8">
        <v>-0.60000000000000009</v>
      </c>
      <c r="O172" s="4">
        <f t="shared" si="14"/>
        <v>170.3</v>
      </c>
      <c r="P172" s="4">
        <v>167</v>
      </c>
      <c r="Q172" s="4">
        <v>1</v>
      </c>
      <c r="R172" s="9">
        <f t="shared" si="12"/>
        <v>0.8</v>
      </c>
      <c r="S172" s="9">
        <f t="shared" si="13"/>
        <v>-0.60000000000000009</v>
      </c>
      <c r="T172" s="9">
        <f t="shared" si="15"/>
        <v>184.79999999999995</v>
      </c>
      <c r="V172" s="10">
        <v>595.79999999999995</v>
      </c>
      <c r="W172" s="4">
        <v>108.32727272727271</v>
      </c>
      <c r="X172" s="4">
        <v>79735.299999999974</v>
      </c>
      <c r="Y172" s="4">
        <f t="shared" si="17"/>
        <v>20457.599999999999</v>
      </c>
      <c r="AA172" s="4">
        <v>10.087250963746801</v>
      </c>
      <c r="AB172" s="4">
        <v>1</v>
      </c>
    </row>
    <row r="173" spans="1:28" s="4" customFormat="1" x14ac:dyDescent="0.25">
      <c r="A173" s="69"/>
      <c r="B173" s="5"/>
      <c r="C173" s="6">
        <v>42051</v>
      </c>
      <c r="D173" s="13">
        <v>3</v>
      </c>
      <c r="E173" s="21">
        <v>-0.6</v>
      </c>
      <c r="F173" s="4">
        <v>5.0999999999999996</v>
      </c>
      <c r="G173" s="4">
        <v>1413.4</v>
      </c>
      <c r="H173" s="4">
        <f t="shared" si="16"/>
        <v>301.2</v>
      </c>
      <c r="J173" s="79">
        <v>0</v>
      </c>
      <c r="K173" s="4">
        <v>290.69999999999993</v>
      </c>
      <c r="L173" s="4">
        <v>0.3</v>
      </c>
      <c r="M173" s="4">
        <v>165.60000000000008</v>
      </c>
      <c r="N173" s="8">
        <v>-0.3</v>
      </c>
      <c r="O173" s="4">
        <f t="shared" si="14"/>
        <v>170</v>
      </c>
      <c r="P173" s="4">
        <v>168</v>
      </c>
      <c r="Q173" s="4">
        <v>1</v>
      </c>
      <c r="R173" s="9">
        <f t="shared" si="12"/>
        <v>0.3</v>
      </c>
      <c r="S173" s="9">
        <f t="shared" si="13"/>
        <v>-0.3</v>
      </c>
      <c r="T173" s="9">
        <f t="shared" si="15"/>
        <v>184.49999999999994</v>
      </c>
      <c r="V173" s="10">
        <v>320.5</v>
      </c>
      <c r="W173" s="4">
        <v>106.83333333333333</v>
      </c>
      <c r="X173" s="4">
        <v>80055.799999999974</v>
      </c>
      <c r="Y173" s="4">
        <f t="shared" si="17"/>
        <v>20778.099999999999</v>
      </c>
      <c r="AA173" s="4">
        <v>10.145318231742101</v>
      </c>
      <c r="AB173" s="82" t="s">
        <v>52</v>
      </c>
    </row>
    <row r="174" spans="1:28" s="4" customFormat="1" x14ac:dyDescent="0.25">
      <c r="A174" s="69"/>
      <c r="B174" s="5"/>
      <c r="C174" s="6">
        <v>42052</v>
      </c>
      <c r="D174" s="13">
        <v>4.3</v>
      </c>
      <c r="E174" s="13">
        <v>3.9</v>
      </c>
      <c r="F174" s="4">
        <v>5.9</v>
      </c>
      <c r="G174" s="4">
        <v>1417.7</v>
      </c>
      <c r="H174" s="4">
        <f t="shared" si="16"/>
        <v>305.5</v>
      </c>
      <c r="J174" s="79">
        <v>0.3</v>
      </c>
      <c r="K174" s="4">
        <v>290.99999999999994</v>
      </c>
      <c r="L174" s="4">
        <v>0.6</v>
      </c>
      <c r="M174" s="4">
        <v>166.20000000000007</v>
      </c>
      <c r="N174" s="8">
        <v>-0.3</v>
      </c>
      <c r="O174" s="4">
        <f t="shared" si="14"/>
        <v>169.7</v>
      </c>
      <c r="P174" s="4">
        <v>169</v>
      </c>
      <c r="Q174" s="4">
        <v>1</v>
      </c>
      <c r="R174" s="9">
        <f t="shared" si="12"/>
        <v>0.6</v>
      </c>
      <c r="S174" s="9">
        <f t="shared" si="13"/>
        <v>-0.3</v>
      </c>
      <c r="T174" s="81">
        <f t="shared" si="15"/>
        <v>184.19999999999993</v>
      </c>
      <c r="V174" s="10">
        <v>409.3</v>
      </c>
      <c r="W174" s="4">
        <v>95.186046511627907</v>
      </c>
      <c r="X174" s="4">
        <v>80465.099999999977</v>
      </c>
      <c r="Y174" s="4">
        <f t="shared" si="17"/>
        <v>21187.399999999998</v>
      </c>
      <c r="AA174" s="4">
        <v>10.2036971479745</v>
      </c>
      <c r="AB174" s="4">
        <v>5</v>
      </c>
    </row>
    <row r="175" spans="1:28" s="4" customFormat="1" x14ac:dyDescent="0.25">
      <c r="A175" s="69"/>
      <c r="B175" s="5"/>
      <c r="C175" s="6">
        <v>42053</v>
      </c>
      <c r="D175" s="13">
        <v>0.6</v>
      </c>
      <c r="E175" s="21">
        <v>-1.6</v>
      </c>
      <c r="F175" s="13">
        <v>2.8</v>
      </c>
      <c r="G175" s="4">
        <v>1418.3</v>
      </c>
      <c r="H175" s="4">
        <f t="shared" si="16"/>
        <v>306.10000000000002</v>
      </c>
      <c r="J175" s="79">
        <v>0</v>
      </c>
      <c r="K175" s="4">
        <v>290.99999999999994</v>
      </c>
      <c r="L175" s="4">
        <v>0.5</v>
      </c>
      <c r="M175" s="4">
        <v>166.70000000000007</v>
      </c>
      <c r="N175" s="8">
        <v>-0.5</v>
      </c>
      <c r="O175" s="4">
        <f t="shared" si="14"/>
        <v>169.2</v>
      </c>
      <c r="P175" s="4">
        <v>170</v>
      </c>
      <c r="Q175" s="4">
        <v>1</v>
      </c>
      <c r="R175" s="9">
        <f t="shared" si="12"/>
        <v>0.5</v>
      </c>
      <c r="S175" s="9">
        <f t="shared" si="13"/>
        <v>-0.5</v>
      </c>
      <c r="T175" s="81">
        <f t="shared" si="15"/>
        <v>183.69999999999993</v>
      </c>
      <c r="V175" s="10">
        <v>401.3</v>
      </c>
      <c r="W175" s="4">
        <v>668.83333333333337</v>
      </c>
      <c r="X175" s="4">
        <v>80866.39999999998</v>
      </c>
      <c r="Y175" s="4">
        <f t="shared" si="17"/>
        <v>21588.699999999997</v>
      </c>
      <c r="AA175" s="4">
        <v>10.262370546844201</v>
      </c>
      <c r="AB175" s="82" t="s">
        <v>53</v>
      </c>
    </row>
    <row r="176" spans="1:28" s="4" customFormat="1" x14ac:dyDescent="0.25">
      <c r="A176" s="69"/>
      <c r="B176" s="5"/>
      <c r="C176" s="6">
        <v>42054</v>
      </c>
      <c r="D176" s="13">
        <v>3</v>
      </c>
      <c r="E176" s="13">
        <v>0.4</v>
      </c>
      <c r="F176" s="4">
        <v>4.9000000000000004</v>
      </c>
      <c r="G176" s="4">
        <v>1421.3</v>
      </c>
      <c r="H176" s="4">
        <f t="shared" si="16"/>
        <v>309.10000000000002</v>
      </c>
      <c r="J176" s="79">
        <v>2.5</v>
      </c>
      <c r="K176" s="4">
        <v>293.49999999999994</v>
      </c>
      <c r="L176" s="4">
        <v>0.6</v>
      </c>
      <c r="M176" s="4">
        <v>167.30000000000007</v>
      </c>
      <c r="N176" s="4">
        <v>1.9</v>
      </c>
      <c r="O176" s="4">
        <f t="shared" si="14"/>
        <v>171.1</v>
      </c>
      <c r="P176" s="4">
        <v>171</v>
      </c>
      <c r="Q176" s="4">
        <v>1</v>
      </c>
      <c r="R176" s="9">
        <f t="shared" si="12"/>
        <v>0.6</v>
      </c>
      <c r="S176" s="9">
        <f t="shared" si="13"/>
        <v>1.9</v>
      </c>
      <c r="T176" s="81">
        <f t="shared" si="15"/>
        <v>185.59999999999994</v>
      </c>
      <c r="V176" s="10">
        <v>623.29999999999995</v>
      </c>
      <c r="W176" s="4">
        <v>207.76666666666665</v>
      </c>
      <c r="X176" s="4">
        <v>81489.699999999983</v>
      </c>
      <c r="Y176" s="4">
        <f t="shared" si="17"/>
        <v>22211.999999999996</v>
      </c>
      <c r="AA176" s="4">
        <v>10.3213219118997</v>
      </c>
      <c r="AB176" s="4">
        <f>SUM(J178:J187)</f>
        <v>29.400000000000002</v>
      </c>
    </row>
    <row r="177" spans="1:30" s="75" customFormat="1" x14ac:dyDescent="0.25">
      <c r="A177" s="69"/>
      <c r="B177" s="73" t="s">
        <v>54</v>
      </c>
      <c r="C177" s="74">
        <v>42055</v>
      </c>
      <c r="D177" s="75">
        <v>5.8</v>
      </c>
      <c r="E177" s="76">
        <v>4.2</v>
      </c>
      <c r="F177" s="75">
        <v>7.3</v>
      </c>
      <c r="G177" s="75">
        <v>1427.1</v>
      </c>
      <c r="H177" s="75">
        <f t="shared" si="16"/>
        <v>314.90000000000003</v>
      </c>
      <c r="J177" s="75">
        <v>11.5</v>
      </c>
      <c r="K177" s="75">
        <v>304.99999999999994</v>
      </c>
      <c r="L177" s="75">
        <v>0.6</v>
      </c>
      <c r="M177" s="75">
        <v>167.90000000000006</v>
      </c>
      <c r="N177" s="75">
        <v>10.9</v>
      </c>
      <c r="O177" s="75">
        <f t="shared" si="14"/>
        <v>182</v>
      </c>
      <c r="P177" s="75">
        <v>172</v>
      </c>
      <c r="Q177" s="75">
        <v>1</v>
      </c>
      <c r="R177" s="77">
        <f t="shared" si="12"/>
        <v>0.6</v>
      </c>
      <c r="S177" s="77">
        <f t="shared" si="13"/>
        <v>10.9</v>
      </c>
      <c r="T177" s="77">
        <f t="shared" si="15"/>
        <v>189.6</v>
      </c>
      <c r="V177" s="76">
        <v>182</v>
      </c>
      <c r="W177" s="75">
        <v>31.379310344827587</v>
      </c>
      <c r="X177" s="75">
        <v>81671.699999999983</v>
      </c>
      <c r="Y177" s="75">
        <f t="shared" si="17"/>
        <v>22393.999999999996</v>
      </c>
      <c r="AA177" s="75">
        <v>10.3805353604641</v>
      </c>
    </row>
    <row r="178" spans="1:30" s="4" customFormat="1" x14ac:dyDescent="0.25">
      <c r="A178" s="69"/>
      <c r="B178" s="5"/>
      <c r="C178" s="6">
        <v>42056</v>
      </c>
      <c r="D178" s="13">
        <v>2.7</v>
      </c>
      <c r="E178" s="13">
        <v>2.1</v>
      </c>
      <c r="F178" s="13">
        <v>3.7</v>
      </c>
      <c r="G178" s="4">
        <v>1429.8</v>
      </c>
      <c r="H178" s="4">
        <f t="shared" si="16"/>
        <v>317.60000000000002</v>
      </c>
      <c r="J178" s="79">
        <v>1.8</v>
      </c>
      <c r="K178" s="4">
        <v>306.79999999999995</v>
      </c>
      <c r="L178" s="4">
        <v>0.4</v>
      </c>
      <c r="M178" s="4">
        <v>168.30000000000007</v>
      </c>
      <c r="N178" s="4">
        <v>1.4</v>
      </c>
      <c r="O178" s="4">
        <f t="shared" si="14"/>
        <v>183.4</v>
      </c>
      <c r="P178" s="4">
        <v>173</v>
      </c>
      <c r="Q178" s="4">
        <v>1</v>
      </c>
      <c r="R178" s="9">
        <f t="shared" si="12"/>
        <v>0.4</v>
      </c>
      <c r="S178" s="9">
        <f t="shared" si="13"/>
        <v>1.4</v>
      </c>
      <c r="T178" s="81">
        <f t="shared" si="15"/>
        <v>189.6</v>
      </c>
      <c r="V178" s="10">
        <v>282.3</v>
      </c>
      <c r="W178" s="4">
        <v>104.55555555555556</v>
      </c>
      <c r="X178" s="4">
        <v>81953.999999999985</v>
      </c>
      <c r="Y178" s="4">
        <f t="shared" si="17"/>
        <v>22676.299999999996</v>
      </c>
      <c r="AA178" s="4">
        <v>10.4399956273618</v>
      </c>
    </row>
    <row r="179" spans="1:30" s="4" customFormat="1" x14ac:dyDescent="0.25">
      <c r="A179" s="69"/>
      <c r="B179" s="5"/>
      <c r="C179" s="6">
        <v>42057</v>
      </c>
      <c r="D179" s="13">
        <v>3.6</v>
      </c>
      <c r="E179" s="21">
        <v>-0.7</v>
      </c>
      <c r="F179" s="4">
        <v>6.5</v>
      </c>
      <c r="G179" s="4">
        <v>1433.3999999999999</v>
      </c>
      <c r="H179" s="4">
        <f t="shared" si="16"/>
        <v>321.20000000000005</v>
      </c>
      <c r="J179" s="79">
        <v>8.8000000000000007</v>
      </c>
      <c r="K179" s="4">
        <v>315.59999999999997</v>
      </c>
      <c r="L179" s="4">
        <v>0.7</v>
      </c>
      <c r="M179" s="4">
        <v>169.00000000000006</v>
      </c>
      <c r="N179" s="4">
        <v>8.1000000000000014</v>
      </c>
      <c r="O179" s="4">
        <f t="shared" si="14"/>
        <v>191.5</v>
      </c>
      <c r="P179" s="4">
        <v>174</v>
      </c>
      <c r="Q179" s="4">
        <v>1</v>
      </c>
      <c r="R179" s="9">
        <f t="shared" si="12"/>
        <v>0.7</v>
      </c>
      <c r="S179" s="9">
        <f t="shared" si="13"/>
        <v>8.1000000000000014</v>
      </c>
      <c r="T179" s="81">
        <f t="shared" si="15"/>
        <v>189.6</v>
      </c>
      <c r="V179" s="10">
        <v>617.9</v>
      </c>
      <c r="W179" s="4">
        <v>171.63888888888889</v>
      </c>
      <c r="X179" s="4">
        <v>82571.89999999998</v>
      </c>
      <c r="Y179" s="4">
        <f t="shared" si="17"/>
        <v>23294.199999999997</v>
      </c>
      <c r="AA179" s="4">
        <v>10.499688047858401</v>
      </c>
    </row>
    <row r="180" spans="1:30" s="4" customFormat="1" x14ac:dyDescent="0.25">
      <c r="A180" s="69"/>
      <c r="B180" s="5"/>
      <c r="C180" s="6">
        <v>42058</v>
      </c>
      <c r="D180" s="4">
        <v>5.9</v>
      </c>
      <c r="E180" s="13">
        <v>3.9</v>
      </c>
      <c r="F180" s="4">
        <v>9.8000000000000007</v>
      </c>
      <c r="G180" s="4">
        <v>1439.3</v>
      </c>
      <c r="H180" s="4">
        <f t="shared" si="16"/>
        <v>327.10000000000002</v>
      </c>
      <c r="J180" s="79">
        <v>0.3</v>
      </c>
      <c r="K180" s="4">
        <v>315.89999999999998</v>
      </c>
      <c r="L180" s="4">
        <v>1.4</v>
      </c>
      <c r="M180" s="4">
        <v>170.40000000000006</v>
      </c>
      <c r="N180" s="8">
        <v>-1.0999999999999999</v>
      </c>
      <c r="O180" s="4">
        <f t="shared" si="14"/>
        <v>190.4</v>
      </c>
      <c r="P180" s="4">
        <v>175</v>
      </c>
      <c r="Q180" s="4">
        <v>1</v>
      </c>
      <c r="R180" s="9">
        <f t="shared" si="12"/>
        <v>1.4</v>
      </c>
      <c r="S180" s="9">
        <f t="shared" si="13"/>
        <v>-1.0999999999999999</v>
      </c>
      <c r="T180" s="81">
        <f t="shared" si="15"/>
        <v>188.5</v>
      </c>
      <c r="V180" s="10">
        <v>709.9</v>
      </c>
      <c r="W180" s="4">
        <v>120.32203389830508</v>
      </c>
      <c r="X180" s="4">
        <v>83281.799999999974</v>
      </c>
      <c r="Y180" s="4">
        <f t="shared" si="17"/>
        <v>24004.1</v>
      </c>
      <c r="AA180" s="4">
        <v>10.5595985399135</v>
      </c>
    </row>
    <row r="181" spans="1:30" s="4" customFormat="1" x14ac:dyDescent="0.25">
      <c r="A181" s="69"/>
      <c r="B181" s="5"/>
      <c r="C181" s="6">
        <v>42059</v>
      </c>
      <c r="D181" s="13">
        <v>4.9000000000000004</v>
      </c>
      <c r="E181" s="13">
        <v>2.2999999999999998</v>
      </c>
      <c r="F181" s="4">
        <v>8.5</v>
      </c>
      <c r="G181" s="4">
        <v>1444.2</v>
      </c>
      <c r="H181" s="4">
        <f t="shared" si="16"/>
        <v>332</v>
      </c>
      <c r="J181" s="79">
        <v>1.2</v>
      </c>
      <c r="K181" s="4">
        <v>317.09999999999997</v>
      </c>
      <c r="L181" s="4">
        <v>1.2</v>
      </c>
      <c r="M181" s="4">
        <v>171.60000000000005</v>
      </c>
      <c r="N181" s="4">
        <v>0</v>
      </c>
      <c r="O181" s="4">
        <f t="shared" si="14"/>
        <v>190.4</v>
      </c>
      <c r="P181" s="4">
        <v>176</v>
      </c>
      <c r="Q181" s="4">
        <v>1</v>
      </c>
      <c r="R181" s="9">
        <f t="shared" si="12"/>
        <v>1.2</v>
      </c>
      <c r="S181" s="9">
        <f t="shared" si="13"/>
        <v>0</v>
      </c>
      <c r="T181" s="81">
        <f t="shared" si="15"/>
        <v>188.5</v>
      </c>
      <c r="V181" s="10">
        <v>732.6</v>
      </c>
      <c r="W181" s="4">
        <v>149.51020408163265</v>
      </c>
      <c r="X181" s="4">
        <v>84014.39999999998</v>
      </c>
      <c r="Y181" s="4">
        <f t="shared" si="17"/>
        <v>24736.699999999997</v>
      </c>
      <c r="AA181" s="4">
        <v>10.6197135858434</v>
      </c>
    </row>
    <row r="182" spans="1:30" s="4" customFormat="1" x14ac:dyDescent="0.25">
      <c r="A182" s="69"/>
      <c r="B182" s="5"/>
      <c r="C182" s="6">
        <v>42060</v>
      </c>
      <c r="D182" s="4">
        <v>5.3</v>
      </c>
      <c r="E182" s="13">
        <v>1.9</v>
      </c>
      <c r="F182" s="4">
        <v>7.4</v>
      </c>
      <c r="G182" s="4">
        <v>1449.5</v>
      </c>
      <c r="H182" s="4">
        <f t="shared" si="16"/>
        <v>337.3</v>
      </c>
      <c r="J182" s="79">
        <v>2.1</v>
      </c>
      <c r="K182" s="4">
        <v>319.2</v>
      </c>
      <c r="L182" s="4">
        <v>0.2</v>
      </c>
      <c r="M182" s="4">
        <v>171.80000000000004</v>
      </c>
      <c r="N182" s="4">
        <v>1.9000000000000001</v>
      </c>
      <c r="O182" s="4">
        <f t="shared" si="14"/>
        <v>192.3</v>
      </c>
      <c r="P182" s="4">
        <v>177</v>
      </c>
      <c r="Q182" s="4">
        <v>1</v>
      </c>
      <c r="R182" s="9">
        <f t="shared" si="12"/>
        <v>0.2</v>
      </c>
      <c r="S182" s="9">
        <f t="shared" si="13"/>
        <v>1.9000000000000001</v>
      </c>
      <c r="T182" s="81">
        <f t="shared" si="15"/>
        <v>189.6</v>
      </c>
      <c r="V182" s="10">
        <v>194</v>
      </c>
      <c r="W182" s="4">
        <v>36.60377358490566</v>
      </c>
      <c r="X182" s="4">
        <v>84208.39999999998</v>
      </c>
      <c r="Y182" s="4">
        <f t="shared" si="17"/>
        <v>24930.699999999997</v>
      </c>
      <c r="AA182" s="4">
        <v>10.6800202134794</v>
      </c>
      <c r="AD182" s="82" t="s">
        <v>56</v>
      </c>
    </row>
    <row r="183" spans="1:30" s="4" customFormat="1" x14ac:dyDescent="0.25">
      <c r="A183" s="69"/>
      <c r="B183" s="5"/>
      <c r="C183" s="6">
        <v>42061</v>
      </c>
      <c r="D183" s="4">
        <v>7.6</v>
      </c>
      <c r="E183" s="4">
        <v>5.4</v>
      </c>
      <c r="F183" s="4">
        <v>9.8000000000000007</v>
      </c>
      <c r="G183" s="4">
        <v>1457.1</v>
      </c>
      <c r="H183" s="4">
        <f t="shared" si="16"/>
        <v>344.90000000000003</v>
      </c>
      <c r="J183" s="79">
        <v>9.6999999999999993</v>
      </c>
      <c r="K183" s="4">
        <v>328.9</v>
      </c>
      <c r="L183" s="4">
        <v>0.3</v>
      </c>
      <c r="M183" s="4">
        <v>172.10000000000005</v>
      </c>
      <c r="N183" s="4">
        <v>9.3999999999999986</v>
      </c>
      <c r="O183" s="4">
        <f t="shared" si="14"/>
        <v>201.70000000000002</v>
      </c>
      <c r="P183" s="4">
        <v>178</v>
      </c>
      <c r="Q183" s="4">
        <v>1</v>
      </c>
      <c r="R183" s="9">
        <f t="shared" si="12"/>
        <v>0.3</v>
      </c>
      <c r="S183" s="9">
        <f t="shared" si="13"/>
        <v>9.3999999999999986</v>
      </c>
      <c r="T183" s="81">
        <f t="shared" si="15"/>
        <v>189.6</v>
      </c>
      <c r="V183" s="10">
        <v>207.8</v>
      </c>
      <c r="W183" s="4">
        <v>27.342105263157897</v>
      </c>
      <c r="X183" s="4">
        <v>84416.199999999983</v>
      </c>
      <c r="Y183" s="4">
        <f t="shared" si="17"/>
        <v>25138.499999999996</v>
      </c>
      <c r="AA183" s="4">
        <v>10.7405059769033</v>
      </c>
      <c r="AD183" s="11">
        <f>(AB168*(50/130))+(AB189*(80/130))</f>
        <v>177.92754578754574</v>
      </c>
    </row>
    <row r="184" spans="1:30" s="4" customFormat="1" x14ac:dyDescent="0.25">
      <c r="A184" s="69"/>
      <c r="B184" s="5"/>
      <c r="C184" s="6">
        <v>42062</v>
      </c>
      <c r="D184" s="13">
        <v>4</v>
      </c>
      <c r="E184" s="13">
        <v>2.1</v>
      </c>
      <c r="F184" s="4">
        <v>6.9</v>
      </c>
      <c r="G184" s="4">
        <v>1461.1</v>
      </c>
      <c r="H184" s="4">
        <f t="shared" si="16"/>
        <v>348.90000000000003</v>
      </c>
      <c r="J184" s="79">
        <v>0</v>
      </c>
      <c r="K184" s="4">
        <v>328.9</v>
      </c>
      <c r="L184" s="4">
        <v>1.2</v>
      </c>
      <c r="M184" s="4">
        <v>173.30000000000004</v>
      </c>
      <c r="N184" s="8">
        <v>-1.2</v>
      </c>
      <c r="O184" s="4">
        <f t="shared" si="14"/>
        <v>200.50000000000003</v>
      </c>
      <c r="P184" s="4">
        <v>179</v>
      </c>
      <c r="Q184" s="4">
        <v>1</v>
      </c>
      <c r="R184" s="9">
        <f t="shared" si="12"/>
        <v>1.2</v>
      </c>
      <c r="S184" s="9">
        <f t="shared" si="13"/>
        <v>-1.2</v>
      </c>
      <c r="T184" s="81">
        <f t="shared" si="15"/>
        <v>188.4</v>
      </c>
      <c r="V184" s="10">
        <v>885</v>
      </c>
      <c r="W184" s="4">
        <v>221.25</v>
      </c>
      <c r="X184" s="4">
        <v>85301.199999999983</v>
      </c>
      <c r="Y184" s="4">
        <f t="shared" si="17"/>
        <v>26023.499999999996</v>
      </c>
      <c r="AA184" s="4">
        <v>10.8011589368326</v>
      </c>
      <c r="AD184" s="82" t="s">
        <v>50</v>
      </c>
    </row>
    <row r="185" spans="1:30" s="4" customFormat="1" x14ac:dyDescent="0.25">
      <c r="A185" s="69"/>
      <c r="B185" s="5"/>
      <c r="C185" s="6">
        <v>42063</v>
      </c>
      <c r="D185" s="4">
        <v>5.2</v>
      </c>
      <c r="E185" s="21">
        <v>-0.3</v>
      </c>
      <c r="F185" s="4">
        <v>9.3000000000000007</v>
      </c>
      <c r="G185" s="4">
        <v>1466.3</v>
      </c>
      <c r="H185" s="4">
        <f t="shared" si="16"/>
        <v>354.1</v>
      </c>
      <c r="J185" s="79">
        <v>3.6</v>
      </c>
      <c r="K185" s="4">
        <v>332.5</v>
      </c>
      <c r="L185" s="4">
        <v>0.8</v>
      </c>
      <c r="M185" s="4">
        <v>174.10000000000005</v>
      </c>
      <c r="N185" s="4">
        <v>2.8</v>
      </c>
      <c r="O185" s="4">
        <f t="shared" si="14"/>
        <v>203.30000000000004</v>
      </c>
      <c r="P185" s="4">
        <v>180</v>
      </c>
      <c r="Q185" s="4">
        <v>1</v>
      </c>
      <c r="R185" s="9">
        <f t="shared" si="12"/>
        <v>0.8</v>
      </c>
      <c r="S185" s="9">
        <f t="shared" si="13"/>
        <v>2.8</v>
      </c>
      <c r="T185" s="81">
        <f t="shared" si="15"/>
        <v>189.6</v>
      </c>
      <c r="V185" s="10">
        <v>555.6</v>
      </c>
      <c r="W185" s="4">
        <v>106.84615384615385</v>
      </c>
      <c r="X185" s="4">
        <v>85856.799999999988</v>
      </c>
      <c r="Y185" s="4">
        <f t="shared" si="17"/>
        <v>26579.099999999995</v>
      </c>
      <c r="AA185" s="4">
        <v>10.861967640722799</v>
      </c>
      <c r="AD185" s="9">
        <f>(AB170*(50/130))+(AB191*(80/130))</f>
        <v>2.384615384615385</v>
      </c>
    </row>
    <row r="186" spans="1:30" s="4" customFormat="1" x14ac:dyDescent="0.25">
      <c r="A186" s="69"/>
      <c r="B186" s="5"/>
      <c r="C186" s="6">
        <v>42064</v>
      </c>
      <c r="D186" s="4">
        <v>9.1</v>
      </c>
      <c r="E186" s="4">
        <v>7</v>
      </c>
      <c r="F186" s="4">
        <v>11</v>
      </c>
      <c r="G186" s="4">
        <v>1475.3999999999999</v>
      </c>
      <c r="H186" s="4">
        <f t="shared" si="16"/>
        <v>363.20000000000005</v>
      </c>
      <c r="J186" s="79">
        <v>0.3</v>
      </c>
      <c r="K186" s="4">
        <v>332.8</v>
      </c>
      <c r="L186" s="4">
        <v>1.6</v>
      </c>
      <c r="M186" s="4">
        <v>175.70000000000005</v>
      </c>
      <c r="N186" s="8">
        <v>-1.3</v>
      </c>
      <c r="O186" s="4">
        <f t="shared" si="14"/>
        <v>202.00000000000003</v>
      </c>
      <c r="P186" s="4">
        <v>181</v>
      </c>
      <c r="Q186" s="4">
        <v>1</v>
      </c>
      <c r="R186" s="9">
        <f t="shared" si="12"/>
        <v>1.6</v>
      </c>
      <c r="S186" s="9">
        <f t="shared" si="13"/>
        <v>-1.3</v>
      </c>
      <c r="T186" s="81">
        <f t="shared" si="15"/>
        <v>188.29999999999998</v>
      </c>
      <c r="V186" s="10">
        <v>777.1</v>
      </c>
      <c r="W186" s="4">
        <v>85.395604395604408</v>
      </c>
      <c r="X186" s="4">
        <v>86633.9</v>
      </c>
      <c r="Y186" s="4">
        <f t="shared" si="17"/>
        <v>27356.199999999993</v>
      </c>
      <c r="AA186" s="4">
        <v>10.922921102646299</v>
      </c>
      <c r="AD186" s="82" t="s">
        <v>51</v>
      </c>
    </row>
    <row r="187" spans="1:30" s="4" customFormat="1" x14ac:dyDescent="0.25">
      <c r="A187" s="69"/>
      <c r="B187" s="5"/>
      <c r="C187" s="6">
        <v>42065</v>
      </c>
      <c r="D187" s="4">
        <v>5.6</v>
      </c>
      <c r="E187" s="13">
        <v>4.8</v>
      </c>
      <c r="F187" s="4">
        <v>7.3</v>
      </c>
      <c r="G187" s="4">
        <v>1480.9999999999998</v>
      </c>
      <c r="H187" s="4">
        <f t="shared" si="16"/>
        <v>368.80000000000007</v>
      </c>
      <c r="J187" s="79">
        <v>1.6</v>
      </c>
      <c r="K187" s="4">
        <v>334.40000000000003</v>
      </c>
      <c r="L187" s="4">
        <v>1.5</v>
      </c>
      <c r="M187" s="4">
        <v>177.20000000000005</v>
      </c>
      <c r="N187" s="4">
        <v>0.10000000000000009</v>
      </c>
      <c r="O187" s="4">
        <f t="shared" si="14"/>
        <v>202.10000000000002</v>
      </c>
      <c r="P187" s="4">
        <v>182</v>
      </c>
      <c r="Q187" s="4">
        <v>1</v>
      </c>
      <c r="R187" s="9">
        <f t="shared" si="12"/>
        <v>1.5</v>
      </c>
      <c r="S187" s="9">
        <f t="shared" si="13"/>
        <v>0.10000000000000009</v>
      </c>
      <c r="T187" s="81">
        <f t="shared" si="15"/>
        <v>188.39999999999998</v>
      </c>
      <c r="V187" s="4">
        <v>964.7</v>
      </c>
      <c r="W187" s="4">
        <v>172.26785714285717</v>
      </c>
      <c r="X187" s="4">
        <v>87598.599999999991</v>
      </c>
      <c r="Y187" s="4">
        <f t="shared" si="17"/>
        <v>28320.899999999994</v>
      </c>
      <c r="AA187" s="4">
        <v>10.9840087830034</v>
      </c>
      <c r="AD187" s="9">
        <f>(AB172*(50/130))+(AB193*(80/130))</f>
        <v>5.3076923076923084</v>
      </c>
    </row>
    <row r="188" spans="1:30" s="4" customFormat="1" x14ac:dyDescent="0.25">
      <c r="A188" s="69"/>
      <c r="B188" s="5"/>
      <c r="C188" s="6">
        <v>42066</v>
      </c>
      <c r="D188" s="13">
        <v>4.4000000000000004</v>
      </c>
      <c r="E188" s="13">
        <v>1.5</v>
      </c>
      <c r="F188" s="4">
        <v>7.9</v>
      </c>
      <c r="G188" s="4">
        <v>1485.3999999999999</v>
      </c>
      <c r="H188" s="4">
        <f t="shared" si="16"/>
        <v>373.20000000000005</v>
      </c>
      <c r="I188" s="4">
        <v>10</v>
      </c>
      <c r="J188" s="79">
        <v>1.9</v>
      </c>
      <c r="K188" s="4">
        <v>336.3</v>
      </c>
      <c r="L188" s="4">
        <v>0.9</v>
      </c>
      <c r="M188" s="4">
        <v>178.10000000000005</v>
      </c>
      <c r="N188" s="4">
        <v>0.99999999999999989</v>
      </c>
      <c r="O188" s="4">
        <f t="shared" si="14"/>
        <v>203.10000000000002</v>
      </c>
      <c r="P188" s="4">
        <v>183</v>
      </c>
      <c r="Q188" s="4">
        <v>1</v>
      </c>
      <c r="R188" s="9">
        <f t="shared" si="12"/>
        <v>0.9</v>
      </c>
      <c r="S188" s="9">
        <f t="shared" si="13"/>
        <v>0.99999999999999989</v>
      </c>
      <c r="T188" s="9">
        <f t="shared" si="15"/>
        <v>189.39999999999998</v>
      </c>
      <c r="V188" s="10">
        <v>390.3</v>
      </c>
      <c r="W188" s="4">
        <v>88.704545454545453</v>
      </c>
      <c r="X188" s="4">
        <v>87988.9</v>
      </c>
      <c r="Y188" s="4">
        <f t="shared" si="17"/>
        <v>28711.199999999993</v>
      </c>
      <c r="AA188" s="4">
        <v>11.0452205681135</v>
      </c>
      <c r="AB188" s="82" t="s">
        <v>56</v>
      </c>
      <c r="AD188" s="82" t="s">
        <v>52</v>
      </c>
    </row>
    <row r="189" spans="1:30" s="4" customFormat="1" x14ac:dyDescent="0.25">
      <c r="A189" s="69"/>
      <c r="B189" s="5"/>
      <c r="C189" s="6">
        <v>42067</v>
      </c>
      <c r="D189" s="13">
        <v>4.0999999999999996</v>
      </c>
      <c r="E189" s="13">
        <v>0.7</v>
      </c>
      <c r="F189" s="4">
        <v>7.3</v>
      </c>
      <c r="G189" s="4">
        <v>1489.4999999999998</v>
      </c>
      <c r="H189" s="4">
        <f t="shared" si="16"/>
        <v>377.30000000000007</v>
      </c>
      <c r="J189" s="79">
        <v>0.4</v>
      </c>
      <c r="K189" s="4">
        <v>336.7</v>
      </c>
      <c r="L189" s="4">
        <v>1.4</v>
      </c>
      <c r="M189" s="4">
        <v>179.50000000000006</v>
      </c>
      <c r="N189" s="8">
        <v>-0.99999999999999989</v>
      </c>
      <c r="O189" s="4">
        <f t="shared" si="14"/>
        <v>202.10000000000002</v>
      </c>
      <c r="P189" s="4">
        <v>184</v>
      </c>
      <c r="Q189" s="4">
        <v>1</v>
      </c>
      <c r="R189" s="9">
        <f t="shared" si="12"/>
        <v>1.4</v>
      </c>
      <c r="S189" s="9">
        <f t="shared" si="13"/>
        <v>-0.99999999999999989</v>
      </c>
      <c r="T189" s="9">
        <f t="shared" si="15"/>
        <v>188.39999999999998</v>
      </c>
      <c r="V189" s="4">
        <v>1253.7</v>
      </c>
      <c r="W189" s="4">
        <v>305.78048780487808</v>
      </c>
      <c r="X189" s="4">
        <v>89242.599999999991</v>
      </c>
      <c r="Y189" s="4">
        <f t="shared" si="17"/>
        <v>29964.899999999994</v>
      </c>
      <c r="AA189" s="4">
        <v>11.1065467497302</v>
      </c>
      <c r="AB189" s="9">
        <f>AVERAGE(T195:T208)</f>
        <v>171.57869047619042</v>
      </c>
      <c r="AD189" s="9">
        <f>(AB174*(50/130))+(AB195*(80/130))</f>
        <v>1.9230769230769231</v>
      </c>
    </row>
    <row r="190" spans="1:30" s="4" customFormat="1" x14ac:dyDescent="0.25">
      <c r="A190" s="69"/>
      <c r="B190" s="5"/>
      <c r="C190" s="6">
        <v>42068</v>
      </c>
      <c r="D190" s="13">
        <v>4.0999999999999996</v>
      </c>
      <c r="E190" s="21">
        <v>-0.4</v>
      </c>
      <c r="F190" s="4">
        <v>8.8000000000000007</v>
      </c>
      <c r="G190" s="4">
        <v>1493.5999999999997</v>
      </c>
      <c r="H190" s="4">
        <f t="shared" si="16"/>
        <v>381.40000000000009</v>
      </c>
      <c r="J190" s="79">
        <v>0.1</v>
      </c>
      <c r="K190" s="4">
        <v>336.8</v>
      </c>
      <c r="L190" s="4">
        <v>1.4</v>
      </c>
      <c r="M190" s="4">
        <v>180.90000000000006</v>
      </c>
      <c r="N190" s="8">
        <v>-1.2999999999999998</v>
      </c>
      <c r="O190" s="4">
        <f t="shared" si="14"/>
        <v>200.8</v>
      </c>
      <c r="P190" s="4">
        <v>185</v>
      </c>
      <c r="Q190" s="4">
        <v>1</v>
      </c>
      <c r="R190" s="9">
        <f t="shared" si="12"/>
        <v>1.4</v>
      </c>
      <c r="S190" s="9">
        <f t="shared" si="13"/>
        <v>-1.2999999999999998</v>
      </c>
      <c r="T190" s="9">
        <f t="shared" si="15"/>
        <v>187.09999999999997</v>
      </c>
      <c r="V190" s="4">
        <v>1093.3</v>
      </c>
      <c r="W190" s="4">
        <v>266.65853658536588</v>
      </c>
      <c r="X190" s="4">
        <v>90335.9</v>
      </c>
      <c r="Y190" s="4">
        <f t="shared" si="17"/>
        <v>31058.199999999993</v>
      </c>
      <c r="AA190" s="4">
        <v>11.1679780045177</v>
      </c>
      <c r="AB190" s="82" t="s">
        <v>50</v>
      </c>
      <c r="AD190" s="82" t="s">
        <v>53</v>
      </c>
    </row>
    <row r="191" spans="1:30" s="4" customFormat="1" x14ac:dyDescent="0.25">
      <c r="A191" s="69"/>
      <c r="B191" s="5"/>
      <c r="C191" s="6">
        <v>42069</v>
      </c>
      <c r="D191" s="13">
        <v>4.5</v>
      </c>
      <c r="E191" s="21">
        <v>-0.2</v>
      </c>
      <c r="F191" s="4">
        <v>9.5</v>
      </c>
      <c r="G191" s="4">
        <v>1498.0999999999997</v>
      </c>
      <c r="H191" s="4">
        <f t="shared" si="16"/>
        <v>385.90000000000009</v>
      </c>
      <c r="J191" s="79">
        <v>0.1</v>
      </c>
      <c r="K191" s="4">
        <v>336.90000000000003</v>
      </c>
      <c r="L191" s="4">
        <v>1.1000000000000001</v>
      </c>
      <c r="M191" s="4">
        <v>182.00000000000006</v>
      </c>
      <c r="N191" s="8">
        <v>-1</v>
      </c>
      <c r="O191" s="4">
        <f t="shared" si="14"/>
        <v>199.8</v>
      </c>
      <c r="P191" s="4">
        <v>186</v>
      </c>
      <c r="Q191" s="4">
        <v>1</v>
      </c>
      <c r="R191" s="9">
        <f t="shared" si="12"/>
        <v>1.1000000000000001</v>
      </c>
      <c r="S191" s="9">
        <f t="shared" si="13"/>
        <v>-1</v>
      </c>
      <c r="T191" s="9">
        <f t="shared" si="15"/>
        <v>186.09999999999997</v>
      </c>
      <c r="V191" s="10">
        <v>778.2</v>
      </c>
      <c r="W191" s="4">
        <v>172.93333333333334</v>
      </c>
      <c r="X191" s="4">
        <v>91114.099999999991</v>
      </c>
      <c r="Y191" s="4">
        <f t="shared" si="17"/>
        <v>31836.399999999994</v>
      </c>
      <c r="AA191" s="4">
        <v>11.2295053735237</v>
      </c>
      <c r="AB191" s="4">
        <v>2</v>
      </c>
      <c r="AD191" s="9">
        <f>(AB176*(50/130))+(AB197*(80/130))</f>
        <v>11.676923076923078</v>
      </c>
    </row>
    <row r="192" spans="1:30" s="4" customFormat="1" x14ac:dyDescent="0.25">
      <c r="A192" s="69"/>
      <c r="B192" s="5"/>
      <c r="C192" s="15">
        <v>42070</v>
      </c>
      <c r="D192" s="16">
        <v>6</v>
      </c>
      <c r="E192" s="16">
        <v>0.6</v>
      </c>
      <c r="F192" s="16">
        <v>10.1</v>
      </c>
      <c r="G192" s="16">
        <v>1504.0999999999997</v>
      </c>
      <c r="H192" s="4">
        <f t="shared" si="16"/>
        <v>391.90000000000009</v>
      </c>
      <c r="I192" s="16"/>
      <c r="J192" s="83">
        <v>0</v>
      </c>
      <c r="K192" s="16">
        <v>336.90000000000003</v>
      </c>
      <c r="L192" s="16">
        <v>1.3</v>
      </c>
      <c r="M192" s="16">
        <v>183.30000000000007</v>
      </c>
      <c r="N192" s="16">
        <v>-1.3</v>
      </c>
      <c r="O192" s="17">
        <f t="shared" si="14"/>
        <v>198.5</v>
      </c>
      <c r="P192" s="17">
        <v>187</v>
      </c>
      <c r="Q192" s="17">
        <v>1</v>
      </c>
      <c r="R192" s="18">
        <f t="shared" si="12"/>
        <v>1.3</v>
      </c>
      <c r="S192" s="18">
        <f t="shared" si="13"/>
        <v>-1.3</v>
      </c>
      <c r="T192" s="9">
        <f t="shared" si="15"/>
        <v>184.79999999999995</v>
      </c>
      <c r="U192" s="17"/>
      <c r="V192" s="16">
        <v>827.6</v>
      </c>
      <c r="W192" s="16">
        <v>137.93333333333334</v>
      </c>
      <c r="X192" s="16">
        <v>91941.7</v>
      </c>
      <c r="Y192" s="4">
        <f t="shared" si="17"/>
        <v>32663.999999999993</v>
      </c>
      <c r="Z192" s="16"/>
      <c r="AA192" s="4">
        <v>11.2911202416762</v>
      </c>
      <c r="AB192" s="82" t="s">
        <v>51</v>
      </c>
    </row>
    <row r="193" spans="1:28" s="4" customFormat="1" ht="15" customHeight="1" x14ac:dyDescent="0.25">
      <c r="A193" s="70" t="s">
        <v>45</v>
      </c>
      <c r="B193" s="5"/>
      <c r="C193" s="6">
        <v>42071</v>
      </c>
      <c r="D193" s="4">
        <v>8.4</v>
      </c>
      <c r="E193" s="13">
        <v>1</v>
      </c>
      <c r="F193" s="4">
        <v>14.6</v>
      </c>
      <c r="G193" s="4">
        <v>1512.4999999999998</v>
      </c>
      <c r="H193" s="4">
        <v>8.4</v>
      </c>
      <c r="I193" s="23" t="s">
        <v>27</v>
      </c>
      <c r="J193" s="79">
        <v>0</v>
      </c>
      <c r="K193" s="4">
        <v>336.90000000000003</v>
      </c>
      <c r="L193" s="4">
        <v>1.9</v>
      </c>
      <c r="M193" s="4">
        <v>185.20000000000007</v>
      </c>
      <c r="N193" s="8">
        <v>-1.9</v>
      </c>
      <c r="O193" s="4">
        <f t="shared" si="14"/>
        <v>196.6</v>
      </c>
      <c r="P193" s="4">
        <v>188</v>
      </c>
      <c r="Q193" s="11">
        <f>1+((P193-187)/36)*(1.15-1)</f>
        <v>1.0041666666666667</v>
      </c>
      <c r="R193" s="9">
        <f t="shared" si="12"/>
        <v>1.9079166666666665</v>
      </c>
      <c r="S193" s="9">
        <f t="shared" si="13"/>
        <v>-1.9079166666666665</v>
      </c>
      <c r="T193" s="9">
        <f t="shared" si="15"/>
        <v>182.89208333333329</v>
      </c>
      <c r="U193" s="23" t="s">
        <v>28</v>
      </c>
      <c r="V193" s="4">
        <v>1330.3</v>
      </c>
      <c r="W193" s="4">
        <v>158.36904761904762</v>
      </c>
      <c r="X193" s="4">
        <v>93272</v>
      </c>
      <c r="Y193" s="4">
        <v>1330.3</v>
      </c>
      <c r="Z193" s="23" t="s">
        <v>29</v>
      </c>
      <c r="AA193" s="4">
        <v>11.3528143173298</v>
      </c>
      <c r="AB193" s="4">
        <v>8</v>
      </c>
    </row>
    <row r="194" spans="1:28" s="4" customFormat="1" x14ac:dyDescent="0.25">
      <c r="A194" s="70"/>
      <c r="B194" s="5"/>
      <c r="C194" s="6">
        <v>42072</v>
      </c>
      <c r="D194" s="4">
        <v>8.6999999999999993</v>
      </c>
      <c r="E194" s="4">
        <v>7.7</v>
      </c>
      <c r="F194" s="4">
        <v>10</v>
      </c>
      <c r="G194" s="4">
        <v>1521.1999999999998</v>
      </c>
      <c r="H194" s="4">
        <f t="shared" si="16"/>
        <v>17.100000000000001</v>
      </c>
      <c r="I194" s="4">
        <v>-2.5</v>
      </c>
      <c r="J194" s="79">
        <v>0.3</v>
      </c>
      <c r="K194" s="4">
        <v>337.20000000000005</v>
      </c>
      <c r="L194" s="4">
        <v>0.8</v>
      </c>
      <c r="M194" s="4">
        <v>186.00000000000009</v>
      </c>
      <c r="N194" s="8">
        <v>-0.5</v>
      </c>
      <c r="O194" s="4">
        <f t="shared" si="14"/>
        <v>196.1</v>
      </c>
      <c r="P194" s="4">
        <v>189</v>
      </c>
      <c r="Q194" s="11">
        <f t="shared" ref="Q194:Q228" si="18">1+((P194-187)/36)*(1.15-1)</f>
        <v>1.0083333333333333</v>
      </c>
      <c r="R194" s="9">
        <f t="shared" si="12"/>
        <v>0.80666666666666664</v>
      </c>
      <c r="S194" s="9">
        <f t="shared" si="13"/>
        <v>-0.5066666666666666</v>
      </c>
      <c r="T194" s="9">
        <f t="shared" si="15"/>
        <v>182.38541666666663</v>
      </c>
      <c r="U194" s="4">
        <v>29</v>
      </c>
      <c r="V194" s="10">
        <v>606.70000000000005</v>
      </c>
      <c r="W194" s="4">
        <v>69.735632183908052</v>
      </c>
      <c r="X194" s="4">
        <v>93878.7</v>
      </c>
      <c r="Y194" s="4">
        <f t="shared" si="17"/>
        <v>1937</v>
      </c>
      <c r="Z194" s="4">
        <v>38418.899999999987</v>
      </c>
      <c r="AA194" s="4">
        <v>11.4145796118836</v>
      </c>
      <c r="AB194" s="82" t="s">
        <v>52</v>
      </c>
    </row>
    <row r="195" spans="1:28" s="4" customFormat="1" x14ac:dyDescent="0.25">
      <c r="A195" s="70"/>
      <c r="B195" s="5"/>
      <c r="C195" s="6">
        <v>42073</v>
      </c>
      <c r="D195" s="4">
        <v>8.6999999999999993</v>
      </c>
      <c r="E195" s="4">
        <v>7.5</v>
      </c>
      <c r="F195" s="4">
        <v>11.5</v>
      </c>
      <c r="G195" s="4">
        <v>1529.8999999999999</v>
      </c>
      <c r="H195" s="4">
        <f t="shared" si="16"/>
        <v>25.8</v>
      </c>
      <c r="I195" s="23" t="s">
        <v>30</v>
      </c>
      <c r="J195" s="79">
        <v>0.1</v>
      </c>
      <c r="K195" s="4">
        <v>337.30000000000007</v>
      </c>
      <c r="L195" s="4">
        <v>1.5</v>
      </c>
      <c r="M195" s="4">
        <v>187.50000000000009</v>
      </c>
      <c r="N195" s="8">
        <v>-1.4</v>
      </c>
      <c r="O195" s="4">
        <f t="shared" si="14"/>
        <v>194.7</v>
      </c>
      <c r="P195" s="4">
        <v>190</v>
      </c>
      <c r="Q195" s="11">
        <f t="shared" si="18"/>
        <v>1.0125</v>
      </c>
      <c r="R195" s="9">
        <f t="shared" si="12"/>
        <v>1.5187499999999998</v>
      </c>
      <c r="S195" s="9">
        <f t="shared" si="13"/>
        <v>-1.4187499999999997</v>
      </c>
      <c r="T195" s="81">
        <f t="shared" si="15"/>
        <v>180.96666666666664</v>
      </c>
      <c r="U195" s="23" t="s">
        <v>31</v>
      </c>
      <c r="V195" s="4">
        <v>1010.4</v>
      </c>
      <c r="W195" s="4">
        <v>116.13793103448276</v>
      </c>
      <c r="X195" s="4">
        <v>94889.099999999991</v>
      </c>
      <c r="Y195" s="4">
        <f t="shared" si="17"/>
        <v>2947.4</v>
      </c>
      <c r="Z195" s="23" t="s">
        <v>32</v>
      </c>
      <c r="AA195" s="4">
        <v>11.4764084194862</v>
      </c>
      <c r="AB195" s="4">
        <v>0</v>
      </c>
    </row>
    <row r="196" spans="1:28" s="4" customFormat="1" x14ac:dyDescent="0.25">
      <c r="A196" s="70"/>
      <c r="B196" s="5"/>
      <c r="C196" s="6">
        <v>42074</v>
      </c>
      <c r="D196" s="4">
        <v>6</v>
      </c>
      <c r="E196" s="13">
        <v>2.2000000000000002</v>
      </c>
      <c r="F196" s="4">
        <v>10.5</v>
      </c>
      <c r="G196" s="4">
        <v>1535.8999999999999</v>
      </c>
      <c r="H196" s="4">
        <f t="shared" si="16"/>
        <v>31.8</v>
      </c>
      <c r="I196" s="4">
        <f>MAX(F193:F228)</f>
        <v>20.6</v>
      </c>
      <c r="J196" s="79">
        <v>0</v>
      </c>
      <c r="K196" s="4">
        <v>337.30000000000007</v>
      </c>
      <c r="L196" s="4">
        <v>1</v>
      </c>
      <c r="M196" s="4">
        <v>188.50000000000009</v>
      </c>
      <c r="N196" s="8">
        <v>-1</v>
      </c>
      <c r="O196" s="4">
        <f t="shared" si="14"/>
        <v>193.7</v>
      </c>
      <c r="P196" s="4">
        <v>191</v>
      </c>
      <c r="Q196" s="11">
        <f t="shared" si="18"/>
        <v>1.0166666666666666</v>
      </c>
      <c r="R196" s="9">
        <f t="shared" si="12"/>
        <v>1.0166666666666666</v>
      </c>
      <c r="S196" s="9">
        <f t="shared" si="13"/>
        <v>-1.0166666666666666</v>
      </c>
      <c r="T196" s="81">
        <f t="shared" si="15"/>
        <v>179.94999999999996</v>
      </c>
      <c r="U196" s="4">
        <v>0</v>
      </c>
      <c r="V196" s="10">
        <v>619.20000000000005</v>
      </c>
      <c r="W196" s="4">
        <v>103.2</v>
      </c>
      <c r="X196" s="4">
        <v>95508.299999999988</v>
      </c>
      <c r="Y196" s="4">
        <f t="shared" si="17"/>
        <v>3566.6000000000004</v>
      </c>
      <c r="Z196" s="11">
        <f>(Z194/100)/I206</f>
        <v>1.4736823935558108</v>
      </c>
      <c r="AA196" s="4">
        <v>11.5382932968443</v>
      </c>
      <c r="AB196" s="82" t="s">
        <v>53</v>
      </c>
    </row>
    <row r="197" spans="1:28" s="4" customFormat="1" x14ac:dyDescent="0.25">
      <c r="A197" s="70"/>
      <c r="B197" s="5"/>
      <c r="C197" s="6">
        <v>42075</v>
      </c>
      <c r="D197" s="4">
        <v>6</v>
      </c>
      <c r="E197" s="21">
        <v>-0.3</v>
      </c>
      <c r="F197" s="4">
        <v>11.6</v>
      </c>
      <c r="G197" s="4">
        <v>1541.8999999999999</v>
      </c>
      <c r="H197" s="4">
        <f t="shared" si="16"/>
        <v>37.799999999999997</v>
      </c>
      <c r="I197" s="23" t="s">
        <v>33</v>
      </c>
      <c r="J197" s="79">
        <v>0</v>
      </c>
      <c r="K197" s="4">
        <v>337.30000000000007</v>
      </c>
      <c r="L197" s="4">
        <v>2.2000000000000002</v>
      </c>
      <c r="M197" s="4">
        <v>190.70000000000007</v>
      </c>
      <c r="N197" s="8">
        <v>-2.2000000000000002</v>
      </c>
      <c r="O197" s="4">
        <f t="shared" si="14"/>
        <v>191.5</v>
      </c>
      <c r="P197" s="4">
        <v>192</v>
      </c>
      <c r="Q197" s="11">
        <f t="shared" si="18"/>
        <v>1.0208333333333333</v>
      </c>
      <c r="R197" s="9">
        <f t="shared" si="12"/>
        <v>2.2458333333333336</v>
      </c>
      <c r="S197" s="9">
        <f t="shared" si="13"/>
        <v>-2.2458333333333336</v>
      </c>
      <c r="T197" s="81">
        <f t="shared" si="15"/>
        <v>177.70416666666662</v>
      </c>
      <c r="U197" s="23" t="s">
        <v>34</v>
      </c>
      <c r="V197" s="4">
        <v>1502.7</v>
      </c>
      <c r="W197" s="4">
        <v>250.45000000000002</v>
      </c>
      <c r="X197" s="4">
        <v>97010.999999999985</v>
      </c>
      <c r="Y197" s="4">
        <f t="shared" si="17"/>
        <v>5069.3</v>
      </c>
      <c r="Z197" s="23" t="s">
        <v>35</v>
      </c>
      <c r="AA197" s="4">
        <v>11.600227043145299</v>
      </c>
      <c r="AB197" s="4">
        <f>SUM(J199:J208)</f>
        <v>0.6</v>
      </c>
    </row>
    <row r="198" spans="1:28" s="75" customFormat="1" x14ac:dyDescent="0.25">
      <c r="A198" s="70"/>
      <c r="B198" s="73" t="s">
        <v>55</v>
      </c>
      <c r="C198" s="74">
        <v>42076</v>
      </c>
      <c r="D198" s="75">
        <v>5.0999999999999996</v>
      </c>
      <c r="E198" s="76">
        <v>-0.1</v>
      </c>
      <c r="F198" s="75">
        <v>9.4</v>
      </c>
      <c r="G198" s="75">
        <v>1546.9999999999998</v>
      </c>
      <c r="H198" s="75">
        <f t="shared" si="16"/>
        <v>42.9</v>
      </c>
      <c r="I198" s="77">
        <f>AVERAGE(D193:D228)</f>
        <v>7.241666666666668</v>
      </c>
      <c r="J198" s="75">
        <v>0</v>
      </c>
      <c r="K198" s="75">
        <v>337.30000000000007</v>
      </c>
      <c r="L198" s="75">
        <v>1.5</v>
      </c>
      <c r="M198" s="75">
        <v>192.20000000000007</v>
      </c>
      <c r="N198" s="76">
        <v>-1.5</v>
      </c>
      <c r="O198" s="75">
        <f t="shared" si="14"/>
        <v>190</v>
      </c>
      <c r="P198" s="75">
        <v>193</v>
      </c>
      <c r="Q198" s="78">
        <f t="shared" si="18"/>
        <v>1.0249999999999999</v>
      </c>
      <c r="R198" s="77">
        <f t="shared" ref="R198:R261" si="19">Q198*L198</f>
        <v>1.5374999999999999</v>
      </c>
      <c r="S198" s="77">
        <f t="shared" ref="S198:S261" si="20">J198-R198</f>
        <v>-1.5374999999999999</v>
      </c>
      <c r="T198" s="77">
        <f t="shared" si="15"/>
        <v>176.16666666666663</v>
      </c>
      <c r="U198" s="75">
        <v>0</v>
      </c>
      <c r="V198" s="75">
        <v>1200</v>
      </c>
      <c r="W198" s="75">
        <v>235.29411764705884</v>
      </c>
      <c r="X198" s="75">
        <v>98210.999999999985</v>
      </c>
      <c r="Y198" s="75">
        <f t="shared" si="17"/>
        <v>6269.3</v>
      </c>
      <c r="Z198" s="75">
        <v>14</v>
      </c>
      <c r="AA198" s="75">
        <v>11.6622026801018</v>
      </c>
    </row>
    <row r="199" spans="1:28" s="4" customFormat="1" x14ac:dyDescent="0.25">
      <c r="A199" s="70"/>
      <c r="B199" s="5"/>
      <c r="C199" s="6">
        <v>42077</v>
      </c>
      <c r="D199" s="4">
        <v>5.3</v>
      </c>
      <c r="E199" s="13">
        <v>2.7</v>
      </c>
      <c r="F199" s="4">
        <v>7.8</v>
      </c>
      <c r="G199" s="4">
        <v>1552.2999999999997</v>
      </c>
      <c r="H199" s="4">
        <f t="shared" si="16"/>
        <v>48.199999999999996</v>
      </c>
      <c r="I199" s="23" t="s">
        <v>36</v>
      </c>
      <c r="J199" s="79">
        <v>0.1</v>
      </c>
      <c r="K199" s="4">
        <v>337.40000000000009</v>
      </c>
      <c r="L199" s="4">
        <v>1.7</v>
      </c>
      <c r="M199" s="4">
        <v>193.90000000000006</v>
      </c>
      <c r="N199" s="8">
        <v>-1.5999999999999999</v>
      </c>
      <c r="O199" s="4">
        <f t="shared" si="14"/>
        <v>188.4</v>
      </c>
      <c r="P199" s="4">
        <v>194</v>
      </c>
      <c r="Q199" s="11">
        <f t="shared" si="18"/>
        <v>1.0291666666666666</v>
      </c>
      <c r="R199" s="9">
        <f t="shared" si="19"/>
        <v>1.749583333333333</v>
      </c>
      <c r="S199" s="9">
        <f t="shared" si="20"/>
        <v>-1.649583333333333</v>
      </c>
      <c r="T199" s="81">
        <f t="shared" si="15"/>
        <v>174.51708333333329</v>
      </c>
      <c r="U199" s="23" t="s">
        <v>37</v>
      </c>
      <c r="V199" s="4">
        <v>1286.8</v>
      </c>
      <c r="W199" s="4">
        <v>242.79245283018867</v>
      </c>
      <c r="X199" s="4">
        <v>99497.799999999988</v>
      </c>
      <c r="Y199" s="4">
        <f t="shared" si="17"/>
        <v>7556.1</v>
      </c>
      <c r="AA199" s="4">
        <v>11.724213432125801</v>
      </c>
    </row>
    <row r="200" spans="1:28" s="4" customFormat="1" x14ac:dyDescent="0.25">
      <c r="A200" s="70"/>
      <c r="B200" s="5"/>
      <c r="C200" s="6">
        <v>42078</v>
      </c>
      <c r="D200" s="13">
        <v>4.5999999999999996</v>
      </c>
      <c r="E200" s="13">
        <v>3.7</v>
      </c>
      <c r="F200" s="4">
        <v>5.9</v>
      </c>
      <c r="G200" s="4">
        <v>1556.8999999999996</v>
      </c>
      <c r="H200" s="4">
        <f t="shared" si="16"/>
        <v>52.8</v>
      </c>
      <c r="I200" s="4">
        <v>5</v>
      </c>
      <c r="J200" s="79">
        <v>0.5</v>
      </c>
      <c r="K200" s="4">
        <v>337.90000000000009</v>
      </c>
      <c r="L200" s="4">
        <v>0.5</v>
      </c>
      <c r="M200" s="4">
        <v>194.40000000000006</v>
      </c>
      <c r="N200" s="4">
        <v>0</v>
      </c>
      <c r="O200" s="4">
        <f t="shared" ref="O200:O263" si="21">O199+N200</f>
        <v>188.4</v>
      </c>
      <c r="P200" s="4">
        <v>195</v>
      </c>
      <c r="Q200" s="11">
        <f t="shared" si="18"/>
        <v>1.0333333333333332</v>
      </c>
      <c r="R200" s="9">
        <f t="shared" si="19"/>
        <v>0.51666666666666661</v>
      </c>
      <c r="S200" s="9">
        <f t="shared" si="20"/>
        <v>-1.6666666666666607E-2</v>
      </c>
      <c r="T200" s="81">
        <f t="shared" ref="T200:T263" si="22">MIN(189.6,(T199+S200))</f>
        <v>174.50041666666661</v>
      </c>
      <c r="U200" s="9">
        <f>MIN(T193:T228)</f>
        <v>154.86083333333329</v>
      </c>
      <c r="V200" s="10">
        <v>358.4</v>
      </c>
      <c r="W200" s="4">
        <v>77.913043478260875</v>
      </c>
      <c r="X200" s="4">
        <v>99856.199999999983</v>
      </c>
      <c r="Y200" s="4">
        <f t="shared" si="17"/>
        <v>7914.5</v>
      </c>
      <c r="AA200" s="4">
        <v>11.7862527066358</v>
      </c>
    </row>
    <row r="201" spans="1:28" s="4" customFormat="1" x14ac:dyDescent="0.25">
      <c r="A201" s="70"/>
      <c r="B201" s="5"/>
      <c r="C201" s="6">
        <v>42079</v>
      </c>
      <c r="D201" s="4">
        <v>5.0999999999999996</v>
      </c>
      <c r="E201" s="21">
        <v>-0.3</v>
      </c>
      <c r="F201" s="4">
        <v>8.9</v>
      </c>
      <c r="G201" s="4">
        <v>1561.9999999999995</v>
      </c>
      <c r="H201" s="4">
        <f t="shared" si="16"/>
        <v>57.9</v>
      </c>
      <c r="I201" s="23" t="s">
        <v>38</v>
      </c>
      <c r="J201" s="79">
        <v>0</v>
      </c>
      <c r="K201" s="4">
        <v>337.90000000000009</v>
      </c>
      <c r="L201" s="4">
        <v>1</v>
      </c>
      <c r="M201" s="4">
        <v>195.40000000000006</v>
      </c>
      <c r="N201" s="8">
        <v>-1</v>
      </c>
      <c r="O201" s="4">
        <f t="shared" si="21"/>
        <v>187.4</v>
      </c>
      <c r="P201" s="4">
        <v>196</v>
      </c>
      <c r="Q201" s="11">
        <f t="shared" si="18"/>
        <v>1.0375000000000001</v>
      </c>
      <c r="R201" s="9">
        <f t="shared" si="19"/>
        <v>1.0375000000000001</v>
      </c>
      <c r="S201" s="9">
        <f t="shared" si="20"/>
        <v>-1.0375000000000001</v>
      </c>
      <c r="T201" s="81">
        <f t="shared" si="22"/>
        <v>173.46291666666662</v>
      </c>
      <c r="U201" s="23" t="s">
        <v>39</v>
      </c>
      <c r="V201" s="4">
        <v>1016.6</v>
      </c>
      <c r="W201" s="4">
        <v>199.33333333333334</v>
      </c>
      <c r="X201" s="4">
        <v>100872.79999999999</v>
      </c>
      <c r="Y201" s="4">
        <f t="shared" si="17"/>
        <v>8931.1</v>
      </c>
      <c r="AA201" s="4">
        <v>11.8483140744981</v>
      </c>
    </row>
    <row r="202" spans="1:28" s="4" customFormat="1" x14ac:dyDescent="0.25">
      <c r="A202" s="70"/>
      <c r="B202" s="5"/>
      <c r="C202" s="6">
        <v>42080</v>
      </c>
      <c r="D202" s="4">
        <v>8.1</v>
      </c>
      <c r="E202" s="13">
        <v>1.1000000000000001</v>
      </c>
      <c r="F202" s="4">
        <v>14.1</v>
      </c>
      <c r="G202" s="4">
        <v>1570.0999999999995</v>
      </c>
      <c r="H202" s="4">
        <f t="shared" si="16"/>
        <v>66</v>
      </c>
      <c r="I202" s="4">
        <v>0</v>
      </c>
      <c r="J202" s="79">
        <v>0</v>
      </c>
      <c r="K202" s="4">
        <v>337.90000000000009</v>
      </c>
      <c r="L202" s="4">
        <v>2.1</v>
      </c>
      <c r="M202" s="4">
        <v>197.50000000000006</v>
      </c>
      <c r="N202" s="8">
        <v>-2.1</v>
      </c>
      <c r="O202" s="4">
        <f t="shared" si="21"/>
        <v>185.3</v>
      </c>
      <c r="P202" s="4">
        <v>197</v>
      </c>
      <c r="Q202" s="11">
        <f t="shared" si="18"/>
        <v>1.0416666666666667</v>
      </c>
      <c r="R202" s="9">
        <f t="shared" si="19"/>
        <v>2.1875000000000004</v>
      </c>
      <c r="S202" s="9">
        <f t="shared" si="20"/>
        <v>-2.1875000000000004</v>
      </c>
      <c r="T202" s="81">
        <f t="shared" si="22"/>
        <v>171.27541666666662</v>
      </c>
      <c r="U202" s="9">
        <f>MAX(T193:T228)</f>
        <v>182.89208333333329</v>
      </c>
      <c r="V202" s="4">
        <v>1471.5</v>
      </c>
      <c r="W202" s="4">
        <v>181.66666666666669</v>
      </c>
      <c r="X202" s="4">
        <v>102344.29999999999</v>
      </c>
      <c r="Y202" s="4">
        <f t="shared" si="17"/>
        <v>10402.6</v>
      </c>
      <c r="AA202" s="4">
        <v>11.910391250604199</v>
      </c>
    </row>
    <row r="203" spans="1:28" s="4" customFormat="1" x14ac:dyDescent="0.25">
      <c r="A203" s="70"/>
      <c r="B203" s="5"/>
      <c r="C203" s="6">
        <v>42081</v>
      </c>
      <c r="D203" s="4">
        <v>7.5</v>
      </c>
      <c r="E203" s="13">
        <v>4.5999999999999996</v>
      </c>
      <c r="F203" s="4">
        <v>11.4</v>
      </c>
      <c r="G203" s="4">
        <v>1577.5999999999995</v>
      </c>
      <c r="H203" s="4">
        <f t="shared" si="16"/>
        <v>73.5</v>
      </c>
      <c r="I203" s="23" t="s">
        <v>40</v>
      </c>
      <c r="J203" s="79">
        <v>0</v>
      </c>
      <c r="K203" s="4">
        <v>337.90000000000009</v>
      </c>
      <c r="L203" s="4">
        <v>1.9</v>
      </c>
      <c r="M203" s="4">
        <v>199.40000000000006</v>
      </c>
      <c r="N203" s="8">
        <v>-1.9</v>
      </c>
      <c r="O203" s="4">
        <f t="shared" si="21"/>
        <v>183.4</v>
      </c>
      <c r="P203" s="4">
        <v>198</v>
      </c>
      <c r="Q203" s="11">
        <f t="shared" si="18"/>
        <v>1.0458333333333334</v>
      </c>
      <c r="R203" s="9">
        <f t="shared" si="19"/>
        <v>1.9870833333333333</v>
      </c>
      <c r="S203" s="9">
        <f t="shared" si="20"/>
        <v>-1.9870833333333333</v>
      </c>
      <c r="T203" s="81">
        <f t="shared" si="22"/>
        <v>169.28833333333327</v>
      </c>
      <c r="U203" s="23" t="s">
        <v>41</v>
      </c>
      <c r="V203" s="4">
        <v>1217</v>
      </c>
      <c r="W203" s="4">
        <v>162.26666666666668</v>
      </c>
      <c r="X203" s="4">
        <v>103561.29999999999</v>
      </c>
      <c r="Y203" s="4">
        <f t="shared" si="17"/>
        <v>11619.6</v>
      </c>
      <c r="AA203" s="4">
        <v>11.972478074581099</v>
      </c>
    </row>
    <row r="204" spans="1:28" s="4" customFormat="1" x14ac:dyDescent="0.25">
      <c r="A204" s="70"/>
      <c r="B204" s="5"/>
      <c r="C204" s="6">
        <v>42082</v>
      </c>
      <c r="D204" s="4">
        <v>6.5</v>
      </c>
      <c r="E204" s="4">
        <v>5.5</v>
      </c>
      <c r="F204" s="4">
        <v>7.5</v>
      </c>
      <c r="G204" s="4">
        <v>1584.0999999999995</v>
      </c>
      <c r="H204" s="4">
        <f t="shared" si="16"/>
        <v>80</v>
      </c>
      <c r="I204" s="4">
        <v>19</v>
      </c>
      <c r="J204" s="79">
        <v>0</v>
      </c>
      <c r="K204" s="4">
        <v>337.90000000000009</v>
      </c>
      <c r="L204" s="4">
        <v>1.1000000000000001</v>
      </c>
      <c r="M204" s="4">
        <v>200.50000000000006</v>
      </c>
      <c r="N204" s="8">
        <v>-1.1000000000000001</v>
      </c>
      <c r="O204" s="4">
        <f t="shared" si="21"/>
        <v>182.3</v>
      </c>
      <c r="P204" s="4">
        <v>199</v>
      </c>
      <c r="Q204" s="11">
        <f t="shared" si="18"/>
        <v>1.05</v>
      </c>
      <c r="R204" s="9">
        <f t="shared" si="19"/>
        <v>1.1550000000000002</v>
      </c>
      <c r="S204" s="9">
        <f t="shared" si="20"/>
        <v>-1.1550000000000002</v>
      </c>
      <c r="T204" s="81">
        <f t="shared" si="22"/>
        <v>168.13333333333327</v>
      </c>
      <c r="U204" s="9">
        <f>AVERAGE(T193:T228)</f>
        <v>170.02988425925926</v>
      </c>
      <c r="V204" s="10">
        <v>689.3</v>
      </c>
      <c r="W204" s="4">
        <v>106.04615384615384</v>
      </c>
      <c r="X204" s="4">
        <v>104250.59999999999</v>
      </c>
      <c r="Y204" s="4">
        <f t="shared" si="17"/>
        <v>12308.9</v>
      </c>
      <c r="AA204" s="4">
        <v>12.0345684916335</v>
      </c>
    </row>
    <row r="205" spans="1:28" s="4" customFormat="1" x14ac:dyDescent="0.25">
      <c r="A205" s="70"/>
      <c r="B205" s="5"/>
      <c r="C205" s="6">
        <v>42083</v>
      </c>
      <c r="D205" s="4">
        <v>6.7</v>
      </c>
      <c r="E205" s="4">
        <v>6.2</v>
      </c>
      <c r="F205" s="4">
        <v>8.4</v>
      </c>
      <c r="G205" s="4">
        <v>1590.7999999999995</v>
      </c>
      <c r="H205" s="4">
        <f t="shared" si="16"/>
        <v>86.7</v>
      </c>
      <c r="I205" s="23" t="s">
        <v>42</v>
      </c>
      <c r="J205" s="79">
        <v>0</v>
      </c>
      <c r="K205" s="4">
        <v>337.90000000000009</v>
      </c>
      <c r="L205" s="4">
        <v>2</v>
      </c>
      <c r="M205" s="4">
        <v>202.50000000000006</v>
      </c>
      <c r="N205" s="8">
        <v>-2</v>
      </c>
      <c r="O205" s="4">
        <f t="shared" si="21"/>
        <v>180.3</v>
      </c>
      <c r="P205" s="4">
        <v>200</v>
      </c>
      <c r="Q205" s="11">
        <f t="shared" si="18"/>
        <v>1.0541666666666667</v>
      </c>
      <c r="R205" s="9">
        <f t="shared" si="19"/>
        <v>2.1083333333333334</v>
      </c>
      <c r="S205" s="9">
        <f t="shared" si="20"/>
        <v>-2.1083333333333334</v>
      </c>
      <c r="T205" s="81">
        <f t="shared" si="22"/>
        <v>166.02499999999995</v>
      </c>
      <c r="V205" s="4">
        <v>1582.8</v>
      </c>
      <c r="W205" s="4">
        <v>236.23880597014923</v>
      </c>
      <c r="X205" s="4">
        <v>105833.4</v>
      </c>
      <c r="Y205" s="4">
        <f t="shared" si="17"/>
        <v>13891.699999999999</v>
      </c>
      <c r="AA205" s="4">
        <v>12.0966565335137</v>
      </c>
    </row>
    <row r="206" spans="1:28" s="4" customFormat="1" x14ac:dyDescent="0.25">
      <c r="A206" s="70"/>
      <c r="B206" s="5"/>
      <c r="C206" s="6">
        <v>42084</v>
      </c>
      <c r="D206" s="4">
        <v>5.3</v>
      </c>
      <c r="E206" s="13">
        <v>2.2000000000000002</v>
      </c>
      <c r="F206" s="4">
        <v>7.9</v>
      </c>
      <c r="G206" s="4">
        <v>1596.0999999999995</v>
      </c>
      <c r="H206" s="4">
        <f t="shared" si="16"/>
        <v>92</v>
      </c>
      <c r="I206" s="4">
        <v>260.7</v>
      </c>
      <c r="J206" s="79">
        <v>0</v>
      </c>
      <c r="K206" s="4">
        <v>337.90000000000009</v>
      </c>
      <c r="L206" s="4">
        <v>0.9</v>
      </c>
      <c r="M206" s="4">
        <v>203.40000000000006</v>
      </c>
      <c r="N206" s="8">
        <v>-0.9</v>
      </c>
      <c r="O206" s="4">
        <f t="shared" si="21"/>
        <v>179.4</v>
      </c>
      <c r="P206" s="4">
        <v>201</v>
      </c>
      <c r="Q206" s="11">
        <f t="shared" si="18"/>
        <v>1.0583333333333333</v>
      </c>
      <c r="R206" s="9">
        <f t="shared" si="19"/>
        <v>0.95250000000000001</v>
      </c>
      <c r="S206" s="9">
        <f t="shared" si="20"/>
        <v>-0.95250000000000001</v>
      </c>
      <c r="T206" s="81">
        <f t="shared" si="22"/>
        <v>165.07249999999996</v>
      </c>
      <c r="U206" s="4">
        <f>(U204*100)/189.6</f>
        <v>89.678208997499624</v>
      </c>
      <c r="V206" s="10">
        <v>612.79999999999995</v>
      </c>
      <c r="W206" s="4">
        <v>115.62264150943396</v>
      </c>
      <c r="X206" s="4">
        <v>106446.2</v>
      </c>
      <c r="Y206" s="4">
        <f t="shared" si="17"/>
        <v>14504.499999999998</v>
      </c>
      <c r="AA206" s="4">
        <v>12.1587362996137</v>
      </c>
    </row>
    <row r="207" spans="1:28" s="4" customFormat="1" x14ac:dyDescent="0.25">
      <c r="A207" s="70"/>
      <c r="B207" s="5"/>
      <c r="C207" s="6">
        <v>42085</v>
      </c>
      <c r="D207" s="4">
        <v>5.4</v>
      </c>
      <c r="E207" s="13">
        <v>4.7</v>
      </c>
      <c r="F207" s="4">
        <v>8.1</v>
      </c>
      <c r="G207" s="4">
        <v>1601.4999999999995</v>
      </c>
      <c r="H207" s="4">
        <f t="shared" si="16"/>
        <v>97.4</v>
      </c>
      <c r="J207" s="79">
        <v>0</v>
      </c>
      <c r="K207" s="4">
        <v>337.90000000000009</v>
      </c>
      <c r="L207" s="4">
        <v>1.7</v>
      </c>
      <c r="M207" s="4">
        <v>205.10000000000005</v>
      </c>
      <c r="N207" s="8">
        <v>-1.7</v>
      </c>
      <c r="O207" s="4">
        <f t="shared" si="21"/>
        <v>177.70000000000002</v>
      </c>
      <c r="P207" s="4">
        <v>202</v>
      </c>
      <c r="Q207" s="11">
        <f t="shared" si="18"/>
        <v>1.0625</v>
      </c>
      <c r="R207" s="9">
        <f t="shared" si="19"/>
        <v>1.8062499999999999</v>
      </c>
      <c r="S207" s="9">
        <f t="shared" si="20"/>
        <v>-1.8062499999999999</v>
      </c>
      <c r="T207" s="81">
        <f t="shared" si="22"/>
        <v>163.26624999999996</v>
      </c>
      <c r="V207" s="4">
        <v>951.6</v>
      </c>
      <c r="W207" s="4">
        <v>176.22222222222223</v>
      </c>
      <c r="X207" s="4">
        <v>107397.8</v>
      </c>
      <c r="Y207" s="4">
        <f t="shared" si="17"/>
        <v>15456.099999999999</v>
      </c>
      <c r="AA207" s="4">
        <v>12.220801938175301</v>
      </c>
    </row>
    <row r="208" spans="1:28" s="4" customFormat="1" x14ac:dyDescent="0.25">
      <c r="A208" s="70"/>
      <c r="B208" s="5"/>
      <c r="C208" s="6">
        <v>42086</v>
      </c>
      <c r="D208" s="13">
        <v>4</v>
      </c>
      <c r="E208" s="21">
        <v>-2.5</v>
      </c>
      <c r="F208" s="4">
        <v>10.1</v>
      </c>
      <c r="G208" s="4">
        <v>1605.4999999999995</v>
      </c>
      <c r="H208" s="4">
        <f t="shared" si="16"/>
        <v>101.4</v>
      </c>
      <c r="J208" s="79">
        <v>0</v>
      </c>
      <c r="K208" s="4">
        <v>337.90000000000009</v>
      </c>
      <c r="L208" s="4">
        <v>1.4</v>
      </c>
      <c r="M208" s="4">
        <v>206.50000000000006</v>
      </c>
      <c r="N208" s="8">
        <v>-1.4</v>
      </c>
      <c r="O208" s="4">
        <f t="shared" si="21"/>
        <v>176.3</v>
      </c>
      <c r="P208" s="4">
        <v>203</v>
      </c>
      <c r="Q208" s="11">
        <f t="shared" si="18"/>
        <v>1.0666666666666667</v>
      </c>
      <c r="R208" s="9">
        <f t="shared" si="19"/>
        <v>1.4933333333333332</v>
      </c>
      <c r="S208" s="9">
        <f t="shared" si="20"/>
        <v>-1.4933333333333332</v>
      </c>
      <c r="T208" s="81">
        <f t="shared" si="22"/>
        <v>161.77291666666662</v>
      </c>
      <c r="V208" s="4">
        <v>1125.8</v>
      </c>
      <c r="W208" s="4">
        <v>281.45</v>
      </c>
      <c r="X208" s="4">
        <v>108523.6</v>
      </c>
      <c r="Y208" s="4">
        <f t="shared" si="17"/>
        <v>16581.899999999998</v>
      </c>
      <c r="AA208" s="4">
        <v>12.282847627611901</v>
      </c>
    </row>
    <row r="209" spans="1:27" s="4" customFormat="1" x14ac:dyDescent="0.25">
      <c r="A209" s="70"/>
      <c r="B209" s="5"/>
      <c r="C209" s="6">
        <v>42087</v>
      </c>
      <c r="D209" s="13">
        <v>4.8</v>
      </c>
      <c r="E209" s="13">
        <v>0.1</v>
      </c>
      <c r="F209" s="4">
        <v>9.3000000000000007</v>
      </c>
      <c r="G209" s="4">
        <v>1610.2999999999995</v>
      </c>
      <c r="H209" s="4">
        <f t="shared" si="16"/>
        <v>106.2</v>
      </c>
      <c r="J209" s="4">
        <v>6.8</v>
      </c>
      <c r="K209" s="4">
        <v>344.7000000000001</v>
      </c>
      <c r="L209" s="4">
        <v>1</v>
      </c>
      <c r="M209" s="4">
        <v>207.50000000000006</v>
      </c>
      <c r="N209" s="4">
        <v>5.8</v>
      </c>
      <c r="O209" s="4">
        <f t="shared" si="21"/>
        <v>182.10000000000002</v>
      </c>
      <c r="P209" s="4">
        <v>204</v>
      </c>
      <c r="Q209" s="11">
        <f t="shared" si="18"/>
        <v>1.0708333333333333</v>
      </c>
      <c r="R209" s="9">
        <f t="shared" si="19"/>
        <v>1.0708333333333333</v>
      </c>
      <c r="S209" s="9">
        <f t="shared" si="20"/>
        <v>5.7291666666666661</v>
      </c>
      <c r="T209" s="9">
        <f t="shared" si="22"/>
        <v>167.50208333333327</v>
      </c>
      <c r="V209" s="10">
        <v>781.8</v>
      </c>
      <c r="W209" s="4">
        <v>162.875</v>
      </c>
      <c r="X209" s="4">
        <v>109305.40000000001</v>
      </c>
      <c r="Y209" s="4">
        <f t="shared" si="17"/>
        <v>17363.699999999997</v>
      </c>
      <c r="AA209" s="4">
        <v>12.344867557934901</v>
      </c>
    </row>
    <row r="210" spans="1:27" s="4" customFormat="1" x14ac:dyDescent="0.25">
      <c r="A210" s="70"/>
      <c r="B210" s="5"/>
      <c r="C210" s="6">
        <v>42088</v>
      </c>
      <c r="D210" s="13">
        <v>4.7</v>
      </c>
      <c r="E210" s="13">
        <v>3.6</v>
      </c>
      <c r="F210" s="4">
        <v>7.1</v>
      </c>
      <c r="G210" s="4">
        <v>1614.9999999999995</v>
      </c>
      <c r="H210" s="4">
        <f t="shared" si="16"/>
        <v>110.9</v>
      </c>
      <c r="J210" s="4">
        <v>0.5</v>
      </c>
      <c r="K210" s="4">
        <v>345.2000000000001</v>
      </c>
      <c r="L210" s="4">
        <v>1.1000000000000001</v>
      </c>
      <c r="M210" s="4">
        <v>208.60000000000005</v>
      </c>
      <c r="N210" s="8">
        <v>-0.60000000000000009</v>
      </c>
      <c r="O210" s="4">
        <f t="shared" si="21"/>
        <v>181.50000000000003</v>
      </c>
      <c r="P210" s="4">
        <v>205</v>
      </c>
      <c r="Q210" s="11">
        <f t="shared" si="18"/>
        <v>1.075</v>
      </c>
      <c r="R210" s="9">
        <f t="shared" si="19"/>
        <v>1.1825000000000001</v>
      </c>
      <c r="S210" s="9">
        <f t="shared" si="20"/>
        <v>-0.68250000000000011</v>
      </c>
      <c r="T210" s="9">
        <f t="shared" si="22"/>
        <v>166.81958333333327</v>
      </c>
      <c r="V210" s="10">
        <v>699.2</v>
      </c>
      <c r="W210" s="4">
        <v>148.76595744680853</v>
      </c>
      <c r="X210" s="4">
        <v>110004.6</v>
      </c>
      <c r="Y210" s="4">
        <f t="shared" si="17"/>
        <v>18062.899999999998</v>
      </c>
      <c r="AA210" s="4">
        <v>12.406855912279701</v>
      </c>
    </row>
    <row r="211" spans="1:27" s="4" customFormat="1" x14ac:dyDescent="0.25">
      <c r="A211" s="70"/>
      <c r="B211" s="5"/>
      <c r="C211" s="6">
        <v>42089</v>
      </c>
      <c r="D211" s="13">
        <v>4.2</v>
      </c>
      <c r="E211" s="13">
        <v>0.1</v>
      </c>
      <c r="F211" s="4">
        <v>8.1999999999999993</v>
      </c>
      <c r="G211" s="4">
        <v>1619.1999999999996</v>
      </c>
      <c r="H211" s="4">
        <f t="shared" si="16"/>
        <v>115.10000000000001</v>
      </c>
      <c r="J211" s="4">
        <v>3</v>
      </c>
      <c r="K211" s="4">
        <v>348.2000000000001</v>
      </c>
      <c r="L211" s="4">
        <v>0.6</v>
      </c>
      <c r="M211" s="4">
        <v>209.20000000000005</v>
      </c>
      <c r="N211" s="4">
        <v>2.4</v>
      </c>
      <c r="O211" s="4">
        <f t="shared" si="21"/>
        <v>183.90000000000003</v>
      </c>
      <c r="P211" s="4">
        <v>206</v>
      </c>
      <c r="Q211" s="11">
        <f t="shared" si="18"/>
        <v>1.0791666666666666</v>
      </c>
      <c r="R211" s="9">
        <f t="shared" si="19"/>
        <v>0.64749999999999996</v>
      </c>
      <c r="S211" s="9">
        <f t="shared" si="20"/>
        <v>2.3525</v>
      </c>
      <c r="T211" s="9">
        <f t="shared" si="22"/>
        <v>169.17208333333326</v>
      </c>
      <c r="V211" s="10">
        <v>486.9</v>
      </c>
      <c r="W211" s="4">
        <v>115.92857142857142</v>
      </c>
      <c r="X211" s="4">
        <v>110491.5</v>
      </c>
      <c r="Y211" s="4">
        <f t="shared" si="17"/>
        <v>18549.8</v>
      </c>
      <c r="AA211" s="4">
        <v>12.4688068485226</v>
      </c>
    </row>
    <row r="212" spans="1:27" s="4" customFormat="1" x14ac:dyDescent="0.25">
      <c r="A212" s="70"/>
      <c r="B212" s="5"/>
      <c r="C212" s="6">
        <v>42090</v>
      </c>
      <c r="D212" s="4">
        <v>6</v>
      </c>
      <c r="E212" s="13">
        <v>1.9</v>
      </c>
      <c r="F212" s="4">
        <v>9.9</v>
      </c>
      <c r="G212" s="4">
        <v>1625.1999999999996</v>
      </c>
      <c r="H212" s="4">
        <f t="shared" si="16"/>
        <v>121.10000000000001</v>
      </c>
      <c r="J212" s="4">
        <v>0.6</v>
      </c>
      <c r="K212" s="4">
        <v>348.80000000000013</v>
      </c>
      <c r="L212" s="4">
        <v>1.4</v>
      </c>
      <c r="M212" s="4">
        <v>210.60000000000005</v>
      </c>
      <c r="N212" s="8">
        <v>-0.79999999999999993</v>
      </c>
      <c r="O212" s="4">
        <f t="shared" si="21"/>
        <v>183.10000000000002</v>
      </c>
      <c r="P212" s="4">
        <v>207</v>
      </c>
      <c r="Q212" s="11">
        <f t="shared" si="18"/>
        <v>1.0833333333333333</v>
      </c>
      <c r="R212" s="9">
        <f t="shared" si="19"/>
        <v>1.5166666666666664</v>
      </c>
      <c r="S212" s="9">
        <f t="shared" si="20"/>
        <v>-0.91666666666666641</v>
      </c>
      <c r="T212" s="9">
        <f t="shared" si="22"/>
        <v>168.2554166666666</v>
      </c>
      <c r="V212" s="4">
        <v>1002.4</v>
      </c>
      <c r="W212" s="4">
        <v>167.06666666666666</v>
      </c>
      <c r="X212" s="4">
        <v>111493.9</v>
      </c>
      <c r="Y212" s="4">
        <f t="shared" si="17"/>
        <v>19552.2</v>
      </c>
      <c r="AA212" s="4">
        <v>12.5307144809848</v>
      </c>
    </row>
    <row r="213" spans="1:27" s="4" customFormat="1" x14ac:dyDescent="0.25">
      <c r="A213" s="70"/>
      <c r="B213" s="5"/>
      <c r="C213" s="6">
        <v>42091</v>
      </c>
      <c r="D213" s="4">
        <v>10</v>
      </c>
      <c r="E213" s="13">
        <v>3.3</v>
      </c>
      <c r="F213" s="4">
        <v>13.8</v>
      </c>
      <c r="G213" s="4">
        <v>1635.1999999999996</v>
      </c>
      <c r="H213" s="4">
        <f t="shared" si="16"/>
        <v>131.10000000000002</v>
      </c>
      <c r="J213" s="4">
        <v>1.9</v>
      </c>
      <c r="K213" s="4">
        <v>350.7000000000001</v>
      </c>
      <c r="L213" s="4">
        <v>0.5</v>
      </c>
      <c r="M213" s="4">
        <v>211.10000000000005</v>
      </c>
      <c r="N213" s="4">
        <v>1.4</v>
      </c>
      <c r="O213" s="4">
        <f t="shared" si="21"/>
        <v>184.50000000000003</v>
      </c>
      <c r="P213" s="4">
        <v>208</v>
      </c>
      <c r="Q213" s="11">
        <f t="shared" si="18"/>
        <v>1.0874999999999999</v>
      </c>
      <c r="R213" s="9">
        <f t="shared" si="19"/>
        <v>0.54374999999999996</v>
      </c>
      <c r="S213" s="9">
        <f t="shared" si="20"/>
        <v>1.35625</v>
      </c>
      <c r="T213" s="9">
        <f t="shared" si="22"/>
        <v>169.61166666666659</v>
      </c>
      <c r="V213" s="10">
        <v>474.8</v>
      </c>
      <c r="W213" s="4">
        <v>47.480000000000004</v>
      </c>
      <c r="X213" s="4">
        <v>111968.7</v>
      </c>
      <c r="Y213" s="4">
        <f t="shared" si="17"/>
        <v>20027</v>
      </c>
      <c r="AA213" s="4">
        <v>12.5925728622148</v>
      </c>
    </row>
    <row r="214" spans="1:27" s="4" customFormat="1" x14ac:dyDescent="0.25">
      <c r="A214" s="70"/>
      <c r="B214" s="5"/>
      <c r="C214" s="6">
        <v>42092</v>
      </c>
      <c r="D214" s="4">
        <v>10.7</v>
      </c>
      <c r="E214" s="4">
        <v>9.3000000000000007</v>
      </c>
      <c r="F214" s="4">
        <v>12.5</v>
      </c>
      <c r="G214" s="4">
        <v>1645.8999999999996</v>
      </c>
      <c r="H214" s="4">
        <f t="shared" si="16"/>
        <v>141.80000000000001</v>
      </c>
      <c r="J214" s="4">
        <v>4.0999999999999996</v>
      </c>
      <c r="K214" s="4">
        <v>354.80000000000013</v>
      </c>
      <c r="L214" s="4">
        <v>1.1000000000000001</v>
      </c>
      <c r="M214" s="4">
        <v>212.20000000000005</v>
      </c>
      <c r="N214" s="4">
        <v>2.9999999999999996</v>
      </c>
      <c r="O214" s="4">
        <f t="shared" si="21"/>
        <v>187.50000000000003</v>
      </c>
      <c r="P214" s="4">
        <v>209</v>
      </c>
      <c r="Q214" s="11">
        <f t="shared" si="18"/>
        <v>1.0916666666666666</v>
      </c>
      <c r="R214" s="9">
        <f t="shared" si="19"/>
        <v>1.2008333333333334</v>
      </c>
      <c r="S214" s="9">
        <f t="shared" si="20"/>
        <v>2.899166666666666</v>
      </c>
      <c r="T214" s="9">
        <f t="shared" si="22"/>
        <v>172.51083333333327</v>
      </c>
      <c r="V214" s="10">
        <v>353.6</v>
      </c>
      <c r="W214" s="4">
        <v>33.046728971962622</v>
      </c>
      <c r="X214" s="4">
        <v>112322.3</v>
      </c>
      <c r="Y214" s="4">
        <f t="shared" si="17"/>
        <v>20380.599999999999</v>
      </c>
      <c r="AA214" s="4">
        <v>12.6543759648451</v>
      </c>
    </row>
    <row r="215" spans="1:27" s="4" customFormat="1" x14ac:dyDescent="0.25">
      <c r="A215" s="70"/>
      <c r="B215" s="5"/>
      <c r="C215" s="6">
        <v>42093</v>
      </c>
      <c r="D215" s="4">
        <v>9.6999999999999993</v>
      </c>
      <c r="E215" s="4">
        <v>8.3000000000000007</v>
      </c>
      <c r="F215" s="4">
        <v>11.5</v>
      </c>
      <c r="G215" s="4">
        <v>1655.5999999999997</v>
      </c>
      <c r="H215" s="4">
        <f t="shared" si="16"/>
        <v>151.5</v>
      </c>
      <c r="J215" s="4">
        <v>1.7</v>
      </c>
      <c r="K215" s="4">
        <v>356.50000000000011</v>
      </c>
      <c r="L215" s="4">
        <v>1.9</v>
      </c>
      <c r="M215" s="4">
        <v>214.10000000000005</v>
      </c>
      <c r="N215" s="8">
        <v>-0.19999999999999996</v>
      </c>
      <c r="O215" s="4">
        <f t="shared" si="21"/>
        <v>187.30000000000004</v>
      </c>
      <c r="P215" s="4">
        <v>210</v>
      </c>
      <c r="Q215" s="11">
        <f t="shared" si="18"/>
        <v>1.0958333333333332</v>
      </c>
      <c r="R215" s="9">
        <f t="shared" si="19"/>
        <v>2.0820833333333328</v>
      </c>
      <c r="S215" s="9">
        <f t="shared" si="20"/>
        <v>-0.38208333333333289</v>
      </c>
      <c r="T215" s="9">
        <f t="shared" si="22"/>
        <v>172.12874999999994</v>
      </c>
      <c r="V215" s="10">
        <v>697.3</v>
      </c>
      <c r="W215" s="4">
        <v>71.886597938144334</v>
      </c>
      <c r="X215" s="4">
        <v>113019.6</v>
      </c>
      <c r="Y215" s="4">
        <f t="shared" si="17"/>
        <v>21077.899999999998</v>
      </c>
      <c r="AA215" s="4">
        <v>12.7161176635174</v>
      </c>
    </row>
    <row r="216" spans="1:27" s="4" customFormat="1" x14ac:dyDescent="0.25">
      <c r="A216" s="70"/>
      <c r="B216" s="5"/>
      <c r="C216" s="6">
        <v>42094</v>
      </c>
      <c r="D216" s="4">
        <v>10</v>
      </c>
      <c r="E216" s="4">
        <v>9</v>
      </c>
      <c r="F216" s="4">
        <v>11.5</v>
      </c>
      <c r="G216" s="4">
        <v>1665.5999999999997</v>
      </c>
      <c r="H216" s="4">
        <f t="shared" si="16"/>
        <v>161.5</v>
      </c>
      <c r="J216" s="4">
        <v>0.1</v>
      </c>
      <c r="K216" s="4">
        <v>356.60000000000014</v>
      </c>
      <c r="L216" s="4">
        <v>2.5</v>
      </c>
      <c r="M216" s="4">
        <v>216.60000000000005</v>
      </c>
      <c r="N216" s="8">
        <v>-2.4</v>
      </c>
      <c r="O216" s="4">
        <f t="shared" si="21"/>
        <v>184.90000000000003</v>
      </c>
      <c r="P216" s="4">
        <v>211</v>
      </c>
      <c r="Q216" s="11">
        <f t="shared" si="18"/>
        <v>1.0999999999999999</v>
      </c>
      <c r="R216" s="9">
        <f t="shared" si="19"/>
        <v>2.7499999999999996</v>
      </c>
      <c r="S216" s="9">
        <f t="shared" si="20"/>
        <v>-2.6499999999999995</v>
      </c>
      <c r="T216" s="9">
        <f t="shared" si="22"/>
        <v>169.47874999999993</v>
      </c>
      <c r="V216" s="4">
        <v>1389.3</v>
      </c>
      <c r="W216" s="4">
        <v>138.93</v>
      </c>
      <c r="X216" s="4">
        <v>114408.90000000001</v>
      </c>
      <c r="Y216" s="4">
        <f t="shared" si="17"/>
        <v>22467.199999999997</v>
      </c>
      <c r="AA216" s="4">
        <v>12.7777917168725</v>
      </c>
    </row>
    <row r="217" spans="1:27" s="4" customFormat="1" x14ac:dyDescent="0.25">
      <c r="A217" s="70"/>
      <c r="B217" s="5"/>
      <c r="C217" s="6">
        <v>42095</v>
      </c>
      <c r="D217" s="4">
        <v>7.3</v>
      </c>
      <c r="E217" s="13">
        <v>5</v>
      </c>
      <c r="F217" s="4">
        <v>9.6</v>
      </c>
      <c r="G217" s="4">
        <v>1672.8999999999996</v>
      </c>
      <c r="H217" s="4">
        <f t="shared" si="16"/>
        <v>168.8</v>
      </c>
      <c r="J217" s="4">
        <v>2.5</v>
      </c>
      <c r="K217" s="4">
        <v>359.10000000000014</v>
      </c>
      <c r="L217" s="4">
        <v>2.5</v>
      </c>
      <c r="M217" s="4">
        <v>219.10000000000005</v>
      </c>
      <c r="N217" s="4">
        <v>0</v>
      </c>
      <c r="O217" s="4">
        <f t="shared" si="21"/>
        <v>184.90000000000003</v>
      </c>
      <c r="P217" s="4">
        <v>212</v>
      </c>
      <c r="Q217" s="11">
        <f t="shared" si="18"/>
        <v>1.1041666666666665</v>
      </c>
      <c r="R217" s="9">
        <f t="shared" si="19"/>
        <v>2.7604166666666661</v>
      </c>
      <c r="S217" s="9">
        <f t="shared" si="20"/>
        <v>-0.26041666666666607</v>
      </c>
      <c r="T217" s="9">
        <f t="shared" si="22"/>
        <v>169.21833333333328</v>
      </c>
      <c r="V217" s="4">
        <v>1361</v>
      </c>
      <c r="W217" s="4">
        <v>186.43835616438358</v>
      </c>
      <c r="X217" s="4">
        <v>115769.90000000001</v>
      </c>
      <c r="Y217" s="4">
        <f t="shared" si="17"/>
        <v>23828.199999999997</v>
      </c>
      <c r="AA217" s="4">
        <v>12.839391749601001</v>
      </c>
    </row>
    <row r="218" spans="1:27" s="4" customFormat="1" x14ac:dyDescent="0.25">
      <c r="A218" s="70"/>
      <c r="B218" s="5"/>
      <c r="C218" s="6">
        <v>42096</v>
      </c>
      <c r="D218" s="4">
        <v>7.6</v>
      </c>
      <c r="E218" s="4">
        <v>6.7</v>
      </c>
      <c r="F218" s="4">
        <v>9</v>
      </c>
      <c r="G218" s="4">
        <v>1680.4999999999995</v>
      </c>
      <c r="H218" s="4">
        <f t="shared" si="16"/>
        <v>176.4</v>
      </c>
      <c r="J218" s="4">
        <v>2.6</v>
      </c>
      <c r="K218" s="4">
        <v>361.70000000000016</v>
      </c>
      <c r="L218" s="4">
        <v>1.4</v>
      </c>
      <c r="M218" s="4">
        <v>220.50000000000006</v>
      </c>
      <c r="N218" s="4">
        <v>1.2000000000000002</v>
      </c>
      <c r="O218" s="4">
        <f t="shared" si="21"/>
        <v>186.10000000000002</v>
      </c>
      <c r="P218" s="4">
        <v>213</v>
      </c>
      <c r="Q218" s="11">
        <f t="shared" si="18"/>
        <v>1.1083333333333332</v>
      </c>
      <c r="R218" s="9">
        <f t="shared" si="19"/>
        <v>1.5516666666666663</v>
      </c>
      <c r="S218" s="9">
        <f t="shared" si="20"/>
        <v>1.0483333333333338</v>
      </c>
      <c r="T218" s="9">
        <f t="shared" si="22"/>
        <v>170.26666666666662</v>
      </c>
      <c r="V218" s="10">
        <v>893.3</v>
      </c>
      <c r="W218" s="4">
        <v>117.53947368421052</v>
      </c>
      <c r="X218" s="4">
        <v>116663.20000000001</v>
      </c>
      <c r="Y218" s="4">
        <f t="shared" si="17"/>
        <v>24721.499999999996</v>
      </c>
      <c r="AA218" s="4">
        <v>12.9009112345524</v>
      </c>
    </row>
    <row r="219" spans="1:27" s="4" customFormat="1" x14ac:dyDescent="0.25">
      <c r="A219" s="70"/>
      <c r="B219" s="5"/>
      <c r="C219" s="6">
        <v>42097</v>
      </c>
      <c r="D219" s="4">
        <v>7.4</v>
      </c>
      <c r="E219" s="13">
        <v>4.0999999999999996</v>
      </c>
      <c r="F219" s="4">
        <v>9.1</v>
      </c>
      <c r="G219" s="4">
        <v>1687.8999999999996</v>
      </c>
      <c r="H219" s="4">
        <f t="shared" si="16"/>
        <v>183.8</v>
      </c>
      <c r="J219" s="4">
        <v>5.0999999999999996</v>
      </c>
      <c r="K219" s="4">
        <v>366.80000000000018</v>
      </c>
      <c r="L219" s="4">
        <v>0.4</v>
      </c>
      <c r="M219" s="4">
        <v>220.90000000000006</v>
      </c>
      <c r="N219" s="4">
        <v>4.6999999999999993</v>
      </c>
      <c r="O219" s="4">
        <f t="shared" si="21"/>
        <v>190.8</v>
      </c>
      <c r="P219" s="4">
        <v>214</v>
      </c>
      <c r="Q219" s="11">
        <f t="shared" si="18"/>
        <v>1.1124999999999998</v>
      </c>
      <c r="R219" s="9">
        <f t="shared" si="19"/>
        <v>0.44499999999999995</v>
      </c>
      <c r="S219" s="9">
        <f t="shared" si="20"/>
        <v>4.6549999999999994</v>
      </c>
      <c r="T219" s="9">
        <f t="shared" si="22"/>
        <v>174.92166666666662</v>
      </c>
      <c r="V219" s="10">
        <v>349.1</v>
      </c>
      <c r="W219" s="4">
        <v>47.175675675675677</v>
      </c>
      <c r="X219" s="4">
        <v>117012.30000000002</v>
      </c>
      <c r="Y219" s="4">
        <f t="shared" si="17"/>
        <v>25070.599999999995</v>
      </c>
      <c r="AA219" s="4">
        <v>12.9623434749028</v>
      </c>
    </row>
    <row r="220" spans="1:27" s="4" customFormat="1" x14ac:dyDescent="0.25">
      <c r="A220" s="70"/>
      <c r="B220" s="5"/>
      <c r="C220" s="6">
        <v>42098</v>
      </c>
      <c r="D220" s="4">
        <v>6.6</v>
      </c>
      <c r="E220" s="4">
        <v>6.7</v>
      </c>
      <c r="F220" s="4">
        <v>7.6</v>
      </c>
      <c r="G220" s="4">
        <v>1694.4999999999995</v>
      </c>
      <c r="H220" s="4">
        <f t="shared" si="16"/>
        <v>190.4</v>
      </c>
      <c r="J220" s="4">
        <v>0.9</v>
      </c>
      <c r="K220" s="4">
        <v>367.70000000000016</v>
      </c>
      <c r="L220" s="4">
        <v>0.8</v>
      </c>
      <c r="M220" s="4">
        <v>221.70000000000007</v>
      </c>
      <c r="N220" s="4">
        <v>9.9999999999999978E-2</v>
      </c>
      <c r="O220" s="4">
        <f t="shared" si="21"/>
        <v>190.9</v>
      </c>
      <c r="P220" s="4">
        <v>215</v>
      </c>
      <c r="Q220" s="11">
        <f t="shared" si="18"/>
        <v>1.1166666666666667</v>
      </c>
      <c r="R220" s="9">
        <f t="shared" si="19"/>
        <v>0.89333333333333342</v>
      </c>
      <c r="S220" s="9">
        <f t="shared" si="20"/>
        <v>6.6666666666665986E-3</v>
      </c>
      <c r="T220" s="9">
        <f t="shared" si="22"/>
        <v>174.92833333333328</v>
      </c>
      <c r="V220" s="10">
        <v>642.70000000000005</v>
      </c>
      <c r="W220" s="4">
        <v>97.37878787878789</v>
      </c>
      <c r="X220" s="4">
        <v>117655.00000000001</v>
      </c>
      <c r="Y220" s="4">
        <f t="shared" si="17"/>
        <v>25713.299999999996</v>
      </c>
      <c r="AA220" s="4">
        <v>13.0236815863797</v>
      </c>
    </row>
    <row r="221" spans="1:27" s="4" customFormat="1" x14ac:dyDescent="0.25">
      <c r="A221" s="70"/>
      <c r="B221" s="5"/>
      <c r="C221" s="6">
        <v>42099</v>
      </c>
      <c r="D221" s="13">
        <v>5</v>
      </c>
      <c r="E221" s="13">
        <v>1.1000000000000001</v>
      </c>
      <c r="F221" s="4">
        <v>8.6999999999999993</v>
      </c>
      <c r="G221" s="4">
        <v>1699.4999999999995</v>
      </c>
      <c r="H221" s="4">
        <f t="shared" si="16"/>
        <v>195.4</v>
      </c>
      <c r="J221" s="4">
        <v>0</v>
      </c>
      <c r="K221" s="4">
        <v>367.70000000000016</v>
      </c>
      <c r="L221" s="4">
        <v>1.6</v>
      </c>
      <c r="M221" s="4">
        <v>223.30000000000007</v>
      </c>
      <c r="N221" s="8">
        <v>-1.6</v>
      </c>
      <c r="O221" s="4">
        <f t="shared" si="21"/>
        <v>189.3</v>
      </c>
      <c r="P221" s="4">
        <v>216</v>
      </c>
      <c r="Q221" s="11">
        <f t="shared" si="18"/>
        <v>1.1208333333333333</v>
      </c>
      <c r="R221" s="9">
        <f t="shared" si="19"/>
        <v>1.7933333333333334</v>
      </c>
      <c r="S221" s="9">
        <f t="shared" si="20"/>
        <v>-1.7933333333333334</v>
      </c>
      <c r="T221" s="9">
        <f t="shared" si="22"/>
        <v>173.13499999999996</v>
      </c>
      <c r="V221" s="4">
        <v>1190.7</v>
      </c>
      <c r="W221" s="4">
        <v>238.14000000000001</v>
      </c>
      <c r="X221" s="4">
        <v>118845.70000000001</v>
      </c>
      <c r="Y221" s="4">
        <f t="shared" si="17"/>
        <v>26903.999999999996</v>
      </c>
      <c r="AA221" s="4">
        <v>13.0849184795475</v>
      </c>
    </row>
    <row r="222" spans="1:27" s="4" customFormat="1" x14ac:dyDescent="0.25">
      <c r="A222" s="70"/>
      <c r="B222" s="5"/>
      <c r="C222" s="6">
        <v>42100</v>
      </c>
      <c r="D222" s="4">
        <v>5.9</v>
      </c>
      <c r="E222" s="21">
        <v>-0.4</v>
      </c>
      <c r="F222" s="4">
        <v>11.2</v>
      </c>
      <c r="G222" s="4">
        <v>1705.3999999999996</v>
      </c>
      <c r="H222" s="4">
        <f t="shared" si="16"/>
        <v>201.3</v>
      </c>
      <c r="J222" s="4">
        <v>0.1</v>
      </c>
      <c r="K222" s="4">
        <v>367.80000000000018</v>
      </c>
      <c r="L222" s="4">
        <v>2.1</v>
      </c>
      <c r="M222" s="4">
        <v>225.40000000000006</v>
      </c>
      <c r="N222" s="8">
        <v>-2</v>
      </c>
      <c r="O222" s="4">
        <f t="shared" si="21"/>
        <v>187.3</v>
      </c>
      <c r="P222" s="4">
        <v>217</v>
      </c>
      <c r="Q222" s="11">
        <f t="shared" si="18"/>
        <v>1.125</v>
      </c>
      <c r="R222" s="9">
        <f t="shared" si="19"/>
        <v>2.3625000000000003</v>
      </c>
      <c r="S222" s="9">
        <f t="shared" si="20"/>
        <v>-2.2625000000000002</v>
      </c>
      <c r="T222" s="9">
        <f t="shared" si="22"/>
        <v>170.87249999999997</v>
      </c>
      <c r="V222" s="4">
        <v>1867.1</v>
      </c>
      <c r="W222" s="4">
        <v>316.45762711864404</v>
      </c>
      <c r="X222" s="4">
        <v>120712.80000000002</v>
      </c>
      <c r="Y222" s="4">
        <f t="shared" si="17"/>
        <v>28771.099999999995</v>
      </c>
      <c r="AA222" s="4">
        <v>13.146046842156499</v>
      </c>
    </row>
    <row r="223" spans="1:27" s="4" customFormat="1" x14ac:dyDescent="0.25">
      <c r="A223" s="70"/>
      <c r="B223" s="5"/>
      <c r="C223" s="6">
        <v>42101</v>
      </c>
      <c r="D223" s="4">
        <v>7.3</v>
      </c>
      <c r="E223" s="13">
        <v>0.7</v>
      </c>
      <c r="F223" s="4">
        <v>12.8</v>
      </c>
      <c r="G223" s="4">
        <v>1712.6999999999996</v>
      </c>
      <c r="H223" s="4">
        <f t="shared" si="16"/>
        <v>208.60000000000002</v>
      </c>
      <c r="J223" s="4">
        <v>0</v>
      </c>
      <c r="K223" s="4">
        <v>367.80000000000018</v>
      </c>
      <c r="L223" s="4">
        <v>2.6</v>
      </c>
      <c r="M223" s="4">
        <v>228.00000000000006</v>
      </c>
      <c r="N223" s="8">
        <v>-2.6</v>
      </c>
      <c r="O223" s="4">
        <f t="shared" si="21"/>
        <v>184.70000000000002</v>
      </c>
      <c r="P223" s="4">
        <v>218</v>
      </c>
      <c r="Q223" s="11">
        <f t="shared" si="18"/>
        <v>1.1291666666666667</v>
      </c>
      <c r="R223" s="9">
        <f t="shared" si="19"/>
        <v>2.9358333333333335</v>
      </c>
      <c r="S223" s="9">
        <f t="shared" si="20"/>
        <v>-2.9358333333333335</v>
      </c>
      <c r="T223" s="9">
        <f t="shared" si="22"/>
        <v>167.93666666666664</v>
      </c>
      <c r="V223" s="4">
        <v>1958</v>
      </c>
      <c r="W223" s="4">
        <v>268.21917808219177</v>
      </c>
      <c r="X223" s="4">
        <v>122670.80000000002</v>
      </c>
      <c r="Y223" s="4">
        <f t="shared" si="17"/>
        <v>30729.099999999995</v>
      </c>
      <c r="AA223" s="4">
        <v>13.2070591215617</v>
      </c>
    </row>
    <row r="224" spans="1:27" s="25" customFormat="1" x14ac:dyDescent="0.25">
      <c r="A224" s="70"/>
      <c r="B224" s="24"/>
      <c r="C224" s="6">
        <v>42102</v>
      </c>
      <c r="D224" s="25">
        <v>8.5</v>
      </c>
      <c r="E224" s="25">
        <v>1.8</v>
      </c>
      <c r="F224" s="25">
        <v>14</v>
      </c>
      <c r="G224" s="25">
        <v>1721.1999999999996</v>
      </c>
      <c r="H224" s="25">
        <f t="shared" si="16"/>
        <v>217.10000000000002</v>
      </c>
      <c r="J224" s="25">
        <v>0</v>
      </c>
      <c r="K224" s="25">
        <v>367.80000000000018</v>
      </c>
      <c r="L224" s="25">
        <v>2.5</v>
      </c>
      <c r="M224" s="25">
        <v>230.50000000000006</v>
      </c>
      <c r="N224" s="25">
        <v>-2.5</v>
      </c>
      <c r="O224" s="25">
        <f t="shared" si="21"/>
        <v>182.20000000000002</v>
      </c>
      <c r="P224" s="25">
        <v>219</v>
      </c>
      <c r="Q224" s="11">
        <f t="shared" si="18"/>
        <v>1.1333333333333333</v>
      </c>
      <c r="R224" s="26">
        <f t="shared" si="19"/>
        <v>2.833333333333333</v>
      </c>
      <c r="S224" s="26">
        <f t="shared" si="20"/>
        <v>-2.833333333333333</v>
      </c>
      <c r="T224" s="9">
        <f t="shared" si="22"/>
        <v>165.1033333333333</v>
      </c>
      <c r="V224" s="25">
        <v>1788.1</v>
      </c>
      <c r="W224" s="25">
        <v>210.36470588235292</v>
      </c>
      <c r="X224" s="25">
        <v>124458.90000000002</v>
      </c>
      <c r="Y224" s="4">
        <f t="shared" si="17"/>
        <v>32517.199999999993</v>
      </c>
      <c r="AA224" s="4">
        <v>13.2679475072184</v>
      </c>
    </row>
    <row r="225" spans="1:27" s="4" customFormat="1" ht="15" customHeight="1" x14ac:dyDescent="0.25">
      <c r="A225" s="70"/>
      <c r="B225" s="5"/>
      <c r="C225" s="6">
        <v>42103</v>
      </c>
      <c r="D225" s="4">
        <v>10.5</v>
      </c>
      <c r="E225" s="4">
        <v>1.6</v>
      </c>
      <c r="F225" s="4">
        <v>17.600000000000001</v>
      </c>
      <c r="G225" s="4">
        <v>1731.6999999999996</v>
      </c>
      <c r="H225" s="4">
        <f t="shared" ref="H225:H288" si="23">H224+D225</f>
        <v>227.60000000000002</v>
      </c>
      <c r="J225" s="4">
        <v>0</v>
      </c>
      <c r="K225" s="4">
        <v>367.80000000000018</v>
      </c>
      <c r="L225" s="4">
        <v>3</v>
      </c>
      <c r="M225" s="4">
        <v>233.50000000000006</v>
      </c>
      <c r="N225" s="4">
        <v>-3</v>
      </c>
      <c r="O225" s="4">
        <f t="shared" si="21"/>
        <v>179.20000000000002</v>
      </c>
      <c r="P225" s="4">
        <v>220</v>
      </c>
      <c r="Q225" s="11">
        <f t="shared" si="18"/>
        <v>1.1375</v>
      </c>
      <c r="R225" s="9">
        <f t="shared" si="19"/>
        <v>3.4124999999999996</v>
      </c>
      <c r="S225" s="9">
        <f t="shared" si="20"/>
        <v>-3.4124999999999996</v>
      </c>
      <c r="T225" s="9">
        <f t="shared" si="22"/>
        <v>161.6908333333333</v>
      </c>
      <c r="V225" s="4">
        <v>2001.4</v>
      </c>
      <c r="W225" s="4">
        <v>190.60952380952381</v>
      </c>
      <c r="X225" s="4">
        <v>126460.30000000002</v>
      </c>
      <c r="Y225" s="4">
        <f t="shared" ref="Y225:Y288" si="24">Y224+V225</f>
        <v>34518.599999999991</v>
      </c>
      <c r="AA225" s="4">
        <v>13.328703913265899</v>
      </c>
    </row>
    <row r="226" spans="1:27" s="4" customFormat="1" x14ac:dyDescent="0.25">
      <c r="A226" s="70"/>
      <c r="B226" s="5"/>
      <c r="C226" s="6">
        <v>42104</v>
      </c>
      <c r="D226" s="4">
        <v>12.8</v>
      </c>
      <c r="E226" s="13">
        <v>4</v>
      </c>
      <c r="F226" s="4">
        <v>20.6</v>
      </c>
      <c r="G226" s="4">
        <v>1744.4999999999995</v>
      </c>
      <c r="H226" s="4">
        <f t="shared" si="23"/>
        <v>240.40000000000003</v>
      </c>
      <c r="J226" s="4">
        <v>0.2</v>
      </c>
      <c r="K226" s="4">
        <v>368.00000000000017</v>
      </c>
      <c r="L226" s="4">
        <v>3.2</v>
      </c>
      <c r="M226" s="4">
        <v>236.70000000000005</v>
      </c>
      <c r="N226" s="8">
        <v>-3</v>
      </c>
      <c r="O226" s="4">
        <f t="shared" si="21"/>
        <v>176.20000000000002</v>
      </c>
      <c r="P226" s="4">
        <v>221</v>
      </c>
      <c r="Q226" s="11">
        <f t="shared" si="18"/>
        <v>1.1416666666666666</v>
      </c>
      <c r="R226" s="9">
        <f t="shared" si="19"/>
        <v>3.6533333333333333</v>
      </c>
      <c r="S226" s="9">
        <f t="shared" si="20"/>
        <v>-3.4533333333333331</v>
      </c>
      <c r="T226" s="9">
        <f t="shared" si="22"/>
        <v>158.23749999999995</v>
      </c>
      <c r="U226" s="27"/>
      <c r="V226" s="4">
        <v>1788.1</v>
      </c>
      <c r="W226" s="4">
        <v>139.69531249999997</v>
      </c>
      <c r="X226" s="4">
        <v>128248.40000000002</v>
      </c>
      <c r="Y226" s="4">
        <f t="shared" si="24"/>
        <v>36306.69999999999</v>
      </c>
      <c r="AA226" s="4">
        <v>13.389319961210401</v>
      </c>
    </row>
    <row r="227" spans="1:27" s="4" customFormat="1" x14ac:dyDescent="0.25">
      <c r="A227" s="70"/>
      <c r="B227" s="5"/>
      <c r="C227" s="6">
        <v>42105</v>
      </c>
      <c r="D227" s="4">
        <v>10.7</v>
      </c>
      <c r="E227" s="4">
        <v>11.2</v>
      </c>
      <c r="F227" s="4">
        <v>13.4</v>
      </c>
      <c r="G227" s="4">
        <v>1755.1999999999996</v>
      </c>
      <c r="H227" s="4">
        <f t="shared" si="23"/>
        <v>251.10000000000002</v>
      </c>
      <c r="J227" s="4">
        <v>1.1000000000000001</v>
      </c>
      <c r="K227" s="4">
        <v>369.10000000000019</v>
      </c>
      <c r="L227" s="4">
        <v>2</v>
      </c>
      <c r="M227" s="4">
        <v>238.70000000000005</v>
      </c>
      <c r="N227" s="8">
        <v>-0.89999999999999991</v>
      </c>
      <c r="O227" s="4">
        <f t="shared" si="21"/>
        <v>175.3</v>
      </c>
      <c r="P227" s="4">
        <v>222</v>
      </c>
      <c r="Q227" s="11">
        <f t="shared" si="18"/>
        <v>1.1458333333333333</v>
      </c>
      <c r="R227" s="9">
        <f t="shared" si="19"/>
        <v>2.2916666666666665</v>
      </c>
      <c r="S227" s="9">
        <f t="shared" si="20"/>
        <v>-1.1916666666666664</v>
      </c>
      <c r="T227" s="9">
        <f t="shared" si="22"/>
        <v>157.04583333333329</v>
      </c>
      <c r="V227" s="4">
        <v>906</v>
      </c>
      <c r="W227" s="4">
        <v>84.672897196261687</v>
      </c>
      <c r="X227" s="4">
        <v>129154.40000000002</v>
      </c>
      <c r="Y227" s="4">
        <f t="shared" si="24"/>
        <v>37212.69999999999</v>
      </c>
      <c r="AA227" s="4">
        <v>13.449786962723399</v>
      </c>
    </row>
    <row r="228" spans="1:27" s="17" customFormat="1" x14ac:dyDescent="0.25">
      <c r="A228" s="70"/>
      <c r="B228" s="28"/>
      <c r="C228" s="29">
        <v>42106</v>
      </c>
      <c r="D228" s="17">
        <v>9.6</v>
      </c>
      <c r="E228" s="30">
        <v>2.1</v>
      </c>
      <c r="F228" s="17">
        <v>16.100000000000001</v>
      </c>
      <c r="G228" s="17">
        <v>1764.7999999999995</v>
      </c>
      <c r="H228" s="17">
        <f t="shared" si="23"/>
        <v>260.70000000000005</v>
      </c>
      <c r="J228" s="17">
        <v>0</v>
      </c>
      <c r="K228" s="17">
        <v>369.10000000000019</v>
      </c>
      <c r="L228" s="17">
        <v>1.9</v>
      </c>
      <c r="M228" s="17">
        <v>240.60000000000005</v>
      </c>
      <c r="N228" s="31">
        <v>-1.9</v>
      </c>
      <c r="O228" s="17">
        <f t="shared" si="21"/>
        <v>173.4</v>
      </c>
      <c r="P228" s="17">
        <v>223</v>
      </c>
      <c r="Q228" s="11">
        <f t="shared" si="18"/>
        <v>1.1499999999999999</v>
      </c>
      <c r="R228" s="18">
        <f t="shared" si="19"/>
        <v>2.1849999999999996</v>
      </c>
      <c r="S228" s="18">
        <f t="shared" si="20"/>
        <v>-2.1849999999999996</v>
      </c>
      <c r="T228" s="9">
        <f t="shared" si="22"/>
        <v>154.86083333333329</v>
      </c>
      <c r="V228" s="17">
        <v>1206.2</v>
      </c>
      <c r="W228" s="17">
        <v>125.64583333333334</v>
      </c>
      <c r="X228" s="17">
        <v>130360.60000000002</v>
      </c>
      <c r="Y228" s="4">
        <f t="shared" si="24"/>
        <v>38418.899999999987</v>
      </c>
      <c r="AA228" s="4">
        <v>13.5100959025732</v>
      </c>
    </row>
    <row r="229" spans="1:27" s="4" customFormat="1" x14ac:dyDescent="0.25">
      <c r="A229" s="32" t="s">
        <v>46</v>
      </c>
      <c r="B229" s="33"/>
      <c r="C229" s="6">
        <v>42107</v>
      </c>
      <c r="D229" s="4">
        <v>11.2</v>
      </c>
      <c r="E229" s="4">
        <v>5.6</v>
      </c>
      <c r="F229" s="4">
        <v>15.8</v>
      </c>
      <c r="G229" s="4">
        <v>1775.9999999999995</v>
      </c>
      <c r="H229" s="4">
        <v>11.2</v>
      </c>
      <c r="I229" s="34" t="s">
        <v>27</v>
      </c>
      <c r="J229" s="4">
        <v>0</v>
      </c>
      <c r="K229" s="4">
        <v>369.10000000000019</v>
      </c>
      <c r="L229" s="4">
        <v>1.9</v>
      </c>
      <c r="M229" s="4">
        <v>242.50000000000006</v>
      </c>
      <c r="N229" s="8">
        <v>-1.9</v>
      </c>
      <c r="O229" s="4">
        <f t="shared" si="21"/>
        <v>171.5</v>
      </c>
      <c r="P229" s="4">
        <v>224</v>
      </c>
      <c r="Q229" s="4">
        <v>1.1499999999999999</v>
      </c>
      <c r="R229" s="9">
        <f t="shared" si="19"/>
        <v>2.1849999999999996</v>
      </c>
      <c r="S229" s="9">
        <f t="shared" si="20"/>
        <v>-2.1849999999999996</v>
      </c>
      <c r="T229" s="9">
        <f t="shared" si="22"/>
        <v>152.67583333333329</v>
      </c>
      <c r="U229" s="34" t="s">
        <v>28</v>
      </c>
      <c r="V229" s="4">
        <v>1380.2</v>
      </c>
      <c r="W229" s="4">
        <v>123.23214285714288</v>
      </c>
      <c r="X229" s="4">
        <v>131740.80000000002</v>
      </c>
      <c r="Y229" s="4">
        <v>1380.2</v>
      </c>
      <c r="Z229" s="34" t="s">
        <v>29</v>
      </c>
      <c r="AA229" s="4">
        <v>13.5702374217108</v>
      </c>
    </row>
    <row r="230" spans="1:27" s="4" customFormat="1" x14ac:dyDescent="0.25">
      <c r="A230" s="32"/>
      <c r="B230" s="33"/>
      <c r="C230" s="6">
        <v>42108</v>
      </c>
      <c r="D230" s="4">
        <v>14.7</v>
      </c>
      <c r="E230" s="4">
        <v>7.6</v>
      </c>
      <c r="F230" s="4">
        <v>22</v>
      </c>
      <c r="G230" s="4">
        <v>1790.6999999999996</v>
      </c>
      <c r="H230" s="4">
        <f t="shared" si="23"/>
        <v>25.9</v>
      </c>
      <c r="I230" s="4">
        <f>MIN(E229:E249)</f>
        <v>2.4</v>
      </c>
      <c r="J230" s="4">
        <v>0</v>
      </c>
      <c r="K230" s="4">
        <v>369.10000000000019</v>
      </c>
      <c r="L230" s="4">
        <v>4.2</v>
      </c>
      <c r="M230" s="4">
        <v>246.70000000000005</v>
      </c>
      <c r="N230" s="8">
        <v>-4.2</v>
      </c>
      <c r="O230" s="4">
        <f t="shared" si="21"/>
        <v>167.3</v>
      </c>
      <c r="P230" s="4">
        <v>225</v>
      </c>
      <c r="Q230" s="4">
        <v>1.1499999999999999</v>
      </c>
      <c r="R230" s="9">
        <f t="shared" si="19"/>
        <v>4.83</v>
      </c>
      <c r="S230" s="9">
        <f t="shared" si="20"/>
        <v>-4.83</v>
      </c>
      <c r="T230" s="9">
        <f t="shared" si="22"/>
        <v>147.84583333333327</v>
      </c>
      <c r="U230" s="4">
        <v>17</v>
      </c>
      <c r="V230" s="4">
        <v>2241.5</v>
      </c>
      <c r="W230" s="4">
        <v>152.48299319727892</v>
      </c>
      <c r="X230" s="4">
        <v>133982.30000000002</v>
      </c>
      <c r="Y230" s="4">
        <f t="shared" si="24"/>
        <v>3621.7</v>
      </c>
      <c r="Z230" s="4">
        <v>33296.400000000001</v>
      </c>
      <c r="AA230" s="4">
        <v>13.630201800534</v>
      </c>
    </row>
    <row r="231" spans="1:27" s="4" customFormat="1" x14ac:dyDescent="0.25">
      <c r="A231" s="32" t="s">
        <v>47</v>
      </c>
      <c r="B231" s="33"/>
      <c r="C231" s="6">
        <v>42109</v>
      </c>
      <c r="D231" s="4">
        <v>15.8</v>
      </c>
      <c r="E231" s="4">
        <v>8.3000000000000007</v>
      </c>
      <c r="F231" s="4">
        <v>24.4</v>
      </c>
      <c r="G231" s="4">
        <v>1806.4999999999995</v>
      </c>
      <c r="H231" s="4">
        <f t="shared" si="23"/>
        <v>41.7</v>
      </c>
      <c r="I231" s="34" t="s">
        <v>30</v>
      </c>
      <c r="J231" s="4">
        <v>0</v>
      </c>
      <c r="K231" s="4">
        <v>369.10000000000019</v>
      </c>
      <c r="L231" s="4">
        <v>4.0999999999999996</v>
      </c>
      <c r="M231" s="4">
        <v>250.80000000000004</v>
      </c>
      <c r="N231" s="8">
        <v>-4.0999999999999996</v>
      </c>
      <c r="O231" s="4">
        <f t="shared" si="21"/>
        <v>163.20000000000002</v>
      </c>
      <c r="P231" s="4">
        <v>226</v>
      </c>
      <c r="Q231" s="4">
        <v>1.1499999999999999</v>
      </c>
      <c r="R231" s="9">
        <f t="shared" si="19"/>
        <v>4.714999999999999</v>
      </c>
      <c r="S231" s="9">
        <f t="shared" si="20"/>
        <v>-4.714999999999999</v>
      </c>
      <c r="T231" s="9">
        <f t="shared" si="22"/>
        <v>143.13083333333327</v>
      </c>
      <c r="U231" s="34" t="s">
        <v>31</v>
      </c>
      <c r="V231" s="4">
        <v>2019.9</v>
      </c>
      <c r="W231" s="4">
        <v>127.84177215189874</v>
      </c>
      <c r="X231" s="4">
        <v>136002.20000000001</v>
      </c>
      <c r="Y231" s="4">
        <f t="shared" si="24"/>
        <v>5641.6</v>
      </c>
      <c r="Z231" s="34" t="s">
        <v>32</v>
      </c>
      <c r="AA231" s="4">
        <v>13.689978942358101</v>
      </c>
    </row>
    <row r="232" spans="1:27" s="4" customFormat="1" x14ac:dyDescent="0.25">
      <c r="A232" s="32"/>
      <c r="B232" s="33"/>
      <c r="C232" s="6">
        <v>42110</v>
      </c>
      <c r="D232" s="4">
        <v>14.3</v>
      </c>
      <c r="E232" s="4">
        <v>8</v>
      </c>
      <c r="F232" s="4">
        <v>19.7</v>
      </c>
      <c r="G232" s="4">
        <v>1820.7999999999995</v>
      </c>
      <c r="H232" s="4">
        <f t="shared" si="23"/>
        <v>56</v>
      </c>
      <c r="I232" s="4">
        <f>MAX(F229:F249)</f>
        <v>24.4</v>
      </c>
      <c r="J232" s="4">
        <v>0</v>
      </c>
      <c r="K232" s="4">
        <v>369.10000000000019</v>
      </c>
      <c r="L232" s="4">
        <v>2.1</v>
      </c>
      <c r="M232" s="4">
        <v>252.90000000000003</v>
      </c>
      <c r="N232" s="8">
        <v>-2.1</v>
      </c>
      <c r="O232" s="4">
        <f t="shared" si="21"/>
        <v>161.10000000000002</v>
      </c>
      <c r="P232" s="4">
        <v>227</v>
      </c>
      <c r="Q232" s="4">
        <v>1.1499999999999999</v>
      </c>
      <c r="R232" s="9">
        <f t="shared" si="19"/>
        <v>2.415</v>
      </c>
      <c r="S232" s="9">
        <f t="shared" si="20"/>
        <v>-2.415</v>
      </c>
      <c r="T232" s="9">
        <f t="shared" si="22"/>
        <v>140.71583333333328</v>
      </c>
      <c r="U232" s="4">
        <v>0</v>
      </c>
      <c r="V232" s="4">
        <v>1330.4</v>
      </c>
      <c r="W232" s="4">
        <v>93.03496503496504</v>
      </c>
      <c r="X232" s="4">
        <v>137332.6</v>
      </c>
      <c r="Y232" s="4">
        <f t="shared" si="24"/>
        <v>6972</v>
      </c>
      <c r="Z232" s="11">
        <f>(Z230/100)/I242</f>
        <v>1.3885070892410341</v>
      </c>
      <c r="AA232" s="4">
        <v>13.7495583571237</v>
      </c>
    </row>
    <row r="233" spans="1:27" s="4" customFormat="1" x14ac:dyDescent="0.25">
      <c r="A233" s="32"/>
      <c r="B233" s="33"/>
      <c r="C233" s="6">
        <v>42111</v>
      </c>
      <c r="D233" s="4">
        <v>11.3</v>
      </c>
      <c r="E233" s="4">
        <v>9.1</v>
      </c>
      <c r="F233" s="4">
        <v>13.5</v>
      </c>
      <c r="G233" s="4">
        <v>1832.0999999999995</v>
      </c>
      <c r="H233" s="4">
        <f t="shared" si="23"/>
        <v>67.3</v>
      </c>
      <c r="I233" s="34" t="s">
        <v>33</v>
      </c>
      <c r="J233" s="4">
        <v>0</v>
      </c>
      <c r="K233" s="4">
        <v>369.10000000000019</v>
      </c>
      <c r="L233" s="4">
        <v>2.2999999999999998</v>
      </c>
      <c r="M233" s="4">
        <v>255.20000000000005</v>
      </c>
      <c r="N233" s="8">
        <v>-2.2999999999999998</v>
      </c>
      <c r="O233" s="4">
        <f t="shared" si="21"/>
        <v>158.80000000000001</v>
      </c>
      <c r="P233" s="4">
        <v>228</v>
      </c>
      <c r="Q233" s="4">
        <v>1.1499999999999999</v>
      </c>
      <c r="R233" s="9">
        <f t="shared" si="19"/>
        <v>2.6449999999999996</v>
      </c>
      <c r="S233" s="9">
        <f t="shared" si="20"/>
        <v>-2.6449999999999996</v>
      </c>
      <c r="T233" s="9">
        <f t="shared" si="22"/>
        <v>138.07083333333327</v>
      </c>
      <c r="U233" s="34" t="s">
        <v>34</v>
      </c>
      <c r="V233" s="10">
        <v>889</v>
      </c>
      <c r="W233" s="4">
        <v>78.672566371681413</v>
      </c>
      <c r="X233" s="4">
        <v>138221.6</v>
      </c>
      <c r="Y233" s="4">
        <f t="shared" si="24"/>
        <v>7861</v>
      </c>
      <c r="Z233" s="34" t="s">
        <v>35</v>
      </c>
      <c r="AA233" s="4">
        <v>13.808929145378301</v>
      </c>
    </row>
    <row r="234" spans="1:27" s="4" customFormat="1" x14ac:dyDescent="0.25">
      <c r="A234" s="32"/>
      <c r="B234" s="33"/>
      <c r="C234" s="6">
        <v>42112</v>
      </c>
      <c r="D234" s="4">
        <v>10</v>
      </c>
      <c r="E234" s="4">
        <v>5.7</v>
      </c>
      <c r="F234" s="4">
        <v>14.5</v>
      </c>
      <c r="G234" s="4">
        <v>1842.0999999999995</v>
      </c>
      <c r="H234" s="4">
        <f t="shared" si="23"/>
        <v>77.3</v>
      </c>
      <c r="I234" s="9">
        <f>AVERAGE(D229:D249)</f>
        <v>11.419047619047619</v>
      </c>
      <c r="J234" s="4">
        <v>0</v>
      </c>
      <c r="K234" s="4">
        <v>369.10000000000019</v>
      </c>
      <c r="L234" s="4">
        <v>3.9</v>
      </c>
      <c r="M234" s="4">
        <v>259.10000000000002</v>
      </c>
      <c r="N234" s="8">
        <v>-3.9</v>
      </c>
      <c r="O234" s="4">
        <f t="shared" si="21"/>
        <v>154.9</v>
      </c>
      <c r="P234" s="4">
        <v>229</v>
      </c>
      <c r="Q234" s="4">
        <v>1.1499999999999999</v>
      </c>
      <c r="R234" s="9">
        <f t="shared" si="19"/>
        <v>4.4849999999999994</v>
      </c>
      <c r="S234" s="9">
        <f t="shared" si="20"/>
        <v>-4.4849999999999994</v>
      </c>
      <c r="T234" s="9">
        <f t="shared" si="22"/>
        <v>133.58583333333326</v>
      </c>
      <c r="U234" s="4">
        <v>0</v>
      </c>
      <c r="V234" s="4">
        <v>2363.1</v>
      </c>
      <c r="W234" s="4">
        <v>236.31</v>
      </c>
      <c r="X234" s="4">
        <v>140584.70000000001</v>
      </c>
      <c r="Y234" s="4">
        <f t="shared" si="24"/>
        <v>10224.1</v>
      </c>
      <c r="Z234" s="4">
        <v>6</v>
      </c>
      <c r="AA234" s="4">
        <v>13.868079982568</v>
      </c>
    </row>
    <row r="235" spans="1:27" s="4" customFormat="1" x14ac:dyDescent="0.25">
      <c r="A235" s="32"/>
      <c r="B235" s="33"/>
      <c r="C235" s="6">
        <v>42113</v>
      </c>
      <c r="D235" s="4">
        <v>9.5</v>
      </c>
      <c r="E235" s="13">
        <v>5</v>
      </c>
      <c r="F235" s="4">
        <v>13.9</v>
      </c>
      <c r="G235" s="4">
        <v>1851.5999999999995</v>
      </c>
      <c r="H235" s="4">
        <f t="shared" si="23"/>
        <v>86.8</v>
      </c>
      <c r="I235" s="34" t="s">
        <v>36</v>
      </c>
      <c r="J235" s="4">
        <v>0</v>
      </c>
      <c r="K235" s="4">
        <v>369.10000000000019</v>
      </c>
      <c r="L235" s="4">
        <v>3.4</v>
      </c>
      <c r="M235" s="4">
        <v>262.5</v>
      </c>
      <c r="N235" s="8">
        <v>-3.4</v>
      </c>
      <c r="O235" s="4">
        <f t="shared" si="21"/>
        <v>151.5</v>
      </c>
      <c r="P235" s="4">
        <v>230</v>
      </c>
      <c r="Q235" s="4">
        <v>1.1499999999999999</v>
      </c>
      <c r="R235" s="9">
        <f t="shared" si="19"/>
        <v>3.9099999999999997</v>
      </c>
      <c r="S235" s="9">
        <f t="shared" si="20"/>
        <v>-3.9099999999999997</v>
      </c>
      <c r="T235" s="9">
        <f t="shared" si="22"/>
        <v>129.67583333333326</v>
      </c>
      <c r="U235" s="34" t="s">
        <v>37</v>
      </c>
      <c r="V235" s="4">
        <v>2319.8000000000002</v>
      </c>
      <c r="W235" s="4">
        <v>244.18947368421055</v>
      </c>
      <c r="X235" s="4">
        <v>142904.5</v>
      </c>
      <c r="Y235" s="4">
        <f t="shared" si="24"/>
        <v>12543.900000000001</v>
      </c>
      <c r="AA235" s="4">
        <v>13.9269991036858</v>
      </c>
    </row>
    <row r="236" spans="1:27" s="4" customFormat="1" x14ac:dyDescent="0.25">
      <c r="A236" s="32"/>
      <c r="B236" s="33"/>
      <c r="C236" s="6">
        <v>42114</v>
      </c>
      <c r="D236" s="4">
        <v>11.9</v>
      </c>
      <c r="E236" s="13">
        <v>4.8</v>
      </c>
      <c r="F236" s="4">
        <v>19</v>
      </c>
      <c r="G236" s="4">
        <v>1863.4999999999995</v>
      </c>
      <c r="H236" s="4">
        <f t="shared" si="23"/>
        <v>98.7</v>
      </c>
      <c r="I236" s="4">
        <v>0</v>
      </c>
      <c r="J236" s="4">
        <v>0</v>
      </c>
      <c r="K236" s="4">
        <v>369.10000000000019</v>
      </c>
      <c r="L236" s="4">
        <v>3.9</v>
      </c>
      <c r="M236" s="4">
        <v>266.39999999999998</v>
      </c>
      <c r="N236" s="8">
        <v>-3.9</v>
      </c>
      <c r="O236" s="4">
        <f t="shared" si="21"/>
        <v>147.6</v>
      </c>
      <c r="P236" s="4">
        <v>231</v>
      </c>
      <c r="Q236" s="4">
        <v>1.1499999999999999</v>
      </c>
      <c r="R236" s="9">
        <f t="shared" si="19"/>
        <v>4.4849999999999994</v>
      </c>
      <c r="S236" s="9">
        <f t="shared" si="20"/>
        <v>-4.4849999999999994</v>
      </c>
      <c r="T236" s="9">
        <f t="shared" si="22"/>
        <v>125.19083333333326</v>
      </c>
      <c r="U236" s="9">
        <f>MIN(T229:T249)</f>
        <v>108.25083333333326</v>
      </c>
      <c r="V236" s="4">
        <v>2217.5</v>
      </c>
      <c r="W236" s="4">
        <v>186.34453781512605</v>
      </c>
      <c r="X236" s="4">
        <v>145122</v>
      </c>
      <c r="Y236" s="4">
        <f t="shared" si="24"/>
        <v>14761.400000000001</v>
      </c>
      <c r="AA236" s="4">
        <v>13.9856742883214</v>
      </c>
    </row>
    <row r="237" spans="1:27" s="4" customFormat="1" x14ac:dyDescent="0.25">
      <c r="A237" s="32"/>
      <c r="B237" s="33"/>
      <c r="C237" s="6">
        <v>42115</v>
      </c>
      <c r="D237" s="4">
        <v>12.5</v>
      </c>
      <c r="E237" s="4">
        <v>6.8</v>
      </c>
      <c r="F237" s="4">
        <v>19.100000000000001</v>
      </c>
      <c r="G237" s="4">
        <v>1875.9999999999995</v>
      </c>
      <c r="H237" s="4">
        <f t="shared" si="23"/>
        <v>111.2</v>
      </c>
      <c r="I237" s="34" t="s">
        <v>38</v>
      </c>
      <c r="J237" s="4">
        <v>0</v>
      </c>
      <c r="K237" s="4">
        <v>369.10000000000019</v>
      </c>
      <c r="L237" s="4">
        <v>4</v>
      </c>
      <c r="M237" s="4">
        <v>270.39999999999998</v>
      </c>
      <c r="N237" s="8">
        <v>-4</v>
      </c>
      <c r="O237" s="4">
        <f t="shared" si="21"/>
        <v>143.6</v>
      </c>
      <c r="P237" s="4">
        <v>232</v>
      </c>
      <c r="Q237" s="4">
        <v>1.1499999999999999</v>
      </c>
      <c r="R237" s="9">
        <f t="shared" si="19"/>
        <v>4.5999999999999996</v>
      </c>
      <c r="S237" s="9">
        <f t="shared" si="20"/>
        <v>-4.5999999999999996</v>
      </c>
      <c r="T237" s="9">
        <f t="shared" si="22"/>
        <v>120.59083333333326</v>
      </c>
      <c r="U237" s="34" t="s">
        <v>39</v>
      </c>
      <c r="V237" s="4">
        <v>2240.5</v>
      </c>
      <c r="W237" s="4">
        <v>179.24</v>
      </c>
      <c r="X237" s="4">
        <v>147362.5</v>
      </c>
      <c r="Y237" s="4">
        <f t="shared" si="24"/>
        <v>17001.900000000001</v>
      </c>
      <c r="AA237" s="4">
        <v>14.044092846166601</v>
      </c>
    </row>
    <row r="238" spans="1:27" s="4" customFormat="1" x14ac:dyDescent="0.25">
      <c r="A238" s="32"/>
      <c r="B238" s="33"/>
      <c r="C238" s="6">
        <v>42116</v>
      </c>
      <c r="D238" s="4">
        <v>10.1</v>
      </c>
      <c r="E238" s="4">
        <v>5.8</v>
      </c>
      <c r="F238" s="4">
        <v>15.7</v>
      </c>
      <c r="G238" s="4">
        <v>1886.0999999999995</v>
      </c>
      <c r="H238" s="4">
        <f t="shared" si="23"/>
        <v>121.3</v>
      </c>
      <c r="I238" s="4">
        <v>0</v>
      </c>
      <c r="J238" s="4">
        <v>0</v>
      </c>
      <c r="K238" s="4">
        <v>369.10000000000019</v>
      </c>
      <c r="L238" s="4">
        <v>3.8</v>
      </c>
      <c r="M238" s="4">
        <v>274.2</v>
      </c>
      <c r="N238" s="8">
        <v>-3.8</v>
      </c>
      <c r="O238" s="4">
        <f t="shared" si="21"/>
        <v>139.79999999999998</v>
      </c>
      <c r="P238" s="4">
        <v>233</v>
      </c>
      <c r="Q238" s="4">
        <v>1.1499999999999999</v>
      </c>
      <c r="R238" s="9">
        <f t="shared" si="19"/>
        <v>4.3699999999999992</v>
      </c>
      <c r="S238" s="9">
        <f t="shared" si="20"/>
        <v>-4.3699999999999992</v>
      </c>
      <c r="T238" s="9">
        <f t="shared" si="22"/>
        <v>116.22083333333326</v>
      </c>
      <c r="U238" s="9">
        <f>MAX(T229:T249)</f>
        <v>152.67583333333329</v>
      </c>
      <c r="V238" s="4">
        <v>2348.4</v>
      </c>
      <c r="W238" s="4">
        <v>232.51485148514854</v>
      </c>
      <c r="X238" s="4">
        <v>149710.9</v>
      </c>
      <c r="Y238" s="4">
        <f t="shared" si="24"/>
        <v>19350.300000000003</v>
      </c>
      <c r="AA238" s="4">
        <v>14.102241603031301</v>
      </c>
    </row>
    <row r="239" spans="1:27" s="25" customFormat="1" x14ac:dyDescent="0.25">
      <c r="A239" s="35"/>
      <c r="C239" s="6">
        <v>42117</v>
      </c>
      <c r="D239" s="25">
        <v>11.3</v>
      </c>
      <c r="E239" s="25">
        <v>5.6</v>
      </c>
      <c r="F239" s="25">
        <v>17.100000000000001</v>
      </c>
      <c r="G239" s="25">
        <v>1897.3999999999994</v>
      </c>
      <c r="H239" s="25">
        <f t="shared" si="23"/>
        <v>132.6</v>
      </c>
      <c r="I239" s="34" t="s">
        <v>40</v>
      </c>
      <c r="J239" s="25">
        <v>0</v>
      </c>
      <c r="K239" s="25">
        <v>369.10000000000019</v>
      </c>
      <c r="L239" s="25">
        <v>3.7</v>
      </c>
      <c r="M239" s="25">
        <v>277.89999999999998</v>
      </c>
      <c r="N239" s="25">
        <v>-3.7</v>
      </c>
      <c r="O239" s="25">
        <f t="shared" si="21"/>
        <v>136.1</v>
      </c>
      <c r="P239" s="25">
        <v>234</v>
      </c>
      <c r="Q239" s="4">
        <v>1.1499999999999999</v>
      </c>
      <c r="R239" s="26">
        <f t="shared" si="19"/>
        <v>4.2549999999999999</v>
      </c>
      <c r="S239" s="26">
        <f t="shared" si="20"/>
        <v>-4.2549999999999999</v>
      </c>
      <c r="T239" s="9">
        <f t="shared" si="22"/>
        <v>111.96583333333326</v>
      </c>
      <c r="U239" s="34" t="s">
        <v>41</v>
      </c>
      <c r="V239" s="25">
        <v>2477</v>
      </c>
      <c r="W239" s="25">
        <v>219.20353982300884</v>
      </c>
      <c r="X239" s="25">
        <v>152187.9</v>
      </c>
      <c r="Y239" s="4">
        <f t="shared" si="24"/>
        <v>21827.300000000003</v>
      </c>
      <c r="AA239" s="4">
        <v>14.1601068874331</v>
      </c>
    </row>
    <row r="240" spans="1:27" s="4" customFormat="1" ht="15" customHeight="1" x14ac:dyDescent="0.25">
      <c r="A240" s="32"/>
      <c r="B240" s="33"/>
      <c r="C240" s="6">
        <v>42118</v>
      </c>
      <c r="D240" s="4">
        <v>13.5</v>
      </c>
      <c r="E240" s="4">
        <v>6.2</v>
      </c>
      <c r="F240" s="4">
        <v>22.1</v>
      </c>
      <c r="G240" s="4">
        <v>1910.8999999999994</v>
      </c>
      <c r="H240" s="4">
        <f t="shared" si="23"/>
        <v>146.1</v>
      </c>
      <c r="I240" s="4">
        <v>4</v>
      </c>
      <c r="J240" s="4">
        <v>2.8</v>
      </c>
      <c r="K240" s="4">
        <v>371.9000000000002</v>
      </c>
      <c r="L240" s="4">
        <v>3</v>
      </c>
      <c r="M240" s="4">
        <v>280.89999999999998</v>
      </c>
      <c r="N240" s="8">
        <v>-0.20000000000000018</v>
      </c>
      <c r="O240" s="4">
        <f t="shared" si="21"/>
        <v>135.9</v>
      </c>
      <c r="P240" s="4">
        <v>235</v>
      </c>
      <c r="Q240" s="4">
        <v>1.1499999999999999</v>
      </c>
      <c r="R240" s="9">
        <f t="shared" si="19"/>
        <v>3.4499999999999997</v>
      </c>
      <c r="S240" s="9">
        <f t="shared" si="20"/>
        <v>-0.64999999999999991</v>
      </c>
      <c r="T240" s="9">
        <f t="shared" si="22"/>
        <v>111.31583333333326</v>
      </c>
      <c r="U240" s="49">
        <f>AVERAGE(T229:T249)</f>
        <v>122.74488095238091</v>
      </c>
      <c r="V240" s="4">
        <v>1563</v>
      </c>
      <c r="W240" s="4">
        <v>115.77777777777777</v>
      </c>
      <c r="X240" s="4">
        <v>153750.9</v>
      </c>
      <c r="Y240" s="4">
        <f t="shared" si="24"/>
        <v>23390.300000000003</v>
      </c>
      <c r="AA240" s="4">
        <v>14.2176745178259</v>
      </c>
    </row>
    <row r="241" spans="1:27" s="4" customFormat="1" x14ac:dyDescent="0.25">
      <c r="A241" s="32"/>
      <c r="B241" s="33"/>
      <c r="C241" s="6">
        <v>42119</v>
      </c>
      <c r="D241" s="4">
        <v>13.1</v>
      </c>
      <c r="E241" s="4">
        <v>11.2</v>
      </c>
      <c r="F241" s="4">
        <v>15</v>
      </c>
      <c r="G241" s="4">
        <v>1923.9999999999993</v>
      </c>
      <c r="H241" s="4">
        <f t="shared" si="23"/>
        <v>159.19999999999999</v>
      </c>
      <c r="I241" s="34" t="s">
        <v>42</v>
      </c>
      <c r="J241" s="4">
        <v>3.8</v>
      </c>
      <c r="K241" s="4">
        <v>375.70000000000022</v>
      </c>
      <c r="L241" s="4">
        <v>1.4</v>
      </c>
      <c r="M241" s="4">
        <v>282.29999999999995</v>
      </c>
      <c r="N241" s="4">
        <v>2.4</v>
      </c>
      <c r="O241" s="4">
        <f t="shared" si="21"/>
        <v>138.30000000000001</v>
      </c>
      <c r="P241" s="4">
        <v>236</v>
      </c>
      <c r="Q241" s="4">
        <v>1.1499999999999999</v>
      </c>
      <c r="R241" s="9">
        <f t="shared" si="19"/>
        <v>1.6099999999999999</v>
      </c>
      <c r="S241" s="9">
        <f t="shared" si="20"/>
        <v>2.19</v>
      </c>
      <c r="T241" s="9">
        <f t="shared" si="22"/>
        <v>113.50583333333326</v>
      </c>
      <c r="V241" s="10">
        <v>763.7</v>
      </c>
      <c r="W241" s="4">
        <v>58.297709923664129</v>
      </c>
      <c r="X241" s="4">
        <v>154514.6</v>
      </c>
      <c r="Y241" s="4">
        <f t="shared" si="24"/>
        <v>24154.000000000004</v>
      </c>
      <c r="AA241" s="4">
        <v>14.274929790539</v>
      </c>
    </row>
    <row r="242" spans="1:27" s="4" customFormat="1" x14ac:dyDescent="0.25">
      <c r="A242" s="32"/>
      <c r="B242" s="33"/>
      <c r="C242" s="6">
        <v>42120</v>
      </c>
      <c r="D242" s="4">
        <v>12.2</v>
      </c>
      <c r="E242" s="4">
        <v>11.3</v>
      </c>
      <c r="F242" s="4">
        <v>14.7</v>
      </c>
      <c r="G242" s="4">
        <v>1936.1999999999994</v>
      </c>
      <c r="H242" s="4">
        <f t="shared" si="23"/>
        <v>171.39999999999998</v>
      </c>
      <c r="I242" s="4">
        <v>239.8</v>
      </c>
      <c r="J242" s="4">
        <v>5.7</v>
      </c>
      <c r="K242" s="4">
        <v>381.4000000000002</v>
      </c>
      <c r="L242" s="4">
        <v>1.4</v>
      </c>
      <c r="M242" s="4">
        <v>283.69999999999993</v>
      </c>
      <c r="N242" s="4">
        <v>4.3000000000000007</v>
      </c>
      <c r="O242" s="4">
        <f t="shared" si="21"/>
        <v>142.60000000000002</v>
      </c>
      <c r="P242" s="4">
        <v>237</v>
      </c>
      <c r="Q242" s="4">
        <v>1.1499999999999999</v>
      </c>
      <c r="R242" s="9">
        <f t="shared" si="19"/>
        <v>1.6099999999999999</v>
      </c>
      <c r="S242" s="9">
        <f t="shared" si="20"/>
        <v>4.09</v>
      </c>
      <c r="T242" s="9">
        <f t="shared" si="22"/>
        <v>117.59583333333326</v>
      </c>
      <c r="U242" s="4">
        <f>(U240*100)/189.6</f>
        <v>64.738861261804288</v>
      </c>
      <c r="V242" s="10">
        <v>593.79999999999995</v>
      </c>
      <c r="W242" s="4">
        <v>48.672131147540981</v>
      </c>
      <c r="X242" s="4">
        <v>155108.4</v>
      </c>
      <c r="Y242" s="4">
        <f t="shared" si="24"/>
        <v>24747.800000000003</v>
      </c>
      <c r="AA242" s="4">
        <v>14.3318574685045</v>
      </c>
    </row>
    <row r="243" spans="1:27" s="4" customFormat="1" x14ac:dyDescent="0.25">
      <c r="A243" s="32"/>
      <c r="B243" s="33"/>
      <c r="C243" s="6">
        <v>42121</v>
      </c>
      <c r="D243" s="4">
        <v>8.5</v>
      </c>
      <c r="E243" s="4">
        <v>6.9</v>
      </c>
      <c r="F243" s="4">
        <v>11.5</v>
      </c>
      <c r="G243" s="4">
        <v>1944.6999999999994</v>
      </c>
      <c r="H243" s="4">
        <f t="shared" si="23"/>
        <v>179.89999999999998</v>
      </c>
      <c r="J243" s="4">
        <v>0</v>
      </c>
      <c r="K243" s="4">
        <v>381.4000000000002</v>
      </c>
      <c r="L243" s="4">
        <v>2.4</v>
      </c>
      <c r="M243" s="4">
        <v>286.09999999999991</v>
      </c>
      <c r="N243" s="8">
        <v>-2.4</v>
      </c>
      <c r="O243" s="4">
        <f t="shared" si="21"/>
        <v>140.20000000000002</v>
      </c>
      <c r="P243" s="4">
        <v>238</v>
      </c>
      <c r="Q243" s="4">
        <v>1.1499999999999999</v>
      </c>
      <c r="R243" s="9">
        <f t="shared" si="19"/>
        <v>2.76</v>
      </c>
      <c r="S243" s="9">
        <f t="shared" si="20"/>
        <v>-2.76</v>
      </c>
      <c r="T243" s="9">
        <f t="shared" si="22"/>
        <v>114.83583333333326</v>
      </c>
      <c r="V243" s="4">
        <v>1372.6</v>
      </c>
      <c r="W243" s="4">
        <v>161.48235294117646</v>
      </c>
      <c r="X243" s="4">
        <v>156481</v>
      </c>
      <c r="Y243" s="4">
        <f t="shared" si="24"/>
        <v>26120.400000000001</v>
      </c>
      <c r="AA243" s="4">
        <v>14.3884417708522</v>
      </c>
    </row>
    <row r="244" spans="1:27" s="4" customFormat="1" x14ac:dyDescent="0.25">
      <c r="A244" s="32"/>
      <c r="B244" s="33"/>
      <c r="C244" s="6">
        <v>42122</v>
      </c>
      <c r="D244" s="4">
        <v>7.7</v>
      </c>
      <c r="E244" s="13">
        <v>2.4</v>
      </c>
      <c r="F244" s="4">
        <v>11.3</v>
      </c>
      <c r="G244" s="4">
        <v>1952.3999999999994</v>
      </c>
      <c r="H244" s="4">
        <f t="shared" si="23"/>
        <v>187.59999999999997</v>
      </c>
      <c r="J244" s="4">
        <v>0</v>
      </c>
      <c r="K244" s="4">
        <v>381.4000000000002</v>
      </c>
      <c r="L244" s="4">
        <v>2.5</v>
      </c>
      <c r="M244" s="4">
        <v>288.59999999999991</v>
      </c>
      <c r="N244" s="8">
        <v>-2.5</v>
      </c>
      <c r="O244" s="4">
        <f t="shared" si="21"/>
        <v>137.70000000000002</v>
      </c>
      <c r="P244" s="4">
        <v>239</v>
      </c>
      <c r="Q244" s="4">
        <v>1.1499999999999999</v>
      </c>
      <c r="R244" s="9">
        <f t="shared" si="19"/>
        <v>2.875</v>
      </c>
      <c r="S244" s="9">
        <f t="shared" si="20"/>
        <v>-2.875</v>
      </c>
      <c r="T244" s="9">
        <f t="shared" si="22"/>
        <v>111.96083333333326</v>
      </c>
      <c r="V244" s="4">
        <v>1962.8</v>
      </c>
      <c r="W244" s="4">
        <v>254.90909090909091</v>
      </c>
      <c r="X244" s="4">
        <v>158443.79999999999</v>
      </c>
      <c r="Y244" s="4">
        <f t="shared" si="24"/>
        <v>28083.200000000001</v>
      </c>
      <c r="AA244" s="4">
        <v>14.4446663634609</v>
      </c>
    </row>
    <row r="245" spans="1:27" s="4" customFormat="1" x14ac:dyDescent="0.25">
      <c r="A245" s="32"/>
      <c r="B245" s="33"/>
      <c r="C245" s="6">
        <v>42123</v>
      </c>
      <c r="D245" s="4">
        <v>9.3000000000000007</v>
      </c>
      <c r="E245" s="13">
        <v>3.7</v>
      </c>
      <c r="F245" s="4">
        <v>13.9</v>
      </c>
      <c r="G245" s="4">
        <v>1961.6999999999994</v>
      </c>
      <c r="H245" s="4">
        <f t="shared" si="23"/>
        <v>196.89999999999998</v>
      </c>
      <c r="J245" s="4">
        <v>0.9</v>
      </c>
      <c r="K245" s="4">
        <v>382.30000000000018</v>
      </c>
      <c r="L245" s="4">
        <v>2.2000000000000002</v>
      </c>
      <c r="M245" s="4">
        <v>290.7999999999999</v>
      </c>
      <c r="N245" s="8">
        <v>-1.3000000000000003</v>
      </c>
      <c r="O245" s="4">
        <f t="shared" si="21"/>
        <v>136.4</v>
      </c>
      <c r="P245" s="4">
        <v>240</v>
      </c>
      <c r="Q245" s="4">
        <v>1.1499999999999999</v>
      </c>
      <c r="R245" s="9">
        <f t="shared" si="19"/>
        <v>2.5299999999999998</v>
      </c>
      <c r="S245" s="9">
        <f t="shared" si="20"/>
        <v>-1.63</v>
      </c>
      <c r="T245" s="9">
        <f t="shared" si="22"/>
        <v>110.33083333333326</v>
      </c>
      <c r="V245" s="4">
        <v>1470.7</v>
      </c>
      <c r="W245" s="4">
        <v>158.13978494623655</v>
      </c>
      <c r="X245" s="4">
        <v>159914.5</v>
      </c>
      <c r="Y245" s="4">
        <f t="shared" si="24"/>
        <v>29553.9</v>
      </c>
      <c r="AA245" s="4">
        <v>14.5005143505566</v>
      </c>
    </row>
    <row r="246" spans="1:27" s="4" customFormat="1" x14ac:dyDescent="0.25">
      <c r="A246" s="32"/>
      <c r="B246" s="33"/>
      <c r="C246" s="6">
        <v>42124</v>
      </c>
      <c r="D246" s="4">
        <v>8.8000000000000007</v>
      </c>
      <c r="E246" s="4">
        <v>6.6</v>
      </c>
      <c r="F246" s="4">
        <v>11.4</v>
      </c>
      <c r="G246" s="4">
        <v>1970.4999999999993</v>
      </c>
      <c r="H246" s="4">
        <f t="shared" si="23"/>
        <v>205.7</v>
      </c>
      <c r="J246" s="4">
        <v>1.2</v>
      </c>
      <c r="K246" s="4">
        <v>383.50000000000017</v>
      </c>
      <c r="L246" s="4">
        <v>1.3</v>
      </c>
      <c r="M246" s="4">
        <v>292.09999999999991</v>
      </c>
      <c r="N246" s="8">
        <v>-0.10000000000000009</v>
      </c>
      <c r="O246" s="4">
        <f t="shared" si="21"/>
        <v>136.30000000000001</v>
      </c>
      <c r="P246" s="4">
        <v>241</v>
      </c>
      <c r="Q246" s="4">
        <v>1.1499999999999999</v>
      </c>
      <c r="R246" s="9">
        <f t="shared" si="19"/>
        <v>1.4949999999999999</v>
      </c>
      <c r="S246" s="9">
        <f t="shared" si="20"/>
        <v>-0.29499999999999993</v>
      </c>
      <c r="T246" s="9">
        <f t="shared" si="22"/>
        <v>110.03583333333326</v>
      </c>
      <c r="V246" s="10">
        <v>892.1</v>
      </c>
      <c r="W246" s="4">
        <v>101.375</v>
      </c>
      <c r="X246" s="4">
        <v>160806.6</v>
      </c>
      <c r="Y246" s="4">
        <f t="shared" si="24"/>
        <v>30446</v>
      </c>
      <c r="AA246" s="4">
        <v>14.555968267454601</v>
      </c>
    </row>
    <row r="247" spans="1:27" s="4" customFormat="1" x14ac:dyDescent="0.25">
      <c r="A247" s="32"/>
      <c r="B247" s="33"/>
      <c r="C247" s="6">
        <v>42125</v>
      </c>
      <c r="D247" s="4">
        <v>8.9</v>
      </c>
      <c r="E247" s="4">
        <v>5.0999999999999996</v>
      </c>
      <c r="F247" s="4">
        <v>11.6</v>
      </c>
      <c r="G247" s="4">
        <v>1979.3999999999994</v>
      </c>
      <c r="H247" s="4">
        <f t="shared" si="23"/>
        <v>214.6</v>
      </c>
      <c r="J247" s="4">
        <v>0.4</v>
      </c>
      <c r="K247" s="4">
        <v>383.90000000000015</v>
      </c>
      <c r="L247" s="4">
        <v>1.9</v>
      </c>
      <c r="M247" s="4">
        <v>293.99999999999989</v>
      </c>
      <c r="N247" s="8">
        <v>-1.5</v>
      </c>
      <c r="O247" s="4">
        <f t="shared" si="21"/>
        <v>134.80000000000001</v>
      </c>
      <c r="P247" s="4">
        <v>242</v>
      </c>
      <c r="Q247" s="4">
        <v>1.1499999999999999</v>
      </c>
      <c r="R247" s="9">
        <f t="shared" si="19"/>
        <v>2.1849999999999996</v>
      </c>
      <c r="S247" s="9">
        <f t="shared" si="20"/>
        <v>-1.7849999999999997</v>
      </c>
      <c r="T247" s="9">
        <f t="shared" si="22"/>
        <v>108.25083333333326</v>
      </c>
      <c r="V247" s="4">
        <v>1600</v>
      </c>
      <c r="W247" s="4">
        <v>179.77528089887639</v>
      </c>
      <c r="X247" s="4">
        <v>162406.6</v>
      </c>
      <c r="Y247" s="4">
        <f t="shared" si="24"/>
        <v>32046</v>
      </c>
      <c r="AA247" s="4">
        <v>14.6110100745474</v>
      </c>
    </row>
    <row r="248" spans="1:27" s="4" customFormat="1" x14ac:dyDescent="0.25">
      <c r="A248" s="32"/>
      <c r="B248" s="33"/>
      <c r="C248" s="6">
        <v>42126</v>
      </c>
      <c r="D248" s="4">
        <v>10.9</v>
      </c>
      <c r="E248" s="4">
        <v>8.1</v>
      </c>
      <c r="F248" s="4">
        <v>13</v>
      </c>
      <c r="G248" s="4">
        <v>1990.2999999999995</v>
      </c>
      <c r="H248" s="4">
        <f t="shared" si="23"/>
        <v>225.5</v>
      </c>
      <c r="J248" s="4">
        <v>2.2000000000000002</v>
      </c>
      <c r="K248" s="4">
        <v>386.10000000000014</v>
      </c>
      <c r="L248" s="4">
        <v>0.7</v>
      </c>
      <c r="M248" s="4">
        <v>294.69999999999987</v>
      </c>
      <c r="N248" s="4">
        <v>1.5000000000000002</v>
      </c>
      <c r="O248" s="4">
        <f t="shared" si="21"/>
        <v>136.30000000000001</v>
      </c>
      <c r="P248" s="4">
        <v>243</v>
      </c>
      <c r="Q248" s="4">
        <v>1.1499999999999999</v>
      </c>
      <c r="R248" s="9">
        <f t="shared" si="19"/>
        <v>0.80499999999999994</v>
      </c>
      <c r="S248" s="9">
        <f t="shared" si="20"/>
        <v>1.3950000000000002</v>
      </c>
      <c r="T248" s="9">
        <f t="shared" si="22"/>
        <v>109.64583333333326</v>
      </c>
      <c r="V248" s="10">
        <v>502</v>
      </c>
      <c r="W248" s="4">
        <v>46.055045871559635</v>
      </c>
      <c r="X248" s="4">
        <v>162908.6</v>
      </c>
      <c r="Y248" s="4">
        <f t="shared" si="24"/>
        <v>32548</v>
      </c>
      <c r="AA248" s="4">
        <v>14.665621152643499</v>
      </c>
    </row>
    <row r="249" spans="1:27" s="17" customFormat="1" x14ac:dyDescent="0.25">
      <c r="A249" s="36" t="s">
        <v>48</v>
      </c>
      <c r="B249" s="37"/>
      <c r="C249" s="29">
        <v>42127</v>
      </c>
      <c r="D249" s="17">
        <v>14.3</v>
      </c>
      <c r="E249" s="17">
        <v>11.3</v>
      </c>
      <c r="F249" s="17">
        <v>16.2</v>
      </c>
      <c r="G249" s="17">
        <v>2004.5999999999995</v>
      </c>
      <c r="H249" s="17">
        <f t="shared" si="23"/>
        <v>239.8</v>
      </c>
      <c r="J249" s="17">
        <v>2</v>
      </c>
      <c r="K249" s="17">
        <v>388.10000000000014</v>
      </c>
      <c r="L249" s="17">
        <v>1</v>
      </c>
      <c r="M249" s="17">
        <v>295.69999999999987</v>
      </c>
      <c r="N249" s="17">
        <v>1</v>
      </c>
      <c r="O249" s="17">
        <f t="shared" si="21"/>
        <v>137.30000000000001</v>
      </c>
      <c r="P249" s="17">
        <v>244</v>
      </c>
      <c r="Q249" s="4">
        <v>1.1499999999999999</v>
      </c>
      <c r="R249" s="18">
        <f t="shared" si="19"/>
        <v>1.1499999999999999</v>
      </c>
      <c r="S249" s="18">
        <f t="shared" si="20"/>
        <v>0.85000000000000009</v>
      </c>
      <c r="T249" s="9">
        <f t="shared" si="22"/>
        <v>110.49583333333325</v>
      </c>
      <c r="V249" s="38">
        <v>748.4</v>
      </c>
      <c r="W249" s="17">
        <v>52.335664335664333</v>
      </c>
      <c r="X249" s="17">
        <v>163657</v>
      </c>
      <c r="Y249" s="4">
        <f t="shared" si="24"/>
        <v>33296.400000000001</v>
      </c>
      <c r="AA249" s="4">
        <v>14.7197822997689</v>
      </c>
    </row>
    <row r="250" spans="1:27" s="4" customFormat="1" x14ac:dyDescent="0.25">
      <c r="A250" s="71">
        <v>300</v>
      </c>
      <c r="B250" s="5"/>
      <c r="C250" s="6">
        <v>42128</v>
      </c>
      <c r="D250" s="4">
        <v>14.9</v>
      </c>
      <c r="E250" s="4">
        <v>11.3</v>
      </c>
      <c r="F250" s="4">
        <v>19</v>
      </c>
      <c r="G250" s="4">
        <v>2019.4999999999995</v>
      </c>
      <c r="H250" s="4">
        <v>14.9</v>
      </c>
      <c r="I250" s="39" t="s">
        <v>27</v>
      </c>
      <c r="J250" s="4">
        <v>23.6</v>
      </c>
      <c r="K250" s="4">
        <v>411.70000000000016</v>
      </c>
      <c r="L250" s="4">
        <v>2.5</v>
      </c>
      <c r="M250" s="4">
        <v>298.19999999999987</v>
      </c>
      <c r="N250" s="4">
        <v>21.1</v>
      </c>
      <c r="O250" s="4">
        <f t="shared" si="21"/>
        <v>158.4</v>
      </c>
      <c r="P250" s="4">
        <v>245</v>
      </c>
      <c r="Q250" s="4">
        <v>1.1499999999999999</v>
      </c>
      <c r="R250" s="9">
        <f t="shared" si="19"/>
        <v>2.875</v>
      </c>
      <c r="S250" s="9">
        <f t="shared" si="20"/>
        <v>20.725000000000001</v>
      </c>
      <c r="T250" s="9">
        <f t="shared" si="22"/>
        <v>131.22083333333325</v>
      </c>
      <c r="U250" s="39" t="s">
        <v>28</v>
      </c>
      <c r="V250" s="4">
        <v>1300.0999999999999</v>
      </c>
      <c r="W250" s="4">
        <v>87.255033557046971</v>
      </c>
      <c r="X250" s="4">
        <v>164957.1</v>
      </c>
      <c r="Y250" s="4">
        <v>1300.0999999999999</v>
      </c>
      <c r="Z250" s="39" t="s">
        <v>29</v>
      </c>
      <c r="AA250" s="4">
        <v>14.7734737295446</v>
      </c>
    </row>
    <row r="251" spans="1:27" s="4" customFormat="1" x14ac:dyDescent="0.25">
      <c r="A251" s="71"/>
      <c r="B251" s="5"/>
      <c r="C251" s="6">
        <v>42129</v>
      </c>
      <c r="D251" s="4">
        <v>15</v>
      </c>
      <c r="E251" s="4">
        <v>14.9</v>
      </c>
      <c r="F251" s="4">
        <v>16.2</v>
      </c>
      <c r="G251" s="4">
        <v>2034.4999999999995</v>
      </c>
      <c r="H251" s="4">
        <f t="shared" si="23"/>
        <v>29.9</v>
      </c>
      <c r="I251" s="4">
        <f>MIN(E250:E273)</f>
        <v>5.2</v>
      </c>
      <c r="J251" s="4">
        <v>3.7</v>
      </c>
      <c r="K251" s="4">
        <v>415.40000000000015</v>
      </c>
      <c r="L251" s="4">
        <v>2.8</v>
      </c>
      <c r="M251" s="4">
        <v>300.99999999999989</v>
      </c>
      <c r="N251" s="4">
        <v>0.90000000000000036</v>
      </c>
      <c r="O251" s="4">
        <f t="shared" si="21"/>
        <v>159.30000000000001</v>
      </c>
      <c r="P251" s="4">
        <v>246</v>
      </c>
      <c r="Q251" s="4">
        <v>1.1499999999999999</v>
      </c>
      <c r="R251" s="9">
        <f t="shared" si="19"/>
        <v>3.2199999999999998</v>
      </c>
      <c r="S251" s="9">
        <f t="shared" si="20"/>
        <v>0.48000000000000043</v>
      </c>
      <c r="T251" s="9">
        <f t="shared" si="22"/>
        <v>131.70083333333324</v>
      </c>
      <c r="U251" s="4">
        <v>20</v>
      </c>
      <c r="V251" s="4">
        <v>1349.8</v>
      </c>
      <c r="W251" s="4">
        <v>89.986666666666665</v>
      </c>
      <c r="X251" s="4">
        <v>166306.9</v>
      </c>
      <c r="Y251" s="4">
        <f t="shared" si="24"/>
        <v>2649.8999999999996</v>
      </c>
      <c r="Z251" s="4">
        <v>39896.799999999996</v>
      </c>
      <c r="AA251" s="4">
        <v>14.826675071258901</v>
      </c>
    </row>
    <row r="252" spans="1:27" s="4" customFormat="1" x14ac:dyDescent="0.25">
      <c r="A252" s="71"/>
      <c r="B252" s="5"/>
      <c r="C252" s="6">
        <v>42130</v>
      </c>
      <c r="D252" s="4">
        <v>11.2</v>
      </c>
      <c r="E252" s="4">
        <v>9.6</v>
      </c>
      <c r="F252" s="4">
        <v>14.3</v>
      </c>
      <c r="G252" s="4">
        <v>2045.6999999999996</v>
      </c>
      <c r="H252" s="4">
        <f t="shared" si="23"/>
        <v>41.099999999999994</v>
      </c>
      <c r="I252" s="39" t="s">
        <v>30</v>
      </c>
      <c r="J252" s="4">
        <v>1.9</v>
      </c>
      <c r="K252" s="4">
        <v>417.30000000000013</v>
      </c>
      <c r="L252" s="4">
        <v>2.7</v>
      </c>
      <c r="M252" s="4">
        <v>303.69999999999987</v>
      </c>
      <c r="N252" s="8">
        <v>-0.80000000000000027</v>
      </c>
      <c r="O252" s="4">
        <f t="shared" si="21"/>
        <v>158.5</v>
      </c>
      <c r="P252" s="4">
        <v>247</v>
      </c>
      <c r="Q252" s="4">
        <v>1.1499999999999999</v>
      </c>
      <c r="R252" s="9">
        <f t="shared" si="19"/>
        <v>3.105</v>
      </c>
      <c r="S252" s="9">
        <f t="shared" si="20"/>
        <v>-1.2050000000000001</v>
      </c>
      <c r="T252" s="9">
        <f t="shared" si="22"/>
        <v>130.49583333333322</v>
      </c>
      <c r="U252" s="39" t="s">
        <v>31</v>
      </c>
      <c r="V252" s="4">
        <v>1443.3</v>
      </c>
      <c r="W252" s="4">
        <v>128.86607142857144</v>
      </c>
      <c r="X252" s="4">
        <v>167750.19999999998</v>
      </c>
      <c r="Y252" s="4">
        <f t="shared" si="24"/>
        <v>4093.2</v>
      </c>
      <c r="Z252" s="39" t="s">
        <v>32</v>
      </c>
      <c r="AA252" s="4">
        <v>14.8793653717553</v>
      </c>
    </row>
    <row r="253" spans="1:27" s="4" customFormat="1" x14ac:dyDescent="0.25">
      <c r="A253" s="71"/>
      <c r="B253" s="5"/>
      <c r="C253" s="6">
        <v>42131</v>
      </c>
      <c r="D253" s="4">
        <v>11.7</v>
      </c>
      <c r="E253" s="4">
        <v>8.6</v>
      </c>
      <c r="F253" s="4">
        <v>14.3</v>
      </c>
      <c r="G253" s="4">
        <v>2057.3999999999996</v>
      </c>
      <c r="H253" s="4">
        <f t="shared" si="23"/>
        <v>52.8</v>
      </c>
      <c r="I253" s="4">
        <f>MAX(F250:F273)</f>
        <v>24</v>
      </c>
      <c r="J253" s="4">
        <v>0</v>
      </c>
      <c r="K253" s="4">
        <v>417.30000000000013</v>
      </c>
      <c r="L253" s="4">
        <v>2.8</v>
      </c>
      <c r="M253" s="4">
        <v>306.49999999999989</v>
      </c>
      <c r="N253" s="8">
        <v>-2.8</v>
      </c>
      <c r="O253" s="4">
        <f t="shared" si="21"/>
        <v>155.69999999999999</v>
      </c>
      <c r="P253" s="4">
        <v>248</v>
      </c>
      <c r="Q253" s="4">
        <v>1.1499999999999999</v>
      </c>
      <c r="R253" s="9">
        <f t="shared" si="19"/>
        <v>3.2199999999999998</v>
      </c>
      <c r="S253" s="9">
        <f t="shared" si="20"/>
        <v>-3.2199999999999998</v>
      </c>
      <c r="T253" s="9">
        <f t="shared" si="22"/>
        <v>127.27583333333322</v>
      </c>
      <c r="U253" s="4">
        <v>0</v>
      </c>
      <c r="V253" s="4">
        <v>1910</v>
      </c>
      <c r="W253" s="4">
        <v>163.24786324786325</v>
      </c>
      <c r="X253" s="4">
        <v>169660.19999999998</v>
      </c>
      <c r="Y253" s="4">
        <f t="shared" si="24"/>
        <v>6003.2</v>
      </c>
      <c r="Z253" s="11">
        <f>(Z251/100)/I263</f>
        <v>1.3162916529198283</v>
      </c>
      <c r="AA253" s="4">
        <v>14.9315230992589</v>
      </c>
    </row>
    <row r="254" spans="1:27" s="4" customFormat="1" x14ac:dyDescent="0.25">
      <c r="A254" s="71"/>
      <c r="B254" s="5"/>
      <c r="C254" s="6">
        <v>42132</v>
      </c>
      <c r="D254" s="4">
        <v>14.2</v>
      </c>
      <c r="E254" s="4">
        <v>10.5</v>
      </c>
      <c r="F254" s="4">
        <v>17.8</v>
      </c>
      <c r="G254" s="4">
        <v>2071.5999999999995</v>
      </c>
      <c r="H254" s="4">
        <f t="shared" si="23"/>
        <v>67</v>
      </c>
      <c r="I254" s="39" t="s">
        <v>33</v>
      </c>
      <c r="J254" s="4">
        <v>0</v>
      </c>
      <c r="K254" s="4">
        <v>417.30000000000013</v>
      </c>
      <c r="L254" s="4">
        <v>2.5</v>
      </c>
      <c r="M254" s="4">
        <v>308.99999999999989</v>
      </c>
      <c r="N254" s="8">
        <v>-2.5</v>
      </c>
      <c r="O254" s="4">
        <f t="shared" si="21"/>
        <v>153.19999999999999</v>
      </c>
      <c r="P254" s="4">
        <v>249</v>
      </c>
      <c r="Q254" s="4">
        <v>1.1499999999999999</v>
      </c>
      <c r="R254" s="9">
        <f t="shared" si="19"/>
        <v>2.875</v>
      </c>
      <c r="S254" s="9">
        <f t="shared" si="20"/>
        <v>-2.875</v>
      </c>
      <c r="T254" s="9">
        <f t="shared" si="22"/>
        <v>124.40083333333322</v>
      </c>
      <c r="U254" s="39" t="s">
        <v>34</v>
      </c>
      <c r="V254" s="4">
        <v>1640.2</v>
      </c>
      <c r="W254" s="4">
        <v>115.50704225352113</v>
      </c>
      <c r="X254" s="4">
        <v>171300.4</v>
      </c>
      <c r="Y254" s="4">
        <f t="shared" si="24"/>
        <v>7643.4</v>
      </c>
      <c r="Z254" s="39" t="s">
        <v>35</v>
      </c>
      <c r="AA254" s="4">
        <v>14.9831261492678</v>
      </c>
    </row>
    <row r="255" spans="1:27" s="4" customFormat="1" x14ac:dyDescent="0.25">
      <c r="A255" s="71"/>
      <c r="B255" s="5"/>
      <c r="C255" s="6">
        <v>42133</v>
      </c>
      <c r="D255" s="4">
        <v>14.5</v>
      </c>
      <c r="E255" s="4">
        <v>12.9</v>
      </c>
      <c r="F255" s="4">
        <v>17.899999999999999</v>
      </c>
      <c r="G255" s="4">
        <v>2086.0999999999995</v>
      </c>
      <c r="H255" s="4">
        <f t="shared" si="23"/>
        <v>81.5</v>
      </c>
      <c r="I255" s="9">
        <f>AVERAGE(D250:D273)</f>
        <v>12.629166666666665</v>
      </c>
      <c r="J255" s="4">
        <v>0</v>
      </c>
      <c r="K255" s="4">
        <v>417.30000000000013</v>
      </c>
      <c r="L255" s="4">
        <v>3.6</v>
      </c>
      <c r="M255" s="4">
        <v>312.59999999999991</v>
      </c>
      <c r="N255" s="8">
        <v>-3.6</v>
      </c>
      <c r="O255" s="4">
        <f t="shared" si="21"/>
        <v>149.6</v>
      </c>
      <c r="P255" s="4">
        <v>250</v>
      </c>
      <c r="Q255" s="4">
        <v>1.1499999999999999</v>
      </c>
      <c r="R255" s="9">
        <f t="shared" si="19"/>
        <v>4.1399999999999997</v>
      </c>
      <c r="S255" s="9">
        <f t="shared" si="20"/>
        <v>-4.1399999999999997</v>
      </c>
      <c r="T255" s="9">
        <f t="shared" si="22"/>
        <v>120.26083333333322</v>
      </c>
      <c r="U255" s="4">
        <v>0</v>
      </c>
      <c r="V255" s="4">
        <v>1808</v>
      </c>
      <c r="W255" s="4">
        <v>124.68965517241379</v>
      </c>
      <c r="X255" s="4">
        <v>173108.4</v>
      </c>
      <c r="Y255" s="4">
        <f t="shared" si="24"/>
        <v>9451.4</v>
      </c>
      <c r="Z255" s="4">
        <v>0</v>
      </c>
      <c r="AA255" s="4">
        <v>15.0341518526344</v>
      </c>
    </row>
    <row r="256" spans="1:27" s="4" customFormat="1" x14ac:dyDescent="0.25">
      <c r="A256" s="71"/>
      <c r="B256" s="5"/>
      <c r="C256" s="6">
        <v>42134</v>
      </c>
      <c r="D256" s="4">
        <v>14.8</v>
      </c>
      <c r="E256" s="4">
        <v>8.9</v>
      </c>
      <c r="F256" s="4">
        <v>19.5</v>
      </c>
      <c r="G256" s="4">
        <v>2100.8999999999996</v>
      </c>
      <c r="H256" s="4">
        <f t="shared" si="23"/>
        <v>96.3</v>
      </c>
      <c r="I256" s="39" t="s">
        <v>36</v>
      </c>
      <c r="J256" s="4">
        <v>0</v>
      </c>
      <c r="K256" s="4">
        <v>417.30000000000013</v>
      </c>
      <c r="L256" s="4">
        <v>2.4</v>
      </c>
      <c r="M256" s="4">
        <v>314.99999999999989</v>
      </c>
      <c r="N256" s="8">
        <v>-2.4</v>
      </c>
      <c r="O256" s="4">
        <f t="shared" si="21"/>
        <v>147.19999999999999</v>
      </c>
      <c r="P256" s="4">
        <v>251</v>
      </c>
      <c r="Q256" s="4">
        <v>1.1499999999999999</v>
      </c>
      <c r="R256" s="9">
        <f t="shared" si="19"/>
        <v>2.76</v>
      </c>
      <c r="S256" s="9">
        <f t="shared" si="20"/>
        <v>-2.76</v>
      </c>
      <c r="T256" s="9">
        <f t="shared" si="22"/>
        <v>117.50083333333322</v>
      </c>
      <c r="U256" s="39" t="s">
        <v>37</v>
      </c>
      <c r="V256" s="4">
        <v>1503.9</v>
      </c>
      <c r="W256" s="4">
        <v>101.61486486486487</v>
      </c>
      <c r="X256" s="4">
        <v>174612.3</v>
      </c>
      <c r="Y256" s="4">
        <f t="shared" si="24"/>
        <v>10955.3</v>
      </c>
      <c r="AA256" s="4">
        <v>15.0845769859628</v>
      </c>
    </row>
    <row r="257" spans="1:27" s="4" customFormat="1" x14ac:dyDescent="0.25">
      <c r="A257" s="71"/>
      <c r="B257" s="5"/>
      <c r="C257" s="6">
        <v>42135</v>
      </c>
      <c r="D257" s="4">
        <v>17.3</v>
      </c>
      <c r="E257" s="4">
        <v>12</v>
      </c>
      <c r="F257" s="4">
        <v>24</v>
      </c>
      <c r="G257" s="4">
        <v>2118.1999999999998</v>
      </c>
      <c r="H257" s="4">
        <f t="shared" si="23"/>
        <v>113.6</v>
      </c>
      <c r="I257" s="4">
        <v>0</v>
      </c>
      <c r="J257" s="4">
        <v>0</v>
      </c>
      <c r="K257" s="4">
        <v>417.30000000000013</v>
      </c>
      <c r="L257" s="4">
        <v>4.2</v>
      </c>
      <c r="M257" s="4">
        <v>319.19999999999987</v>
      </c>
      <c r="N257" s="8">
        <v>-4.2</v>
      </c>
      <c r="O257" s="4">
        <f t="shared" si="21"/>
        <v>143</v>
      </c>
      <c r="P257" s="4">
        <v>252</v>
      </c>
      <c r="Q257" s="4">
        <v>1.1499999999999999</v>
      </c>
      <c r="R257" s="9">
        <f t="shared" si="19"/>
        <v>4.83</v>
      </c>
      <c r="S257" s="9">
        <f t="shared" si="20"/>
        <v>-4.83</v>
      </c>
      <c r="T257" s="9">
        <f t="shared" si="22"/>
        <v>112.67083333333322</v>
      </c>
      <c r="U257" s="9">
        <f>MIN(T250:T273)</f>
        <v>80.515833333333219</v>
      </c>
      <c r="V257" s="4">
        <v>2227.8000000000002</v>
      </c>
      <c r="W257" s="4">
        <v>128.77456647398844</v>
      </c>
      <c r="X257" s="4">
        <v>176840.09999999998</v>
      </c>
      <c r="Y257" s="4">
        <f t="shared" si="24"/>
        <v>13183.099999999999</v>
      </c>
      <c r="AA257" s="4">
        <v>15.1343777844481</v>
      </c>
    </row>
    <row r="258" spans="1:27" s="4" customFormat="1" x14ac:dyDescent="0.25">
      <c r="A258" s="71"/>
      <c r="B258" s="5"/>
      <c r="C258" s="6">
        <v>42136</v>
      </c>
      <c r="D258" s="4">
        <v>12.9</v>
      </c>
      <c r="E258" s="4">
        <v>12.3</v>
      </c>
      <c r="F258" s="4">
        <v>16.100000000000001</v>
      </c>
      <c r="G258" s="4">
        <v>2131.1</v>
      </c>
      <c r="H258" s="4">
        <f t="shared" si="23"/>
        <v>126.5</v>
      </c>
      <c r="I258" s="39" t="s">
        <v>38</v>
      </c>
      <c r="J258" s="4">
        <v>0</v>
      </c>
      <c r="K258" s="4">
        <v>417.30000000000013</v>
      </c>
      <c r="L258" s="4">
        <v>2.6</v>
      </c>
      <c r="M258" s="4">
        <v>321.7999999999999</v>
      </c>
      <c r="N258" s="8">
        <v>-2.6</v>
      </c>
      <c r="O258" s="4">
        <f t="shared" si="21"/>
        <v>140.4</v>
      </c>
      <c r="P258" s="4">
        <v>253</v>
      </c>
      <c r="Q258" s="4">
        <v>1.1499999999999999</v>
      </c>
      <c r="R258" s="9">
        <f t="shared" si="19"/>
        <v>2.9899999999999998</v>
      </c>
      <c r="S258" s="9">
        <f t="shared" si="20"/>
        <v>-2.9899999999999998</v>
      </c>
      <c r="T258" s="9">
        <f t="shared" si="22"/>
        <v>109.68083333333323</v>
      </c>
      <c r="U258" s="39" t="s">
        <v>39</v>
      </c>
      <c r="V258" s="4">
        <v>1276.0999999999999</v>
      </c>
      <c r="W258" s="4">
        <v>98.922480620155028</v>
      </c>
      <c r="X258" s="4">
        <v>178116.19999999998</v>
      </c>
      <c r="Y258" s="4">
        <f t="shared" si="24"/>
        <v>14459.199999999999</v>
      </c>
      <c r="AA258" s="4">
        <v>15.1835299572792</v>
      </c>
    </row>
    <row r="259" spans="1:27" s="4" customFormat="1" x14ac:dyDescent="0.25">
      <c r="A259" s="71"/>
      <c r="B259" s="5"/>
      <c r="C259" s="6">
        <v>42137</v>
      </c>
      <c r="D259" s="4">
        <v>12.8</v>
      </c>
      <c r="E259" s="4">
        <v>5.4</v>
      </c>
      <c r="F259" s="4">
        <v>17.7</v>
      </c>
      <c r="G259" s="4">
        <v>2143.9</v>
      </c>
      <c r="H259" s="4">
        <f t="shared" si="23"/>
        <v>139.30000000000001</v>
      </c>
      <c r="I259" s="4">
        <v>0</v>
      </c>
      <c r="J259" s="4">
        <v>0</v>
      </c>
      <c r="K259" s="4">
        <v>417.30000000000013</v>
      </c>
      <c r="L259" s="4">
        <v>3.2</v>
      </c>
      <c r="M259" s="4">
        <v>324.99999999999989</v>
      </c>
      <c r="N259" s="8">
        <v>-3.2</v>
      </c>
      <c r="O259" s="4">
        <f t="shared" si="21"/>
        <v>137.20000000000002</v>
      </c>
      <c r="P259" s="4">
        <v>254</v>
      </c>
      <c r="Q259" s="4">
        <v>1.1499999999999999</v>
      </c>
      <c r="R259" s="9">
        <f t="shared" si="19"/>
        <v>3.6799999999999997</v>
      </c>
      <c r="S259" s="9">
        <f t="shared" si="20"/>
        <v>-3.6799999999999997</v>
      </c>
      <c r="T259" s="9">
        <f t="shared" si="22"/>
        <v>106.00083333333322</v>
      </c>
      <c r="U259" s="9">
        <f>MAX(T250:T273)</f>
        <v>131.70083333333324</v>
      </c>
      <c r="V259" s="4">
        <v>2049.6</v>
      </c>
      <c r="W259" s="4">
        <v>160.12499999999997</v>
      </c>
      <c r="X259" s="4">
        <v>180165.8</v>
      </c>
      <c r="Y259" s="4">
        <f t="shared" si="24"/>
        <v>16508.8</v>
      </c>
      <c r="AA259" s="4">
        <v>15.2320087057244</v>
      </c>
    </row>
    <row r="260" spans="1:27" s="4" customFormat="1" x14ac:dyDescent="0.25">
      <c r="A260" s="71"/>
      <c r="B260" s="5"/>
      <c r="C260" s="6">
        <v>42138</v>
      </c>
      <c r="D260" s="4">
        <v>10.5</v>
      </c>
      <c r="E260" s="4">
        <v>9.8000000000000007</v>
      </c>
      <c r="F260" s="4">
        <v>14</v>
      </c>
      <c r="G260" s="4">
        <v>2154.4</v>
      </c>
      <c r="H260" s="4">
        <f t="shared" si="23"/>
        <v>149.80000000000001</v>
      </c>
      <c r="I260" s="39" t="s">
        <v>40</v>
      </c>
      <c r="J260" s="4">
        <v>9.3000000000000007</v>
      </c>
      <c r="K260" s="4">
        <v>426.60000000000014</v>
      </c>
      <c r="L260" s="4">
        <v>1.7</v>
      </c>
      <c r="M260" s="4">
        <v>326.69999999999987</v>
      </c>
      <c r="N260" s="4">
        <v>7.6000000000000005</v>
      </c>
      <c r="O260" s="4">
        <f t="shared" si="21"/>
        <v>144.80000000000001</v>
      </c>
      <c r="P260" s="4">
        <v>255</v>
      </c>
      <c r="Q260" s="4">
        <v>1.1499999999999999</v>
      </c>
      <c r="R260" s="9">
        <f t="shared" si="19"/>
        <v>1.9549999999999998</v>
      </c>
      <c r="S260" s="9">
        <f t="shared" si="20"/>
        <v>7.3450000000000006</v>
      </c>
      <c r="T260" s="9">
        <f t="shared" si="22"/>
        <v>113.34583333333322</v>
      </c>
      <c r="U260" s="39" t="s">
        <v>41</v>
      </c>
      <c r="V260" s="4">
        <v>990.3</v>
      </c>
      <c r="W260" s="4">
        <v>94.314285714285717</v>
      </c>
      <c r="X260" s="4">
        <v>181156.09999999998</v>
      </c>
      <c r="Y260" s="4">
        <f t="shared" si="24"/>
        <v>17499.099999999999</v>
      </c>
      <c r="AA260" s="4">
        <v>15.279788744014599</v>
      </c>
    </row>
    <row r="261" spans="1:27" s="4" customFormat="1" x14ac:dyDescent="0.25">
      <c r="A261" s="71"/>
      <c r="B261" s="5"/>
      <c r="C261" s="6">
        <v>42139</v>
      </c>
      <c r="D261" s="4">
        <v>9.5</v>
      </c>
      <c r="E261" s="4">
        <v>5.2</v>
      </c>
      <c r="F261" s="4">
        <v>13.1</v>
      </c>
      <c r="G261" s="4">
        <v>2163.9</v>
      </c>
      <c r="H261" s="4">
        <f t="shared" si="23"/>
        <v>159.30000000000001</v>
      </c>
      <c r="I261" s="4">
        <v>0</v>
      </c>
      <c r="J261" s="4">
        <v>0.2</v>
      </c>
      <c r="K261" s="4">
        <v>426.80000000000013</v>
      </c>
      <c r="L261" s="4">
        <v>1.7</v>
      </c>
      <c r="M261" s="4">
        <v>328.39999999999986</v>
      </c>
      <c r="N261" s="8">
        <v>-1.5</v>
      </c>
      <c r="O261" s="4">
        <f t="shared" si="21"/>
        <v>143.30000000000001</v>
      </c>
      <c r="P261" s="4">
        <v>256</v>
      </c>
      <c r="Q261" s="4">
        <v>1.1499999999999999</v>
      </c>
      <c r="R261" s="9">
        <f t="shared" si="19"/>
        <v>1.9549999999999998</v>
      </c>
      <c r="S261" s="9">
        <f t="shared" si="20"/>
        <v>-1.7549999999999999</v>
      </c>
      <c r="T261" s="9">
        <f t="shared" si="22"/>
        <v>111.59083333333322</v>
      </c>
      <c r="U261" s="11">
        <f>AVERAGE(T250:T273)</f>
        <v>108.56249999999989</v>
      </c>
      <c r="V261" s="4">
        <v>1252.4000000000001</v>
      </c>
      <c r="W261" s="4">
        <v>131.83157894736843</v>
      </c>
      <c r="X261" s="4">
        <v>182408.49999999997</v>
      </c>
      <c r="Y261" s="4">
        <f t="shared" si="24"/>
        <v>18751.5</v>
      </c>
      <c r="AA261" s="4">
        <v>15.326844323130199</v>
      </c>
    </row>
    <row r="262" spans="1:27" s="4" customFormat="1" x14ac:dyDescent="0.25">
      <c r="A262" s="71"/>
      <c r="B262" s="5"/>
      <c r="C262" s="6">
        <v>42140</v>
      </c>
      <c r="D262" s="4">
        <v>10.5</v>
      </c>
      <c r="E262" s="4">
        <v>5.4</v>
      </c>
      <c r="F262" s="4">
        <v>14.2</v>
      </c>
      <c r="G262" s="4">
        <v>2174.4</v>
      </c>
      <c r="H262" s="4">
        <f t="shared" si="23"/>
        <v>169.8</v>
      </c>
      <c r="I262" s="39" t="s">
        <v>42</v>
      </c>
      <c r="J262" s="4">
        <v>0</v>
      </c>
      <c r="K262" s="4">
        <v>426.80000000000013</v>
      </c>
      <c r="L262" s="4">
        <v>1.3</v>
      </c>
      <c r="M262" s="4">
        <v>329.69999999999987</v>
      </c>
      <c r="N262" s="8">
        <v>-1.3</v>
      </c>
      <c r="O262" s="4">
        <f t="shared" si="21"/>
        <v>142</v>
      </c>
      <c r="P262" s="4">
        <v>257</v>
      </c>
      <c r="Q262" s="4">
        <v>1.1499999999999999</v>
      </c>
      <c r="R262" s="9">
        <f t="shared" ref="R262:R316" si="25">Q262*L262</f>
        <v>1.4949999999999999</v>
      </c>
      <c r="S262" s="9">
        <f t="shared" ref="S262:S316" si="26">J262-R262</f>
        <v>-1.4949999999999999</v>
      </c>
      <c r="T262" s="9">
        <f t="shared" si="22"/>
        <v>110.09583333333322</v>
      </c>
      <c r="V262" s="4">
        <v>1101.4000000000001</v>
      </c>
      <c r="W262" s="4">
        <v>104.8952380952381</v>
      </c>
      <c r="X262" s="4">
        <v>183509.89999999997</v>
      </c>
      <c r="Y262" s="4">
        <f t="shared" si="24"/>
        <v>19852.900000000001</v>
      </c>
      <c r="AA262" s="4">
        <v>15.373149257592299</v>
      </c>
    </row>
    <row r="263" spans="1:27" s="4" customFormat="1" x14ac:dyDescent="0.25">
      <c r="A263" s="71"/>
      <c r="B263" s="5"/>
      <c r="C263" s="6">
        <v>42141</v>
      </c>
      <c r="D263" s="4">
        <v>11.1</v>
      </c>
      <c r="E263" s="4">
        <v>6</v>
      </c>
      <c r="F263" s="4">
        <v>16.600000000000001</v>
      </c>
      <c r="G263" s="4">
        <v>2185.5</v>
      </c>
      <c r="H263" s="4">
        <f t="shared" si="23"/>
        <v>180.9</v>
      </c>
      <c r="I263" s="4">
        <v>303.10000000000002</v>
      </c>
      <c r="J263" s="4">
        <v>0</v>
      </c>
      <c r="K263" s="4">
        <v>426.80000000000013</v>
      </c>
      <c r="L263" s="4">
        <v>3.1</v>
      </c>
      <c r="M263" s="4">
        <v>332.7999999999999</v>
      </c>
      <c r="N263" s="8">
        <v>-3.1</v>
      </c>
      <c r="O263" s="4">
        <f t="shared" si="21"/>
        <v>138.9</v>
      </c>
      <c r="P263" s="4">
        <v>258</v>
      </c>
      <c r="Q263" s="4">
        <v>1.1499999999999999</v>
      </c>
      <c r="R263" s="9">
        <f t="shared" si="25"/>
        <v>3.5649999999999999</v>
      </c>
      <c r="S263" s="9">
        <f t="shared" si="26"/>
        <v>-3.5649999999999999</v>
      </c>
      <c r="T263" s="9">
        <f t="shared" si="22"/>
        <v>106.53083333333322</v>
      </c>
      <c r="U263" s="4">
        <f>(U261*100)/189.6</f>
        <v>57.258702531645511</v>
      </c>
      <c r="V263" s="4">
        <v>2059</v>
      </c>
      <c r="W263" s="4">
        <v>185.4954954954955</v>
      </c>
      <c r="X263" s="4">
        <v>185568.89999999997</v>
      </c>
      <c r="Y263" s="4">
        <f t="shared" si="24"/>
        <v>21911.9</v>
      </c>
      <c r="AA263" s="4">
        <v>15.4186769553468</v>
      </c>
    </row>
    <row r="264" spans="1:27" s="4" customFormat="1" x14ac:dyDescent="0.25">
      <c r="A264" s="71"/>
      <c r="B264" s="5"/>
      <c r="C264" s="6">
        <v>42142</v>
      </c>
      <c r="D264" s="4">
        <v>10.6</v>
      </c>
      <c r="E264" s="4">
        <v>5.8</v>
      </c>
      <c r="F264" s="4">
        <v>17.3</v>
      </c>
      <c r="G264" s="4">
        <v>2196.1</v>
      </c>
      <c r="H264" s="4">
        <f t="shared" si="23"/>
        <v>191.5</v>
      </c>
      <c r="J264" s="4">
        <v>2.7</v>
      </c>
      <c r="K264" s="4">
        <v>429.50000000000011</v>
      </c>
      <c r="L264" s="4">
        <v>2</v>
      </c>
      <c r="M264" s="4">
        <v>334.7999999999999</v>
      </c>
      <c r="N264" s="4">
        <v>0.70000000000000018</v>
      </c>
      <c r="O264" s="4">
        <f t="shared" ref="O264:O316" si="27">O263+N264</f>
        <v>139.6</v>
      </c>
      <c r="P264" s="4">
        <v>259</v>
      </c>
      <c r="Q264" s="4">
        <v>1.1499999999999999</v>
      </c>
      <c r="R264" s="9">
        <f t="shared" si="25"/>
        <v>2.2999999999999998</v>
      </c>
      <c r="S264" s="9">
        <f t="shared" si="26"/>
        <v>0.40000000000000036</v>
      </c>
      <c r="T264" s="9">
        <f t="shared" ref="T264:T316" si="28">MIN(189.6,(T263+S264))</f>
        <v>106.93083333333323</v>
      </c>
      <c r="V264" s="4">
        <v>990.3</v>
      </c>
      <c r="W264" s="4">
        <v>93.424528301886795</v>
      </c>
      <c r="X264" s="4">
        <v>186559.19999999995</v>
      </c>
      <c r="Y264" s="4">
        <f t="shared" si="24"/>
        <v>22902.2</v>
      </c>
      <c r="AA264" s="4">
        <v>15.463400450818201</v>
      </c>
    </row>
    <row r="265" spans="1:27" s="25" customFormat="1" x14ac:dyDescent="0.25">
      <c r="A265" s="71"/>
      <c r="B265" s="24"/>
      <c r="C265" s="40">
        <v>42143</v>
      </c>
      <c r="D265" s="25">
        <v>9.1999999999999993</v>
      </c>
      <c r="E265" s="25">
        <v>6.9</v>
      </c>
      <c r="F265" s="25">
        <v>11.5</v>
      </c>
      <c r="G265" s="25">
        <v>2205.2999999999997</v>
      </c>
      <c r="H265" s="25">
        <f t="shared" si="23"/>
        <v>200.7</v>
      </c>
      <c r="J265" s="25">
        <v>2.9</v>
      </c>
      <c r="K265" s="25">
        <v>432.40000000000009</v>
      </c>
      <c r="L265" s="25">
        <v>2.9</v>
      </c>
      <c r="M265" s="25">
        <v>337.69999999999987</v>
      </c>
      <c r="N265" s="25">
        <v>0</v>
      </c>
      <c r="O265" s="25">
        <f t="shared" si="27"/>
        <v>139.6</v>
      </c>
      <c r="P265" s="25">
        <v>260</v>
      </c>
      <c r="Q265" s="4">
        <v>1.1499999999999999</v>
      </c>
      <c r="R265" s="26">
        <f t="shared" si="25"/>
        <v>3.3349999999999995</v>
      </c>
      <c r="S265" s="26">
        <f t="shared" si="26"/>
        <v>-0.43499999999999961</v>
      </c>
      <c r="T265" s="9">
        <f t="shared" si="28"/>
        <v>106.49583333333322</v>
      </c>
      <c r="V265" s="25">
        <v>2379.1</v>
      </c>
      <c r="W265" s="25">
        <v>258.59782608695656</v>
      </c>
      <c r="X265" s="25">
        <v>188938.29999999996</v>
      </c>
      <c r="Y265" s="4">
        <f t="shared" si="24"/>
        <v>25281.3</v>
      </c>
      <c r="AA265" s="4">
        <v>15.507292441198199</v>
      </c>
    </row>
    <row r="266" spans="1:27" s="4" customFormat="1" ht="15" customHeight="1" x14ac:dyDescent="0.25">
      <c r="A266" s="71"/>
      <c r="B266" s="5"/>
      <c r="C266" s="6">
        <v>42144</v>
      </c>
      <c r="D266" s="4">
        <v>9.6</v>
      </c>
      <c r="E266" s="4">
        <v>5.4</v>
      </c>
      <c r="F266" s="4">
        <v>13.5</v>
      </c>
      <c r="G266" s="4">
        <v>2214.8999999999996</v>
      </c>
      <c r="H266" s="4">
        <f t="shared" si="23"/>
        <v>210.29999999999998</v>
      </c>
      <c r="J266" s="4">
        <v>0.2</v>
      </c>
      <c r="K266" s="4">
        <v>432.60000000000008</v>
      </c>
      <c r="L266" s="4">
        <v>2.6</v>
      </c>
      <c r="M266" s="4">
        <v>340.2999999999999</v>
      </c>
      <c r="N266" s="8">
        <v>-2.4</v>
      </c>
      <c r="O266" s="4">
        <f t="shared" si="27"/>
        <v>137.19999999999999</v>
      </c>
      <c r="P266" s="4">
        <v>261</v>
      </c>
      <c r="Q266" s="4">
        <v>1.1499999999999999</v>
      </c>
      <c r="R266" s="9">
        <f t="shared" si="25"/>
        <v>2.9899999999999998</v>
      </c>
      <c r="S266" s="9">
        <f t="shared" si="26"/>
        <v>-2.7899999999999996</v>
      </c>
      <c r="T266" s="9">
        <f t="shared" si="28"/>
        <v>103.70583333333322</v>
      </c>
      <c r="U266" s="27"/>
      <c r="V266" s="4">
        <v>1869.1</v>
      </c>
      <c r="W266" s="4">
        <v>194.69791666666666</v>
      </c>
      <c r="X266" s="4">
        <v>190807.39999999997</v>
      </c>
      <c r="Y266" s="4">
        <f t="shared" si="24"/>
        <v>27150.399999999998</v>
      </c>
      <c r="AA266" s="4">
        <v>15.5503253260155</v>
      </c>
    </row>
    <row r="267" spans="1:27" s="4" customFormat="1" x14ac:dyDescent="0.25">
      <c r="A267" s="71"/>
      <c r="B267" s="5"/>
      <c r="C267" s="6">
        <v>42145</v>
      </c>
      <c r="D267" s="4">
        <v>11.6</v>
      </c>
      <c r="E267" s="4">
        <v>6.5</v>
      </c>
      <c r="F267" s="4">
        <v>16.600000000000001</v>
      </c>
      <c r="G267" s="4">
        <v>2226.4999999999995</v>
      </c>
      <c r="H267" s="4">
        <f t="shared" si="23"/>
        <v>221.89999999999998</v>
      </c>
      <c r="J267" s="4">
        <v>0</v>
      </c>
      <c r="K267" s="4">
        <v>432.60000000000008</v>
      </c>
      <c r="L267" s="4">
        <v>3</v>
      </c>
      <c r="M267" s="4">
        <v>343.2999999999999</v>
      </c>
      <c r="N267" s="8">
        <v>-3</v>
      </c>
      <c r="O267" s="4">
        <f t="shared" si="27"/>
        <v>134.19999999999999</v>
      </c>
      <c r="P267" s="4">
        <v>262</v>
      </c>
      <c r="Q267" s="4">
        <v>1.1499999999999999</v>
      </c>
      <c r="R267" s="9">
        <f t="shared" si="25"/>
        <v>3.4499999999999997</v>
      </c>
      <c r="S267" s="9">
        <f t="shared" si="26"/>
        <v>-3.4499999999999997</v>
      </c>
      <c r="T267" s="9">
        <f t="shared" si="28"/>
        <v>100.25583333333321</v>
      </c>
      <c r="V267" s="4">
        <v>1903.2</v>
      </c>
      <c r="W267" s="4">
        <v>164.06896551724139</v>
      </c>
      <c r="X267" s="4">
        <v>192710.59999999998</v>
      </c>
      <c r="Y267" s="4">
        <f t="shared" si="24"/>
        <v>29053.599999999999</v>
      </c>
      <c r="AA267" s="4">
        <v>15.5924712500165</v>
      </c>
    </row>
    <row r="268" spans="1:27" s="4" customFormat="1" x14ac:dyDescent="0.25">
      <c r="A268" s="71"/>
      <c r="B268" s="5"/>
      <c r="C268" s="6">
        <v>42146</v>
      </c>
      <c r="D268" s="4">
        <v>12.9</v>
      </c>
      <c r="E268" s="4">
        <v>6.2</v>
      </c>
      <c r="F268" s="4">
        <v>17.399999999999999</v>
      </c>
      <c r="G268" s="4">
        <v>2239.3999999999996</v>
      </c>
      <c r="H268" s="4">
        <f t="shared" si="23"/>
        <v>234.79999999999998</v>
      </c>
      <c r="J268" s="4">
        <v>0</v>
      </c>
      <c r="K268" s="4">
        <v>432.60000000000008</v>
      </c>
      <c r="L268" s="4">
        <v>2.6</v>
      </c>
      <c r="M268" s="4">
        <v>345.89999999999992</v>
      </c>
      <c r="N268" s="8">
        <v>-2.6</v>
      </c>
      <c r="O268" s="4">
        <f t="shared" si="27"/>
        <v>131.6</v>
      </c>
      <c r="P268" s="4">
        <v>263</v>
      </c>
      <c r="Q268" s="4">
        <v>1.1499999999999999</v>
      </c>
      <c r="R268" s="9">
        <f t="shared" si="25"/>
        <v>2.9899999999999998</v>
      </c>
      <c r="S268" s="9">
        <f t="shared" si="26"/>
        <v>-2.9899999999999998</v>
      </c>
      <c r="T268" s="9">
        <f t="shared" si="28"/>
        <v>97.265833333333219</v>
      </c>
      <c r="V268" s="4">
        <v>1773.9</v>
      </c>
      <c r="W268" s="4">
        <v>137.51162790697674</v>
      </c>
      <c r="X268" s="4">
        <v>194484.49999999997</v>
      </c>
      <c r="Y268" s="4">
        <f t="shared" si="24"/>
        <v>30827.5</v>
      </c>
      <c r="AA268" s="4">
        <v>15.633702149368199</v>
      </c>
    </row>
    <row r="269" spans="1:27" s="4" customFormat="1" x14ac:dyDescent="0.25">
      <c r="A269" s="71"/>
      <c r="B269" s="5"/>
      <c r="C269" s="6">
        <v>42147</v>
      </c>
      <c r="D269" s="4">
        <v>14.1</v>
      </c>
      <c r="E269" s="4">
        <v>11.2</v>
      </c>
      <c r="F269" s="4">
        <v>18.5</v>
      </c>
      <c r="G269" s="4">
        <v>2253.4999999999995</v>
      </c>
      <c r="H269" s="4">
        <f t="shared" si="23"/>
        <v>248.89999999999998</v>
      </c>
      <c r="J269" s="4">
        <v>0</v>
      </c>
      <c r="K269" s="4">
        <v>432.60000000000008</v>
      </c>
      <c r="L269" s="4">
        <v>2.4</v>
      </c>
      <c r="M269" s="4">
        <v>348.2999999999999</v>
      </c>
      <c r="N269" s="8">
        <v>-2.4</v>
      </c>
      <c r="O269" s="4">
        <f t="shared" si="27"/>
        <v>129.19999999999999</v>
      </c>
      <c r="P269" s="4">
        <v>264</v>
      </c>
      <c r="Q269" s="4">
        <v>1.1499999999999999</v>
      </c>
      <c r="R269" s="9">
        <f t="shared" si="25"/>
        <v>2.76</v>
      </c>
      <c r="S269" s="9">
        <f t="shared" si="26"/>
        <v>-2.76</v>
      </c>
      <c r="T269" s="9">
        <f t="shared" si="28"/>
        <v>94.505833333333214</v>
      </c>
      <c r="V269" s="4">
        <v>1409.5</v>
      </c>
      <c r="W269" s="4">
        <v>99.964539007092199</v>
      </c>
      <c r="X269" s="4">
        <v>195893.99999999997</v>
      </c>
      <c r="Y269" s="4">
        <f t="shared" si="24"/>
        <v>32237</v>
      </c>
      <c r="AA269" s="4">
        <v>15.6739898011683</v>
      </c>
    </row>
    <row r="270" spans="1:27" s="4" customFormat="1" x14ac:dyDescent="0.25">
      <c r="A270" s="71"/>
      <c r="B270" s="5"/>
      <c r="C270" s="6">
        <v>42148</v>
      </c>
      <c r="D270" s="4">
        <v>14.1</v>
      </c>
      <c r="E270" s="4">
        <v>8.5</v>
      </c>
      <c r="F270" s="4">
        <v>18.600000000000001</v>
      </c>
      <c r="G270" s="4">
        <v>2267.5999999999995</v>
      </c>
      <c r="H270" s="4">
        <f t="shared" si="23"/>
        <v>263</v>
      </c>
      <c r="J270" s="4">
        <v>0.5</v>
      </c>
      <c r="K270" s="4">
        <v>433.10000000000008</v>
      </c>
      <c r="L270" s="4">
        <v>3.7</v>
      </c>
      <c r="M270" s="4">
        <v>351.99999999999989</v>
      </c>
      <c r="N270" s="8">
        <v>-3.2</v>
      </c>
      <c r="O270" s="4">
        <f t="shared" si="27"/>
        <v>125.99999999999999</v>
      </c>
      <c r="P270" s="4">
        <v>265</v>
      </c>
      <c r="Q270" s="4">
        <v>1.1499999999999999</v>
      </c>
      <c r="R270" s="9">
        <f t="shared" si="25"/>
        <v>4.2549999999999999</v>
      </c>
      <c r="S270" s="9">
        <f t="shared" si="26"/>
        <v>-3.7549999999999999</v>
      </c>
      <c r="T270" s="9">
        <f t="shared" si="28"/>
        <v>90.750833333333219</v>
      </c>
      <c r="V270" s="4">
        <v>2369.6</v>
      </c>
      <c r="W270" s="4">
        <v>168.05673758865248</v>
      </c>
      <c r="X270" s="4">
        <v>198263.59999999998</v>
      </c>
      <c r="Y270" s="4">
        <f t="shared" si="24"/>
        <v>34606.6</v>
      </c>
      <c r="AA270" s="4">
        <v>15.7133058762291</v>
      </c>
    </row>
    <row r="271" spans="1:27" s="4" customFormat="1" x14ac:dyDescent="0.25">
      <c r="A271" s="71"/>
      <c r="B271" s="5"/>
      <c r="C271" s="6">
        <v>42149</v>
      </c>
      <c r="D271" s="4">
        <v>13.4</v>
      </c>
      <c r="E271" s="4">
        <v>11.9</v>
      </c>
      <c r="F271" s="4">
        <v>16.399999999999999</v>
      </c>
      <c r="G271" s="4">
        <v>2280.9999999999995</v>
      </c>
      <c r="H271" s="4">
        <f t="shared" si="23"/>
        <v>276.39999999999998</v>
      </c>
      <c r="J271" s="4">
        <v>0</v>
      </c>
      <c r="K271" s="4">
        <v>433.10000000000008</v>
      </c>
      <c r="L271" s="4">
        <v>2.5</v>
      </c>
      <c r="M271" s="4">
        <v>354.49999999999989</v>
      </c>
      <c r="N271" s="8">
        <v>-2.5</v>
      </c>
      <c r="O271" s="4">
        <f t="shared" si="27"/>
        <v>123.49999999999999</v>
      </c>
      <c r="P271" s="4">
        <v>266</v>
      </c>
      <c r="Q271" s="4">
        <v>1.1499999999999999</v>
      </c>
      <c r="R271" s="9">
        <f t="shared" si="25"/>
        <v>2.875</v>
      </c>
      <c r="S271" s="9">
        <f t="shared" si="26"/>
        <v>-2.875</v>
      </c>
      <c r="T271" s="9">
        <f t="shared" si="28"/>
        <v>87.875833333333219</v>
      </c>
      <c r="V271" s="4">
        <v>1329.6</v>
      </c>
      <c r="W271" s="4">
        <v>99.223880597014912</v>
      </c>
      <c r="X271" s="4">
        <v>199593.19999999998</v>
      </c>
      <c r="Y271" s="4">
        <f t="shared" si="24"/>
        <v>35936.199999999997</v>
      </c>
      <c r="AA271" s="4">
        <v>15.751621995070099</v>
      </c>
    </row>
    <row r="272" spans="1:27" s="4" customFormat="1" x14ac:dyDescent="0.25">
      <c r="A272" s="71"/>
      <c r="B272" s="5"/>
      <c r="C272" s="6">
        <v>42150</v>
      </c>
      <c r="D272" s="4">
        <v>12.8</v>
      </c>
      <c r="E272" s="4">
        <v>10</v>
      </c>
      <c r="F272" s="4">
        <v>16.3</v>
      </c>
      <c r="G272" s="4">
        <v>2293.7999999999997</v>
      </c>
      <c r="H272" s="4">
        <f t="shared" si="23"/>
        <v>289.2</v>
      </c>
      <c r="J272" s="4">
        <v>0</v>
      </c>
      <c r="K272" s="4">
        <v>433.10000000000008</v>
      </c>
      <c r="L272" s="4">
        <v>3</v>
      </c>
      <c r="M272" s="4">
        <v>357.49999999999989</v>
      </c>
      <c r="N272" s="8">
        <v>-3</v>
      </c>
      <c r="O272" s="4">
        <f t="shared" si="27"/>
        <v>120.49999999999999</v>
      </c>
      <c r="P272" s="4">
        <v>267</v>
      </c>
      <c r="Q272" s="4">
        <v>1.1499999999999999</v>
      </c>
      <c r="R272" s="9">
        <f t="shared" si="25"/>
        <v>3.4499999999999997</v>
      </c>
      <c r="S272" s="9">
        <f t="shared" si="26"/>
        <v>-3.4499999999999997</v>
      </c>
      <c r="T272" s="9">
        <f t="shared" si="28"/>
        <v>84.425833333333216</v>
      </c>
      <c r="V272" s="4">
        <v>1835.7</v>
      </c>
      <c r="W272" s="4">
        <v>143.4140625</v>
      </c>
      <c r="X272" s="4">
        <v>201428.9</v>
      </c>
      <c r="Y272" s="4">
        <f t="shared" si="24"/>
        <v>37771.899999999994</v>
      </c>
      <c r="AA272" s="4">
        <v>15.7889097870295</v>
      </c>
    </row>
    <row r="273" spans="1:27" s="17" customFormat="1" x14ac:dyDescent="0.25">
      <c r="A273" s="71"/>
      <c r="B273" s="28">
        <v>300</v>
      </c>
      <c r="C273" s="29">
        <v>42151</v>
      </c>
      <c r="D273" s="17">
        <v>13.9</v>
      </c>
      <c r="E273" s="17">
        <v>8</v>
      </c>
      <c r="F273" s="17">
        <v>18.600000000000001</v>
      </c>
      <c r="G273" s="17">
        <v>2307.6999999999998</v>
      </c>
      <c r="H273" s="17">
        <f t="shared" si="23"/>
        <v>303.09999999999997</v>
      </c>
      <c r="J273" s="17">
        <v>0</v>
      </c>
      <c r="K273" s="17">
        <v>433.10000000000008</v>
      </c>
      <c r="L273" s="17">
        <v>3.4</v>
      </c>
      <c r="M273" s="17">
        <v>360.89999999999986</v>
      </c>
      <c r="N273" s="31">
        <v>-3.4</v>
      </c>
      <c r="O273" s="17">
        <f t="shared" si="27"/>
        <v>117.09999999999998</v>
      </c>
      <c r="P273" s="17">
        <v>268</v>
      </c>
      <c r="Q273" s="4">
        <v>1.1499999999999999</v>
      </c>
      <c r="R273" s="18">
        <f t="shared" si="25"/>
        <v>3.9099999999999997</v>
      </c>
      <c r="S273" s="18">
        <f t="shared" si="26"/>
        <v>-3.9099999999999997</v>
      </c>
      <c r="T273" s="9">
        <f t="shared" si="28"/>
        <v>80.515833333333219</v>
      </c>
      <c r="V273" s="17">
        <v>2124.9</v>
      </c>
      <c r="W273" s="17">
        <v>152.87050359712231</v>
      </c>
      <c r="X273" s="17">
        <v>203553.8</v>
      </c>
      <c r="Y273" s="4">
        <f t="shared" si="24"/>
        <v>39896.799999999996</v>
      </c>
      <c r="AA273" s="4">
        <v>15.825140952375</v>
      </c>
    </row>
    <row r="274" spans="1:27" s="4" customFormat="1" x14ac:dyDescent="0.25">
      <c r="A274" s="72">
        <v>600</v>
      </c>
      <c r="B274" s="5"/>
      <c r="C274" s="6">
        <v>42152</v>
      </c>
      <c r="D274" s="4">
        <v>12.6</v>
      </c>
      <c r="E274" s="4">
        <v>10.199999999999999</v>
      </c>
      <c r="F274" s="4">
        <v>15.1</v>
      </c>
      <c r="G274" s="4">
        <v>2320.2999999999997</v>
      </c>
      <c r="H274" s="4">
        <v>12.6</v>
      </c>
      <c r="I274" s="41" t="s">
        <v>27</v>
      </c>
      <c r="J274" s="4">
        <v>0</v>
      </c>
      <c r="K274" s="4">
        <v>433.10000000000008</v>
      </c>
      <c r="L274" s="4">
        <v>1.9</v>
      </c>
      <c r="M274" s="4">
        <v>362.79999999999984</v>
      </c>
      <c r="N274" s="8">
        <v>-1.9</v>
      </c>
      <c r="O274" s="4">
        <f t="shared" si="27"/>
        <v>115.19999999999997</v>
      </c>
      <c r="P274" s="4">
        <v>269</v>
      </c>
      <c r="Q274" s="11">
        <f>1.15+((P274-268)/61)*(0.35-1.15)</f>
        <v>1.1368852459016392</v>
      </c>
      <c r="R274" s="9">
        <f t="shared" si="25"/>
        <v>2.1600819672131144</v>
      </c>
      <c r="S274" s="9">
        <f t="shared" si="26"/>
        <v>-2.1600819672131144</v>
      </c>
      <c r="T274" s="9">
        <f t="shared" si="28"/>
        <v>78.355751366120103</v>
      </c>
      <c r="U274" s="41" t="s">
        <v>28</v>
      </c>
      <c r="V274" s="4">
        <v>1140.8</v>
      </c>
      <c r="W274" s="4">
        <v>90.539682539682545</v>
      </c>
      <c r="X274" s="4">
        <v>204694.59999999998</v>
      </c>
      <c r="Y274" s="4">
        <v>1140.8</v>
      </c>
      <c r="Z274" s="41" t="s">
        <v>29</v>
      </c>
      <c r="AA274" s="4">
        <v>15.8602873272624</v>
      </c>
    </row>
    <row r="275" spans="1:27" s="4" customFormat="1" x14ac:dyDescent="0.25">
      <c r="A275" s="72"/>
      <c r="B275" s="5"/>
      <c r="C275" s="6">
        <v>42153</v>
      </c>
      <c r="D275" s="4">
        <v>11.4</v>
      </c>
      <c r="E275" s="4">
        <v>6.6</v>
      </c>
      <c r="F275" s="4">
        <v>14.4</v>
      </c>
      <c r="G275" s="4">
        <v>2331.6999999999998</v>
      </c>
      <c r="H275" s="4">
        <f t="shared" si="23"/>
        <v>24</v>
      </c>
      <c r="I275" s="4">
        <f>MIN(E274:E293)</f>
        <v>6</v>
      </c>
      <c r="J275" s="4">
        <v>1.6</v>
      </c>
      <c r="K275" s="4">
        <v>434.7000000000001</v>
      </c>
      <c r="L275" s="4">
        <v>1.8</v>
      </c>
      <c r="M275" s="4">
        <v>364.59999999999985</v>
      </c>
      <c r="N275" s="8">
        <v>-0.19999999999999996</v>
      </c>
      <c r="O275" s="4">
        <f t="shared" si="27"/>
        <v>114.99999999999997</v>
      </c>
      <c r="P275" s="4">
        <v>270</v>
      </c>
      <c r="Q275" s="11">
        <f t="shared" ref="Q275:Q316" si="29">1.15+((P275-268)/61)*(0.35-1.15)</f>
        <v>1.1237704918032787</v>
      </c>
      <c r="R275" s="9">
        <f t="shared" si="25"/>
        <v>2.0227868852459019</v>
      </c>
      <c r="S275" s="9">
        <f t="shared" si="26"/>
        <v>-0.4227868852459018</v>
      </c>
      <c r="T275" s="9">
        <f t="shared" si="28"/>
        <v>77.932964480874205</v>
      </c>
      <c r="U275" s="4">
        <v>18</v>
      </c>
      <c r="V275" s="4">
        <v>1064.5</v>
      </c>
      <c r="W275" s="4">
        <v>93.377192982456137</v>
      </c>
      <c r="X275" s="4">
        <v>205759.09999999998</v>
      </c>
      <c r="Y275" s="4">
        <f t="shared" si="24"/>
        <v>2205.3000000000002</v>
      </c>
      <c r="Z275" s="4">
        <v>39392.900000000009</v>
      </c>
      <c r="AA275" s="4">
        <v>15.894320951357299</v>
      </c>
    </row>
    <row r="276" spans="1:27" s="4" customFormat="1" x14ac:dyDescent="0.25">
      <c r="A276" s="72"/>
      <c r="B276" s="5"/>
      <c r="C276" s="6">
        <v>42154</v>
      </c>
      <c r="D276" s="4">
        <v>12.1</v>
      </c>
      <c r="E276" s="4">
        <v>7.8</v>
      </c>
      <c r="F276" s="4">
        <v>15.6</v>
      </c>
      <c r="G276" s="4">
        <v>2343.7999999999997</v>
      </c>
      <c r="H276" s="4">
        <f t="shared" si="23"/>
        <v>36.1</v>
      </c>
      <c r="I276" s="41" t="s">
        <v>30</v>
      </c>
      <c r="J276" s="4">
        <v>0</v>
      </c>
      <c r="K276" s="4">
        <v>434.7000000000001</v>
      </c>
      <c r="L276" s="4">
        <v>2.8</v>
      </c>
      <c r="M276" s="4">
        <v>367.39999999999986</v>
      </c>
      <c r="N276" s="8">
        <v>-2.8</v>
      </c>
      <c r="O276" s="4">
        <f t="shared" si="27"/>
        <v>112.19999999999997</v>
      </c>
      <c r="P276" s="4">
        <v>271</v>
      </c>
      <c r="Q276" s="11">
        <f t="shared" si="29"/>
        <v>1.110655737704918</v>
      </c>
      <c r="R276" s="9">
        <f t="shared" si="25"/>
        <v>3.10983606557377</v>
      </c>
      <c r="S276" s="9">
        <f t="shared" si="26"/>
        <v>-3.10983606557377</v>
      </c>
      <c r="T276" s="9">
        <f t="shared" si="28"/>
        <v>74.823128415300431</v>
      </c>
      <c r="U276" s="41" t="s">
        <v>31</v>
      </c>
      <c r="V276" s="4">
        <v>1749.1</v>
      </c>
      <c r="W276" s="4">
        <v>144.55371900826447</v>
      </c>
      <c r="X276" s="4">
        <v>207508.19999999998</v>
      </c>
      <c r="Y276" s="4">
        <f t="shared" si="24"/>
        <v>3954.4</v>
      </c>
      <c r="Z276" s="41" t="s">
        <v>32</v>
      </c>
      <c r="AA276" s="4">
        <v>15.927214137905599</v>
      </c>
    </row>
    <row r="277" spans="1:27" s="4" customFormat="1" x14ac:dyDescent="0.25">
      <c r="A277" s="72"/>
      <c r="B277" s="5"/>
      <c r="C277" s="6">
        <v>42155</v>
      </c>
      <c r="D277" s="4">
        <v>13.1</v>
      </c>
      <c r="E277" s="4">
        <v>8.6999999999999993</v>
      </c>
      <c r="F277" s="4">
        <v>15.4</v>
      </c>
      <c r="G277" s="4">
        <v>2356.8999999999996</v>
      </c>
      <c r="H277" s="4">
        <f t="shared" si="23"/>
        <v>49.2</v>
      </c>
      <c r="I277" s="4">
        <f>MAX(F274:F293)</f>
        <v>31.1</v>
      </c>
      <c r="J277" s="4">
        <v>6.7</v>
      </c>
      <c r="K277" s="4">
        <v>441.40000000000009</v>
      </c>
      <c r="L277" s="4">
        <v>1.2</v>
      </c>
      <c r="M277" s="4">
        <v>368.59999999999985</v>
      </c>
      <c r="N277" s="4">
        <v>5.5</v>
      </c>
      <c r="O277" s="4">
        <f t="shared" si="27"/>
        <v>117.69999999999997</v>
      </c>
      <c r="P277" s="4">
        <v>272</v>
      </c>
      <c r="Q277" s="11">
        <f t="shared" si="29"/>
        <v>1.0975409836065573</v>
      </c>
      <c r="R277" s="9">
        <f t="shared" si="25"/>
        <v>1.3170491803278688</v>
      </c>
      <c r="S277" s="9">
        <f t="shared" si="26"/>
        <v>5.3829508196721312</v>
      </c>
      <c r="T277" s="9">
        <f t="shared" si="28"/>
        <v>80.206079234972563</v>
      </c>
      <c r="U277" s="4">
        <v>0</v>
      </c>
      <c r="V277" s="4">
        <v>957.9</v>
      </c>
      <c r="W277" s="4">
        <v>73.122137404580158</v>
      </c>
      <c r="X277" s="4">
        <v>208466.09999999998</v>
      </c>
      <c r="Y277" s="4">
        <f t="shared" si="24"/>
        <v>4912.3</v>
      </c>
      <c r="Z277" s="11">
        <f>(Z275/100)/I287</f>
        <v>1.3109118136439271</v>
      </c>
      <c r="AA277" s="4">
        <v>15.958939545999501</v>
      </c>
    </row>
    <row r="278" spans="1:27" s="4" customFormat="1" x14ac:dyDescent="0.25">
      <c r="A278" s="72"/>
      <c r="B278" s="5"/>
      <c r="C278" s="6">
        <v>42156</v>
      </c>
      <c r="D278" s="4">
        <v>11.9</v>
      </c>
      <c r="E278" s="4">
        <v>7.9</v>
      </c>
      <c r="F278" s="4">
        <v>14.7</v>
      </c>
      <c r="G278" s="4">
        <v>2368.7999999999997</v>
      </c>
      <c r="H278" s="4">
        <f t="shared" si="23"/>
        <v>61.1</v>
      </c>
      <c r="I278" s="41" t="s">
        <v>33</v>
      </c>
      <c r="J278" s="4">
        <v>0.1</v>
      </c>
      <c r="K278" s="4">
        <v>441.50000000000011</v>
      </c>
      <c r="L278" s="4">
        <v>3</v>
      </c>
      <c r="M278" s="4">
        <v>371.59999999999985</v>
      </c>
      <c r="N278" s="8">
        <v>-2.9</v>
      </c>
      <c r="O278" s="4">
        <f t="shared" si="27"/>
        <v>114.79999999999997</v>
      </c>
      <c r="P278" s="4">
        <v>273</v>
      </c>
      <c r="Q278" s="11">
        <f t="shared" si="29"/>
        <v>1.0844262295081966</v>
      </c>
      <c r="R278" s="9">
        <f t="shared" si="25"/>
        <v>3.2532786885245897</v>
      </c>
      <c r="S278" s="9">
        <f t="shared" si="26"/>
        <v>-3.1532786885245896</v>
      </c>
      <c r="T278" s="9">
        <f t="shared" si="28"/>
        <v>77.052800546447969</v>
      </c>
      <c r="U278" s="41" t="s">
        <v>34</v>
      </c>
      <c r="V278" s="4">
        <v>1936.9</v>
      </c>
      <c r="W278" s="4">
        <v>162.76470588235296</v>
      </c>
      <c r="X278" s="4">
        <v>210402.99999999997</v>
      </c>
      <c r="Y278" s="4">
        <f t="shared" si="24"/>
        <v>6849.2000000000007</v>
      </c>
      <c r="Z278" s="41" t="s">
        <v>35</v>
      </c>
      <c r="AA278" s="4">
        <v>15.989470254758499</v>
      </c>
    </row>
    <row r="279" spans="1:27" s="4" customFormat="1" x14ac:dyDescent="0.25">
      <c r="A279" s="72"/>
      <c r="B279" s="5"/>
      <c r="C279" s="6">
        <v>42157</v>
      </c>
      <c r="D279" s="4">
        <v>15.9</v>
      </c>
      <c r="E279" s="4">
        <v>11.8</v>
      </c>
      <c r="F279" s="4">
        <v>19.2</v>
      </c>
      <c r="G279" s="4">
        <v>2384.6999999999998</v>
      </c>
      <c r="H279" s="4">
        <f t="shared" si="23"/>
        <v>77</v>
      </c>
      <c r="I279" s="4">
        <f>AVERAGE(D274:D293)</f>
        <v>15.024999999999997</v>
      </c>
      <c r="J279" s="4">
        <v>0.3</v>
      </c>
      <c r="K279" s="4">
        <v>441.80000000000013</v>
      </c>
      <c r="L279" s="4">
        <v>2.2999999999999998</v>
      </c>
      <c r="M279" s="4">
        <v>373.89999999999986</v>
      </c>
      <c r="N279" s="8">
        <v>-1.9999999999999998</v>
      </c>
      <c r="O279" s="4">
        <f t="shared" si="27"/>
        <v>112.79999999999997</v>
      </c>
      <c r="P279" s="4">
        <v>274</v>
      </c>
      <c r="Q279" s="11">
        <f t="shared" si="29"/>
        <v>1.0713114754098361</v>
      </c>
      <c r="R279" s="9">
        <f t="shared" si="25"/>
        <v>2.4640163934426229</v>
      </c>
      <c r="S279" s="9">
        <f t="shared" si="26"/>
        <v>-2.1640163934426231</v>
      </c>
      <c r="T279" s="9">
        <f t="shared" si="28"/>
        <v>74.888784153005346</v>
      </c>
      <c r="U279" s="4">
        <v>5</v>
      </c>
      <c r="V279" s="10">
        <v>720.8</v>
      </c>
      <c r="W279" s="4">
        <v>45.333333333333329</v>
      </c>
      <c r="X279" s="4">
        <v>211123.79999999996</v>
      </c>
      <c r="Y279" s="4">
        <f t="shared" si="24"/>
        <v>7570.0000000000009</v>
      </c>
      <c r="Z279" s="4">
        <v>1</v>
      </c>
      <c r="AA279" s="4">
        <v>16.018779839104699</v>
      </c>
    </row>
    <row r="280" spans="1:27" s="4" customFormat="1" x14ac:dyDescent="0.25">
      <c r="A280" s="72"/>
      <c r="B280" s="5"/>
      <c r="C280" s="6">
        <v>42158</v>
      </c>
      <c r="D280" s="4">
        <v>14.5</v>
      </c>
      <c r="E280" s="4">
        <v>13.3</v>
      </c>
      <c r="F280" s="4">
        <v>17.899999999999999</v>
      </c>
      <c r="G280" s="4">
        <v>2399.1999999999998</v>
      </c>
      <c r="H280" s="4">
        <f t="shared" si="23"/>
        <v>91.5</v>
      </c>
      <c r="I280" s="41" t="s">
        <v>36</v>
      </c>
      <c r="J280" s="4">
        <v>0</v>
      </c>
      <c r="K280" s="4">
        <v>441.80000000000013</v>
      </c>
      <c r="L280" s="4">
        <v>3.7</v>
      </c>
      <c r="M280" s="4">
        <v>377.59999999999985</v>
      </c>
      <c r="N280" s="8">
        <v>-3.7</v>
      </c>
      <c r="O280" s="4">
        <f t="shared" si="27"/>
        <v>109.09999999999997</v>
      </c>
      <c r="P280" s="4">
        <v>275</v>
      </c>
      <c r="Q280" s="11">
        <f t="shared" si="29"/>
        <v>1.0581967213114754</v>
      </c>
      <c r="R280" s="9">
        <f t="shared" si="25"/>
        <v>3.9153278688524589</v>
      </c>
      <c r="S280" s="9">
        <f t="shared" si="26"/>
        <v>-3.9153278688524589</v>
      </c>
      <c r="T280" s="9">
        <f t="shared" si="28"/>
        <v>70.973456284152888</v>
      </c>
      <c r="U280" s="41" t="s">
        <v>37</v>
      </c>
      <c r="V280" s="4">
        <v>1705.7</v>
      </c>
      <c r="W280" s="4">
        <v>117.63448275862069</v>
      </c>
      <c r="X280" s="4">
        <v>212829.49999999997</v>
      </c>
      <c r="Y280" s="4">
        <f t="shared" si="24"/>
        <v>9275.7000000000007</v>
      </c>
      <c r="AA280" s="4">
        <v>16.046842446784598</v>
      </c>
    </row>
    <row r="281" spans="1:27" s="4" customFormat="1" x14ac:dyDescent="0.25">
      <c r="A281" s="72"/>
      <c r="B281" s="5"/>
      <c r="C281" s="6">
        <v>42159</v>
      </c>
      <c r="D281" s="4">
        <v>16.8</v>
      </c>
      <c r="E281" s="4">
        <v>6.1</v>
      </c>
      <c r="F281" s="4">
        <v>23.7</v>
      </c>
      <c r="G281" s="4">
        <v>2416</v>
      </c>
      <c r="H281" s="4">
        <f t="shared" si="23"/>
        <v>108.3</v>
      </c>
      <c r="I281" s="4">
        <v>0</v>
      </c>
      <c r="J281" s="4">
        <v>0</v>
      </c>
      <c r="K281" s="4">
        <v>441.80000000000013</v>
      </c>
      <c r="L281" s="4">
        <v>4.9000000000000004</v>
      </c>
      <c r="M281" s="4">
        <v>382.49999999999983</v>
      </c>
      <c r="N281" s="8">
        <v>-4.9000000000000004</v>
      </c>
      <c r="O281" s="4">
        <f t="shared" si="27"/>
        <v>104.19999999999996</v>
      </c>
      <c r="P281" s="4">
        <v>276</v>
      </c>
      <c r="Q281" s="11">
        <f t="shared" si="29"/>
        <v>1.0450819672131146</v>
      </c>
      <c r="R281" s="9">
        <f t="shared" si="25"/>
        <v>5.1209016393442619</v>
      </c>
      <c r="S281" s="9">
        <f t="shared" si="26"/>
        <v>-5.1209016393442619</v>
      </c>
      <c r="T281" s="9">
        <f t="shared" si="28"/>
        <v>65.85255464480862</v>
      </c>
      <c r="U281" s="9">
        <f>MIN(T274:T293)</f>
        <v>50.261243169398796</v>
      </c>
      <c r="V281" s="4">
        <v>2951</v>
      </c>
      <c r="W281" s="4">
        <v>175.6547619047619</v>
      </c>
      <c r="X281" s="4">
        <v>215780.49999999997</v>
      </c>
      <c r="Y281" s="4">
        <f t="shared" si="24"/>
        <v>12226.7</v>
      </c>
      <c r="AA281" s="4">
        <v>16.073632876255999</v>
      </c>
    </row>
    <row r="282" spans="1:27" s="4" customFormat="1" x14ac:dyDescent="0.25">
      <c r="A282" s="72"/>
      <c r="B282" s="5"/>
      <c r="C282" s="6">
        <v>42160</v>
      </c>
      <c r="D282" s="4">
        <v>19.600000000000001</v>
      </c>
      <c r="E282" s="4">
        <v>14.1</v>
      </c>
      <c r="F282" s="12">
        <v>31.1</v>
      </c>
      <c r="G282" s="4">
        <v>2435.6</v>
      </c>
      <c r="H282" s="4">
        <f t="shared" si="23"/>
        <v>127.9</v>
      </c>
      <c r="I282" s="41" t="s">
        <v>38</v>
      </c>
      <c r="J282" s="4">
        <v>32.6</v>
      </c>
      <c r="K282" s="4">
        <v>474.40000000000015</v>
      </c>
      <c r="L282" s="4">
        <v>5.8</v>
      </c>
      <c r="M282" s="4">
        <v>388.29999999999984</v>
      </c>
      <c r="N282" s="4">
        <v>26.8</v>
      </c>
      <c r="O282" s="4">
        <f t="shared" si="27"/>
        <v>130.99999999999997</v>
      </c>
      <c r="P282" s="4">
        <v>277</v>
      </c>
      <c r="Q282" s="11">
        <f t="shared" si="29"/>
        <v>1.0319672131147539</v>
      </c>
      <c r="R282" s="9">
        <f t="shared" si="25"/>
        <v>5.985409836065573</v>
      </c>
      <c r="S282" s="9">
        <f t="shared" si="26"/>
        <v>26.61459016393443</v>
      </c>
      <c r="T282" s="9">
        <f t="shared" si="28"/>
        <v>92.467144808743058</v>
      </c>
      <c r="U282" s="41" t="s">
        <v>39</v>
      </c>
      <c r="V282" s="4">
        <v>2311.6999999999998</v>
      </c>
      <c r="W282" s="4">
        <v>117.94387755102039</v>
      </c>
      <c r="X282" s="4">
        <v>218092.19999999998</v>
      </c>
      <c r="Y282" s="4">
        <f t="shared" si="24"/>
        <v>14538.400000000001</v>
      </c>
      <c r="AA282" s="4">
        <v>16.0991266550297</v>
      </c>
    </row>
    <row r="283" spans="1:27" s="4" customFormat="1" x14ac:dyDescent="0.25">
      <c r="A283" s="72"/>
      <c r="B283" s="5"/>
      <c r="C283" s="6">
        <v>42161</v>
      </c>
      <c r="D283" s="4">
        <v>13.6</v>
      </c>
      <c r="E283" s="4">
        <v>11.7</v>
      </c>
      <c r="F283" s="4">
        <v>17.600000000000001</v>
      </c>
      <c r="G283" s="4">
        <v>2449.1999999999998</v>
      </c>
      <c r="H283" s="4">
        <f t="shared" si="23"/>
        <v>141.5</v>
      </c>
      <c r="I283" s="4">
        <v>2</v>
      </c>
      <c r="J283" s="4">
        <v>0</v>
      </c>
      <c r="K283" s="4">
        <v>474.40000000000015</v>
      </c>
      <c r="L283" s="4">
        <v>5.4</v>
      </c>
      <c r="M283" s="4">
        <v>393.69999999999982</v>
      </c>
      <c r="N283" s="8">
        <v>-5.4</v>
      </c>
      <c r="O283" s="4">
        <f t="shared" si="27"/>
        <v>125.59999999999997</v>
      </c>
      <c r="P283" s="4">
        <v>278</v>
      </c>
      <c r="Q283" s="11">
        <f t="shared" si="29"/>
        <v>1.0188524590163934</v>
      </c>
      <c r="R283" s="9">
        <f t="shared" si="25"/>
        <v>5.5018032786885245</v>
      </c>
      <c r="S283" s="9">
        <f t="shared" si="26"/>
        <v>-5.5018032786885245</v>
      </c>
      <c r="T283" s="9">
        <f t="shared" si="28"/>
        <v>86.96534153005453</v>
      </c>
      <c r="U283" s="9">
        <f>MAX(T274:T293)</f>
        <v>92.467144808743058</v>
      </c>
      <c r="V283" s="4">
        <v>3135.1</v>
      </c>
      <c r="W283" s="4">
        <v>230.52205882352942</v>
      </c>
      <c r="X283" s="4">
        <v>221227.3</v>
      </c>
      <c r="Y283" s="4">
        <f t="shared" si="24"/>
        <v>17673.5</v>
      </c>
      <c r="AA283" s="4">
        <v>16.1233001180291</v>
      </c>
    </row>
    <row r="284" spans="1:27" s="4" customFormat="1" x14ac:dyDescent="0.25">
      <c r="A284" s="72"/>
      <c r="B284" s="5"/>
      <c r="C284" s="6">
        <v>42162</v>
      </c>
      <c r="D284" s="4">
        <v>13.5</v>
      </c>
      <c r="E284" s="4">
        <v>6</v>
      </c>
      <c r="F284" s="4">
        <v>19.3</v>
      </c>
      <c r="G284" s="4">
        <v>2462.6999999999998</v>
      </c>
      <c r="H284" s="4">
        <f t="shared" si="23"/>
        <v>155</v>
      </c>
      <c r="I284" s="41" t="s">
        <v>40</v>
      </c>
      <c r="J284" s="4">
        <v>0</v>
      </c>
      <c r="K284" s="4">
        <v>474.40000000000015</v>
      </c>
      <c r="L284" s="4">
        <v>3.2</v>
      </c>
      <c r="M284" s="4">
        <v>396.89999999999981</v>
      </c>
      <c r="N284" s="8">
        <v>-3.2</v>
      </c>
      <c r="O284" s="4">
        <f t="shared" si="27"/>
        <v>122.39999999999996</v>
      </c>
      <c r="P284" s="4">
        <v>279</v>
      </c>
      <c r="Q284" s="11">
        <f t="shared" si="29"/>
        <v>1.0057377049180327</v>
      </c>
      <c r="R284" s="9">
        <f t="shared" si="25"/>
        <v>3.2183606557377047</v>
      </c>
      <c r="S284" s="9">
        <f t="shared" si="26"/>
        <v>-3.2183606557377047</v>
      </c>
      <c r="T284" s="9">
        <f t="shared" si="28"/>
        <v>83.746980874316819</v>
      </c>
      <c r="U284" s="41" t="s">
        <v>41</v>
      </c>
      <c r="V284" s="4">
        <v>2087.3000000000002</v>
      </c>
      <c r="W284" s="4">
        <v>154.61481481481482</v>
      </c>
      <c r="X284" s="4">
        <v>223314.59999999998</v>
      </c>
      <c r="Y284" s="4">
        <f t="shared" si="24"/>
        <v>19760.8</v>
      </c>
      <c r="AA284" s="4">
        <v>16.1461304855085</v>
      </c>
    </row>
    <row r="285" spans="1:27" s="4" customFormat="1" x14ac:dyDescent="0.25">
      <c r="A285" s="72"/>
      <c r="B285" s="5"/>
      <c r="C285" s="6">
        <v>42163</v>
      </c>
      <c r="D285" s="4">
        <v>13.2</v>
      </c>
      <c r="E285" s="4">
        <v>9.1</v>
      </c>
      <c r="F285" s="4">
        <v>16.8</v>
      </c>
      <c r="G285" s="4">
        <v>2475.8999999999996</v>
      </c>
      <c r="H285" s="4">
        <f t="shared" si="23"/>
        <v>168.2</v>
      </c>
      <c r="I285" s="4">
        <v>0</v>
      </c>
      <c r="J285" s="4">
        <v>0</v>
      </c>
      <c r="K285" s="4">
        <v>474.40000000000015</v>
      </c>
      <c r="L285" s="4">
        <v>4.5999999999999996</v>
      </c>
      <c r="M285" s="4">
        <v>401.49999999999983</v>
      </c>
      <c r="N285" s="8">
        <v>-4.5999999999999996</v>
      </c>
      <c r="O285" s="4">
        <f t="shared" si="27"/>
        <v>117.79999999999997</v>
      </c>
      <c r="P285" s="4">
        <v>280</v>
      </c>
      <c r="Q285" s="11">
        <f t="shared" si="29"/>
        <v>0.992622950819672</v>
      </c>
      <c r="R285" s="9">
        <f t="shared" si="25"/>
        <v>4.5660655737704907</v>
      </c>
      <c r="S285" s="9">
        <f t="shared" si="26"/>
        <v>-4.5660655737704907</v>
      </c>
      <c r="T285" s="9">
        <f t="shared" si="28"/>
        <v>79.180915300546332</v>
      </c>
      <c r="U285" s="11">
        <f>AVERAGE(T274:T293)</f>
        <v>71.739505464480757</v>
      </c>
      <c r="V285" s="4">
        <v>2964.5</v>
      </c>
      <c r="W285" s="4">
        <v>224.58333333333334</v>
      </c>
      <c r="X285" s="4">
        <v>226279.09999999998</v>
      </c>
      <c r="Y285" s="4">
        <f t="shared" si="24"/>
        <v>22725.3</v>
      </c>
      <c r="AA285" s="4">
        <v>16.167595940049001</v>
      </c>
    </row>
    <row r="286" spans="1:27" s="4" customFormat="1" x14ac:dyDescent="0.25">
      <c r="A286" s="72"/>
      <c r="B286" s="5"/>
      <c r="C286" s="6">
        <v>42164</v>
      </c>
      <c r="D286" s="4">
        <v>12.7</v>
      </c>
      <c r="E286" s="4">
        <v>9.6</v>
      </c>
      <c r="F286" s="4">
        <v>16.399999999999999</v>
      </c>
      <c r="G286" s="4">
        <v>2488.5999999999995</v>
      </c>
      <c r="H286" s="4">
        <f t="shared" si="23"/>
        <v>180.89999999999998</v>
      </c>
      <c r="I286" s="41" t="s">
        <v>42</v>
      </c>
      <c r="J286" s="4">
        <v>0</v>
      </c>
      <c r="K286" s="4">
        <v>474.40000000000015</v>
      </c>
      <c r="L286" s="4">
        <v>4.8</v>
      </c>
      <c r="M286" s="4">
        <v>406.29999999999984</v>
      </c>
      <c r="N286" s="8">
        <v>-4.8</v>
      </c>
      <c r="O286" s="4">
        <f t="shared" si="27"/>
        <v>112.99999999999997</v>
      </c>
      <c r="P286" s="4">
        <v>281</v>
      </c>
      <c r="Q286" s="11">
        <f t="shared" si="29"/>
        <v>0.9795081967213114</v>
      </c>
      <c r="R286" s="9">
        <f t="shared" si="25"/>
        <v>4.7016393442622944</v>
      </c>
      <c r="S286" s="9">
        <f t="shared" si="26"/>
        <v>-4.7016393442622944</v>
      </c>
      <c r="T286" s="9">
        <f t="shared" si="28"/>
        <v>74.479275956284042</v>
      </c>
      <c r="U286" s="4">
        <f>(U285*100)/189.6</f>
        <v>37.83729191164597</v>
      </c>
      <c r="V286" s="4">
        <v>3005.8</v>
      </c>
      <c r="W286" s="4">
        <v>236.67716535433073</v>
      </c>
      <c r="X286" s="4">
        <v>229284.89999999997</v>
      </c>
      <c r="Y286" s="4">
        <f t="shared" si="24"/>
        <v>25731.1</v>
      </c>
      <c r="AA286" s="4">
        <v>16.187675702137401</v>
      </c>
    </row>
    <row r="287" spans="1:27" s="4" customFormat="1" x14ac:dyDescent="0.25">
      <c r="A287" s="72"/>
      <c r="B287" s="5"/>
      <c r="C287" s="6">
        <v>42165</v>
      </c>
      <c r="D287" s="4">
        <v>16.2</v>
      </c>
      <c r="E287" s="4">
        <v>9.3000000000000007</v>
      </c>
      <c r="F287" s="4">
        <v>21.4</v>
      </c>
      <c r="G287" s="4">
        <v>2504.7999999999993</v>
      </c>
      <c r="H287" s="4">
        <f t="shared" si="23"/>
        <v>197.09999999999997</v>
      </c>
      <c r="I287" s="4">
        <v>300.5</v>
      </c>
      <c r="J287" s="4">
        <v>0</v>
      </c>
      <c r="K287" s="4">
        <v>474.40000000000015</v>
      </c>
      <c r="L287" s="4">
        <v>5.0999999999999996</v>
      </c>
      <c r="M287" s="4">
        <v>411.39999999999986</v>
      </c>
      <c r="N287" s="8">
        <v>-5.0999999999999996</v>
      </c>
      <c r="O287" s="4">
        <f t="shared" si="27"/>
        <v>107.89999999999998</v>
      </c>
      <c r="P287" s="4">
        <v>282</v>
      </c>
      <c r="Q287" s="11">
        <f t="shared" si="29"/>
        <v>0.96639344262295079</v>
      </c>
      <c r="R287" s="9">
        <f t="shared" si="25"/>
        <v>4.9286065573770488</v>
      </c>
      <c r="S287" s="9">
        <f t="shared" si="26"/>
        <v>-4.9286065573770488</v>
      </c>
      <c r="T287" s="9">
        <f t="shared" si="28"/>
        <v>69.55066939890699</v>
      </c>
      <c r="V287" s="4">
        <v>2753.9</v>
      </c>
      <c r="W287" s="4">
        <v>169.99382716049385</v>
      </c>
      <c r="X287" s="4">
        <v>232038.79999999996</v>
      </c>
      <c r="Y287" s="4">
        <f t="shared" si="24"/>
        <v>28485</v>
      </c>
      <c r="AA287" s="4">
        <v>16.206350103821901</v>
      </c>
    </row>
    <row r="288" spans="1:27" s="25" customFormat="1" x14ac:dyDescent="0.25">
      <c r="A288" s="72"/>
      <c r="B288" s="24"/>
      <c r="C288" s="6">
        <v>42166</v>
      </c>
      <c r="D288" s="25">
        <v>20.2</v>
      </c>
      <c r="E288" s="25">
        <v>15.1</v>
      </c>
      <c r="F288" s="25">
        <v>25.3</v>
      </c>
      <c r="G288" s="25">
        <v>2524.9999999999991</v>
      </c>
      <c r="H288" s="25">
        <f t="shared" si="23"/>
        <v>217.29999999999995</v>
      </c>
      <c r="J288" s="25">
        <v>1.1000000000000001</v>
      </c>
      <c r="K288" s="25">
        <v>475.50000000000017</v>
      </c>
      <c r="L288" s="25">
        <v>5</v>
      </c>
      <c r="M288" s="25">
        <v>416.39999999999986</v>
      </c>
      <c r="N288" s="25">
        <v>-3.9</v>
      </c>
      <c r="O288" s="25">
        <f t="shared" si="27"/>
        <v>103.99999999999997</v>
      </c>
      <c r="P288" s="25">
        <v>283</v>
      </c>
      <c r="Q288" s="11">
        <f t="shared" si="29"/>
        <v>0.95327868852459008</v>
      </c>
      <c r="R288" s="26">
        <f t="shared" si="25"/>
        <v>4.7663934426229506</v>
      </c>
      <c r="S288" s="26">
        <f t="shared" si="26"/>
        <v>-3.6663934426229505</v>
      </c>
      <c r="T288" s="9">
        <f t="shared" si="28"/>
        <v>65.884275956284043</v>
      </c>
      <c r="V288" s="25">
        <v>2398.9</v>
      </c>
      <c r="W288" s="25">
        <v>118.75742574257427</v>
      </c>
      <c r="X288" s="25">
        <v>234437.69999999995</v>
      </c>
      <c r="Y288" s="4">
        <f t="shared" si="24"/>
        <v>30883.9</v>
      </c>
      <c r="AA288" s="4">
        <v>16.223600659931702</v>
      </c>
    </row>
    <row r="289" spans="1:27" s="4" customFormat="1" ht="15" customHeight="1" x14ac:dyDescent="0.25">
      <c r="A289" s="72"/>
      <c r="B289" s="5"/>
      <c r="C289" s="6">
        <v>42167</v>
      </c>
      <c r="D289" s="4">
        <v>21.2</v>
      </c>
      <c r="E289" s="4">
        <v>16.899999999999999</v>
      </c>
      <c r="F289" s="12">
        <v>26.7</v>
      </c>
      <c r="G289" s="4">
        <v>2546.1999999999989</v>
      </c>
      <c r="H289" s="4">
        <f t="shared" ref="H289:H316" si="30">H288+D289</f>
        <v>238.49999999999994</v>
      </c>
      <c r="J289" s="4">
        <v>0</v>
      </c>
      <c r="K289" s="4">
        <v>475.50000000000017</v>
      </c>
      <c r="L289" s="4">
        <v>3.1</v>
      </c>
      <c r="M289" s="4">
        <v>419.49999999999989</v>
      </c>
      <c r="N289" s="8">
        <v>-3.1</v>
      </c>
      <c r="O289" s="4">
        <f t="shared" si="27"/>
        <v>100.89999999999998</v>
      </c>
      <c r="P289" s="4">
        <v>284</v>
      </c>
      <c r="Q289" s="11">
        <f t="shared" si="29"/>
        <v>0.94016393442622936</v>
      </c>
      <c r="R289" s="9">
        <f t="shared" si="25"/>
        <v>2.9145081967213109</v>
      </c>
      <c r="S289" s="9">
        <f t="shared" si="26"/>
        <v>-2.9145081967213109</v>
      </c>
      <c r="T289" s="9">
        <f t="shared" si="28"/>
        <v>62.969767759562728</v>
      </c>
      <c r="U289" s="27"/>
      <c r="V289" s="4">
        <v>1085.5999999999999</v>
      </c>
      <c r="W289" s="4">
        <v>51.20754716981132</v>
      </c>
      <c r="X289" s="4">
        <v>235523.29999999996</v>
      </c>
      <c r="Y289" s="4">
        <f t="shared" ref="Y289:Y316" si="31">Y288+V289</f>
        <v>31969.5</v>
      </c>
      <c r="AA289" s="4">
        <v>16.2394101363499</v>
      </c>
    </row>
    <row r="290" spans="1:27" s="4" customFormat="1" x14ac:dyDescent="0.25">
      <c r="A290" s="72"/>
      <c r="B290" s="5"/>
      <c r="C290" s="6">
        <v>42168</v>
      </c>
      <c r="D290" s="4">
        <v>17.100000000000001</v>
      </c>
      <c r="E290" s="4">
        <v>14.6</v>
      </c>
      <c r="F290" s="4">
        <v>21.6</v>
      </c>
      <c r="G290" s="4">
        <v>2563.2999999999988</v>
      </c>
      <c r="H290" s="4">
        <f t="shared" si="30"/>
        <v>255.59999999999994</v>
      </c>
      <c r="J290" s="4">
        <v>0</v>
      </c>
      <c r="K290" s="4">
        <v>475.50000000000017</v>
      </c>
      <c r="L290" s="4">
        <v>4.7</v>
      </c>
      <c r="M290" s="4">
        <v>424.19999999999987</v>
      </c>
      <c r="N290" s="8">
        <v>-4.7</v>
      </c>
      <c r="O290" s="4">
        <f t="shared" si="27"/>
        <v>96.199999999999974</v>
      </c>
      <c r="P290" s="4">
        <v>285</v>
      </c>
      <c r="Q290" s="11">
        <f t="shared" si="29"/>
        <v>0.92704918032786876</v>
      </c>
      <c r="R290" s="9">
        <f t="shared" si="25"/>
        <v>4.3571311475409837</v>
      </c>
      <c r="S290" s="9">
        <f t="shared" si="26"/>
        <v>-4.3571311475409837</v>
      </c>
      <c r="T290" s="9">
        <f t="shared" si="28"/>
        <v>58.612636612021745</v>
      </c>
      <c r="V290" s="4">
        <v>2298.3000000000002</v>
      </c>
      <c r="W290" s="4">
        <v>134.40350877192984</v>
      </c>
      <c r="X290" s="4">
        <v>237821.59999999995</v>
      </c>
      <c r="Y290" s="4">
        <f t="shared" si="31"/>
        <v>34267.800000000003</v>
      </c>
      <c r="AA290" s="4">
        <v>16.253762614833501</v>
      </c>
    </row>
    <row r="291" spans="1:27" s="4" customFormat="1" x14ac:dyDescent="0.25">
      <c r="A291" s="72"/>
      <c r="B291" s="5"/>
      <c r="C291" s="6">
        <v>42169</v>
      </c>
      <c r="D291" s="4">
        <v>15.8</v>
      </c>
      <c r="E291" s="4">
        <v>9.9</v>
      </c>
      <c r="F291" s="4">
        <v>20.6</v>
      </c>
      <c r="G291" s="4">
        <v>2579.099999999999</v>
      </c>
      <c r="H291" s="4">
        <f t="shared" si="30"/>
        <v>271.39999999999992</v>
      </c>
      <c r="J291" s="4">
        <v>0</v>
      </c>
      <c r="K291" s="4">
        <v>475.50000000000017</v>
      </c>
      <c r="L291" s="4">
        <v>2.4</v>
      </c>
      <c r="M291" s="4">
        <v>426.59999999999985</v>
      </c>
      <c r="N291" s="8">
        <v>-2.4</v>
      </c>
      <c r="O291" s="4">
        <f t="shared" si="27"/>
        <v>93.799999999999969</v>
      </c>
      <c r="P291" s="4">
        <v>286</v>
      </c>
      <c r="Q291" s="11">
        <f t="shared" si="29"/>
        <v>0.91393442622950816</v>
      </c>
      <c r="R291" s="9">
        <f t="shared" si="25"/>
        <v>2.1934426229508195</v>
      </c>
      <c r="S291" s="9">
        <f t="shared" si="26"/>
        <v>-2.1934426229508195</v>
      </c>
      <c r="T291" s="9">
        <f t="shared" si="28"/>
        <v>56.419193989070926</v>
      </c>
      <c r="V291" s="4">
        <v>1279.4000000000001</v>
      </c>
      <c r="W291" s="4">
        <v>80.974683544303801</v>
      </c>
      <c r="X291" s="4">
        <v>239100.99999999994</v>
      </c>
      <c r="Y291" s="4">
        <f t="shared" si="31"/>
        <v>35547.200000000004</v>
      </c>
      <c r="AA291" s="4">
        <v>16.266643553885899</v>
      </c>
    </row>
    <row r="292" spans="1:27" s="4" customFormat="1" x14ac:dyDescent="0.25">
      <c r="A292" s="72"/>
      <c r="B292" s="5"/>
      <c r="C292" s="6">
        <v>42170</v>
      </c>
      <c r="D292" s="4">
        <v>15</v>
      </c>
      <c r="E292" s="4">
        <v>13.4</v>
      </c>
      <c r="F292" s="4">
        <v>17.7</v>
      </c>
      <c r="G292" s="4">
        <v>2594.099999999999</v>
      </c>
      <c r="H292" s="4">
        <f t="shared" si="30"/>
        <v>286.39999999999992</v>
      </c>
      <c r="J292" s="4">
        <v>0</v>
      </c>
      <c r="K292" s="4">
        <v>475.50000000000017</v>
      </c>
      <c r="L292" s="4">
        <v>2.5</v>
      </c>
      <c r="M292" s="4">
        <v>429.09999999999985</v>
      </c>
      <c r="N292" s="8">
        <v>-2.5</v>
      </c>
      <c r="O292" s="4">
        <f t="shared" si="27"/>
        <v>91.299999999999969</v>
      </c>
      <c r="P292" s="4">
        <v>287</v>
      </c>
      <c r="Q292" s="11">
        <f t="shared" si="29"/>
        <v>0.90081967213114744</v>
      </c>
      <c r="R292" s="9">
        <f t="shared" si="25"/>
        <v>2.2520491803278686</v>
      </c>
      <c r="S292" s="9">
        <f t="shared" si="26"/>
        <v>-2.2520491803278686</v>
      </c>
      <c r="T292" s="9">
        <f t="shared" si="28"/>
        <v>54.16714480874306</v>
      </c>
      <c r="V292" s="4">
        <v>1270.3</v>
      </c>
      <c r="W292" s="4">
        <v>84.686666666666667</v>
      </c>
      <c r="X292" s="4">
        <v>240371.29999999993</v>
      </c>
      <c r="Y292" s="4">
        <f t="shared" si="31"/>
        <v>36817.500000000007</v>
      </c>
      <c r="AA292" s="4">
        <v>16.2780398452072</v>
      </c>
    </row>
    <row r="293" spans="1:27" s="17" customFormat="1" x14ac:dyDescent="0.25">
      <c r="A293" s="72"/>
      <c r="B293" s="28">
        <v>600</v>
      </c>
      <c r="C293" s="29">
        <v>42171</v>
      </c>
      <c r="D293" s="17">
        <v>14.1</v>
      </c>
      <c r="E293" s="17">
        <v>9.5</v>
      </c>
      <c r="F293" s="17">
        <v>18.600000000000001</v>
      </c>
      <c r="G293" s="17">
        <v>2608.1999999999989</v>
      </c>
      <c r="H293" s="17">
        <f t="shared" si="30"/>
        <v>300.49999999999994</v>
      </c>
      <c r="J293" s="17">
        <v>0</v>
      </c>
      <c r="K293" s="17">
        <v>475.50000000000017</v>
      </c>
      <c r="L293" s="17">
        <v>4.4000000000000004</v>
      </c>
      <c r="M293" s="17">
        <v>433.49999999999983</v>
      </c>
      <c r="N293" s="31">
        <v>-4.4000000000000004</v>
      </c>
      <c r="O293" s="17">
        <f t="shared" si="27"/>
        <v>86.899999999999963</v>
      </c>
      <c r="P293" s="17">
        <v>288</v>
      </c>
      <c r="Q293" s="11">
        <f t="shared" si="29"/>
        <v>0.88770491803278684</v>
      </c>
      <c r="R293" s="18">
        <f t="shared" si="25"/>
        <v>3.9059016393442625</v>
      </c>
      <c r="S293" s="18">
        <f t="shared" si="26"/>
        <v>-3.9059016393442625</v>
      </c>
      <c r="T293" s="9">
        <f t="shared" si="28"/>
        <v>50.261243169398796</v>
      </c>
      <c r="V293" s="17">
        <v>2575.4</v>
      </c>
      <c r="W293" s="17">
        <v>182.65248226950357</v>
      </c>
      <c r="X293" s="17">
        <v>242946.69999999992</v>
      </c>
      <c r="Y293" s="4">
        <f t="shared" si="31"/>
        <v>39392.900000000009</v>
      </c>
      <c r="AA293" s="4">
        <v>16.287939865271198</v>
      </c>
    </row>
    <row r="294" spans="1:27" s="4" customFormat="1" x14ac:dyDescent="0.25">
      <c r="A294" s="66">
        <v>1000</v>
      </c>
      <c r="B294" s="5"/>
      <c r="C294" s="6">
        <v>42172</v>
      </c>
      <c r="D294" s="4">
        <v>16.2</v>
      </c>
      <c r="E294" s="4">
        <v>8</v>
      </c>
      <c r="F294" s="4">
        <v>21.8</v>
      </c>
      <c r="G294" s="4">
        <v>2624.3999999999987</v>
      </c>
      <c r="H294" s="4">
        <v>16.2</v>
      </c>
      <c r="I294" s="42" t="s">
        <v>27</v>
      </c>
      <c r="J294" s="4">
        <v>0.1</v>
      </c>
      <c r="K294" s="4">
        <v>475.60000000000019</v>
      </c>
      <c r="L294" s="4">
        <v>3</v>
      </c>
      <c r="M294" s="4">
        <v>436.49999999999983</v>
      </c>
      <c r="N294" s="8">
        <v>-2.9</v>
      </c>
      <c r="O294" s="4">
        <f t="shared" si="27"/>
        <v>83.999999999999957</v>
      </c>
      <c r="P294" s="4">
        <v>289</v>
      </c>
      <c r="Q294" s="11">
        <f t="shared" si="29"/>
        <v>0.87459016393442623</v>
      </c>
      <c r="R294" s="9">
        <f t="shared" si="25"/>
        <v>2.6237704918032785</v>
      </c>
      <c r="S294" s="9">
        <f t="shared" si="26"/>
        <v>-2.5237704918032784</v>
      </c>
      <c r="T294" s="9">
        <f t="shared" si="28"/>
        <v>47.73747267759552</v>
      </c>
      <c r="U294" s="42" t="s">
        <v>28</v>
      </c>
      <c r="V294" s="4">
        <v>1680.6</v>
      </c>
      <c r="W294" s="4">
        <v>103.74074074074073</v>
      </c>
      <c r="X294" s="4">
        <v>244627.29999999993</v>
      </c>
      <c r="Y294" s="4">
        <v>1680.6</v>
      </c>
      <c r="Z294" s="42" t="s">
        <v>29</v>
      </c>
      <c r="AA294" s="4">
        <v>16.2963335216077</v>
      </c>
    </row>
    <row r="295" spans="1:27" s="4" customFormat="1" x14ac:dyDescent="0.25">
      <c r="A295" s="66"/>
      <c r="B295" s="5"/>
      <c r="C295" s="6">
        <v>42173</v>
      </c>
      <c r="D295" s="4">
        <v>15.1</v>
      </c>
      <c r="E295" s="4">
        <v>15.7</v>
      </c>
      <c r="F295" s="4">
        <v>17.3</v>
      </c>
      <c r="G295" s="4">
        <v>2639.4999999999986</v>
      </c>
      <c r="H295" s="4">
        <f t="shared" si="30"/>
        <v>31.299999999999997</v>
      </c>
      <c r="I295" s="4">
        <f>MIN(E294:E316)</f>
        <v>7.9</v>
      </c>
      <c r="J295" s="4">
        <v>1.9</v>
      </c>
      <c r="K295" s="4">
        <v>477.50000000000017</v>
      </c>
      <c r="L295" s="4">
        <v>1.9</v>
      </c>
      <c r="M295" s="4">
        <v>438.39999999999981</v>
      </c>
      <c r="N295" s="4">
        <v>0</v>
      </c>
      <c r="O295" s="4">
        <f t="shared" si="27"/>
        <v>83.999999999999957</v>
      </c>
      <c r="P295" s="4">
        <v>290</v>
      </c>
      <c r="Q295" s="11">
        <f t="shared" si="29"/>
        <v>0.86147540983606552</v>
      </c>
      <c r="R295" s="9">
        <f t="shared" si="25"/>
        <v>1.6368032786885245</v>
      </c>
      <c r="S295" s="9">
        <f t="shared" si="26"/>
        <v>0.26319672131147542</v>
      </c>
      <c r="T295" s="9">
        <f t="shared" si="28"/>
        <v>48.000669398906993</v>
      </c>
      <c r="U295" s="4">
        <v>18</v>
      </c>
      <c r="V295" s="10">
        <v>774.6</v>
      </c>
      <c r="W295" s="4">
        <v>51.298013245033118</v>
      </c>
      <c r="X295" s="4">
        <v>245401.89999999994</v>
      </c>
      <c r="Y295" s="4">
        <f t="shared" si="31"/>
        <v>2455.1999999999998</v>
      </c>
      <c r="Z295" s="4">
        <v>44237.19999999999</v>
      </c>
      <c r="AA295" s="4">
        <v>16.303212293407299</v>
      </c>
    </row>
    <row r="296" spans="1:27" s="4" customFormat="1" x14ac:dyDescent="0.25">
      <c r="A296" s="66"/>
      <c r="B296" s="5"/>
      <c r="C296" s="6">
        <v>42174</v>
      </c>
      <c r="D296" s="4">
        <v>14.5</v>
      </c>
      <c r="E296" s="4">
        <v>8.8000000000000007</v>
      </c>
      <c r="F296" s="4">
        <v>18.7</v>
      </c>
      <c r="G296" s="4">
        <v>2653.9999999999986</v>
      </c>
      <c r="H296" s="4">
        <f t="shared" si="30"/>
        <v>45.8</v>
      </c>
      <c r="I296" s="42" t="s">
        <v>30</v>
      </c>
      <c r="J296" s="4">
        <v>0</v>
      </c>
      <c r="K296" s="4">
        <v>477.50000000000017</v>
      </c>
      <c r="L296" s="4">
        <v>2.8</v>
      </c>
      <c r="M296" s="4">
        <v>441.19999999999982</v>
      </c>
      <c r="N296" s="8">
        <v>-2.8</v>
      </c>
      <c r="O296" s="4">
        <f t="shared" si="27"/>
        <v>81.19999999999996</v>
      </c>
      <c r="P296" s="4">
        <v>291</v>
      </c>
      <c r="Q296" s="11">
        <f t="shared" si="29"/>
        <v>0.84836065573770481</v>
      </c>
      <c r="R296" s="9">
        <f t="shared" si="25"/>
        <v>2.3754098360655731</v>
      </c>
      <c r="S296" s="9">
        <f t="shared" si="26"/>
        <v>-2.3754098360655731</v>
      </c>
      <c r="T296" s="9">
        <f t="shared" si="28"/>
        <v>45.625259562841421</v>
      </c>
      <c r="U296" s="42" t="s">
        <v>31</v>
      </c>
      <c r="V296" s="4">
        <v>1830.6</v>
      </c>
      <c r="W296" s="4">
        <v>126.24827586206897</v>
      </c>
      <c r="X296" s="4">
        <v>247232.49999999994</v>
      </c>
      <c r="Y296" s="4">
        <f t="shared" si="31"/>
        <v>4285.7999999999993</v>
      </c>
      <c r="Z296" s="42" t="s">
        <v>32</v>
      </c>
      <c r="AA296" s="4">
        <v>16.308569266106399</v>
      </c>
    </row>
    <row r="297" spans="1:27" s="4" customFormat="1" x14ac:dyDescent="0.25">
      <c r="A297" s="66"/>
      <c r="B297" s="5"/>
      <c r="C297" s="6">
        <v>42175</v>
      </c>
      <c r="D297" s="4">
        <v>15.4</v>
      </c>
      <c r="E297" s="4">
        <v>10.9</v>
      </c>
      <c r="F297" s="4">
        <v>17.7</v>
      </c>
      <c r="G297" s="4">
        <v>2669.3999999999987</v>
      </c>
      <c r="H297" s="4">
        <f t="shared" si="30"/>
        <v>61.199999999999996</v>
      </c>
      <c r="I297" s="4">
        <f>MAX(F294:F316)</f>
        <v>33.4</v>
      </c>
      <c r="J297" s="4">
        <v>0.8</v>
      </c>
      <c r="K297" s="4">
        <v>478.30000000000018</v>
      </c>
      <c r="L297" s="4">
        <v>1.7</v>
      </c>
      <c r="M297" s="4">
        <v>442.89999999999981</v>
      </c>
      <c r="N297" s="8">
        <v>-0.89999999999999991</v>
      </c>
      <c r="O297" s="4">
        <f t="shared" si="27"/>
        <v>80.299999999999955</v>
      </c>
      <c r="P297" s="4">
        <v>292</v>
      </c>
      <c r="Q297" s="11">
        <f t="shared" si="29"/>
        <v>0.8352459016393442</v>
      </c>
      <c r="R297" s="9">
        <f t="shared" si="25"/>
        <v>1.419918032786885</v>
      </c>
      <c r="S297" s="9">
        <f t="shared" si="26"/>
        <v>-0.61991803278688495</v>
      </c>
      <c r="T297" s="9">
        <f t="shared" si="28"/>
        <v>45.005341530054537</v>
      </c>
      <c r="U297" s="4">
        <v>0</v>
      </c>
      <c r="V297" s="4">
        <v>1086.3</v>
      </c>
      <c r="W297" s="4">
        <v>70.538961038961034</v>
      </c>
      <c r="X297" s="4">
        <v>248318.79999999993</v>
      </c>
      <c r="Y297" s="4">
        <f t="shared" si="31"/>
        <v>5372.0999999999995</v>
      </c>
      <c r="Z297" s="11">
        <f>(Z295/100)/I307</f>
        <v>1.0667277550036169</v>
      </c>
      <c r="AA297" s="4">
        <v>16.312399159655801</v>
      </c>
    </row>
    <row r="298" spans="1:27" s="4" customFormat="1" x14ac:dyDescent="0.25">
      <c r="A298" s="66"/>
      <c r="B298" s="5"/>
      <c r="C298" s="6">
        <v>42176</v>
      </c>
      <c r="D298" s="4">
        <v>16.100000000000001</v>
      </c>
      <c r="E298" s="4">
        <v>14.1</v>
      </c>
      <c r="F298" s="4">
        <v>18.899999999999999</v>
      </c>
      <c r="G298" s="4">
        <v>2685.4999999999986</v>
      </c>
      <c r="H298" s="4">
        <f t="shared" si="30"/>
        <v>77.3</v>
      </c>
      <c r="I298" s="42" t="s">
        <v>33</v>
      </c>
      <c r="J298" s="4">
        <v>0.7</v>
      </c>
      <c r="K298" s="4">
        <v>479.00000000000017</v>
      </c>
      <c r="L298" s="4">
        <v>2.7</v>
      </c>
      <c r="M298" s="4">
        <v>445.5999999999998</v>
      </c>
      <c r="N298" s="8">
        <v>-2</v>
      </c>
      <c r="O298" s="4">
        <f t="shared" si="27"/>
        <v>78.299999999999955</v>
      </c>
      <c r="P298" s="4">
        <v>293</v>
      </c>
      <c r="Q298" s="11">
        <f t="shared" si="29"/>
        <v>0.8221311475409836</v>
      </c>
      <c r="R298" s="9">
        <f t="shared" si="25"/>
        <v>2.2197540983606561</v>
      </c>
      <c r="S298" s="9">
        <f t="shared" si="26"/>
        <v>-1.5197540983606561</v>
      </c>
      <c r="T298" s="9">
        <f t="shared" si="28"/>
        <v>43.48558743169388</v>
      </c>
      <c r="U298" s="42" t="s">
        <v>34</v>
      </c>
      <c r="V298" s="4">
        <v>1383.9</v>
      </c>
      <c r="W298" s="4">
        <v>85.956521739130437</v>
      </c>
      <c r="X298" s="4">
        <v>249702.69999999992</v>
      </c>
      <c r="Y298" s="4">
        <f t="shared" si="31"/>
        <v>6756</v>
      </c>
      <c r="Z298" s="42" t="s">
        <v>35</v>
      </c>
      <c r="AA298" s="4">
        <v>16.3146983502313</v>
      </c>
    </row>
    <row r="299" spans="1:27" s="4" customFormat="1" x14ac:dyDescent="0.25">
      <c r="A299" s="66"/>
      <c r="B299" s="5"/>
      <c r="C299" s="6">
        <v>42177</v>
      </c>
      <c r="D299" s="4">
        <v>12.5</v>
      </c>
      <c r="E299" s="4">
        <v>11.2</v>
      </c>
      <c r="F299" s="4">
        <v>14</v>
      </c>
      <c r="G299" s="4">
        <v>2697.9999999999986</v>
      </c>
      <c r="H299" s="4">
        <f t="shared" si="30"/>
        <v>89.8</v>
      </c>
      <c r="I299" s="9">
        <f>AVERAGE(D294:D316)</f>
        <v>18.030434782608694</v>
      </c>
      <c r="J299" s="4">
        <v>16.600000000000001</v>
      </c>
      <c r="K299" s="4">
        <v>495.60000000000019</v>
      </c>
      <c r="L299" s="4">
        <v>1.2</v>
      </c>
      <c r="M299" s="4">
        <v>446.79999999999978</v>
      </c>
      <c r="N299" s="4">
        <v>15.400000000000002</v>
      </c>
      <c r="O299" s="4">
        <f t="shared" si="27"/>
        <v>93.69999999999996</v>
      </c>
      <c r="P299" s="4">
        <v>294</v>
      </c>
      <c r="Q299" s="11">
        <f t="shared" si="29"/>
        <v>0.80901639344262288</v>
      </c>
      <c r="R299" s="9">
        <f t="shared" si="25"/>
        <v>0.97081967213114739</v>
      </c>
      <c r="S299" s="9">
        <f t="shared" si="26"/>
        <v>15.629180327868854</v>
      </c>
      <c r="T299" s="9">
        <f t="shared" si="28"/>
        <v>59.114767759562731</v>
      </c>
      <c r="U299" s="4">
        <v>23</v>
      </c>
      <c r="V299" s="10">
        <v>671</v>
      </c>
      <c r="W299" s="4">
        <v>53.68</v>
      </c>
      <c r="X299" s="4">
        <v>250373.69999999992</v>
      </c>
      <c r="Y299" s="4">
        <f t="shared" si="31"/>
        <v>7427</v>
      </c>
      <c r="Z299" s="4">
        <v>2</v>
      </c>
      <c r="AA299" s="4">
        <v>16.315464885196</v>
      </c>
    </row>
    <row r="300" spans="1:27" s="4" customFormat="1" x14ac:dyDescent="0.25">
      <c r="A300" s="66"/>
      <c r="B300" s="5"/>
      <c r="C300" s="6">
        <v>42178</v>
      </c>
      <c r="D300" s="4">
        <v>12.9</v>
      </c>
      <c r="E300" s="4">
        <v>9.9</v>
      </c>
      <c r="F300" s="4">
        <v>15.8</v>
      </c>
      <c r="G300" s="4">
        <v>2710.8999999999987</v>
      </c>
      <c r="H300" s="4">
        <f t="shared" si="30"/>
        <v>102.7</v>
      </c>
      <c r="I300" s="42" t="s">
        <v>36</v>
      </c>
      <c r="J300" s="4">
        <v>0</v>
      </c>
      <c r="K300" s="4">
        <v>495.60000000000019</v>
      </c>
      <c r="L300" s="4">
        <v>2.8</v>
      </c>
      <c r="M300" s="4">
        <v>449.5999999999998</v>
      </c>
      <c r="N300" s="8">
        <v>-2.8</v>
      </c>
      <c r="O300" s="4">
        <f t="shared" si="27"/>
        <v>90.899999999999963</v>
      </c>
      <c r="P300" s="4">
        <v>295</v>
      </c>
      <c r="Q300" s="11">
        <f t="shared" si="29"/>
        <v>0.79590163934426217</v>
      </c>
      <c r="R300" s="9">
        <f t="shared" si="25"/>
        <v>2.2285245901639339</v>
      </c>
      <c r="S300" s="9">
        <f t="shared" si="26"/>
        <v>-2.2285245901639339</v>
      </c>
      <c r="T300" s="9">
        <f t="shared" si="28"/>
        <v>56.886243169398796</v>
      </c>
      <c r="U300" s="42" t="s">
        <v>37</v>
      </c>
      <c r="V300" s="4">
        <v>1906.9</v>
      </c>
      <c r="W300" s="4">
        <v>147.8217054263566</v>
      </c>
      <c r="X300" s="4">
        <v>252280.59999999992</v>
      </c>
      <c r="Y300" s="4">
        <f t="shared" si="31"/>
        <v>9333.9</v>
      </c>
      <c r="AA300" s="4">
        <v>16.314698491182799</v>
      </c>
    </row>
    <row r="301" spans="1:27" s="4" customFormat="1" x14ac:dyDescent="0.25">
      <c r="A301" s="66"/>
      <c r="B301" s="5"/>
      <c r="C301" s="6">
        <v>42179</v>
      </c>
      <c r="D301" s="4">
        <v>15.6</v>
      </c>
      <c r="E301" s="4">
        <v>7.9</v>
      </c>
      <c r="F301" s="4">
        <v>21.1</v>
      </c>
      <c r="G301" s="4">
        <v>2726.4999999999986</v>
      </c>
      <c r="H301" s="4">
        <f t="shared" si="30"/>
        <v>118.3</v>
      </c>
      <c r="I301" s="4">
        <v>0</v>
      </c>
      <c r="J301" s="4">
        <v>0</v>
      </c>
      <c r="K301" s="4">
        <v>495.60000000000019</v>
      </c>
      <c r="L301" s="4">
        <v>2.4</v>
      </c>
      <c r="M301" s="4">
        <v>451.99999999999977</v>
      </c>
      <c r="N301" s="8">
        <v>-2.4</v>
      </c>
      <c r="O301" s="4">
        <f t="shared" si="27"/>
        <v>88.499999999999957</v>
      </c>
      <c r="P301" s="4">
        <v>296</v>
      </c>
      <c r="Q301" s="11">
        <f t="shared" si="29"/>
        <v>0.78278688524590156</v>
      </c>
      <c r="R301" s="9">
        <f t="shared" si="25"/>
        <v>1.8786885245901637</v>
      </c>
      <c r="S301" s="9">
        <f t="shared" si="26"/>
        <v>-1.8786885245901637</v>
      </c>
      <c r="T301" s="9">
        <f t="shared" si="28"/>
        <v>55.007554644808636</v>
      </c>
      <c r="U301" s="9">
        <f>MIN(T294:T316)</f>
        <v>17.337226775956175</v>
      </c>
      <c r="V301" s="4">
        <v>1513.8</v>
      </c>
      <c r="W301" s="4">
        <v>97.038461538461533</v>
      </c>
      <c r="X301" s="4">
        <v>253794.39999999991</v>
      </c>
      <c r="Y301" s="4">
        <f t="shared" si="31"/>
        <v>10847.699999999999</v>
      </c>
      <c r="AA301" s="4">
        <v>16.312400575227699</v>
      </c>
    </row>
    <row r="302" spans="1:27" s="4" customFormat="1" x14ac:dyDescent="0.25">
      <c r="A302" s="66"/>
      <c r="B302" s="5"/>
      <c r="C302" s="6">
        <v>42180</v>
      </c>
      <c r="D302" s="4">
        <v>19.5</v>
      </c>
      <c r="E302" s="4">
        <v>13.2</v>
      </c>
      <c r="F302" s="12">
        <v>25.4</v>
      </c>
      <c r="G302" s="4">
        <v>2745.9999999999986</v>
      </c>
      <c r="H302" s="4">
        <f t="shared" si="30"/>
        <v>137.80000000000001</v>
      </c>
      <c r="I302" s="42" t="s">
        <v>38</v>
      </c>
      <c r="J302" s="4">
        <v>0</v>
      </c>
      <c r="K302" s="4">
        <v>495.60000000000019</v>
      </c>
      <c r="L302" s="4">
        <v>4.0999999999999996</v>
      </c>
      <c r="M302" s="4">
        <v>456.0999999999998</v>
      </c>
      <c r="N302" s="8">
        <v>-4.0999999999999996</v>
      </c>
      <c r="O302" s="4">
        <f t="shared" si="27"/>
        <v>84.399999999999963</v>
      </c>
      <c r="P302" s="4">
        <v>297</v>
      </c>
      <c r="Q302" s="11">
        <f t="shared" si="29"/>
        <v>0.76967213114754096</v>
      </c>
      <c r="R302" s="9">
        <f t="shared" si="25"/>
        <v>3.1556557377049175</v>
      </c>
      <c r="S302" s="9">
        <f t="shared" si="26"/>
        <v>-3.1556557377049175</v>
      </c>
      <c r="T302" s="9">
        <f t="shared" si="28"/>
        <v>51.851898907103717</v>
      </c>
      <c r="U302" s="42" t="s">
        <v>39</v>
      </c>
      <c r="V302" s="4">
        <v>2193.1999999999998</v>
      </c>
      <c r="W302" s="4">
        <v>112.47179487179486</v>
      </c>
      <c r="X302" s="4">
        <v>255987.59999999992</v>
      </c>
      <c r="Y302" s="4">
        <f t="shared" si="31"/>
        <v>13040.899999999998</v>
      </c>
      <c r="AA302" s="4">
        <v>16.308574218940901</v>
      </c>
    </row>
    <row r="303" spans="1:27" s="4" customFormat="1" x14ac:dyDescent="0.25">
      <c r="A303" s="66"/>
      <c r="B303" s="5"/>
      <c r="C303" s="6">
        <v>42181</v>
      </c>
      <c r="D303" s="4">
        <v>20.5</v>
      </c>
      <c r="E303" s="4">
        <v>14</v>
      </c>
      <c r="F303" s="12">
        <v>27</v>
      </c>
      <c r="G303" s="4">
        <v>2766.4999999999986</v>
      </c>
      <c r="H303" s="4">
        <f t="shared" si="30"/>
        <v>158.30000000000001</v>
      </c>
      <c r="I303" s="4">
        <v>7</v>
      </c>
      <c r="J303" s="4">
        <v>0</v>
      </c>
      <c r="K303" s="4">
        <v>495.60000000000019</v>
      </c>
      <c r="L303" s="4">
        <v>3.8</v>
      </c>
      <c r="M303" s="4">
        <v>459.89999999999981</v>
      </c>
      <c r="N303" s="8">
        <v>-3.8</v>
      </c>
      <c r="O303" s="4">
        <f t="shared" si="27"/>
        <v>80.599999999999966</v>
      </c>
      <c r="P303" s="4">
        <v>298</v>
      </c>
      <c r="Q303" s="11">
        <f t="shared" si="29"/>
        <v>0.75655737704918025</v>
      </c>
      <c r="R303" s="9">
        <f t="shared" si="25"/>
        <v>2.8749180327868848</v>
      </c>
      <c r="S303" s="9">
        <f t="shared" si="26"/>
        <v>-2.8749180327868848</v>
      </c>
      <c r="T303" s="9">
        <f t="shared" si="28"/>
        <v>48.97698087431683</v>
      </c>
      <c r="U303" s="9">
        <f>MAX(T294:T316)</f>
        <v>59.114767759562731</v>
      </c>
      <c r="V303" s="4">
        <v>1815.9</v>
      </c>
      <c r="W303" s="4">
        <v>88.580487804878047</v>
      </c>
      <c r="X303" s="4">
        <v>257803.49999999991</v>
      </c>
      <c r="Y303" s="4">
        <f t="shared" si="31"/>
        <v>14856.799999999997</v>
      </c>
      <c r="AA303" s="4">
        <v>16.303224165769201</v>
      </c>
    </row>
    <row r="304" spans="1:27" s="4" customFormat="1" x14ac:dyDescent="0.25">
      <c r="A304" s="66"/>
      <c r="B304" s="5"/>
      <c r="C304" s="6">
        <v>42182</v>
      </c>
      <c r="D304" s="4">
        <v>17.2</v>
      </c>
      <c r="E304" s="4">
        <v>15.5</v>
      </c>
      <c r="F304" s="4">
        <v>20.7</v>
      </c>
      <c r="G304" s="4">
        <v>2783.6999999999985</v>
      </c>
      <c r="H304" s="4">
        <f t="shared" si="30"/>
        <v>175.5</v>
      </c>
      <c r="I304" s="42" t="s">
        <v>40</v>
      </c>
      <c r="J304" s="4">
        <v>0</v>
      </c>
      <c r="K304" s="4">
        <v>495.60000000000019</v>
      </c>
      <c r="L304" s="4">
        <v>5.4</v>
      </c>
      <c r="M304" s="4">
        <v>465.29999999999978</v>
      </c>
      <c r="N304" s="8">
        <v>-5.4</v>
      </c>
      <c r="O304" s="4">
        <f t="shared" si="27"/>
        <v>75.19999999999996</v>
      </c>
      <c r="P304" s="4">
        <v>299</v>
      </c>
      <c r="Q304" s="11">
        <f t="shared" si="29"/>
        <v>0.74344262295081953</v>
      </c>
      <c r="R304" s="9">
        <f t="shared" si="25"/>
        <v>4.0145901639344261</v>
      </c>
      <c r="S304" s="9">
        <f t="shared" si="26"/>
        <v>-4.0145901639344261</v>
      </c>
      <c r="T304" s="9">
        <f t="shared" si="28"/>
        <v>44.962390710382401</v>
      </c>
      <c r="U304" s="42" t="s">
        <v>41</v>
      </c>
      <c r="V304" s="4">
        <v>2757.4</v>
      </c>
      <c r="W304" s="4">
        <v>160.31395348837211</v>
      </c>
      <c r="X304" s="4">
        <v>260560.89999999991</v>
      </c>
      <c r="Y304" s="4">
        <f t="shared" si="31"/>
        <v>17614.199999999997</v>
      </c>
      <c r="AA304" s="4">
        <v>16.296356801458401</v>
      </c>
    </row>
    <row r="305" spans="1:27" s="4" customFormat="1" x14ac:dyDescent="0.25">
      <c r="A305" s="66"/>
      <c r="B305" s="5"/>
      <c r="C305" s="6">
        <v>42183</v>
      </c>
      <c r="D305" s="4">
        <v>18.399999999999999</v>
      </c>
      <c r="E305" s="4">
        <v>10.4</v>
      </c>
      <c r="F305" s="4">
        <v>24.5</v>
      </c>
      <c r="G305" s="4">
        <v>2802.0999999999985</v>
      </c>
      <c r="H305" s="4">
        <f t="shared" si="30"/>
        <v>193.9</v>
      </c>
      <c r="I305" s="4">
        <v>0</v>
      </c>
      <c r="J305" s="4">
        <v>0</v>
      </c>
      <c r="K305" s="4">
        <v>495.60000000000019</v>
      </c>
      <c r="L305" s="4">
        <v>4.4000000000000004</v>
      </c>
      <c r="M305" s="4">
        <v>469.69999999999976</v>
      </c>
      <c r="N305" s="8">
        <v>-4.4000000000000004</v>
      </c>
      <c r="O305" s="4">
        <f t="shared" si="27"/>
        <v>70.799999999999955</v>
      </c>
      <c r="P305" s="4">
        <v>300</v>
      </c>
      <c r="Q305" s="11">
        <f t="shared" si="29"/>
        <v>0.73032786885245893</v>
      </c>
      <c r="R305" s="9">
        <f t="shared" si="25"/>
        <v>3.2134426229508195</v>
      </c>
      <c r="S305" s="9">
        <f t="shared" si="26"/>
        <v>-3.2134426229508195</v>
      </c>
      <c r="T305" s="9">
        <f t="shared" si="28"/>
        <v>41.748948087431579</v>
      </c>
      <c r="U305" s="11">
        <f>AVERAGE(T294:T316)</f>
        <v>37.313295913518544</v>
      </c>
      <c r="V305" s="4">
        <v>2417.6</v>
      </c>
      <c r="W305" s="4">
        <v>131.39130434782609</v>
      </c>
      <c r="X305" s="4">
        <v>262978.49999999988</v>
      </c>
      <c r="Y305" s="4">
        <f t="shared" si="31"/>
        <v>20031.799999999996</v>
      </c>
      <c r="AA305" s="4">
        <v>16.2879801278877</v>
      </c>
    </row>
    <row r="306" spans="1:27" s="4" customFormat="1" x14ac:dyDescent="0.25">
      <c r="A306" s="66"/>
      <c r="B306" s="5"/>
      <c r="C306" s="6">
        <v>42184</v>
      </c>
      <c r="D306" s="4">
        <v>18.899999999999999</v>
      </c>
      <c r="E306" s="4">
        <v>14.6</v>
      </c>
      <c r="F306" s="4">
        <v>23.7</v>
      </c>
      <c r="G306" s="4">
        <v>2820.9999999999986</v>
      </c>
      <c r="H306" s="4">
        <f t="shared" si="30"/>
        <v>212.8</v>
      </c>
      <c r="I306" s="42" t="s">
        <v>42</v>
      </c>
      <c r="J306" s="4">
        <v>0</v>
      </c>
      <c r="K306" s="4">
        <v>495.60000000000019</v>
      </c>
      <c r="L306" s="4">
        <v>5.3</v>
      </c>
      <c r="M306" s="4">
        <v>474.99999999999977</v>
      </c>
      <c r="N306" s="8">
        <v>-5.3</v>
      </c>
      <c r="O306" s="4">
        <f t="shared" si="27"/>
        <v>65.499999999999957</v>
      </c>
      <c r="P306" s="4">
        <v>301</v>
      </c>
      <c r="Q306" s="11">
        <f t="shared" si="29"/>
        <v>0.71721311475409832</v>
      </c>
      <c r="R306" s="9">
        <f t="shared" si="25"/>
        <v>3.8012295081967209</v>
      </c>
      <c r="S306" s="9">
        <f t="shared" si="26"/>
        <v>-3.8012295081967209</v>
      </c>
      <c r="T306" s="9">
        <f t="shared" si="28"/>
        <v>37.947718579234859</v>
      </c>
      <c r="U306" s="4">
        <f>(U305*100)/189.6</f>
        <v>19.680008393205984</v>
      </c>
      <c r="V306" s="4">
        <v>2792</v>
      </c>
      <c r="W306" s="4">
        <v>147.72486772486775</v>
      </c>
      <c r="X306" s="4">
        <v>265770.49999999988</v>
      </c>
      <c r="Y306" s="4">
        <f t="shared" si="31"/>
        <v>22823.799999999996</v>
      </c>
      <c r="AA306" s="4">
        <v>16.278103730499399</v>
      </c>
    </row>
    <row r="307" spans="1:27" s="4" customFormat="1" x14ac:dyDescent="0.25">
      <c r="A307" s="66"/>
      <c r="B307" s="5"/>
      <c r="C307" s="6">
        <v>42185</v>
      </c>
      <c r="D307" s="4">
        <v>21.7</v>
      </c>
      <c r="E307" s="4">
        <v>12.6</v>
      </c>
      <c r="F307" s="12">
        <v>29.4</v>
      </c>
      <c r="G307" s="4">
        <v>2842.6999999999985</v>
      </c>
      <c r="H307" s="4">
        <f t="shared" si="30"/>
        <v>234.5</v>
      </c>
      <c r="I307" s="4">
        <v>414.7</v>
      </c>
      <c r="J307" s="4">
        <v>0</v>
      </c>
      <c r="K307" s="4">
        <v>495.60000000000019</v>
      </c>
      <c r="L307" s="4">
        <v>6.8</v>
      </c>
      <c r="M307" s="4">
        <v>481.79999999999978</v>
      </c>
      <c r="N307" s="8">
        <v>-6.8</v>
      </c>
      <c r="O307" s="4">
        <f t="shared" si="27"/>
        <v>58.69999999999996</v>
      </c>
      <c r="P307" s="4">
        <v>302</v>
      </c>
      <c r="Q307" s="11">
        <f t="shared" si="29"/>
        <v>0.70409836065573761</v>
      </c>
      <c r="R307" s="9">
        <f t="shared" si="25"/>
        <v>4.7878688524590158</v>
      </c>
      <c r="S307" s="9">
        <f t="shared" si="26"/>
        <v>-4.7878688524590158</v>
      </c>
      <c r="T307" s="9">
        <f t="shared" si="28"/>
        <v>33.159849726775846</v>
      </c>
      <c r="V307" s="4">
        <v>3105.8</v>
      </c>
      <c r="W307" s="4">
        <v>143.12442396313367</v>
      </c>
      <c r="X307" s="4">
        <v>268876.29999999987</v>
      </c>
      <c r="Y307" s="4">
        <f t="shared" si="31"/>
        <v>25929.599999999995</v>
      </c>
      <c r="AA307" s="4">
        <v>16.266738739605</v>
      </c>
    </row>
    <row r="308" spans="1:27" s="4" customFormat="1" x14ac:dyDescent="0.25">
      <c r="A308" s="66"/>
      <c r="B308" s="5"/>
      <c r="C308" s="6">
        <v>42186</v>
      </c>
      <c r="D308" s="4">
        <v>25.8</v>
      </c>
      <c r="E308" s="4">
        <v>14.9</v>
      </c>
      <c r="F308" s="12">
        <v>33.4</v>
      </c>
      <c r="G308" s="4">
        <v>2868.4999999999986</v>
      </c>
      <c r="H308" s="4">
        <f t="shared" si="30"/>
        <v>260.3</v>
      </c>
      <c r="J308" s="4">
        <v>0</v>
      </c>
      <c r="K308" s="4">
        <v>495.60000000000019</v>
      </c>
      <c r="L308" s="4">
        <v>6.9</v>
      </c>
      <c r="M308" s="4">
        <v>488.69999999999976</v>
      </c>
      <c r="N308" s="8">
        <v>-6.9</v>
      </c>
      <c r="O308" s="4">
        <f t="shared" si="27"/>
        <v>51.799999999999962</v>
      </c>
      <c r="P308" s="4">
        <v>303</v>
      </c>
      <c r="Q308" s="11">
        <f t="shared" si="29"/>
        <v>0.69098360655737701</v>
      </c>
      <c r="R308" s="9">
        <f t="shared" si="25"/>
        <v>4.7677868852459016</v>
      </c>
      <c r="S308" s="9">
        <f t="shared" si="26"/>
        <v>-4.7677868852459016</v>
      </c>
      <c r="T308" s="9">
        <f t="shared" si="28"/>
        <v>28.392062841529945</v>
      </c>
      <c r="V308" s="4">
        <v>2972</v>
      </c>
      <c r="W308" s="4">
        <v>115.1937984496124</v>
      </c>
      <c r="X308" s="4">
        <v>271848.29999999987</v>
      </c>
      <c r="Y308" s="4">
        <f t="shared" si="31"/>
        <v>28901.599999999995</v>
      </c>
      <c r="AA308" s="4">
        <v>16.2538977858922</v>
      </c>
    </row>
    <row r="309" spans="1:27" s="4" customFormat="1" x14ac:dyDescent="0.25">
      <c r="A309" s="66"/>
      <c r="B309" s="5"/>
      <c r="C309" s="6">
        <v>42187</v>
      </c>
      <c r="D309" s="4">
        <v>22</v>
      </c>
      <c r="E309" s="4">
        <v>18.600000000000001</v>
      </c>
      <c r="F309" s="12">
        <v>26.4</v>
      </c>
      <c r="G309" s="4">
        <v>2890.4999999999986</v>
      </c>
      <c r="H309" s="4">
        <f t="shared" si="30"/>
        <v>282.3</v>
      </c>
      <c r="J309" s="4">
        <v>4.2</v>
      </c>
      <c r="K309" s="4">
        <v>499.80000000000018</v>
      </c>
      <c r="L309" s="4">
        <v>5.4</v>
      </c>
      <c r="M309" s="4">
        <v>494.09999999999974</v>
      </c>
      <c r="N309" s="8">
        <v>-1.2000000000000002</v>
      </c>
      <c r="O309" s="4">
        <f t="shared" si="27"/>
        <v>50.599999999999959</v>
      </c>
      <c r="P309" s="4">
        <v>304</v>
      </c>
      <c r="Q309" s="11">
        <f t="shared" si="29"/>
        <v>0.6778688524590164</v>
      </c>
      <c r="R309" s="9">
        <f t="shared" si="25"/>
        <v>3.6604918032786888</v>
      </c>
      <c r="S309" s="9">
        <f t="shared" si="26"/>
        <v>0.53950819672131134</v>
      </c>
      <c r="T309" s="9">
        <f t="shared" si="28"/>
        <v>28.931571038251256</v>
      </c>
      <c r="V309" s="4">
        <v>2555.5</v>
      </c>
      <c r="W309" s="4">
        <v>116.15909090909091</v>
      </c>
      <c r="X309" s="4">
        <v>274403.79999999987</v>
      </c>
      <c r="Y309" s="4">
        <f t="shared" si="31"/>
        <v>31457.099999999995</v>
      </c>
      <c r="AA309" s="4">
        <v>16.239594950505701</v>
      </c>
    </row>
    <row r="310" spans="1:27" s="4" customFormat="1" x14ac:dyDescent="0.25">
      <c r="A310" s="66"/>
      <c r="B310" s="5"/>
      <c r="C310" s="6">
        <v>42188</v>
      </c>
      <c r="D310" s="4">
        <v>23.9</v>
      </c>
      <c r="E310" s="4">
        <v>16.600000000000001</v>
      </c>
      <c r="F310" s="12">
        <v>30.4</v>
      </c>
      <c r="G310" s="4">
        <v>2914.3999999999987</v>
      </c>
      <c r="H310" s="4">
        <f t="shared" si="30"/>
        <v>306.2</v>
      </c>
      <c r="J310" s="4">
        <v>0</v>
      </c>
      <c r="K310" s="4">
        <v>499.80000000000018</v>
      </c>
      <c r="L310" s="4">
        <v>6</v>
      </c>
      <c r="M310" s="4">
        <v>500.09999999999974</v>
      </c>
      <c r="N310" s="8">
        <v>-6</v>
      </c>
      <c r="O310" s="4">
        <f t="shared" si="27"/>
        <v>44.599999999999959</v>
      </c>
      <c r="P310" s="4">
        <v>305</v>
      </c>
      <c r="Q310" s="11">
        <f t="shared" si="29"/>
        <v>0.66475409836065569</v>
      </c>
      <c r="R310" s="9">
        <f t="shared" si="25"/>
        <v>3.9885245901639341</v>
      </c>
      <c r="S310" s="9">
        <f t="shared" si="26"/>
        <v>-3.9885245901639341</v>
      </c>
      <c r="T310" s="9">
        <f t="shared" si="28"/>
        <v>24.943046448087323</v>
      </c>
      <c r="V310" s="4">
        <v>2798.2</v>
      </c>
      <c r="W310" s="4">
        <v>117.07949790794979</v>
      </c>
      <c r="X310" s="4">
        <v>277201.99999999988</v>
      </c>
      <c r="Y310" s="4">
        <f t="shared" si="31"/>
        <v>34255.299999999996</v>
      </c>
      <c r="AA310" s="4">
        <v>16.2238457101089</v>
      </c>
    </row>
    <row r="311" spans="1:27" s="25" customFormat="1" x14ac:dyDescent="0.25">
      <c r="A311" s="66"/>
      <c r="B311" s="24"/>
      <c r="C311" s="6">
        <v>42189</v>
      </c>
      <c r="D311" s="25">
        <v>23.3</v>
      </c>
      <c r="E311" s="25">
        <v>22.1</v>
      </c>
      <c r="F311" s="25">
        <v>26.2</v>
      </c>
      <c r="G311" s="25">
        <v>2937.6999999999989</v>
      </c>
      <c r="H311" s="25">
        <f t="shared" si="30"/>
        <v>329.5</v>
      </c>
      <c r="J311" s="25">
        <v>0</v>
      </c>
      <c r="K311" s="25">
        <v>499.80000000000018</v>
      </c>
      <c r="L311" s="25">
        <v>4.0999999999999996</v>
      </c>
      <c r="M311" s="25">
        <v>504.19999999999976</v>
      </c>
      <c r="N311" s="25">
        <v>-4.0999999999999996</v>
      </c>
      <c r="O311" s="25">
        <f t="shared" si="27"/>
        <v>40.499999999999957</v>
      </c>
      <c r="P311" s="25">
        <v>306</v>
      </c>
      <c r="Q311" s="11">
        <f t="shared" si="29"/>
        <v>0.65163934426229497</v>
      </c>
      <c r="R311" s="26">
        <f t="shared" si="25"/>
        <v>2.6717213114754093</v>
      </c>
      <c r="S311" s="26">
        <f t="shared" si="26"/>
        <v>-2.6717213114754093</v>
      </c>
      <c r="T311" s="9">
        <f t="shared" si="28"/>
        <v>22.271325136611914</v>
      </c>
      <c r="V311" s="25">
        <v>1741.8</v>
      </c>
      <c r="W311" s="25">
        <v>74.75536480686695</v>
      </c>
      <c r="X311" s="25">
        <v>278943.79999999987</v>
      </c>
      <c r="Y311" s="4">
        <f t="shared" si="31"/>
        <v>35997.1</v>
      </c>
      <c r="AA311" s="4">
        <v>16.206666877370399</v>
      </c>
    </row>
    <row r="312" spans="1:27" s="4" customFormat="1" x14ac:dyDescent="0.25">
      <c r="A312" s="66"/>
      <c r="B312" s="43"/>
      <c r="C312" s="6">
        <v>42190</v>
      </c>
      <c r="D312" s="4">
        <v>17.399999999999999</v>
      </c>
      <c r="E312" s="4">
        <v>16.5</v>
      </c>
      <c r="F312" s="4">
        <v>19.3</v>
      </c>
      <c r="G312" s="4">
        <v>2955.099999999999</v>
      </c>
      <c r="H312" s="4">
        <f t="shared" si="30"/>
        <v>346.9</v>
      </c>
      <c r="J312" s="4">
        <v>0</v>
      </c>
      <c r="K312" s="4">
        <v>499.80000000000018</v>
      </c>
      <c r="L312" s="4">
        <v>3.1</v>
      </c>
      <c r="M312" s="4">
        <v>507.29999999999978</v>
      </c>
      <c r="N312" s="8">
        <v>-3.1</v>
      </c>
      <c r="O312" s="4">
        <f t="shared" si="27"/>
        <v>37.399999999999956</v>
      </c>
      <c r="P312" s="4">
        <v>307</v>
      </c>
      <c r="Q312" s="11">
        <f t="shared" si="29"/>
        <v>0.63852459016393437</v>
      </c>
      <c r="R312" s="9">
        <f t="shared" si="25"/>
        <v>1.9794262295081966</v>
      </c>
      <c r="S312" s="9">
        <f t="shared" si="26"/>
        <v>-1.9794262295081966</v>
      </c>
      <c r="T312" s="9">
        <f t="shared" si="28"/>
        <v>20.291898907103718</v>
      </c>
      <c r="V312" s="4">
        <v>1513.7</v>
      </c>
      <c r="W312" s="4">
        <v>86.994252873563227</v>
      </c>
      <c r="X312" s="4">
        <v>280457.49999999988</v>
      </c>
      <c r="Y312" s="4">
        <f t="shared" si="31"/>
        <v>37510.799999999996</v>
      </c>
      <c r="AA312" s="4">
        <v>16.188076537341999</v>
      </c>
    </row>
    <row r="313" spans="1:27" s="4" customFormat="1" x14ac:dyDescent="0.25">
      <c r="A313" s="66"/>
      <c r="B313" s="43"/>
      <c r="C313" s="6">
        <v>42191</v>
      </c>
      <c r="D313" s="4">
        <v>19.899999999999999</v>
      </c>
      <c r="E313" s="4">
        <v>11.2</v>
      </c>
      <c r="F313" s="12">
        <v>27.3</v>
      </c>
      <c r="G313" s="4">
        <v>2974.9999999999991</v>
      </c>
      <c r="H313" s="4">
        <f t="shared" si="30"/>
        <v>366.79999999999995</v>
      </c>
      <c r="J313" s="4">
        <v>0</v>
      </c>
      <c r="K313" s="4">
        <v>499.80000000000018</v>
      </c>
      <c r="L313" s="4">
        <v>4.7</v>
      </c>
      <c r="M313" s="4">
        <v>511.99999999999977</v>
      </c>
      <c r="N313" s="8">
        <v>-4.7</v>
      </c>
      <c r="O313" s="4">
        <f t="shared" si="27"/>
        <v>32.699999999999953</v>
      </c>
      <c r="P313" s="4">
        <v>308</v>
      </c>
      <c r="Q313" s="11">
        <f t="shared" si="29"/>
        <v>0.62540983606557377</v>
      </c>
      <c r="R313" s="9">
        <f t="shared" si="25"/>
        <v>2.939426229508197</v>
      </c>
      <c r="S313" s="9">
        <f t="shared" si="26"/>
        <v>-2.939426229508197</v>
      </c>
      <c r="T313" s="9">
        <f t="shared" si="28"/>
        <v>17.352472677595522</v>
      </c>
      <c r="V313" s="4">
        <v>2306.4</v>
      </c>
      <c r="W313" s="4">
        <v>115.8994974874372</v>
      </c>
      <c r="X313" s="4">
        <v>282763.89999999991</v>
      </c>
      <c r="Y313" s="4">
        <f t="shared" si="31"/>
        <v>39817.199999999997</v>
      </c>
      <c r="AA313" s="4">
        <v>16.168093980218099</v>
      </c>
    </row>
    <row r="314" spans="1:27" s="4" customFormat="1" x14ac:dyDescent="0.25">
      <c r="A314" s="66"/>
      <c r="B314" s="43"/>
      <c r="C314" s="6">
        <v>42192</v>
      </c>
      <c r="D314" s="4">
        <v>17.3</v>
      </c>
      <c r="E314" s="4">
        <v>14.3</v>
      </c>
      <c r="F314" s="4">
        <v>22.7</v>
      </c>
      <c r="G314" s="4">
        <v>2992.2999999999993</v>
      </c>
      <c r="H314" s="4">
        <f t="shared" si="30"/>
        <v>384.09999999999997</v>
      </c>
      <c r="J314" s="4">
        <v>3.8</v>
      </c>
      <c r="K314" s="4">
        <v>503.60000000000019</v>
      </c>
      <c r="L314" s="4">
        <v>2.9</v>
      </c>
      <c r="M314" s="4">
        <v>514.89999999999975</v>
      </c>
      <c r="N314" s="4">
        <v>0.89999999999999991</v>
      </c>
      <c r="O314" s="4">
        <f t="shared" si="27"/>
        <v>33.599999999999952</v>
      </c>
      <c r="P314" s="4">
        <v>309</v>
      </c>
      <c r="Q314" s="11">
        <f t="shared" si="29"/>
        <v>0.61229508196721305</v>
      </c>
      <c r="R314" s="9">
        <f t="shared" si="25"/>
        <v>1.7756557377049178</v>
      </c>
      <c r="S314" s="9">
        <f t="shared" si="26"/>
        <v>2.0243442622950818</v>
      </c>
      <c r="T314" s="9">
        <f t="shared" si="28"/>
        <v>19.376816939890602</v>
      </c>
      <c r="V314" s="4">
        <v>1209.2</v>
      </c>
      <c r="W314" s="4">
        <v>69.895953757225428</v>
      </c>
      <c r="X314" s="4">
        <v>283973.09999999992</v>
      </c>
      <c r="Y314" s="4">
        <f t="shared" si="31"/>
        <v>41026.399999999994</v>
      </c>
      <c r="AA314" s="4">
        <v>16.1467396309795</v>
      </c>
    </row>
    <row r="315" spans="1:27" s="4" customFormat="1" x14ac:dyDescent="0.25">
      <c r="A315" s="66"/>
      <c r="B315" s="43"/>
      <c r="C315" s="6">
        <v>42193</v>
      </c>
      <c r="D315" s="4">
        <v>15.3</v>
      </c>
      <c r="E315" s="4">
        <v>12.2</v>
      </c>
      <c r="F315" s="4">
        <v>17.899999999999999</v>
      </c>
      <c r="G315" s="4">
        <v>3007.5999999999995</v>
      </c>
      <c r="H315" s="4">
        <f t="shared" si="30"/>
        <v>399.4</v>
      </c>
      <c r="J315" s="4">
        <v>1.8</v>
      </c>
      <c r="K315" s="4">
        <v>505.4000000000002</v>
      </c>
      <c r="L315" s="4">
        <v>2.2999999999999998</v>
      </c>
      <c r="M315" s="4">
        <v>517.1999999999997</v>
      </c>
      <c r="N315" s="8">
        <v>-0.49999999999999978</v>
      </c>
      <c r="O315" s="4">
        <f t="shared" si="27"/>
        <v>33.099999999999952</v>
      </c>
      <c r="P315" s="4">
        <v>310</v>
      </c>
      <c r="Q315" s="11">
        <f t="shared" si="29"/>
        <v>0.59918032786885245</v>
      </c>
      <c r="R315" s="9">
        <f t="shared" si="25"/>
        <v>1.3781147540983605</v>
      </c>
      <c r="S315" s="9">
        <f t="shared" si="26"/>
        <v>0.42188524590163956</v>
      </c>
      <c r="T315" s="9">
        <f t="shared" si="28"/>
        <v>19.798702185792241</v>
      </c>
      <c r="V315" s="4">
        <v>1092.0999999999999</v>
      </c>
      <c r="W315" s="4">
        <v>71.379084967320253</v>
      </c>
      <c r="X315" s="4">
        <v>285065.1999999999</v>
      </c>
      <c r="Y315" s="4">
        <f t="shared" si="31"/>
        <v>42118.499999999993</v>
      </c>
      <c r="AA315" s="4">
        <v>16.124034976432402</v>
      </c>
    </row>
    <row r="316" spans="1:27" s="17" customFormat="1" x14ac:dyDescent="0.25">
      <c r="A316" s="66"/>
      <c r="B316" s="28">
        <v>1000</v>
      </c>
      <c r="C316" s="29">
        <v>42194</v>
      </c>
      <c r="D316" s="17">
        <v>15.3</v>
      </c>
      <c r="E316" s="17">
        <v>13.4</v>
      </c>
      <c r="F316" s="17">
        <v>18.899999999999999</v>
      </c>
      <c r="G316" s="17">
        <v>3022.8999999999996</v>
      </c>
      <c r="H316" s="17">
        <f t="shared" si="30"/>
        <v>414.7</v>
      </c>
      <c r="J316" s="17">
        <v>0</v>
      </c>
      <c r="K316" s="17">
        <v>505.4000000000002</v>
      </c>
      <c r="L316" s="17">
        <v>4.2</v>
      </c>
      <c r="M316" s="17">
        <v>521.39999999999975</v>
      </c>
      <c r="N316" s="31">
        <v>-4.2</v>
      </c>
      <c r="O316" s="17">
        <f t="shared" si="27"/>
        <v>28.899999999999952</v>
      </c>
      <c r="P316" s="17">
        <v>311</v>
      </c>
      <c r="Q316" s="11">
        <f t="shared" si="29"/>
        <v>0.58606557377049173</v>
      </c>
      <c r="R316" s="18">
        <f t="shared" si="25"/>
        <v>2.4614754098360652</v>
      </c>
      <c r="S316" s="18">
        <f t="shared" si="26"/>
        <v>-2.4614754098360652</v>
      </c>
      <c r="T316" s="9">
        <f t="shared" si="28"/>
        <v>17.337226775956175</v>
      </c>
      <c r="V316" s="17">
        <v>2118.6999999999998</v>
      </c>
      <c r="W316" s="17">
        <v>138.47712418300651</v>
      </c>
      <c r="X316" s="17">
        <v>287183.89999999991</v>
      </c>
      <c r="Y316" s="4">
        <f t="shared" si="31"/>
        <v>44237.19999999999</v>
      </c>
      <c r="AA316" s="4">
        <v>16.100002490156001</v>
      </c>
    </row>
  </sheetData>
  <mergeCells count="13">
    <mergeCell ref="A294:A316"/>
    <mergeCell ref="A5:Z5"/>
    <mergeCell ref="A6:A94"/>
    <mergeCell ref="A95:A192"/>
    <mergeCell ref="A193:A228"/>
    <mergeCell ref="A250:A273"/>
    <mergeCell ref="A274:A293"/>
    <mergeCell ref="D1:I2"/>
    <mergeCell ref="J1:U2"/>
    <mergeCell ref="V1:Z2"/>
    <mergeCell ref="P3:T3"/>
    <mergeCell ref="G4:H4"/>
    <mergeCell ref="X4:Y4"/>
  </mergeCells>
  <conditionalFormatting sqref="T1:T4">
    <cfRule type="cellIs" dxfId="9" priority="4" operator="equal">
      <formula>0</formula>
    </cfRule>
    <cfRule type="cellIs" dxfId="8" priority="5" operator="lessThanOrEqual">
      <formula>63.2</formula>
    </cfRule>
  </conditionalFormatting>
  <conditionalFormatting sqref="S6:S316">
    <cfRule type="cellIs" dxfId="7" priority="3" operator="lessThanOrEqual">
      <formula>0</formula>
    </cfRule>
  </conditionalFormatting>
  <conditionalFormatting sqref="T5:T316">
    <cfRule type="cellIs" dxfId="6" priority="1" operator="equal">
      <formula>0</formula>
    </cfRule>
    <cfRule type="cellIs" dxfId="5" priority="2" operator="lessThanOrEqual">
      <formula>63.2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16"/>
  <sheetViews>
    <sheetView topLeftCell="A166" zoomScale="70" zoomScaleNormal="70" workbookViewId="0">
      <selection activeCell="AB189" sqref="AB189"/>
    </sheetView>
  </sheetViews>
  <sheetFormatPr baseColWidth="10" defaultRowHeight="15" x14ac:dyDescent="0.25"/>
  <sheetData>
    <row r="1" spans="1:27" x14ac:dyDescent="0.25">
      <c r="B1" s="1"/>
      <c r="D1" s="64" t="s">
        <v>0</v>
      </c>
      <c r="E1" s="64"/>
      <c r="F1" s="64"/>
      <c r="G1" s="64"/>
      <c r="H1" s="64"/>
      <c r="I1" s="64"/>
      <c r="J1" s="64" t="s">
        <v>1</v>
      </c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 t="s">
        <v>2</v>
      </c>
      <c r="W1" s="64"/>
      <c r="X1" s="64"/>
      <c r="Y1" s="64"/>
      <c r="Z1" s="64"/>
    </row>
    <row r="2" spans="1:27" x14ac:dyDescent="0.25">
      <c r="B2" s="1"/>
      <c r="C2" s="2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64"/>
      <c r="Q2" s="64"/>
      <c r="R2" s="64"/>
      <c r="S2" s="64"/>
      <c r="T2" s="64"/>
      <c r="U2" s="64"/>
      <c r="V2" s="64"/>
      <c r="W2" s="64"/>
      <c r="X2" s="64"/>
      <c r="Y2" s="64"/>
      <c r="Z2" s="64"/>
    </row>
    <row r="3" spans="1:27" x14ac:dyDescent="0.25">
      <c r="B3" s="1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64" t="s">
        <v>3</v>
      </c>
      <c r="Q3" s="64"/>
      <c r="R3" s="64"/>
      <c r="S3" s="64"/>
      <c r="T3" s="64"/>
      <c r="U3" s="3"/>
      <c r="V3" s="3"/>
      <c r="W3" s="3"/>
      <c r="X3" s="3"/>
      <c r="Y3" s="3"/>
      <c r="Z3" s="3"/>
    </row>
    <row r="4" spans="1:27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65" t="s">
        <v>9</v>
      </c>
      <c r="H4" s="65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65" t="s">
        <v>24</v>
      </c>
      <c r="Y4" s="65"/>
      <c r="Z4" t="s">
        <v>10</v>
      </c>
    </row>
    <row r="5" spans="1:27" s="4" customFormat="1" x14ac:dyDescent="0.25">
      <c r="A5" s="67" t="s">
        <v>25</v>
      </c>
      <c r="B5" s="67"/>
      <c r="C5" s="67"/>
      <c r="D5" s="67"/>
      <c r="E5" s="67"/>
      <c r="F5" s="67"/>
      <c r="G5" s="67"/>
      <c r="H5" s="67"/>
      <c r="I5" s="67"/>
      <c r="J5" s="67"/>
      <c r="K5" s="67"/>
      <c r="L5" s="67"/>
      <c r="M5" s="67"/>
      <c r="N5" s="67"/>
      <c r="O5" s="67"/>
      <c r="P5" s="67"/>
      <c r="Q5" s="67"/>
      <c r="R5" s="67"/>
      <c r="S5" s="67"/>
      <c r="T5" s="67"/>
      <c r="U5" s="67"/>
      <c r="V5" s="67"/>
      <c r="W5" s="67"/>
      <c r="X5" s="67"/>
      <c r="Y5" s="67"/>
      <c r="Z5" s="67"/>
    </row>
    <row r="6" spans="1:27" s="4" customFormat="1" x14ac:dyDescent="0.25">
      <c r="A6" s="68" t="s">
        <v>26</v>
      </c>
      <c r="B6" s="5"/>
      <c r="C6" s="6">
        <v>41884</v>
      </c>
      <c r="D6" s="4">
        <v>16.899999999999999</v>
      </c>
      <c r="E6" s="4">
        <v>14.3</v>
      </c>
      <c r="F6" s="4">
        <v>19.600000000000001</v>
      </c>
      <c r="G6" s="4">
        <v>16.899999999999999</v>
      </c>
      <c r="I6" s="7" t="s">
        <v>27</v>
      </c>
      <c r="J6" s="4">
        <v>0.5</v>
      </c>
      <c r="K6" s="4">
        <v>0.5</v>
      </c>
      <c r="L6" s="4">
        <v>1.3</v>
      </c>
      <c r="M6" s="4">
        <v>1.3</v>
      </c>
      <c r="N6" s="8">
        <v>-0.8</v>
      </c>
      <c r="O6" s="4">
        <v>44.1</v>
      </c>
      <c r="P6" s="4">
        <v>1</v>
      </c>
      <c r="Q6" s="4">
        <v>0.35</v>
      </c>
      <c r="R6" s="9">
        <f t="shared" ref="R6:R69" si="0">Q6*L6</f>
        <v>0.45499999999999996</v>
      </c>
      <c r="S6" s="9">
        <f t="shared" ref="S6:S69" si="1">J6-R6</f>
        <v>4.500000000000004E-2</v>
      </c>
      <c r="T6" s="9">
        <v>44.9</v>
      </c>
      <c r="U6" s="7" t="s">
        <v>28</v>
      </c>
      <c r="V6" s="10">
        <v>680.3</v>
      </c>
      <c r="W6" s="4">
        <v>40.254437869822489</v>
      </c>
      <c r="X6" s="4">
        <v>680.3</v>
      </c>
      <c r="Z6" s="7" t="s">
        <v>29</v>
      </c>
      <c r="AA6" s="4">
        <v>13.483462596145699</v>
      </c>
    </row>
    <row r="7" spans="1:27" s="4" customFormat="1" x14ac:dyDescent="0.25">
      <c r="A7" s="68"/>
      <c r="B7" s="5"/>
      <c r="C7" s="6">
        <v>41885</v>
      </c>
      <c r="D7" s="4">
        <v>16.100000000000001</v>
      </c>
      <c r="E7" s="4">
        <v>11.7</v>
      </c>
      <c r="F7" s="4">
        <v>20.100000000000001</v>
      </c>
      <c r="G7" s="4">
        <v>33</v>
      </c>
      <c r="I7" s="4">
        <v>3.4</v>
      </c>
      <c r="J7" s="4">
        <v>0.1</v>
      </c>
      <c r="K7" s="4">
        <v>0.6</v>
      </c>
      <c r="L7" s="4">
        <v>2.9</v>
      </c>
      <c r="M7" s="4">
        <v>4.2</v>
      </c>
      <c r="N7" s="8">
        <v>-2.8</v>
      </c>
      <c r="O7" s="4">
        <f>O6+N7</f>
        <v>41.300000000000004</v>
      </c>
      <c r="P7" s="4">
        <v>2</v>
      </c>
      <c r="Q7" s="4">
        <v>0.35</v>
      </c>
      <c r="R7" s="9">
        <f t="shared" si="0"/>
        <v>1.0149999999999999</v>
      </c>
      <c r="S7" s="9">
        <f t="shared" si="1"/>
        <v>-0.91499999999999992</v>
      </c>
      <c r="T7" s="9">
        <f>MIN(189.6,(T6+S7))</f>
        <v>43.984999999999999</v>
      </c>
      <c r="U7" s="4">
        <v>62</v>
      </c>
      <c r="V7" s="4">
        <v>1658.5</v>
      </c>
      <c r="W7" s="4">
        <v>103.01242236024844</v>
      </c>
      <c r="X7" s="4">
        <v>2338.8000000000002</v>
      </c>
      <c r="Z7" s="4">
        <v>59277.7</v>
      </c>
      <c r="AA7" s="4">
        <v>13.4238979567242</v>
      </c>
    </row>
    <row r="8" spans="1:27" s="4" customFormat="1" x14ac:dyDescent="0.25">
      <c r="A8" s="68"/>
      <c r="B8" s="5"/>
      <c r="C8" s="6">
        <v>41886</v>
      </c>
      <c r="D8" s="4">
        <v>16.7</v>
      </c>
      <c r="E8" s="4">
        <v>11.9</v>
      </c>
      <c r="F8" s="4">
        <v>20.7</v>
      </c>
      <c r="G8" s="4">
        <v>49.7</v>
      </c>
      <c r="I8" s="7" t="s">
        <v>30</v>
      </c>
      <c r="J8" s="4">
        <v>0</v>
      </c>
      <c r="K8" s="4">
        <v>0.6</v>
      </c>
      <c r="L8" s="4">
        <v>1.9</v>
      </c>
      <c r="M8" s="4">
        <v>6.1</v>
      </c>
      <c r="N8" s="8">
        <v>-1.9</v>
      </c>
      <c r="O8" s="4">
        <f t="shared" ref="O8:O71" si="2">O7+N8</f>
        <v>39.400000000000006</v>
      </c>
      <c r="P8" s="4">
        <v>3</v>
      </c>
      <c r="Q8" s="4">
        <v>0.35</v>
      </c>
      <c r="R8" s="9">
        <f t="shared" si="0"/>
        <v>0.66499999999999992</v>
      </c>
      <c r="S8" s="9">
        <f t="shared" si="1"/>
        <v>-0.66499999999999992</v>
      </c>
      <c r="T8" s="9">
        <f t="shared" ref="T8:T71" si="3">MIN(189.6,(T7+S8))</f>
        <v>43.32</v>
      </c>
      <c r="U8" s="7" t="s">
        <v>31</v>
      </c>
      <c r="V8" s="4">
        <v>1232</v>
      </c>
      <c r="W8" s="4">
        <v>73.772455089820369</v>
      </c>
      <c r="X8" s="4">
        <v>3570.8</v>
      </c>
      <c r="Z8" s="7" t="s">
        <v>32</v>
      </c>
      <c r="AA8" s="4">
        <v>13.364187900017599</v>
      </c>
    </row>
    <row r="9" spans="1:27" s="4" customFormat="1" x14ac:dyDescent="0.25">
      <c r="A9" s="68"/>
      <c r="B9" s="5"/>
      <c r="C9" s="6">
        <v>41887</v>
      </c>
      <c r="D9" s="4">
        <v>17.899999999999999</v>
      </c>
      <c r="E9" s="4">
        <v>14.2</v>
      </c>
      <c r="F9" s="4">
        <v>22.2</v>
      </c>
      <c r="G9" s="4">
        <v>67.599999999999994</v>
      </c>
      <c r="I9" s="4">
        <v>25.7</v>
      </c>
      <c r="J9" s="4">
        <v>0</v>
      </c>
      <c r="K9" s="4">
        <v>0.6</v>
      </c>
      <c r="L9" s="4">
        <v>2.8</v>
      </c>
      <c r="M9" s="4">
        <v>8.8999999999999986</v>
      </c>
      <c r="N9" s="8">
        <v>-2.8</v>
      </c>
      <c r="O9" s="4">
        <f t="shared" si="2"/>
        <v>36.600000000000009</v>
      </c>
      <c r="P9" s="4">
        <v>4</v>
      </c>
      <c r="Q9" s="4">
        <v>0.35</v>
      </c>
      <c r="R9" s="9">
        <f t="shared" si="0"/>
        <v>0.97999999999999987</v>
      </c>
      <c r="S9" s="9">
        <f t="shared" si="1"/>
        <v>-0.97999999999999987</v>
      </c>
      <c r="T9" s="9">
        <f t="shared" si="3"/>
        <v>42.34</v>
      </c>
      <c r="U9" s="4">
        <v>0</v>
      </c>
      <c r="V9" s="4">
        <v>1426.4</v>
      </c>
      <c r="W9" s="4">
        <v>79.687150837988838</v>
      </c>
      <c r="X9" s="4">
        <v>4997.2000000000007</v>
      </c>
      <c r="Z9" s="11">
        <f>(Z7/100)/I19</f>
        <v>0.53297698255709391</v>
      </c>
      <c r="AA9" s="4">
        <v>13.3043407395317</v>
      </c>
    </row>
    <row r="10" spans="1:27" s="4" customFormat="1" x14ac:dyDescent="0.25">
      <c r="A10" s="68"/>
      <c r="B10" s="5"/>
      <c r="C10" s="6">
        <v>41888</v>
      </c>
      <c r="D10" s="4">
        <v>18.100000000000001</v>
      </c>
      <c r="E10" s="4">
        <v>16.7</v>
      </c>
      <c r="F10" s="4">
        <v>21.2</v>
      </c>
      <c r="G10" s="4">
        <v>85.699999999999989</v>
      </c>
      <c r="I10" s="7" t="s">
        <v>33</v>
      </c>
      <c r="J10" s="4">
        <v>0.2</v>
      </c>
      <c r="K10" s="4">
        <v>0.8</v>
      </c>
      <c r="L10" s="4">
        <v>2.1</v>
      </c>
      <c r="M10" s="4">
        <v>10.999999999999998</v>
      </c>
      <c r="N10" s="8">
        <v>-1.9000000000000001</v>
      </c>
      <c r="O10" s="4">
        <f t="shared" si="2"/>
        <v>34.70000000000001</v>
      </c>
      <c r="P10" s="4">
        <v>5</v>
      </c>
      <c r="Q10" s="4">
        <v>0.35</v>
      </c>
      <c r="R10" s="9">
        <f t="shared" si="0"/>
        <v>0.73499999999999999</v>
      </c>
      <c r="S10" s="9">
        <f t="shared" si="1"/>
        <v>-0.53499999999999992</v>
      </c>
      <c r="T10" s="9">
        <f t="shared" si="3"/>
        <v>41.805000000000007</v>
      </c>
      <c r="U10" s="7" t="s">
        <v>34</v>
      </c>
      <c r="V10" s="4">
        <v>1042.4000000000001</v>
      </c>
      <c r="W10" s="4">
        <v>57.591160220994475</v>
      </c>
      <c r="X10" s="4">
        <v>6039.6</v>
      </c>
      <c r="Z10" s="7" t="s">
        <v>35</v>
      </c>
      <c r="AA10" s="4">
        <v>13.2443644788464</v>
      </c>
    </row>
    <row r="11" spans="1:27" s="4" customFormat="1" x14ac:dyDescent="0.25">
      <c r="A11" s="68"/>
      <c r="B11" s="5"/>
      <c r="C11" s="6">
        <v>41889</v>
      </c>
      <c r="D11" s="4">
        <v>17.100000000000001</v>
      </c>
      <c r="E11" s="4">
        <v>13</v>
      </c>
      <c r="F11" s="4">
        <v>22</v>
      </c>
      <c r="G11" s="4">
        <v>102.79999999999998</v>
      </c>
      <c r="I11" s="9">
        <v>12.496629213483146</v>
      </c>
      <c r="J11" s="4">
        <v>0.2</v>
      </c>
      <c r="K11" s="4">
        <v>1</v>
      </c>
      <c r="L11" s="4">
        <v>1.8</v>
      </c>
      <c r="M11" s="4">
        <v>12.799999999999999</v>
      </c>
      <c r="N11" s="8">
        <v>-1.6</v>
      </c>
      <c r="O11" s="4">
        <f t="shared" si="2"/>
        <v>33.100000000000009</v>
      </c>
      <c r="P11" s="4">
        <v>6</v>
      </c>
      <c r="Q11" s="4">
        <v>0.35</v>
      </c>
      <c r="R11" s="9">
        <f t="shared" si="0"/>
        <v>0.63</v>
      </c>
      <c r="S11" s="9">
        <f t="shared" si="1"/>
        <v>-0.43</v>
      </c>
      <c r="T11" s="9">
        <f t="shared" si="3"/>
        <v>41.375000000000007</v>
      </c>
      <c r="U11" s="4">
        <v>36</v>
      </c>
      <c r="V11" s="10">
        <v>878.2</v>
      </c>
      <c r="W11" s="4">
        <v>51.356725146198826</v>
      </c>
      <c r="X11" s="4">
        <v>6917.8</v>
      </c>
      <c r="Z11" s="4">
        <v>64</v>
      </c>
      <c r="AA11" s="4">
        <v>13.1842668281984</v>
      </c>
    </row>
    <row r="12" spans="1:27" s="4" customFormat="1" x14ac:dyDescent="0.25">
      <c r="A12" s="68"/>
      <c r="B12" s="5"/>
      <c r="C12" s="6">
        <v>41890</v>
      </c>
      <c r="D12" s="4">
        <v>16.399999999999999</v>
      </c>
      <c r="E12" s="4">
        <v>13.1</v>
      </c>
      <c r="F12" s="4">
        <v>21.2</v>
      </c>
      <c r="G12" s="4">
        <v>119.19999999999999</v>
      </c>
      <c r="I12" s="7" t="s">
        <v>36</v>
      </c>
      <c r="J12" s="4">
        <v>0</v>
      </c>
      <c r="K12" s="4">
        <v>1</v>
      </c>
      <c r="L12" s="4">
        <v>3.3</v>
      </c>
      <c r="M12" s="4">
        <v>16.099999999999998</v>
      </c>
      <c r="N12" s="8">
        <v>-3.3</v>
      </c>
      <c r="O12" s="4">
        <f t="shared" si="2"/>
        <v>29.800000000000008</v>
      </c>
      <c r="P12" s="4">
        <v>7</v>
      </c>
      <c r="Q12" s="4">
        <v>0.35</v>
      </c>
      <c r="R12" s="9">
        <f t="shared" si="0"/>
        <v>1.1549999999999998</v>
      </c>
      <c r="S12" s="9">
        <f t="shared" si="1"/>
        <v>-1.1549999999999998</v>
      </c>
      <c r="T12" s="9">
        <f t="shared" si="3"/>
        <v>40.220000000000006</v>
      </c>
      <c r="U12" s="7" t="s">
        <v>37</v>
      </c>
      <c r="V12" s="4">
        <v>1750.8</v>
      </c>
      <c r="W12" s="4">
        <v>106.75609756097562</v>
      </c>
      <c r="X12" s="4">
        <v>8668.6</v>
      </c>
      <c r="AA12" s="4">
        <v>13.124055221142701</v>
      </c>
    </row>
    <row r="13" spans="1:27" s="4" customFormat="1" x14ac:dyDescent="0.25">
      <c r="A13" s="68"/>
      <c r="B13" s="5"/>
      <c r="C13" s="6">
        <v>41891</v>
      </c>
      <c r="D13" s="4">
        <v>14.8</v>
      </c>
      <c r="E13" s="4">
        <v>10.6</v>
      </c>
      <c r="F13" s="4">
        <v>19.399999999999999</v>
      </c>
      <c r="G13" s="4">
        <v>134</v>
      </c>
      <c r="I13" s="4">
        <v>0</v>
      </c>
      <c r="J13" s="4">
        <v>0</v>
      </c>
      <c r="K13" s="4">
        <v>1</v>
      </c>
      <c r="L13" s="4">
        <v>3</v>
      </c>
      <c r="M13" s="4">
        <v>19.099999999999998</v>
      </c>
      <c r="N13" s="8">
        <v>-3</v>
      </c>
      <c r="O13" s="4">
        <f t="shared" si="2"/>
        <v>26.800000000000008</v>
      </c>
      <c r="P13" s="4">
        <v>8</v>
      </c>
      <c r="Q13" s="4">
        <v>0.35</v>
      </c>
      <c r="R13" s="9">
        <f t="shared" si="0"/>
        <v>1.0499999999999998</v>
      </c>
      <c r="S13" s="9">
        <f t="shared" si="1"/>
        <v>-1.0499999999999998</v>
      </c>
      <c r="T13" s="9">
        <f t="shared" si="3"/>
        <v>39.170000000000009</v>
      </c>
      <c r="U13" s="9">
        <f>MIN(T6:T94)</f>
        <v>32.253500000000017</v>
      </c>
      <c r="V13" s="4">
        <v>1647.3</v>
      </c>
      <c r="W13" s="4">
        <v>111.30405405405405</v>
      </c>
      <c r="X13" s="4">
        <v>10315.9</v>
      </c>
      <c r="AA13" s="4">
        <v>13.063736831279501</v>
      </c>
    </row>
    <row r="14" spans="1:27" s="4" customFormat="1" x14ac:dyDescent="0.25">
      <c r="A14" s="68"/>
      <c r="B14" s="5"/>
      <c r="C14" s="6">
        <v>41892</v>
      </c>
      <c r="D14" s="4">
        <v>14.1</v>
      </c>
      <c r="E14" s="4">
        <v>11.8</v>
      </c>
      <c r="F14" s="4">
        <v>18.7</v>
      </c>
      <c r="G14" s="4">
        <v>148.1</v>
      </c>
      <c r="I14" s="7" t="s">
        <v>38</v>
      </c>
      <c r="J14" s="4">
        <v>0</v>
      </c>
      <c r="K14" s="4">
        <v>1</v>
      </c>
      <c r="L14" s="4">
        <v>2.6</v>
      </c>
      <c r="M14" s="4">
        <v>21.7</v>
      </c>
      <c r="N14" s="8">
        <v>-2.6</v>
      </c>
      <c r="O14" s="4">
        <f t="shared" si="2"/>
        <v>24.200000000000006</v>
      </c>
      <c r="P14" s="4">
        <v>9</v>
      </c>
      <c r="Q14" s="4">
        <v>0.35</v>
      </c>
      <c r="R14" s="9">
        <f t="shared" si="0"/>
        <v>0.90999999999999992</v>
      </c>
      <c r="S14" s="9">
        <f t="shared" si="1"/>
        <v>-0.90999999999999992</v>
      </c>
      <c r="T14" s="9">
        <f t="shared" si="3"/>
        <v>38.260000000000012</v>
      </c>
      <c r="U14" s="7" t="s">
        <v>39</v>
      </c>
      <c r="V14" s="4">
        <v>985.4</v>
      </c>
      <c r="W14" s="4">
        <v>69.886524822695037</v>
      </c>
      <c r="X14" s="4">
        <v>11301.3</v>
      </c>
      <c r="AA14" s="4">
        <v>13.0033185890361</v>
      </c>
    </row>
    <row r="15" spans="1:27" s="4" customFormat="1" x14ac:dyDescent="0.25">
      <c r="A15" s="68"/>
      <c r="B15" s="5"/>
      <c r="C15" s="6">
        <v>41893</v>
      </c>
      <c r="D15" s="4">
        <v>14</v>
      </c>
      <c r="E15" s="4">
        <v>8.6999999999999993</v>
      </c>
      <c r="F15" s="4">
        <v>19.2</v>
      </c>
      <c r="G15" s="4">
        <v>162.1</v>
      </c>
      <c r="I15" s="4">
        <v>2</v>
      </c>
      <c r="J15" s="4">
        <v>0.2</v>
      </c>
      <c r="K15" s="4">
        <v>1.2</v>
      </c>
      <c r="L15" s="4">
        <v>2.2000000000000002</v>
      </c>
      <c r="M15" s="4">
        <v>23.9</v>
      </c>
      <c r="N15" s="8">
        <v>-2</v>
      </c>
      <c r="O15" s="4">
        <f t="shared" si="2"/>
        <v>22.200000000000006</v>
      </c>
      <c r="P15" s="4">
        <v>10</v>
      </c>
      <c r="Q15" s="4">
        <f>0.35+((P15-9)/80)*(1-0.35)</f>
        <v>0.35812499999999997</v>
      </c>
      <c r="R15" s="9">
        <f t="shared" si="0"/>
        <v>0.78787499999999999</v>
      </c>
      <c r="S15" s="9">
        <f t="shared" si="1"/>
        <v>-0.58787499999999993</v>
      </c>
      <c r="T15" s="9">
        <f t="shared" si="3"/>
        <v>37.672125000000015</v>
      </c>
      <c r="U15" s="9">
        <f>MAX(T7:T94)</f>
        <v>129.08287499999997</v>
      </c>
      <c r="V15" s="4">
        <v>1040</v>
      </c>
      <c r="W15" s="4">
        <v>74.285714285714292</v>
      </c>
      <c r="X15" s="4">
        <v>12341.3</v>
      </c>
      <c r="AA15" s="4">
        <v>12.942807198494201</v>
      </c>
    </row>
    <row r="16" spans="1:27" s="4" customFormat="1" x14ac:dyDescent="0.25">
      <c r="A16" s="68"/>
      <c r="B16" s="5"/>
      <c r="C16" s="6">
        <v>41894</v>
      </c>
      <c r="D16" s="4">
        <v>14.9</v>
      </c>
      <c r="E16" s="4">
        <v>9.6</v>
      </c>
      <c r="F16" s="4">
        <v>19.899999999999999</v>
      </c>
      <c r="G16" s="4">
        <v>177</v>
      </c>
      <c r="I16" s="7" t="s">
        <v>40</v>
      </c>
      <c r="J16" s="4">
        <v>0.1</v>
      </c>
      <c r="K16" s="4">
        <v>1.3</v>
      </c>
      <c r="L16" s="4">
        <v>3.2</v>
      </c>
      <c r="M16" s="4">
        <v>27.099999999999998</v>
      </c>
      <c r="N16" s="8">
        <v>-3.1</v>
      </c>
      <c r="O16" s="4">
        <f t="shared" si="2"/>
        <v>19.100000000000005</v>
      </c>
      <c r="P16" s="4">
        <v>11</v>
      </c>
      <c r="Q16" s="4">
        <f t="shared" ref="Q16:Q79" si="4">0.35+((P16-9)/80)*(1-0.35)</f>
        <v>0.36624999999999996</v>
      </c>
      <c r="R16" s="9">
        <f t="shared" si="0"/>
        <v>1.1719999999999999</v>
      </c>
      <c r="S16" s="9">
        <f t="shared" si="1"/>
        <v>-1.0719999999999998</v>
      </c>
      <c r="T16" s="9">
        <f t="shared" si="3"/>
        <v>36.600125000000013</v>
      </c>
      <c r="U16" s="7" t="s">
        <v>41</v>
      </c>
      <c r="V16" s="4">
        <v>1705.5</v>
      </c>
      <c r="W16" s="4">
        <v>114.46308724832214</v>
      </c>
      <c r="X16" s="4">
        <v>14046.8</v>
      </c>
      <c r="AA16" s="4">
        <v>12.8822091542565</v>
      </c>
    </row>
    <row r="17" spans="1:27" s="4" customFormat="1" x14ac:dyDescent="0.25">
      <c r="A17" s="68"/>
      <c r="B17" s="5"/>
      <c r="C17" s="6">
        <v>41895</v>
      </c>
      <c r="D17" s="4">
        <v>15.4</v>
      </c>
      <c r="E17" s="4">
        <v>12</v>
      </c>
      <c r="F17" s="4">
        <v>19.100000000000001</v>
      </c>
      <c r="G17" s="4">
        <v>192.4</v>
      </c>
      <c r="I17" s="4">
        <v>4</v>
      </c>
      <c r="J17" s="4">
        <v>0.1</v>
      </c>
      <c r="K17" s="4">
        <v>1.4000000000000001</v>
      </c>
      <c r="L17" s="4">
        <v>2.9</v>
      </c>
      <c r="M17" s="4">
        <v>29.999999999999996</v>
      </c>
      <c r="N17" s="8">
        <v>-2.8</v>
      </c>
      <c r="O17" s="4">
        <f t="shared" si="2"/>
        <v>16.300000000000004</v>
      </c>
      <c r="P17" s="4">
        <v>12</v>
      </c>
      <c r="Q17" s="4">
        <f t="shared" si="4"/>
        <v>0.37437499999999996</v>
      </c>
      <c r="R17" s="9">
        <f t="shared" si="0"/>
        <v>1.0856874999999999</v>
      </c>
      <c r="S17" s="9">
        <f t="shared" si="1"/>
        <v>-0.98568749999999994</v>
      </c>
      <c r="T17" s="9">
        <f t="shared" si="3"/>
        <v>35.614437500000015</v>
      </c>
      <c r="U17" s="9">
        <f>AVERAGE(T6:T94)</f>
        <v>78.76788764044943</v>
      </c>
      <c r="V17" s="4">
        <v>1564.2</v>
      </c>
      <c r="W17" s="4">
        <v>101.57142857142857</v>
      </c>
      <c r="X17" s="4">
        <v>15611</v>
      </c>
      <c r="AA17" s="4">
        <v>12.8215307583491</v>
      </c>
    </row>
    <row r="18" spans="1:27" s="4" customFormat="1" x14ac:dyDescent="0.25">
      <c r="A18" s="68"/>
      <c r="B18" s="5"/>
      <c r="C18" s="6">
        <v>41896</v>
      </c>
      <c r="D18" s="4">
        <v>15.1</v>
      </c>
      <c r="E18" s="4">
        <v>12.4</v>
      </c>
      <c r="F18" s="4">
        <v>17.899999999999999</v>
      </c>
      <c r="G18" s="4">
        <v>207.5</v>
      </c>
      <c r="I18" s="7" t="s">
        <v>42</v>
      </c>
      <c r="J18" s="4">
        <v>0</v>
      </c>
      <c r="K18" s="4">
        <v>1.4000000000000001</v>
      </c>
      <c r="L18" s="4">
        <v>1.7</v>
      </c>
      <c r="M18" s="4">
        <v>31.699999999999996</v>
      </c>
      <c r="N18" s="8">
        <v>-1.7</v>
      </c>
      <c r="O18" s="4">
        <f t="shared" si="2"/>
        <v>14.600000000000005</v>
      </c>
      <c r="P18" s="4">
        <v>13</v>
      </c>
      <c r="Q18" s="4">
        <f t="shared" si="4"/>
        <v>0.38249999999999995</v>
      </c>
      <c r="R18" s="9">
        <f t="shared" si="0"/>
        <v>0.65024999999999988</v>
      </c>
      <c r="S18" s="9">
        <f t="shared" si="1"/>
        <v>-0.65024999999999988</v>
      </c>
      <c r="T18" s="9">
        <f t="shared" si="3"/>
        <v>34.964187500000016</v>
      </c>
      <c r="V18" s="10">
        <v>778.1</v>
      </c>
      <c r="W18" s="4">
        <v>51.529801324503318</v>
      </c>
      <c r="X18" s="4">
        <v>16389.099999999999</v>
      </c>
      <c r="AA18" s="4">
        <v>12.760778137156301</v>
      </c>
    </row>
    <row r="19" spans="1:27" s="4" customFormat="1" x14ac:dyDescent="0.25">
      <c r="A19" s="68"/>
      <c r="B19" s="5"/>
      <c r="C19" s="6">
        <v>41897</v>
      </c>
      <c r="D19" s="4">
        <v>16</v>
      </c>
      <c r="E19" s="4">
        <v>10.3</v>
      </c>
      <c r="F19" s="4">
        <v>22.3</v>
      </c>
      <c r="G19" s="4">
        <v>223.5</v>
      </c>
      <c r="I19" s="4">
        <v>1112.2</v>
      </c>
      <c r="J19" s="4">
        <v>0</v>
      </c>
      <c r="K19" s="4">
        <v>1.4000000000000001</v>
      </c>
      <c r="L19" s="4">
        <v>2</v>
      </c>
      <c r="M19" s="4">
        <v>33.699999999999996</v>
      </c>
      <c r="N19" s="8">
        <v>-2</v>
      </c>
      <c r="O19" s="4">
        <f t="shared" si="2"/>
        <v>12.600000000000005</v>
      </c>
      <c r="P19" s="4">
        <v>14</v>
      </c>
      <c r="Q19" s="4">
        <f t="shared" si="4"/>
        <v>0.390625</v>
      </c>
      <c r="R19" s="9">
        <f t="shared" si="0"/>
        <v>0.78125</v>
      </c>
      <c r="S19" s="9">
        <f t="shared" si="1"/>
        <v>-0.78125</v>
      </c>
      <c r="T19" s="9">
        <f t="shared" si="3"/>
        <v>34.182937500000016</v>
      </c>
      <c r="U19" s="4">
        <f>(U17*100)/189.6</f>
        <v>41.544244536102021</v>
      </c>
      <c r="V19" s="4">
        <v>1005.4</v>
      </c>
      <c r="W19" s="4">
        <v>62.837499999999999</v>
      </c>
      <c r="X19" s="4">
        <v>17394.5</v>
      </c>
      <c r="AA19" s="4">
        <v>12.6999572583863</v>
      </c>
    </row>
    <row r="20" spans="1:27" s="4" customFormat="1" x14ac:dyDescent="0.25">
      <c r="A20" s="68"/>
      <c r="B20" s="5"/>
      <c r="C20" s="6">
        <v>41898</v>
      </c>
      <c r="D20" s="4">
        <v>17</v>
      </c>
      <c r="E20" s="4">
        <v>10</v>
      </c>
      <c r="F20" s="4">
        <v>23.5</v>
      </c>
      <c r="G20" s="4">
        <v>240.5</v>
      </c>
      <c r="J20" s="4">
        <v>0</v>
      </c>
      <c r="K20" s="4">
        <v>1.4000000000000001</v>
      </c>
      <c r="L20" s="4">
        <v>2.9</v>
      </c>
      <c r="M20" s="4">
        <v>36.599999999999994</v>
      </c>
      <c r="N20" s="8">
        <v>-2.9</v>
      </c>
      <c r="O20" s="4">
        <f t="shared" si="2"/>
        <v>9.7000000000000046</v>
      </c>
      <c r="P20" s="4">
        <v>15</v>
      </c>
      <c r="Q20" s="4">
        <f t="shared" si="4"/>
        <v>0.39874999999999999</v>
      </c>
      <c r="R20" s="9">
        <f t="shared" si="0"/>
        <v>1.1563749999999999</v>
      </c>
      <c r="S20" s="9">
        <f t="shared" si="1"/>
        <v>-1.1563749999999999</v>
      </c>
      <c r="T20" s="9">
        <f t="shared" si="3"/>
        <v>33.026562500000018</v>
      </c>
      <c r="V20" s="4">
        <v>1584.4</v>
      </c>
      <c r="W20" s="4">
        <v>93.2</v>
      </c>
      <c r="X20" s="4">
        <v>18978.900000000001</v>
      </c>
      <c r="AA20" s="4">
        <v>12.639073948071101</v>
      </c>
    </row>
    <row r="21" spans="1:27" s="4" customFormat="1" x14ac:dyDescent="0.25">
      <c r="A21" s="68"/>
      <c r="B21" s="5"/>
      <c r="C21" s="6">
        <v>41899</v>
      </c>
      <c r="D21" s="4">
        <v>19.100000000000001</v>
      </c>
      <c r="E21" s="4">
        <v>14.2</v>
      </c>
      <c r="F21" s="4">
        <v>24.2</v>
      </c>
      <c r="G21" s="4">
        <v>259.60000000000002</v>
      </c>
      <c r="J21" s="4">
        <v>0</v>
      </c>
      <c r="K21" s="4">
        <v>1.4000000000000001</v>
      </c>
      <c r="L21" s="4">
        <v>1.9</v>
      </c>
      <c r="M21" s="4">
        <v>38.499999999999993</v>
      </c>
      <c r="N21" s="8">
        <v>-1.9</v>
      </c>
      <c r="O21" s="4">
        <f t="shared" si="2"/>
        <v>7.8000000000000043</v>
      </c>
      <c r="P21" s="4">
        <v>16</v>
      </c>
      <c r="Q21" s="4">
        <f t="shared" si="4"/>
        <v>0.40687499999999999</v>
      </c>
      <c r="R21" s="9">
        <f t="shared" si="0"/>
        <v>0.77306249999999999</v>
      </c>
      <c r="S21" s="9">
        <f t="shared" si="1"/>
        <v>-0.77306249999999999</v>
      </c>
      <c r="T21" s="9">
        <f t="shared" si="3"/>
        <v>32.253500000000017</v>
      </c>
      <c r="V21" s="10">
        <v>688.2</v>
      </c>
      <c r="W21" s="4">
        <v>36.031413612565444</v>
      </c>
      <c r="X21" s="4">
        <v>19667.100000000002</v>
      </c>
      <c r="AA21" s="4">
        <v>12.5781339075999</v>
      </c>
    </row>
    <row r="22" spans="1:27" s="4" customFormat="1" x14ac:dyDescent="0.25">
      <c r="A22" s="68"/>
      <c r="B22" s="5"/>
      <c r="C22" s="6">
        <v>41900</v>
      </c>
      <c r="D22" s="4">
        <v>18.7</v>
      </c>
      <c r="E22" s="4">
        <v>15.9</v>
      </c>
      <c r="F22" s="4">
        <v>24.8</v>
      </c>
      <c r="G22" s="4">
        <v>278.3</v>
      </c>
      <c r="J22" s="4">
        <v>7.2</v>
      </c>
      <c r="K22" s="4">
        <v>8.6</v>
      </c>
      <c r="L22" s="4">
        <v>2.8</v>
      </c>
      <c r="M22" s="4">
        <v>41.29999999999999</v>
      </c>
      <c r="N22" s="4">
        <v>4.4000000000000004</v>
      </c>
      <c r="O22" s="4">
        <f t="shared" si="2"/>
        <v>12.200000000000005</v>
      </c>
      <c r="P22" s="4">
        <v>17</v>
      </c>
      <c r="Q22" s="4">
        <f t="shared" si="4"/>
        <v>0.41499999999999998</v>
      </c>
      <c r="R22" s="9">
        <f t="shared" si="0"/>
        <v>1.1619999999999999</v>
      </c>
      <c r="S22" s="9">
        <f t="shared" si="1"/>
        <v>6.0380000000000003</v>
      </c>
      <c r="T22" s="9">
        <f t="shared" si="3"/>
        <v>38.291500000000013</v>
      </c>
      <c r="V22" s="4">
        <v>1236.5</v>
      </c>
      <c r="W22" s="4">
        <v>66.122994652406419</v>
      </c>
      <c r="X22" s="4">
        <v>20903.600000000002</v>
      </c>
      <c r="AA22" s="4">
        <v>12.517142730791599</v>
      </c>
    </row>
    <row r="23" spans="1:27" s="4" customFormat="1" x14ac:dyDescent="0.25">
      <c r="A23" s="68"/>
      <c r="B23" s="5"/>
      <c r="C23" s="6">
        <v>41901</v>
      </c>
      <c r="D23" s="4">
        <v>19.3</v>
      </c>
      <c r="E23" s="4">
        <v>14</v>
      </c>
      <c r="F23" s="12">
        <v>25.5</v>
      </c>
      <c r="G23" s="4">
        <v>297.60000000000002</v>
      </c>
      <c r="J23" s="4">
        <v>0</v>
      </c>
      <c r="K23" s="4">
        <v>8.6</v>
      </c>
      <c r="L23" s="4">
        <v>3</v>
      </c>
      <c r="M23" s="4">
        <v>44.29999999999999</v>
      </c>
      <c r="N23" s="8">
        <v>-3</v>
      </c>
      <c r="O23" s="4">
        <f t="shared" si="2"/>
        <v>9.2000000000000046</v>
      </c>
      <c r="P23" s="4">
        <v>18</v>
      </c>
      <c r="Q23" s="4">
        <f t="shared" si="4"/>
        <v>0.42312499999999997</v>
      </c>
      <c r="R23" s="9">
        <f t="shared" si="0"/>
        <v>1.2693749999999999</v>
      </c>
      <c r="S23" s="9">
        <f t="shared" si="1"/>
        <v>-1.2693749999999999</v>
      </c>
      <c r="T23" s="9">
        <f t="shared" si="3"/>
        <v>37.022125000000017</v>
      </c>
      <c r="V23" s="4">
        <v>1378.3</v>
      </c>
      <c r="W23" s="4">
        <v>71.414507772020727</v>
      </c>
      <c r="X23" s="4">
        <v>22281.9</v>
      </c>
      <c r="AA23" s="4">
        <v>12.4561059210099</v>
      </c>
    </row>
    <row r="24" spans="1:27" s="4" customFormat="1" x14ac:dyDescent="0.25">
      <c r="A24" s="68"/>
      <c r="B24" s="5"/>
      <c r="C24" s="6">
        <v>41902</v>
      </c>
      <c r="D24" s="4">
        <v>18.399999999999999</v>
      </c>
      <c r="E24" s="4">
        <v>14.6</v>
      </c>
      <c r="F24" s="12">
        <v>25.7</v>
      </c>
      <c r="G24" s="4">
        <v>316</v>
      </c>
      <c r="J24" s="4">
        <v>11.3</v>
      </c>
      <c r="K24" s="4">
        <v>19.899999999999999</v>
      </c>
      <c r="L24" s="4">
        <v>1.8</v>
      </c>
      <c r="M24" s="4">
        <v>46.099999999999987</v>
      </c>
      <c r="N24" s="4">
        <v>9.5</v>
      </c>
      <c r="O24" s="4">
        <f t="shared" si="2"/>
        <v>18.700000000000003</v>
      </c>
      <c r="P24" s="4">
        <v>19</v>
      </c>
      <c r="Q24" s="4">
        <f t="shared" si="4"/>
        <v>0.43124999999999997</v>
      </c>
      <c r="R24" s="9">
        <f t="shared" si="0"/>
        <v>0.77625</v>
      </c>
      <c r="S24" s="9">
        <f t="shared" si="1"/>
        <v>10.523750000000001</v>
      </c>
      <c r="T24" s="9">
        <f t="shared" si="3"/>
        <v>47.545875000000017</v>
      </c>
      <c r="V24" s="10">
        <v>598.20000000000005</v>
      </c>
      <c r="W24" s="4">
        <v>32.510869565217398</v>
      </c>
      <c r="X24" s="4">
        <v>22880.100000000002</v>
      </c>
      <c r="AA24" s="4">
        <v>12.3950289083268</v>
      </c>
    </row>
    <row r="25" spans="1:27" s="4" customFormat="1" x14ac:dyDescent="0.25">
      <c r="A25" s="68"/>
      <c r="B25" s="5"/>
      <c r="C25" s="6">
        <v>41903</v>
      </c>
      <c r="D25" s="4">
        <v>15.1</v>
      </c>
      <c r="E25" s="4">
        <v>14.1</v>
      </c>
      <c r="F25" s="4">
        <v>17.2</v>
      </c>
      <c r="G25" s="4">
        <v>331.1</v>
      </c>
      <c r="J25" s="4">
        <v>0.1</v>
      </c>
      <c r="K25" s="4">
        <v>20</v>
      </c>
      <c r="L25" s="4">
        <v>2.2000000000000002</v>
      </c>
      <c r="M25" s="4">
        <v>48.29999999999999</v>
      </c>
      <c r="N25" s="8">
        <v>-2.1</v>
      </c>
      <c r="O25" s="4">
        <f t="shared" si="2"/>
        <v>16.600000000000001</v>
      </c>
      <c r="P25" s="4">
        <v>20</v>
      </c>
      <c r="Q25" s="4">
        <f t="shared" si="4"/>
        <v>0.43937499999999996</v>
      </c>
      <c r="R25" s="9">
        <f t="shared" si="0"/>
        <v>0.96662499999999996</v>
      </c>
      <c r="S25" s="9">
        <f t="shared" si="1"/>
        <v>-0.86662499999999998</v>
      </c>
      <c r="T25" s="9">
        <f t="shared" si="3"/>
        <v>46.679250000000017</v>
      </c>
      <c r="V25" s="4">
        <v>1249.8</v>
      </c>
      <c r="W25" s="4">
        <v>82.768211920529794</v>
      </c>
      <c r="X25" s="4">
        <v>24129.9</v>
      </c>
      <c r="AA25" s="4">
        <v>12.3339170667409</v>
      </c>
    </row>
    <row r="26" spans="1:27" s="4" customFormat="1" x14ac:dyDescent="0.25">
      <c r="A26" s="68"/>
      <c r="B26" s="5"/>
      <c r="C26" s="6">
        <v>41904</v>
      </c>
      <c r="D26" s="4">
        <v>12.1</v>
      </c>
      <c r="E26" s="4">
        <v>8.9</v>
      </c>
      <c r="F26" s="4">
        <v>16.3</v>
      </c>
      <c r="G26" s="4">
        <v>343.20000000000005</v>
      </c>
      <c r="J26" s="4">
        <v>0</v>
      </c>
      <c r="K26" s="4">
        <v>20</v>
      </c>
      <c r="L26" s="4">
        <v>2</v>
      </c>
      <c r="M26" s="4">
        <v>50.29999999999999</v>
      </c>
      <c r="N26" s="8">
        <v>-2</v>
      </c>
      <c r="O26" s="4">
        <f t="shared" si="2"/>
        <v>14.600000000000001</v>
      </c>
      <c r="P26" s="4">
        <v>21</v>
      </c>
      <c r="Q26" s="4">
        <f t="shared" si="4"/>
        <v>0.44750000000000001</v>
      </c>
      <c r="R26" s="9">
        <f t="shared" si="0"/>
        <v>0.89500000000000002</v>
      </c>
      <c r="S26" s="9">
        <f t="shared" si="1"/>
        <v>-0.89500000000000002</v>
      </c>
      <c r="T26" s="9">
        <f t="shared" si="3"/>
        <v>45.784250000000014</v>
      </c>
      <c r="V26" s="4">
        <v>1039.0999999999999</v>
      </c>
      <c r="W26" s="4">
        <v>85.876033057851231</v>
      </c>
      <c r="X26" s="4">
        <v>25169</v>
      </c>
      <c r="AA26" s="4">
        <v>12.272775731457299</v>
      </c>
    </row>
    <row r="27" spans="1:27" s="4" customFormat="1" x14ac:dyDescent="0.25">
      <c r="A27" s="68"/>
      <c r="B27" s="5"/>
      <c r="C27" s="6">
        <v>41905</v>
      </c>
      <c r="D27" s="4">
        <v>10.9</v>
      </c>
      <c r="E27" s="4">
        <v>5.8</v>
      </c>
      <c r="F27" s="4">
        <v>16.600000000000001</v>
      </c>
      <c r="G27" s="4">
        <v>354.1</v>
      </c>
      <c r="J27" s="4">
        <v>0</v>
      </c>
      <c r="K27" s="4">
        <v>20</v>
      </c>
      <c r="L27" s="4">
        <v>1.7</v>
      </c>
      <c r="M27" s="4">
        <v>51.999999999999993</v>
      </c>
      <c r="N27" s="8">
        <v>-1.7</v>
      </c>
      <c r="O27" s="4">
        <f t="shared" si="2"/>
        <v>12.900000000000002</v>
      </c>
      <c r="P27" s="4">
        <v>22</v>
      </c>
      <c r="Q27" s="4">
        <f t="shared" si="4"/>
        <v>0.455625</v>
      </c>
      <c r="R27" s="9">
        <f t="shared" si="0"/>
        <v>0.77456249999999993</v>
      </c>
      <c r="S27" s="9">
        <f t="shared" si="1"/>
        <v>-0.77456249999999993</v>
      </c>
      <c r="T27" s="9">
        <f t="shared" si="3"/>
        <v>45.009687500000013</v>
      </c>
      <c r="V27" s="4">
        <v>1042</v>
      </c>
      <c r="W27" s="4">
        <v>95.596330275229349</v>
      </c>
      <c r="X27" s="4">
        <v>26211</v>
      </c>
      <c r="AA27" s="4">
        <v>12.2116102162378</v>
      </c>
    </row>
    <row r="28" spans="1:27" s="4" customFormat="1" x14ac:dyDescent="0.25">
      <c r="A28" s="68"/>
      <c r="B28" s="5"/>
      <c r="C28" s="6">
        <v>41906</v>
      </c>
      <c r="D28" s="4">
        <v>11.5</v>
      </c>
      <c r="E28" s="4">
        <v>7.7</v>
      </c>
      <c r="F28" s="4">
        <v>16.3</v>
      </c>
      <c r="G28" s="4">
        <v>365.6</v>
      </c>
      <c r="J28" s="4">
        <v>5.8</v>
      </c>
      <c r="K28" s="4">
        <v>25.8</v>
      </c>
      <c r="L28" s="4">
        <v>1.3</v>
      </c>
      <c r="M28" s="4">
        <v>53.29999999999999</v>
      </c>
      <c r="N28" s="4">
        <v>4.5</v>
      </c>
      <c r="O28" s="4">
        <f t="shared" si="2"/>
        <v>17.400000000000002</v>
      </c>
      <c r="P28" s="4">
        <v>23</v>
      </c>
      <c r="Q28" s="4">
        <f t="shared" si="4"/>
        <v>0.46375</v>
      </c>
      <c r="R28" s="9">
        <f t="shared" si="0"/>
        <v>0.60287500000000005</v>
      </c>
      <c r="S28" s="9">
        <f t="shared" si="1"/>
        <v>5.1971249999999998</v>
      </c>
      <c r="T28" s="9">
        <f t="shared" si="3"/>
        <v>50.206812500000012</v>
      </c>
      <c r="V28" s="10">
        <v>669.6</v>
      </c>
      <c r="W28" s="4">
        <v>58.22608695652174</v>
      </c>
      <c r="X28" s="4">
        <v>26880.6</v>
      </c>
      <c r="AA28" s="4">
        <v>12.1504258308271</v>
      </c>
    </row>
    <row r="29" spans="1:27" s="4" customFormat="1" x14ac:dyDescent="0.25">
      <c r="A29" s="68"/>
      <c r="B29" s="5"/>
      <c r="C29" s="6">
        <v>41907</v>
      </c>
      <c r="D29" s="4">
        <v>11.2</v>
      </c>
      <c r="E29" s="4">
        <v>6.6</v>
      </c>
      <c r="F29" s="4">
        <v>16.600000000000001</v>
      </c>
      <c r="G29" s="4">
        <v>376.8</v>
      </c>
      <c r="J29" s="4">
        <v>0</v>
      </c>
      <c r="K29" s="4">
        <v>25.8</v>
      </c>
      <c r="L29" s="4">
        <v>2.1</v>
      </c>
      <c r="M29" s="4">
        <v>55.399999999999991</v>
      </c>
      <c r="N29" s="8">
        <v>-2.1</v>
      </c>
      <c r="O29" s="4">
        <f t="shared" si="2"/>
        <v>15.300000000000002</v>
      </c>
      <c r="P29" s="4">
        <v>24</v>
      </c>
      <c r="Q29" s="4">
        <f t="shared" si="4"/>
        <v>0.47187499999999999</v>
      </c>
      <c r="R29" s="9">
        <f t="shared" si="0"/>
        <v>0.99093750000000003</v>
      </c>
      <c r="S29" s="9">
        <f t="shared" si="1"/>
        <v>-0.99093750000000003</v>
      </c>
      <c r="T29" s="9">
        <f t="shared" si="3"/>
        <v>49.215875000000011</v>
      </c>
      <c r="V29" s="4">
        <v>1119.8</v>
      </c>
      <c r="W29" s="4">
        <v>99.982142857142861</v>
      </c>
      <c r="X29" s="4">
        <v>28000.399999999998</v>
      </c>
      <c r="AA29" s="4">
        <v>12.0892278984656</v>
      </c>
    </row>
    <row r="30" spans="1:27" s="4" customFormat="1" x14ac:dyDescent="0.25">
      <c r="A30" s="68"/>
      <c r="B30" s="5"/>
      <c r="C30" s="6">
        <v>41908</v>
      </c>
      <c r="D30" s="4">
        <v>14.2</v>
      </c>
      <c r="E30" s="4">
        <v>8.5</v>
      </c>
      <c r="F30" s="4">
        <v>19.899999999999999</v>
      </c>
      <c r="G30" s="4">
        <v>391</v>
      </c>
      <c r="J30" s="4">
        <v>0</v>
      </c>
      <c r="K30" s="4">
        <v>25.8</v>
      </c>
      <c r="L30" s="4">
        <v>2.1</v>
      </c>
      <c r="M30" s="4">
        <v>57.499999999999993</v>
      </c>
      <c r="N30" s="8">
        <v>-2.1</v>
      </c>
      <c r="O30" s="4">
        <f t="shared" si="2"/>
        <v>13.200000000000003</v>
      </c>
      <c r="P30" s="4">
        <v>25</v>
      </c>
      <c r="Q30" s="4">
        <f t="shared" si="4"/>
        <v>0.48</v>
      </c>
      <c r="R30" s="9">
        <f t="shared" si="0"/>
        <v>1.008</v>
      </c>
      <c r="S30" s="9">
        <f t="shared" si="1"/>
        <v>-1.008</v>
      </c>
      <c r="T30" s="9">
        <f t="shared" si="3"/>
        <v>48.207875000000008</v>
      </c>
      <c r="V30" s="4">
        <v>1039</v>
      </c>
      <c r="W30" s="4">
        <v>73.16901408450704</v>
      </c>
      <c r="X30" s="4">
        <v>29039.399999999998</v>
      </c>
      <c r="AA30" s="4">
        <v>12.028021773495899</v>
      </c>
    </row>
    <row r="31" spans="1:27" s="4" customFormat="1" x14ac:dyDescent="0.25">
      <c r="A31" s="68"/>
      <c r="B31" s="5"/>
      <c r="C31" s="6">
        <v>41909</v>
      </c>
      <c r="D31" s="4">
        <v>16.899999999999999</v>
      </c>
      <c r="E31" s="4">
        <v>14.4</v>
      </c>
      <c r="F31" s="4">
        <v>21.4</v>
      </c>
      <c r="G31" s="4">
        <v>407.9</v>
      </c>
      <c r="J31" s="4">
        <v>0</v>
      </c>
      <c r="K31" s="4">
        <v>25.8</v>
      </c>
      <c r="L31" s="4">
        <v>2.1</v>
      </c>
      <c r="M31" s="4">
        <v>59.599999999999994</v>
      </c>
      <c r="N31" s="8">
        <v>-2.1</v>
      </c>
      <c r="O31" s="4">
        <f t="shared" si="2"/>
        <v>11.100000000000003</v>
      </c>
      <c r="P31" s="4">
        <v>26</v>
      </c>
      <c r="Q31" s="4">
        <f t="shared" si="4"/>
        <v>0.48812499999999998</v>
      </c>
      <c r="R31" s="9">
        <f t="shared" si="0"/>
        <v>1.0250625</v>
      </c>
      <c r="S31" s="9">
        <f t="shared" si="1"/>
        <v>-1.0250625</v>
      </c>
      <c r="T31" s="9">
        <f t="shared" si="3"/>
        <v>47.182812500000011</v>
      </c>
      <c r="V31" s="4">
        <v>930.3</v>
      </c>
      <c r="W31" s="4">
        <v>55.047337278106511</v>
      </c>
      <c r="X31" s="4">
        <v>29969.699999999997</v>
      </c>
      <c r="AA31" s="4">
        <v>11.9668128590714</v>
      </c>
    </row>
    <row r="32" spans="1:27" s="4" customFormat="1" x14ac:dyDescent="0.25">
      <c r="A32" s="68"/>
      <c r="B32" s="5"/>
      <c r="C32" s="6">
        <v>41910</v>
      </c>
      <c r="D32" s="4">
        <v>16</v>
      </c>
      <c r="E32" s="4">
        <v>11.2</v>
      </c>
      <c r="F32" s="4">
        <v>20.9</v>
      </c>
      <c r="G32" s="4">
        <v>423.9</v>
      </c>
      <c r="J32" s="4">
        <v>0</v>
      </c>
      <c r="K32" s="4">
        <v>25.8</v>
      </c>
      <c r="L32" s="4">
        <v>2.1</v>
      </c>
      <c r="M32" s="4">
        <v>61.699999999999996</v>
      </c>
      <c r="N32" s="8">
        <v>-2.1</v>
      </c>
      <c r="O32" s="4">
        <f t="shared" si="2"/>
        <v>9.0000000000000036</v>
      </c>
      <c r="P32" s="4">
        <v>27</v>
      </c>
      <c r="Q32" s="4">
        <f t="shared" si="4"/>
        <v>0.49624999999999997</v>
      </c>
      <c r="R32" s="9">
        <f t="shared" si="0"/>
        <v>1.042125</v>
      </c>
      <c r="S32" s="9">
        <f t="shared" si="1"/>
        <v>-1.042125</v>
      </c>
      <c r="T32" s="9">
        <f t="shared" si="3"/>
        <v>46.140687500000013</v>
      </c>
      <c r="V32" s="4">
        <v>1186.9000000000001</v>
      </c>
      <c r="W32" s="4">
        <v>74.181250000000006</v>
      </c>
      <c r="X32" s="4">
        <v>31156.6</v>
      </c>
      <c r="AA32" s="4">
        <v>11.9056066249754</v>
      </c>
    </row>
    <row r="33" spans="1:27" s="4" customFormat="1" x14ac:dyDescent="0.25">
      <c r="A33" s="68"/>
      <c r="B33" s="5"/>
      <c r="C33" s="6">
        <v>41911</v>
      </c>
      <c r="D33" s="4">
        <v>17</v>
      </c>
      <c r="E33" s="4">
        <v>14.5</v>
      </c>
      <c r="F33" s="4">
        <v>20.399999999999999</v>
      </c>
      <c r="G33" s="4">
        <v>440.9</v>
      </c>
      <c r="J33" s="4">
        <v>5.4</v>
      </c>
      <c r="K33" s="4">
        <v>31.200000000000003</v>
      </c>
      <c r="L33" s="4">
        <v>1.3</v>
      </c>
      <c r="M33" s="4">
        <v>62.999999999999993</v>
      </c>
      <c r="N33" s="4">
        <v>4.1000000000000005</v>
      </c>
      <c r="O33" s="4">
        <f t="shared" si="2"/>
        <v>13.100000000000005</v>
      </c>
      <c r="P33" s="4">
        <v>28</v>
      </c>
      <c r="Q33" s="4">
        <f t="shared" si="4"/>
        <v>0.50437500000000002</v>
      </c>
      <c r="R33" s="9">
        <f t="shared" si="0"/>
        <v>0.65568750000000009</v>
      </c>
      <c r="S33" s="9">
        <f t="shared" si="1"/>
        <v>4.7443125000000004</v>
      </c>
      <c r="T33" s="9">
        <f t="shared" si="3"/>
        <v>50.885000000000012</v>
      </c>
      <c r="V33" s="10">
        <v>607.1</v>
      </c>
      <c r="W33" s="4">
        <v>35.711764705882352</v>
      </c>
      <c r="X33" s="4">
        <v>31763.699999999997</v>
      </c>
      <c r="AA33" s="4">
        <v>11.8444086255583</v>
      </c>
    </row>
    <row r="34" spans="1:27" s="4" customFormat="1" x14ac:dyDescent="0.25">
      <c r="A34" s="68"/>
      <c r="B34" s="5"/>
      <c r="C34" s="6">
        <v>41912</v>
      </c>
      <c r="D34" s="4">
        <v>15.9</v>
      </c>
      <c r="E34" s="4">
        <v>12.6</v>
      </c>
      <c r="F34" s="4">
        <v>20.9</v>
      </c>
      <c r="G34" s="4">
        <v>456.79999999999995</v>
      </c>
      <c r="J34" s="4">
        <v>0.1</v>
      </c>
      <c r="K34" s="4">
        <v>31.300000000000004</v>
      </c>
      <c r="L34" s="4">
        <v>2.2000000000000002</v>
      </c>
      <c r="M34" s="4">
        <v>65.199999999999989</v>
      </c>
      <c r="N34" s="8">
        <v>-2.1</v>
      </c>
      <c r="O34" s="4">
        <f t="shared" si="2"/>
        <v>11.000000000000005</v>
      </c>
      <c r="P34" s="4">
        <v>29</v>
      </c>
      <c r="Q34" s="4">
        <f t="shared" si="4"/>
        <v>0.51249999999999996</v>
      </c>
      <c r="R34" s="9">
        <f t="shared" si="0"/>
        <v>1.1274999999999999</v>
      </c>
      <c r="S34" s="9">
        <f t="shared" si="1"/>
        <v>-1.0274999999999999</v>
      </c>
      <c r="T34" s="9">
        <f t="shared" si="3"/>
        <v>49.857500000000016</v>
      </c>
      <c r="V34" s="4">
        <v>1072.5999999999999</v>
      </c>
      <c r="W34" s="4">
        <v>67.459119496855337</v>
      </c>
      <c r="X34" s="4">
        <v>32836.299999999996</v>
      </c>
      <c r="AA34" s="4">
        <v>11.7832245178004</v>
      </c>
    </row>
    <row r="35" spans="1:27" s="4" customFormat="1" x14ac:dyDescent="0.25">
      <c r="A35" s="68"/>
      <c r="B35" s="5"/>
      <c r="C35" s="6">
        <v>41913</v>
      </c>
      <c r="D35" s="4">
        <v>16</v>
      </c>
      <c r="E35" s="4">
        <v>10.9</v>
      </c>
      <c r="F35" s="4">
        <v>21.9</v>
      </c>
      <c r="G35" s="4">
        <v>472.79999999999995</v>
      </c>
      <c r="J35" s="4">
        <v>0.2</v>
      </c>
      <c r="K35" s="4">
        <v>31.500000000000004</v>
      </c>
      <c r="L35" s="4">
        <v>2.2999999999999998</v>
      </c>
      <c r="M35" s="4">
        <v>67.499999999999986</v>
      </c>
      <c r="N35" s="8">
        <v>-2.0999999999999996</v>
      </c>
      <c r="O35" s="4">
        <f t="shared" si="2"/>
        <v>8.9000000000000057</v>
      </c>
      <c r="P35" s="4">
        <v>30</v>
      </c>
      <c r="Q35" s="4">
        <f t="shared" si="4"/>
        <v>0.520625</v>
      </c>
      <c r="R35" s="9">
        <f t="shared" si="0"/>
        <v>1.1974374999999999</v>
      </c>
      <c r="S35" s="9">
        <f t="shared" si="1"/>
        <v>-0.99743749999999998</v>
      </c>
      <c r="T35" s="9">
        <f t="shared" si="3"/>
        <v>48.860062500000019</v>
      </c>
      <c r="V35" s="4">
        <v>1157.3</v>
      </c>
      <c r="W35" s="4">
        <v>72.331249999999997</v>
      </c>
      <c r="X35" s="4">
        <v>33993.599999999999</v>
      </c>
      <c r="AA35" s="4">
        <v>11.7220600795062</v>
      </c>
    </row>
    <row r="36" spans="1:27" s="4" customFormat="1" x14ac:dyDescent="0.25">
      <c r="A36" s="68"/>
      <c r="B36" s="5"/>
      <c r="C36" s="6">
        <v>41914</v>
      </c>
      <c r="D36" s="4">
        <v>15.8</v>
      </c>
      <c r="E36" s="4">
        <v>14.7</v>
      </c>
      <c r="F36" s="4">
        <v>18.7</v>
      </c>
      <c r="G36" s="4">
        <v>488.59999999999997</v>
      </c>
      <c r="J36" s="4">
        <v>0.1</v>
      </c>
      <c r="K36" s="4">
        <v>31.600000000000005</v>
      </c>
      <c r="L36" s="4">
        <v>0.9</v>
      </c>
      <c r="M36" s="4">
        <v>68.399999999999991</v>
      </c>
      <c r="N36" s="8">
        <v>-0.8</v>
      </c>
      <c r="O36" s="4">
        <f t="shared" si="2"/>
        <v>8.100000000000005</v>
      </c>
      <c r="P36" s="4">
        <v>31</v>
      </c>
      <c r="Q36" s="4">
        <f t="shared" si="4"/>
        <v>0.52875000000000005</v>
      </c>
      <c r="R36" s="9">
        <f t="shared" si="0"/>
        <v>0.47587500000000005</v>
      </c>
      <c r="S36" s="9">
        <f t="shared" si="1"/>
        <v>-0.37587500000000007</v>
      </c>
      <c r="T36" s="9">
        <f t="shared" si="3"/>
        <v>48.484187500000019</v>
      </c>
      <c r="V36" s="10">
        <v>390.3</v>
      </c>
      <c r="W36" s="4">
        <v>24.702531645569621</v>
      </c>
      <c r="X36" s="4">
        <v>34383.9</v>
      </c>
      <c r="AA36" s="4">
        <v>11.6609212276372</v>
      </c>
    </row>
    <row r="37" spans="1:27" s="4" customFormat="1" x14ac:dyDescent="0.25">
      <c r="A37" s="68"/>
      <c r="B37" s="5"/>
      <c r="C37" s="6">
        <v>41915</v>
      </c>
      <c r="D37" s="4">
        <v>15.2</v>
      </c>
      <c r="E37" s="4">
        <v>9.4</v>
      </c>
      <c r="F37" s="4">
        <v>22</v>
      </c>
      <c r="G37" s="4">
        <v>503.79999999999995</v>
      </c>
      <c r="J37" s="4">
        <v>0</v>
      </c>
      <c r="K37" s="4">
        <v>31.600000000000005</v>
      </c>
      <c r="L37" s="4">
        <v>1.7</v>
      </c>
      <c r="M37" s="4">
        <v>70.099999999999994</v>
      </c>
      <c r="N37" s="8">
        <v>-1.7</v>
      </c>
      <c r="O37" s="4">
        <f t="shared" si="2"/>
        <v>6.4000000000000048</v>
      </c>
      <c r="P37" s="4">
        <v>32</v>
      </c>
      <c r="Q37" s="4">
        <f t="shared" si="4"/>
        <v>0.53687499999999999</v>
      </c>
      <c r="R37" s="9">
        <f t="shared" si="0"/>
        <v>0.91268749999999998</v>
      </c>
      <c r="S37" s="9">
        <f t="shared" si="1"/>
        <v>-0.91268749999999998</v>
      </c>
      <c r="T37" s="9">
        <f t="shared" si="3"/>
        <v>47.571500000000022</v>
      </c>
      <c r="V37" s="10">
        <v>865.6</v>
      </c>
      <c r="W37" s="4">
        <v>56.947368421052637</v>
      </c>
      <c r="X37" s="4">
        <v>35249.5</v>
      </c>
      <c r="AA37" s="4">
        <v>11.599814036787199</v>
      </c>
    </row>
    <row r="38" spans="1:27" s="4" customFormat="1" x14ac:dyDescent="0.25">
      <c r="A38" s="68"/>
      <c r="B38" s="5"/>
      <c r="C38" s="6">
        <v>41916</v>
      </c>
      <c r="D38" s="4">
        <v>13.8</v>
      </c>
      <c r="E38" s="4">
        <v>9.3000000000000007</v>
      </c>
      <c r="F38" s="4">
        <v>21</v>
      </c>
      <c r="G38" s="4">
        <v>517.59999999999991</v>
      </c>
      <c r="J38" s="4">
        <v>6</v>
      </c>
      <c r="K38" s="4">
        <v>37.600000000000009</v>
      </c>
      <c r="L38" s="4">
        <v>1.9</v>
      </c>
      <c r="M38" s="4">
        <v>72</v>
      </c>
      <c r="N38" s="4">
        <v>4.0999999999999996</v>
      </c>
      <c r="O38" s="4">
        <f t="shared" si="2"/>
        <v>10.500000000000004</v>
      </c>
      <c r="P38" s="4">
        <v>33</v>
      </c>
      <c r="Q38" s="4">
        <f t="shared" si="4"/>
        <v>0.54499999999999993</v>
      </c>
      <c r="R38" s="9">
        <f t="shared" si="0"/>
        <v>1.0354999999999999</v>
      </c>
      <c r="S38" s="9">
        <f t="shared" si="1"/>
        <v>4.9645000000000001</v>
      </c>
      <c r="T38" s="9">
        <f t="shared" si="3"/>
        <v>52.536000000000023</v>
      </c>
      <c r="V38" s="10">
        <v>636.70000000000005</v>
      </c>
      <c r="W38" s="4">
        <v>46.137681159420289</v>
      </c>
      <c r="X38" s="4">
        <v>35886.199999999997</v>
      </c>
      <c r="AA38" s="4">
        <v>11.538744757803499</v>
      </c>
    </row>
    <row r="39" spans="1:27" s="4" customFormat="1" x14ac:dyDescent="0.25">
      <c r="A39" s="68"/>
      <c r="B39" s="5"/>
      <c r="C39" s="6">
        <v>41917</v>
      </c>
      <c r="D39" s="4">
        <v>12.1</v>
      </c>
      <c r="E39" s="4">
        <v>9.6999999999999993</v>
      </c>
      <c r="F39" s="4">
        <v>14.8</v>
      </c>
      <c r="G39" s="4">
        <v>529.69999999999993</v>
      </c>
      <c r="J39" s="4">
        <v>0</v>
      </c>
      <c r="K39" s="4">
        <v>37.600000000000009</v>
      </c>
      <c r="L39" s="4">
        <v>1.8</v>
      </c>
      <c r="M39" s="4">
        <v>73.8</v>
      </c>
      <c r="N39" s="8">
        <v>-1.8</v>
      </c>
      <c r="O39" s="4">
        <f t="shared" si="2"/>
        <v>8.7000000000000028</v>
      </c>
      <c r="P39" s="4">
        <v>34</v>
      </c>
      <c r="Q39" s="4">
        <f t="shared" si="4"/>
        <v>0.55312499999999998</v>
      </c>
      <c r="R39" s="9">
        <f t="shared" si="0"/>
        <v>0.99562499999999998</v>
      </c>
      <c r="S39" s="9">
        <f t="shared" si="1"/>
        <v>-0.99562499999999998</v>
      </c>
      <c r="T39" s="9">
        <f t="shared" si="3"/>
        <v>51.540375000000026</v>
      </c>
      <c r="V39" s="10">
        <v>865.6</v>
      </c>
      <c r="W39" s="4">
        <v>71.537190082644628</v>
      </c>
      <c r="X39" s="4">
        <v>36751.799999999996</v>
      </c>
      <c r="AA39" s="4">
        <v>11.477719836557</v>
      </c>
    </row>
    <row r="40" spans="1:27" s="4" customFormat="1" x14ac:dyDescent="0.25">
      <c r="A40" s="68"/>
      <c r="B40" s="5"/>
      <c r="C40" s="6">
        <v>41918</v>
      </c>
      <c r="D40" s="4">
        <v>11.1</v>
      </c>
      <c r="E40" s="4">
        <v>7.8</v>
      </c>
      <c r="F40" s="4">
        <v>13.6</v>
      </c>
      <c r="G40" s="4">
        <v>540.79999999999995</v>
      </c>
      <c r="J40" s="4">
        <v>4.7</v>
      </c>
      <c r="K40" s="4">
        <v>42.300000000000011</v>
      </c>
      <c r="L40" s="4">
        <v>0.9</v>
      </c>
      <c r="M40" s="4">
        <v>74.7</v>
      </c>
      <c r="N40" s="4">
        <v>3.8000000000000003</v>
      </c>
      <c r="O40" s="4">
        <f t="shared" si="2"/>
        <v>12.500000000000004</v>
      </c>
      <c r="P40" s="4">
        <v>35</v>
      </c>
      <c r="Q40" s="4">
        <f t="shared" si="4"/>
        <v>0.56125000000000003</v>
      </c>
      <c r="R40" s="9">
        <f t="shared" si="0"/>
        <v>0.50512500000000005</v>
      </c>
      <c r="S40" s="9">
        <f t="shared" si="1"/>
        <v>4.1948749999999997</v>
      </c>
      <c r="T40" s="9">
        <f t="shared" si="3"/>
        <v>55.735250000000022</v>
      </c>
      <c r="V40" s="10">
        <v>622.29999999999995</v>
      </c>
      <c r="W40" s="4">
        <v>56.063063063063062</v>
      </c>
      <c r="X40" s="4">
        <v>37374.1</v>
      </c>
      <c r="AA40" s="4">
        <v>11.4167459328616</v>
      </c>
    </row>
    <row r="41" spans="1:27" s="4" customFormat="1" x14ac:dyDescent="0.25">
      <c r="A41" s="68"/>
      <c r="B41" s="5"/>
      <c r="C41" s="6">
        <v>41919</v>
      </c>
      <c r="D41" s="4">
        <v>11.7</v>
      </c>
      <c r="E41" s="4">
        <v>10.3</v>
      </c>
      <c r="F41" s="4">
        <v>13.9</v>
      </c>
      <c r="G41" s="4">
        <v>552.5</v>
      </c>
      <c r="J41" s="4">
        <v>1.3</v>
      </c>
      <c r="K41" s="4">
        <v>43.600000000000009</v>
      </c>
      <c r="L41" s="4">
        <v>1.5</v>
      </c>
      <c r="M41" s="4">
        <v>76.2</v>
      </c>
      <c r="N41" s="8">
        <v>-0.19999999999999996</v>
      </c>
      <c r="O41" s="4">
        <f t="shared" si="2"/>
        <v>12.300000000000004</v>
      </c>
      <c r="P41" s="4">
        <v>36</v>
      </c>
      <c r="Q41" s="4">
        <f t="shared" si="4"/>
        <v>0.56937499999999996</v>
      </c>
      <c r="R41" s="9">
        <f t="shared" si="0"/>
        <v>0.85406249999999995</v>
      </c>
      <c r="S41" s="9">
        <f t="shared" si="1"/>
        <v>0.4459375000000001</v>
      </c>
      <c r="T41" s="9">
        <f t="shared" si="3"/>
        <v>56.181187500000021</v>
      </c>
      <c r="V41" s="10">
        <v>825.7</v>
      </c>
      <c r="W41" s="4">
        <v>70.572649572649581</v>
      </c>
      <c r="X41" s="4">
        <v>38199.799999999996</v>
      </c>
      <c r="AA41" s="4">
        <v>11.355829939541399</v>
      </c>
    </row>
    <row r="42" spans="1:27" s="4" customFormat="1" x14ac:dyDescent="0.25">
      <c r="A42" s="68"/>
      <c r="B42" s="5"/>
      <c r="C42" s="6">
        <v>41920</v>
      </c>
      <c r="D42" s="4">
        <v>13.8</v>
      </c>
      <c r="E42" s="4">
        <v>9.1</v>
      </c>
      <c r="F42" s="4">
        <v>16.3</v>
      </c>
      <c r="G42" s="4">
        <v>566.29999999999995</v>
      </c>
      <c r="J42" s="4">
        <v>8.8000000000000007</v>
      </c>
      <c r="K42" s="4">
        <v>52.400000000000006</v>
      </c>
      <c r="L42" s="4">
        <v>0.4</v>
      </c>
      <c r="M42" s="4">
        <v>76.600000000000009</v>
      </c>
      <c r="N42" s="4">
        <v>8.4</v>
      </c>
      <c r="O42" s="4">
        <f t="shared" si="2"/>
        <v>20.700000000000003</v>
      </c>
      <c r="P42" s="4">
        <v>37</v>
      </c>
      <c r="Q42" s="4">
        <f t="shared" si="4"/>
        <v>0.5774999999999999</v>
      </c>
      <c r="R42" s="9">
        <f t="shared" si="0"/>
        <v>0.23099999999999998</v>
      </c>
      <c r="S42" s="9">
        <f t="shared" si="1"/>
        <v>8.5690000000000008</v>
      </c>
      <c r="T42" s="9">
        <f t="shared" si="3"/>
        <v>64.750187500000024</v>
      </c>
      <c r="V42" s="10">
        <v>279.7</v>
      </c>
      <c r="W42" s="4">
        <v>20.268115942028984</v>
      </c>
      <c r="X42" s="4">
        <v>38479.499999999993</v>
      </c>
      <c r="AA42" s="4">
        <v>11.2949790016434</v>
      </c>
    </row>
    <row r="43" spans="1:27" s="4" customFormat="1" x14ac:dyDescent="0.25">
      <c r="A43" s="68"/>
      <c r="B43" s="5"/>
      <c r="C43" s="6">
        <v>41921</v>
      </c>
      <c r="D43" s="4">
        <v>14.8</v>
      </c>
      <c r="E43" s="4">
        <v>13.1</v>
      </c>
      <c r="F43" s="4">
        <v>17.600000000000001</v>
      </c>
      <c r="G43" s="4">
        <v>581.09999999999991</v>
      </c>
      <c r="J43" s="4">
        <v>0.9</v>
      </c>
      <c r="K43" s="4">
        <v>53.300000000000004</v>
      </c>
      <c r="L43" s="4">
        <v>1.7</v>
      </c>
      <c r="M43" s="4">
        <v>78.300000000000011</v>
      </c>
      <c r="N43" s="8">
        <v>-0.79999999999999993</v>
      </c>
      <c r="O43" s="4">
        <f t="shared" si="2"/>
        <v>19.900000000000002</v>
      </c>
      <c r="P43" s="4">
        <v>38</v>
      </c>
      <c r="Q43" s="4">
        <f t="shared" si="4"/>
        <v>0.58562499999999995</v>
      </c>
      <c r="R43" s="9">
        <f t="shared" si="0"/>
        <v>0.99556249999999991</v>
      </c>
      <c r="S43" s="9">
        <f t="shared" si="1"/>
        <v>-9.5562499999999884E-2</v>
      </c>
      <c r="T43" s="9">
        <f t="shared" si="3"/>
        <v>64.654625000000024</v>
      </c>
      <c r="V43" s="10">
        <v>640.5</v>
      </c>
      <c r="W43" s="4">
        <v>43.277027027027025</v>
      </c>
      <c r="X43" s="4">
        <v>39119.999999999993</v>
      </c>
      <c r="AA43" s="4">
        <v>11.2342005357897</v>
      </c>
    </row>
    <row r="44" spans="1:27" s="4" customFormat="1" x14ac:dyDescent="0.25">
      <c r="A44" s="68"/>
      <c r="B44" s="5"/>
      <c r="C44" s="6">
        <v>41922</v>
      </c>
      <c r="D44" s="4">
        <v>12.8</v>
      </c>
      <c r="E44" s="4">
        <v>10.7</v>
      </c>
      <c r="F44" s="4">
        <v>16.5</v>
      </c>
      <c r="G44" s="4">
        <v>593.89999999999986</v>
      </c>
      <c r="J44" s="4">
        <v>2.2000000000000002</v>
      </c>
      <c r="K44" s="4">
        <v>55.500000000000007</v>
      </c>
      <c r="L44" s="4">
        <v>1.7</v>
      </c>
      <c r="M44" s="4">
        <v>80.000000000000014</v>
      </c>
      <c r="N44" s="4">
        <v>0.50000000000000022</v>
      </c>
      <c r="O44" s="4">
        <f t="shared" si="2"/>
        <v>20.400000000000002</v>
      </c>
      <c r="P44" s="4">
        <v>39</v>
      </c>
      <c r="Q44" s="4">
        <f t="shared" si="4"/>
        <v>0.59375</v>
      </c>
      <c r="R44" s="9">
        <f t="shared" si="0"/>
        <v>1.0093749999999999</v>
      </c>
      <c r="S44" s="9">
        <f t="shared" si="1"/>
        <v>1.1906250000000003</v>
      </c>
      <c r="T44" s="9">
        <f t="shared" si="3"/>
        <v>65.845250000000021</v>
      </c>
      <c r="V44" s="10">
        <v>807.5</v>
      </c>
      <c r="W44" s="4">
        <v>63.0859375</v>
      </c>
      <c r="X44" s="4">
        <v>39927.499999999993</v>
      </c>
      <c r="AA44" s="4">
        <v>11.173502249662</v>
      </c>
    </row>
    <row r="45" spans="1:27" s="4" customFormat="1" x14ac:dyDescent="0.25">
      <c r="A45" s="68"/>
      <c r="B45" s="5"/>
      <c r="C45" s="6">
        <v>41923</v>
      </c>
      <c r="D45" s="4">
        <v>12.5</v>
      </c>
      <c r="E45" s="4">
        <v>10</v>
      </c>
      <c r="F45" s="4">
        <v>16.399999999999999</v>
      </c>
      <c r="G45" s="4">
        <v>606.39999999999986</v>
      </c>
      <c r="J45" s="4">
        <v>9.6</v>
      </c>
      <c r="K45" s="4">
        <v>65.100000000000009</v>
      </c>
      <c r="L45" s="4">
        <v>1.2</v>
      </c>
      <c r="M45" s="4">
        <v>81.200000000000017</v>
      </c>
      <c r="N45" s="4">
        <v>8.4</v>
      </c>
      <c r="O45" s="4">
        <f t="shared" si="2"/>
        <v>28.800000000000004</v>
      </c>
      <c r="P45" s="4">
        <v>40</v>
      </c>
      <c r="Q45" s="4">
        <f t="shared" si="4"/>
        <v>0.60187499999999994</v>
      </c>
      <c r="R45" s="9">
        <f t="shared" si="0"/>
        <v>0.72224999999999995</v>
      </c>
      <c r="S45" s="9">
        <f t="shared" si="1"/>
        <v>8.8777499999999989</v>
      </c>
      <c r="T45" s="9">
        <f t="shared" si="3"/>
        <v>74.723000000000013</v>
      </c>
      <c r="V45" s="10">
        <v>564.9</v>
      </c>
      <c r="W45" s="4">
        <v>45.192</v>
      </c>
      <c r="X45" s="4">
        <v>40492.399999999994</v>
      </c>
      <c r="AA45" s="4">
        <v>11.112892161608199</v>
      </c>
    </row>
    <row r="46" spans="1:27" s="4" customFormat="1" x14ac:dyDescent="0.25">
      <c r="A46" s="68"/>
      <c r="B46" s="5"/>
      <c r="C46" s="6">
        <v>41924</v>
      </c>
      <c r="D46" s="4">
        <v>12.2</v>
      </c>
      <c r="E46" s="4">
        <v>8.6</v>
      </c>
      <c r="F46" s="4">
        <v>14.7</v>
      </c>
      <c r="G46" s="4">
        <v>618.59999999999991</v>
      </c>
      <c r="J46" s="4">
        <v>3.2</v>
      </c>
      <c r="K46" s="4">
        <v>68.300000000000011</v>
      </c>
      <c r="L46" s="4">
        <v>0.7</v>
      </c>
      <c r="M46" s="4">
        <v>81.90000000000002</v>
      </c>
      <c r="N46" s="4">
        <v>2.5</v>
      </c>
      <c r="O46" s="4">
        <f t="shared" si="2"/>
        <v>31.300000000000004</v>
      </c>
      <c r="P46" s="4">
        <v>41</v>
      </c>
      <c r="Q46" s="4">
        <f t="shared" si="4"/>
        <v>0.61</v>
      </c>
      <c r="R46" s="9">
        <f t="shared" si="0"/>
        <v>0.42699999999999999</v>
      </c>
      <c r="S46" s="9">
        <f t="shared" si="1"/>
        <v>2.7730000000000001</v>
      </c>
      <c r="T46" s="9">
        <f t="shared" si="3"/>
        <v>77.496000000000009</v>
      </c>
      <c r="V46" s="10">
        <v>349.8</v>
      </c>
      <c r="W46" s="4">
        <v>28.672131147540988</v>
      </c>
      <c r="X46" s="4">
        <v>40842.199999999997</v>
      </c>
      <c r="AA46" s="4">
        <v>11.0523786203561</v>
      </c>
    </row>
    <row r="47" spans="1:27" s="4" customFormat="1" x14ac:dyDescent="0.25">
      <c r="A47" s="68"/>
      <c r="B47" s="5"/>
      <c r="C47" s="6">
        <v>41925</v>
      </c>
      <c r="D47" s="4">
        <v>13.6</v>
      </c>
      <c r="E47" s="4">
        <v>12.6</v>
      </c>
      <c r="F47" s="4">
        <v>15.8</v>
      </c>
      <c r="G47" s="4">
        <v>632.19999999999993</v>
      </c>
      <c r="J47" s="4">
        <v>0</v>
      </c>
      <c r="K47" s="4">
        <v>68.300000000000011</v>
      </c>
      <c r="L47" s="4">
        <v>1.6</v>
      </c>
      <c r="M47" s="4">
        <v>83.500000000000014</v>
      </c>
      <c r="N47" s="8">
        <v>-1.6</v>
      </c>
      <c r="O47" s="4">
        <f t="shared" si="2"/>
        <v>29.700000000000003</v>
      </c>
      <c r="P47" s="4">
        <v>42</v>
      </c>
      <c r="Q47" s="4">
        <f t="shared" si="4"/>
        <v>0.61812500000000004</v>
      </c>
      <c r="R47" s="9">
        <f t="shared" si="0"/>
        <v>0.9890000000000001</v>
      </c>
      <c r="S47" s="9">
        <f t="shared" si="1"/>
        <v>-0.9890000000000001</v>
      </c>
      <c r="T47" s="9">
        <f t="shared" si="3"/>
        <v>76.507000000000005</v>
      </c>
      <c r="V47" s="10">
        <v>503.1</v>
      </c>
      <c r="W47" s="4">
        <v>36.992647058823529</v>
      </c>
      <c r="X47" s="4">
        <v>41345.299999999996</v>
      </c>
      <c r="AA47" s="4">
        <v>10.9919703248208</v>
      </c>
    </row>
    <row r="48" spans="1:27" s="4" customFormat="1" x14ac:dyDescent="0.25">
      <c r="A48" s="68"/>
      <c r="B48" s="5"/>
      <c r="C48" s="6">
        <v>41926</v>
      </c>
      <c r="D48" s="4">
        <v>11.5</v>
      </c>
      <c r="E48" s="4">
        <v>9.1</v>
      </c>
      <c r="F48" s="4">
        <v>16</v>
      </c>
      <c r="G48" s="4">
        <v>643.69999999999993</v>
      </c>
      <c r="J48" s="4">
        <v>0.1</v>
      </c>
      <c r="K48" s="4">
        <v>68.400000000000006</v>
      </c>
      <c r="L48" s="4">
        <v>1.7</v>
      </c>
      <c r="M48" s="4">
        <v>85.200000000000017</v>
      </c>
      <c r="N48" s="8">
        <v>-1.5999999999999999</v>
      </c>
      <c r="O48" s="4">
        <f t="shared" si="2"/>
        <v>28.1</v>
      </c>
      <c r="P48" s="4">
        <v>43</v>
      </c>
      <c r="Q48" s="4">
        <f t="shared" si="4"/>
        <v>0.62624999999999997</v>
      </c>
      <c r="R48" s="9">
        <f t="shared" si="0"/>
        <v>1.0646249999999999</v>
      </c>
      <c r="S48" s="9">
        <f t="shared" si="1"/>
        <v>-0.96462499999999995</v>
      </c>
      <c r="T48" s="9">
        <f t="shared" si="3"/>
        <v>75.542375000000007</v>
      </c>
      <c r="V48" s="10">
        <v>710.6</v>
      </c>
      <c r="W48" s="4">
        <v>61.791304347826092</v>
      </c>
      <c r="X48" s="4">
        <v>42055.899999999994</v>
      </c>
      <c r="AA48" s="4">
        <v>10.931676343982099</v>
      </c>
    </row>
    <row r="49" spans="1:27" s="4" customFormat="1" x14ac:dyDescent="0.25">
      <c r="A49" s="68"/>
      <c r="B49" s="5"/>
      <c r="C49" s="6">
        <v>41927</v>
      </c>
      <c r="D49" s="4">
        <v>11.7</v>
      </c>
      <c r="E49" s="4">
        <v>8.1</v>
      </c>
      <c r="F49" s="4">
        <v>14</v>
      </c>
      <c r="G49" s="4">
        <v>655.4</v>
      </c>
      <c r="J49" s="4">
        <v>2.4</v>
      </c>
      <c r="K49" s="4">
        <v>70.800000000000011</v>
      </c>
      <c r="L49" s="4">
        <v>0.2</v>
      </c>
      <c r="M49" s="4">
        <v>85.40000000000002</v>
      </c>
      <c r="N49" s="4">
        <v>2.1999999999999997</v>
      </c>
      <c r="O49" s="4">
        <f t="shared" si="2"/>
        <v>30.3</v>
      </c>
      <c r="P49" s="4">
        <v>44</v>
      </c>
      <c r="Q49" s="4">
        <f t="shared" si="4"/>
        <v>0.63437499999999991</v>
      </c>
      <c r="R49" s="9">
        <f t="shared" si="0"/>
        <v>0.12687499999999999</v>
      </c>
      <c r="S49" s="9">
        <f t="shared" si="1"/>
        <v>2.2731249999999998</v>
      </c>
      <c r="T49" s="9">
        <f t="shared" si="3"/>
        <v>77.8155</v>
      </c>
      <c r="V49" s="10">
        <v>248.2</v>
      </c>
      <c r="W49" s="4">
        <v>21.213675213675213</v>
      </c>
      <c r="X49" s="4">
        <v>42304.099999999991</v>
      </c>
      <c r="AA49" s="4">
        <v>10.8715061368113</v>
      </c>
    </row>
    <row r="50" spans="1:27" s="4" customFormat="1" x14ac:dyDescent="0.25">
      <c r="A50" s="68"/>
      <c r="B50" s="5"/>
      <c r="C50" s="6">
        <v>41928</v>
      </c>
      <c r="D50" s="4">
        <v>15.3</v>
      </c>
      <c r="E50" s="4">
        <v>13.6</v>
      </c>
      <c r="F50" s="4">
        <v>17.600000000000001</v>
      </c>
      <c r="G50" s="4">
        <v>670.69999999999993</v>
      </c>
      <c r="J50" s="4">
        <v>12.3</v>
      </c>
      <c r="K50" s="4">
        <v>83.100000000000009</v>
      </c>
      <c r="L50" s="4">
        <v>1.3</v>
      </c>
      <c r="M50" s="4">
        <v>86.700000000000017</v>
      </c>
      <c r="N50" s="4">
        <v>11</v>
      </c>
      <c r="O50" s="4">
        <f t="shared" si="2"/>
        <v>41.3</v>
      </c>
      <c r="P50" s="4">
        <v>45</v>
      </c>
      <c r="Q50" s="4">
        <f t="shared" si="4"/>
        <v>0.64250000000000007</v>
      </c>
      <c r="R50" s="9">
        <f t="shared" si="0"/>
        <v>0.83525000000000016</v>
      </c>
      <c r="S50" s="9">
        <f t="shared" si="1"/>
        <v>11.46475</v>
      </c>
      <c r="T50" s="9">
        <f t="shared" si="3"/>
        <v>89.280249999999995</v>
      </c>
      <c r="V50" s="10">
        <v>592.20000000000005</v>
      </c>
      <c r="W50" s="4">
        <v>38.705882352941181</v>
      </c>
      <c r="X50" s="4">
        <v>42896.299999999988</v>
      </c>
      <c r="AA50" s="4">
        <v>10.811469572217</v>
      </c>
    </row>
    <row r="51" spans="1:27" s="4" customFormat="1" x14ac:dyDescent="0.25">
      <c r="A51" s="68"/>
      <c r="B51" s="5"/>
      <c r="C51" s="6">
        <v>41929</v>
      </c>
      <c r="D51" s="4">
        <v>14.7</v>
      </c>
      <c r="E51" s="4">
        <v>12.6</v>
      </c>
      <c r="F51" s="4">
        <v>17</v>
      </c>
      <c r="G51" s="4">
        <v>685.4</v>
      </c>
      <c r="J51" s="4">
        <v>0</v>
      </c>
      <c r="K51" s="4">
        <v>83.100000000000009</v>
      </c>
      <c r="L51" s="4">
        <v>0.8</v>
      </c>
      <c r="M51" s="4">
        <v>87.500000000000014</v>
      </c>
      <c r="N51" s="8">
        <v>-0.8</v>
      </c>
      <c r="O51" s="4">
        <f t="shared" si="2"/>
        <v>40.5</v>
      </c>
      <c r="P51" s="4">
        <v>46</v>
      </c>
      <c r="Q51" s="4">
        <f t="shared" si="4"/>
        <v>0.65062500000000001</v>
      </c>
      <c r="R51" s="9">
        <f t="shared" si="0"/>
        <v>0.52050000000000007</v>
      </c>
      <c r="S51" s="9">
        <f t="shared" si="1"/>
        <v>-0.52050000000000007</v>
      </c>
      <c r="T51" s="9">
        <f t="shared" si="3"/>
        <v>88.759749999999997</v>
      </c>
      <c r="V51" s="10">
        <v>384.8</v>
      </c>
      <c r="W51" s="4">
        <v>26.176870748299322</v>
      </c>
      <c r="X51" s="4">
        <v>43281.099999999991</v>
      </c>
      <c r="AA51" s="4">
        <v>10.7515769489798</v>
      </c>
    </row>
    <row r="52" spans="1:27" s="4" customFormat="1" x14ac:dyDescent="0.25">
      <c r="A52" s="68"/>
      <c r="B52" s="5"/>
      <c r="C52" s="6">
        <v>41930</v>
      </c>
      <c r="D52" s="4">
        <v>17.3</v>
      </c>
      <c r="E52" s="4">
        <v>13.9</v>
      </c>
      <c r="F52" s="4">
        <v>21.8</v>
      </c>
      <c r="G52" s="4">
        <v>702.69999999999993</v>
      </c>
      <c r="J52" s="4">
        <v>0.1</v>
      </c>
      <c r="K52" s="4">
        <v>83.2</v>
      </c>
      <c r="L52" s="4">
        <v>2.2000000000000002</v>
      </c>
      <c r="M52" s="4">
        <v>89.700000000000017</v>
      </c>
      <c r="N52" s="8">
        <v>-2.1</v>
      </c>
      <c r="O52" s="4">
        <f t="shared" si="2"/>
        <v>38.4</v>
      </c>
      <c r="P52" s="4">
        <v>47</v>
      </c>
      <c r="Q52" s="4">
        <f t="shared" si="4"/>
        <v>0.65874999999999995</v>
      </c>
      <c r="R52" s="9">
        <f t="shared" si="0"/>
        <v>1.4492499999999999</v>
      </c>
      <c r="S52" s="9">
        <f t="shared" si="1"/>
        <v>-1.3492499999999998</v>
      </c>
      <c r="T52" s="9">
        <f t="shared" si="3"/>
        <v>87.410499999999999</v>
      </c>
      <c r="V52" s="4">
        <v>1055.5999999999999</v>
      </c>
      <c r="W52" s="4">
        <v>61.017341040462419</v>
      </c>
      <c r="X52" s="4">
        <v>44336.69999999999</v>
      </c>
      <c r="AA52" s="4">
        <v>10.691839015636999</v>
      </c>
    </row>
    <row r="53" spans="1:27" s="4" customFormat="1" x14ac:dyDescent="0.25">
      <c r="A53" s="68"/>
      <c r="B53" s="5"/>
      <c r="C53" s="6">
        <v>41931</v>
      </c>
      <c r="D53" s="4">
        <v>16.2</v>
      </c>
      <c r="E53" s="4">
        <v>13.6</v>
      </c>
      <c r="F53" s="4">
        <v>22.2</v>
      </c>
      <c r="G53" s="4">
        <v>718.9</v>
      </c>
      <c r="J53" s="4">
        <v>0.4</v>
      </c>
      <c r="K53" s="4">
        <v>83.600000000000009</v>
      </c>
      <c r="L53" s="4">
        <v>2.4</v>
      </c>
      <c r="M53" s="4">
        <v>92.100000000000023</v>
      </c>
      <c r="N53" s="8">
        <v>-2</v>
      </c>
      <c r="O53" s="4">
        <f t="shared" si="2"/>
        <v>36.4</v>
      </c>
      <c r="P53" s="4">
        <v>48</v>
      </c>
      <c r="Q53" s="4">
        <f t="shared" si="4"/>
        <v>0.666875</v>
      </c>
      <c r="R53" s="9">
        <f t="shared" si="0"/>
        <v>1.6005</v>
      </c>
      <c r="S53" s="9">
        <f t="shared" si="1"/>
        <v>-1.2004999999999999</v>
      </c>
      <c r="T53" s="9">
        <f t="shared" si="3"/>
        <v>86.21</v>
      </c>
      <c r="V53" s="4">
        <v>994.8</v>
      </c>
      <c r="W53" s="4">
        <v>61.407407407407405</v>
      </c>
      <c r="X53" s="4">
        <v>45331.499999999993</v>
      </c>
      <c r="AA53" s="4">
        <v>10.6322669902773</v>
      </c>
    </row>
    <row r="54" spans="1:27" s="4" customFormat="1" x14ac:dyDescent="0.25">
      <c r="A54" s="68"/>
      <c r="B54" s="5"/>
      <c r="C54" s="6">
        <v>41932</v>
      </c>
      <c r="D54" s="4">
        <v>12.5</v>
      </c>
      <c r="E54" s="4">
        <v>11.5</v>
      </c>
      <c r="F54" s="4">
        <v>15.6</v>
      </c>
      <c r="G54" s="4">
        <v>731.4</v>
      </c>
      <c r="J54" s="4">
        <v>0</v>
      </c>
      <c r="K54" s="4">
        <v>83.600000000000009</v>
      </c>
      <c r="L54" s="4">
        <v>1.2</v>
      </c>
      <c r="M54" s="4">
        <v>93.300000000000026</v>
      </c>
      <c r="N54" s="8">
        <v>-1.2</v>
      </c>
      <c r="O54" s="4">
        <f t="shared" si="2"/>
        <v>35.199999999999996</v>
      </c>
      <c r="P54" s="4">
        <v>49</v>
      </c>
      <c r="Q54" s="4">
        <f t="shared" si="4"/>
        <v>0.67500000000000004</v>
      </c>
      <c r="R54" s="9">
        <f t="shared" si="0"/>
        <v>0.81</v>
      </c>
      <c r="S54" s="9">
        <f t="shared" si="1"/>
        <v>-0.81</v>
      </c>
      <c r="T54" s="9">
        <f t="shared" si="3"/>
        <v>85.399999999999991</v>
      </c>
      <c r="V54" s="10">
        <v>498</v>
      </c>
      <c r="W54" s="4">
        <v>39.840000000000003</v>
      </c>
      <c r="X54" s="4">
        <v>45829.499999999993</v>
      </c>
      <c r="AA54" s="4">
        <v>10.572872580196901</v>
      </c>
    </row>
    <row r="55" spans="1:27" s="4" customFormat="1" x14ac:dyDescent="0.25">
      <c r="A55" s="68"/>
      <c r="B55" s="5"/>
      <c r="C55" s="6">
        <v>41933</v>
      </c>
      <c r="D55" s="4">
        <v>11.2</v>
      </c>
      <c r="E55" s="4">
        <v>10.6</v>
      </c>
      <c r="F55" s="4">
        <v>13.1</v>
      </c>
      <c r="G55" s="4">
        <v>742.6</v>
      </c>
      <c r="J55" s="4">
        <v>5.8</v>
      </c>
      <c r="K55" s="4">
        <v>89.4</v>
      </c>
      <c r="L55" s="4">
        <v>1.4</v>
      </c>
      <c r="M55" s="4">
        <v>94.700000000000031</v>
      </c>
      <c r="N55" s="4">
        <v>4.4000000000000004</v>
      </c>
      <c r="O55" s="4">
        <f t="shared" si="2"/>
        <v>39.599999999999994</v>
      </c>
      <c r="P55" s="4">
        <v>50</v>
      </c>
      <c r="Q55" s="4">
        <f t="shared" si="4"/>
        <v>0.68312499999999998</v>
      </c>
      <c r="R55" s="9">
        <f t="shared" si="0"/>
        <v>0.95637499999999986</v>
      </c>
      <c r="S55" s="9">
        <f t="shared" si="1"/>
        <v>4.8436250000000003</v>
      </c>
      <c r="T55" s="9">
        <f t="shared" si="3"/>
        <v>90.243624999999994</v>
      </c>
      <c r="V55" s="10">
        <v>278.10000000000002</v>
      </c>
      <c r="W55" s="4">
        <v>24.830357142857146</v>
      </c>
      <c r="X55" s="4">
        <v>46107.599999999991</v>
      </c>
      <c r="AA55" s="4">
        <v>10.513668001364699</v>
      </c>
    </row>
    <row r="56" spans="1:27" s="4" customFormat="1" x14ac:dyDescent="0.25">
      <c r="A56" s="68"/>
      <c r="B56" s="5"/>
      <c r="C56" s="6">
        <v>41934</v>
      </c>
      <c r="D56" s="4">
        <v>8.9</v>
      </c>
      <c r="E56" s="4">
        <v>6.2</v>
      </c>
      <c r="F56" s="4">
        <v>12.6</v>
      </c>
      <c r="G56" s="4">
        <v>751.5</v>
      </c>
      <c r="J56" s="4">
        <v>0</v>
      </c>
      <c r="K56" s="4">
        <v>89.4</v>
      </c>
      <c r="L56" s="4">
        <v>1.4</v>
      </c>
      <c r="M56" s="4">
        <v>96.100000000000037</v>
      </c>
      <c r="N56" s="8">
        <v>-1.4</v>
      </c>
      <c r="O56" s="4">
        <f t="shared" si="2"/>
        <v>38.199999999999996</v>
      </c>
      <c r="P56" s="4">
        <v>51</v>
      </c>
      <c r="Q56" s="4">
        <f t="shared" si="4"/>
        <v>0.69125000000000003</v>
      </c>
      <c r="R56" s="9">
        <f t="shared" si="0"/>
        <v>0.96775</v>
      </c>
      <c r="S56" s="9">
        <f t="shared" si="1"/>
        <v>-0.96775</v>
      </c>
      <c r="T56" s="9">
        <f t="shared" si="3"/>
        <v>89.275874999999999</v>
      </c>
      <c r="V56" s="10">
        <v>486.9</v>
      </c>
      <c r="W56" s="4">
        <v>54.707865168539321</v>
      </c>
      <c r="X56" s="4">
        <v>46594.499999999993</v>
      </c>
      <c r="AA56" s="4">
        <v>10.4546659976386</v>
      </c>
    </row>
    <row r="57" spans="1:27" s="4" customFormat="1" x14ac:dyDescent="0.25">
      <c r="A57" s="68"/>
      <c r="B57" s="5"/>
      <c r="C57" s="6">
        <v>41935</v>
      </c>
      <c r="D57" s="4">
        <v>11.5</v>
      </c>
      <c r="E57" s="4">
        <v>8</v>
      </c>
      <c r="F57" s="4">
        <v>13.9</v>
      </c>
      <c r="G57" s="4">
        <v>763</v>
      </c>
      <c r="J57" s="4">
        <v>0.1</v>
      </c>
      <c r="K57" s="4">
        <v>89.5</v>
      </c>
      <c r="L57" s="4">
        <v>0.7</v>
      </c>
      <c r="M57" s="4">
        <v>96.80000000000004</v>
      </c>
      <c r="N57" s="8">
        <v>-0.6</v>
      </c>
      <c r="O57" s="4">
        <f t="shared" si="2"/>
        <v>37.599999999999994</v>
      </c>
      <c r="P57" s="4">
        <v>52</v>
      </c>
      <c r="Q57" s="4">
        <f t="shared" si="4"/>
        <v>0.69937499999999997</v>
      </c>
      <c r="R57" s="9">
        <f t="shared" si="0"/>
        <v>0.48956249999999996</v>
      </c>
      <c r="S57" s="9">
        <f t="shared" si="1"/>
        <v>-0.38956249999999992</v>
      </c>
      <c r="T57" s="9">
        <f t="shared" si="3"/>
        <v>88.886312500000003</v>
      </c>
      <c r="V57" s="10">
        <v>208.9</v>
      </c>
      <c r="W57" s="4">
        <v>18.165217391304349</v>
      </c>
      <c r="X57" s="4">
        <v>46803.399999999994</v>
      </c>
      <c r="AA57" s="4">
        <v>10.3958798596663</v>
      </c>
    </row>
    <row r="58" spans="1:27" s="4" customFormat="1" x14ac:dyDescent="0.25">
      <c r="A58" s="68"/>
      <c r="B58" s="5"/>
      <c r="C58" s="6">
        <v>41936</v>
      </c>
      <c r="D58" s="4">
        <v>11.6</v>
      </c>
      <c r="E58" s="4">
        <v>10.6</v>
      </c>
      <c r="F58" s="4">
        <v>12.9</v>
      </c>
      <c r="G58" s="4">
        <v>774.6</v>
      </c>
      <c r="J58" s="4">
        <v>4.7</v>
      </c>
      <c r="K58" s="4">
        <v>94.2</v>
      </c>
      <c r="L58" s="4">
        <v>0.7</v>
      </c>
      <c r="M58" s="4">
        <v>97.500000000000043</v>
      </c>
      <c r="N58" s="4">
        <v>4</v>
      </c>
      <c r="O58" s="4">
        <f t="shared" si="2"/>
        <v>41.599999999999994</v>
      </c>
      <c r="P58" s="4">
        <v>53</v>
      </c>
      <c r="Q58" s="4">
        <f t="shared" si="4"/>
        <v>0.70750000000000002</v>
      </c>
      <c r="R58" s="9">
        <f t="shared" si="0"/>
        <v>0.49524999999999997</v>
      </c>
      <c r="S58" s="9">
        <f t="shared" si="1"/>
        <v>4.2047500000000007</v>
      </c>
      <c r="T58" s="9">
        <f t="shared" si="3"/>
        <v>93.091062500000007</v>
      </c>
      <c r="V58" s="10">
        <v>185</v>
      </c>
      <c r="W58" s="4">
        <v>15.948275862068966</v>
      </c>
      <c r="X58" s="4">
        <v>46988.399999999994</v>
      </c>
      <c r="AA58" s="4">
        <v>10.337323443400599</v>
      </c>
    </row>
    <row r="59" spans="1:27" s="4" customFormat="1" x14ac:dyDescent="0.25">
      <c r="A59" s="68"/>
      <c r="B59" s="5"/>
      <c r="C59" s="6">
        <v>41937</v>
      </c>
      <c r="D59" s="4">
        <v>12.3</v>
      </c>
      <c r="E59" s="4">
        <v>11.6</v>
      </c>
      <c r="F59" s="4">
        <v>15</v>
      </c>
      <c r="G59" s="4">
        <v>786.9</v>
      </c>
      <c r="J59" s="4">
        <v>0.8</v>
      </c>
      <c r="K59" s="4">
        <v>95</v>
      </c>
      <c r="L59" s="4">
        <v>1.1000000000000001</v>
      </c>
      <c r="M59" s="4">
        <v>98.600000000000037</v>
      </c>
      <c r="N59" s="8">
        <v>-0.30000000000000004</v>
      </c>
      <c r="O59" s="4">
        <f t="shared" si="2"/>
        <v>41.3</v>
      </c>
      <c r="P59" s="4">
        <v>54</v>
      </c>
      <c r="Q59" s="4">
        <f t="shared" si="4"/>
        <v>0.71562499999999996</v>
      </c>
      <c r="R59" s="9">
        <f t="shared" si="0"/>
        <v>0.78718750000000004</v>
      </c>
      <c r="S59" s="9">
        <f t="shared" si="1"/>
        <v>1.2812500000000004E-2</v>
      </c>
      <c r="T59" s="9">
        <f t="shared" si="3"/>
        <v>93.103875000000002</v>
      </c>
      <c r="V59" s="10">
        <v>398.1</v>
      </c>
      <c r="W59" s="4">
        <v>32.365853658536587</v>
      </c>
      <c r="X59" s="4">
        <v>47386.499999999993</v>
      </c>
      <c r="AA59" s="4">
        <v>10.2790111881509</v>
      </c>
    </row>
    <row r="60" spans="1:27" s="4" customFormat="1" x14ac:dyDescent="0.25">
      <c r="A60" s="68"/>
      <c r="B60" s="5"/>
      <c r="C60" s="6">
        <v>41938</v>
      </c>
      <c r="D60" s="4">
        <v>11.5</v>
      </c>
      <c r="E60" s="4">
        <v>10</v>
      </c>
      <c r="F60" s="4">
        <v>14.8</v>
      </c>
      <c r="G60" s="4">
        <v>798.4</v>
      </c>
      <c r="J60" s="4">
        <v>0.3</v>
      </c>
      <c r="K60" s="4">
        <v>95.3</v>
      </c>
      <c r="L60" s="4">
        <v>0.8</v>
      </c>
      <c r="M60" s="4">
        <v>99.400000000000034</v>
      </c>
      <c r="N60" s="8">
        <v>-0.5</v>
      </c>
      <c r="O60" s="4">
        <f t="shared" si="2"/>
        <v>40.799999999999997</v>
      </c>
      <c r="P60" s="4">
        <v>55</v>
      </c>
      <c r="Q60" s="4">
        <f t="shared" si="4"/>
        <v>0.72374999999999989</v>
      </c>
      <c r="R60" s="9">
        <f t="shared" si="0"/>
        <v>0.57899999999999996</v>
      </c>
      <c r="S60" s="9">
        <f t="shared" si="1"/>
        <v>-0.27899999999999997</v>
      </c>
      <c r="T60" s="9">
        <f t="shared" si="3"/>
        <v>92.824875000000006</v>
      </c>
      <c r="V60" s="10">
        <v>263.8</v>
      </c>
      <c r="W60" s="4">
        <v>22.939130434782609</v>
      </c>
      <c r="X60" s="4">
        <v>47650.299999999996</v>
      </c>
      <c r="AA60" s="4">
        <v>10.2209581340834</v>
      </c>
    </row>
    <row r="61" spans="1:27" s="4" customFormat="1" x14ac:dyDescent="0.25">
      <c r="A61" s="68"/>
      <c r="B61" s="5"/>
      <c r="C61" s="6">
        <v>41939</v>
      </c>
      <c r="D61" s="4">
        <v>10.3</v>
      </c>
      <c r="E61" s="4">
        <v>6.9</v>
      </c>
      <c r="F61" s="4">
        <v>13.5</v>
      </c>
      <c r="G61" s="4">
        <v>808.69999999999993</v>
      </c>
      <c r="J61" s="4">
        <v>0.3</v>
      </c>
      <c r="K61" s="4">
        <v>95.6</v>
      </c>
      <c r="L61" s="4">
        <v>0.6</v>
      </c>
      <c r="M61" s="4">
        <v>100.00000000000003</v>
      </c>
      <c r="N61" s="8">
        <v>-0.3</v>
      </c>
      <c r="O61" s="4">
        <f t="shared" si="2"/>
        <v>40.5</v>
      </c>
      <c r="P61" s="4">
        <v>56</v>
      </c>
      <c r="Q61" s="4">
        <f t="shared" si="4"/>
        <v>0.73187500000000005</v>
      </c>
      <c r="R61" s="9">
        <f t="shared" si="0"/>
        <v>0.43912500000000004</v>
      </c>
      <c r="S61" s="9">
        <f t="shared" si="1"/>
        <v>-0.13912500000000005</v>
      </c>
      <c r="T61" s="9">
        <f t="shared" si="3"/>
        <v>92.685749999999999</v>
      </c>
      <c r="V61" s="10">
        <v>358.7</v>
      </c>
      <c r="W61" s="4">
        <v>34.825242718446596</v>
      </c>
      <c r="X61" s="4">
        <v>48008.999999999993</v>
      </c>
      <c r="AA61" s="4">
        <v>10.1631799390808</v>
      </c>
    </row>
    <row r="62" spans="1:27" s="4" customFormat="1" x14ac:dyDescent="0.25">
      <c r="A62" s="68"/>
      <c r="B62" s="5"/>
      <c r="C62" s="6">
        <v>41940</v>
      </c>
      <c r="D62" s="4">
        <v>9.5</v>
      </c>
      <c r="E62" s="4">
        <v>8.9</v>
      </c>
      <c r="F62" s="4">
        <v>10.4</v>
      </c>
      <c r="G62" s="4">
        <v>818.19999999999993</v>
      </c>
      <c r="J62" s="4">
        <v>0</v>
      </c>
      <c r="K62" s="4">
        <v>95.6</v>
      </c>
      <c r="L62" s="4">
        <v>0.4</v>
      </c>
      <c r="M62" s="4">
        <v>100.40000000000003</v>
      </c>
      <c r="N62" s="8">
        <v>-0.4</v>
      </c>
      <c r="O62" s="4">
        <f t="shared" si="2"/>
        <v>40.1</v>
      </c>
      <c r="P62" s="4">
        <v>57</v>
      </c>
      <c r="Q62" s="4">
        <f t="shared" si="4"/>
        <v>0.74</v>
      </c>
      <c r="R62" s="9">
        <f t="shared" si="0"/>
        <v>0.29599999999999999</v>
      </c>
      <c r="S62" s="9">
        <f t="shared" si="1"/>
        <v>-0.29599999999999999</v>
      </c>
      <c r="T62" s="9">
        <f t="shared" si="3"/>
        <v>92.389749999999992</v>
      </c>
      <c r="V62" s="10">
        <v>202.5</v>
      </c>
      <c r="W62" s="4">
        <v>21.315789473684209</v>
      </c>
      <c r="X62" s="4">
        <v>48211.499999999993</v>
      </c>
      <c r="AA62" s="4">
        <v>10.105692894858199</v>
      </c>
    </row>
    <row r="63" spans="1:27" s="4" customFormat="1" x14ac:dyDescent="0.25">
      <c r="A63" s="68"/>
      <c r="B63" s="5"/>
      <c r="C63" s="6">
        <v>41941</v>
      </c>
      <c r="D63" s="4">
        <v>11.2</v>
      </c>
      <c r="E63" s="4">
        <v>9.6</v>
      </c>
      <c r="F63" s="4">
        <v>12.4</v>
      </c>
      <c r="G63" s="4">
        <v>829.4</v>
      </c>
      <c r="J63" s="4">
        <v>0.4</v>
      </c>
      <c r="K63" s="4">
        <v>96</v>
      </c>
      <c r="L63" s="4">
        <v>0.4</v>
      </c>
      <c r="M63" s="4">
        <v>100.80000000000004</v>
      </c>
      <c r="N63" s="4">
        <v>0</v>
      </c>
      <c r="O63" s="4">
        <f t="shared" si="2"/>
        <v>40.1</v>
      </c>
      <c r="P63" s="4">
        <v>58</v>
      </c>
      <c r="Q63" s="4">
        <f t="shared" si="4"/>
        <v>0.74812500000000004</v>
      </c>
      <c r="R63" s="9">
        <f t="shared" si="0"/>
        <v>0.29925000000000002</v>
      </c>
      <c r="S63" s="9">
        <f t="shared" si="1"/>
        <v>0.10075000000000001</v>
      </c>
      <c r="T63" s="9">
        <f t="shared" si="3"/>
        <v>92.490499999999997</v>
      </c>
      <c r="V63" s="10">
        <v>270.7</v>
      </c>
      <c r="W63" s="4">
        <v>24.169642857142858</v>
      </c>
      <c r="X63" s="4">
        <v>48482.19999999999</v>
      </c>
      <c r="AA63" s="4">
        <v>10.0485139422284</v>
      </c>
    </row>
    <row r="64" spans="1:27" s="4" customFormat="1" x14ac:dyDescent="0.25">
      <c r="A64" s="68"/>
      <c r="B64" s="5"/>
      <c r="C64" s="6">
        <v>41942</v>
      </c>
      <c r="D64" s="4">
        <v>12.9</v>
      </c>
      <c r="E64" s="4">
        <v>10.1</v>
      </c>
      <c r="F64" s="4">
        <v>16.399999999999999</v>
      </c>
      <c r="G64" s="4">
        <v>842.3</v>
      </c>
      <c r="J64" s="4">
        <v>0.1</v>
      </c>
      <c r="K64" s="4">
        <v>96.1</v>
      </c>
      <c r="L64" s="4">
        <v>0.6</v>
      </c>
      <c r="M64" s="4">
        <v>101.40000000000003</v>
      </c>
      <c r="N64" s="8">
        <v>-0.5</v>
      </c>
      <c r="O64" s="4">
        <f t="shared" si="2"/>
        <v>39.6</v>
      </c>
      <c r="P64" s="4">
        <v>59</v>
      </c>
      <c r="Q64" s="4">
        <f t="shared" si="4"/>
        <v>0.75624999999999998</v>
      </c>
      <c r="R64" s="9">
        <f t="shared" si="0"/>
        <v>0.45374999999999999</v>
      </c>
      <c r="S64" s="9">
        <f t="shared" si="1"/>
        <v>-0.35375000000000001</v>
      </c>
      <c r="T64" s="9">
        <f t="shared" si="3"/>
        <v>92.136749999999992</v>
      </c>
      <c r="V64" s="10">
        <v>205.6</v>
      </c>
      <c r="W64" s="4">
        <v>15.937984496124031</v>
      </c>
      <c r="X64" s="4">
        <v>48687.799999999988</v>
      </c>
      <c r="AA64" s="4">
        <v>9.9916606854013104</v>
      </c>
    </row>
    <row r="65" spans="1:27" s="4" customFormat="1" x14ac:dyDescent="0.25">
      <c r="A65" s="68"/>
      <c r="B65" s="5"/>
      <c r="C65" s="6">
        <v>41943</v>
      </c>
      <c r="D65" s="4">
        <v>13.4</v>
      </c>
      <c r="E65" s="4">
        <v>9.8000000000000007</v>
      </c>
      <c r="F65" s="4">
        <v>18.7</v>
      </c>
      <c r="G65" s="4">
        <v>855.69999999999993</v>
      </c>
      <c r="J65" s="4">
        <v>0.1</v>
      </c>
      <c r="K65" s="4">
        <v>96.199999999999989</v>
      </c>
      <c r="L65" s="4">
        <v>1.7</v>
      </c>
      <c r="M65" s="4">
        <v>103.10000000000004</v>
      </c>
      <c r="N65" s="8">
        <v>-1.5999999999999999</v>
      </c>
      <c r="O65" s="4">
        <f t="shared" si="2"/>
        <v>38</v>
      </c>
      <c r="P65" s="4">
        <v>60</v>
      </c>
      <c r="Q65" s="4">
        <f t="shared" si="4"/>
        <v>0.76437500000000003</v>
      </c>
      <c r="R65" s="9">
        <f t="shared" si="0"/>
        <v>1.2994375</v>
      </c>
      <c r="S65" s="9">
        <f t="shared" si="1"/>
        <v>-1.1994374999999999</v>
      </c>
      <c r="T65" s="9">
        <f t="shared" si="3"/>
        <v>90.93731249999999</v>
      </c>
      <c r="V65" s="10">
        <v>769.4</v>
      </c>
      <c r="W65" s="4">
        <v>57.417910447761194</v>
      </c>
      <c r="X65" s="4">
        <v>49457.19999999999</v>
      </c>
      <c r="AA65" s="4">
        <v>9.9351514051933396</v>
      </c>
    </row>
    <row r="66" spans="1:27" s="4" customFormat="1" x14ac:dyDescent="0.25">
      <c r="A66" s="68"/>
      <c r="B66" s="5"/>
      <c r="C66" s="6">
        <v>41944</v>
      </c>
      <c r="D66" s="4">
        <v>14</v>
      </c>
      <c r="E66" s="4">
        <v>9.6999999999999993</v>
      </c>
      <c r="F66" s="4">
        <v>18.600000000000001</v>
      </c>
      <c r="G66" s="4">
        <v>869.69999999999993</v>
      </c>
      <c r="J66" s="4">
        <v>0.1</v>
      </c>
      <c r="K66" s="4">
        <v>96.299999999999983</v>
      </c>
      <c r="L66" s="4">
        <v>1.4</v>
      </c>
      <c r="M66" s="4">
        <v>104.50000000000004</v>
      </c>
      <c r="N66" s="8">
        <v>-1.2999999999999998</v>
      </c>
      <c r="O66" s="4">
        <f t="shared" si="2"/>
        <v>36.700000000000003</v>
      </c>
      <c r="P66" s="4">
        <v>61</v>
      </c>
      <c r="Q66" s="4">
        <f t="shared" si="4"/>
        <v>0.77249999999999996</v>
      </c>
      <c r="R66" s="9">
        <f t="shared" si="0"/>
        <v>1.0814999999999999</v>
      </c>
      <c r="S66" s="9">
        <f t="shared" si="1"/>
        <v>-0.98149999999999993</v>
      </c>
      <c r="T66" s="9">
        <f t="shared" si="3"/>
        <v>89.955812499999993</v>
      </c>
      <c r="V66" s="10">
        <v>791.4</v>
      </c>
      <c r="W66" s="4">
        <v>56.528571428571425</v>
      </c>
      <c r="X66" s="4">
        <v>50248.599999999991</v>
      </c>
      <c r="AA66" s="4">
        <v>9.8790050710149195</v>
      </c>
    </row>
    <row r="67" spans="1:27" s="4" customFormat="1" x14ac:dyDescent="0.25">
      <c r="A67" s="68"/>
      <c r="B67" s="5"/>
      <c r="C67" s="6">
        <v>41945</v>
      </c>
      <c r="D67" s="4">
        <v>13.7</v>
      </c>
      <c r="E67" s="4">
        <v>11.2</v>
      </c>
      <c r="F67" s="4">
        <v>16</v>
      </c>
      <c r="G67" s="4">
        <v>883.4</v>
      </c>
      <c r="J67" s="4">
        <v>2.9</v>
      </c>
      <c r="K67" s="4">
        <v>99.199999999999989</v>
      </c>
      <c r="L67" s="4">
        <v>1</v>
      </c>
      <c r="M67" s="4">
        <v>105.50000000000004</v>
      </c>
      <c r="N67" s="4">
        <v>1.9</v>
      </c>
      <c r="O67" s="4">
        <f t="shared" si="2"/>
        <v>38.6</v>
      </c>
      <c r="P67" s="4">
        <v>62</v>
      </c>
      <c r="Q67" s="4">
        <f t="shared" si="4"/>
        <v>0.7806249999999999</v>
      </c>
      <c r="R67" s="9">
        <f t="shared" si="0"/>
        <v>0.7806249999999999</v>
      </c>
      <c r="S67" s="9">
        <f t="shared" si="1"/>
        <v>2.1193749999999998</v>
      </c>
      <c r="T67" s="9">
        <f t="shared" si="3"/>
        <v>92.075187499999998</v>
      </c>
      <c r="V67" s="10">
        <v>277.60000000000002</v>
      </c>
      <c r="W67" s="4">
        <v>20.262773722627738</v>
      </c>
      <c r="X67" s="4">
        <v>50526.19999999999</v>
      </c>
      <c r="AA67" s="4">
        <v>9.8232413514974795</v>
      </c>
    </row>
    <row r="68" spans="1:27" s="4" customFormat="1" x14ac:dyDescent="0.25">
      <c r="A68" s="68"/>
      <c r="B68" s="5"/>
      <c r="C68" s="6">
        <v>41946</v>
      </c>
      <c r="D68" s="4">
        <v>11.9</v>
      </c>
      <c r="E68" s="4">
        <v>10.5</v>
      </c>
      <c r="F68" s="4">
        <v>14.3</v>
      </c>
      <c r="G68" s="4">
        <v>895.3</v>
      </c>
      <c r="J68" s="4">
        <v>20.100000000000001</v>
      </c>
      <c r="K68" s="4">
        <v>119.29999999999998</v>
      </c>
      <c r="L68" s="4">
        <v>1.3</v>
      </c>
      <c r="M68" s="4">
        <v>106.80000000000004</v>
      </c>
      <c r="N68" s="4">
        <v>18.8</v>
      </c>
      <c r="O68" s="4">
        <f t="shared" si="2"/>
        <v>57.400000000000006</v>
      </c>
      <c r="P68" s="4">
        <v>63</v>
      </c>
      <c r="Q68" s="4">
        <f t="shared" si="4"/>
        <v>0.78875000000000006</v>
      </c>
      <c r="R68" s="9">
        <f t="shared" si="0"/>
        <v>1.0253750000000001</v>
      </c>
      <c r="S68" s="9">
        <f t="shared" si="1"/>
        <v>19.074625000000001</v>
      </c>
      <c r="T68" s="9">
        <f t="shared" si="3"/>
        <v>111.1498125</v>
      </c>
      <c r="V68" s="10">
        <v>147.5</v>
      </c>
      <c r="W68" s="4">
        <v>12.394957983193278</v>
      </c>
      <c r="X68" s="4">
        <v>50673.69999999999</v>
      </c>
      <c r="AA68" s="4">
        <v>9.7678806236124096</v>
      </c>
    </row>
    <row r="69" spans="1:27" s="4" customFormat="1" x14ac:dyDescent="0.25">
      <c r="A69" s="68"/>
      <c r="B69" s="5"/>
      <c r="C69" s="6">
        <v>41947</v>
      </c>
      <c r="D69" s="4">
        <v>8.1</v>
      </c>
      <c r="E69" s="4">
        <v>7.4</v>
      </c>
      <c r="F69" s="4">
        <v>9.6999999999999993</v>
      </c>
      <c r="G69" s="4">
        <v>903.4</v>
      </c>
      <c r="J69" s="4">
        <v>0.3</v>
      </c>
      <c r="K69" s="4">
        <v>119.59999999999998</v>
      </c>
      <c r="L69" s="4">
        <v>0.7</v>
      </c>
      <c r="M69" s="4">
        <v>107.50000000000004</v>
      </c>
      <c r="N69" s="8">
        <v>-0.39999999999999997</v>
      </c>
      <c r="O69" s="4">
        <f t="shared" si="2"/>
        <v>57.000000000000007</v>
      </c>
      <c r="P69" s="4">
        <v>64</v>
      </c>
      <c r="Q69" s="4">
        <f t="shared" si="4"/>
        <v>0.796875</v>
      </c>
      <c r="R69" s="9">
        <f t="shared" si="0"/>
        <v>0.55781249999999993</v>
      </c>
      <c r="S69" s="9">
        <f t="shared" si="1"/>
        <v>-0.25781249999999994</v>
      </c>
      <c r="T69" s="9">
        <f t="shared" si="3"/>
        <v>110.892</v>
      </c>
      <c r="V69" s="10">
        <v>475.5</v>
      </c>
      <c r="W69" s="4">
        <v>58.703703703703709</v>
      </c>
      <c r="X69" s="4">
        <v>51149.19999999999</v>
      </c>
      <c r="AA69" s="4">
        <v>9.7129439801277098</v>
      </c>
    </row>
    <row r="70" spans="1:27" s="4" customFormat="1" x14ac:dyDescent="0.25">
      <c r="A70" s="68"/>
      <c r="B70" s="5"/>
      <c r="C70" s="6">
        <v>41948</v>
      </c>
      <c r="D70" s="4">
        <v>6.7</v>
      </c>
      <c r="E70" s="13">
        <v>4.5999999999999996</v>
      </c>
      <c r="F70" s="4">
        <v>9</v>
      </c>
      <c r="G70" s="4">
        <v>910.1</v>
      </c>
      <c r="J70" s="4">
        <v>0.2</v>
      </c>
      <c r="K70" s="4">
        <v>119.79999999999998</v>
      </c>
      <c r="L70" s="4">
        <v>0.6</v>
      </c>
      <c r="M70" s="4">
        <v>108.10000000000004</v>
      </c>
      <c r="N70" s="8">
        <v>-0.39999999999999997</v>
      </c>
      <c r="O70" s="4">
        <f t="shared" si="2"/>
        <v>56.600000000000009</v>
      </c>
      <c r="P70" s="4">
        <v>65</v>
      </c>
      <c r="Q70" s="4">
        <f t="shared" si="4"/>
        <v>0.80499999999999994</v>
      </c>
      <c r="R70" s="9">
        <f t="shared" ref="R70:R133" si="5">Q70*L70</f>
        <v>0.48299999999999993</v>
      </c>
      <c r="S70" s="9">
        <f t="shared" ref="S70:S133" si="6">J70-R70</f>
        <v>-0.28299999999999992</v>
      </c>
      <c r="T70" s="9">
        <f t="shared" si="3"/>
        <v>110.60899999999999</v>
      </c>
      <c r="V70" s="10">
        <v>267.5</v>
      </c>
      <c r="W70" s="4">
        <v>39.92537313432836</v>
      </c>
      <c r="X70" s="4">
        <v>51416.69999999999</v>
      </c>
      <c r="AA70" s="4">
        <v>9.6584532352409607</v>
      </c>
    </row>
    <row r="71" spans="1:27" s="4" customFormat="1" x14ac:dyDescent="0.25">
      <c r="A71" s="68"/>
      <c r="B71" s="5"/>
      <c r="C71" s="6">
        <v>41949</v>
      </c>
      <c r="D71" s="4">
        <v>7</v>
      </c>
      <c r="E71" s="13">
        <v>3.4</v>
      </c>
      <c r="F71" s="4">
        <v>10.9</v>
      </c>
      <c r="G71" s="4">
        <v>917.1</v>
      </c>
      <c r="J71" s="4">
        <v>0.3</v>
      </c>
      <c r="K71" s="4">
        <v>120.09999999999998</v>
      </c>
      <c r="L71" s="4">
        <v>0.8</v>
      </c>
      <c r="M71" s="4">
        <v>108.90000000000003</v>
      </c>
      <c r="N71" s="8">
        <v>-0.5</v>
      </c>
      <c r="O71" s="4">
        <f t="shared" si="2"/>
        <v>56.100000000000009</v>
      </c>
      <c r="P71" s="4">
        <v>66</v>
      </c>
      <c r="Q71" s="4">
        <f t="shared" si="4"/>
        <v>0.81312499999999999</v>
      </c>
      <c r="R71" s="9">
        <f t="shared" si="5"/>
        <v>0.65050000000000008</v>
      </c>
      <c r="S71" s="9">
        <f t="shared" si="6"/>
        <v>-0.35050000000000009</v>
      </c>
      <c r="T71" s="9">
        <f t="shared" si="3"/>
        <v>110.2585</v>
      </c>
      <c r="V71" s="10">
        <v>504.8</v>
      </c>
      <c r="W71" s="4">
        <v>72.114285714285714</v>
      </c>
      <c r="X71" s="4">
        <v>51921.499999999993</v>
      </c>
      <c r="AA71" s="4">
        <v>9.6044309282204594</v>
      </c>
    </row>
    <row r="72" spans="1:27" s="4" customFormat="1" x14ac:dyDescent="0.25">
      <c r="A72" s="68"/>
      <c r="B72" s="5"/>
      <c r="C72" s="6">
        <v>41950</v>
      </c>
      <c r="D72" s="4">
        <v>9.5</v>
      </c>
      <c r="E72" s="4">
        <v>6.9</v>
      </c>
      <c r="F72" s="4">
        <v>11.8</v>
      </c>
      <c r="G72" s="4">
        <v>926.6</v>
      </c>
      <c r="J72" s="4">
        <v>3.4</v>
      </c>
      <c r="K72" s="4">
        <v>123.49999999999999</v>
      </c>
      <c r="L72" s="4">
        <v>1.1000000000000001</v>
      </c>
      <c r="M72" s="4">
        <v>110.00000000000003</v>
      </c>
      <c r="N72" s="4">
        <v>2.2999999999999998</v>
      </c>
      <c r="O72" s="4">
        <f t="shared" ref="O72:O135" si="7">O71+N72</f>
        <v>58.400000000000006</v>
      </c>
      <c r="P72" s="4">
        <v>67</v>
      </c>
      <c r="Q72" s="4">
        <f t="shared" si="4"/>
        <v>0.82125000000000004</v>
      </c>
      <c r="R72" s="9">
        <f t="shared" si="5"/>
        <v>0.90337500000000015</v>
      </c>
      <c r="S72" s="9">
        <f t="shared" si="6"/>
        <v>2.4966249999999999</v>
      </c>
      <c r="T72" s="9">
        <f t="shared" ref="T72:T135" si="8">MIN(189.6,(T71+S72))</f>
        <v>112.75512499999999</v>
      </c>
      <c r="V72" s="10">
        <v>379.9</v>
      </c>
      <c r="W72" s="4">
        <v>39.989473684210523</v>
      </c>
      <c r="X72" s="4">
        <v>52301.399999999994</v>
      </c>
      <c r="AA72" s="4">
        <v>9.5509003248806295</v>
      </c>
    </row>
    <row r="73" spans="1:27" s="4" customFormat="1" x14ac:dyDescent="0.25">
      <c r="A73" s="68"/>
      <c r="B73" s="5"/>
      <c r="C73" s="6">
        <v>41951</v>
      </c>
      <c r="D73" s="4">
        <v>9.6</v>
      </c>
      <c r="E73" s="4">
        <v>6.9</v>
      </c>
      <c r="F73" s="4">
        <v>11.7</v>
      </c>
      <c r="G73" s="4">
        <v>936.2</v>
      </c>
      <c r="J73" s="4">
        <v>0</v>
      </c>
      <c r="K73" s="4">
        <v>123.49999999999999</v>
      </c>
      <c r="L73" s="4">
        <v>0.7</v>
      </c>
      <c r="M73" s="4">
        <v>110.70000000000003</v>
      </c>
      <c r="N73" s="8">
        <v>-0.7</v>
      </c>
      <c r="O73" s="4">
        <f t="shared" si="7"/>
        <v>57.7</v>
      </c>
      <c r="P73" s="4">
        <v>68</v>
      </c>
      <c r="Q73" s="4">
        <f t="shared" si="4"/>
        <v>0.82937499999999997</v>
      </c>
      <c r="R73" s="9">
        <f t="shared" si="5"/>
        <v>0.58056249999999998</v>
      </c>
      <c r="S73" s="9">
        <f t="shared" si="6"/>
        <v>-0.58056249999999998</v>
      </c>
      <c r="T73" s="9">
        <f t="shared" si="8"/>
        <v>112.17456249999999</v>
      </c>
      <c r="V73" s="10">
        <v>419.9</v>
      </c>
      <c r="W73" s="4">
        <v>43.739583333333336</v>
      </c>
      <c r="X73" s="4">
        <v>52721.299999999996</v>
      </c>
      <c r="AA73" s="4">
        <v>9.4978854167126094</v>
      </c>
    </row>
    <row r="74" spans="1:27" s="4" customFormat="1" x14ac:dyDescent="0.25">
      <c r="A74" s="68"/>
      <c r="B74" s="5"/>
      <c r="C74" s="6">
        <v>41952</v>
      </c>
      <c r="D74" s="4">
        <v>9.4</v>
      </c>
      <c r="E74" s="4">
        <v>8.6999999999999993</v>
      </c>
      <c r="F74" s="4">
        <v>11.1</v>
      </c>
      <c r="G74" s="4">
        <v>945.6</v>
      </c>
      <c r="J74" s="4">
        <v>0.2</v>
      </c>
      <c r="K74" s="4">
        <v>123.69999999999999</v>
      </c>
      <c r="L74" s="4">
        <v>0.7</v>
      </c>
      <c r="M74" s="4">
        <v>111.40000000000003</v>
      </c>
      <c r="N74" s="8">
        <v>-0.49999999999999994</v>
      </c>
      <c r="O74" s="4">
        <f t="shared" si="7"/>
        <v>57.2</v>
      </c>
      <c r="P74" s="4">
        <v>69</v>
      </c>
      <c r="Q74" s="4">
        <f t="shared" si="4"/>
        <v>0.83750000000000002</v>
      </c>
      <c r="R74" s="9">
        <f t="shared" si="5"/>
        <v>0.58624999999999994</v>
      </c>
      <c r="S74" s="9">
        <f t="shared" si="6"/>
        <v>-0.38624999999999993</v>
      </c>
      <c r="T74" s="9">
        <f t="shared" si="8"/>
        <v>111.78831249999999</v>
      </c>
      <c r="V74" s="10">
        <v>272.39999999999998</v>
      </c>
      <c r="W74" s="4">
        <v>28.978723404255316</v>
      </c>
      <c r="X74" s="4">
        <v>52993.7</v>
      </c>
      <c r="AA74" s="4">
        <v>9.44541091748669</v>
      </c>
    </row>
    <row r="75" spans="1:27" s="4" customFormat="1" x14ac:dyDescent="0.25">
      <c r="A75" s="68"/>
      <c r="B75" s="5"/>
      <c r="C75" s="6">
        <v>41953</v>
      </c>
      <c r="D75" s="4">
        <v>7.4</v>
      </c>
      <c r="E75" s="4">
        <v>4.9000000000000004</v>
      </c>
      <c r="F75" s="4">
        <v>10.4</v>
      </c>
      <c r="G75" s="4">
        <v>953</v>
      </c>
      <c r="J75" s="4">
        <v>0.2</v>
      </c>
      <c r="K75" s="4">
        <v>123.89999999999999</v>
      </c>
      <c r="L75" s="4">
        <v>0.8</v>
      </c>
      <c r="M75" s="4">
        <v>112.20000000000003</v>
      </c>
      <c r="N75" s="8">
        <v>-0.60000000000000009</v>
      </c>
      <c r="O75" s="4">
        <f t="shared" si="7"/>
        <v>56.6</v>
      </c>
      <c r="P75" s="4">
        <v>70</v>
      </c>
      <c r="Q75" s="4">
        <f t="shared" si="4"/>
        <v>0.84562499999999996</v>
      </c>
      <c r="R75" s="9">
        <f t="shared" si="5"/>
        <v>0.67649999999999999</v>
      </c>
      <c r="S75" s="9">
        <f t="shared" si="6"/>
        <v>-0.47649999999999998</v>
      </c>
      <c r="T75" s="9">
        <f t="shared" si="8"/>
        <v>111.31181249999999</v>
      </c>
      <c r="V75" s="10">
        <v>508.6</v>
      </c>
      <c r="W75" s="4">
        <v>68.729729729729726</v>
      </c>
      <c r="X75" s="4">
        <v>53502.299999999996</v>
      </c>
      <c r="AA75" s="4">
        <v>9.3935022571399802</v>
      </c>
    </row>
    <row r="76" spans="1:27" s="4" customFormat="1" x14ac:dyDescent="0.25">
      <c r="A76" s="68"/>
      <c r="B76" s="5"/>
      <c r="C76" s="6">
        <v>41954</v>
      </c>
      <c r="D76" s="4">
        <v>9.6</v>
      </c>
      <c r="E76" s="4">
        <v>5.2</v>
      </c>
      <c r="F76" s="4">
        <v>12.9</v>
      </c>
      <c r="G76" s="4">
        <v>962.6</v>
      </c>
      <c r="J76" s="4">
        <v>0.2</v>
      </c>
      <c r="K76" s="4">
        <v>124.1</v>
      </c>
      <c r="L76" s="4">
        <v>0.8</v>
      </c>
      <c r="M76" s="4">
        <v>113.00000000000003</v>
      </c>
      <c r="N76" s="8">
        <v>-0.60000000000000009</v>
      </c>
      <c r="O76" s="4">
        <f t="shared" si="7"/>
        <v>56</v>
      </c>
      <c r="P76" s="4">
        <v>71</v>
      </c>
      <c r="Q76" s="4">
        <f t="shared" si="4"/>
        <v>0.85375000000000001</v>
      </c>
      <c r="R76" s="9">
        <f t="shared" si="5"/>
        <v>0.68300000000000005</v>
      </c>
      <c r="S76" s="9">
        <f t="shared" si="6"/>
        <v>-0.48300000000000004</v>
      </c>
      <c r="T76" s="9">
        <f t="shared" si="8"/>
        <v>110.82881249999998</v>
      </c>
      <c r="V76" s="10">
        <v>561.79999999999995</v>
      </c>
      <c r="W76" s="4">
        <v>58.520833333333329</v>
      </c>
      <c r="X76" s="4">
        <v>54064.1</v>
      </c>
      <c r="AA76" s="4">
        <v>9.3421855727611405</v>
      </c>
    </row>
    <row r="77" spans="1:27" s="4" customFormat="1" x14ac:dyDescent="0.25">
      <c r="A77" s="68"/>
      <c r="B77" s="5"/>
      <c r="C77" s="6">
        <v>41955</v>
      </c>
      <c r="D77" s="4">
        <v>9.6999999999999993</v>
      </c>
      <c r="E77" s="4">
        <v>7.4</v>
      </c>
      <c r="F77" s="4">
        <v>13.5</v>
      </c>
      <c r="G77" s="4">
        <v>972.30000000000007</v>
      </c>
      <c r="J77" s="4">
        <v>0.1</v>
      </c>
      <c r="K77" s="4">
        <v>124.19999999999999</v>
      </c>
      <c r="L77" s="4">
        <v>1.1000000000000001</v>
      </c>
      <c r="M77" s="4">
        <v>114.10000000000002</v>
      </c>
      <c r="N77" s="8">
        <v>-1</v>
      </c>
      <c r="O77" s="4">
        <f t="shared" si="7"/>
        <v>55</v>
      </c>
      <c r="P77" s="4">
        <v>72</v>
      </c>
      <c r="Q77" s="4">
        <f t="shared" si="4"/>
        <v>0.86187499999999995</v>
      </c>
      <c r="R77" s="9">
        <f t="shared" si="5"/>
        <v>0.94806250000000003</v>
      </c>
      <c r="S77" s="9">
        <f t="shared" si="6"/>
        <v>-0.84806250000000005</v>
      </c>
      <c r="T77" s="9">
        <f t="shared" si="8"/>
        <v>109.98074999999999</v>
      </c>
      <c r="V77" s="10">
        <v>598.29999999999995</v>
      </c>
      <c r="W77" s="4">
        <v>61.680412371134018</v>
      </c>
      <c r="X77" s="4">
        <v>54662.400000000001</v>
      </c>
      <c r="AA77" s="4">
        <v>9.2914876964832498</v>
      </c>
    </row>
    <row r="78" spans="1:27" s="4" customFormat="1" x14ac:dyDescent="0.25">
      <c r="A78" s="68"/>
      <c r="B78" s="5"/>
      <c r="C78" s="6">
        <v>41956</v>
      </c>
      <c r="D78" s="4">
        <v>8.3000000000000007</v>
      </c>
      <c r="E78" s="4">
        <v>5.4</v>
      </c>
      <c r="F78" s="4">
        <v>11</v>
      </c>
      <c r="G78" s="4">
        <v>980.6</v>
      </c>
      <c r="J78" s="4">
        <v>0</v>
      </c>
      <c r="K78" s="4">
        <v>124.19999999999999</v>
      </c>
      <c r="L78" s="4">
        <v>0.5</v>
      </c>
      <c r="M78" s="4">
        <v>114.60000000000002</v>
      </c>
      <c r="N78" s="8">
        <v>-0.5</v>
      </c>
      <c r="O78" s="4">
        <f t="shared" si="7"/>
        <v>54.5</v>
      </c>
      <c r="P78" s="4">
        <v>73</v>
      </c>
      <c r="Q78" s="4">
        <f t="shared" si="4"/>
        <v>0.87</v>
      </c>
      <c r="R78" s="9">
        <f t="shared" si="5"/>
        <v>0.435</v>
      </c>
      <c r="S78" s="9">
        <f t="shared" si="6"/>
        <v>-0.435</v>
      </c>
      <c r="T78" s="9">
        <f t="shared" si="8"/>
        <v>109.54574999999998</v>
      </c>
      <c r="V78" s="10">
        <v>265.3</v>
      </c>
      <c r="W78" s="4">
        <v>31.963855421686745</v>
      </c>
      <c r="X78" s="4">
        <v>54927.700000000004</v>
      </c>
      <c r="AA78" s="4">
        <v>9.2414361400975</v>
      </c>
    </row>
    <row r="79" spans="1:27" s="4" customFormat="1" x14ac:dyDescent="0.25">
      <c r="A79" s="68"/>
      <c r="B79" s="5"/>
      <c r="C79" s="6">
        <v>41957</v>
      </c>
      <c r="D79" s="4">
        <v>9.1</v>
      </c>
      <c r="E79" s="4">
        <v>7.5</v>
      </c>
      <c r="F79" s="4">
        <v>10</v>
      </c>
      <c r="G79" s="4">
        <v>989.7</v>
      </c>
      <c r="J79" s="4">
        <v>10.8</v>
      </c>
      <c r="K79" s="4">
        <v>135</v>
      </c>
      <c r="L79" s="4">
        <v>0.4</v>
      </c>
      <c r="M79" s="4">
        <v>115.00000000000003</v>
      </c>
      <c r="N79" s="4">
        <v>10.4</v>
      </c>
      <c r="O79" s="4">
        <f t="shared" si="7"/>
        <v>64.900000000000006</v>
      </c>
      <c r="P79" s="4">
        <v>74</v>
      </c>
      <c r="Q79" s="4">
        <f t="shared" si="4"/>
        <v>0.87812500000000004</v>
      </c>
      <c r="R79" s="9">
        <f t="shared" si="5"/>
        <v>0.35125000000000006</v>
      </c>
      <c r="S79" s="9">
        <f t="shared" si="6"/>
        <v>10.44875</v>
      </c>
      <c r="T79" s="9">
        <f t="shared" si="8"/>
        <v>119.99449999999999</v>
      </c>
      <c r="V79" s="10">
        <v>118.6</v>
      </c>
      <c r="W79" s="4">
        <v>13.032967032967033</v>
      </c>
      <c r="X79" s="4">
        <v>55046.3</v>
      </c>
      <c r="AA79" s="4">
        <v>9.1920590762033303</v>
      </c>
    </row>
    <row r="80" spans="1:27" s="4" customFormat="1" x14ac:dyDescent="0.25">
      <c r="A80" s="68"/>
      <c r="B80" s="5"/>
      <c r="C80" s="6">
        <v>41958</v>
      </c>
      <c r="D80" s="4">
        <v>9.5</v>
      </c>
      <c r="E80" s="4">
        <v>9.1</v>
      </c>
      <c r="F80" s="4">
        <v>11.4</v>
      </c>
      <c r="G80" s="4">
        <v>999.2</v>
      </c>
      <c r="J80" s="4">
        <v>3.5</v>
      </c>
      <c r="K80" s="4">
        <v>138.5</v>
      </c>
      <c r="L80" s="4">
        <v>0.4</v>
      </c>
      <c r="M80" s="4">
        <v>115.40000000000003</v>
      </c>
      <c r="N80" s="4">
        <v>3.1</v>
      </c>
      <c r="O80" s="4">
        <f t="shared" si="7"/>
        <v>68</v>
      </c>
      <c r="P80" s="4">
        <v>75</v>
      </c>
      <c r="Q80" s="4">
        <f t="shared" ref="Q80:Q94" si="9">0.35+((P80-9)/80)*(1-0.35)</f>
        <v>0.88624999999999998</v>
      </c>
      <c r="R80" s="9">
        <f t="shared" si="5"/>
        <v>0.35450000000000004</v>
      </c>
      <c r="S80" s="9">
        <f t="shared" si="6"/>
        <v>3.1455000000000002</v>
      </c>
      <c r="T80" s="9">
        <f t="shared" si="8"/>
        <v>123.13999999999999</v>
      </c>
      <c r="V80" s="10">
        <v>127.3</v>
      </c>
      <c r="W80" s="4">
        <v>13.4</v>
      </c>
      <c r="X80" s="4">
        <v>55173.600000000006</v>
      </c>
      <c r="AA80" s="4">
        <v>9.1433853157159692</v>
      </c>
    </row>
    <row r="81" spans="1:27" s="4" customFormat="1" x14ac:dyDescent="0.25">
      <c r="A81" s="68"/>
      <c r="B81" s="5"/>
      <c r="C81" s="6">
        <v>41959</v>
      </c>
      <c r="D81" s="4">
        <v>8.4</v>
      </c>
      <c r="E81" s="4">
        <v>6.8</v>
      </c>
      <c r="F81" s="4">
        <v>10.1</v>
      </c>
      <c r="G81" s="4">
        <v>1007.6</v>
      </c>
      <c r="J81" s="4">
        <v>1.2</v>
      </c>
      <c r="K81" s="4">
        <v>139.69999999999999</v>
      </c>
      <c r="L81" s="4">
        <v>0.3</v>
      </c>
      <c r="M81" s="4">
        <v>115.70000000000003</v>
      </c>
      <c r="N81" s="4">
        <v>0.89999999999999991</v>
      </c>
      <c r="O81" s="4">
        <f t="shared" si="7"/>
        <v>68.900000000000006</v>
      </c>
      <c r="P81" s="4">
        <v>76</v>
      </c>
      <c r="Q81" s="4">
        <f t="shared" si="9"/>
        <v>0.89437500000000003</v>
      </c>
      <c r="R81" s="9">
        <f t="shared" si="5"/>
        <v>0.26831250000000001</v>
      </c>
      <c r="S81" s="9">
        <f t="shared" si="6"/>
        <v>0.9316875</v>
      </c>
      <c r="T81" s="9">
        <f t="shared" si="8"/>
        <v>124.07168749999998</v>
      </c>
      <c r="V81" s="10">
        <v>182.7</v>
      </c>
      <c r="W81" s="4">
        <v>21.749999999999996</v>
      </c>
      <c r="X81" s="4">
        <v>55356.3</v>
      </c>
      <c r="AA81" s="4">
        <v>9.0954442815598995</v>
      </c>
    </row>
    <row r="82" spans="1:27" s="4" customFormat="1" x14ac:dyDescent="0.25">
      <c r="A82" s="68"/>
      <c r="B82" s="5"/>
      <c r="C82" s="6">
        <v>41960</v>
      </c>
      <c r="D82" s="4">
        <v>8.3000000000000007</v>
      </c>
      <c r="E82" s="4">
        <v>7.5</v>
      </c>
      <c r="F82" s="4">
        <v>9.4</v>
      </c>
      <c r="G82" s="4">
        <v>1015.9</v>
      </c>
      <c r="J82" s="4">
        <v>1.6</v>
      </c>
      <c r="K82" s="4">
        <v>141.29999999999998</v>
      </c>
      <c r="L82" s="4">
        <v>0.4</v>
      </c>
      <c r="M82" s="4">
        <v>116.10000000000004</v>
      </c>
      <c r="N82" s="4">
        <v>1.2000000000000002</v>
      </c>
      <c r="O82" s="4">
        <f t="shared" si="7"/>
        <v>70.100000000000009</v>
      </c>
      <c r="P82" s="4">
        <v>77</v>
      </c>
      <c r="Q82" s="4">
        <f t="shared" si="9"/>
        <v>0.90249999999999997</v>
      </c>
      <c r="R82" s="9">
        <f t="shared" si="5"/>
        <v>0.36099999999999999</v>
      </c>
      <c r="S82" s="9">
        <f t="shared" si="6"/>
        <v>1.2390000000000001</v>
      </c>
      <c r="T82" s="9">
        <f t="shared" si="8"/>
        <v>125.31068749999999</v>
      </c>
      <c r="V82" s="10">
        <v>196</v>
      </c>
      <c r="W82" s="4">
        <v>23.6144578313253</v>
      </c>
      <c r="X82" s="4">
        <v>55552.3</v>
      </c>
      <c r="AA82" s="4">
        <v>9.0482659783868105</v>
      </c>
    </row>
    <row r="83" spans="1:27" s="4" customFormat="1" x14ac:dyDescent="0.25">
      <c r="A83" s="68"/>
      <c r="B83" s="5"/>
      <c r="C83" s="6">
        <v>41961</v>
      </c>
      <c r="D83" s="4">
        <v>8</v>
      </c>
      <c r="E83" s="4">
        <v>7.3</v>
      </c>
      <c r="F83" s="4">
        <v>10.5</v>
      </c>
      <c r="G83" s="4">
        <v>1023.9</v>
      </c>
      <c r="J83" s="4">
        <v>0.1</v>
      </c>
      <c r="K83" s="4">
        <v>141.39999999999998</v>
      </c>
      <c r="L83" s="4">
        <v>0.8</v>
      </c>
      <c r="M83" s="4">
        <v>116.90000000000003</v>
      </c>
      <c r="N83" s="8">
        <v>-0.70000000000000007</v>
      </c>
      <c r="O83" s="4">
        <f t="shared" si="7"/>
        <v>69.400000000000006</v>
      </c>
      <c r="P83" s="4">
        <v>78</v>
      </c>
      <c r="Q83" s="4">
        <f t="shared" si="9"/>
        <v>0.91062500000000002</v>
      </c>
      <c r="R83" s="9">
        <f t="shared" si="5"/>
        <v>0.72850000000000004</v>
      </c>
      <c r="S83" s="9">
        <f t="shared" si="6"/>
        <v>-0.62850000000000006</v>
      </c>
      <c r="T83" s="9">
        <f t="shared" si="8"/>
        <v>124.68218749999998</v>
      </c>
      <c r="V83" s="10">
        <v>389.8</v>
      </c>
      <c r="W83" s="4">
        <v>48.725000000000001</v>
      </c>
      <c r="X83" s="4">
        <v>55942.100000000006</v>
      </c>
      <c r="AA83" s="4">
        <v>9.0018809581692096</v>
      </c>
    </row>
    <row r="84" spans="1:27" s="4" customFormat="1" x14ac:dyDescent="0.25">
      <c r="A84" s="68"/>
      <c r="B84" s="5"/>
      <c r="C84" s="6">
        <v>41962</v>
      </c>
      <c r="D84" s="4">
        <v>6.6</v>
      </c>
      <c r="E84" s="4">
        <v>5.8</v>
      </c>
      <c r="F84" s="4">
        <v>7.2</v>
      </c>
      <c r="G84" s="4">
        <v>1030.5</v>
      </c>
      <c r="J84" s="4">
        <v>0.2</v>
      </c>
      <c r="K84" s="4">
        <v>141.59999999999997</v>
      </c>
      <c r="L84" s="4">
        <v>0.3</v>
      </c>
      <c r="M84" s="4">
        <v>117.20000000000003</v>
      </c>
      <c r="N84" s="8">
        <v>-9.9999999999999978E-2</v>
      </c>
      <c r="O84" s="4">
        <f t="shared" si="7"/>
        <v>69.300000000000011</v>
      </c>
      <c r="P84" s="4">
        <v>79</v>
      </c>
      <c r="Q84" s="4">
        <f t="shared" si="9"/>
        <v>0.91874999999999996</v>
      </c>
      <c r="R84" s="9">
        <f t="shared" si="5"/>
        <v>0.27562499999999995</v>
      </c>
      <c r="S84" s="9">
        <f t="shared" si="6"/>
        <v>-7.5624999999999942E-2</v>
      </c>
      <c r="T84" s="9">
        <f t="shared" si="8"/>
        <v>124.60656249999998</v>
      </c>
      <c r="V84" s="10">
        <v>217.9</v>
      </c>
      <c r="W84" s="4">
        <v>33.015151515151516</v>
      </c>
      <c r="X84" s="4">
        <v>56160.000000000007</v>
      </c>
      <c r="AA84" s="14">
        <v>8.9563202815366694</v>
      </c>
    </row>
    <row r="85" spans="1:27" s="4" customFormat="1" x14ac:dyDescent="0.25">
      <c r="A85" s="68"/>
      <c r="B85" s="5"/>
      <c r="C85" s="6">
        <v>41963</v>
      </c>
      <c r="D85" s="4">
        <v>6.6</v>
      </c>
      <c r="E85" s="4">
        <v>6.3</v>
      </c>
      <c r="F85" s="4">
        <v>7.2</v>
      </c>
      <c r="G85" s="4">
        <v>1037.0999999999999</v>
      </c>
      <c r="J85" s="4">
        <v>0</v>
      </c>
      <c r="K85" s="4">
        <v>141.59999999999997</v>
      </c>
      <c r="L85" s="4">
        <v>0.4</v>
      </c>
      <c r="M85" s="4">
        <v>117.60000000000004</v>
      </c>
      <c r="N85" s="8">
        <v>-0.4</v>
      </c>
      <c r="O85" s="4">
        <f t="shared" si="7"/>
        <v>68.900000000000006</v>
      </c>
      <c r="P85" s="4">
        <v>80</v>
      </c>
      <c r="Q85" s="4">
        <f t="shared" si="9"/>
        <v>0.926875</v>
      </c>
      <c r="R85" s="9">
        <f t="shared" si="5"/>
        <v>0.37075000000000002</v>
      </c>
      <c r="S85" s="9">
        <f t="shared" si="6"/>
        <v>-0.37075000000000002</v>
      </c>
      <c r="T85" s="9">
        <f t="shared" si="8"/>
        <v>124.23581249999998</v>
      </c>
      <c r="V85" s="10">
        <v>349.1</v>
      </c>
      <c r="W85" s="4">
        <v>52.893939393939398</v>
      </c>
      <c r="X85" s="4">
        <v>56509.100000000006</v>
      </c>
      <c r="AA85" s="14">
        <v>8.9116154747402199</v>
      </c>
    </row>
    <row r="86" spans="1:27" s="4" customFormat="1" x14ac:dyDescent="0.25">
      <c r="A86" s="68"/>
      <c r="B86" s="5"/>
      <c r="C86" s="6">
        <v>41964</v>
      </c>
      <c r="D86" s="4">
        <v>6.6</v>
      </c>
      <c r="E86" s="13">
        <v>4.3</v>
      </c>
      <c r="F86" s="4">
        <v>8.1999999999999993</v>
      </c>
      <c r="G86" s="4">
        <v>1043.6999999999998</v>
      </c>
      <c r="J86" s="4">
        <v>0.1</v>
      </c>
      <c r="K86" s="4">
        <v>141.69999999999996</v>
      </c>
      <c r="L86" s="4">
        <v>0.4</v>
      </c>
      <c r="M86" s="4">
        <v>118.00000000000004</v>
      </c>
      <c r="N86" s="8">
        <v>-0.30000000000000004</v>
      </c>
      <c r="O86" s="4">
        <f t="shared" si="7"/>
        <v>68.600000000000009</v>
      </c>
      <c r="P86" s="4">
        <v>81</v>
      </c>
      <c r="Q86" s="4">
        <f t="shared" si="9"/>
        <v>0.93500000000000005</v>
      </c>
      <c r="R86" s="9">
        <f t="shared" si="5"/>
        <v>0.37400000000000005</v>
      </c>
      <c r="S86" s="9">
        <f t="shared" si="6"/>
        <v>-0.27400000000000002</v>
      </c>
      <c r="T86" s="9">
        <f t="shared" si="8"/>
        <v>123.96181249999998</v>
      </c>
      <c r="V86" s="10">
        <v>395</v>
      </c>
      <c r="W86" s="4">
        <v>59.848484848484851</v>
      </c>
      <c r="X86" s="4">
        <v>56904.100000000006</v>
      </c>
      <c r="AA86" s="14">
        <v>8.8677984821521605</v>
      </c>
    </row>
    <row r="87" spans="1:27" s="4" customFormat="1" x14ac:dyDescent="0.25">
      <c r="A87" s="68"/>
      <c r="B87" s="5"/>
      <c r="C87" s="6">
        <v>41965</v>
      </c>
      <c r="D87" s="4">
        <v>9.4</v>
      </c>
      <c r="E87" s="4">
        <v>6</v>
      </c>
      <c r="F87" s="4">
        <v>12.4</v>
      </c>
      <c r="G87" s="4">
        <v>1053.0999999999999</v>
      </c>
      <c r="J87" s="4">
        <v>0.7</v>
      </c>
      <c r="K87" s="4">
        <v>142.39999999999995</v>
      </c>
      <c r="L87" s="4">
        <v>0.6</v>
      </c>
      <c r="M87" s="4">
        <v>118.60000000000004</v>
      </c>
      <c r="N87" s="4">
        <v>9.9999999999999978E-2</v>
      </c>
      <c r="O87" s="4">
        <f t="shared" si="7"/>
        <v>68.7</v>
      </c>
      <c r="P87" s="4">
        <v>82</v>
      </c>
      <c r="Q87" s="4">
        <f t="shared" si="9"/>
        <v>0.94312499999999999</v>
      </c>
      <c r="R87" s="9">
        <f t="shared" si="5"/>
        <v>0.56587500000000002</v>
      </c>
      <c r="S87" s="9">
        <f t="shared" si="6"/>
        <v>0.13412499999999994</v>
      </c>
      <c r="T87" s="9">
        <f t="shared" si="8"/>
        <v>124.09593749999998</v>
      </c>
      <c r="V87" s="10">
        <v>362.3</v>
      </c>
      <c r="W87" s="4">
        <v>38.542553191489361</v>
      </c>
      <c r="X87" s="4">
        <v>57266.400000000009</v>
      </c>
      <c r="AA87" s="14">
        <v>8.8249016142338892</v>
      </c>
    </row>
    <row r="88" spans="1:27" s="4" customFormat="1" x14ac:dyDescent="0.25">
      <c r="A88" s="68"/>
      <c r="B88" s="5"/>
      <c r="C88" s="6">
        <v>41966</v>
      </c>
      <c r="D88" s="4">
        <v>10.8</v>
      </c>
      <c r="E88" s="4">
        <v>7.8</v>
      </c>
      <c r="F88" s="4">
        <v>13.7</v>
      </c>
      <c r="G88" s="4">
        <v>1063.8999999999999</v>
      </c>
      <c r="J88" s="4">
        <v>0.3</v>
      </c>
      <c r="K88" s="4">
        <v>142.69999999999996</v>
      </c>
      <c r="L88" s="4">
        <v>0.7</v>
      </c>
      <c r="M88" s="4">
        <v>119.30000000000004</v>
      </c>
      <c r="N88" s="8">
        <v>-0.39999999999999997</v>
      </c>
      <c r="O88" s="4">
        <f t="shared" si="7"/>
        <v>68.3</v>
      </c>
      <c r="P88" s="4">
        <v>83</v>
      </c>
      <c r="Q88" s="4">
        <f t="shared" si="9"/>
        <v>0.95125000000000004</v>
      </c>
      <c r="R88" s="9">
        <f t="shared" si="5"/>
        <v>0.66587499999999999</v>
      </c>
      <c r="S88" s="9">
        <f t="shared" si="6"/>
        <v>-0.36587500000000001</v>
      </c>
      <c r="T88" s="9">
        <f t="shared" si="8"/>
        <v>123.73006249999997</v>
      </c>
      <c r="V88" s="10">
        <v>449.2</v>
      </c>
      <c r="W88" s="4">
        <v>41.592592592592588</v>
      </c>
      <c r="X88" s="4">
        <v>57715.600000000006</v>
      </c>
      <c r="AA88" s="14">
        <v>8.78295749093237</v>
      </c>
    </row>
    <row r="89" spans="1:27" s="4" customFormat="1" x14ac:dyDescent="0.25">
      <c r="A89" s="68"/>
      <c r="B89" s="5"/>
      <c r="C89" s="6">
        <v>41967</v>
      </c>
      <c r="D89" s="4">
        <v>8.1999999999999993</v>
      </c>
      <c r="E89" s="4">
        <v>6.9</v>
      </c>
      <c r="F89" s="4">
        <v>10.3</v>
      </c>
      <c r="G89" s="4">
        <v>1072.0999999999999</v>
      </c>
      <c r="J89" s="4">
        <v>0</v>
      </c>
      <c r="K89" s="4">
        <v>142.69999999999996</v>
      </c>
      <c r="L89" s="4">
        <v>0.8</v>
      </c>
      <c r="M89" s="4">
        <v>120.10000000000004</v>
      </c>
      <c r="N89" s="8">
        <v>-0.8</v>
      </c>
      <c r="O89" s="4">
        <f t="shared" si="7"/>
        <v>67.5</v>
      </c>
      <c r="P89" s="4">
        <v>84</v>
      </c>
      <c r="Q89" s="4">
        <f t="shared" si="9"/>
        <v>0.95937499999999998</v>
      </c>
      <c r="R89" s="9">
        <f t="shared" si="5"/>
        <v>0.76750000000000007</v>
      </c>
      <c r="S89" s="9">
        <f t="shared" si="6"/>
        <v>-0.76750000000000007</v>
      </c>
      <c r="T89" s="9">
        <f t="shared" si="8"/>
        <v>122.96256249999998</v>
      </c>
      <c r="V89" s="10">
        <v>478.7</v>
      </c>
      <c r="W89" s="4">
        <v>58.378048780487809</v>
      </c>
      <c r="X89" s="4">
        <v>58194.3</v>
      </c>
      <c r="AA89" s="14">
        <v>8.74199898049803</v>
      </c>
    </row>
    <row r="90" spans="1:27" s="4" customFormat="1" x14ac:dyDescent="0.25">
      <c r="A90" s="68"/>
      <c r="B90" s="5"/>
      <c r="C90" s="6">
        <v>41968</v>
      </c>
      <c r="D90" s="4">
        <v>7.4</v>
      </c>
      <c r="E90" s="4">
        <v>5.6</v>
      </c>
      <c r="F90" s="4">
        <v>8.8000000000000007</v>
      </c>
      <c r="G90" s="4">
        <v>1079.5</v>
      </c>
      <c r="J90" s="4">
        <v>4.8</v>
      </c>
      <c r="K90" s="4">
        <v>147.49999999999997</v>
      </c>
      <c r="L90" s="4">
        <v>0.4</v>
      </c>
      <c r="M90" s="4">
        <v>120.50000000000004</v>
      </c>
      <c r="N90" s="4">
        <v>4.3999999999999995</v>
      </c>
      <c r="O90" s="4">
        <f t="shared" si="7"/>
        <v>71.900000000000006</v>
      </c>
      <c r="P90" s="4">
        <v>85</v>
      </c>
      <c r="Q90" s="4">
        <f t="shared" si="9"/>
        <v>0.96749999999999992</v>
      </c>
      <c r="R90" s="9">
        <f t="shared" si="5"/>
        <v>0.38700000000000001</v>
      </c>
      <c r="S90" s="9">
        <f t="shared" si="6"/>
        <v>4.4130000000000003</v>
      </c>
      <c r="T90" s="9">
        <f t="shared" si="8"/>
        <v>127.37556249999997</v>
      </c>
      <c r="V90" s="10">
        <v>214.1</v>
      </c>
      <c r="W90" s="4">
        <v>28.932432432432432</v>
      </c>
      <c r="X90" s="4">
        <v>58408.4</v>
      </c>
      <c r="AA90" s="14">
        <v>8.7020591337516908</v>
      </c>
    </row>
    <row r="91" spans="1:27" s="4" customFormat="1" x14ac:dyDescent="0.25">
      <c r="A91" s="68"/>
      <c r="B91" s="5"/>
      <c r="C91" s="6">
        <v>41969</v>
      </c>
      <c r="D91" s="4">
        <v>9</v>
      </c>
      <c r="E91" s="4">
        <v>7.5</v>
      </c>
      <c r="F91" s="4">
        <v>10.199999999999999</v>
      </c>
      <c r="G91" s="4">
        <v>1088.5</v>
      </c>
      <c r="J91" s="4">
        <v>2</v>
      </c>
      <c r="K91" s="4">
        <v>149.49999999999997</v>
      </c>
      <c r="L91" s="4">
        <v>0.3</v>
      </c>
      <c r="M91" s="4">
        <v>120.80000000000004</v>
      </c>
      <c r="N91" s="4">
        <v>1.7</v>
      </c>
      <c r="O91" s="4">
        <f t="shared" si="7"/>
        <v>73.600000000000009</v>
      </c>
      <c r="P91" s="4">
        <v>86</v>
      </c>
      <c r="Q91" s="4">
        <f t="shared" si="9"/>
        <v>0.97562499999999996</v>
      </c>
      <c r="R91" s="9">
        <f t="shared" si="5"/>
        <v>0.29268749999999999</v>
      </c>
      <c r="S91" s="9">
        <f t="shared" si="6"/>
        <v>1.7073125</v>
      </c>
      <c r="T91" s="9">
        <f t="shared" si="8"/>
        <v>129.08287499999997</v>
      </c>
      <c r="V91" s="10">
        <v>142.69999999999999</v>
      </c>
      <c r="W91" s="4">
        <v>15.855555555555554</v>
      </c>
      <c r="X91" s="4">
        <v>58551.1</v>
      </c>
      <c r="AA91" s="14">
        <v>8.6631711138664507</v>
      </c>
    </row>
    <row r="92" spans="1:27" s="4" customFormat="1" x14ac:dyDescent="0.25">
      <c r="A92" s="68"/>
      <c r="B92" s="5"/>
      <c r="C92" s="6">
        <v>41970</v>
      </c>
      <c r="D92" s="4">
        <v>9.5</v>
      </c>
      <c r="E92" s="4">
        <v>8.9</v>
      </c>
      <c r="F92" s="4">
        <v>10.199999999999999</v>
      </c>
      <c r="G92" s="4">
        <v>1098</v>
      </c>
      <c r="J92" s="4">
        <v>0.2</v>
      </c>
      <c r="K92" s="4">
        <v>149.69999999999996</v>
      </c>
      <c r="L92" s="4">
        <v>0.4</v>
      </c>
      <c r="M92" s="4">
        <v>121.20000000000005</v>
      </c>
      <c r="N92" s="8">
        <v>-0.2</v>
      </c>
      <c r="O92" s="4">
        <f t="shared" si="7"/>
        <v>73.400000000000006</v>
      </c>
      <c r="P92" s="4">
        <v>87</v>
      </c>
      <c r="Q92" s="4">
        <f t="shared" si="9"/>
        <v>0.98375000000000001</v>
      </c>
      <c r="R92" s="9">
        <f t="shared" si="5"/>
        <v>0.39350000000000002</v>
      </c>
      <c r="S92" s="9">
        <f t="shared" si="6"/>
        <v>-0.19350000000000001</v>
      </c>
      <c r="T92" s="9">
        <f t="shared" si="8"/>
        <v>128.88937499999997</v>
      </c>
      <c r="V92" s="10">
        <v>176.4</v>
      </c>
      <c r="W92" s="4">
        <v>18.568421052631578</v>
      </c>
      <c r="X92" s="4">
        <v>58727.5</v>
      </c>
      <c r="AA92" s="14">
        <v>8.6253681217716895</v>
      </c>
    </row>
    <row r="93" spans="1:27" s="4" customFormat="1" x14ac:dyDescent="0.25">
      <c r="A93" s="68"/>
      <c r="B93" s="5"/>
      <c r="C93" s="6">
        <v>41971</v>
      </c>
      <c r="D93" s="4">
        <v>9</v>
      </c>
      <c r="E93" s="4">
        <v>7.6</v>
      </c>
      <c r="F93" s="4">
        <v>11.2</v>
      </c>
      <c r="G93" s="4">
        <v>1107</v>
      </c>
      <c r="J93" s="4">
        <v>0</v>
      </c>
      <c r="K93" s="4">
        <v>149.69999999999996</v>
      </c>
      <c r="L93" s="4">
        <v>0.7</v>
      </c>
      <c r="M93" s="4">
        <v>121.90000000000005</v>
      </c>
      <c r="N93" s="8">
        <v>-0.7</v>
      </c>
      <c r="O93" s="4">
        <f t="shared" si="7"/>
        <v>72.7</v>
      </c>
      <c r="P93" s="4">
        <v>88</v>
      </c>
      <c r="Q93" s="4">
        <f t="shared" si="9"/>
        <v>0.99187500000000006</v>
      </c>
      <c r="R93" s="9">
        <f t="shared" si="5"/>
        <v>0.6943125</v>
      </c>
      <c r="S93" s="9">
        <f t="shared" si="6"/>
        <v>-0.6943125</v>
      </c>
      <c r="T93" s="9">
        <f t="shared" si="8"/>
        <v>128.19506249999998</v>
      </c>
      <c r="V93" s="10">
        <v>201.6</v>
      </c>
      <c r="W93" s="4">
        <v>22.4</v>
      </c>
      <c r="X93" s="4">
        <v>58929.1</v>
      </c>
      <c r="AA93" s="14">
        <v>8.5886833173305508</v>
      </c>
    </row>
    <row r="94" spans="1:27" s="4" customFormat="1" x14ac:dyDescent="0.25">
      <c r="A94" s="68"/>
      <c r="B94" s="5"/>
      <c r="C94" s="15">
        <v>41972</v>
      </c>
      <c r="D94" s="16">
        <v>5.2</v>
      </c>
      <c r="E94" s="16">
        <v>3.6</v>
      </c>
      <c r="F94" s="16">
        <v>7.6</v>
      </c>
      <c r="G94" s="16">
        <v>1112.2</v>
      </c>
      <c r="H94" s="16"/>
      <c r="I94" s="16"/>
      <c r="J94" s="16">
        <v>0.1</v>
      </c>
      <c r="K94" s="16">
        <v>149.79999999999995</v>
      </c>
      <c r="L94" s="16">
        <v>0.7</v>
      </c>
      <c r="M94" s="16">
        <v>122.60000000000005</v>
      </c>
      <c r="N94" s="16">
        <v>-0.6</v>
      </c>
      <c r="O94" s="17">
        <f t="shared" si="7"/>
        <v>72.100000000000009</v>
      </c>
      <c r="P94" s="17">
        <v>89</v>
      </c>
      <c r="Q94" s="4">
        <f t="shared" si="9"/>
        <v>1</v>
      </c>
      <c r="R94" s="18">
        <f t="shared" si="5"/>
        <v>0.7</v>
      </c>
      <c r="S94" s="18">
        <f t="shared" si="6"/>
        <v>-0.6</v>
      </c>
      <c r="T94" s="9">
        <f t="shared" si="8"/>
        <v>127.59506249999998</v>
      </c>
      <c r="U94" s="17"/>
      <c r="V94" s="16">
        <v>348.6</v>
      </c>
      <c r="W94" s="16">
        <v>67.038461538461547</v>
      </c>
      <c r="X94" s="16">
        <v>59277.7</v>
      </c>
      <c r="Y94" s="16"/>
      <c r="Z94" s="16"/>
      <c r="AA94" s="14">
        <v>8.5531497364884093</v>
      </c>
    </row>
    <row r="95" spans="1:27" s="4" customFormat="1" x14ac:dyDescent="0.25">
      <c r="A95" s="69" t="s">
        <v>43</v>
      </c>
      <c r="B95" s="19"/>
      <c r="C95" s="6">
        <v>41973</v>
      </c>
      <c r="D95" s="13">
        <v>4.5999999999999996</v>
      </c>
      <c r="E95" s="13">
        <v>3.2</v>
      </c>
      <c r="F95" s="4">
        <v>7.3</v>
      </c>
      <c r="G95" s="4">
        <v>1116.8</v>
      </c>
      <c r="H95" s="4">
        <v>4.5999999999999996</v>
      </c>
      <c r="I95" s="20" t="s">
        <v>27</v>
      </c>
      <c r="J95" s="4">
        <v>0.8</v>
      </c>
      <c r="K95" s="4">
        <v>150.59999999999997</v>
      </c>
      <c r="L95" s="4">
        <v>0.4</v>
      </c>
      <c r="M95" s="4">
        <v>123.00000000000006</v>
      </c>
      <c r="N95" s="4">
        <v>0.4</v>
      </c>
      <c r="O95" s="4">
        <f t="shared" si="7"/>
        <v>72.500000000000014</v>
      </c>
      <c r="P95" s="4">
        <v>90</v>
      </c>
      <c r="Q95" s="4">
        <v>1</v>
      </c>
      <c r="R95" s="9">
        <f t="shared" si="5"/>
        <v>0.4</v>
      </c>
      <c r="S95" s="9">
        <f t="shared" si="6"/>
        <v>0.4</v>
      </c>
      <c r="T95" s="9">
        <f t="shared" si="8"/>
        <v>127.99506249999999</v>
      </c>
      <c r="U95" s="20" t="s">
        <v>28</v>
      </c>
      <c r="V95" s="10">
        <v>213.6</v>
      </c>
      <c r="W95" s="4">
        <v>46.434782608695656</v>
      </c>
      <c r="X95" s="4">
        <v>59491.299999999996</v>
      </c>
      <c r="Y95" s="4">
        <f>V95</f>
        <v>213.6</v>
      </c>
      <c r="Z95" s="20" t="s">
        <v>29</v>
      </c>
      <c r="AA95" s="14">
        <v>8.5188002046386906</v>
      </c>
    </row>
    <row r="96" spans="1:27" s="4" customFormat="1" x14ac:dyDescent="0.25">
      <c r="A96" s="69"/>
      <c r="B96" s="19"/>
      <c r="C96" s="6">
        <v>41974</v>
      </c>
      <c r="D96" s="13">
        <v>3.2</v>
      </c>
      <c r="E96" s="13">
        <v>2.7</v>
      </c>
      <c r="F96" s="13">
        <v>2.9</v>
      </c>
      <c r="G96" s="4">
        <v>1120</v>
      </c>
      <c r="H96" s="4">
        <f>H95+D96</f>
        <v>7.8</v>
      </c>
      <c r="I96" s="4">
        <v>-3.8</v>
      </c>
      <c r="J96" s="4">
        <v>0.2</v>
      </c>
      <c r="K96" s="4">
        <v>150.79999999999995</v>
      </c>
      <c r="L96" s="4">
        <v>0.3</v>
      </c>
      <c r="M96" s="4">
        <v>123.30000000000005</v>
      </c>
      <c r="N96" s="8">
        <v>-9.9999999999999978E-2</v>
      </c>
      <c r="O96" s="4">
        <f t="shared" si="7"/>
        <v>72.40000000000002</v>
      </c>
      <c r="P96" s="4">
        <v>91</v>
      </c>
      <c r="Q96" s="4">
        <v>1</v>
      </c>
      <c r="R96" s="9">
        <f t="shared" si="5"/>
        <v>0.3</v>
      </c>
      <c r="S96" s="9">
        <f t="shared" si="6"/>
        <v>-9.9999999999999978E-2</v>
      </c>
      <c r="T96" s="9">
        <f t="shared" si="8"/>
        <v>127.89506249999999</v>
      </c>
      <c r="U96" s="4">
        <v>50</v>
      </c>
      <c r="V96" s="10">
        <v>224.4</v>
      </c>
      <c r="W96" s="4">
        <v>70.125</v>
      </c>
      <c r="X96" s="4">
        <v>59715.7</v>
      </c>
      <c r="Y96" s="4">
        <f>Y95+V96</f>
        <v>438</v>
      </c>
      <c r="Z96" s="4">
        <v>32663.999999999993</v>
      </c>
      <c r="AA96" s="14">
        <v>8.4856672465020804</v>
      </c>
    </row>
    <row r="97" spans="1:27" s="4" customFormat="1" x14ac:dyDescent="0.25">
      <c r="A97" s="69"/>
      <c r="B97" s="19"/>
      <c r="C97" s="6">
        <v>41975</v>
      </c>
      <c r="D97" s="13">
        <v>2.2999999999999998</v>
      </c>
      <c r="E97" s="13">
        <v>1.7</v>
      </c>
      <c r="F97" s="13">
        <v>3.1</v>
      </c>
      <c r="G97" s="4">
        <v>1122.3</v>
      </c>
      <c r="H97" s="4">
        <f t="shared" ref="H97:H160" si="10">H96+D97</f>
        <v>10.1</v>
      </c>
      <c r="I97" s="20" t="s">
        <v>30</v>
      </c>
      <c r="J97" s="4">
        <v>1.4</v>
      </c>
      <c r="K97" s="4">
        <v>152.19999999999996</v>
      </c>
      <c r="L97" s="4">
        <v>0.3</v>
      </c>
      <c r="M97" s="4">
        <v>123.60000000000005</v>
      </c>
      <c r="N97" s="4">
        <v>1.0999999999999999</v>
      </c>
      <c r="O97" s="4">
        <f t="shared" si="7"/>
        <v>73.500000000000014</v>
      </c>
      <c r="P97" s="4">
        <v>92</v>
      </c>
      <c r="Q97" s="4">
        <v>1</v>
      </c>
      <c r="R97" s="9">
        <f t="shared" si="5"/>
        <v>0.3</v>
      </c>
      <c r="S97" s="9">
        <f t="shared" si="6"/>
        <v>1.0999999999999999</v>
      </c>
      <c r="T97" s="9">
        <f t="shared" si="8"/>
        <v>128.99506249999999</v>
      </c>
      <c r="U97" s="20" t="s">
        <v>31</v>
      </c>
      <c r="V97" s="10">
        <v>164.1</v>
      </c>
      <c r="W97" s="4">
        <v>71.34782608695653</v>
      </c>
      <c r="X97" s="4">
        <v>59879.799999999996</v>
      </c>
      <c r="Y97" s="4">
        <f t="shared" ref="Y97:Y160" si="11">Y96+V97</f>
        <v>602.1</v>
      </c>
      <c r="Z97" s="20" t="s">
        <v>32</v>
      </c>
      <c r="AA97" s="14">
        <v>8.45378299286625</v>
      </c>
    </row>
    <row r="98" spans="1:27" s="4" customFormat="1" x14ac:dyDescent="0.25">
      <c r="A98" s="69"/>
      <c r="B98" s="19"/>
      <c r="C98" s="6">
        <v>41976</v>
      </c>
      <c r="D98" s="13">
        <v>1.3</v>
      </c>
      <c r="E98" s="13">
        <v>0.5</v>
      </c>
      <c r="F98" s="13">
        <v>2.1</v>
      </c>
      <c r="G98" s="4">
        <v>1123.5999999999999</v>
      </c>
      <c r="H98" s="4">
        <f t="shared" si="10"/>
        <v>11.4</v>
      </c>
      <c r="I98" s="4">
        <v>14.5</v>
      </c>
      <c r="J98" s="4">
        <v>0</v>
      </c>
      <c r="K98" s="4">
        <v>152.19999999999996</v>
      </c>
      <c r="L98" s="4">
        <v>0.5</v>
      </c>
      <c r="M98" s="4">
        <v>124.10000000000005</v>
      </c>
      <c r="N98" s="8">
        <v>-0.5</v>
      </c>
      <c r="O98" s="4">
        <f t="shared" si="7"/>
        <v>73.000000000000014</v>
      </c>
      <c r="P98" s="4">
        <v>93</v>
      </c>
      <c r="Q98" s="4">
        <v>1</v>
      </c>
      <c r="R98" s="9">
        <f t="shared" si="5"/>
        <v>0.5</v>
      </c>
      <c r="S98" s="9">
        <f t="shared" si="6"/>
        <v>-0.5</v>
      </c>
      <c r="T98" s="9">
        <f t="shared" si="8"/>
        <v>128.49506249999999</v>
      </c>
      <c r="U98" s="4">
        <v>0</v>
      </c>
      <c r="V98" s="10">
        <v>379.3</v>
      </c>
      <c r="W98" s="4">
        <v>291.76923076923077</v>
      </c>
      <c r="X98" s="4">
        <v>60259.1</v>
      </c>
      <c r="Y98" s="4">
        <f t="shared" si="11"/>
        <v>981.40000000000009</v>
      </c>
      <c r="Z98" s="11">
        <f>(Z96/100)/I108</f>
        <v>0.83347792804286791</v>
      </c>
      <c r="AA98" s="14">
        <v>8.4231790845843495</v>
      </c>
    </row>
    <row r="99" spans="1:27" s="4" customFormat="1" x14ac:dyDescent="0.25">
      <c r="A99" s="69"/>
      <c r="B99" s="19"/>
      <c r="C99" s="6">
        <v>41977</v>
      </c>
      <c r="D99" s="13">
        <v>1.6</v>
      </c>
      <c r="E99" s="13">
        <v>0.4</v>
      </c>
      <c r="F99" s="13">
        <v>3.3</v>
      </c>
      <c r="G99" s="4">
        <v>1125.1999999999998</v>
      </c>
      <c r="H99" s="4">
        <f t="shared" si="10"/>
        <v>13</v>
      </c>
      <c r="I99" s="20" t="s">
        <v>33</v>
      </c>
      <c r="J99" s="4">
        <v>0.5</v>
      </c>
      <c r="K99" s="4">
        <v>152.69999999999996</v>
      </c>
      <c r="L99" s="4">
        <v>0.3</v>
      </c>
      <c r="M99" s="4">
        <v>124.40000000000005</v>
      </c>
      <c r="N99" s="4">
        <v>0.2</v>
      </c>
      <c r="O99" s="4">
        <f t="shared" si="7"/>
        <v>73.200000000000017</v>
      </c>
      <c r="P99" s="4">
        <v>94</v>
      </c>
      <c r="Q99" s="4">
        <v>1</v>
      </c>
      <c r="R99" s="9">
        <f t="shared" si="5"/>
        <v>0.3</v>
      </c>
      <c r="S99" s="9">
        <f t="shared" si="6"/>
        <v>0.2</v>
      </c>
      <c r="T99" s="9">
        <f t="shared" si="8"/>
        <v>128.69506249999998</v>
      </c>
      <c r="U99" s="20" t="s">
        <v>34</v>
      </c>
      <c r="V99" s="10">
        <v>246.1</v>
      </c>
      <c r="W99" s="4">
        <v>153.8125</v>
      </c>
      <c r="X99" s="4">
        <v>60505.2</v>
      </c>
      <c r="Y99" s="4">
        <f t="shared" si="11"/>
        <v>1227.5</v>
      </c>
      <c r="Z99" s="20" t="s">
        <v>35</v>
      </c>
      <c r="AA99" s="14">
        <v>8.3938865742811508</v>
      </c>
    </row>
    <row r="100" spans="1:27" s="4" customFormat="1" x14ac:dyDescent="0.25">
      <c r="A100" s="69"/>
      <c r="B100" s="19"/>
      <c r="C100" s="6">
        <v>41978</v>
      </c>
      <c r="D100" s="13">
        <v>3.8</v>
      </c>
      <c r="E100" s="13">
        <v>2.4</v>
      </c>
      <c r="F100" s="13">
        <v>4.3</v>
      </c>
      <c r="G100" s="4">
        <v>1128.9999999999998</v>
      </c>
      <c r="H100" s="4">
        <f t="shared" si="10"/>
        <v>16.8</v>
      </c>
      <c r="I100" s="9">
        <v>3.9428571428571439</v>
      </c>
      <c r="J100" s="4">
        <v>0.7</v>
      </c>
      <c r="K100" s="4">
        <v>153.39999999999995</v>
      </c>
      <c r="L100" s="4">
        <v>0.3</v>
      </c>
      <c r="M100" s="4">
        <v>124.70000000000005</v>
      </c>
      <c r="N100" s="4">
        <v>0.39999999999999997</v>
      </c>
      <c r="O100" s="4">
        <f t="shared" si="7"/>
        <v>73.600000000000023</v>
      </c>
      <c r="P100" s="4">
        <v>95</v>
      </c>
      <c r="Q100" s="4">
        <v>1</v>
      </c>
      <c r="R100" s="9">
        <f t="shared" si="5"/>
        <v>0.3</v>
      </c>
      <c r="S100" s="9">
        <f t="shared" si="6"/>
        <v>0.39999999999999997</v>
      </c>
      <c r="T100" s="9">
        <f t="shared" si="8"/>
        <v>129.09506249999998</v>
      </c>
      <c r="U100" s="4">
        <v>0</v>
      </c>
      <c r="V100" s="10">
        <v>284.39999999999998</v>
      </c>
      <c r="W100" s="4">
        <v>74.84210526315789</v>
      </c>
      <c r="X100" s="4">
        <v>60789.599999999999</v>
      </c>
      <c r="Y100" s="4">
        <f t="shared" si="11"/>
        <v>1511.9</v>
      </c>
      <c r="Z100" s="4">
        <v>95</v>
      </c>
      <c r="AA100" s="14">
        <v>8.3659358262648702</v>
      </c>
    </row>
    <row r="101" spans="1:27" s="4" customFormat="1" x14ac:dyDescent="0.25">
      <c r="A101" s="69"/>
      <c r="B101" s="19"/>
      <c r="C101" s="6">
        <v>41979</v>
      </c>
      <c r="D101" s="13">
        <v>2.8</v>
      </c>
      <c r="E101" s="13">
        <v>1</v>
      </c>
      <c r="F101" s="4">
        <v>5.9</v>
      </c>
      <c r="G101" s="4">
        <v>1131.7999999999997</v>
      </c>
      <c r="H101" s="4">
        <f t="shared" si="10"/>
        <v>19.600000000000001</v>
      </c>
      <c r="I101" s="20" t="s">
        <v>36</v>
      </c>
      <c r="J101" s="4">
        <v>0</v>
      </c>
      <c r="K101" s="4">
        <v>153.39999999999995</v>
      </c>
      <c r="L101" s="4">
        <v>0.5</v>
      </c>
      <c r="M101" s="4">
        <v>125.20000000000005</v>
      </c>
      <c r="N101" s="8">
        <v>-0.5</v>
      </c>
      <c r="O101" s="4">
        <f t="shared" si="7"/>
        <v>73.100000000000023</v>
      </c>
      <c r="P101" s="4">
        <v>96</v>
      </c>
      <c r="Q101" s="4">
        <v>1</v>
      </c>
      <c r="R101" s="9">
        <f t="shared" si="5"/>
        <v>0.5</v>
      </c>
      <c r="S101" s="9">
        <f t="shared" si="6"/>
        <v>-0.5</v>
      </c>
      <c r="T101" s="9">
        <f t="shared" si="8"/>
        <v>128.59506249999998</v>
      </c>
      <c r="U101" s="20" t="s">
        <v>37</v>
      </c>
      <c r="V101" s="10">
        <v>228.3</v>
      </c>
      <c r="W101" s="4">
        <v>81.535714285714292</v>
      </c>
      <c r="X101" s="4">
        <v>61017.9</v>
      </c>
      <c r="Y101" s="4">
        <f t="shared" si="11"/>
        <v>1740.2</v>
      </c>
      <c r="AA101" s="14">
        <v>8.3393564151903394</v>
      </c>
    </row>
    <row r="102" spans="1:27" s="4" customFormat="1" x14ac:dyDescent="0.25">
      <c r="A102" s="69"/>
      <c r="B102" s="19"/>
      <c r="C102" s="6">
        <v>41980</v>
      </c>
      <c r="D102" s="13">
        <v>2.2000000000000002</v>
      </c>
      <c r="E102" s="21">
        <v>-0.7</v>
      </c>
      <c r="F102" s="4">
        <v>5.8</v>
      </c>
      <c r="G102" s="4">
        <v>1133.9999999999998</v>
      </c>
      <c r="H102" s="4">
        <f t="shared" si="10"/>
        <v>21.8</v>
      </c>
      <c r="I102" s="4">
        <v>28</v>
      </c>
      <c r="J102" s="4">
        <v>1.6</v>
      </c>
      <c r="K102" s="4">
        <v>154.99999999999994</v>
      </c>
      <c r="L102" s="4">
        <v>0.3</v>
      </c>
      <c r="M102" s="4">
        <v>125.50000000000004</v>
      </c>
      <c r="N102" s="4">
        <v>1.3</v>
      </c>
      <c r="O102" s="4">
        <f t="shared" si="7"/>
        <v>74.40000000000002</v>
      </c>
      <c r="P102" s="4">
        <v>97</v>
      </c>
      <c r="Q102" s="4">
        <v>1</v>
      </c>
      <c r="R102" s="9">
        <f t="shared" si="5"/>
        <v>0.3</v>
      </c>
      <c r="S102" s="9">
        <f t="shared" si="6"/>
        <v>1.3</v>
      </c>
      <c r="T102" s="9">
        <f t="shared" si="8"/>
        <v>129.89506249999999</v>
      </c>
      <c r="U102" s="9">
        <f>MIN(T95:T192)</f>
        <v>127.89506249999999</v>
      </c>
      <c r="V102" s="10">
        <v>116.4</v>
      </c>
      <c r="W102" s="4">
        <v>52.909090909090907</v>
      </c>
      <c r="X102" s="4">
        <v>61134.3</v>
      </c>
      <c r="Y102" s="4">
        <f t="shared" si="11"/>
        <v>1856.6000000000001</v>
      </c>
      <c r="AA102" s="14">
        <v>8.3141770240623103</v>
      </c>
    </row>
    <row r="103" spans="1:27" s="4" customFormat="1" x14ac:dyDescent="0.25">
      <c r="A103" s="69"/>
      <c r="B103" s="19"/>
      <c r="C103" s="6">
        <v>41981</v>
      </c>
      <c r="D103" s="13">
        <v>2</v>
      </c>
      <c r="E103" s="13">
        <v>1</v>
      </c>
      <c r="F103" s="13">
        <v>3.6</v>
      </c>
      <c r="G103" s="4">
        <v>1135.9999999999998</v>
      </c>
      <c r="H103" s="4">
        <f t="shared" si="10"/>
        <v>23.8</v>
      </c>
      <c r="I103" s="20" t="s">
        <v>38</v>
      </c>
      <c r="J103" s="4">
        <v>5</v>
      </c>
      <c r="K103" s="4">
        <v>159.99999999999994</v>
      </c>
      <c r="L103" s="4">
        <v>0.3</v>
      </c>
      <c r="M103" s="4">
        <v>125.80000000000004</v>
      </c>
      <c r="N103" s="4">
        <v>4.7</v>
      </c>
      <c r="O103" s="4">
        <f t="shared" si="7"/>
        <v>79.100000000000023</v>
      </c>
      <c r="P103" s="4">
        <v>98</v>
      </c>
      <c r="Q103" s="4">
        <v>1</v>
      </c>
      <c r="R103" s="9">
        <f t="shared" si="5"/>
        <v>0.3</v>
      </c>
      <c r="S103" s="9">
        <f t="shared" si="6"/>
        <v>4.7</v>
      </c>
      <c r="T103" s="9">
        <f t="shared" si="8"/>
        <v>134.59506249999998</v>
      </c>
      <c r="U103" s="20" t="s">
        <v>39</v>
      </c>
      <c r="V103" s="22">
        <v>77.3</v>
      </c>
      <c r="W103" s="4">
        <v>38.65</v>
      </c>
      <c r="X103" s="4">
        <v>61211.600000000006</v>
      </c>
      <c r="Y103" s="4">
        <f t="shared" si="11"/>
        <v>1933.9</v>
      </c>
      <c r="AA103" s="14">
        <v>8.2904253422086001</v>
      </c>
    </row>
    <row r="104" spans="1:27" s="4" customFormat="1" x14ac:dyDescent="0.25">
      <c r="A104" s="69"/>
      <c r="B104" s="19"/>
      <c r="C104" s="6">
        <v>41982</v>
      </c>
      <c r="D104" s="13">
        <v>2.9</v>
      </c>
      <c r="E104" s="13">
        <v>0.7</v>
      </c>
      <c r="F104" s="4">
        <v>6.6</v>
      </c>
      <c r="G104" s="4">
        <v>1138.8999999999999</v>
      </c>
      <c r="H104" s="4">
        <f t="shared" si="10"/>
        <v>26.7</v>
      </c>
      <c r="I104" s="4">
        <v>0</v>
      </c>
      <c r="J104" s="4">
        <v>2</v>
      </c>
      <c r="K104" s="4">
        <v>161.99999999999994</v>
      </c>
      <c r="L104" s="4">
        <v>0.6</v>
      </c>
      <c r="M104" s="4">
        <v>126.40000000000003</v>
      </c>
      <c r="N104" s="4">
        <v>1.4</v>
      </c>
      <c r="O104" s="4">
        <f t="shared" si="7"/>
        <v>80.500000000000028</v>
      </c>
      <c r="P104" s="4">
        <v>99</v>
      </c>
      <c r="Q104" s="4">
        <v>1</v>
      </c>
      <c r="R104" s="9">
        <f t="shared" si="5"/>
        <v>0.6</v>
      </c>
      <c r="S104" s="9">
        <f t="shared" si="6"/>
        <v>1.4</v>
      </c>
      <c r="T104" s="9">
        <f t="shared" si="8"/>
        <v>135.99506249999999</v>
      </c>
      <c r="U104" s="9">
        <f>MAX(T95:T192)</f>
        <v>189.6</v>
      </c>
      <c r="V104" s="10">
        <v>335.5</v>
      </c>
      <c r="W104" s="4">
        <v>115.68965517241379</v>
      </c>
      <c r="X104" s="4">
        <v>61547.100000000006</v>
      </c>
      <c r="Y104" s="4">
        <f t="shared" si="11"/>
        <v>2269.4</v>
      </c>
      <c r="AA104" s="14">
        <v>8.2681279638867906</v>
      </c>
    </row>
    <row r="105" spans="1:27" s="4" customFormat="1" x14ac:dyDescent="0.25">
      <c r="A105" s="69"/>
      <c r="B105" s="5"/>
      <c r="C105" s="6">
        <v>41983</v>
      </c>
      <c r="D105" s="4">
        <v>6.8</v>
      </c>
      <c r="E105" s="13">
        <v>3.3</v>
      </c>
      <c r="F105" s="4">
        <v>9</v>
      </c>
      <c r="G105" s="4">
        <v>1145.6999999999998</v>
      </c>
      <c r="H105" s="4">
        <f t="shared" si="10"/>
        <v>33.5</v>
      </c>
      <c r="I105" s="20" t="s">
        <v>40</v>
      </c>
      <c r="J105" s="4">
        <v>3</v>
      </c>
      <c r="K105" s="4">
        <v>164.99999999999994</v>
      </c>
      <c r="L105" s="4">
        <v>0.4</v>
      </c>
      <c r="M105" s="4">
        <v>126.80000000000004</v>
      </c>
      <c r="N105" s="4">
        <v>2.6</v>
      </c>
      <c r="O105" s="4">
        <f t="shared" si="7"/>
        <v>83.100000000000023</v>
      </c>
      <c r="P105" s="4">
        <v>100</v>
      </c>
      <c r="Q105" s="4">
        <v>1</v>
      </c>
      <c r="R105" s="9">
        <f t="shared" si="5"/>
        <v>0.4</v>
      </c>
      <c r="S105" s="9">
        <f t="shared" si="6"/>
        <v>2.6</v>
      </c>
      <c r="T105" s="9">
        <f t="shared" si="8"/>
        <v>138.59506249999998</v>
      </c>
      <c r="U105" s="20" t="s">
        <v>41</v>
      </c>
      <c r="V105" s="10">
        <v>149</v>
      </c>
      <c r="W105" s="4">
        <v>21.911764705882355</v>
      </c>
      <c r="X105" s="4">
        <v>61696.100000000006</v>
      </c>
      <c r="Y105" s="4">
        <f t="shared" si="11"/>
        <v>2418.4</v>
      </c>
      <c r="AA105" s="14">
        <v>8.24731028821774</v>
      </c>
    </row>
    <row r="106" spans="1:27" s="4" customFormat="1" x14ac:dyDescent="0.25">
      <c r="A106" s="69"/>
      <c r="B106" s="5"/>
      <c r="C106" s="6">
        <v>41984</v>
      </c>
      <c r="D106" s="4">
        <v>7.1</v>
      </c>
      <c r="E106" s="4">
        <v>5.7</v>
      </c>
      <c r="F106" s="4">
        <v>8.5</v>
      </c>
      <c r="G106" s="4">
        <v>1152.7999999999997</v>
      </c>
      <c r="H106" s="4">
        <f t="shared" si="10"/>
        <v>40.6</v>
      </c>
      <c r="I106" s="4">
        <v>57</v>
      </c>
      <c r="J106" s="4">
        <v>7.3</v>
      </c>
      <c r="K106" s="4">
        <v>172.29999999999995</v>
      </c>
      <c r="L106" s="4">
        <v>0.7</v>
      </c>
      <c r="M106" s="4">
        <v>127.50000000000004</v>
      </c>
      <c r="N106" s="4">
        <v>6.6</v>
      </c>
      <c r="O106" s="4">
        <f t="shared" si="7"/>
        <v>89.700000000000017</v>
      </c>
      <c r="P106" s="4">
        <v>101</v>
      </c>
      <c r="Q106" s="4">
        <v>1</v>
      </c>
      <c r="R106" s="9">
        <f t="shared" si="5"/>
        <v>0.7</v>
      </c>
      <c r="S106" s="9">
        <f t="shared" si="6"/>
        <v>6.6</v>
      </c>
      <c r="T106" s="9">
        <f t="shared" si="8"/>
        <v>145.19506249999998</v>
      </c>
      <c r="U106" s="9">
        <f>AVERAGE(T95:T192)</f>
        <v>179.09966007653071</v>
      </c>
      <c r="V106" s="10">
        <v>115.2</v>
      </c>
      <c r="W106" s="4">
        <v>16.225352112676056</v>
      </c>
      <c r="X106" s="4">
        <v>61811.3</v>
      </c>
      <c r="Y106" s="4">
        <f t="shared" si="11"/>
        <v>2533.6</v>
      </c>
      <c r="AA106" s="14">
        <v>8.2279964211608494</v>
      </c>
    </row>
    <row r="107" spans="1:27" s="4" customFormat="1" x14ac:dyDescent="0.25">
      <c r="A107" s="69"/>
      <c r="B107" s="5"/>
      <c r="C107" s="6">
        <v>41985</v>
      </c>
      <c r="D107" s="4">
        <v>8.3000000000000007</v>
      </c>
      <c r="E107" s="4">
        <v>7.4</v>
      </c>
      <c r="F107" s="4">
        <v>9.6</v>
      </c>
      <c r="G107" s="4">
        <v>1161.0999999999997</v>
      </c>
      <c r="H107" s="4">
        <f t="shared" si="10"/>
        <v>48.900000000000006</v>
      </c>
      <c r="I107" s="20" t="s">
        <v>42</v>
      </c>
      <c r="J107" s="4">
        <v>16.8</v>
      </c>
      <c r="K107" s="4">
        <v>189.09999999999997</v>
      </c>
      <c r="L107" s="4">
        <v>0.7</v>
      </c>
      <c r="M107" s="4">
        <v>128.20000000000005</v>
      </c>
      <c r="N107" s="4">
        <v>16.100000000000001</v>
      </c>
      <c r="O107" s="4">
        <f t="shared" si="7"/>
        <v>105.80000000000001</v>
      </c>
      <c r="P107" s="4">
        <v>102</v>
      </c>
      <c r="Q107" s="4">
        <v>1</v>
      </c>
      <c r="R107" s="9">
        <f t="shared" si="5"/>
        <v>0.7</v>
      </c>
      <c r="S107" s="9">
        <f t="shared" si="6"/>
        <v>16.100000000000001</v>
      </c>
      <c r="T107" s="9">
        <f t="shared" si="8"/>
        <v>161.29506249999997</v>
      </c>
      <c r="U107" s="20" t="s">
        <v>44</v>
      </c>
      <c r="V107" s="22">
        <v>65.5</v>
      </c>
      <c r="W107" s="4">
        <v>7.8915662650602405</v>
      </c>
      <c r="X107" s="4">
        <v>61876.800000000003</v>
      </c>
      <c r="Y107" s="4">
        <f t="shared" si="11"/>
        <v>2599.1</v>
      </c>
      <c r="AA107" s="14">
        <v>8.2102090802609293</v>
      </c>
    </row>
    <row r="108" spans="1:27" s="4" customFormat="1" x14ac:dyDescent="0.25">
      <c r="A108" s="69"/>
      <c r="B108" s="19"/>
      <c r="C108" s="6">
        <v>41986</v>
      </c>
      <c r="D108" s="13">
        <v>3.1</v>
      </c>
      <c r="E108" s="13">
        <v>2.8</v>
      </c>
      <c r="F108" s="13">
        <v>3.9</v>
      </c>
      <c r="G108" s="4">
        <v>1164.1999999999996</v>
      </c>
      <c r="H108" s="4">
        <f t="shared" si="10"/>
        <v>52.000000000000007</v>
      </c>
      <c r="I108" s="13">
        <v>391.9</v>
      </c>
      <c r="J108" s="4">
        <v>2.1</v>
      </c>
      <c r="K108" s="4">
        <v>191.19999999999996</v>
      </c>
      <c r="L108" s="4">
        <v>0.1</v>
      </c>
      <c r="M108" s="4">
        <v>128.30000000000004</v>
      </c>
      <c r="N108" s="4">
        <v>2</v>
      </c>
      <c r="O108" s="4">
        <f t="shared" si="7"/>
        <v>107.80000000000001</v>
      </c>
      <c r="P108" s="4">
        <v>103</v>
      </c>
      <c r="Q108" s="4">
        <v>1</v>
      </c>
      <c r="R108" s="9">
        <f t="shared" si="5"/>
        <v>0.1</v>
      </c>
      <c r="S108" s="9">
        <f t="shared" si="6"/>
        <v>2</v>
      </c>
      <c r="T108" s="9">
        <f t="shared" si="8"/>
        <v>163.29506249999997</v>
      </c>
      <c r="U108" s="4">
        <v>36</v>
      </c>
      <c r="V108" s="22">
        <v>79.099999999999994</v>
      </c>
      <c r="W108" s="4">
        <v>25.516129032258061</v>
      </c>
      <c r="X108" s="4">
        <v>61955.9</v>
      </c>
      <c r="Y108" s="4">
        <f t="shared" si="11"/>
        <v>2678.2</v>
      </c>
      <c r="AA108" s="14">
        <v>8.1939695029020498</v>
      </c>
    </row>
    <row r="109" spans="1:27" s="4" customFormat="1" x14ac:dyDescent="0.25">
      <c r="A109" s="69"/>
      <c r="B109" s="19"/>
      <c r="C109" s="6">
        <v>41987</v>
      </c>
      <c r="D109" s="13">
        <v>0.3</v>
      </c>
      <c r="E109" s="21">
        <v>-0.9</v>
      </c>
      <c r="F109" s="13">
        <v>3.1</v>
      </c>
      <c r="G109" s="4">
        <v>1164.4999999999995</v>
      </c>
      <c r="H109" s="4">
        <f t="shared" si="10"/>
        <v>52.300000000000004</v>
      </c>
      <c r="J109" s="4">
        <v>0.3</v>
      </c>
      <c r="K109" s="4">
        <v>191.49999999999997</v>
      </c>
      <c r="L109" s="4">
        <v>0.3</v>
      </c>
      <c r="M109" s="4">
        <v>128.60000000000005</v>
      </c>
      <c r="N109" s="4">
        <v>0</v>
      </c>
      <c r="O109" s="4">
        <f t="shared" si="7"/>
        <v>107.80000000000001</v>
      </c>
      <c r="P109" s="4">
        <v>104</v>
      </c>
      <c r="Q109" s="4">
        <v>1</v>
      </c>
      <c r="R109" s="9">
        <f t="shared" si="5"/>
        <v>0.3</v>
      </c>
      <c r="S109" s="9">
        <f t="shared" si="6"/>
        <v>0</v>
      </c>
      <c r="T109" s="9">
        <f t="shared" si="8"/>
        <v>163.29506249999997</v>
      </c>
      <c r="V109" s="10">
        <v>148.6</v>
      </c>
      <c r="W109" s="4">
        <v>495.33333333333331</v>
      </c>
      <c r="X109" s="4">
        <v>62104.5</v>
      </c>
      <c r="Y109" s="4">
        <f t="shared" si="11"/>
        <v>2826.7999999999997</v>
      </c>
      <c r="AA109" s="14">
        <v>8.1792973588013904</v>
      </c>
    </row>
    <row r="110" spans="1:27" s="4" customFormat="1" x14ac:dyDescent="0.25">
      <c r="A110" s="69"/>
      <c r="B110" s="19"/>
      <c r="C110" s="6">
        <v>41988</v>
      </c>
      <c r="D110" s="13">
        <v>4.5999999999999996</v>
      </c>
      <c r="E110" s="13">
        <v>1.3</v>
      </c>
      <c r="F110" s="4">
        <v>6</v>
      </c>
      <c r="G110" s="4">
        <v>1169.0999999999995</v>
      </c>
      <c r="H110" s="4">
        <f t="shared" si="10"/>
        <v>56.900000000000006</v>
      </c>
      <c r="J110" s="4">
        <v>1.4</v>
      </c>
      <c r="K110" s="4">
        <v>192.89999999999998</v>
      </c>
      <c r="L110" s="4">
        <v>0.1</v>
      </c>
      <c r="M110" s="4">
        <v>128.70000000000005</v>
      </c>
      <c r="N110" s="4">
        <v>1.2999999999999998</v>
      </c>
      <c r="O110" s="4">
        <f t="shared" si="7"/>
        <v>109.10000000000001</v>
      </c>
      <c r="P110" s="4">
        <v>105</v>
      </c>
      <c r="Q110" s="4">
        <v>1</v>
      </c>
      <c r="R110" s="9">
        <f t="shared" si="5"/>
        <v>0.1</v>
      </c>
      <c r="S110" s="9">
        <f t="shared" si="6"/>
        <v>1.2999999999999998</v>
      </c>
      <c r="T110" s="9">
        <f t="shared" si="8"/>
        <v>164.59506249999998</v>
      </c>
      <c r="U110" s="4">
        <f>(U106*100)/189.6</f>
        <v>94.461846031925475</v>
      </c>
      <c r="V110" s="22">
        <v>68.3</v>
      </c>
      <c r="W110" s="4">
        <v>14.847826086956522</v>
      </c>
      <c r="X110" s="4">
        <v>62172.800000000003</v>
      </c>
      <c r="Y110" s="4">
        <f t="shared" si="11"/>
        <v>2895.1</v>
      </c>
      <c r="AA110" s="14">
        <v>8.1662106674633801</v>
      </c>
    </row>
    <row r="111" spans="1:27" s="4" customFormat="1" x14ac:dyDescent="0.25">
      <c r="A111" s="69"/>
      <c r="B111" s="5"/>
      <c r="C111" s="6">
        <v>41989</v>
      </c>
      <c r="D111" s="4">
        <v>5.9</v>
      </c>
      <c r="E111" s="13">
        <v>4.8</v>
      </c>
      <c r="F111" s="4">
        <v>8.1</v>
      </c>
      <c r="G111" s="4">
        <v>1174.9999999999995</v>
      </c>
      <c r="H111" s="4">
        <f t="shared" si="10"/>
        <v>62.800000000000004</v>
      </c>
      <c r="J111" s="4">
        <v>6.7</v>
      </c>
      <c r="K111" s="4">
        <v>199.59999999999997</v>
      </c>
      <c r="L111" s="4">
        <v>0.5</v>
      </c>
      <c r="M111" s="4">
        <v>129.20000000000005</v>
      </c>
      <c r="N111" s="4">
        <v>6.2</v>
      </c>
      <c r="O111" s="4">
        <f t="shared" si="7"/>
        <v>115.30000000000001</v>
      </c>
      <c r="P111" s="4">
        <v>106</v>
      </c>
      <c r="Q111" s="4">
        <v>1</v>
      </c>
      <c r="R111" s="9">
        <f t="shared" si="5"/>
        <v>0.5</v>
      </c>
      <c r="S111" s="9">
        <f t="shared" si="6"/>
        <v>6.2</v>
      </c>
      <c r="T111" s="9">
        <f t="shared" si="8"/>
        <v>170.79506249999997</v>
      </c>
      <c r="V111" s="10">
        <v>292.89999999999998</v>
      </c>
      <c r="W111" s="4">
        <v>49.644067796610166</v>
      </c>
      <c r="X111" s="4">
        <v>62465.700000000004</v>
      </c>
      <c r="Y111" s="4">
        <f t="shared" si="11"/>
        <v>3188</v>
      </c>
      <c r="AA111" s="14">
        <v>8.1547257212929107</v>
      </c>
    </row>
    <row r="112" spans="1:27" s="4" customFormat="1" x14ac:dyDescent="0.25">
      <c r="A112" s="69"/>
      <c r="B112" s="5"/>
      <c r="C112" s="6">
        <v>41990</v>
      </c>
      <c r="D112" s="4">
        <v>8.9</v>
      </c>
      <c r="E112" s="13">
        <v>4.0999999999999996</v>
      </c>
      <c r="F112" s="4">
        <v>11.6</v>
      </c>
      <c r="G112" s="4">
        <v>1183.8999999999996</v>
      </c>
      <c r="H112" s="4">
        <f t="shared" si="10"/>
        <v>71.7</v>
      </c>
      <c r="J112" s="4">
        <v>5.9</v>
      </c>
      <c r="K112" s="4">
        <v>205.49999999999997</v>
      </c>
      <c r="L112" s="4">
        <v>0.1</v>
      </c>
      <c r="M112" s="4">
        <v>129.30000000000004</v>
      </c>
      <c r="N112" s="4">
        <v>5.8000000000000007</v>
      </c>
      <c r="O112" s="4">
        <f t="shared" si="7"/>
        <v>121.10000000000001</v>
      </c>
      <c r="P112" s="4">
        <v>107</v>
      </c>
      <c r="Q112" s="4">
        <v>1</v>
      </c>
      <c r="R112" s="9">
        <f t="shared" si="5"/>
        <v>0.1</v>
      </c>
      <c r="S112" s="9">
        <f t="shared" si="6"/>
        <v>5.8000000000000007</v>
      </c>
      <c r="T112" s="9">
        <f t="shared" si="8"/>
        <v>176.59506249999998</v>
      </c>
      <c r="V112" s="22">
        <v>75.2</v>
      </c>
      <c r="W112" s="4">
        <v>8.4494382022471903</v>
      </c>
      <c r="X112" s="4">
        <v>62540.9</v>
      </c>
      <c r="Y112" s="4">
        <f t="shared" si="11"/>
        <v>3263.2</v>
      </c>
      <c r="AA112" s="14">
        <v>8.1448570150340593</v>
      </c>
    </row>
    <row r="113" spans="1:27" s="4" customFormat="1" x14ac:dyDescent="0.25">
      <c r="A113" s="69"/>
      <c r="B113" s="5"/>
      <c r="C113" s="6">
        <v>41991</v>
      </c>
      <c r="D113" s="4">
        <v>11.9</v>
      </c>
      <c r="E113" s="4">
        <v>10.6</v>
      </c>
      <c r="F113" s="4">
        <v>13</v>
      </c>
      <c r="G113" s="4">
        <v>1195.7999999999997</v>
      </c>
      <c r="H113" s="4">
        <f t="shared" si="10"/>
        <v>83.600000000000009</v>
      </c>
      <c r="J113" s="4">
        <v>0.6</v>
      </c>
      <c r="K113" s="4">
        <v>206.09999999999997</v>
      </c>
      <c r="L113" s="4">
        <v>0.5</v>
      </c>
      <c r="M113" s="4">
        <v>129.80000000000004</v>
      </c>
      <c r="N113" s="4">
        <v>9.9999999999999978E-2</v>
      </c>
      <c r="O113" s="4">
        <f t="shared" si="7"/>
        <v>121.2</v>
      </c>
      <c r="P113" s="4">
        <v>108</v>
      </c>
      <c r="Q113" s="4">
        <v>1</v>
      </c>
      <c r="R113" s="9">
        <f t="shared" si="5"/>
        <v>0.5</v>
      </c>
      <c r="S113" s="9">
        <f t="shared" si="6"/>
        <v>9.9999999999999978E-2</v>
      </c>
      <c r="T113" s="9">
        <f t="shared" si="8"/>
        <v>176.69506249999998</v>
      </c>
      <c r="V113" s="22">
        <v>98.1</v>
      </c>
      <c r="W113" s="4">
        <v>8.2436974789915958</v>
      </c>
      <c r="X113" s="4">
        <v>62639</v>
      </c>
      <c r="Y113" s="4">
        <f t="shared" si="11"/>
        <v>3361.2999999999997</v>
      </c>
      <c r="AA113" s="14">
        <v>8.1366171821599593</v>
      </c>
    </row>
    <row r="114" spans="1:27" s="4" customFormat="1" x14ac:dyDescent="0.25">
      <c r="A114" s="69"/>
      <c r="B114" s="5"/>
      <c r="C114" s="6">
        <v>41992</v>
      </c>
      <c r="D114" s="4">
        <v>9.3000000000000007</v>
      </c>
      <c r="E114" s="4">
        <v>7.3</v>
      </c>
      <c r="F114" s="4">
        <v>11.5</v>
      </c>
      <c r="G114" s="4">
        <v>1205.0999999999997</v>
      </c>
      <c r="H114" s="4">
        <f t="shared" si="10"/>
        <v>92.9</v>
      </c>
      <c r="J114" s="4">
        <v>4.8</v>
      </c>
      <c r="K114" s="4">
        <v>210.89999999999998</v>
      </c>
      <c r="L114" s="4">
        <v>0.6</v>
      </c>
      <c r="M114" s="4">
        <v>130.40000000000003</v>
      </c>
      <c r="N114" s="4">
        <v>4.2</v>
      </c>
      <c r="O114" s="4">
        <f t="shared" si="7"/>
        <v>125.4</v>
      </c>
      <c r="P114" s="4">
        <v>109</v>
      </c>
      <c r="Q114" s="4">
        <v>1</v>
      </c>
      <c r="R114" s="9">
        <f t="shared" si="5"/>
        <v>0.6</v>
      </c>
      <c r="S114" s="9">
        <f t="shared" si="6"/>
        <v>4.2</v>
      </c>
      <c r="T114" s="9">
        <f t="shared" si="8"/>
        <v>180.89506249999997</v>
      </c>
      <c r="V114" s="22">
        <v>85.9</v>
      </c>
      <c r="W114" s="4">
        <v>9.236559139784946</v>
      </c>
      <c r="X114" s="4">
        <v>62724.9</v>
      </c>
      <c r="Y114" s="4">
        <f t="shared" si="11"/>
        <v>3447.2</v>
      </c>
      <c r="AA114" s="14">
        <v>8.1300169387881809</v>
      </c>
    </row>
    <row r="115" spans="1:27" s="4" customFormat="1" x14ac:dyDescent="0.25">
      <c r="A115" s="69"/>
      <c r="B115" s="5"/>
      <c r="C115" s="6">
        <v>41993</v>
      </c>
      <c r="D115" s="4">
        <v>6</v>
      </c>
      <c r="E115" s="13">
        <v>4.3</v>
      </c>
      <c r="F115" s="4">
        <v>8.3000000000000007</v>
      </c>
      <c r="G115" s="4">
        <v>1211.0999999999997</v>
      </c>
      <c r="H115" s="4">
        <f t="shared" si="10"/>
        <v>98.9</v>
      </c>
      <c r="J115" s="4">
        <v>0.4</v>
      </c>
      <c r="K115" s="4">
        <v>211.29999999999998</v>
      </c>
      <c r="L115" s="4">
        <v>0.7</v>
      </c>
      <c r="M115" s="4">
        <v>131.10000000000002</v>
      </c>
      <c r="N115" s="8">
        <v>-0.29999999999999993</v>
      </c>
      <c r="O115" s="4">
        <f t="shared" si="7"/>
        <v>125.10000000000001</v>
      </c>
      <c r="P115" s="4">
        <v>110</v>
      </c>
      <c r="Q115" s="4">
        <v>1</v>
      </c>
      <c r="R115" s="9">
        <f t="shared" si="5"/>
        <v>0.7</v>
      </c>
      <c r="S115" s="9">
        <f t="shared" si="6"/>
        <v>-0.29999999999999993</v>
      </c>
      <c r="T115" s="9">
        <f t="shared" si="8"/>
        <v>180.59506249999995</v>
      </c>
      <c r="V115" s="10">
        <v>120.1</v>
      </c>
      <c r="W115" s="4">
        <v>20.016666666666666</v>
      </c>
      <c r="X115" s="4">
        <v>62845</v>
      </c>
      <c r="Y115" s="4">
        <f t="shared" si="11"/>
        <v>3567.2999999999997</v>
      </c>
      <c r="AA115" s="14">
        <v>8.1250650356366894</v>
      </c>
    </row>
    <row r="116" spans="1:27" s="4" customFormat="1" x14ac:dyDescent="0.25">
      <c r="A116" s="69"/>
      <c r="B116" s="5"/>
      <c r="C116" s="6">
        <v>41994</v>
      </c>
      <c r="D116" s="4">
        <v>6.3</v>
      </c>
      <c r="E116" s="13">
        <v>2.9</v>
      </c>
      <c r="F116" s="4">
        <v>8.3000000000000007</v>
      </c>
      <c r="G116" s="4">
        <v>1217.3999999999996</v>
      </c>
      <c r="H116" s="4">
        <f t="shared" si="10"/>
        <v>105.2</v>
      </c>
      <c r="J116" s="4">
        <v>0</v>
      </c>
      <c r="K116" s="4">
        <v>211.29999999999998</v>
      </c>
      <c r="L116" s="4">
        <v>0.5</v>
      </c>
      <c r="M116" s="4">
        <v>131.60000000000002</v>
      </c>
      <c r="N116" s="8">
        <v>-0.5</v>
      </c>
      <c r="O116" s="4">
        <f t="shared" si="7"/>
        <v>124.60000000000001</v>
      </c>
      <c r="P116" s="4">
        <v>111</v>
      </c>
      <c r="Q116" s="4">
        <v>1</v>
      </c>
      <c r="R116" s="9">
        <f t="shared" si="5"/>
        <v>0.5</v>
      </c>
      <c r="S116" s="9">
        <f t="shared" si="6"/>
        <v>-0.5</v>
      </c>
      <c r="T116" s="9">
        <f t="shared" si="8"/>
        <v>180.09506249999995</v>
      </c>
      <c r="V116" s="10">
        <v>121.5</v>
      </c>
      <c r="W116" s="4">
        <v>19.285714285714285</v>
      </c>
      <c r="X116" s="4">
        <v>62966.5</v>
      </c>
      <c r="Y116" s="4">
        <f t="shared" si="11"/>
        <v>3688.7999999999997</v>
      </c>
      <c r="AA116" s="14">
        <v>8.1217682184677304</v>
      </c>
    </row>
    <row r="117" spans="1:27" s="4" customFormat="1" x14ac:dyDescent="0.25">
      <c r="A117" s="69"/>
      <c r="B117" s="5"/>
      <c r="C117" s="6">
        <v>41995</v>
      </c>
      <c r="D117" s="4">
        <v>9.6999999999999993</v>
      </c>
      <c r="E117" s="4">
        <v>7.5</v>
      </c>
      <c r="F117" s="4">
        <v>10.6</v>
      </c>
      <c r="G117" s="4">
        <v>1227.0999999999997</v>
      </c>
      <c r="H117" s="4">
        <f t="shared" si="10"/>
        <v>114.9</v>
      </c>
      <c r="J117" s="4">
        <v>0</v>
      </c>
      <c r="K117" s="4">
        <v>211.29999999999998</v>
      </c>
      <c r="L117" s="4">
        <v>0.6</v>
      </c>
      <c r="M117" s="4">
        <v>132.20000000000002</v>
      </c>
      <c r="N117" s="8">
        <v>-0.6</v>
      </c>
      <c r="O117" s="4">
        <f t="shared" si="7"/>
        <v>124.00000000000001</v>
      </c>
      <c r="P117" s="4">
        <v>112</v>
      </c>
      <c r="Q117" s="4">
        <v>1</v>
      </c>
      <c r="R117" s="9">
        <f t="shared" si="5"/>
        <v>0.6</v>
      </c>
      <c r="S117" s="9">
        <f t="shared" si="6"/>
        <v>-0.6</v>
      </c>
      <c r="T117" s="9">
        <f t="shared" si="8"/>
        <v>179.49506249999996</v>
      </c>
      <c r="V117" s="22">
        <v>79.5</v>
      </c>
      <c r="W117" s="4">
        <v>8.1958762886597949</v>
      </c>
      <c r="X117" s="4">
        <v>63046</v>
      </c>
      <c r="Y117" s="4">
        <f t="shared" si="11"/>
        <v>3768.2999999999997</v>
      </c>
      <c r="AA117" s="14">
        <v>8.1201311973919896</v>
      </c>
    </row>
    <row r="118" spans="1:27" s="4" customFormat="1" x14ac:dyDescent="0.25">
      <c r="A118" s="69"/>
      <c r="B118" s="5"/>
      <c r="C118" s="6">
        <v>41996</v>
      </c>
      <c r="D118" s="4">
        <v>9.6999999999999993</v>
      </c>
      <c r="E118" s="4">
        <v>9.1999999999999993</v>
      </c>
      <c r="F118" s="4">
        <v>10.6</v>
      </c>
      <c r="G118" s="4">
        <v>1236.7999999999997</v>
      </c>
      <c r="H118" s="4">
        <f t="shared" si="10"/>
        <v>124.60000000000001</v>
      </c>
      <c r="J118" s="4">
        <v>0</v>
      </c>
      <c r="K118" s="4">
        <v>211.29999999999998</v>
      </c>
      <c r="L118" s="4">
        <v>0.8</v>
      </c>
      <c r="M118" s="4">
        <v>133.00000000000003</v>
      </c>
      <c r="N118" s="8">
        <v>-0.8</v>
      </c>
      <c r="O118" s="4">
        <f t="shared" si="7"/>
        <v>123.20000000000002</v>
      </c>
      <c r="P118" s="4">
        <v>113</v>
      </c>
      <c r="Q118" s="4">
        <v>1</v>
      </c>
      <c r="R118" s="9">
        <f t="shared" si="5"/>
        <v>0.8</v>
      </c>
      <c r="S118" s="9">
        <f t="shared" si="6"/>
        <v>-0.8</v>
      </c>
      <c r="T118" s="9">
        <f t="shared" si="8"/>
        <v>178.69506249999995</v>
      </c>
      <c r="V118" s="10">
        <v>127.2</v>
      </c>
      <c r="W118" s="4">
        <v>13.113402061855671</v>
      </c>
      <c r="X118" s="4">
        <v>63173.2</v>
      </c>
      <c r="Y118" s="4">
        <f t="shared" si="11"/>
        <v>3895.4999999999995</v>
      </c>
      <c r="AA118" s="14">
        <v>8.1201566253249204</v>
      </c>
    </row>
    <row r="119" spans="1:27" s="4" customFormat="1" x14ac:dyDescent="0.25">
      <c r="A119" s="69"/>
      <c r="B119" s="5"/>
      <c r="C119" s="6">
        <v>41997</v>
      </c>
      <c r="D119" s="4">
        <v>8.1</v>
      </c>
      <c r="E119" s="4">
        <v>7.7</v>
      </c>
      <c r="F119" s="4">
        <v>10.3</v>
      </c>
      <c r="G119" s="4">
        <v>1244.8999999999996</v>
      </c>
      <c r="H119" s="4">
        <f t="shared" si="10"/>
        <v>132.70000000000002</v>
      </c>
      <c r="J119" s="4">
        <v>1.2</v>
      </c>
      <c r="K119" s="4">
        <v>212.49999999999997</v>
      </c>
      <c r="L119" s="4">
        <v>1.1000000000000001</v>
      </c>
      <c r="M119" s="4">
        <v>134.10000000000002</v>
      </c>
      <c r="N119" s="4">
        <v>9.9999999999999867E-2</v>
      </c>
      <c r="O119" s="4">
        <f t="shared" si="7"/>
        <v>123.30000000000001</v>
      </c>
      <c r="P119" s="4">
        <v>114</v>
      </c>
      <c r="Q119" s="4">
        <v>1</v>
      </c>
      <c r="R119" s="9">
        <f t="shared" si="5"/>
        <v>1.1000000000000001</v>
      </c>
      <c r="S119" s="9">
        <f t="shared" si="6"/>
        <v>9.9999999999999867E-2</v>
      </c>
      <c r="T119" s="9">
        <f t="shared" si="8"/>
        <v>178.79506249999994</v>
      </c>
      <c r="V119" s="10">
        <v>122.8</v>
      </c>
      <c r="W119" s="4">
        <v>15.160493827160494</v>
      </c>
      <c r="X119" s="4">
        <v>63296</v>
      </c>
      <c r="Y119" s="4">
        <f t="shared" si="11"/>
        <v>4018.2999999999997</v>
      </c>
      <c r="AA119" s="14">
        <v>8.1218450858009206</v>
      </c>
    </row>
    <row r="120" spans="1:27" s="4" customFormat="1" x14ac:dyDescent="0.25">
      <c r="A120" s="69"/>
      <c r="B120" s="19"/>
      <c r="C120" s="6">
        <v>41998</v>
      </c>
      <c r="D120" s="13">
        <v>4.3</v>
      </c>
      <c r="E120" s="13">
        <v>3.4</v>
      </c>
      <c r="F120" s="4">
        <v>7.5</v>
      </c>
      <c r="G120" s="4">
        <v>1249.1999999999996</v>
      </c>
      <c r="H120" s="4">
        <f t="shared" si="10"/>
        <v>137.00000000000003</v>
      </c>
      <c r="J120" s="4">
        <v>0</v>
      </c>
      <c r="K120" s="4">
        <v>212.49999999999997</v>
      </c>
      <c r="L120" s="4">
        <v>0.9</v>
      </c>
      <c r="M120" s="4">
        <v>135.00000000000003</v>
      </c>
      <c r="N120" s="8">
        <v>-0.9</v>
      </c>
      <c r="O120" s="4">
        <f t="shared" si="7"/>
        <v>122.4</v>
      </c>
      <c r="P120" s="4">
        <v>115</v>
      </c>
      <c r="Q120" s="4">
        <v>1</v>
      </c>
      <c r="R120" s="9">
        <f t="shared" si="5"/>
        <v>0.9</v>
      </c>
      <c r="S120" s="9">
        <f t="shared" si="6"/>
        <v>-0.9</v>
      </c>
      <c r="T120" s="9">
        <f t="shared" si="8"/>
        <v>177.89506249999994</v>
      </c>
      <c r="V120" s="10">
        <v>394.2</v>
      </c>
      <c r="W120" s="4">
        <v>91.674418604651166</v>
      </c>
      <c r="X120" s="4">
        <v>63690.2</v>
      </c>
      <c r="Y120" s="4">
        <f t="shared" si="11"/>
        <v>4412.5</v>
      </c>
      <c r="AA120" s="14">
        <v>8.1251950902625492</v>
      </c>
    </row>
    <row r="121" spans="1:27" s="4" customFormat="1" x14ac:dyDescent="0.25">
      <c r="A121" s="69"/>
      <c r="B121" s="19"/>
      <c r="C121" s="6">
        <v>41999</v>
      </c>
      <c r="D121" s="13">
        <v>2.4</v>
      </c>
      <c r="E121" s="13">
        <v>0.3</v>
      </c>
      <c r="F121" s="13">
        <v>3.8</v>
      </c>
      <c r="G121" s="4">
        <v>1251.5999999999997</v>
      </c>
      <c r="H121" s="4">
        <f t="shared" si="10"/>
        <v>139.40000000000003</v>
      </c>
      <c r="J121" s="4">
        <v>11</v>
      </c>
      <c r="K121" s="4">
        <v>223.49999999999997</v>
      </c>
      <c r="L121" s="4">
        <v>0.3</v>
      </c>
      <c r="M121" s="4">
        <v>135.30000000000004</v>
      </c>
      <c r="N121" s="4">
        <v>10.7</v>
      </c>
      <c r="O121" s="4">
        <f t="shared" si="7"/>
        <v>133.1</v>
      </c>
      <c r="P121" s="4">
        <v>116</v>
      </c>
      <c r="Q121" s="4">
        <v>1</v>
      </c>
      <c r="R121" s="9">
        <f t="shared" si="5"/>
        <v>0.3</v>
      </c>
      <c r="S121" s="9">
        <f t="shared" si="6"/>
        <v>10.7</v>
      </c>
      <c r="T121" s="9">
        <f t="shared" si="8"/>
        <v>188.59506249999993</v>
      </c>
      <c r="V121" s="10">
        <v>247.4</v>
      </c>
      <c r="W121" s="4">
        <v>103.08333333333334</v>
      </c>
      <c r="X121" s="4">
        <v>63937.599999999999</v>
      </c>
      <c r="Y121" s="4">
        <f t="shared" si="11"/>
        <v>4659.8999999999996</v>
      </c>
      <c r="AA121" s="14">
        <v>8.1302030848504891</v>
      </c>
    </row>
    <row r="122" spans="1:27" s="4" customFormat="1" x14ac:dyDescent="0.25">
      <c r="A122" s="69"/>
      <c r="B122" s="19"/>
      <c r="C122" s="6">
        <v>42000</v>
      </c>
      <c r="D122" s="13">
        <v>3</v>
      </c>
      <c r="E122" s="13">
        <v>2.2999999999999998</v>
      </c>
      <c r="F122" s="13">
        <v>4.3</v>
      </c>
      <c r="G122" s="4">
        <v>1254.5999999999997</v>
      </c>
      <c r="H122" s="4">
        <f t="shared" si="10"/>
        <v>142.40000000000003</v>
      </c>
      <c r="J122" s="4">
        <v>2.2000000000000002</v>
      </c>
      <c r="K122" s="4">
        <v>225.69999999999996</v>
      </c>
      <c r="L122" s="4">
        <v>0.6</v>
      </c>
      <c r="M122" s="4">
        <v>135.90000000000003</v>
      </c>
      <c r="N122" s="4">
        <v>1.6</v>
      </c>
      <c r="O122" s="4">
        <f t="shared" si="7"/>
        <v>134.69999999999999</v>
      </c>
      <c r="P122" s="4">
        <v>117</v>
      </c>
      <c r="Q122" s="4">
        <v>1</v>
      </c>
      <c r="R122" s="9">
        <f t="shared" si="5"/>
        <v>0.6</v>
      </c>
      <c r="S122" s="9">
        <f t="shared" si="6"/>
        <v>1.6</v>
      </c>
      <c r="T122" s="9">
        <f t="shared" si="8"/>
        <v>189.6</v>
      </c>
      <c r="V122" s="22">
        <v>81</v>
      </c>
      <c r="W122" s="4">
        <v>27</v>
      </c>
      <c r="X122" s="4">
        <v>64018.6</v>
      </c>
      <c r="Y122" s="4">
        <f t="shared" si="11"/>
        <v>4740.8999999999996</v>
      </c>
      <c r="AA122" s="14">
        <v>8.1368634666289203</v>
      </c>
    </row>
    <row r="123" spans="1:27" s="4" customFormat="1" x14ac:dyDescent="0.25">
      <c r="A123" s="69"/>
      <c r="B123" s="19"/>
      <c r="C123" s="6">
        <v>42001</v>
      </c>
      <c r="D123" s="21">
        <v>-1.7</v>
      </c>
      <c r="E123" s="21">
        <v>-2</v>
      </c>
      <c r="F123" s="21">
        <v>-1.3</v>
      </c>
      <c r="G123" s="4">
        <v>1254.5999999999999</v>
      </c>
      <c r="H123" s="4">
        <v>142.4</v>
      </c>
      <c r="J123" s="4">
        <v>0</v>
      </c>
      <c r="K123" s="4">
        <v>225.69999999999996</v>
      </c>
      <c r="L123" s="4">
        <v>0.7</v>
      </c>
      <c r="M123" s="4">
        <v>136.60000000000002</v>
      </c>
      <c r="N123" s="8">
        <v>-0.7</v>
      </c>
      <c r="O123" s="4">
        <f t="shared" si="7"/>
        <v>134</v>
      </c>
      <c r="P123" s="4">
        <v>118</v>
      </c>
      <c r="Q123" s="4">
        <v>1</v>
      </c>
      <c r="R123" s="9">
        <f t="shared" si="5"/>
        <v>0.7</v>
      </c>
      <c r="S123" s="9">
        <f t="shared" si="6"/>
        <v>-0.7</v>
      </c>
      <c r="T123" s="9">
        <f t="shared" si="8"/>
        <v>188.9</v>
      </c>
      <c r="V123" s="10">
        <v>561.5</v>
      </c>
      <c r="W123" s="4">
        <v>-330.29411764705884</v>
      </c>
      <c r="X123" s="4">
        <v>64580.1</v>
      </c>
      <c r="Y123" s="4">
        <f t="shared" si="11"/>
        <v>5302.4</v>
      </c>
      <c r="AA123" s="14">
        <v>8.1451686090903195</v>
      </c>
    </row>
    <row r="124" spans="1:27" s="4" customFormat="1" x14ac:dyDescent="0.25">
      <c r="A124" s="69"/>
      <c r="B124" s="19"/>
      <c r="C124" s="6">
        <v>42002</v>
      </c>
      <c r="D124" s="13">
        <v>0.4</v>
      </c>
      <c r="E124" s="21">
        <v>-3.8</v>
      </c>
      <c r="F124" s="13">
        <v>2.6</v>
      </c>
      <c r="G124" s="4">
        <v>1255</v>
      </c>
      <c r="H124" s="4">
        <f t="shared" si="10"/>
        <v>142.80000000000001</v>
      </c>
      <c r="J124" s="4">
        <v>0</v>
      </c>
      <c r="K124" s="4">
        <v>225.69999999999996</v>
      </c>
      <c r="L124" s="4">
        <v>0.2</v>
      </c>
      <c r="M124" s="4">
        <v>136.80000000000001</v>
      </c>
      <c r="N124" s="8">
        <v>-0.2</v>
      </c>
      <c r="O124" s="4">
        <f t="shared" si="7"/>
        <v>133.80000000000001</v>
      </c>
      <c r="P124" s="4">
        <v>119</v>
      </c>
      <c r="Q124" s="4">
        <v>1</v>
      </c>
      <c r="R124" s="9">
        <f t="shared" si="5"/>
        <v>0.2</v>
      </c>
      <c r="S124" s="9">
        <f t="shared" si="6"/>
        <v>-0.2</v>
      </c>
      <c r="T124" s="9">
        <f t="shared" si="8"/>
        <v>188.70000000000002</v>
      </c>
      <c r="V124" s="10">
        <v>286.7</v>
      </c>
      <c r="W124" s="4">
        <v>716.74999999999989</v>
      </c>
      <c r="X124" s="4">
        <v>64866.799999999996</v>
      </c>
      <c r="Y124" s="4">
        <f t="shared" si="11"/>
        <v>5589.0999999999995</v>
      </c>
      <c r="AA124" s="14">
        <v>8.1551088966962393</v>
      </c>
    </row>
    <row r="125" spans="1:27" s="4" customFormat="1" x14ac:dyDescent="0.25">
      <c r="A125" s="69"/>
      <c r="B125" s="19"/>
      <c r="C125" s="6">
        <v>42003</v>
      </c>
      <c r="D125" s="13">
        <v>1.7</v>
      </c>
      <c r="E125" s="21">
        <v>-0.2</v>
      </c>
      <c r="F125" s="13">
        <v>2.7</v>
      </c>
      <c r="G125" s="4">
        <v>1256.7</v>
      </c>
      <c r="H125" s="4">
        <f t="shared" si="10"/>
        <v>144.5</v>
      </c>
      <c r="J125" s="4">
        <v>0.1</v>
      </c>
      <c r="K125" s="4">
        <v>225.79999999999995</v>
      </c>
      <c r="L125" s="4">
        <v>0.2</v>
      </c>
      <c r="M125" s="4">
        <v>137</v>
      </c>
      <c r="N125" s="8">
        <v>-0.1</v>
      </c>
      <c r="O125" s="4">
        <f t="shared" si="7"/>
        <v>133.70000000000002</v>
      </c>
      <c r="P125" s="4">
        <v>120</v>
      </c>
      <c r="Q125" s="4">
        <v>1</v>
      </c>
      <c r="R125" s="9">
        <f t="shared" si="5"/>
        <v>0.2</v>
      </c>
      <c r="S125" s="9">
        <f t="shared" si="6"/>
        <v>-0.1</v>
      </c>
      <c r="T125" s="9">
        <f t="shared" si="8"/>
        <v>188.60000000000002</v>
      </c>
      <c r="V125" s="10">
        <v>191.4</v>
      </c>
      <c r="W125" s="4">
        <v>112.58823529411765</v>
      </c>
      <c r="X125" s="4">
        <v>65058.2</v>
      </c>
      <c r="Y125" s="4">
        <f t="shared" si="11"/>
        <v>5780.4999999999991</v>
      </c>
      <c r="AA125" s="14">
        <v>8.1666727681266398</v>
      </c>
    </row>
    <row r="126" spans="1:27" s="4" customFormat="1" x14ac:dyDescent="0.25">
      <c r="A126" s="69"/>
      <c r="B126" s="19"/>
      <c r="C126" s="6">
        <v>42004</v>
      </c>
      <c r="D126" s="13">
        <v>2</v>
      </c>
      <c r="E126" s="13">
        <v>1.4</v>
      </c>
      <c r="F126" s="13">
        <v>4.3</v>
      </c>
      <c r="G126" s="4">
        <v>1258.7</v>
      </c>
      <c r="H126" s="4">
        <f t="shared" si="10"/>
        <v>146.5</v>
      </c>
      <c r="J126" s="4">
        <v>0</v>
      </c>
      <c r="K126" s="4">
        <v>225.79999999999995</v>
      </c>
      <c r="L126" s="4">
        <v>0.6</v>
      </c>
      <c r="M126" s="4">
        <v>137.6</v>
      </c>
      <c r="N126" s="8">
        <v>-0.6</v>
      </c>
      <c r="O126" s="4">
        <f t="shared" si="7"/>
        <v>133.10000000000002</v>
      </c>
      <c r="P126" s="4">
        <v>121</v>
      </c>
      <c r="Q126" s="4">
        <v>1</v>
      </c>
      <c r="R126" s="9">
        <f t="shared" si="5"/>
        <v>0.6</v>
      </c>
      <c r="S126" s="9">
        <f t="shared" si="6"/>
        <v>-0.6</v>
      </c>
      <c r="T126" s="9">
        <f t="shared" si="8"/>
        <v>188.00000000000003</v>
      </c>
      <c r="V126" s="10">
        <v>288.10000000000002</v>
      </c>
      <c r="W126" s="4">
        <v>144.05000000000001</v>
      </c>
      <c r="X126" s="4">
        <v>65346.299999999996</v>
      </c>
      <c r="Y126" s="4">
        <f t="shared" si="11"/>
        <v>6068.5999999999995</v>
      </c>
      <c r="AA126" s="14">
        <v>8.1798467678323803</v>
      </c>
    </row>
    <row r="127" spans="1:27" s="4" customFormat="1" x14ac:dyDescent="0.25">
      <c r="A127" s="69"/>
      <c r="B127" s="19"/>
      <c r="C127" s="6">
        <v>42005</v>
      </c>
      <c r="D127" s="13">
        <v>1.3</v>
      </c>
      <c r="E127" s="21">
        <v>-1.2</v>
      </c>
      <c r="F127" s="4">
        <v>6.6</v>
      </c>
      <c r="G127" s="4">
        <v>1260</v>
      </c>
      <c r="H127" s="4">
        <f t="shared" si="10"/>
        <v>147.80000000000001</v>
      </c>
      <c r="J127" s="4">
        <v>0.9</v>
      </c>
      <c r="K127" s="4">
        <v>226.69999999999996</v>
      </c>
      <c r="L127" s="4">
        <v>0.8</v>
      </c>
      <c r="M127" s="4">
        <v>138.4</v>
      </c>
      <c r="N127" s="4">
        <v>9.9999999999999978E-2</v>
      </c>
      <c r="O127" s="4">
        <f t="shared" si="7"/>
        <v>133.20000000000002</v>
      </c>
      <c r="P127" s="4">
        <v>122</v>
      </c>
      <c r="Q127" s="4">
        <v>1</v>
      </c>
      <c r="R127" s="9">
        <f t="shared" si="5"/>
        <v>0.8</v>
      </c>
      <c r="S127" s="9">
        <f t="shared" si="6"/>
        <v>9.9999999999999978E-2</v>
      </c>
      <c r="T127" s="9">
        <f t="shared" si="8"/>
        <v>188.10000000000002</v>
      </c>
      <c r="V127" s="10">
        <v>369</v>
      </c>
      <c r="W127" s="4">
        <v>283.84615384615381</v>
      </c>
      <c r="X127" s="4">
        <v>65715.299999999988</v>
      </c>
      <c r="Y127" s="4">
        <f t="shared" si="11"/>
        <v>6437.5999999999995</v>
      </c>
      <c r="AA127" s="14">
        <v>8.1993783370637594</v>
      </c>
    </row>
    <row r="128" spans="1:27" s="4" customFormat="1" x14ac:dyDescent="0.25">
      <c r="A128" s="69"/>
      <c r="B128" s="5"/>
      <c r="C128" s="6">
        <v>42006</v>
      </c>
      <c r="D128" s="4">
        <v>5.6</v>
      </c>
      <c r="E128" s="13">
        <v>2</v>
      </c>
      <c r="F128" s="4">
        <v>10</v>
      </c>
      <c r="G128" s="4">
        <v>1265.5999999999999</v>
      </c>
      <c r="H128" s="4">
        <f t="shared" si="10"/>
        <v>153.4</v>
      </c>
      <c r="J128" s="4">
        <v>0.3</v>
      </c>
      <c r="K128" s="4">
        <v>226.99999999999997</v>
      </c>
      <c r="L128" s="4">
        <v>0.7</v>
      </c>
      <c r="M128" s="4">
        <v>139.1</v>
      </c>
      <c r="N128" s="8">
        <v>-0.39999999999999997</v>
      </c>
      <c r="O128" s="4">
        <f t="shared" si="7"/>
        <v>132.80000000000001</v>
      </c>
      <c r="P128" s="4">
        <v>123</v>
      </c>
      <c r="Q128" s="4">
        <v>1</v>
      </c>
      <c r="R128" s="9">
        <f t="shared" si="5"/>
        <v>0.7</v>
      </c>
      <c r="S128" s="9">
        <f t="shared" si="6"/>
        <v>-0.39999999999999997</v>
      </c>
      <c r="T128" s="9">
        <f t="shared" si="8"/>
        <v>187.70000000000002</v>
      </c>
      <c r="V128" s="10">
        <v>280.89999999999998</v>
      </c>
      <c r="W128" s="4">
        <v>50.160714285714285</v>
      </c>
      <c r="X128" s="4">
        <v>65996.199999999983</v>
      </c>
      <c r="Y128" s="4">
        <f t="shared" si="11"/>
        <v>6718.4999999999991</v>
      </c>
      <c r="AA128" s="14">
        <v>8.2161970055471301</v>
      </c>
    </row>
    <row r="129" spans="1:27" s="4" customFormat="1" x14ac:dyDescent="0.25">
      <c r="A129" s="69"/>
      <c r="B129" s="5"/>
      <c r="C129" s="6">
        <v>42007</v>
      </c>
      <c r="D129" s="4">
        <v>5.4</v>
      </c>
      <c r="E129" s="13">
        <v>0.8</v>
      </c>
      <c r="F129" s="4">
        <v>11.7</v>
      </c>
      <c r="G129" s="4">
        <v>1271</v>
      </c>
      <c r="H129" s="4">
        <f t="shared" si="10"/>
        <v>158.80000000000001</v>
      </c>
      <c r="J129" s="4">
        <v>10.1</v>
      </c>
      <c r="K129" s="4">
        <v>237.09999999999997</v>
      </c>
      <c r="L129" s="4">
        <v>0.5</v>
      </c>
      <c r="M129" s="4">
        <v>139.6</v>
      </c>
      <c r="N129" s="4">
        <v>9.6</v>
      </c>
      <c r="O129" s="4">
        <f t="shared" si="7"/>
        <v>142.4</v>
      </c>
      <c r="P129" s="4">
        <v>124</v>
      </c>
      <c r="Q129" s="4">
        <v>1</v>
      </c>
      <c r="R129" s="9">
        <f t="shared" si="5"/>
        <v>0.5</v>
      </c>
      <c r="S129" s="9">
        <f t="shared" si="6"/>
        <v>9.6</v>
      </c>
      <c r="T129" s="9">
        <f t="shared" si="8"/>
        <v>189.6</v>
      </c>
      <c r="V129" s="22">
        <v>62.8</v>
      </c>
      <c r="W129" s="4">
        <v>11.629629629629628</v>
      </c>
      <c r="X129" s="4">
        <v>66058.999999999985</v>
      </c>
      <c r="Y129" s="4">
        <f t="shared" si="11"/>
        <v>6781.2999999999993</v>
      </c>
      <c r="AA129" s="14">
        <v>8.2345687255759508</v>
      </c>
    </row>
    <row r="130" spans="1:27" s="4" customFormat="1" x14ac:dyDescent="0.25">
      <c r="A130" s="69"/>
      <c r="B130" s="19"/>
      <c r="C130" s="6">
        <v>42008</v>
      </c>
      <c r="D130" s="13">
        <v>2.7</v>
      </c>
      <c r="E130" s="13">
        <v>1.3</v>
      </c>
      <c r="F130" s="4">
        <v>5.9</v>
      </c>
      <c r="G130" s="4">
        <v>1273.7</v>
      </c>
      <c r="H130" s="4">
        <f t="shared" si="10"/>
        <v>161.5</v>
      </c>
      <c r="J130" s="4">
        <v>0</v>
      </c>
      <c r="K130" s="4">
        <v>237.09999999999997</v>
      </c>
      <c r="L130" s="4">
        <v>0.5</v>
      </c>
      <c r="M130" s="4">
        <v>140.1</v>
      </c>
      <c r="N130" s="8">
        <v>-0.5</v>
      </c>
      <c r="O130" s="4">
        <f t="shared" si="7"/>
        <v>141.9</v>
      </c>
      <c r="P130" s="4">
        <v>125</v>
      </c>
      <c r="Q130" s="4">
        <v>1</v>
      </c>
      <c r="R130" s="9">
        <f t="shared" si="5"/>
        <v>0.5</v>
      </c>
      <c r="S130" s="9">
        <f t="shared" si="6"/>
        <v>-0.5</v>
      </c>
      <c r="T130" s="9">
        <f t="shared" si="8"/>
        <v>189.1</v>
      </c>
      <c r="V130" s="10">
        <v>386</v>
      </c>
      <c r="W130" s="4">
        <v>142.96296296296296</v>
      </c>
      <c r="X130" s="4">
        <v>66444.999999999985</v>
      </c>
      <c r="Y130" s="4">
        <f t="shared" si="11"/>
        <v>7167.2999999999993</v>
      </c>
      <c r="AA130" s="14">
        <v>8.2544726576602301</v>
      </c>
    </row>
    <row r="131" spans="1:27" s="4" customFormat="1" x14ac:dyDescent="0.25">
      <c r="A131" s="69"/>
      <c r="B131" s="19"/>
      <c r="C131" s="6">
        <v>42009</v>
      </c>
      <c r="D131" s="21">
        <v>-0.7</v>
      </c>
      <c r="E131" s="21">
        <v>-0.7</v>
      </c>
      <c r="F131" s="21">
        <v>-0.4</v>
      </c>
      <c r="G131" s="4">
        <v>1273.7</v>
      </c>
      <c r="H131" s="4">
        <v>161.5</v>
      </c>
      <c r="J131" s="4">
        <v>0.1</v>
      </c>
      <c r="K131" s="4">
        <v>237.19999999999996</v>
      </c>
      <c r="L131" s="4">
        <v>0.3</v>
      </c>
      <c r="M131" s="4">
        <v>140.4</v>
      </c>
      <c r="N131" s="8">
        <v>-0.19999999999999998</v>
      </c>
      <c r="O131" s="4">
        <f t="shared" si="7"/>
        <v>141.70000000000002</v>
      </c>
      <c r="P131" s="4">
        <v>126</v>
      </c>
      <c r="Q131" s="4">
        <v>1</v>
      </c>
      <c r="R131" s="9">
        <f t="shared" si="5"/>
        <v>0.3</v>
      </c>
      <c r="S131" s="9">
        <f t="shared" si="6"/>
        <v>-0.19999999999999998</v>
      </c>
      <c r="T131" s="9">
        <f t="shared" si="8"/>
        <v>188.9</v>
      </c>
      <c r="V131" s="10">
        <v>235.3</v>
      </c>
      <c r="W131" s="4">
        <v>-336.14285714285717</v>
      </c>
      <c r="X131" s="4">
        <v>66680.299999999988</v>
      </c>
      <c r="Y131" s="4">
        <f t="shared" si="11"/>
        <v>7402.5999999999995</v>
      </c>
      <c r="AA131" s="14">
        <v>8.2758864581092606</v>
      </c>
    </row>
    <row r="132" spans="1:27" s="4" customFormat="1" x14ac:dyDescent="0.25">
      <c r="A132" s="69"/>
      <c r="B132" s="19"/>
      <c r="C132" s="6">
        <v>42010</v>
      </c>
      <c r="D132" s="13">
        <v>0.6</v>
      </c>
      <c r="E132" s="21">
        <v>-1.7</v>
      </c>
      <c r="F132" s="13">
        <v>2.6</v>
      </c>
      <c r="G132" s="4">
        <v>1274.3</v>
      </c>
      <c r="H132" s="4">
        <f t="shared" si="10"/>
        <v>162.1</v>
      </c>
      <c r="J132" s="4">
        <v>0.1</v>
      </c>
      <c r="K132" s="4">
        <v>237.29999999999995</v>
      </c>
      <c r="L132" s="4">
        <v>0.2</v>
      </c>
      <c r="M132" s="4">
        <v>140.6</v>
      </c>
      <c r="N132" s="8">
        <v>-0.1</v>
      </c>
      <c r="O132" s="4">
        <f t="shared" si="7"/>
        <v>141.60000000000002</v>
      </c>
      <c r="P132" s="4">
        <v>127</v>
      </c>
      <c r="Q132" s="4">
        <v>1</v>
      </c>
      <c r="R132" s="9">
        <f t="shared" si="5"/>
        <v>0.2</v>
      </c>
      <c r="S132" s="9">
        <f t="shared" si="6"/>
        <v>-0.1</v>
      </c>
      <c r="T132" s="9">
        <f t="shared" si="8"/>
        <v>188.8</v>
      </c>
      <c r="V132" s="10">
        <v>208.1</v>
      </c>
      <c r="W132" s="4">
        <v>346.83333333333331</v>
      </c>
      <c r="X132" s="4">
        <v>66888.399999999994</v>
      </c>
      <c r="Y132" s="4">
        <f t="shared" si="11"/>
        <v>7610.7</v>
      </c>
      <c r="AA132" s="14">
        <v>8.2987863696968294</v>
      </c>
    </row>
    <row r="133" spans="1:27" s="4" customFormat="1" x14ac:dyDescent="0.25">
      <c r="A133" s="69"/>
      <c r="B133" s="19"/>
      <c r="C133" s="6">
        <v>42011</v>
      </c>
      <c r="D133" s="13">
        <v>1.7</v>
      </c>
      <c r="E133" s="21">
        <v>-0.1</v>
      </c>
      <c r="F133" s="4">
        <v>7.1</v>
      </c>
      <c r="G133" s="4">
        <v>1276</v>
      </c>
      <c r="H133" s="4">
        <f t="shared" si="10"/>
        <v>163.79999999999998</v>
      </c>
      <c r="J133" s="4">
        <v>2.5</v>
      </c>
      <c r="K133" s="4">
        <v>239.79999999999995</v>
      </c>
      <c r="L133" s="4">
        <v>0.7</v>
      </c>
      <c r="M133" s="4">
        <v>141.29999999999998</v>
      </c>
      <c r="N133" s="4">
        <v>1.8</v>
      </c>
      <c r="O133" s="4">
        <f t="shared" si="7"/>
        <v>143.40000000000003</v>
      </c>
      <c r="P133" s="4">
        <v>128</v>
      </c>
      <c r="Q133" s="4">
        <v>1</v>
      </c>
      <c r="R133" s="9">
        <f t="shared" si="5"/>
        <v>0.7</v>
      </c>
      <c r="S133" s="9">
        <f t="shared" si="6"/>
        <v>1.8</v>
      </c>
      <c r="T133" s="9">
        <f t="shared" si="8"/>
        <v>189.6</v>
      </c>
      <c r="V133" s="10">
        <v>165.7</v>
      </c>
      <c r="W133" s="4">
        <v>97.470588235294116</v>
      </c>
      <c r="X133" s="4">
        <v>67054.099999999991</v>
      </c>
      <c r="Y133" s="4">
        <f t="shared" si="11"/>
        <v>7776.4</v>
      </c>
      <c r="AA133" s="14">
        <v>8.3231473160309903</v>
      </c>
    </row>
    <row r="134" spans="1:27" s="4" customFormat="1" x14ac:dyDescent="0.25">
      <c r="A134" s="69"/>
      <c r="B134" s="5"/>
      <c r="C134" s="6">
        <v>42012</v>
      </c>
      <c r="D134" s="4">
        <v>7.1</v>
      </c>
      <c r="E134" s="13">
        <v>3.2</v>
      </c>
      <c r="F134" s="4">
        <v>9.1</v>
      </c>
      <c r="G134" s="4">
        <v>1283.0999999999999</v>
      </c>
      <c r="H134" s="4">
        <f t="shared" si="10"/>
        <v>170.89999999999998</v>
      </c>
      <c r="J134" s="4">
        <v>7.3</v>
      </c>
      <c r="K134" s="4">
        <v>247.09999999999997</v>
      </c>
      <c r="L134" s="4">
        <v>0.1</v>
      </c>
      <c r="M134" s="4">
        <v>141.39999999999998</v>
      </c>
      <c r="N134" s="4">
        <v>7.2</v>
      </c>
      <c r="O134" s="4">
        <f t="shared" si="7"/>
        <v>150.60000000000002</v>
      </c>
      <c r="P134" s="4">
        <v>129</v>
      </c>
      <c r="Q134" s="4">
        <v>1</v>
      </c>
      <c r="R134" s="9">
        <f t="shared" ref="R134:R197" si="12">Q134*L134</f>
        <v>0.1</v>
      </c>
      <c r="S134" s="9">
        <f t="shared" ref="S134:S197" si="13">J134-R134</f>
        <v>7.2</v>
      </c>
      <c r="T134" s="9">
        <f t="shared" si="8"/>
        <v>189.6</v>
      </c>
      <c r="V134" s="10">
        <v>94.9</v>
      </c>
      <c r="W134" s="4">
        <v>13.366197183098594</v>
      </c>
      <c r="X134" s="4">
        <v>67148.999999999985</v>
      </c>
      <c r="Y134" s="4">
        <f t="shared" si="11"/>
        <v>7871.2999999999993</v>
      </c>
      <c r="AA134" s="14">
        <v>8.3489429988931008</v>
      </c>
    </row>
    <row r="135" spans="1:27" s="4" customFormat="1" x14ac:dyDescent="0.25">
      <c r="A135" s="69"/>
      <c r="B135" s="5"/>
      <c r="C135" s="6">
        <v>42013</v>
      </c>
      <c r="D135" s="4">
        <v>10.5</v>
      </c>
      <c r="E135" s="4">
        <v>6.4</v>
      </c>
      <c r="F135" s="4">
        <v>14.5</v>
      </c>
      <c r="G135" s="4">
        <v>1293.5999999999999</v>
      </c>
      <c r="H135" s="4">
        <f t="shared" si="10"/>
        <v>181.39999999999998</v>
      </c>
      <c r="J135" s="4">
        <v>0.8</v>
      </c>
      <c r="K135" s="4">
        <v>247.89999999999998</v>
      </c>
      <c r="L135" s="4">
        <v>0.8</v>
      </c>
      <c r="M135" s="4">
        <v>142.19999999999999</v>
      </c>
      <c r="N135" s="4">
        <v>0</v>
      </c>
      <c r="O135" s="4">
        <f t="shared" si="7"/>
        <v>150.60000000000002</v>
      </c>
      <c r="P135" s="4">
        <v>130</v>
      </c>
      <c r="Q135" s="4">
        <v>1</v>
      </c>
      <c r="R135" s="9">
        <f t="shared" si="12"/>
        <v>0.8</v>
      </c>
      <c r="S135" s="9">
        <f t="shared" si="13"/>
        <v>0</v>
      </c>
      <c r="T135" s="9">
        <f t="shared" si="8"/>
        <v>189.6</v>
      </c>
      <c r="V135" s="10">
        <v>106.2</v>
      </c>
      <c r="W135" s="4">
        <v>10.114285714285714</v>
      </c>
      <c r="X135" s="4">
        <v>67255.199999999983</v>
      </c>
      <c r="Y135" s="4">
        <f t="shared" si="11"/>
        <v>7977.4999999999991</v>
      </c>
      <c r="AA135" s="14">
        <v>8.3761459978144099</v>
      </c>
    </row>
    <row r="136" spans="1:27" s="4" customFormat="1" x14ac:dyDescent="0.25">
      <c r="A136" s="69"/>
      <c r="B136" s="5"/>
      <c r="C136" s="6">
        <v>42014</v>
      </c>
      <c r="D136" s="4">
        <v>10.5</v>
      </c>
      <c r="E136" s="4">
        <v>8.4</v>
      </c>
      <c r="F136" s="4">
        <v>12.7</v>
      </c>
      <c r="G136" s="4">
        <v>1304.0999999999999</v>
      </c>
      <c r="H136" s="4">
        <f t="shared" si="10"/>
        <v>191.89999999999998</v>
      </c>
      <c r="J136" s="4">
        <v>2.2000000000000002</v>
      </c>
      <c r="K136" s="4">
        <v>250.09999999999997</v>
      </c>
      <c r="L136" s="4">
        <v>1.1000000000000001</v>
      </c>
      <c r="M136" s="4">
        <v>143.29999999999998</v>
      </c>
      <c r="N136" s="4">
        <v>1.1000000000000001</v>
      </c>
      <c r="O136" s="4">
        <f t="shared" ref="O136:O199" si="14">O135+N136</f>
        <v>151.70000000000002</v>
      </c>
      <c r="P136" s="4">
        <v>131</v>
      </c>
      <c r="Q136" s="4">
        <v>1</v>
      </c>
      <c r="R136" s="9">
        <f t="shared" si="12"/>
        <v>1.1000000000000001</v>
      </c>
      <c r="S136" s="9">
        <f t="shared" si="13"/>
        <v>1.1000000000000001</v>
      </c>
      <c r="T136" s="9">
        <f t="shared" ref="T136:T199" si="15">MIN(189.6,(T135+S136))</f>
        <v>189.6</v>
      </c>
      <c r="V136" s="10">
        <v>249.2</v>
      </c>
      <c r="W136" s="4">
        <v>23.733333333333331</v>
      </c>
      <c r="X136" s="4">
        <v>67504.39999999998</v>
      </c>
      <c r="Y136" s="4">
        <f t="shared" si="11"/>
        <v>8226.6999999999989</v>
      </c>
      <c r="AA136" s="14">
        <v>8.4047278711707794</v>
      </c>
    </row>
    <row r="137" spans="1:27" s="4" customFormat="1" x14ac:dyDescent="0.25">
      <c r="A137" s="69"/>
      <c r="B137" s="5"/>
      <c r="C137" s="6">
        <v>42015</v>
      </c>
      <c r="D137" s="4">
        <v>5.7</v>
      </c>
      <c r="E137" s="13">
        <v>3.7</v>
      </c>
      <c r="F137" s="4">
        <v>7.5</v>
      </c>
      <c r="G137" s="4">
        <v>1309.8</v>
      </c>
      <c r="H137" s="4">
        <f t="shared" si="10"/>
        <v>197.59999999999997</v>
      </c>
      <c r="J137" s="4">
        <v>0</v>
      </c>
      <c r="K137" s="4">
        <v>250.09999999999997</v>
      </c>
      <c r="L137" s="4">
        <v>1.3</v>
      </c>
      <c r="M137" s="4">
        <v>144.6</v>
      </c>
      <c r="N137" s="8">
        <v>-1.3</v>
      </c>
      <c r="O137" s="4">
        <f t="shared" si="14"/>
        <v>150.4</v>
      </c>
      <c r="P137" s="4">
        <v>132</v>
      </c>
      <c r="Q137" s="4">
        <v>1</v>
      </c>
      <c r="R137" s="9">
        <f t="shared" si="12"/>
        <v>1.3</v>
      </c>
      <c r="S137" s="9">
        <f t="shared" si="13"/>
        <v>-1.3</v>
      </c>
      <c r="T137" s="9">
        <f t="shared" si="15"/>
        <v>188.29999999999998</v>
      </c>
      <c r="V137" s="10">
        <v>507</v>
      </c>
      <c r="W137" s="4">
        <v>88.94736842105263</v>
      </c>
      <c r="X137" s="4">
        <v>68011.39999999998</v>
      </c>
      <c r="Y137" s="4">
        <f t="shared" si="11"/>
        <v>8733.6999999999989</v>
      </c>
      <c r="AA137" s="14">
        <v>8.4346592580961808</v>
      </c>
    </row>
    <row r="138" spans="1:27" s="4" customFormat="1" x14ac:dyDescent="0.25">
      <c r="A138" s="69"/>
      <c r="B138" s="5"/>
      <c r="C138" s="6">
        <v>42016</v>
      </c>
      <c r="D138" s="4">
        <v>7.9</v>
      </c>
      <c r="E138" s="4">
        <v>6.2</v>
      </c>
      <c r="F138" s="4">
        <v>9.3000000000000007</v>
      </c>
      <c r="G138" s="4">
        <v>1317.7</v>
      </c>
      <c r="H138" s="4">
        <f t="shared" si="10"/>
        <v>205.49999999999997</v>
      </c>
      <c r="J138" s="4">
        <v>0</v>
      </c>
      <c r="K138" s="4">
        <v>250.09999999999997</v>
      </c>
      <c r="L138" s="4">
        <v>1.2</v>
      </c>
      <c r="M138" s="4">
        <v>145.79999999999998</v>
      </c>
      <c r="N138" s="8">
        <v>-1.2</v>
      </c>
      <c r="O138" s="4">
        <f t="shared" si="14"/>
        <v>149.20000000000002</v>
      </c>
      <c r="P138" s="4">
        <v>133</v>
      </c>
      <c r="Q138" s="4">
        <v>1</v>
      </c>
      <c r="R138" s="9">
        <f t="shared" si="12"/>
        <v>1.2</v>
      </c>
      <c r="S138" s="9">
        <f t="shared" si="13"/>
        <v>-1.2</v>
      </c>
      <c r="T138" s="9">
        <f t="shared" si="15"/>
        <v>187.1</v>
      </c>
      <c r="V138" s="10">
        <v>109.3</v>
      </c>
      <c r="W138" s="4">
        <v>13.835443037974683</v>
      </c>
      <c r="X138" s="4">
        <v>68120.699999999983</v>
      </c>
      <c r="Y138" s="4">
        <f t="shared" si="11"/>
        <v>8842.9999999999982</v>
      </c>
      <c r="AA138" s="14">
        <v>8.4659099805428095</v>
      </c>
    </row>
    <row r="139" spans="1:27" s="4" customFormat="1" x14ac:dyDescent="0.25">
      <c r="A139" s="69"/>
      <c r="B139" s="5"/>
      <c r="C139" s="6">
        <v>42017</v>
      </c>
      <c r="D139" s="4">
        <v>8.1</v>
      </c>
      <c r="E139" s="4">
        <v>7</v>
      </c>
      <c r="F139" s="4">
        <v>9.5</v>
      </c>
      <c r="G139" s="4">
        <v>1325.8</v>
      </c>
      <c r="H139" s="4">
        <f t="shared" si="10"/>
        <v>213.59999999999997</v>
      </c>
      <c r="J139" s="4">
        <v>2.2999999999999998</v>
      </c>
      <c r="K139" s="4">
        <v>252.39999999999998</v>
      </c>
      <c r="L139" s="4">
        <v>0.8</v>
      </c>
      <c r="M139" s="4">
        <v>146.6</v>
      </c>
      <c r="N139" s="4">
        <v>1.4999999999999998</v>
      </c>
      <c r="O139" s="4">
        <f t="shared" si="14"/>
        <v>150.70000000000002</v>
      </c>
      <c r="P139" s="4">
        <v>134</v>
      </c>
      <c r="Q139" s="4">
        <v>1</v>
      </c>
      <c r="R139" s="9">
        <f t="shared" si="12"/>
        <v>0.8</v>
      </c>
      <c r="S139" s="9">
        <f t="shared" si="13"/>
        <v>1.4999999999999998</v>
      </c>
      <c r="T139" s="9">
        <f t="shared" si="15"/>
        <v>188.6</v>
      </c>
      <c r="V139" s="10">
        <v>136.5</v>
      </c>
      <c r="W139" s="4">
        <v>16.851851851851851</v>
      </c>
      <c r="X139" s="4">
        <v>68257.199999999983</v>
      </c>
      <c r="Y139" s="4">
        <f t="shared" si="11"/>
        <v>8979.4999999999982</v>
      </c>
      <c r="AA139" s="14">
        <v>8.4984491448488804</v>
      </c>
    </row>
    <row r="140" spans="1:27" s="4" customFormat="1" x14ac:dyDescent="0.25">
      <c r="A140" s="69"/>
      <c r="B140" s="19"/>
      <c r="C140" s="6">
        <v>42018</v>
      </c>
      <c r="D140" s="13">
        <v>4.5999999999999996</v>
      </c>
      <c r="E140" s="13">
        <v>3.5</v>
      </c>
      <c r="F140" s="4">
        <v>9.1999999999999993</v>
      </c>
      <c r="G140" s="4">
        <v>1330.3999999999999</v>
      </c>
      <c r="H140" s="4">
        <f t="shared" si="10"/>
        <v>218.19999999999996</v>
      </c>
      <c r="J140" s="4">
        <v>7.4</v>
      </c>
      <c r="K140" s="4">
        <v>259.79999999999995</v>
      </c>
      <c r="L140" s="4">
        <v>1.2</v>
      </c>
      <c r="M140" s="4">
        <v>147.79999999999998</v>
      </c>
      <c r="N140" s="4">
        <v>6.2</v>
      </c>
      <c r="O140" s="4">
        <f t="shared" si="14"/>
        <v>156.9</v>
      </c>
      <c r="P140" s="4">
        <v>135</v>
      </c>
      <c r="Q140" s="4">
        <v>1</v>
      </c>
      <c r="R140" s="9">
        <f t="shared" si="12"/>
        <v>1.2</v>
      </c>
      <c r="S140" s="9">
        <f t="shared" si="13"/>
        <v>6.2</v>
      </c>
      <c r="T140" s="9">
        <f t="shared" si="15"/>
        <v>189.6</v>
      </c>
      <c r="V140" s="10">
        <v>280.3</v>
      </c>
      <c r="W140" s="4">
        <v>60.934782608695656</v>
      </c>
      <c r="X140" s="4">
        <v>68537.499999999985</v>
      </c>
      <c r="Y140" s="4">
        <f t="shared" si="11"/>
        <v>9259.7999999999975</v>
      </c>
      <c r="AA140" s="14">
        <v>8.5322452422138895</v>
      </c>
    </row>
    <row r="141" spans="1:27" s="4" customFormat="1" x14ac:dyDescent="0.25">
      <c r="A141" s="69"/>
      <c r="B141" s="5"/>
      <c r="C141" s="6">
        <v>42019</v>
      </c>
      <c r="D141" s="4">
        <v>8.1</v>
      </c>
      <c r="E141" s="13">
        <v>4.5999999999999996</v>
      </c>
      <c r="F141" s="4">
        <v>9.8000000000000007</v>
      </c>
      <c r="G141" s="4">
        <v>1338.4999999999998</v>
      </c>
      <c r="H141" s="4">
        <f t="shared" si="10"/>
        <v>226.29999999999995</v>
      </c>
      <c r="J141" s="4">
        <v>2</v>
      </c>
      <c r="K141" s="4">
        <v>261.79999999999995</v>
      </c>
      <c r="L141" s="4">
        <v>0.7</v>
      </c>
      <c r="M141" s="4">
        <v>148.49999999999997</v>
      </c>
      <c r="N141" s="4">
        <v>1.3</v>
      </c>
      <c r="O141" s="4">
        <f t="shared" si="14"/>
        <v>158.20000000000002</v>
      </c>
      <c r="P141" s="4">
        <v>136</v>
      </c>
      <c r="Q141" s="4">
        <v>1</v>
      </c>
      <c r="R141" s="9">
        <f t="shared" si="12"/>
        <v>0.7</v>
      </c>
      <c r="S141" s="9">
        <f t="shared" si="13"/>
        <v>1.3</v>
      </c>
      <c r="T141" s="9">
        <f t="shared" si="15"/>
        <v>189.6</v>
      </c>
      <c r="V141" s="10">
        <v>120.2</v>
      </c>
      <c r="W141" s="4">
        <v>14.839506172839506</v>
      </c>
      <c r="X141" s="4">
        <v>68657.699999999983</v>
      </c>
      <c r="Y141" s="4">
        <f t="shared" si="11"/>
        <v>9379.9999999999982</v>
      </c>
      <c r="AA141" s="14">
        <v>8.5672662475236692</v>
      </c>
    </row>
    <row r="142" spans="1:27" s="4" customFormat="1" x14ac:dyDescent="0.25">
      <c r="A142" s="69"/>
      <c r="B142" s="19"/>
      <c r="C142" s="6">
        <v>42020</v>
      </c>
      <c r="D142" s="13">
        <v>4.5999999999999996</v>
      </c>
      <c r="E142" s="13">
        <v>3.8</v>
      </c>
      <c r="F142" s="4">
        <v>6.8</v>
      </c>
      <c r="G142" s="4">
        <v>1343.0999999999997</v>
      </c>
      <c r="H142" s="4">
        <f t="shared" si="10"/>
        <v>230.89999999999995</v>
      </c>
      <c r="J142" s="4">
        <v>2.4</v>
      </c>
      <c r="K142" s="4">
        <v>264.19999999999993</v>
      </c>
      <c r="L142" s="4">
        <v>0.6</v>
      </c>
      <c r="M142" s="4">
        <v>149.09999999999997</v>
      </c>
      <c r="N142" s="4">
        <v>1.7999999999999998</v>
      </c>
      <c r="O142" s="4">
        <f t="shared" si="14"/>
        <v>160.00000000000003</v>
      </c>
      <c r="P142" s="4">
        <v>137</v>
      </c>
      <c r="Q142" s="4">
        <v>1</v>
      </c>
      <c r="R142" s="9">
        <f t="shared" si="12"/>
        <v>0.6</v>
      </c>
      <c r="S142" s="9">
        <f t="shared" si="13"/>
        <v>1.7999999999999998</v>
      </c>
      <c r="T142" s="9">
        <f t="shared" si="15"/>
        <v>189.6</v>
      </c>
      <c r="V142" s="10">
        <v>259.7</v>
      </c>
      <c r="W142" s="4">
        <v>56.456521739130437</v>
      </c>
      <c r="X142" s="4">
        <v>68917.39999999998</v>
      </c>
      <c r="Y142" s="4">
        <f t="shared" si="11"/>
        <v>9639.6999999999989</v>
      </c>
      <c r="AA142" s="14">
        <v>8.6034797160143501</v>
      </c>
    </row>
    <row r="143" spans="1:27" s="4" customFormat="1" x14ac:dyDescent="0.25">
      <c r="A143" s="69"/>
      <c r="B143" s="19"/>
      <c r="C143" s="6">
        <v>42021</v>
      </c>
      <c r="D143" s="13">
        <v>2.1</v>
      </c>
      <c r="E143" s="13">
        <v>0</v>
      </c>
      <c r="F143" s="4">
        <v>5.0999999999999996</v>
      </c>
      <c r="G143" s="4">
        <v>1345.1999999999996</v>
      </c>
      <c r="H143" s="4">
        <f t="shared" si="10"/>
        <v>232.99999999999994</v>
      </c>
      <c r="J143" s="4">
        <v>0</v>
      </c>
      <c r="K143" s="4">
        <v>264.19999999999993</v>
      </c>
      <c r="L143" s="4">
        <v>0.7</v>
      </c>
      <c r="M143" s="4">
        <v>149.79999999999995</v>
      </c>
      <c r="N143" s="8">
        <v>-0.7</v>
      </c>
      <c r="O143" s="4">
        <f t="shared" si="14"/>
        <v>159.30000000000004</v>
      </c>
      <c r="P143" s="4">
        <v>138</v>
      </c>
      <c r="Q143" s="4">
        <v>1</v>
      </c>
      <c r="R143" s="9">
        <f t="shared" si="12"/>
        <v>0.7</v>
      </c>
      <c r="S143" s="9">
        <f t="shared" si="13"/>
        <v>-0.7</v>
      </c>
      <c r="T143" s="9">
        <f t="shared" si="15"/>
        <v>188.9</v>
      </c>
      <c r="V143" s="10">
        <v>603.70000000000005</v>
      </c>
      <c r="W143" s="4">
        <v>287.47619047619048</v>
      </c>
      <c r="X143" s="4">
        <v>69521.099999999977</v>
      </c>
      <c r="Y143" s="4">
        <f t="shared" si="11"/>
        <v>10243.4</v>
      </c>
      <c r="AA143" s="14">
        <v>8.6408528773124402</v>
      </c>
    </row>
    <row r="144" spans="1:27" s="4" customFormat="1" x14ac:dyDescent="0.25">
      <c r="A144" s="69"/>
      <c r="B144" s="19"/>
      <c r="C144" s="6">
        <v>42022</v>
      </c>
      <c r="D144" s="13">
        <v>2.7</v>
      </c>
      <c r="E144" s="13">
        <v>1.6</v>
      </c>
      <c r="F144" s="13">
        <v>3.8</v>
      </c>
      <c r="G144" s="4">
        <v>1347.8999999999996</v>
      </c>
      <c r="H144" s="4">
        <f t="shared" si="10"/>
        <v>235.69999999999993</v>
      </c>
      <c r="J144" s="4">
        <v>3.2</v>
      </c>
      <c r="K144" s="4">
        <v>267.39999999999992</v>
      </c>
      <c r="L144" s="4">
        <v>0.3</v>
      </c>
      <c r="M144" s="4">
        <v>150.09999999999997</v>
      </c>
      <c r="N144" s="4">
        <v>2.9000000000000004</v>
      </c>
      <c r="O144" s="4">
        <f t="shared" si="14"/>
        <v>162.20000000000005</v>
      </c>
      <c r="P144" s="4">
        <v>139</v>
      </c>
      <c r="Q144" s="4">
        <v>1</v>
      </c>
      <c r="R144" s="9">
        <f t="shared" si="12"/>
        <v>0.3</v>
      </c>
      <c r="S144" s="9">
        <f t="shared" si="13"/>
        <v>2.9000000000000004</v>
      </c>
      <c r="T144" s="9">
        <f t="shared" si="15"/>
        <v>189.6</v>
      </c>
      <c r="V144" s="10">
        <v>105.9</v>
      </c>
      <c r="W144" s="4">
        <v>39.222222222222221</v>
      </c>
      <c r="X144" s="4">
        <v>69626.999999999971</v>
      </c>
      <c r="Y144" s="4">
        <f t="shared" si="11"/>
        <v>10349.299999999999</v>
      </c>
      <c r="AA144" s="14">
        <v>8.6793527264390509</v>
      </c>
    </row>
    <row r="145" spans="1:27" s="4" customFormat="1" x14ac:dyDescent="0.25">
      <c r="A145" s="69"/>
      <c r="B145" s="19"/>
      <c r="C145" s="6">
        <v>42023</v>
      </c>
      <c r="D145" s="13">
        <v>1.6</v>
      </c>
      <c r="E145" s="13">
        <v>0.7</v>
      </c>
      <c r="F145" s="13">
        <v>2.4</v>
      </c>
      <c r="G145" s="4">
        <v>1349.4999999999995</v>
      </c>
      <c r="H145" s="4">
        <f t="shared" si="10"/>
        <v>237.29999999999993</v>
      </c>
      <c r="J145" s="4">
        <v>0.2</v>
      </c>
      <c r="K145" s="4">
        <v>267.59999999999991</v>
      </c>
      <c r="L145" s="4">
        <v>0.3</v>
      </c>
      <c r="M145" s="4">
        <v>150.39999999999998</v>
      </c>
      <c r="N145" s="8">
        <v>-9.9999999999999978E-2</v>
      </c>
      <c r="O145" s="4">
        <f t="shared" si="14"/>
        <v>162.10000000000005</v>
      </c>
      <c r="P145" s="4">
        <v>140</v>
      </c>
      <c r="Q145" s="4">
        <v>1</v>
      </c>
      <c r="R145" s="9">
        <f t="shared" si="12"/>
        <v>0.3</v>
      </c>
      <c r="S145" s="9">
        <f t="shared" si="13"/>
        <v>-9.9999999999999978E-2</v>
      </c>
      <c r="T145" s="9">
        <f t="shared" si="15"/>
        <v>189.5</v>
      </c>
      <c r="V145" s="10">
        <v>170.4</v>
      </c>
      <c r="W145" s="4">
        <v>106.5</v>
      </c>
      <c r="X145" s="4">
        <v>69797.399999999965</v>
      </c>
      <c r="Y145" s="4">
        <f t="shared" si="11"/>
        <v>10519.699999999999</v>
      </c>
      <c r="AA145" s="14">
        <v>8.7189461114168108</v>
      </c>
    </row>
    <row r="146" spans="1:27" s="4" customFormat="1" x14ac:dyDescent="0.25">
      <c r="A146" s="69"/>
      <c r="B146" s="19"/>
      <c r="C146" s="6">
        <v>42024</v>
      </c>
      <c r="D146" s="21">
        <v>-0.7</v>
      </c>
      <c r="E146" s="21">
        <v>-1.4</v>
      </c>
      <c r="F146" s="21">
        <v>-0.4</v>
      </c>
      <c r="G146" s="4">
        <v>1349.5</v>
      </c>
      <c r="H146" s="4">
        <v>237.3</v>
      </c>
      <c r="J146" s="4">
        <v>0</v>
      </c>
      <c r="K146" s="4">
        <v>267.59999999999991</v>
      </c>
      <c r="L146" s="4">
        <v>0.2</v>
      </c>
      <c r="M146" s="4">
        <v>150.59999999999997</v>
      </c>
      <c r="N146" s="8">
        <v>-0.2</v>
      </c>
      <c r="O146" s="4">
        <f t="shared" si="14"/>
        <v>161.90000000000006</v>
      </c>
      <c r="P146" s="4">
        <v>141</v>
      </c>
      <c r="Q146" s="4">
        <v>1</v>
      </c>
      <c r="R146" s="9">
        <f t="shared" si="12"/>
        <v>0.2</v>
      </c>
      <c r="S146" s="9">
        <f t="shared" si="13"/>
        <v>-0.2</v>
      </c>
      <c r="T146" s="9">
        <f t="shared" si="15"/>
        <v>189.3</v>
      </c>
      <c r="V146" s="10">
        <v>212</v>
      </c>
      <c r="W146" s="4">
        <v>-302.85714285714289</v>
      </c>
      <c r="X146" s="4">
        <v>70009.399999999965</v>
      </c>
      <c r="Y146" s="4">
        <f t="shared" si="11"/>
        <v>10731.699999999999</v>
      </c>
      <c r="AA146" s="14">
        <v>8.7595998171692599</v>
      </c>
    </row>
    <row r="147" spans="1:27" s="4" customFormat="1" x14ac:dyDescent="0.25">
      <c r="A147" s="69"/>
      <c r="B147" s="19"/>
      <c r="C147" s="6">
        <v>42025</v>
      </c>
      <c r="D147" s="21">
        <v>-0.1</v>
      </c>
      <c r="E147" s="21">
        <v>-0.7</v>
      </c>
      <c r="F147" s="13">
        <v>1</v>
      </c>
      <c r="G147" s="4">
        <v>1349.5</v>
      </c>
      <c r="H147" s="4">
        <v>237.3</v>
      </c>
      <c r="J147" s="4">
        <v>0</v>
      </c>
      <c r="K147" s="4">
        <v>267.59999999999991</v>
      </c>
      <c r="L147" s="4">
        <v>0.3</v>
      </c>
      <c r="M147" s="4">
        <v>150.89999999999998</v>
      </c>
      <c r="N147" s="8">
        <v>-0.3</v>
      </c>
      <c r="O147" s="4">
        <f t="shared" si="14"/>
        <v>161.60000000000005</v>
      </c>
      <c r="P147" s="4">
        <v>142</v>
      </c>
      <c r="Q147" s="4">
        <v>1</v>
      </c>
      <c r="R147" s="9">
        <f t="shared" si="12"/>
        <v>0.3</v>
      </c>
      <c r="S147" s="9">
        <f t="shared" si="13"/>
        <v>-0.3</v>
      </c>
      <c r="T147" s="9">
        <f t="shared" si="15"/>
        <v>189</v>
      </c>
      <c r="V147" s="10">
        <v>157.9</v>
      </c>
      <c r="W147" s="4">
        <v>-1579</v>
      </c>
      <c r="X147" s="4">
        <v>70167.299999999959</v>
      </c>
      <c r="Y147" s="4">
        <f t="shared" si="11"/>
        <v>10889.599999999999</v>
      </c>
      <c r="AA147" s="14">
        <v>8.8012806454525201</v>
      </c>
    </row>
    <row r="148" spans="1:27" s="4" customFormat="1" x14ac:dyDescent="0.25">
      <c r="A148" s="69"/>
      <c r="B148" s="19"/>
      <c r="C148" s="6">
        <v>42026</v>
      </c>
      <c r="D148" s="21">
        <v>-0.8</v>
      </c>
      <c r="E148" s="21">
        <v>-2.2999999999999998</v>
      </c>
      <c r="F148" s="13">
        <v>0.8</v>
      </c>
      <c r="G148" s="4">
        <v>1349.5</v>
      </c>
      <c r="H148" s="4">
        <v>237.3</v>
      </c>
      <c r="J148" s="4">
        <v>0</v>
      </c>
      <c r="K148" s="4">
        <v>267.59999999999991</v>
      </c>
      <c r="L148" s="4">
        <v>0.4</v>
      </c>
      <c r="M148" s="4">
        <v>151.29999999999998</v>
      </c>
      <c r="N148" s="8">
        <v>-0.4</v>
      </c>
      <c r="O148" s="4">
        <f t="shared" si="14"/>
        <v>161.20000000000005</v>
      </c>
      <c r="P148" s="4">
        <v>143</v>
      </c>
      <c r="Q148" s="4">
        <v>1</v>
      </c>
      <c r="R148" s="9">
        <f t="shared" si="12"/>
        <v>0.4</v>
      </c>
      <c r="S148" s="9">
        <f t="shared" si="13"/>
        <v>-0.4</v>
      </c>
      <c r="T148" s="9">
        <f t="shared" si="15"/>
        <v>188.6</v>
      </c>
      <c r="V148" s="10">
        <v>423.8</v>
      </c>
      <c r="W148" s="4">
        <v>-529.75</v>
      </c>
      <c r="X148" s="4">
        <v>70591.099999999962</v>
      </c>
      <c r="Y148" s="4">
        <f t="shared" si="11"/>
        <v>11313.399999999998</v>
      </c>
      <c r="AA148" s="14">
        <v>8.8439554906079998</v>
      </c>
    </row>
    <row r="149" spans="1:27" s="4" customFormat="1" x14ac:dyDescent="0.25">
      <c r="A149" s="69"/>
      <c r="B149" s="19"/>
      <c r="C149" s="6">
        <v>42027</v>
      </c>
      <c r="D149" s="21">
        <v>-0.3</v>
      </c>
      <c r="E149" s="21">
        <v>-1.1000000000000001</v>
      </c>
      <c r="F149" s="13">
        <v>1</v>
      </c>
      <c r="G149" s="4">
        <v>1349.5</v>
      </c>
      <c r="H149" s="4">
        <v>237.3</v>
      </c>
      <c r="J149" s="4">
        <v>1.9</v>
      </c>
      <c r="K149" s="4">
        <v>269.49999999999989</v>
      </c>
      <c r="L149" s="4">
        <v>0.6</v>
      </c>
      <c r="M149" s="4">
        <v>151.89999999999998</v>
      </c>
      <c r="N149" s="4">
        <v>1.2999999999999998</v>
      </c>
      <c r="O149" s="4">
        <f t="shared" si="14"/>
        <v>162.50000000000006</v>
      </c>
      <c r="P149" s="4">
        <v>144</v>
      </c>
      <c r="Q149" s="4">
        <v>1</v>
      </c>
      <c r="R149" s="9">
        <f t="shared" si="12"/>
        <v>0.6</v>
      </c>
      <c r="S149" s="9">
        <f t="shared" si="13"/>
        <v>1.2999999999999998</v>
      </c>
      <c r="T149" s="9">
        <f t="shared" si="15"/>
        <v>189.6</v>
      </c>
      <c r="V149" s="10">
        <v>555.5</v>
      </c>
      <c r="W149" s="4">
        <v>-1851.6666666666667</v>
      </c>
      <c r="X149" s="4">
        <v>71146.599999999962</v>
      </c>
      <c r="Y149" s="4">
        <f t="shared" si="11"/>
        <v>11868.899999999998</v>
      </c>
      <c r="AA149" s="14">
        <v>8.8875914109718099</v>
      </c>
    </row>
    <row r="150" spans="1:27" s="4" customFormat="1" x14ac:dyDescent="0.25">
      <c r="A150" s="69"/>
      <c r="B150" s="19"/>
      <c r="C150" s="6">
        <v>42028</v>
      </c>
      <c r="D150" s="13">
        <v>1.7</v>
      </c>
      <c r="E150" s="21">
        <v>-1.2</v>
      </c>
      <c r="F150" s="4">
        <v>5.0999999999999996</v>
      </c>
      <c r="G150" s="4">
        <v>1351.2</v>
      </c>
      <c r="H150" s="4">
        <f t="shared" si="10"/>
        <v>239</v>
      </c>
      <c r="J150" s="4">
        <v>0.6</v>
      </c>
      <c r="K150" s="4">
        <v>270.09999999999991</v>
      </c>
      <c r="L150" s="4">
        <v>0.7</v>
      </c>
      <c r="M150" s="4">
        <v>152.59999999999997</v>
      </c>
      <c r="N150" s="8">
        <v>-9.9999999999999978E-2</v>
      </c>
      <c r="O150" s="4">
        <f t="shared" si="14"/>
        <v>162.40000000000006</v>
      </c>
      <c r="P150" s="4">
        <v>145</v>
      </c>
      <c r="Q150" s="4">
        <v>1</v>
      </c>
      <c r="R150" s="9">
        <f t="shared" si="12"/>
        <v>0.7</v>
      </c>
      <c r="S150" s="9">
        <f t="shared" si="13"/>
        <v>-9.9999999999999978E-2</v>
      </c>
      <c r="T150" s="9">
        <f t="shared" si="15"/>
        <v>189.5</v>
      </c>
      <c r="V150" s="10">
        <v>418.6</v>
      </c>
      <c r="W150" s="4">
        <v>246.23529411764707</v>
      </c>
      <c r="X150" s="4">
        <v>71565.199999999968</v>
      </c>
      <c r="Y150" s="4">
        <f t="shared" si="11"/>
        <v>12287.499999999998</v>
      </c>
      <c r="AA150" s="14">
        <v>8.9321556958211907</v>
      </c>
    </row>
    <row r="151" spans="1:27" s="4" customFormat="1" x14ac:dyDescent="0.25">
      <c r="A151" s="69"/>
      <c r="B151" s="19"/>
      <c r="C151" s="6">
        <v>42029</v>
      </c>
      <c r="D151" s="13">
        <v>2.6</v>
      </c>
      <c r="E151" s="13">
        <v>0.2</v>
      </c>
      <c r="F151" s="4">
        <v>5.8</v>
      </c>
      <c r="G151" s="4">
        <v>1353.8</v>
      </c>
      <c r="H151" s="4">
        <f t="shared" si="10"/>
        <v>241.6</v>
      </c>
      <c r="J151" s="4">
        <v>0.7</v>
      </c>
      <c r="K151" s="4">
        <v>270.7999999999999</v>
      </c>
      <c r="L151" s="4">
        <v>0.4</v>
      </c>
      <c r="M151" s="4">
        <v>152.99999999999997</v>
      </c>
      <c r="N151" s="4">
        <v>0.29999999999999993</v>
      </c>
      <c r="O151" s="4">
        <f t="shared" si="14"/>
        <v>162.70000000000007</v>
      </c>
      <c r="P151" s="4">
        <v>146</v>
      </c>
      <c r="Q151" s="4">
        <v>1</v>
      </c>
      <c r="R151" s="9">
        <f t="shared" si="12"/>
        <v>0.4</v>
      </c>
      <c r="S151" s="9">
        <f t="shared" si="13"/>
        <v>0.29999999999999993</v>
      </c>
      <c r="T151" s="9">
        <f t="shared" si="15"/>
        <v>189.6</v>
      </c>
      <c r="V151" s="10">
        <v>154.19999999999999</v>
      </c>
      <c r="W151" s="4">
        <v>59.307692307692299</v>
      </c>
      <c r="X151" s="4">
        <v>71719.399999999965</v>
      </c>
      <c r="Y151" s="4">
        <f t="shared" si="11"/>
        <v>12441.699999999999</v>
      </c>
      <c r="AA151" s="14">
        <v>8.9776159277803007</v>
      </c>
    </row>
    <row r="152" spans="1:27" s="4" customFormat="1" x14ac:dyDescent="0.25">
      <c r="A152" s="69"/>
      <c r="B152" s="5"/>
      <c r="C152" s="6">
        <v>42030</v>
      </c>
      <c r="D152" s="4">
        <v>6.3</v>
      </c>
      <c r="E152" s="13">
        <v>4.2</v>
      </c>
      <c r="F152" s="4">
        <v>8.4</v>
      </c>
      <c r="G152" s="4">
        <v>1360.1</v>
      </c>
      <c r="H152" s="4">
        <f t="shared" si="10"/>
        <v>247.9</v>
      </c>
      <c r="J152" s="4">
        <v>1.4</v>
      </c>
      <c r="K152" s="4">
        <v>272.19999999999987</v>
      </c>
      <c r="L152" s="4">
        <v>0.3</v>
      </c>
      <c r="M152" s="4">
        <v>153.29999999999998</v>
      </c>
      <c r="N152" s="4">
        <v>1.0999999999999999</v>
      </c>
      <c r="O152" s="4">
        <f t="shared" si="14"/>
        <v>163.80000000000007</v>
      </c>
      <c r="P152" s="4">
        <v>147</v>
      </c>
      <c r="Q152" s="4">
        <v>1</v>
      </c>
      <c r="R152" s="9">
        <f t="shared" si="12"/>
        <v>0.3</v>
      </c>
      <c r="S152" s="9">
        <f t="shared" si="13"/>
        <v>1.0999999999999999</v>
      </c>
      <c r="T152" s="9">
        <f t="shared" si="15"/>
        <v>189.6</v>
      </c>
      <c r="V152" s="10">
        <v>144.69999999999999</v>
      </c>
      <c r="W152" s="4">
        <v>22.968253968253968</v>
      </c>
      <c r="X152" s="4">
        <v>71864.099999999962</v>
      </c>
      <c r="Y152" s="4">
        <f t="shared" si="11"/>
        <v>12586.4</v>
      </c>
      <c r="AA152" s="4">
        <v>9.0239400406467194</v>
      </c>
    </row>
    <row r="153" spans="1:27" s="4" customFormat="1" x14ac:dyDescent="0.25">
      <c r="A153" s="69"/>
      <c r="B153" s="5"/>
      <c r="C153" s="6">
        <v>42031</v>
      </c>
      <c r="D153" s="13">
        <v>3.9</v>
      </c>
      <c r="E153" s="13">
        <v>0.9</v>
      </c>
      <c r="F153" s="4">
        <v>5.8</v>
      </c>
      <c r="G153" s="4">
        <v>1364</v>
      </c>
      <c r="H153" s="4">
        <f t="shared" si="10"/>
        <v>251.8</v>
      </c>
      <c r="J153" s="4">
        <v>0</v>
      </c>
      <c r="K153" s="4">
        <v>272.19999999999987</v>
      </c>
      <c r="L153" s="4">
        <v>0.4</v>
      </c>
      <c r="M153" s="4">
        <v>153.69999999999999</v>
      </c>
      <c r="N153" s="8">
        <v>-0.4</v>
      </c>
      <c r="O153" s="4">
        <f t="shared" si="14"/>
        <v>163.40000000000006</v>
      </c>
      <c r="P153" s="4">
        <v>148</v>
      </c>
      <c r="Q153" s="4">
        <v>1</v>
      </c>
      <c r="R153" s="9">
        <f t="shared" si="12"/>
        <v>0.4</v>
      </c>
      <c r="S153" s="9">
        <f t="shared" si="13"/>
        <v>-0.4</v>
      </c>
      <c r="T153" s="9">
        <f t="shared" si="15"/>
        <v>189.2</v>
      </c>
      <c r="V153" s="10">
        <v>279</v>
      </c>
      <c r="W153" s="4">
        <v>71.538461538461533</v>
      </c>
      <c r="X153" s="4">
        <v>72143.099999999962</v>
      </c>
      <c r="Y153" s="4">
        <f t="shared" si="11"/>
        <v>12865.4</v>
      </c>
      <c r="AA153" s="4">
        <v>9.0710963726359406</v>
      </c>
    </row>
    <row r="154" spans="1:27" s="4" customFormat="1" x14ac:dyDescent="0.25">
      <c r="A154" s="69"/>
      <c r="B154" s="5">
        <v>8</v>
      </c>
      <c r="C154" s="6">
        <v>42032</v>
      </c>
      <c r="D154" s="4">
        <v>5.2</v>
      </c>
      <c r="E154" s="13">
        <v>4.8</v>
      </c>
      <c r="F154" s="4">
        <v>6.4</v>
      </c>
      <c r="G154" s="4">
        <v>1369.2</v>
      </c>
      <c r="H154" s="4">
        <f t="shared" si="10"/>
        <v>257</v>
      </c>
      <c r="J154" s="4">
        <v>3.1</v>
      </c>
      <c r="K154" s="4">
        <v>275.2999999999999</v>
      </c>
      <c r="L154" s="4">
        <v>0.8</v>
      </c>
      <c r="M154" s="4">
        <v>154.5</v>
      </c>
      <c r="N154" s="4">
        <v>2.2999999999999998</v>
      </c>
      <c r="O154" s="4">
        <f t="shared" si="14"/>
        <v>165.70000000000007</v>
      </c>
      <c r="P154" s="4">
        <v>149</v>
      </c>
      <c r="Q154" s="4">
        <v>1</v>
      </c>
      <c r="R154" s="9">
        <f t="shared" si="12"/>
        <v>0.8</v>
      </c>
      <c r="S154" s="9">
        <f t="shared" si="13"/>
        <v>2.2999999999999998</v>
      </c>
      <c r="T154" s="9">
        <f t="shared" si="15"/>
        <v>189.6</v>
      </c>
      <c r="V154" s="10">
        <v>186.9</v>
      </c>
      <c r="W154" s="4">
        <v>35.942307692307693</v>
      </c>
      <c r="X154" s="4">
        <v>72329.999999999956</v>
      </c>
      <c r="Y154" s="4">
        <f t="shared" si="11"/>
        <v>13052.3</v>
      </c>
      <c r="AA154" s="4">
        <v>9.1190537150738002</v>
      </c>
    </row>
    <row r="155" spans="1:27" s="4" customFormat="1" x14ac:dyDescent="0.25">
      <c r="A155" s="69"/>
      <c r="B155" s="5"/>
      <c r="C155" s="6">
        <v>42033</v>
      </c>
      <c r="D155" s="13">
        <v>3</v>
      </c>
      <c r="E155" s="13">
        <v>2.5</v>
      </c>
      <c r="F155" s="13">
        <v>4.4000000000000004</v>
      </c>
      <c r="G155" s="4">
        <v>1372.2</v>
      </c>
      <c r="H155" s="4">
        <f t="shared" si="10"/>
        <v>260</v>
      </c>
      <c r="J155" s="4">
        <v>6.1</v>
      </c>
      <c r="K155" s="4">
        <v>281.39999999999992</v>
      </c>
      <c r="L155" s="4">
        <v>0.6</v>
      </c>
      <c r="M155" s="4">
        <v>155.1</v>
      </c>
      <c r="N155" s="4">
        <v>5.5</v>
      </c>
      <c r="O155" s="4">
        <f t="shared" si="14"/>
        <v>171.20000000000007</v>
      </c>
      <c r="P155" s="4">
        <v>150</v>
      </c>
      <c r="Q155" s="4">
        <v>1</v>
      </c>
      <c r="R155" s="9">
        <f t="shared" si="12"/>
        <v>0.6</v>
      </c>
      <c r="S155" s="9">
        <f t="shared" si="13"/>
        <v>5.5</v>
      </c>
      <c r="T155" s="9">
        <f t="shared" si="15"/>
        <v>189.6</v>
      </c>
      <c r="V155" s="10">
        <v>150.6</v>
      </c>
      <c r="W155" s="4">
        <v>50.199999999999996</v>
      </c>
      <c r="X155" s="4">
        <v>72480.599999999962</v>
      </c>
      <c r="Y155" s="4">
        <f t="shared" si="11"/>
        <v>13202.9</v>
      </c>
      <c r="AA155" s="4">
        <v>9.1677813565960093</v>
      </c>
    </row>
    <row r="156" spans="1:27" s="4" customFormat="1" x14ac:dyDescent="0.25">
      <c r="A156" s="69"/>
      <c r="B156" s="5"/>
      <c r="C156" s="6">
        <v>42034</v>
      </c>
      <c r="D156" s="13">
        <v>1.4</v>
      </c>
      <c r="E156" s="13">
        <v>0.6</v>
      </c>
      <c r="F156" s="13">
        <v>2</v>
      </c>
      <c r="G156" s="4">
        <v>1373.6000000000001</v>
      </c>
      <c r="H156" s="4">
        <f t="shared" si="10"/>
        <v>261.39999999999998</v>
      </c>
      <c r="J156" s="4">
        <v>2.9</v>
      </c>
      <c r="K156" s="4">
        <v>284.2999999999999</v>
      </c>
      <c r="L156" s="4">
        <v>0.3</v>
      </c>
      <c r="M156" s="4">
        <v>155.4</v>
      </c>
      <c r="N156" s="4">
        <v>2.6</v>
      </c>
      <c r="O156" s="4">
        <f t="shared" si="14"/>
        <v>173.80000000000007</v>
      </c>
      <c r="P156" s="4">
        <v>151</v>
      </c>
      <c r="Q156" s="4">
        <v>1</v>
      </c>
      <c r="R156" s="9">
        <f t="shared" si="12"/>
        <v>0.3</v>
      </c>
      <c r="S156" s="9">
        <f t="shared" si="13"/>
        <v>2.6</v>
      </c>
      <c r="T156" s="9">
        <f t="shared" si="15"/>
        <v>189.6</v>
      </c>
      <c r="V156" s="10">
        <v>203.8</v>
      </c>
      <c r="W156" s="4">
        <v>145.57142857142858</v>
      </c>
      <c r="X156" s="4">
        <v>72684.399999999965</v>
      </c>
      <c r="Y156" s="4">
        <f t="shared" si="11"/>
        <v>13406.699999999999</v>
      </c>
      <c r="AA156" s="4">
        <v>9.2172491229400499</v>
      </c>
    </row>
    <row r="157" spans="1:27" s="4" customFormat="1" x14ac:dyDescent="0.25">
      <c r="A157" s="69"/>
      <c r="B157" s="5"/>
      <c r="C157" s="6">
        <v>42035</v>
      </c>
      <c r="D157" s="13">
        <v>1.7</v>
      </c>
      <c r="E157" s="13">
        <v>0.1</v>
      </c>
      <c r="F157" s="13">
        <v>3.1</v>
      </c>
      <c r="G157" s="4">
        <v>1375.3000000000002</v>
      </c>
      <c r="H157" s="4">
        <f t="shared" si="10"/>
        <v>263.09999999999997</v>
      </c>
      <c r="J157" s="4">
        <v>1.3</v>
      </c>
      <c r="K157" s="4">
        <v>285.59999999999991</v>
      </c>
      <c r="L157" s="4">
        <v>0.2</v>
      </c>
      <c r="M157" s="4">
        <v>155.6</v>
      </c>
      <c r="N157" s="4">
        <v>1.1000000000000001</v>
      </c>
      <c r="O157" s="4">
        <f t="shared" si="14"/>
        <v>174.90000000000006</v>
      </c>
      <c r="P157" s="4">
        <v>152</v>
      </c>
      <c r="Q157" s="4">
        <v>1</v>
      </c>
      <c r="R157" s="9">
        <f t="shared" si="12"/>
        <v>0.2</v>
      </c>
      <c r="S157" s="9">
        <f t="shared" si="13"/>
        <v>1.1000000000000001</v>
      </c>
      <c r="T157" s="9">
        <f t="shared" si="15"/>
        <v>189.6</v>
      </c>
      <c r="V157" s="10">
        <v>125</v>
      </c>
      <c r="W157" s="4">
        <v>73.529411764705884</v>
      </c>
      <c r="X157" s="4">
        <v>72809.399999999965</v>
      </c>
      <c r="Y157" s="4">
        <f t="shared" si="11"/>
        <v>13531.699999999999</v>
      </c>
      <c r="AA157" s="4">
        <v>9.2674274124373994</v>
      </c>
    </row>
    <row r="158" spans="1:27" s="4" customFormat="1" x14ac:dyDescent="0.25">
      <c r="A158" s="69"/>
      <c r="B158" s="5"/>
      <c r="C158" s="6">
        <v>42036</v>
      </c>
      <c r="D158" s="13">
        <v>3</v>
      </c>
      <c r="E158" s="13">
        <v>1.9</v>
      </c>
      <c r="F158" s="13">
        <v>3.9</v>
      </c>
      <c r="G158" s="4">
        <v>1378.3000000000002</v>
      </c>
      <c r="H158" s="4">
        <f t="shared" si="10"/>
        <v>266.09999999999997</v>
      </c>
      <c r="J158" s="4">
        <v>0.8</v>
      </c>
      <c r="K158" s="4">
        <v>286.39999999999992</v>
      </c>
      <c r="L158" s="4">
        <v>0.6</v>
      </c>
      <c r="M158" s="4">
        <v>156.19999999999999</v>
      </c>
      <c r="N158" s="4">
        <v>0.20000000000000007</v>
      </c>
      <c r="O158" s="4">
        <f t="shared" si="14"/>
        <v>175.10000000000005</v>
      </c>
      <c r="P158" s="4">
        <v>153</v>
      </c>
      <c r="Q158" s="4">
        <v>1</v>
      </c>
      <c r="R158" s="9">
        <f t="shared" si="12"/>
        <v>0.6</v>
      </c>
      <c r="S158" s="9">
        <f t="shared" si="13"/>
        <v>0.20000000000000007</v>
      </c>
      <c r="T158" s="9">
        <f t="shared" si="15"/>
        <v>189.6</v>
      </c>
      <c r="V158" s="10">
        <v>173.5</v>
      </c>
      <c r="W158" s="4">
        <v>57.833333333333336</v>
      </c>
      <c r="X158" s="4">
        <v>72982.899999999965</v>
      </c>
      <c r="Y158" s="4">
        <f t="shared" si="11"/>
        <v>13705.199999999999</v>
      </c>
      <c r="AA158" s="4">
        <v>9.31828722733351</v>
      </c>
    </row>
    <row r="159" spans="1:27" s="4" customFormat="1" x14ac:dyDescent="0.25">
      <c r="A159" s="69"/>
      <c r="B159" s="5"/>
      <c r="C159" s="6">
        <v>42037</v>
      </c>
      <c r="D159" s="13">
        <v>1.2</v>
      </c>
      <c r="E159" s="13">
        <v>0.7</v>
      </c>
      <c r="F159" s="13">
        <v>2.9</v>
      </c>
      <c r="G159" s="4">
        <v>1379.5000000000002</v>
      </c>
      <c r="H159" s="4">
        <f t="shared" si="10"/>
        <v>267.29999999999995</v>
      </c>
      <c r="J159" s="4">
        <v>0</v>
      </c>
      <c r="K159" s="4">
        <v>286.39999999999992</v>
      </c>
      <c r="L159" s="4">
        <v>0.8</v>
      </c>
      <c r="M159" s="4">
        <v>157</v>
      </c>
      <c r="N159" s="8">
        <v>-0.8</v>
      </c>
      <c r="O159" s="4">
        <f t="shared" si="14"/>
        <v>174.30000000000004</v>
      </c>
      <c r="P159" s="4">
        <v>154</v>
      </c>
      <c r="Q159" s="4">
        <v>1</v>
      </c>
      <c r="R159" s="9">
        <f t="shared" si="12"/>
        <v>0.8</v>
      </c>
      <c r="S159" s="9">
        <f t="shared" si="13"/>
        <v>-0.8</v>
      </c>
      <c r="T159" s="9">
        <f t="shared" si="15"/>
        <v>188.79999999999998</v>
      </c>
      <c r="V159" s="10">
        <v>647.6</v>
      </c>
      <c r="W159" s="4">
        <v>539.66666666666674</v>
      </c>
      <c r="X159" s="4">
        <v>73630.499999999971</v>
      </c>
      <c r="Y159" s="4">
        <f t="shared" si="11"/>
        <v>14352.8</v>
      </c>
      <c r="AA159" s="4">
        <v>9.3698002010794905</v>
      </c>
    </row>
    <row r="160" spans="1:27" s="4" customFormat="1" x14ac:dyDescent="0.25">
      <c r="A160" s="69"/>
      <c r="B160" s="5"/>
      <c r="C160" s="6">
        <v>42038</v>
      </c>
      <c r="D160" s="13">
        <v>0.5</v>
      </c>
      <c r="E160" s="21">
        <v>-1.1000000000000001</v>
      </c>
      <c r="F160" s="13">
        <v>2.2000000000000002</v>
      </c>
      <c r="G160" s="4">
        <v>1380.0000000000002</v>
      </c>
      <c r="H160" s="4">
        <f t="shared" si="10"/>
        <v>267.79999999999995</v>
      </c>
      <c r="J160" s="4">
        <v>0</v>
      </c>
      <c r="K160" s="4">
        <v>286.39999999999992</v>
      </c>
      <c r="L160" s="4">
        <v>0.3</v>
      </c>
      <c r="M160" s="4">
        <v>157.30000000000001</v>
      </c>
      <c r="N160" s="8">
        <v>-0.3</v>
      </c>
      <c r="O160" s="4">
        <f t="shared" si="14"/>
        <v>174.00000000000003</v>
      </c>
      <c r="P160" s="4">
        <v>155</v>
      </c>
      <c r="Q160" s="4">
        <v>1</v>
      </c>
      <c r="R160" s="9">
        <f t="shared" si="12"/>
        <v>0.3</v>
      </c>
      <c r="S160" s="9">
        <f t="shared" si="13"/>
        <v>-0.3</v>
      </c>
      <c r="T160" s="9">
        <f t="shared" si="15"/>
        <v>188.49999999999997</v>
      </c>
      <c r="V160" s="10">
        <v>449.9</v>
      </c>
      <c r="W160" s="4">
        <v>899.8</v>
      </c>
      <c r="X160" s="4">
        <v>74080.399999999965</v>
      </c>
      <c r="Y160" s="4">
        <f t="shared" si="11"/>
        <v>14802.699999999999</v>
      </c>
      <c r="AA160" s="4">
        <v>9.42193862175289</v>
      </c>
    </row>
    <row r="161" spans="1:27" s="4" customFormat="1" x14ac:dyDescent="0.25">
      <c r="A161" s="69"/>
      <c r="B161" s="5">
        <v>9</v>
      </c>
      <c r="C161" s="6">
        <v>42039</v>
      </c>
      <c r="D161" s="13">
        <v>1.2</v>
      </c>
      <c r="E161" s="21">
        <v>-1</v>
      </c>
      <c r="F161" s="13">
        <v>3.1</v>
      </c>
      <c r="G161" s="4">
        <v>1381.2000000000003</v>
      </c>
      <c r="H161" s="4">
        <f t="shared" ref="H161:H224" si="16">H160+D161</f>
        <v>268.99999999999994</v>
      </c>
      <c r="J161" s="4">
        <v>0</v>
      </c>
      <c r="K161" s="4">
        <v>286.39999999999992</v>
      </c>
      <c r="L161" s="4">
        <v>0.8</v>
      </c>
      <c r="M161" s="4">
        <v>158.10000000000002</v>
      </c>
      <c r="N161" s="8">
        <v>-0.8</v>
      </c>
      <c r="O161" s="4">
        <f t="shared" si="14"/>
        <v>173.20000000000002</v>
      </c>
      <c r="P161" s="4">
        <v>156</v>
      </c>
      <c r="Q161" s="4">
        <v>1</v>
      </c>
      <c r="R161" s="9">
        <f t="shared" si="12"/>
        <v>0.8</v>
      </c>
      <c r="S161" s="9">
        <f t="shared" si="13"/>
        <v>-0.8</v>
      </c>
      <c r="T161" s="9">
        <f t="shared" si="15"/>
        <v>187.69999999999996</v>
      </c>
      <c r="V161" s="10">
        <v>853.6</v>
      </c>
      <c r="W161" s="4">
        <v>711.33333333333337</v>
      </c>
      <c r="X161" s="4">
        <v>74933.999999999971</v>
      </c>
      <c r="Y161" s="4">
        <f t="shared" ref="Y161:Y224" si="17">Y160+V161</f>
        <v>15656.3</v>
      </c>
      <c r="AA161" s="4">
        <v>9.4746754517760401</v>
      </c>
    </row>
    <row r="162" spans="1:27" s="4" customFormat="1" x14ac:dyDescent="0.25">
      <c r="A162" s="69"/>
      <c r="B162" s="5"/>
      <c r="C162" s="6">
        <v>42040</v>
      </c>
      <c r="D162" s="21">
        <v>-0.1</v>
      </c>
      <c r="E162" s="21">
        <v>-0.8</v>
      </c>
      <c r="F162" s="13">
        <v>0.9</v>
      </c>
      <c r="G162" s="4">
        <v>1381.2</v>
      </c>
      <c r="H162" s="4">
        <v>269</v>
      </c>
      <c r="J162" s="4">
        <v>0</v>
      </c>
      <c r="K162" s="4">
        <v>286.39999999999992</v>
      </c>
      <c r="L162" s="4">
        <v>0.5</v>
      </c>
      <c r="M162" s="4">
        <v>158.60000000000002</v>
      </c>
      <c r="N162" s="8">
        <v>-0.5</v>
      </c>
      <c r="O162" s="4">
        <f t="shared" si="14"/>
        <v>172.70000000000002</v>
      </c>
      <c r="P162" s="4">
        <v>157</v>
      </c>
      <c r="Q162" s="4">
        <v>1</v>
      </c>
      <c r="R162" s="9">
        <f t="shared" si="12"/>
        <v>0.5</v>
      </c>
      <c r="S162" s="9">
        <f t="shared" si="13"/>
        <v>-0.5</v>
      </c>
      <c r="T162" s="9">
        <f t="shared" si="15"/>
        <v>187.19999999999996</v>
      </c>
      <c r="V162" s="10">
        <v>331.2</v>
      </c>
      <c r="W162" s="4">
        <v>-3311.9999999999995</v>
      </c>
      <c r="X162" s="4">
        <v>75265.199999999968</v>
      </c>
      <c r="Y162" s="4">
        <f t="shared" si="17"/>
        <v>15987.5</v>
      </c>
      <c r="AA162" s="4">
        <v>9.5279843441082193</v>
      </c>
    </row>
    <row r="163" spans="1:27" s="4" customFormat="1" x14ac:dyDescent="0.25">
      <c r="A163" s="69"/>
      <c r="B163" s="5"/>
      <c r="C163" s="6">
        <v>42041</v>
      </c>
      <c r="D163" s="21">
        <v>-0.7</v>
      </c>
      <c r="E163" s="21">
        <v>-1.4</v>
      </c>
      <c r="F163" s="13">
        <v>0.4</v>
      </c>
      <c r="G163" s="4">
        <v>1381.2</v>
      </c>
      <c r="H163" s="4">
        <v>269</v>
      </c>
      <c r="J163" s="4">
        <v>0</v>
      </c>
      <c r="K163" s="4">
        <v>286.39999999999992</v>
      </c>
      <c r="L163" s="4">
        <v>1.1000000000000001</v>
      </c>
      <c r="M163" s="4">
        <v>159.70000000000002</v>
      </c>
      <c r="N163" s="8">
        <v>-1.1000000000000001</v>
      </c>
      <c r="O163" s="4">
        <f t="shared" si="14"/>
        <v>171.60000000000002</v>
      </c>
      <c r="P163" s="4">
        <v>158</v>
      </c>
      <c r="Q163" s="4">
        <v>1</v>
      </c>
      <c r="R163" s="9">
        <f t="shared" si="12"/>
        <v>1.1000000000000001</v>
      </c>
      <c r="S163" s="9">
        <f t="shared" si="13"/>
        <v>-1.1000000000000001</v>
      </c>
      <c r="T163" s="9">
        <f t="shared" si="15"/>
        <v>186.09999999999997</v>
      </c>
      <c r="V163" s="10">
        <v>387</v>
      </c>
      <c r="W163" s="4">
        <v>-552.85714285714289</v>
      </c>
      <c r="X163" s="4">
        <v>75652.199999999968</v>
      </c>
      <c r="Y163" s="4">
        <f t="shared" si="17"/>
        <v>16374.5</v>
      </c>
      <c r="AA163" s="4">
        <v>9.5818396550943596</v>
      </c>
    </row>
    <row r="164" spans="1:27" s="4" customFormat="1" x14ac:dyDescent="0.25">
      <c r="A164" s="69"/>
      <c r="B164" s="5"/>
      <c r="C164" s="6">
        <v>42042</v>
      </c>
      <c r="D164" s="13">
        <v>1.1000000000000001</v>
      </c>
      <c r="E164" s="21">
        <v>-2.6</v>
      </c>
      <c r="F164" s="13">
        <v>3.7</v>
      </c>
      <c r="G164" s="4">
        <v>1382.3</v>
      </c>
      <c r="H164" s="4">
        <f t="shared" si="16"/>
        <v>270.10000000000002</v>
      </c>
      <c r="J164" s="4">
        <v>0</v>
      </c>
      <c r="K164" s="4">
        <v>286.39999999999992</v>
      </c>
      <c r="L164" s="4">
        <v>0.9</v>
      </c>
      <c r="M164" s="4">
        <v>160.60000000000002</v>
      </c>
      <c r="N164" s="8">
        <v>-0.9</v>
      </c>
      <c r="O164" s="4">
        <f t="shared" si="14"/>
        <v>170.70000000000002</v>
      </c>
      <c r="P164" s="4">
        <v>159</v>
      </c>
      <c r="Q164" s="4">
        <v>1</v>
      </c>
      <c r="R164" s="9">
        <f t="shared" si="12"/>
        <v>0.9</v>
      </c>
      <c r="S164" s="9">
        <f t="shared" si="13"/>
        <v>-0.9</v>
      </c>
      <c r="T164" s="9">
        <f t="shared" si="15"/>
        <v>185.19999999999996</v>
      </c>
      <c r="V164" s="10">
        <v>790.3</v>
      </c>
      <c r="W164" s="4">
        <v>718.45454545454538</v>
      </c>
      <c r="X164" s="4">
        <v>76442.499999999971</v>
      </c>
      <c r="Y164" s="4">
        <f t="shared" si="17"/>
        <v>17164.8</v>
      </c>
      <c r="AA164" s="4">
        <v>9.6362164541563295</v>
      </c>
    </row>
    <row r="165" spans="1:27" s="4" customFormat="1" x14ac:dyDescent="0.25">
      <c r="A165" s="69"/>
      <c r="B165" s="5"/>
      <c r="C165" s="6">
        <v>42043</v>
      </c>
      <c r="D165" s="13">
        <v>3.6</v>
      </c>
      <c r="E165" s="13">
        <v>2.8</v>
      </c>
      <c r="F165" s="4">
        <v>5.5</v>
      </c>
      <c r="G165" s="4">
        <v>1385.8999999999999</v>
      </c>
      <c r="H165" s="4">
        <f t="shared" si="16"/>
        <v>273.70000000000005</v>
      </c>
      <c r="J165" s="4">
        <v>0</v>
      </c>
      <c r="K165" s="4">
        <v>286.39999999999992</v>
      </c>
      <c r="L165" s="4">
        <v>0.9</v>
      </c>
      <c r="M165" s="4">
        <v>161.50000000000003</v>
      </c>
      <c r="N165" s="8">
        <v>-0.9</v>
      </c>
      <c r="O165" s="4">
        <f t="shared" si="14"/>
        <v>169.8</v>
      </c>
      <c r="P165" s="4">
        <v>160</v>
      </c>
      <c r="Q165" s="4">
        <v>1</v>
      </c>
      <c r="R165" s="9">
        <f t="shared" si="12"/>
        <v>0.9</v>
      </c>
      <c r="S165" s="9">
        <f t="shared" si="13"/>
        <v>-0.9</v>
      </c>
      <c r="T165" s="9">
        <f t="shared" si="15"/>
        <v>184.29999999999995</v>
      </c>
      <c r="V165" s="10">
        <v>469.9</v>
      </c>
      <c r="W165" s="4">
        <v>130.52777777777777</v>
      </c>
      <c r="X165" s="4">
        <v>76912.399999999965</v>
      </c>
      <c r="Y165" s="4">
        <f t="shared" si="17"/>
        <v>17634.7</v>
      </c>
      <c r="AA165" s="4">
        <v>9.6910905305149306</v>
      </c>
    </row>
    <row r="166" spans="1:27" s="4" customFormat="1" x14ac:dyDescent="0.25">
      <c r="A166" s="69"/>
      <c r="B166" s="5"/>
      <c r="C166" s="6">
        <v>42044</v>
      </c>
      <c r="D166" s="13">
        <v>1</v>
      </c>
      <c r="E166" s="21">
        <v>-0.4</v>
      </c>
      <c r="F166" s="13">
        <v>2.4</v>
      </c>
      <c r="G166" s="4">
        <v>1386.8999999999999</v>
      </c>
      <c r="H166" s="4">
        <f t="shared" si="16"/>
        <v>274.70000000000005</v>
      </c>
      <c r="J166" s="4">
        <v>0.2</v>
      </c>
      <c r="K166" s="4">
        <v>286.59999999999991</v>
      </c>
      <c r="L166" s="4">
        <v>0.4</v>
      </c>
      <c r="M166" s="4">
        <v>161.90000000000003</v>
      </c>
      <c r="N166" s="8">
        <v>-0.2</v>
      </c>
      <c r="O166" s="4">
        <f t="shared" si="14"/>
        <v>169.60000000000002</v>
      </c>
      <c r="P166" s="4">
        <v>161</v>
      </c>
      <c r="Q166" s="4">
        <v>1</v>
      </c>
      <c r="R166" s="9">
        <f t="shared" si="12"/>
        <v>0.4</v>
      </c>
      <c r="S166" s="9">
        <f t="shared" si="13"/>
        <v>-0.2</v>
      </c>
      <c r="T166" s="9">
        <f t="shared" si="15"/>
        <v>184.09999999999997</v>
      </c>
      <c r="V166" s="10">
        <v>295.3</v>
      </c>
      <c r="W166" s="4">
        <v>295.3</v>
      </c>
      <c r="X166" s="4">
        <v>77207.699999999968</v>
      </c>
      <c r="Y166" s="4">
        <f t="shared" si="17"/>
        <v>17930</v>
      </c>
      <c r="AA166" s="4">
        <v>9.7464383971307509</v>
      </c>
    </row>
    <row r="167" spans="1:27" s="4" customFormat="1" x14ac:dyDescent="0.25">
      <c r="A167" s="69"/>
      <c r="B167" s="5"/>
      <c r="C167" s="6">
        <v>42045</v>
      </c>
      <c r="D167" s="13">
        <v>3.5</v>
      </c>
      <c r="E167" s="13">
        <v>1.3</v>
      </c>
      <c r="F167" s="4">
        <v>5.3</v>
      </c>
      <c r="G167" s="4">
        <v>1390.3999999999999</v>
      </c>
      <c r="H167" s="4">
        <f t="shared" si="16"/>
        <v>278.20000000000005</v>
      </c>
      <c r="J167" s="4">
        <v>0</v>
      </c>
      <c r="K167" s="4">
        <v>286.59999999999991</v>
      </c>
      <c r="L167" s="4">
        <v>0.5</v>
      </c>
      <c r="M167" s="4">
        <v>162.40000000000003</v>
      </c>
      <c r="N167" s="8">
        <v>-0.5</v>
      </c>
      <c r="O167" s="4">
        <f t="shared" si="14"/>
        <v>169.10000000000002</v>
      </c>
      <c r="P167" s="4">
        <v>162</v>
      </c>
      <c r="Q167" s="4">
        <v>1</v>
      </c>
      <c r="R167" s="9">
        <f t="shared" si="12"/>
        <v>0.5</v>
      </c>
      <c r="S167" s="9">
        <f t="shared" si="13"/>
        <v>-0.5</v>
      </c>
      <c r="T167" s="9">
        <f t="shared" si="15"/>
        <v>183.59999999999997</v>
      </c>
      <c r="V167" s="10">
        <v>401</v>
      </c>
      <c r="W167" s="4">
        <v>114.57142857142857</v>
      </c>
      <c r="X167" s="4">
        <v>77608.699999999968</v>
      </c>
      <c r="Y167" s="4">
        <f t="shared" si="17"/>
        <v>18331</v>
      </c>
      <c r="AA167" s="4">
        <v>9.8022372920506502</v>
      </c>
    </row>
    <row r="168" spans="1:27" s="4" customFormat="1" x14ac:dyDescent="0.25">
      <c r="A168" s="69"/>
      <c r="B168" s="5">
        <v>10</v>
      </c>
      <c r="C168" s="6">
        <v>42046</v>
      </c>
      <c r="D168" s="13">
        <v>3</v>
      </c>
      <c r="E168" s="13">
        <v>2.8</v>
      </c>
      <c r="F168" s="13">
        <v>4.3</v>
      </c>
      <c r="G168" s="4">
        <v>1393.3999999999999</v>
      </c>
      <c r="H168" s="4">
        <f t="shared" si="16"/>
        <v>281.20000000000005</v>
      </c>
      <c r="J168" s="4">
        <v>0</v>
      </c>
      <c r="K168" s="4">
        <v>286.59999999999991</v>
      </c>
      <c r="L168" s="4">
        <v>0.8</v>
      </c>
      <c r="M168" s="4">
        <v>163.20000000000005</v>
      </c>
      <c r="N168" s="8">
        <v>-0.8</v>
      </c>
      <c r="O168" s="4">
        <f t="shared" si="14"/>
        <v>168.3</v>
      </c>
      <c r="P168" s="4">
        <v>163</v>
      </c>
      <c r="Q168" s="4">
        <v>1</v>
      </c>
      <c r="R168" s="9">
        <f t="shared" si="12"/>
        <v>0.8</v>
      </c>
      <c r="S168" s="9">
        <f t="shared" si="13"/>
        <v>-0.8</v>
      </c>
      <c r="T168" s="9">
        <f t="shared" si="15"/>
        <v>182.79999999999995</v>
      </c>
      <c r="V168" s="10">
        <v>523.5</v>
      </c>
      <c r="W168" s="4">
        <v>174.5</v>
      </c>
      <c r="X168" s="4">
        <v>78132.199999999968</v>
      </c>
      <c r="Y168" s="4">
        <f t="shared" si="17"/>
        <v>18854.5</v>
      </c>
      <c r="AA168" s="4">
        <v>9.8584651773438203</v>
      </c>
    </row>
    <row r="169" spans="1:27" s="4" customFormat="1" x14ac:dyDescent="0.25">
      <c r="A169" s="69"/>
      <c r="B169" s="5"/>
      <c r="C169" s="6">
        <v>42047</v>
      </c>
      <c r="D169" s="21">
        <v>-0.4</v>
      </c>
      <c r="E169" s="21">
        <v>-1.3</v>
      </c>
      <c r="F169" s="13">
        <v>1</v>
      </c>
      <c r="G169" s="4">
        <v>1393.4</v>
      </c>
      <c r="H169" s="4">
        <v>281.2</v>
      </c>
      <c r="J169" s="4">
        <v>0</v>
      </c>
      <c r="K169" s="4">
        <v>286.59999999999991</v>
      </c>
      <c r="L169" s="4">
        <v>0.4</v>
      </c>
      <c r="M169" s="4">
        <v>163.60000000000005</v>
      </c>
      <c r="N169" s="8">
        <v>-0.4</v>
      </c>
      <c r="O169" s="4">
        <f t="shared" si="14"/>
        <v>167.9</v>
      </c>
      <c r="P169" s="4">
        <v>164</v>
      </c>
      <c r="Q169" s="4">
        <v>1</v>
      </c>
      <c r="R169" s="9">
        <f t="shared" si="12"/>
        <v>0.4</v>
      </c>
      <c r="S169" s="9">
        <f t="shared" si="13"/>
        <v>-0.4</v>
      </c>
      <c r="T169" s="9">
        <f t="shared" si="15"/>
        <v>182.39999999999995</v>
      </c>
      <c r="V169" s="10">
        <v>399</v>
      </c>
      <c r="W169" s="4">
        <v>-997.5</v>
      </c>
      <c r="X169" s="4">
        <v>78531.199999999968</v>
      </c>
      <c r="Y169" s="4">
        <f t="shared" si="17"/>
        <v>19253.5</v>
      </c>
      <c r="AA169" s="4">
        <v>9.9151007358076004</v>
      </c>
    </row>
    <row r="170" spans="1:27" s="4" customFormat="1" x14ac:dyDescent="0.25">
      <c r="A170" s="69"/>
      <c r="B170" s="5"/>
      <c r="C170" s="6">
        <v>42048</v>
      </c>
      <c r="D170" s="4">
        <v>5.4</v>
      </c>
      <c r="E170" s="21">
        <v>-1.4</v>
      </c>
      <c r="F170" s="4">
        <v>9.4</v>
      </c>
      <c r="G170" s="4">
        <v>1398.8000000000002</v>
      </c>
      <c r="H170" s="4">
        <f t="shared" si="16"/>
        <v>286.59999999999997</v>
      </c>
      <c r="J170" s="4">
        <v>2.1</v>
      </c>
      <c r="K170" s="4">
        <v>288.69999999999993</v>
      </c>
      <c r="L170" s="4">
        <v>0.4</v>
      </c>
      <c r="M170" s="4">
        <v>164.00000000000006</v>
      </c>
      <c r="N170" s="4">
        <v>1.7000000000000002</v>
      </c>
      <c r="O170" s="4">
        <f t="shared" si="14"/>
        <v>169.6</v>
      </c>
      <c r="P170" s="4">
        <v>165</v>
      </c>
      <c r="Q170" s="4">
        <v>1</v>
      </c>
      <c r="R170" s="9">
        <f t="shared" si="12"/>
        <v>0.4</v>
      </c>
      <c r="S170" s="9">
        <f t="shared" si="13"/>
        <v>1.7000000000000002</v>
      </c>
      <c r="T170" s="9">
        <f t="shared" si="15"/>
        <v>184.09999999999994</v>
      </c>
      <c r="V170" s="10">
        <v>471.8</v>
      </c>
      <c r="W170" s="4">
        <v>87.370370370370367</v>
      </c>
      <c r="X170" s="4">
        <v>79002.999999999971</v>
      </c>
      <c r="Y170" s="4">
        <f t="shared" si="17"/>
        <v>19725.3</v>
      </c>
      <c r="AA170" s="4">
        <v>9.9721233656181401</v>
      </c>
    </row>
    <row r="171" spans="1:27" s="4" customFormat="1" x14ac:dyDescent="0.25">
      <c r="A171" s="69"/>
      <c r="B171" s="5"/>
      <c r="C171" s="6">
        <v>42049</v>
      </c>
      <c r="D171" s="4">
        <v>6.1</v>
      </c>
      <c r="E171" s="13">
        <v>4.8</v>
      </c>
      <c r="F171" s="4">
        <v>7.9</v>
      </c>
      <c r="G171" s="4">
        <v>1404.9</v>
      </c>
      <c r="H171" s="4">
        <f t="shared" si="16"/>
        <v>292.7</v>
      </c>
      <c r="J171" s="4">
        <v>1.8</v>
      </c>
      <c r="K171" s="4">
        <v>290.49999999999994</v>
      </c>
      <c r="L171" s="4">
        <v>0.5</v>
      </c>
      <c r="M171" s="4">
        <v>164.50000000000006</v>
      </c>
      <c r="N171" s="4">
        <v>1.3</v>
      </c>
      <c r="O171" s="4">
        <f t="shared" si="14"/>
        <v>170.9</v>
      </c>
      <c r="P171" s="4">
        <v>166</v>
      </c>
      <c r="Q171" s="4">
        <v>1</v>
      </c>
      <c r="R171" s="9">
        <f t="shared" si="12"/>
        <v>0.5</v>
      </c>
      <c r="S171" s="9">
        <f t="shared" si="13"/>
        <v>1.3</v>
      </c>
      <c r="T171" s="9">
        <f t="shared" si="15"/>
        <v>185.39999999999995</v>
      </c>
      <c r="V171" s="10">
        <v>136.5</v>
      </c>
      <c r="W171" s="4">
        <v>22.377049180327869</v>
      </c>
      <c r="X171" s="4">
        <v>79139.499999999971</v>
      </c>
      <c r="Y171" s="4">
        <f t="shared" si="17"/>
        <v>19861.8</v>
      </c>
      <c r="AA171" s="4">
        <v>10.0295131730956</v>
      </c>
    </row>
    <row r="172" spans="1:27" s="4" customFormat="1" x14ac:dyDescent="0.25">
      <c r="A172" s="69"/>
      <c r="B172" s="5"/>
      <c r="C172" s="6">
        <v>42050</v>
      </c>
      <c r="D172" s="4">
        <v>5.5</v>
      </c>
      <c r="E172" s="13">
        <v>3.7</v>
      </c>
      <c r="F172" s="4">
        <v>8.1999999999999993</v>
      </c>
      <c r="G172" s="4">
        <v>1410.4</v>
      </c>
      <c r="H172" s="4">
        <f t="shared" si="16"/>
        <v>298.2</v>
      </c>
      <c r="J172" s="4">
        <v>0.2</v>
      </c>
      <c r="K172" s="4">
        <v>290.69999999999993</v>
      </c>
      <c r="L172" s="4">
        <v>0.8</v>
      </c>
      <c r="M172" s="4">
        <v>165.30000000000007</v>
      </c>
      <c r="N172" s="8">
        <v>-0.60000000000000009</v>
      </c>
      <c r="O172" s="4">
        <f t="shared" si="14"/>
        <v>170.3</v>
      </c>
      <c r="P172" s="4">
        <v>167</v>
      </c>
      <c r="Q172" s="4">
        <v>1</v>
      </c>
      <c r="R172" s="9">
        <f t="shared" si="12"/>
        <v>0.8</v>
      </c>
      <c r="S172" s="9">
        <f t="shared" si="13"/>
        <v>-0.60000000000000009</v>
      </c>
      <c r="T172" s="9">
        <f t="shared" si="15"/>
        <v>184.79999999999995</v>
      </c>
      <c r="V172" s="10">
        <v>595.79999999999995</v>
      </c>
      <c r="W172" s="4">
        <v>108.32727272727271</v>
      </c>
      <c r="X172" s="4">
        <v>79735.299999999974</v>
      </c>
      <c r="Y172" s="4">
        <f t="shared" si="17"/>
        <v>20457.599999999999</v>
      </c>
      <c r="AA172" s="4">
        <v>10.087250963746801</v>
      </c>
    </row>
    <row r="173" spans="1:27" s="4" customFormat="1" x14ac:dyDescent="0.25">
      <c r="A173" s="69"/>
      <c r="B173" s="5"/>
      <c r="C173" s="6">
        <v>42051</v>
      </c>
      <c r="D173" s="13">
        <v>3</v>
      </c>
      <c r="E173" s="21">
        <v>-0.6</v>
      </c>
      <c r="F173" s="4">
        <v>5.0999999999999996</v>
      </c>
      <c r="G173" s="4">
        <v>1413.4</v>
      </c>
      <c r="H173" s="4">
        <f t="shared" si="16"/>
        <v>301.2</v>
      </c>
      <c r="J173" s="4">
        <v>0</v>
      </c>
      <c r="K173" s="4">
        <v>290.69999999999993</v>
      </c>
      <c r="L173" s="4">
        <v>0.3</v>
      </c>
      <c r="M173" s="4">
        <v>165.60000000000008</v>
      </c>
      <c r="N173" s="8">
        <v>-0.3</v>
      </c>
      <c r="O173" s="4">
        <f t="shared" si="14"/>
        <v>170</v>
      </c>
      <c r="P173" s="4">
        <v>168</v>
      </c>
      <c r="Q173" s="4">
        <v>1</v>
      </c>
      <c r="R173" s="9">
        <f t="shared" si="12"/>
        <v>0.3</v>
      </c>
      <c r="S173" s="9">
        <f t="shared" si="13"/>
        <v>-0.3</v>
      </c>
      <c r="T173" s="9">
        <f t="shared" si="15"/>
        <v>184.49999999999994</v>
      </c>
      <c r="V173" s="10">
        <v>320.5</v>
      </c>
      <c r="W173" s="4">
        <v>106.83333333333333</v>
      </c>
      <c r="X173" s="4">
        <v>80055.799999999974</v>
      </c>
      <c r="Y173" s="4">
        <f t="shared" si="17"/>
        <v>20778.099999999999</v>
      </c>
      <c r="AA173" s="4">
        <v>10.145318231742101</v>
      </c>
    </row>
    <row r="174" spans="1:27" s="4" customFormat="1" x14ac:dyDescent="0.25">
      <c r="A174" s="69"/>
      <c r="B174" s="5"/>
      <c r="C174" s="6">
        <v>42052</v>
      </c>
      <c r="D174" s="13">
        <v>4.3</v>
      </c>
      <c r="E174" s="13">
        <v>3.9</v>
      </c>
      <c r="F174" s="4">
        <v>5.9</v>
      </c>
      <c r="G174" s="4">
        <v>1417.7</v>
      </c>
      <c r="H174" s="4">
        <f t="shared" si="16"/>
        <v>305.5</v>
      </c>
      <c r="J174" s="4">
        <v>0.3</v>
      </c>
      <c r="K174" s="4">
        <v>290.99999999999994</v>
      </c>
      <c r="L174" s="4">
        <v>0.6</v>
      </c>
      <c r="M174" s="4">
        <v>166.20000000000007</v>
      </c>
      <c r="N174" s="8">
        <v>-0.3</v>
      </c>
      <c r="O174" s="4">
        <f t="shared" si="14"/>
        <v>169.7</v>
      </c>
      <c r="P174" s="4">
        <v>169</v>
      </c>
      <c r="Q174" s="4">
        <v>1</v>
      </c>
      <c r="R174" s="9">
        <f t="shared" si="12"/>
        <v>0.6</v>
      </c>
      <c r="S174" s="9">
        <f t="shared" si="13"/>
        <v>-0.3</v>
      </c>
      <c r="T174" s="9">
        <f t="shared" si="15"/>
        <v>184.19999999999993</v>
      </c>
      <c r="V174" s="10">
        <v>409.3</v>
      </c>
      <c r="W174" s="4">
        <v>95.186046511627907</v>
      </c>
      <c r="X174" s="4">
        <v>80465.099999999977</v>
      </c>
      <c r="Y174" s="4">
        <f t="shared" si="17"/>
        <v>21187.399999999998</v>
      </c>
      <c r="AA174" s="4">
        <v>10.2036971479745</v>
      </c>
    </row>
    <row r="175" spans="1:27" s="4" customFormat="1" x14ac:dyDescent="0.25">
      <c r="A175" s="69"/>
      <c r="B175" s="5"/>
      <c r="C175" s="6">
        <v>42053</v>
      </c>
      <c r="D175" s="13">
        <v>0.6</v>
      </c>
      <c r="E175" s="21">
        <v>-1.6</v>
      </c>
      <c r="F175" s="13">
        <v>2.8</v>
      </c>
      <c r="G175" s="4">
        <v>1418.3</v>
      </c>
      <c r="H175" s="4">
        <f t="shared" si="16"/>
        <v>306.10000000000002</v>
      </c>
      <c r="J175" s="4">
        <v>0</v>
      </c>
      <c r="K175" s="4">
        <v>290.99999999999994</v>
      </c>
      <c r="L175" s="4">
        <v>0.5</v>
      </c>
      <c r="M175" s="4">
        <v>166.70000000000007</v>
      </c>
      <c r="N175" s="8">
        <v>-0.5</v>
      </c>
      <c r="O175" s="4">
        <f t="shared" si="14"/>
        <v>169.2</v>
      </c>
      <c r="P175" s="4">
        <v>170</v>
      </c>
      <c r="Q175" s="4">
        <v>1</v>
      </c>
      <c r="R175" s="9">
        <f t="shared" si="12"/>
        <v>0.5</v>
      </c>
      <c r="S175" s="9">
        <f t="shared" si="13"/>
        <v>-0.5</v>
      </c>
      <c r="T175" s="9">
        <f t="shared" si="15"/>
        <v>183.69999999999993</v>
      </c>
      <c r="V175" s="10">
        <v>401.3</v>
      </c>
      <c r="W175" s="4">
        <v>668.83333333333337</v>
      </c>
      <c r="X175" s="4">
        <v>80866.39999999998</v>
      </c>
      <c r="Y175" s="4">
        <f t="shared" si="17"/>
        <v>21588.699999999997</v>
      </c>
      <c r="AA175" s="4">
        <v>10.262370546844201</v>
      </c>
    </row>
    <row r="176" spans="1:27" s="4" customFormat="1" x14ac:dyDescent="0.25">
      <c r="A176" s="69"/>
      <c r="B176" s="5"/>
      <c r="C176" s="6">
        <v>42054</v>
      </c>
      <c r="D176" s="13">
        <v>3</v>
      </c>
      <c r="E176" s="13">
        <v>0.4</v>
      </c>
      <c r="F176" s="4">
        <v>4.9000000000000004</v>
      </c>
      <c r="G176" s="4">
        <v>1421.3</v>
      </c>
      <c r="H176" s="4">
        <f t="shared" si="16"/>
        <v>309.10000000000002</v>
      </c>
      <c r="J176" s="4">
        <v>2.5</v>
      </c>
      <c r="K176" s="4">
        <v>293.49999999999994</v>
      </c>
      <c r="L176" s="4">
        <v>0.6</v>
      </c>
      <c r="M176" s="4">
        <v>167.30000000000007</v>
      </c>
      <c r="N176" s="4">
        <v>1.9</v>
      </c>
      <c r="O176" s="4">
        <f t="shared" si="14"/>
        <v>171.1</v>
      </c>
      <c r="P176" s="4">
        <v>171</v>
      </c>
      <c r="Q176" s="4">
        <v>1</v>
      </c>
      <c r="R176" s="9">
        <f t="shared" si="12"/>
        <v>0.6</v>
      </c>
      <c r="S176" s="9">
        <f t="shared" si="13"/>
        <v>1.9</v>
      </c>
      <c r="T176" s="9">
        <f t="shared" si="15"/>
        <v>185.59999999999994</v>
      </c>
      <c r="V176" s="10">
        <v>623.29999999999995</v>
      </c>
      <c r="W176" s="4">
        <v>207.76666666666665</v>
      </c>
      <c r="X176" s="4">
        <v>81489.699999999983</v>
      </c>
      <c r="Y176" s="4">
        <f t="shared" si="17"/>
        <v>22211.999999999996</v>
      </c>
      <c r="AA176" s="4">
        <v>10.3213219118997</v>
      </c>
    </row>
    <row r="177" spans="1:28" s="4" customFormat="1" x14ac:dyDescent="0.25">
      <c r="A177" s="69"/>
      <c r="B177" s="5"/>
      <c r="C177" s="6">
        <v>42055</v>
      </c>
      <c r="D177" s="4">
        <v>5.8</v>
      </c>
      <c r="E177" s="13">
        <v>4.2</v>
      </c>
      <c r="F177" s="4">
        <v>7.3</v>
      </c>
      <c r="G177" s="4">
        <v>1427.1</v>
      </c>
      <c r="H177" s="4">
        <f t="shared" si="16"/>
        <v>314.90000000000003</v>
      </c>
      <c r="J177" s="4">
        <v>11.5</v>
      </c>
      <c r="K177" s="4">
        <v>304.99999999999994</v>
      </c>
      <c r="L177" s="4">
        <v>0.6</v>
      </c>
      <c r="M177" s="4">
        <v>167.90000000000006</v>
      </c>
      <c r="N177" s="4">
        <v>10.9</v>
      </c>
      <c r="O177" s="4">
        <f t="shared" si="14"/>
        <v>182</v>
      </c>
      <c r="P177" s="4">
        <v>172</v>
      </c>
      <c r="Q177" s="4">
        <v>1</v>
      </c>
      <c r="R177" s="9">
        <f t="shared" si="12"/>
        <v>0.6</v>
      </c>
      <c r="S177" s="9">
        <f t="shared" si="13"/>
        <v>10.9</v>
      </c>
      <c r="T177" s="9">
        <f t="shared" si="15"/>
        <v>189.6</v>
      </c>
      <c r="V177" s="10">
        <v>182</v>
      </c>
      <c r="W177" s="4">
        <v>31.379310344827587</v>
      </c>
      <c r="X177" s="4">
        <v>81671.699999999983</v>
      </c>
      <c r="Y177" s="4">
        <f t="shared" si="17"/>
        <v>22393.999999999996</v>
      </c>
      <c r="AA177" s="4">
        <v>10.3805353604641</v>
      </c>
    </row>
    <row r="178" spans="1:28" s="4" customFormat="1" x14ac:dyDescent="0.25">
      <c r="A178" s="69"/>
      <c r="B178" s="5"/>
      <c r="C178" s="6">
        <v>42056</v>
      </c>
      <c r="D178" s="13">
        <v>2.7</v>
      </c>
      <c r="E178" s="13">
        <v>2.1</v>
      </c>
      <c r="F178" s="13">
        <v>3.7</v>
      </c>
      <c r="G178" s="4">
        <v>1429.8</v>
      </c>
      <c r="H178" s="4">
        <f t="shared" si="16"/>
        <v>317.60000000000002</v>
      </c>
      <c r="J178" s="4">
        <v>1.8</v>
      </c>
      <c r="K178" s="4">
        <v>306.79999999999995</v>
      </c>
      <c r="L178" s="4">
        <v>0.4</v>
      </c>
      <c r="M178" s="4">
        <v>168.30000000000007</v>
      </c>
      <c r="N178" s="4">
        <v>1.4</v>
      </c>
      <c r="O178" s="4">
        <f t="shared" si="14"/>
        <v>183.4</v>
      </c>
      <c r="P178" s="4">
        <v>173</v>
      </c>
      <c r="Q178" s="4">
        <v>1</v>
      </c>
      <c r="R178" s="9">
        <f t="shared" si="12"/>
        <v>0.4</v>
      </c>
      <c r="S178" s="9">
        <f t="shared" si="13"/>
        <v>1.4</v>
      </c>
      <c r="T178" s="9">
        <f t="shared" si="15"/>
        <v>189.6</v>
      </c>
      <c r="V178" s="10">
        <v>282.3</v>
      </c>
      <c r="W178" s="4">
        <v>104.55555555555556</v>
      </c>
      <c r="X178" s="4">
        <v>81953.999999999985</v>
      </c>
      <c r="Y178" s="4">
        <f t="shared" si="17"/>
        <v>22676.299999999996</v>
      </c>
      <c r="AA178" s="4">
        <v>10.4399956273618</v>
      </c>
    </row>
    <row r="179" spans="1:28" s="4" customFormat="1" x14ac:dyDescent="0.25">
      <c r="A179" s="69"/>
      <c r="B179" s="5"/>
      <c r="C179" s="6">
        <v>42057</v>
      </c>
      <c r="D179" s="13">
        <v>3.6</v>
      </c>
      <c r="E179" s="21">
        <v>-0.7</v>
      </c>
      <c r="F179" s="4">
        <v>6.5</v>
      </c>
      <c r="G179" s="4">
        <v>1433.3999999999999</v>
      </c>
      <c r="H179" s="4">
        <f t="shared" si="16"/>
        <v>321.20000000000005</v>
      </c>
      <c r="J179" s="4">
        <v>8.8000000000000007</v>
      </c>
      <c r="K179" s="4">
        <v>315.59999999999997</v>
      </c>
      <c r="L179" s="4">
        <v>0.7</v>
      </c>
      <c r="M179" s="4">
        <v>169.00000000000006</v>
      </c>
      <c r="N179" s="4">
        <v>8.1000000000000014</v>
      </c>
      <c r="O179" s="4">
        <f t="shared" si="14"/>
        <v>191.5</v>
      </c>
      <c r="P179" s="4">
        <v>174</v>
      </c>
      <c r="Q179" s="4">
        <v>1</v>
      </c>
      <c r="R179" s="9">
        <f t="shared" si="12"/>
        <v>0.7</v>
      </c>
      <c r="S179" s="9">
        <f t="shared" si="13"/>
        <v>8.1000000000000014</v>
      </c>
      <c r="T179" s="9">
        <f t="shared" si="15"/>
        <v>189.6</v>
      </c>
      <c r="V179" s="10">
        <v>617.9</v>
      </c>
      <c r="W179" s="4">
        <v>171.63888888888889</v>
      </c>
      <c r="X179" s="4">
        <v>82571.89999999998</v>
      </c>
      <c r="Y179" s="4">
        <f t="shared" si="17"/>
        <v>23294.199999999997</v>
      </c>
      <c r="AA179" s="4">
        <v>10.499688047858401</v>
      </c>
    </row>
    <row r="180" spans="1:28" s="4" customFormat="1" x14ac:dyDescent="0.25">
      <c r="A180" s="69"/>
      <c r="B180" s="5"/>
      <c r="C180" s="6">
        <v>42058</v>
      </c>
      <c r="D180" s="4">
        <v>5.9</v>
      </c>
      <c r="E180" s="13">
        <v>3.9</v>
      </c>
      <c r="F180" s="4">
        <v>9.8000000000000007</v>
      </c>
      <c r="G180" s="4">
        <v>1439.3</v>
      </c>
      <c r="H180" s="4">
        <f t="shared" si="16"/>
        <v>327.10000000000002</v>
      </c>
      <c r="J180" s="4">
        <v>0.3</v>
      </c>
      <c r="K180" s="4">
        <v>315.89999999999998</v>
      </c>
      <c r="L180" s="4">
        <v>1.4</v>
      </c>
      <c r="M180" s="4">
        <v>170.40000000000006</v>
      </c>
      <c r="N180" s="8">
        <v>-1.0999999999999999</v>
      </c>
      <c r="O180" s="4">
        <f t="shared" si="14"/>
        <v>190.4</v>
      </c>
      <c r="P180" s="4">
        <v>175</v>
      </c>
      <c r="Q180" s="4">
        <v>1</v>
      </c>
      <c r="R180" s="9">
        <f t="shared" si="12"/>
        <v>1.4</v>
      </c>
      <c r="S180" s="9">
        <f t="shared" si="13"/>
        <v>-1.0999999999999999</v>
      </c>
      <c r="T180" s="9">
        <f t="shared" si="15"/>
        <v>188.5</v>
      </c>
      <c r="V180" s="10">
        <v>709.9</v>
      </c>
      <c r="W180" s="4">
        <v>120.32203389830508</v>
      </c>
      <c r="X180" s="4">
        <v>83281.799999999974</v>
      </c>
      <c r="Y180" s="4">
        <f t="shared" si="17"/>
        <v>24004.1</v>
      </c>
      <c r="AA180" s="4">
        <v>10.5595985399135</v>
      </c>
    </row>
    <row r="181" spans="1:28" s="4" customFormat="1" x14ac:dyDescent="0.25">
      <c r="A181" s="69"/>
      <c r="B181" s="5"/>
      <c r="C181" s="6">
        <v>42059</v>
      </c>
      <c r="D181" s="13">
        <v>4.9000000000000004</v>
      </c>
      <c r="E181" s="13">
        <v>2.2999999999999998</v>
      </c>
      <c r="F181" s="4">
        <v>8.5</v>
      </c>
      <c r="G181" s="4">
        <v>1444.2</v>
      </c>
      <c r="H181" s="4">
        <f t="shared" si="16"/>
        <v>332</v>
      </c>
      <c r="J181" s="4">
        <v>1.2</v>
      </c>
      <c r="K181" s="4">
        <v>317.09999999999997</v>
      </c>
      <c r="L181" s="4">
        <v>1.2</v>
      </c>
      <c r="M181" s="4">
        <v>171.60000000000005</v>
      </c>
      <c r="N181" s="4">
        <v>0</v>
      </c>
      <c r="O181" s="4">
        <f t="shared" si="14"/>
        <v>190.4</v>
      </c>
      <c r="P181" s="4">
        <v>176</v>
      </c>
      <c r="Q181" s="4">
        <v>1</v>
      </c>
      <c r="R181" s="9">
        <f t="shared" si="12"/>
        <v>1.2</v>
      </c>
      <c r="S181" s="9">
        <f t="shared" si="13"/>
        <v>0</v>
      </c>
      <c r="T181" s="9">
        <f t="shared" si="15"/>
        <v>188.5</v>
      </c>
      <c r="V181" s="10">
        <v>732.6</v>
      </c>
      <c r="W181" s="4">
        <v>149.51020408163265</v>
      </c>
      <c r="X181" s="4">
        <v>84014.39999999998</v>
      </c>
      <c r="Y181" s="4">
        <f t="shared" si="17"/>
        <v>24736.699999999997</v>
      </c>
      <c r="AA181" s="4">
        <v>10.6197135858434</v>
      </c>
    </row>
    <row r="182" spans="1:28" s="4" customFormat="1" x14ac:dyDescent="0.25">
      <c r="A182" s="69"/>
      <c r="B182" s="5"/>
      <c r="C182" s="6">
        <v>42060</v>
      </c>
      <c r="D182" s="4">
        <v>5.3</v>
      </c>
      <c r="E182" s="13">
        <v>1.9</v>
      </c>
      <c r="F182" s="4">
        <v>7.4</v>
      </c>
      <c r="G182" s="4">
        <v>1449.5</v>
      </c>
      <c r="H182" s="4">
        <f t="shared" si="16"/>
        <v>337.3</v>
      </c>
      <c r="J182" s="4">
        <v>2.1</v>
      </c>
      <c r="K182" s="4">
        <v>319.2</v>
      </c>
      <c r="L182" s="4">
        <v>0.2</v>
      </c>
      <c r="M182" s="4">
        <v>171.80000000000004</v>
      </c>
      <c r="N182" s="4">
        <v>1.9000000000000001</v>
      </c>
      <c r="O182" s="4">
        <f t="shared" si="14"/>
        <v>192.3</v>
      </c>
      <c r="P182" s="4">
        <v>177</v>
      </c>
      <c r="Q182" s="4">
        <v>1</v>
      </c>
      <c r="R182" s="9">
        <f t="shared" si="12"/>
        <v>0.2</v>
      </c>
      <c r="S182" s="9">
        <f t="shared" si="13"/>
        <v>1.9000000000000001</v>
      </c>
      <c r="T182" s="9">
        <f t="shared" si="15"/>
        <v>189.6</v>
      </c>
      <c r="V182" s="10">
        <v>194</v>
      </c>
      <c r="W182" s="4">
        <v>36.60377358490566</v>
      </c>
      <c r="X182" s="4">
        <v>84208.39999999998</v>
      </c>
      <c r="Y182" s="4">
        <f t="shared" si="17"/>
        <v>24930.699999999997</v>
      </c>
      <c r="AA182" s="4">
        <v>10.6800202134794</v>
      </c>
    </row>
    <row r="183" spans="1:28" s="4" customFormat="1" x14ac:dyDescent="0.25">
      <c r="A183" s="69"/>
      <c r="B183" s="5"/>
      <c r="C183" s="6">
        <v>42061</v>
      </c>
      <c r="D183" s="4">
        <v>7.6</v>
      </c>
      <c r="E183" s="4">
        <v>5.4</v>
      </c>
      <c r="F183" s="4">
        <v>9.8000000000000007</v>
      </c>
      <c r="G183" s="4">
        <v>1457.1</v>
      </c>
      <c r="H183" s="4">
        <f t="shared" si="16"/>
        <v>344.90000000000003</v>
      </c>
      <c r="J183" s="4">
        <v>9.6999999999999993</v>
      </c>
      <c r="K183" s="4">
        <v>328.9</v>
      </c>
      <c r="L183" s="4">
        <v>0.3</v>
      </c>
      <c r="M183" s="4">
        <v>172.10000000000005</v>
      </c>
      <c r="N183" s="4">
        <v>9.3999999999999986</v>
      </c>
      <c r="O183" s="4">
        <f t="shared" si="14"/>
        <v>201.70000000000002</v>
      </c>
      <c r="P183" s="4">
        <v>178</v>
      </c>
      <c r="Q183" s="4">
        <v>1</v>
      </c>
      <c r="R183" s="9">
        <f t="shared" si="12"/>
        <v>0.3</v>
      </c>
      <c r="S183" s="9">
        <f t="shared" si="13"/>
        <v>9.3999999999999986</v>
      </c>
      <c r="T183" s="9">
        <f t="shared" si="15"/>
        <v>189.6</v>
      </c>
      <c r="V183" s="10">
        <v>207.8</v>
      </c>
      <c r="W183" s="4">
        <v>27.342105263157897</v>
      </c>
      <c r="X183" s="4">
        <v>84416.199999999983</v>
      </c>
      <c r="Y183" s="4">
        <f t="shared" si="17"/>
        <v>25138.499999999996</v>
      </c>
      <c r="AA183" s="4">
        <v>10.7405059769033</v>
      </c>
    </row>
    <row r="184" spans="1:28" s="4" customFormat="1" x14ac:dyDescent="0.25">
      <c r="A184" s="69"/>
      <c r="B184" s="5"/>
      <c r="C184" s="6">
        <v>42062</v>
      </c>
      <c r="D184" s="13">
        <v>4</v>
      </c>
      <c r="E184" s="13">
        <v>2.1</v>
      </c>
      <c r="F184" s="4">
        <v>6.9</v>
      </c>
      <c r="G184" s="4">
        <v>1461.1</v>
      </c>
      <c r="H184" s="4">
        <f t="shared" si="16"/>
        <v>348.90000000000003</v>
      </c>
      <c r="J184" s="4">
        <v>0</v>
      </c>
      <c r="K184" s="4">
        <v>328.9</v>
      </c>
      <c r="L184" s="4">
        <v>1.2</v>
      </c>
      <c r="M184" s="4">
        <v>173.30000000000004</v>
      </c>
      <c r="N184" s="8">
        <v>-1.2</v>
      </c>
      <c r="O184" s="4">
        <f t="shared" si="14"/>
        <v>200.50000000000003</v>
      </c>
      <c r="P184" s="4">
        <v>179</v>
      </c>
      <c r="Q184" s="4">
        <v>1</v>
      </c>
      <c r="R184" s="9">
        <f t="shared" si="12"/>
        <v>1.2</v>
      </c>
      <c r="S184" s="9">
        <f t="shared" si="13"/>
        <v>-1.2</v>
      </c>
      <c r="T184" s="9">
        <f t="shared" si="15"/>
        <v>188.4</v>
      </c>
      <c r="V184" s="10">
        <v>885</v>
      </c>
      <c r="W184" s="4">
        <v>221.25</v>
      </c>
      <c r="X184" s="4">
        <v>85301.199999999983</v>
      </c>
      <c r="Y184" s="4">
        <f t="shared" si="17"/>
        <v>26023.499999999996</v>
      </c>
      <c r="AA184" s="4">
        <v>10.8011589368326</v>
      </c>
    </row>
    <row r="185" spans="1:28" s="4" customFormat="1" x14ac:dyDescent="0.25">
      <c r="A185" s="69"/>
      <c r="B185" s="5"/>
      <c r="C185" s="6">
        <v>42063</v>
      </c>
      <c r="D185" s="4">
        <v>5.2</v>
      </c>
      <c r="E185" s="21">
        <v>-0.3</v>
      </c>
      <c r="F185" s="4">
        <v>9.3000000000000007</v>
      </c>
      <c r="G185" s="4">
        <v>1466.3</v>
      </c>
      <c r="H185" s="4">
        <f t="shared" si="16"/>
        <v>354.1</v>
      </c>
      <c r="J185" s="4">
        <v>3.6</v>
      </c>
      <c r="K185" s="4">
        <v>332.5</v>
      </c>
      <c r="L185" s="4">
        <v>0.8</v>
      </c>
      <c r="M185" s="4">
        <v>174.10000000000005</v>
      </c>
      <c r="N185" s="4">
        <v>2.8</v>
      </c>
      <c r="O185" s="4">
        <f t="shared" si="14"/>
        <v>203.30000000000004</v>
      </c>
      <c r="P185" s="4">
        <v>180</v>
      </c>
      <c r="Q185" s="4">
        <v>1</v>
      </c>
      <c r="R185" s="9">
        <f t="shared" si="12"/>
        <v>0.8</v>
      </c>
      <c r="S185" s="9">
        <f t="shared" si="13"/>
        <v>2.8</v>
      </c>
      <c r="T185" s="9">
        <f t="shared" si="15"/>
        <v>189.6</v>
      </c>
      <c r="V185" s="10">
        <v>555.6</v>
      </c>
      <c r="W185" s="4">
        <v>106.84615384615385</v>
      </c>
      <c r="X185" s="4">
        <v>85856.799999999988</v>
      </c>
      <c r="Y185" s="4">
        <f t="shared" si="17"/>
        <v>26579.099999999995</v>
      </c>
      <c r="AA185" s="4">
        <v>10.861967640722799</v>
      </c>
    </row>
    <row r="186" spans="1:28" s="4" customFormat="1" x14ac:dyDescent="0.25">
      <c r="A186" s="69"/>
      <c r="B186" s="5"/>
      <c r="C186" s="6">
        <v>42064</v>
      </c>
      <c r="D186" s="4">
        <v>9.1</v>
      </c>
      <c r="E186" s="4">
        <v>7</v>
      </c>
      <c r="F186" s="4">
        <v>11</v>
      </c>
      <c r="G186" s="4">
        <v>1475.3999999999999</v>
      </c>
      <c r="H186" s="4">
        <f t="shared" si="16"/>
        <v>363.20000000000005</v>
      </c>
      <c r="J186" s="4">
        <v>0.3</v>
      </c>
      <c r="K186" s="4">
        <v>332.8</v>
      </c>
      <c r="L186" s="4">
        <v>1.6</v>
      </c>
      <c r="M186" s="4">
        <v>175.70000000000005</v>
      </c>
      <c r="N186" s="8">
        <v>-1.3</v>
      </c>
      <c r="O186" s="4">
        <f t="shared" si="14"/>
        <v>202.00000000000003</v>
      </c>
      <c r="P186" s="4">
        <v>181</v>
      </c>
      <c r="Q186" s="4">
        <v>1</v>
      </c>
      <c r="R186" s="9">
        <f t="shared" si="12"/>
        <v>1.6</v>
      </c>
      <c r="S186" s="9">
        <f t="shared" si="13"/>
        <v>-1.3</v>
      </c>
      <c r="T186" s="9">
        <f t="shared" si="15"/>
        <v>188.29999999999998</v>
      </c>
      <c r="V186" s="10">
        <v>777.1</v>
      </c>
      <c r="W186" s="4">
        <v>85.395604395604408</v>
      </c>
      <c r="X186" s="4">
        <v>86633.9</v>
      </c>
      <c r="Y186" s="4">
        <f t="shared" si="17"/>
        <v>27356.199999999993</v>
      </c>
      <c r="AA186" s="4">
        <v>10.922921102646299</v>
      </c>
    </row>
    <row r="187" spans="1:28" s="4" customFormat="1" x14ac:dyDescent="0.25">
      <c r="A187" s="69"/>
      <c r="B187" s="5"/>
      <c r="C187" s="6">
        <v>42065</v>
      </c>
      <c r="D187" s="4">
        <v>5.6</v>
      </c>
      <c r="E187" s="13">
        <v>4.8</v>
      </c>
      <c r="F187" s="4">
        <v>7.3</v>
      </c>
      <c r="G187" s="4">
        <v>1480.9999999999998</v>
      </c>
      <c r="H187" s="4">
        <f t="shared" si="16"/>
        <v>368.80000000000007</v>
      </c>
      <c r="J187" s="4">
        <v>1.6</v>
      </c>
      <c r="K187" s="4">
        <v>334.40000000000003</v>
      </c>
      <c r="L187" s="4">
        <v>1.5</v>
      </c>
      <c r="M187" s="4">
        <v>177.20000000000005</v>
      </c>
      <c r="N187" s="4">
        <v>0.10000000000000009</v>
      </c>
      <c r="O187" s="4">
        <f t="shared" si="14"/>
        <v>202.10000000000002</v>
      </c>
      <c r="P187" s="4">
        <v>182</v>
      </c>
      <c r="Q187" s="4">
        <v>1</v>
      </c>
      <c r="R187" s="9">
        <f t="shared" si="12"/>
        <v>1.5</v>
      </c>
      <c r="S187" s="9">
        <f t="shared" si="13"/>
        <v>0.10000000000000009</v>
      </c>
      <c r="T187" s="9">
        <f t="shared" si="15"/>
        <v>188.39999999999998</v>
      </c>
      <c r="V187" s="4">
        <v>964.7</v>
      </c>
      <c r="W187" s="4">
        <v>172.26785714285717</v>
      </c>
      <c r="X187" s="4">
        <v>87598.599999999991</v>
      </c>
      <c r="Y187" s="4">
        <f t="shared" si="17"/>
        <v>28320.899999999994</v>
      </c>
      <c r="AA187" s="4">
        <v>10.9840087830034</v>
      </c>
    </row>
    <row r="188" spans="1:28" s="4" customFormat="1" x14ac:dyDescent="0.25">
      <c r="A188" s="69"/>
      <c r="B188" s="5"/>
      <c r="C188" s="6">
        <v>42066</v>
      </c>
      <c r="D188" s="13">
        <v>4.4000000000000004</v>
      </c>
      <c r="E188" s="13">
        <v>1.5</v>
      </c>
      <c r="F188" s="4">
        <v>7.9</v>
      </c>
      <c r="G188" s="4">
        <v>1485.3999999999999</v>
      </c>
      <c r="H188" s="4">
        <f t="shared" si="16"/>
        <v>373.20000000000005</v>
      </c>
      <c r="J188" s="79">
        <v>1.9</v>
      </c>
      <c r="K188" s="4">
        <v>336.3</v>
      </c>
      <c r="L188" s="4">
        <v>0.9</v>
      </c>
      <c r="M188" s="4">
        <v>178.10000000000005</v>
      </c>
      <c r="N188" s="4">
        <v>0.99999999999999989</v>
      </c>
      <c r="O188" s="4">
        <f t="shared" si="14"/>
        <v>203.10000000000002</v>
      </c>
      <c r="P188" s="4">
        <v>183</v>
      </c>
      <c r="Q188" s="4">
        <v>1</v>
      </c>
      <c r="R188" s="9">
        <f t="shared" si="12"/>
        <v>0.9</v>
      </c>
      <c r="S188" s="9">
        <f t="shared" si="13"/>
        <v>0.99999999999999989</v>
      </c>
      <c r="T188" s="9">
        <f t="shared" si="15"/>
        <v>189.39999999999998</v>
      </c>
      <c r="V188" s="10">
        <v>390.3</v>
      </c>
      <c r="W188" s="4">
        <v>88.704545454545453</v>
      </c>
      <c r="X188" s="4">
        <v>87988.9</v>
      </c>
      <c r="Y188" s="4">
        <f t="shared" si="17"/>
        <v>28711.199999999993</v>
      </c>
      <c r="AA188" s="4">
        <v>11.0452205681135</v>
      </c>
      <c r="AB188" s="82" t="s">
        <v>49</v>
      </c>
    </row>
    <row r="189" spans="1:28" s="4" customFormat="1" x14ac:dyDescent="0.25">
      <c r="A189" s="69"/>
      <c r="B189" s="5"/>
      <c r="C189" s="6">
        <v>42067</v>
      </c>
      <c r="D189" s="13">
        <v>4.0999999999999996</v>
      </c>
      <c r="E189" s="13">
        <v>0.7</v>
      </c>
      <c r="F189" s="4">
        <v>7.3</v>
      </c>
      <c r="G189" s="4">
        <v>1489.4999999999998</v>
      </c>
      <c r="H189" s="4">
        <f t="shared" si="16"/>
        <v>377.30000000000007</v>
      </c>
      <c r="J189" s="79">
        <v>0.4</v>
      </c>
      <c r="K189" s="4">
        <v>336.7</v>
      </c>
      <c r="L189" s="4">
        <v>1.4</v>
      </c>
      <c r="M189" s="4">
        <v>179.50000000000006</v>
      </c>
      <c r="N189" s="8">
        <v>-0.99999999999999989</v>
      </c>
      <c r="O189" s="4">
        <f t="shared" si="14"/>
        <v>202.10000000000002</v>
      </c>
      <c r="P189" s="4">
        <v>184</v>
      </c>
      <c r="Q189" s="4">
        <v>1</v>
      </c>
      <c r="R189" s="9">
        <f t="shared" si="12"/>
        <v>1.4</v>
      </c>
      <c r="S189" s="9">
        <f t="shared" si="13"/>
        <v>-0.99999999999999989</v>
      </c>
      <c r="T189" s="9">
        <f t="shared" si="15"/>
        <v>188.39999999999998</v>
      </c>
      <c r="V189" s="4">
        <v>1253.7</v>
      </c>
      <c r="W189" s="4">
        <v>305.78048780487808</v>
      </c>
      <c r="X189" s="4">
        <v>89242.599999999991</v>
      </c>
      <c r="Y189" s="4">
        <f t="shared" si="17"/>
        <v>29964.899999999994</v>
      </c>
      <c r="AA189" s="4">
        <v>11.1065467497302</v>
      </c>
      <c r="AB189" s="11">
        <f>AVERAGE(T195:T208)</f>
        <v>171.56869387755097</v>
      </c>
    </row>
    <row r="190" spans="1:28" s="4" customFormat="1" x14ac:dyDescent="0.25">
      <c r="A190" s="69"/>
      <c r="B190" s="5"/>
      <c r="C190" s="6">
        <v>42068</v>
      </c>
      <c r="D190" s="13">
        <v>4.0999999999999996</v>
      </c>
      <c r="E190" s="21">
        <v>-0.4</v>
      </c>
      <c r="F190" s="4">
        <v>8.8000000000000007</v>
      </c>
      <c r="G190" s="4">
        <v>1493.5999999999997</v>
      </c>
      <c r="H190" s="4">
        <f t="shared" si="16"/>
        <v>381.40000000000009</v>
      </c>
      <c r="J190" s="79">
        <v>0.1</v>
      </c>
      <c r="K190" s="4">
        <v>336.8</v>
      </c>
      <c r="L190" s="4">
        <v>1.4</v>
      </c>
      <c r="M190" s="4">
        <v>180.90000000000006</v>
      </c>
      <c r="N190" s="8">
        <v>-1.2999999999999998</v>
      </c>
      <c r="O190" s="4">
        <f t="shared" si="14"/>
        <v>200.8</v>
      </c>
      <c r="P190" s="4">
        <v>185</v>
      </c>
      <c r="Q190" s="4">
        <v>1</v>
      </c>
      <c r="R190" s="9">
        <f t="shared" si="12"/>
        <v>1.4</v>
      </c>
      <c r="S190" s="9">
        <f t="shared" si="13"/>
        <v>-1.2999999999999998</v>
      </c>
      <c r="T190" s="9">
        <f t="shared" si="15"/>
        <v>187.09999999999997</v>
      </c>
      <c r="V190" s="4">
        <v>1093.3</v>
      </c>
      <c r="W190" s="4">
        <v>266.65853658536588</v>
      </c>
      <c r="X190" s="4">
        <v>90335.9</v>
      </c>
      <c r="Y190" s="4">
        <f t="shared" si="17"/>
        <v>31058.199999999993</v>
      </c>
      <c r="AA190" s="4">
        <v>11.1679780045177</v>
      </c>
      <c r="AB190" s="82" t="s">
        <v>50</v>
      </c>
    </row>
    <row r="191" spans="1:28" s="4" customFormat="1" x14ac:dyDescent="0.25">
      <c r="A191" s="69"/>
      <c r="B191" s="5"/>
      <c r="C191" s="6">
        <v>42069</v>
      </c>
      <c r="D191" s="13">
        <v>4.5</v>
      </c>
      <c r="E191" s="21">
        <v>-0.2</v>
      </c>
      <c r="F191" s="4">
        <v>9.5</v>
      </c>
      <c r="G191" s="4">
        <v>1498.0999999999997</v>
      </c>
      <c r="H191" s="4">
        <f t="shared" si="16"/>
        <v>385.90000000000009</v>
      </c>
      <c r="J191" s="79">
        <v>0.1</v>
      </c>
      <c r="K191" s="4">
        <v>336.90000000000003</v>
      </c>
      <c r="L191" s="4">
        <v>1.1000000000000001</v>
      </c>
      <c r="M191" s="4">
        <v>182.00000000000006</v>
      </c>
      <c r="N191" s="8">
        <v>-1</v>
      </c>
      <c r="O191" s="4">
        <f t="shared" si="14"/>
        <v>199.8</v>
      </c>
      <c r="P191" s="4">
        <v>186</v>
      </c>
      <c r="Q191" s="4">
        <v>1</v>
      </c>
      <c r="R191" s="9">
        <f t="shared" si="12"/>
        <v>1.1000000000000001</v>
      </c>
      <c r="S191" s="9">
        <f t="shared" si="13"/>
        <v>-1</v>
      </c>
      <c r="T191" s="9">
        <f t="shared" si="15"/>
        <v>186.09999999999997</v>
      </c>
      <c r="V191" s="10">
        <v>778.2</v>
      </c>
      <c r="W191" s="4">
        <v>172.93333333333334</v>
      </c>
      <c r="X191" s="4">
        <v>91114.099999999991</v>
      </c>
      <c r="Y191" s="4">
        <f t="shared" si="17"/>
        <v>31836.399999999994</v>
      </c>
      <c r="AA191" s="4">
        <v>11.2295053735237</v>
      </c>
      <c r="AB191" s="4">
        <v>2</v>
      </c>
    </row>
    <row r="192" spans="1:28" s="53" customFormat="1" ht="15.75" thickBot="1" x14ac:dyDescent="0.3">
      <c r="A192" s="69"/>
      <c r="B192" s="50"/>
      <c r="C192" s="51">
        <v>42070</v>
      </c>
      <c r="D192" s="52">
        <v>6</v>
      </c>
      <c r="E192" s="52">
        <v>0.6</v>
      </c>
      <c r="F192" s="52">
        <v>10.1</v>
      </c>
      <c r="G192" s="52">
        <v>1504.0999999999997</v>
      </c>
      <c r="H192" s="53">
        <f t="shared" si="16"/>
        <v>391.90000000000009</v>
      </c>
      <c r="I192" s="52"/>
      <c r="J192" s="80">
        <v>0</v>
      </c>
      <c r="K192" s="52">
        <v>336.90000000000003</v>
      </c>
      <c r="L192" s="52">
        <v>1.3</v>
      </c>
      <c r="M192" s="52">
        <v>183.30000000000007</v>
      </c>
      <c r="N192" s="52">
        <v>-1.3</v>
      </c>
      <c r="O192" s="52">
        <f t="shared" si="14"/>
        <v>198.5</v>
      </c>
      <c r="P192" s="52">
        <v>187</v>
      </c>
      <c r="Q192" s="52">
        <v>1</v>
      </c>
      <c r="R192" s="54">
        <f t="shared" si="12"/>
        <v>1.3</v>
      </c>
      <c r="S192" s="54">
        <f t="shared" si="13"/>
        <v>-1.3</v>
      </c>
      <c r="T192" s="55">
        <f t="shared" si="15"/>
        <v>184.79999999999995</v>
      </c>
      <c r="U192" s="52"/>
      <c r="V192" s="52">
        <v>827.6</v>
      </c>
      <c r="W192" s="52">
        <v>137.93333333333334</v>
      </c>
      <c r="X192" s="52">
        <v>91941.7</v>
      </c>
      <c r="Y192" s="53">
        <f t="shared" si="17"/>
        <v>32663.999999999993</v>
      </c>
      <c r="Z192" s="52"/>
      <c r="AA192" s="53">
        <v>11.2911202416762</v>
      </c>
      <c r="AB192" s="53" t="s">
        <v>51</v>
      </c>
    </row>
    <row r="193" spans="1:28" s="4" customFormat="1" ht="15" customHeight="1" x14ac:dyDescent="0.25">
      <c r="A193" s="70" t="s">
        <v>45</v>
      </c>
      <c r="B193" s="5"/>
      <c r="C193" s="6">
        <v>42071</v>
      </c>
      <c r="D193" s="4">
        <v>8.4</v>
      </c>
      <c r="E193" s="13">
        <v>1</v>
      </c>
      <c r="F193" s="4">
        <v>14.6</v>
      </c>
      <c r="G193" s="4">
        <v>1512.4999999999998</v>
      </c>
      <c r="H193" s="4">
        <v>8.4</v>
      </c>
      <c r="I193" s="23" t="s">
        <v>27</v>
      </c>
      <c r="J193" s="79">
        <v>0</v>
      </c>
      <c r="K193" s="4">
        <v>336.90000000000003</v>
      </c>
      <c r="L193" s="4">
        <v>1.9</v>
      </c>
      <c r="M193" s="4">
        <v>185.20000000000007</v>
      </c>
      <c r="N193" s="8">
        <v>-1.9</v>
      </c>
      <c r="O193" s="4">
        <f t="shared" si="14"/>
        <v>196.6</v>
      </c>
      <c r="P193" s="4">
        <v>188</v>
      </c>
      <c r="Q193" s="11">
        <f>1+((P193-187)/35)*(1.15-1)</f>
        <v>1.0042857142857142</v>
      </c>
      <c r="R193" s="9">
        <f t="shared" si="12"/>
        <v>1.9081428571428569</v>
      </c>
      <c r="S193" s="9">
        <f t="shared" si="13"/>
        <v>-1.9081428571428569</v>
      </c>
      <c r="T193" s="9">
        <f t="shared" si="15"/>
        <v>182.89185714285711</v>
      </c>
      <c r="U193" s="23" t="s">
        <v>28</v>
      </c>
      <c r="V193" s="4">
        <v>1330.3</v>
      </c>
      <c r="W193" s="4">
        <v>158.36904761904762</v>
      </c>
      <c r="X193" s="4">
        <v>93272</v>
      </c>
      <c r="Y193" s="4">
        <v>1330.3</v>
      </c>
      <c r="Z193" s="23" t="s">
        <v>29</v>
      </c>
      <c r="AA193" s="4">
        <v>11.3528143173298</v>
      </c>
      <c r="AB193" s="4">
        <v>8</v>
      </c>
    </row>
    <row r="194" spans="1:28" s="4" customFormat="1" x14ac:dyDescent="0.25">
      <c r="A194" s="70"/>
      <c r="B194" s="5"/>
      <c r="C194" s="6">
        <v>42072</v>
      </c>
      <c r="D194" s="4">
        <v>8.6999999999999993</v>
      </c>
      <c r="E194" s="4">
        <v>7.7</v>
      </c>
      <c r="F194" s="4">
        <v>10</v>
      </c>
      <c r="G194" s="4">
        <v>1521.1999999999998</v>
      </c>
      <c r="H194" s="4">
        <f t="shared" si="16"/>
        <v>17.100000000000001</v>
      </c>
      <c r="I194" s="4">
        <v>-2.5</v>
      </c>
      <c r="J194" s="79">
        <v>0.3</v>
      </c>
      <c r="K194" s="4">
        <v>337.20000000000005</v>
      </c>
      <c r="L194" s="4">
        <v>0.8</v>
      </c>
      <c r="M194" s="4">
        <v>186.00000000000009</v>
      </c>
      <c r="N194" s="8">
        <v>-0.5</v>
      </c>
      <c r="O194" s="4">
        <f t="shared" si="14"/>
        <v>196.1</v>
      </c>
      <c r="P194" s="4">
        <v>189</v>
      </c>
      <c r="Q194" s="11">
        <f t="shared" ref="Q194:Q227" si="18">1+((P194-187)/35)*(1.15-1)</f>
        <v>1.0085714285714287</v>
      </c>
      <c r="R194" s="9">
        <f t="shared" si="12"/>
        <v>0.80685714285714294</v>
      </c>
      <c r="S194" s="9">
        <f t="shared" si="13"/>
        <v>-0.50685714285714289</v>
      </c>
      <c r="T194" s="9">
        <f t="shared" si="15"/>
        <v>182.38499999999996</v>
      </c>
      <c r="U194" s="4">
        <v>29</v>
      </c>
      <c r="V194" s="10">
        <v>606.70000000000005</v>
      </c>
      <c r="W194" s="4">
        <v>69.735632183908052</v>
      </c>
      <c r="X194" s="4">
        <v>93878.7</v>
      </c>
      <c r="Y194" s="4">
        <f t="shared" si="17"/>
        <v>1937</v>
      </c>
      <c r="Z194" s="4">
        <v>37212.699999999997</v>
      </c>
      <c r="AA194" s="4">
        <v>11.4145796118836</v>
      </c>
      <c r="AB194" s="82" t="s">
        <v>52</v>
      </c>
    </row>
    <row r="195" spans="1:28" s="4" customFormat="1" x14ac:dyDescent="0.25">
      <c r="A195" s="70"/>
      <c r="B195" s="5"/>
      <c r="C195" s="6">
        <v>42073</v>
      </c>
      <c r="D195" s="4">
        <v>8.6999999999999993</v>
      </c>
      <c r="E195" s="4">
        <v>7.5</v>
      </c>
      <c r="F195" s="4">
        <v>11.5</v>
      </c>
      <c r="G195" s="4">
        <v>1529.8999999999999</v>
      </c>
      <c r="H195" s="4">
        <f t="shared" si="16"/>
        <v>25.8</v>
      </c>
      <c r="I195" s="23" t="s">
        <v>30</v>
      </c>
      <c r="J195" s="79">
        <v>0.1</v>
      </c>
      <c r="K195" s="4">
        <v>337.30000000000007</v>
      </c>
      <c r="L195" s="4">
        <v>1.5</v>
      </c>
      <c r="M195" s="4">
        <v>187.50000000000009</v>
      </c>
      <c r="N195" s="8">
        <v>-1.4</v>
      </c>
      <c r="O195" s="4">
        <f t="shared" si="14"/>
        <v>194.7</v>
      </c>
      <c r="P195" s="4">
        <v>190</v>
      </c>
      <c r="Q195" s="11">
        <f t="shared" si="18"/>
        <v>1.0128571428571429</v>
      </c>
      <c r="R195" s="9">
        <f t="shared" si="12"/>
        <v>1.5192857142857144</v>
      </c>
      <c r="S195" s="9">
        <f t="shared" si="13"/>
        <v>-1.4192857142857143</v>
      </c>
      <c r="T195" s="81">
        <f t="shared" si="15"/>
        <v>180.96571428571426</v>
      </c>
      <c r="U195" s="23" t="s">
        <v>31</v>
      </c>
      <c r="V195" s="4">
        <v>1010.4</v>
      </c>
      <c r="W195" s="4">
        <v>116.13793103448276</v>
      </c>
      <c r="X195" s="4">
        <v>94889.099999999991</v>
      </c>
      <c r="Y195" s="4">
        <f t="shared" si="17"/>
        <v>2947.4</v>
      </c>
      <c r="Z195" s="23" t="s">
        <v>32</v>
      </c>
      <c r="AA195" s="4">
        <v>11.4764084194862</v>
      </c>
      <c r="AB195" s="4">
        <v>0</v>
      </c>
    </row>
    <row r="196" spans="1:28" s="4" customFormat="1" x14ac:dyDescent="0.25">
      <c r="A196" s="70"/>
      <c r="B196" s="5"/>
      <c r="C196" s="6">
        <v>42074</v>
      </c>
      <c r="D196" s="4">
        <v>6</v>
      </c>
      <c r="E196" s="13">
        <v>2.2000000000000002</v>
      </c>
      <c r="F196" s="4">
        <v>10.5</v>
      </c>
      <c r="G196" s="4">
        <v>1535.8999999999999</v>
      </c>
      <c r="H196" s="4">
        <f t="shared" si="16"/>
        <v>31.8</v>
      </c>
      <c r="I196" s="4">
        <f>MAX(F193:F227)</f>
        <v>20.6</v>
      </c>
      <c r="J196" s="79">
        <v>0</v>
      </c>
      <c r="K196" s="4">
        <v>337.30000000000007</v>
      </c>
      <c r="L196" s="4">
        <v>1</v>
      </c>
      <c r="M196" s="4">
        <v>188.50000000000009</v>
      </c>
      <c r="N196" s="8">
        <v>-1</v>
      </c>
      <c r="O196" s="4">
        <f t="shared" si="14"/>
        <v>193.7</v>
      </c>
      <c r="P196" s="4">
        <v>191</v>
      </c>
      <c r="Q196" s="11">
        <f t="shared" si="18"/>
        <v>1.0171428571428571</v>
      </c>
      <c r="R196" s="9">
        <f t="shared" si="12"/>
        <v>1.0171428571428571</v>
      </c>
      <c r="S196" s="9">
        <f t="shared" si="13"/>
        <v>-1.0171428571428571</v>
      </c>
      <c r="T196" s="81">
        <f t="shared" si="15"/>
        <v>179.9485714285714</v>
      </c>
      <c r="U196" s="4">
        <v>0</v>
      </c>
      <c r="V196" s="10">
        <v>619.20000000000005</v>
      </c>
      <c r="W196" s="4">
        <v>103.2</v>
      </c>
      <c r="X196" s="4">
        <v>95508.299999999988</v>
      </c>
      <c r="Y196" s="4">
        <f t="shared" si="17"/>
        <v>3566.6000000000004</v>
      </c>
      <c r="Z196" s="11">
        <f>(Z194/100)/I206</f>
        <v>1.4819872560732774</v>
      </c>
      <c r="AA196" s="4">
        <v>11.5382932968443</v>
      </c>
      <c r="AB196" s="82" t="s">
        <v>53</v>
      </c>
    </row>
    <row r="197" spans="1:28" s="4" customFormat="1" x14ac:dyDescent="0.25">
      <c r="A197" s="70"/>
      <c r="B197" s="5"/>
      <c r="C197" s="6">
        <v>42075</v>
      </c>
      <c r="D197" s="4">
        <v>6</v>
      </c>
      <c r="E197" s="21">
        <v>-0.3</v>
      </c>
      <c r="F197" s="4">
        <v>11.6</v>
      </c>
      <c r="G197" s="4">
        <v>1541.8999999999999</v>
      </c>
      <c r="H197" s="4">
        <f t="shared" si="16"/>
        <v>37.799999999999997</v>
      </c>
      <c r="I197" s="23" t="s">
        <v>33</v>
      </c>
      <c r="J197" s="79">
        <v>0</v>
      </c>
      <c r="K197" s="4">
        <v>337.30000000000007</v>
      </c>
      <c r="L197" s="4">
        <v>2.2000000000000002</v>
      </c>
      <c r="M197" s="4">
        <v>190.70000000000007</v>
      </c>
      <c r="N197" s="8">
        <v>-2.2000000000000002</v>
      </c>
      <c r="O197" s="4">
        <f t="shared" si="14"/>
        <v>191.5</v>
      </c>
      <c r="P197" s="4">
        <v>192</v>
      </c>
      <c r="Q197" s="11">
        <f t="shared" si="18"/>
        <v>1.0214285714285714</v>
      </c>
      <c r="R197" s="9">
        <f t="shared" si="12"/>
        <v>2.2471428571428573</v>
      </c>
      <c r="S197" s="9">
        <f t="shared" si="13"/>
        <v>-2.2471428571428573</v>
      </c>
      <c r="T197" s="81">
        <f t="shared" si="15"/>
        <v>177.70142857142855</v>
      </c>
      <c r="U197" s="23" t="s">
        <v>34</v>
      </c>
      <c r="V197" s="4">
        <v>1502.7</v>
      </c>
      <c r="W197" s="4">
        <v>250.45000000000002</v>
      </c>
      <c r="X197" s="4">
        <v>97010.999999999985</v>
      </c>
      <c r="Y197" s="4">
        <f t="shared" si="17"/>
        <v>5069.3</v>
      </c>
      <c r="Z197" s="23" t="s">
        <v>35</v>
      </c>
      <c r="AA197" s="4">
        <v>11.600227043145299</v>
      </c>
      <c r="AB197" s="4">
        <f>SUM(J199:J208)</f>
        <v>0.6</v>
      </c>
    </row>
    <row r="198" spans="1:28" s="75" customFormat="1" x14ac:dyDescent="0.25">
      <c r="A198" s="70"/>
      <c r="B198" s="73" t="s">
        <v>54</v>
      </c>
      <c r="C198" s="74">
        <v>42076</v>
      </c>
      <c r="D198" s="75">
        <v>5.0999999999999996</v>
      </c>
      <c r="E198" s="76">
        <v>-0.1</v>
      </c>
      <c r="F198" s="75">
        <v>9.4</v>
      </c>
      <c r="G198" s="75">
        <v>1546.9999999999998</v>
      </c>
      <c r="H198" s="75">
        <f t="shared" si="16"/>
        <v>42.9</v>
      </c>
      <c r="I198" s="77">
        <f>AVERAGE(D193:D227)</f>
        <v>7.1742857142857153</v>
      </c>
      <c r="J198" s="75">
        <v>0</v>
      </c>
      <c r="K198" s="75">
        <v>337.30000000000007</v>
      </c>
      <c r="L198" s="75">
        <v>1.5</v>
      </c>
      <c r="M198" s="75">
        <v>192.20000000000007</v>
      </c>
      <c r="N198" s="76">
        <v>-1.5</v>
      </c>
      <c r="O198" s="75">
        <f t="shared" si="14"/>
        <v>190</v>
      </c>
      <c r="P198" s="75">
        <v>193</v>
      </c>
      <c r="Q198" s="78">
        <f t="shared" si="18"/>
        <v>1.0257142857142858</v>
      </c>
      <c r="R198" s="77">
        <f t="shared" ref="R198:R261" si="19">Q198*L198</f>
        <v>1.5385714285714287</v>
      </c>
      <c r="S198" s="77">
        <f t="shared" ref="S198:S261" si="20">J198-R198</f>
        <v>-1.5385714285714287</v>
      </c>
      <c r="T198" s="77">
        <f t="shared" si="15"/>
        <v>176.16285714285712</v>
      </c>
      <c r="U198" s="75">
        <v>0</v>
      </c>
      <c r="V198" s="75">
        <v>1200</v>
      </c>
      <c r="W198" s="75">
        <v>235.29411764705884</v>
      </c>
      <c r="X198" s="75">
        <v>98210.999999999985</v>
      </c>
      <c r="Y198" s="75">
        <f t="shared" si="17"/>
        <v>6269.3</v>
      </c>
      <c r="Z198" s="75">
        <v>14</v>
      </c>
      <c r="AA198" s="75">
        <v>11.6622026801018</v>
      </c>
    </row>
    <row r="199" spans="1:28" s="4" customFormat="1" x14ac:dyDescent="0.25">
      <c r="A199" s="70"/>
      <c r="B199" s="5"/>
      <c r="C199" s="6">
        <v>42077</v>
      </c>
      <c r="D199" s="4">
        <v>5.3</v>
      </c>
      <c r="E199" s="13">
        <v>2.7</v>
      </c>
      <c r="F199" s="4">
        <v>7.8</v>
      </c>
      <c r="G199" s="4">
        <v>1552.2999999999997</v>
      </c>
      <c r="H199" s="4">
        <f t="shared" si="16"/>
        <v>48.199999999999996</v>
      </c>
      <c r="I199" s="23" t="s">
        <v>36</v>
      </c>
      <c r="J199" s="79">
        <v>0.1</v>
      </c>
      <c r="K199" s="4">
        <v>337.40000000000009</v>
      </c>
      <c r="L199" s="4">
        <v>1.7</v>
      </c>
      <c r="M199" s="4">
        <v>193.90000000000006</v>
      </c>
      <c r="N199" s="8">
        <v>-1.5999999999999999</v>
      </c>
      <c r="O199" s="4">
        <f t="shared" si="14"/>
        <v>188.4</v>
      </c>
      <c r="P199" s="4">
        <v>194</v>
      </c>
      <c r="Q199" s="11">
        <f t="shared" si="18"/>
        <v>1.03</v>
      </c>
      <c r="R199" s="9">
        <f t="shared" si="19"/>
        <v>1.7509999999999999</v>
      </c>
      <c r="S199" s="9">
        <f t="shared" si="20"/>
        <v>-1.6509999999999998</v>
      </c>
      <c r="T199" s="81">
        <f t="shared" si="15"/>
        <v>174.51185714285711</v>
      </c>
      <c r="U199" s="23" t="s">
        <v>37</v>
      </c>
      <c r="V199" s="4">
        <v>1286.8</v>
      </c>
      <c r="W199" s="4">
        <v>242.79245283018867</v>
      </c>
      <c r="X199" s="4">
        <v>99497.799999999988</v>
      </c>
      <c r="Y199" s="4">
        <f t="shared" si="17"/>
        <v>7556.1</v>
      </c>
      <c r="AA199" s="4">
        <v>11.724213432125801</v>
      </c>
    </row>
    <row r="200" spans="1:28" s="4" customFormat="1" x14ac:dyDescent="0.25">
      <c r="A200" s="70"/>
      <c r="B200" s="5"/>
      <c r="C200" s="6">
        <v>42078</v>
      </c>
      <c r="D200" s="13">
        <v>4.5999999999999996</v>
      </c>
      <c r="E200" s="13">
        <v>3.7</v>
      </c>
      <c r="F200" s="4">
        <v>5.9</v>
      </c>
      <c r="G200" s="4">
        <v>1556.8999999999996</v>
      </c>
      <c r="H200" s="4">
        <f t="shared" si="16"/>
        <v>52.8</v>
      </c>
      <c r="I200" s="4">
        <v>5</v>
      </c>
      <c r="J200" s="79">
        <v>0.5</v>
      </c>
      <c r="K200" s="4">
        <v>337.90000000000009</v>
      </c>
      <c r="L200" s="4">
        <v>0.5</v>
      </c>
      <c r="M200" s="4">
        <v>194.40000000000006</v>
      </c>
      <c r="N200" s="4">
        <v>0</v>
      </c>
      <c r="O200" s="4">
        <f t="shared" ref="O200:O263" si="21">O199+N200</f>
        <v>188.4</v>
      </c>
      <c r="P200" s="4">
        <v>195</v>
      </c>
      <c r="Q200" s="11">
        <f t="shared" si="18"/>
        <v>1.0342857142857143</v>
      </c>
      <c r="R200" s="9">
        <f t="shared" si="19"/>
        <v>0.51714285714285713</v>
      </c>
      <c r="S200" s="9">
        <f t="shared" si="20"/>
        <v>-1.7142857142857126E-2</v>
      </c>
      <c r="T200" s="81">
        <f t="shared" ref="T200:T263" si="22">MIN(189.6,(T199+S200))</f>
        <v>174.49471428571425</v>
      </c>
      <c r="U200" s="9">
        <f>MIN(T193:T227)</f>
        <v>156.91571428571424</v>
      </c>
      <c r="V200" s="10">
        <v>358.4</v>
      </c>
      <c r="W200" s="4">
        <v>77.913043478260875</v>
      </c>
      <c r="X200" s="4">
        <v>99856.199999999983</v>
      </c>
      <c r="Y200" s="4">
        <f t="shared" si="17"/>
        <v>7914.5</v>
      </c>
      <c r="AA200" s="4">
        <v>11.7862527066358</v>
      </c>
    </row>
    <row r="201" spans="1:28" s="4" customFormat="1" x14ac:dyDescent="0.25">
      <c r="A201" s="70"/>
      <c r="B201" s="5"/>
      <c r="C201" s="6">
        <v>42079</v>
      </c>
      <c r="D201" s="4">
        <v>5.0999999999999996</v>
      </c>
      <c r="E201" s="21">
        <v>-0.3</v>
      </c>
      <c r="F201" s="4">
        <v>8.9</v>
      </c>
      <c r="G201" s="4">
        <v>1561.9999999999995</v>
      </c>
      <c r="H201" s="4">
        <f t="shared" si="16"/>
        <v>57.9</v>
      </c>
      <c r="I201" s="23" t="s">
        <v>38</v>
      </c>
      <c r="J201" s="79">
        <v>0</v>
      </c>
      <c r="K201" s="4">
        <v>337.90000000000009</v>
      </c>
      <c r="L201" s="4">
        <v>1</v>
      </c>
      <c r="M201" s="4">
        <v>195.40000000000006</v>
      </c>
      <c r="N201" s="8">
        <v>-1</v>
      </c>
      <c r="O201" s="4">
        <f t="shared" si="21"/>
        <v>187.4</v>
      </c>
      <c r="P201" s="4">
        <v>196</v>
      </c>
      <c r="Q201" s="11">
        <f t="shared" si="18"/>
        <v>1.0385714285714285</v>
      </c>
      <c r="R201" s="9">
        <f t="shared" si="19"/>
        <v>1.0385714285714285</v>
      </c>
      <c r="S201" s="9">
        <f t="shared" si="20"/>
        <v>-1.0385714285714285</v>
      </c>
      <c r="T201" s="81">
        <f t="shared" si="22"/>
        <v>173.45614285714282</v>
      </c>
      <c r="U201" s="23" t="s">
        <v>39</v>
      </c>
      <c r="V201" s="4">
        <v>1016.6</v>
      </c>
      <c r="W201" s="4">
        <v>199.33333333333334</v>
      </c>
      <c r="X201" s="4">
        <v>100872.79999999999</v>
      </c>
      <c r="Y201" s="4">
        <f t="shared" si="17"/>
        <v>8931.1</v>
      </c>
      <c r="AA201" s="4">
        <v>11.8483140744981</v>
      </c>
    </row>
    <row r="202" spans="1:28" s="4" customFormat="1" x14ac:dyDescent="0.25">
      <c r="A202" s="70"/>
      <c r="B202" s="5"/>
      <c r="C202" s="6">
        <v>42080</v>
      </c>
      <c r="D202" s="4">
        <v>8.1</v>
      </c>
      <c r="E202" s="13">
        <v>1.1000000000000001</v>
      </c>
      <c r="F202" s="4">
        <v>14.1</v>
      </c>
      <c r="G202" s="4">
        <v>1570.0999999999995</v>
      </c>
      <c r="H202" s="4">
        <f t="shared" si="16"/>
        <v>66</v>
      </c>
      <c r="I202" s="4">
        <v>0</v>
      </c>
      <c r="J202" s="79">
        <v>0</v>
      </c>
      <c r="K202" s="4">
        <v>337.90000000000009</v>
      </c>
      <c r="L202" s="4">
        <v>2.1</v>
      </c>
      <c r="M202" s="4">
        <v>197.50000000000006</v>
      </c>
      <c r="N202" s="8">
        <v>-2.1</v>
      </c>
      <c r="O202" s="4">
        <f t="shared" si="21"/>
        <v>185.3</v>
      </c>
      <c r="P202" s="4">
        <v>197</v>
      </c>
      <c r="Q202" s="11">
        <f t="shared" si="18"/>
        <v>1.0428571428571429</v>
      </c>
      <c r="R202" s="9">
        <f t="shared" si="19"/>
        <v>2.1900000000000004</v>
      </c>
      <c r="S202" s="9">
        <f t="shared" si="20"/>
        <v>-2.1900000000000004</v>
      </c>
      <c r="T202" s="81">
        <f t="shared" si="22"/>
        <v>171.26614285714282</v>
      </c>
      <c r="U202" s="9">
        <f>MAX(T193:T227)</f>
        <v>182.89185714285711</v>
      </c>
      <c r="V202" s="4">
        <v>1471.5</v>
      </c>
      <c r="W202" s="4">
        <v>181.66666666666669</v>
      </c>
      <c r="X202" s="4">
        <v>102344.29999999999</v>
      </c>
      <c r="Y202" s="4">
        <f t="shared" si="17"/>
        <v>10402.6</v>
      </c>
      <c r="AA202" s="4">
        <v>11.910391250604199</v>
      </c>
    </row>
    <row r="203" spans="1:28" s="4" customFormat="1" x14ac:dyDescent="0.25">
      <c r="A203" s="70"/>
      <c r="B203" s="5"/>
      <c r="C203" s="6">
        <v>42081</v>
      </c>
      <c r="D203" s="4">
        <v>7.5</v>
      </c>
      <c r="E203" s="13">
        <v>4.5999999999999996</v>
      </c>
      <c r="F203" s="4">
        <v>11.4</v>
      </c>
      <c r="G203" s="4">
        <v>1577.5999999999995</v>
      </c>
      <c r="H203" s="4">
        <f t="shared" si="16"/>
        <v>73.5</v>
      </c>
      <c r="I203" s="23" t="s">
        <v>40</v>
      </c>
      <c r="J203" s="79">
        <v>0</v>
      </c>
      <c r="K203" s="4">
        <v>337.90000000000009</v>
      </c>
      <c r="L203" s="4">
        <v>1.9</v>
      </c>
      <c r="M203" s="4">
        <v>199.40000000000006</v>
      </c>
      <c r="N203" s="8">
        <v>-1.9</v>
      </c>
      <c r="O203" s="4">
        <f t="shared" si="21"/>
        <v>183.4</v>
      </c>
      <c r="P203" s="4">
        <v>198</v>
      </c>
      <c r="Q203" s="11">
        <f t="shared" si="18"/>
        <v>1.0471428571428572</v>
      </c>
      <c r="R203" s="9">
        <f t="shared" si="19"/>
        <v>1.9895714285714285</v>
      </c>
      <c r="S203" s="9">
        <f t="shared" si="20"/>
        <v>-1.9895714285714285</v>
      </c>
      <c r="T203" s="81">
        <f t="shared" si="22"/>
        <v>169.2765714285714</v>
      </c>
      <c r="U203" s="23" t="s">
        <v>41</v>
      </c>
      <c r="V203" s="4">
        <v>1217</v>
      </c>
      <c r="W203" s="4">
        <v>162.26666666666668</v>
      </c>
      <c r="X203" s="4">
        <v>103561.29999999999</v>
      </c>
      <c r="Y203" s="4">
        <f t="shared" si="17"/>
        <v>11619.6</v>
      </c>
      <c r="AA203" s="4">
        <v>11.972478074581099</v>
      </c>
    </row>
    <row r="204" spans="1:28" s="4" customFormat="1" x14ac:dyDescent="0.25">
      <c r="A204" s="70"/>
      <c r="B204" s="5"/>
      <c r="C204" s="6">
        <v>42082</v>
      </c>
      <c r="D204" s="4">
        <v>6.5</v>
      </c>
      <c r="E204" s="4">
        <v>5.5</v>
      </c>
      <c r="F204" s="4">
        <v>7.5</v>
      </c>
      <c r="G204" s="4">
        <v>1584.0999999999995</v>
      </c>
      <c r="H204" s="4">
        <f t="shared" si="16"/>
        <v>80</v>
      </c>
      <c r="I204" s="4">
        <v>18</v>
      </c>
      <c r="J204" s="79">
        <v>0</v>
      </c>
      <c r="K204" s="4">
        <v>337.90000000000009</v>
      </c>
      <c r="L204" s="4">
        <v>1.1000000000000001</v>
      </c>
      <c r="M204" s="4">
        <v>200.50000000000006</v>
      </c>
      <c r="N204" s="8">
        <v>-1.1000000000000001</v>
      </c>
      <c r="O204" s="4">
        <f t="shared" si="21"/>
        <v>182.3</v>
      </c>
      <c r="P204" s="4">
        <v>199</v>
      </c>
      <c r="Q204" s="11">
        <f t="shared" si="18"/>
        <v>1.0514285714285714</v>
      </c>
      <c r="R204" s="9">
        <f t="shared" si="19"/>
        <v>1.1565714285714286</v>
      </c>
      <c r="S204" s="9">
        <f t="shared" si="20"/>
        <v>-1.1565714285714286</v>
      </c>
      <c r="T204" s="81">
        <f t="shared" si="22"/>
        <v>168.11999999999998</v>
      </c>
      <c r="U204" s="9">
        <f>AVERAGE(T193:T227)</f>
        <v>170.42452244897953</v>
      </c>
      <c r="V204" s="10">
        <v>689.3</v>
      </c>
      <c r="W204" s="4">
        <v>106.04615384615384</v>
      </c>
      <c r="X204" s="4">
        <v>104250.59999999999</v>
      </c>
      <c r="Y204" s="4">
        <f t="shared" si="17"/>
        <v>12308.9</v>
      </c>
      <c r="AA204" s="4">
        <v>12.0345684916335</v>
      </c>
    </row>
    <row r="205" spans="1:28" s="4" customFormat="1" x14ac:dyDescent="0.25">
      <c r="A205" s="70"/>
      <c r="B205" s="5"/>
      <c r="C205" s="6">
        <v>42083</v>
      </c>
      <c r="D205" s="4">
        <v>6.7</v>
      </c>
      <c r="E205" s="4">
        <v>6.2</v>
      </c>
      <c r="F205" s="4">
        <v>8.4</v>
      </c>
      <c r="G205" s="4">
        <v>1590.7999999999995</v>
      </c>
      <c r="H205" s="4">
        <f t="shared" si="16"/>
        <v>86.7</v>
      </c>
      <c r="I205" s="23" t="s">
        <v>42</v>
      </c>
      <c r="J205" s="79">
        <v>0</v>
      </c>
      <c r="K205" s="4">
        <v>337.90000000000009</v>
      </c>
      <c r="L205" s="4">
        <v>2</v>
      </c>
      <c r="M205" s="4">
        <v>202.50000000000006</v>
      </c>
      <c r="N205" s="8">
        <v>-2</v>
      </c>
      <c r="O205" s="4">
        <f t="shared" si="21"/>
        <v>180.3</v>
      </c>
      <c r="P205" s="4">
        <v>200</v>
      </c>
      <c r="Q205" s="11">
        <f t="shared" si="18"/>
        <v>1.0557142857142856</v>
      </c>
      <c r="R205" s="9">
        <f t="shared" si="19"/>
        <v>2.1114285714285712</v>
      </c>
      <c r="S205" s="9">
        <f t="shared" si="20"/>
        <v>-2.1114285714285712</v>
      </c>
      <c r="T205" s="81">
        <f t="shared" si="22"/>
        <v>166.0085714285714</v>
      </c>
      <c r="U205" s="4">
        <f>(U204*100)/189.6</f>
        <v>89.886351502626326</v>
      </c>
      <c r="V205" s="4">
        <v>1582.8</v>
      </c>
      <c r="W205" s="4">
        <v>236.23880597014923</v>
      </c>
      <c r="X205" s="4">
        <v>105833.4</v>
      </c>
      <c r="Y205" s="4">
        <f t="shared" si="17"/>
        <v>13891.699999999999</v>
      </c>
      <c r="AA205" s="4">
        <v>12.0966565335137</v>
      </c>
    </row>
    <row r="206" spans="1:28" s="4" customFormat="1" x14ac:dyDescent="0.25">
      <c r="A206" s="70"/>
      <c r="B206" s="5"/>
      <c r="C206" s="6">
        <v>42084</v>
      </c>
      <c r="D206" s="4">
        <v>5.3</v>
      </c>
      <c r="E206" s="13">
        <v>2.2000000000000002</v>
      </c>
      <c r="F206" s="4">
        <v>7.9</v>
      </c>
      <c r="G206" s="4">
        <v>1596.0999999999995</v>
      </c>
      <c r="H206" s="4">
        <f t="shared" si="16"/>
        <v>92</v>
      </c>
      <c r="I206" s="4">
        <v>251.1</v>
      </c>
      <c r="J206" s="79">
        <v>0</v>
      </c>
      <c r="K206" s="4">
        <v>337.90000000000009</v>
      </c>
      <c r="L206" s="4">
        <v>0.9</v>
      </c>
      <c r="M206" s="4">
        <v>203.40000000000006</v>
      </c>
      <c r="N206" s="8">
        <v>-0.9</v>
      </c>
      <c r="O206" s="4">
        <f t="shared" si="21"/>
        <v>179.4</v>
      </c>
      <c r="P206" s="4">
        <v>201</v>
      </c>
      <c r="Q206" s="11">
        <f t="shared" si="18"/>
        <v>1.06</v>
      </c>
      <c r="R206" s="9">
        <f t="shared" si="19"/>
        <v>0.95400000000000007</v>
      </c>
      <c r="S206" s="9">
        <f t="shared" si="20"/>
        <v>-0.95400000000000007</v>
      </c>
      <c r="T206" s="81">
        <f t="shared" si="22"/>
        <v>165.05457142857139</v>
      </c>
      <c r="V206" s="10">
        <v>612.79999999999995</v>
      </c>
      <c r="W206" s="4">
        <v>115.62264150943396</v>
      </c>
      <c r="X206" s="4">
        <v>106446.2</v>
      </c>
      <c r="Y206" s="4">
        <f t="shared" si="17"/>
        <v>14504.499999999998</v>
      </c>
      <c r="AA206" s="4">
        <v>12.1587362996137</v>
      </c>
    </row>
    <row r="207" spans="1:28" s="4" customFormat="1" x14ac:dyDescent="0.25">
      <c r="A207" s="70"/>
      <c r="B207" s="5"/>
      <c r="C207" s="6">
        <v>42085</v>
      </c>
      <c r="D207" s="4">
        <v>5.4</v>
      </c>
      <c r="E207" s="13">
        <v>4.7</v>
      </c>
      <c r="F207" s="4">
        <v>8.1</v>
      </c>
      <c r="G207" s="4">
        <v>1601.4999999999995</v>
      </c>
      <c r="H207" s="4">
        <f t="shared" si="16"/>
        <v>97.4</v>
      </c>
      <c r="J207" s="79">
        <v>0</v>
      </c>
      <c r="K207" s="4">
        <v>337.90000000000009</v>
      </c>
      <c r="L207" s="4">
        <v>1.7</v>
      </c>
      <c r="M207" s="4">
        <v>205.10000000000005</v>
      </c>
      <c r="N207" s="8">
        <v>-1.7</v>
      </c>
      <c r="O207" s="4">
        <f t="shared" si="21"/>
        <v>177.70000000000002</v>
      </c>
      <c r="P207" s="4">
        <v>202</v>
      </c>
      <c r="Q207" s="11">
        <f t="shared" si="18"/>
        <v>1.0642857142857143</v>
      </c>
      <c r="R207" s="9">
        <f t="shared" si="19"/>
        <v>1.8092857142857142</v>
      </c>
      <c r="S207" s="9">
        <f t="shared" si="20"/>
        <v>-1.8092857142857142</v>
      </c>
      <c r="T207" s="81">
        <f t="shared" si="22"/>
        <v>163.24528571428567</v>
      </c>
      <c r="V207" s="4">
        <v>951.6</v>
      </c>
      <c r="W207" s="4">
        <v>176.22222222222223</v>
      </c>
      <c r="X207" s="4">
        <v>107397.8</v>
      </c>
      <c r="Y207" s="4">
        <f t="shared" si="17"/>
        <v>15456.099999999999</v>
      </c>
      <c r="AA207" s="4">
        <v>12.220801938175301</v>
      </c>
    </row>
    <row r="208" spans="1:28" s="4" customFormat="1" x14ac:dyDescent="0.25">
      <c r="A208" s="70"/>
      <c r="B208" s="5"/>
      <c r="C208" s="6">
        <v>42086</v>
      </c>
      <c r="D208" s="13">
        <v>4</v>
      </c>
      <c r="E208" s="21">
        <v>-2.5</v>
      </c>
      <c r="F208" s="4">
        <v>10.1</v>
      </c>
      <c r="G208" s="4">
        <v>1605.4999999999995</v>
      </c>
      <c r="H208" s="4">
        <f t="shared" si="16"/>
        <v>101.4</v>
      </c>
      <c r="J208" s="79">
        <v>0</v>
      </c>
      <c r="K208" s="4">
        <v>337.90000000000009</v>
      </c>
      <c r="L208" s="4">
        <v>1.4</v>
      </c>
      <c r="M208" s="4">
        <v>206.50000000000006</v>
      </c>
      <c r="N208" s="8">
        <v>-1.4</v>
      </c>
      <c r="O208" s="4">
        <f t="shared" si="21"/>
        <v>176.3</v>
      </c>
      <c r="P208" s="4">
        <v>203</v>
      </c>
      <c r="Q208" s="11">
        <f t="shared" si="18"/>
        <v>1.0685714285714285</v>
      </c>
      <c r="R208" s="9">
        <f t="shared" si="19"/>
        <v>1.4959999999999998</v>
      </c>
      <c r="S208" s="9">
        <f t="shared" si="20"/>
        <v>-1.4959999999999998</v>
      </c>
      <c r="T208" s="81">
        <f t="shared" si="22"/>
        <v>161.74928571428566</v>
      </c>
      <c r="V208" s="4">
        <v>1125.8</v>
      </c>
      <c r="W208" s="4">
        <v>281.45</v>
      </c>
      <c r="X208" s="4">
        <v>108523.6</v>
      </c>
      <c r="Y208" s="4">
        <f t="shared" si="17"/>
        <v>16581.899999999998</v>
      </c>
      <c r="AA208" s="4">
        <v>12.282847627611901</v>
      </c>
    </row>
    <row r="209" spans="1:27" s="4" customFormat="1" x14ac:dyDescent="0.25">
      <c r="A209" s="70"/>
      <c r="B209" s="5"/>
      <c r="C209" s="6">
        <v>42087</v>
      </c>
      <c r="D209" s="13">
        <v>4.8</v>
      </c>
      <c r="E209" s="13">
        <v>0.1</v>
      </c>
      <c r="F209" s="4">
        <v>9.3000000000000007</v>
      </c>
      <c r="G209" s="4">
        <v>1610.2999999999995</v>
      </c>
      <c r="H209" s="4">
        <f t="shared" si="16"/>
        <v>106.2</v>
      </c>
      <c r="J209" s="4">
        <v>6.8</v>
      </c>
      <c r="K209" s="4">
        <v>344.7000000000001</v>
      </c>
      <c r="L209" s="4">
        <v>1</v>
      </c>
      <c r="M209" s="4">
        <v>207.50000000000006</v>
      </c>
      <c r="N209" s="4">
        <v>5.8</v>
      </c>
      <c r="O209" s="4">
        <f t="shared" si="21"/>
        <v>182.10000000000002</v>
      </c>
      <c r="P209" s="4">
        <v>204</v>
      </c>
      <c r="Q209" s="11">
        <f t="shared" si="18"/>
        <v>1.0728571428571427</v>
      </c>
      <c r="R209" s="9">
        <f t="shared" si="19"/>
        <v>1.0728571428571427</v>
      </c>
      <c r="S209" s="9">
        <f t="shared" si="20"/>
        <v>5.7271428571428569</v>
      </c>
      <c r="T209" s="9">
        <f t="shared" si="22"/>
        <v>167.47642857142853</v>
      </c>
      <c r="V209" s="10">
        <v>781.8</v>
      </c>
      <c r="W209" s="4">
        <v>162.875</v>
      </c>
      <c r="X209" s="4">
        <v>109305.40000000001</v>
      </c>
      <c r="Y209" s="4">
        <f t="shared" si="17"/>
        <v>17363.699999999997</v>
      </c>
      <c r="AA209" s="4">
        <v>12.344867557934901</v>
      </c>
    </row>
    <row r="210" spans="1:27" s="4" customFormat="1" x14ac:dyDescent="0.25">
      <c r="A210" s="70"/>
      <c r="B210" s="5"/>
      <c r="C210" s="6">
        <v>42088</v>
      </c>
      <c r="D210" s="13">
        <v>4.7</v>
      </c>
      <c r="E210" s="13">
        <v>3.6</v>
      </c>
      <c r="F210" s="4">
        <v>7.1</v>
      </c>
      <c r="G210" s="4">
        <v>1614.9999999999995</v>
      </c>
      <c r="H210" s="4">
        <f t="shared" si="16"/>
        <v>110.9</v>
      </c>
      <c r="J210" s="4">
        <v>0.5</v>
      </c>
      <c r="K210" s="4">
        <v>345.2000000000001</v>
      </c>
      <c r="L210" s="4">
        <v>1.1000000000000001</v>
      </c>
      <c r="M210" s="4">
        <v>208.60000000000005</v>
      </c>
      <c r="N210" s="8">
        <v>-0.60000000000000009</v>
      </c>
      <c r="O210" s="4">
        <f t="shared" si="21"/>
        <v>181.50000000000003</v>
      </c>
      <c r="P210" s="4">
        <v>205</v>
      </c>
      <c r="Q210" s="11">
        <f t="shared" si="18"/>
        <v>1.0771428571428572</v>
      </c>
      <c r="R210" s="9">
        <f t="shared" si="19"/>
        <v>1.1848571428571431</v>
      </c>
      <c r="S210" s="9">
        <f t="shared" si="20"/>
        <v>-0.68485714285714305</v>
      </c>
      <c r="T210" s="9">
        <f t="shared" si="22"/>
        <v>166.79157142857139</v>
      </c>
      <c r="V210" s="10">
        <v>699.2</v>
      </c>
      <c r="W210" s="4">
        <v>148.76595744680853</v>
      </c>
      <c r="X210" s="4">
        <v>110004.6</v>
      </c>
      <c r="Y210" s="4">
        <f t="shared" si="17"/>
        <v>18062.899999999998</v>
      </c>
      <c r="AA210" s="4">
        <v>12.406855912279701</v>
      </c>
    </row>
    <row r="211" spans="1:27" s="4" customFormat="1" x14ac:dyDescent="0.25">
      <c r="A211" s="70"/>
      <c r="B211" s="5"/>
      <c r="C211" s="6">
        <v>42089</v>
      </c>
      <c r="D211" s="13">
        <v>4.2</v>
      </c>
      <c r="E211" s="13">
        <v>0.1</v>
      </c>
      <c r="F211" s="4">
        <v>8.1999999999999993</v>
      </c>
      <c r="G211" s="4">
        <v>1619.1999999999996</v>
      </c>
      <c r="H211" s="4">
        <f t="shared" si="16"/>
        <v>115.10000000000001</v>
      </c>
      <c r="J211" s="4">
        <v>3</v>
      </c>
      <c r="K211" s="4">
        <v>348.2000000000001</v>
      </c>
      <c r="L211" s="4">
        <v>0.6</v>
      </c>
      <c r="M211" s="4">
        <v>209.20000000000005</v>
      </c>
      <c r="N211" s="4">
        <v>2.4</v>
      </c>
      <c r="O211" s="4">
        <f t="shared" si="21"/>
        <v>183.90000000000003</v>
      </c>
      <c r="P211" s="4">
        <v>206</v>
      </c>
      <c r="Q211" s="11">
        <f t="shared" si="18"/>
        <v>1.0814285714285714</v>
      </c>
      <c r="R211" s="9">
        <f t="shared" si="19"/>
        <v>0.6488571428571428</v>
      </c>
      <c r="S211" s="9">
        <f t="shared" si="20"/>
        <v>2.3511428571428574</v>
      </c>
      <c r="T211" s="9">
        <f t="shared" si="22"/>
        <v>169.14271428571425</v>
      </c>
      <c r="V211" s="10">
        <v>486.9</v>
      </c>
      <c r="W211" s="4">
        <v>115.92857142857142</v>
      </c>
      <c r="X211" s="4">
        <v>110491.5</v>
      </c>
      <c r="Y211" s="4">
        <f t="shared" si="17"/>
        <v>18549.8</v>
      </c>
      <c r="AA211" s="4">
        <v>12.4688068485226</v>
      </c>
    </row>
    <row r="212" spans="1:27" s="4" customFormat="1" x14ac:dyDescent="0.25">
      <c r="A212" s="70"/>
      <c r="B212" s="5"/>
      <c r="C212" s="6">
        <v>42090</v>
      </c>
      <c r="D212" s="4">
        <v>6</v>
      </c>
      <c r="E212" s="13">
        <v>1.9</v>
      </c>
      <c r="F212" s="4">
        <v>9.9</v>
      </c>
      <c r="G212" s="4">
        <v>1625.1999999999996</v>
      </c>
      <c r="H212" s="4">
        <f t="shared" si="16"/>
        <v>121.10000000000001</v>
      </c>
      <c r="J212" s="4">
        <v>0.6</v>
      </c>
      <c r="K212" s="4">
        <v>348.80000000000013</v>
      </c>
      <c r="L212" s="4">
        <v>1.4</v>
      </c>
      <c r="M212" s="4">
        <v>210.60000000000005</v>
      </c>
      <c r="N212" s="8">
        <v>-0.79999999999999993</v>
      </c>
      <c r="O212" s="4">
        <f t="shared" si="21"/>
        <v>183.10000000000002</v>
      </c>
      <c r="P212" s="4">
        <v>207</v>
      </c>
      <c r="Q212" s="11">
        <f t="shared" si="18"/>
        <v>1.0857142857142856</v>
      </c>
      <c r="R212" s="9">
        <f t="shared" si="19"/>
        <v>1.5199999999999998</v>
      </c>
      <c r="S212" s="9">
        <f t="shared" si="20"/>
        <v>-0.91999999999999982</v>
      </c>
      <c r="T212" s="9">
        <f t="shared" si="22"/>
        <v>168.22271428571426</v>
      </c>
      <c r="V212" s="4">
        <v>1002.4</v>
      </c>
      <c r="W212" s="4">
        <v>167.06666666666666</v>
      </c>
      <c r="X212" s="4">
        <v>111493.9</v>
      </c>
      <c r="Y212" s="4">
        <f t="shared" si="17"/>
        <v>19552.2</v>
      </c>
      <c r="AA212" s="4">
        <v>12.5307144809848</v>
      </c>
    </row>
    <row r="213" spans="1:27" s="4" customFormat="1" x14ac:dyDescent="0.25">
      <c r="A213" s="70"/>
      <c r="B213" s="5"/>
      <c r="C213" s="6">
        <v>42091</v>
      </c>
      <c r="D213" s="4">
        <v>10</v>
      </c>
      <c r="E213" s="13">
        <v>3.3</v>
      </c>
      <c r="F213" s="4">
        <v>13.8</v>
      </c>
      <c r="G213" s="4">
        <v>1635.1999999999996</v>
      </c>
      <c r="H213" s="4">
        <f t="shared" si="16"/>
        <v>131.10000000000002</v>
      </c>
      <c r="J213" s="4">
        <v>1.9</v>
      </c>
      <c r="K213" s="4">
        <v>350.7000000000001</v>
      </c>
      <c r="L213" s="4">
        <v>0.5</v>
      </c>
      <c r="M213" s="4">
        <v>211.10000000000005</v>
      </c>
      <c r="N213" s="4">
        <v>1.4</v>
      </c>
      <c r="O213" s="4">
        <f t="shared" si="21"/>
        <v>184.50000000000003</v>
      </c>
      <c r="P213" s="4">
        <v>208</v>
      </c>
      <c r="Q213" s="11">
        <f t="shared" si="18"/>
        <v>1.0899999999999999</v>
      </c>
      <c r="R213" s="9">
        <f t="shared" si="19"/>
        <v>0.54499999999999993</v>
      </c>
      <c r="S213" s="9">
        <f t="shared" si="20"/>
        <v>1.355</v>
      </c>
      <c r="T213" s="9">
        <f t="shared" si="22"/>
        <v>169.57771428571425</v>
      </c>
      <c r="V213" s="10">
        <v>474.8</v>
      </c>
      <c r="W213" s="4">
        <v>47.480000000000004</v>
      </c>
      <c r="X213" s="4">
        <v>111968.7</v>
      </c>
      <c r="Y213" s="4">
        <f t="shared" si="17"/>
        <v>20027</v>
      </c>
      <c r="AA213" s="4">
        <v>12.5925728622148</v>
      </c>
    </row>
    <row r="214" spans="1:27" s="4" customFormat="1" x14ac:dyDescent="0.25">
      <c r="A214" s="70"/>
      <c r="B214" s="5"/>
      <c r="C214" s="6">
        <v>42092</v>
      </c>
      <c r="D214" s="4">
        <v>10.7</v>
      </c>
      <c r="E214" s="4">
        <v>9.3000000000000007</v>
      </c>
      <c r="F214" s="4">
        <v>12.5</v>
      </c>
      <c r="G214" s="4">
        <v>1645.8999999999996</v>
      </c>
      <c r="H214" s="4">
        <f t="shared" si="16"/>
        <v>141.80000000000001</v>
      </c>
      <c r="J214" s="4">
        <v>4.0999999999999996</v>
      </c>
      <c r="K214" s="4">
        <v>354.80000000000013</v>
      </c>
      <c r="L214" s="4">
        <v>1.1000000000000001</v>
      </c>
      <c r="M214" s="4">
        <v>212.20000000000005</v>
      </c>
      <c r="N214" s="4">
        <v>2.9999999999999996</v>
      </c>
      <c r="O214" s="4">
        <f t="shared" si="21"/>
        <v>187.50000000000003</v>
      </c>
      <c r="P214" s="4">
        <v>209</v>
      </c>
      <c r="Q214" s="11">
        <f t="shared" si="18"/>
        <v>1.0942857142857143</v>
      </c>
      <c r="R214" s="9">
        <f t="shared" si="19"/>
        <v>1.2037142857142857</v>
      </c>
      <c r="S214" s="9">
        <f t="shared" si="20"/>
        <v>2.8962857142857139</v>
      </c>
      <c r="T214" s="9">
        <f t="shared" si="22"/>
        <v>172.47399999999996</v>
      </c>
      <c r="V214" s="10">
        <v>353.6</v>
      </c>
      <c r="W214" s="4">
        <v>33.046728971962622</v>
      </c>
      <c r="X214" s="4">
        <v>112322.3</v>
      </c>
      <c r="Y214" s="4">
        <f t="shared" si="17"/>
        <v>20380.599999999999</v>
      </c>
      <c r="AA214" s="4">
        <v>12.6543759648451</v>
      </c>
    </row>
    <row r="215" spans="1:27" s="4" customFormat="1" x14ac:dyDescent="0.25">
      <c r="A215" s="70"/>
      <c r="B215" s="5"/>
      <c r="C215" s="6">
        <v>42093</v>
      </c>
      <c r="D215" s="4">
        <v>9.6999999999999993</v>
      </c>
      <c r="E215" s="4">
        <v>8.3000000000000007</v>
      </c>
      <c r="F215" s="4">
        <v>11.5</v>
      </c>
      <c r="G215" s="4">
        <v>1655.5999999999997</v>
      </c>
      <c r="H215" s="4">
        <f t="shared" si="16"/>
        <v>151.5</v>
      </c>
      <c r="J215" s="4">
        <v>1.7</v>
      </c>
      <c r="K215" s="4">
        <v>356.50000000000011</v>
      </c>
      <c r="L215" s="4">
        <v>1.9</v>
      </c>
      <c r="M215" s="4">
        <v>214.10000000000005</v>
      </c>
      <c r="N215" s="8">
        <v>-0.19999999999999996</v>
      </c>
      <c r="O215" s="4">
        <f t="shared" si="21"/>
        <v>187.30000000000004</v>
      </c>
      <c r="P215" s="4">
        <v>210</v>
      </c>
      <c r="Q215" s="11">
        <f t="shared" si="18"/>
        <v>1.0985714285714285</v>
      </c>
      <c r="R215" s="9">
        <f t="shared" si="19"/>
        <v>2.0872857142857142</v>
      </c>
      <c r="S215" s="9">
        <f t="shared" si="20"/>
        <v>-0.38728571428571423</v>
      </c>
      <c r="T215" s="9">
        <f t="shared" si="22"/>
        <v>172.08671428571424</v>
      </c>
      <c r="V215" s="10">
        <v>697.3</v>
      </c>
      <c r="W215" s="4">
        <v>71.886597938144334</v>
      </c>
      <c r="X215" s="4">
        <v>113019.6</v>
      </c>
      <c r="Y215" s="4">
        <f t="shared" si="17"/>
        <v>21077.899999999998</v>
      </c>
      <c r="AA215" s="4">
        <v>12.7161176635174</v>
      </c>
    </row>
    <row r="216" spans="1:27" s="4" customFormat="1" x14ac:dyDescent="0.25">
      <c r="A216" s="70"/>
      <c r="B216" s="5"/>
      <c r="C216" s="6">
        <v>42094</v>
      </c>
      <c r="D216" s="4">
        <v>10</v>
      </c>
      <c r="E216" s="4">
        <v>9</v>
      </c>
      <c r="F216" s="4">
        <v>11.5</v>
      </c>
      <c r="G216" s="4">
        <v>1665.5999999999997</v>
      </c>
      <c r="H216" s="4">
        <f t="shared" si="16"/>
        <v>161.5</v>
      </c>
      <c r="J216" s="4">
        <v>0.1</v>
      </c>
      <c r="K216" s="4">
        <v>356.60000000000014</v>
      </c>
      <c r="L216" s="4">
        <v>2.5</v>
      </c>
      <c r="M216" s="4">
        <v>216.60000000000005</v>
      </c>
      <c r="N216" s="8">
        <v>-2.4</v>
      </c>
      <c r="O216" s="4">
        <f t="shared" si="21"/>
        <v>184.90000000000003</v>
      </c>
      <c r="P216" s="4">
        <v>211</v>
      </c>
      <c r="Q216" s="11">
        <f t="shared" si="18"/>
        <v>1.1028571428571428</v>
      </c>
      <c r="R216" s="9">
        <f t="shared" si="19"/>
        <v>2.7571428571428571</v>
      </c>
      <c r="S216" s="9">
        <f t="shared" si="20"/>
        <v>-2.657142857142857</v>
      </c>
      <c r="T216" s="9">
        <f t="shared" si="22"/>
        <v>169.42957142857139</v>
      </c>
      <c r="V216" s="4">
        <v>1389.3</v>
      </c>
      <c r="W216" s="4">
        <v>138.93</v>
      </c>
      <c r="X216" s="4">
        <v>114408.90000000001</v>
      </c>
      <c r="Y216" s="4">
        <f t="shared" si="17"/>
        <v>22467.199999999997</v>
      </c>
      <c r="AA216" s="4">
        <v>12.7777917168725</v>
      </c>
    </row>
    <row r="217" spans="1:27" s="4" customFormat="1" x14ac:dyDescent="0.25">
      <c r="A217" s="70"/>
      <c r="B217" s="5"/>
      <c r="C217" s="6">
        <v>42095</v>
      </c>
      <c r="D217" s="4">
        <v>7.3</v>
      </c>
      <c r="E217" s="13">
        <v>5</v>
      </c>
      <c r="F217" s="4">
        <v>9.6</v>
      </c>
      <c r="G217" s="4">
        <v>1672.8999999999996</v>
      </c>
      <c r="H217" s="4">
        <f t="shared" si="16"/>
        <v>168.8</v>
      </c>
      <c r="J217" s="4">
        <v>2.5</v>
      </c>
      <c r="K217" s="4">
        <v>359.10000000000014</v>
      </c>
      <c r="L217" s="4">
        <v>2.5</v>
      </c>
      <c r="M217" s="4">
        <v>219.10000000000005</v>
      </c>
      <c r="N217" s="4">
        <v>0</v>
      </c>
      <c r="O217" s="4">
        <f t="shared" si="21"/>
        <v>184.90000000000003</v>
      </c>
      <c r="P217" s="4">
        <v>212</v>
      </c>
      <c r="Q217" s="11">
        <f t="shared" si="18"/>
        <v>1.107142857142857</v>
      </c>
      <c r="R217" s="9">
        <f t="shared" si="19"/>
        <v>2.7678571428571423</v>
      </c>
      <c r="S217" s="9">
        <f t="shared" si="20"/>
        <v>-0.26785714285714235</v>
      </c>
      <c r="T217" s="9">
        <f t="shared" si="22"/>
        <v>169.16171428571425</v>
      </c>
      <c r="V217" s="4">
        <v>1361</v>
      </c>
      <c r="W217" s="4">
        <v>186.43835616438358</v>
      </c>
      <c r="X217" s="4">
        <v>115769.90000000001</v>
      </c>
      <c r="Y217" s="4">
        <f t="shared" si="17"/>
        <v>23828.199999999997</v>
      </c>
      <c r="AA217" s="4">
        <v>12.839391749601001</v>
      </c>
    </row>
    <row r="218" spans="1:27" s="4" customFormat="1" x14ac:dyDescent="0.25">
      <c r="A218" s="70"/>
      <c r="B218" s="5"/>
      <c r="C218" s="6">
        <v>42096</v>
      </c>
      <c r="D218" s="4">
        <v>7.6</v>
      </c>
      <c r="E218" s="4">
        <v>6.7</v>
      </c>
      <c r="F218" s="4">
        <v>9</v>
      </c>
      <c r="G218" s="4">
        <v>1680.4999999999995</v>
      </c>
      <c r="H218" s="4">
        <f t="shared" si="16"/>
        <v>176.4</v>
      </c>
      <c r="J218" s="4">
        <v>2.6</v>
      </c>
      <c r="K218" s="4">
        <v>361.70000000000016</v>
      </c>
      <c r="L218" s="4">
        <v>1.4</v>
      </c>
      <c r="M218" s="4">
        <v>220.50000000000006</v>
      </c>
      <c r="N218" s="4">
        <v>1.2000000000000002</v>
      </c>
      <c r="O218" s="4">
        <f t="shared" si="21"/>
        <v>186.10000000000002</v>
      </c>
      <c r="P218" s="4">
        <v>213</v>
      </c>
      <c r="Q218" s="11">
        <f t="shared" si="18"/>
        <v>1.1114285714285714</v>
      </c>
      <c r="R218" s="9">
        <f t="shared" si="19"/>
        <v>1.5559999999999998</v>
      </c>
      <c r="S218" s="9">
        <f t="shared" si="20"/>
        <v>1.0440000000000003</v>
      </c>
      <c r="T218" s="9">
        <f t="shared" si="22"/>
        <v>170.20571428571427</v>
      </c>
      <c r="V218" s="10">
        <v>893.3</v>
      </c>
      <c r="W218" s="4">
        <v>117.53947368421052</v>
      </c>
      <c r="X218" s="4">
        <v>116663.20000000001</v>
      </c>
      <c r="Y218" s="4">
        <f t="shared" si="17"/>
        <v>24721.499999999996</v>
      </c>
      <c r="AA218" s="4">
        <v>12.9009112345524</v>
      </c>
    </row>
    <row r="219" spans="1:27" s="4" customFormat="1" x14ac:dyDescent="0.25">
      <c r="A219" s="70"/>
      <c r="B219" s="5"/>
      <c r="C219" s="6">
        <v>42097</v>
      </c>
      <c r="D219" s="4">
        <v>7.4</v>
      </c>
      <c r="E219" s="13">
        <v>4.0999999999999996</v>
      </c>
      <c r="F219" s="4">
        <v>9.1</v>
      </c>
      <c r="G219" s="4">
        <v>1687.8999999999996</v>
      </c>
      <c r="H219" s="4">
        <f t="shared" si="16"/>
        <v>183.8</v>
      </c>
      <c r="J219" s="4">
        <v>5.0999999999999996</v>
      </c>
      <c r="K219" s="4">
        <v>366.80000000000018</v>
      </c>
      <c r="L219" s="4">
        <v>0.4</v>
      </c>
      <c r="M219" s="4">
        <v>220.90000000000006</v>
      </c>
      <c r="N219" s="4">
        <v>4.6999999999999993</v>
      </c>
      <c r="O219" s="4">
        <f t="shared" si="21"/>
        <v>190.8</v>
      </c>
      <c r="P219" s="4">
        <v>214</v>
      </c>
      <c r="Q219" s="11">
        <f t="shared" si="18"/>
        <v>1.1157142857142857</v>
      </c>
      <c r="R219" s="9">
        <f t="shared" si="19"/>
        <v>0.44628571428571429</v>
      </c>
      <c r="S219" s="9">
        <f t="shared" si="20"/>
        <v>4.653714285714285</v>
      </c>
      <c r="T219" s="9">
        <f t="shared" si="22"/>
        <v>174.85942857142854</v>
      </c>
      <c r="V219" s="10">
        <v>349.1</v>
      </c>
      <c r="W219" s="4">
        <v>47.175675675675677</v>
      </c>
      <c r="X219" s="4">
        <v>117012.30000000002</v>
      </c>
      <c r="Y219" s="4">
        <f t="shared" si="17"/>
        <v>25070.599999999995</v>
      </c>
      <c r="AA219" s="4">
        <v>12.9623434749028</v>
      </c>
    </row>
    <row r="220" spans="1:27" s="4" customFormat="1" x14ac:dyDescent="0.25">
      <c r="A220" s="70"/>
      <c r="B220" s="5"/>
      <c r="C220" s="6">
        <v>42098</v>
      </c>
      <c r="D220" s="4">
        <v>6.6</v>
      </c>
      <c r="E220" s="4">
        <v>6.7</v>
      </c>
      <c r="F220" s="4">
        <v>7.6</v>
      </c>
      <c r="G220" s="4">
        <v>1694.4999999999995</v>
      </c>
      <c r="H220" s="4">
        <f t="shared" si="16"/>
        <v>190.4</v>
      </c>
      <c r="J220" s="4">
        <v>0.9</v>
      </c>
      <c r="K220" s="4">
        <v>367.70000000000016</v>
      </c>
      <c r="L220" s="4">
        <v>0.8</v>
      </c>
      <c r="M220" s="4">
        <v>221.70000000000007</v>
      </c>
      <c r="N220" s="4">
        <v>9.9999999999999978E-2</v>
      </c>
      <c r="O220" s="4">
        <f t="shared" si="21"/>
        <v>190.9</v>
      </c>
      <c r="P220" s="4">
        <v>215</v>
      </c>
      <c r="Q220" s="11">
        <f t="shared" si="18"/>
        <v>1.1199999999999999</v>
      </c>
      <c r="R220" s="9">
        <f t="shared" si="19"/>
        <v>0.89599999999999991</v>
      </c>
      <c r="S220" s="9">
        <f t="shared" si="20"/>
        <v>4.0000000000001146E-3</v>
      </c>
      <c r="T220" s="9">
        <f t="shared" si="22"/>
        <v>174.86342857142853</v>
      </c>
      <c r="V220" s="10">
        <v>642.70000000000005</v>
      </c>
      <c r="W220" s="4">
        <v>97.37878787878789</v>
      </c>
      <c r="X220" s="4">
        <v>117655.00000000001</v>
      </c>
      <c r="Y220" s="4">
        <f t="shared" si="17"/>
        <v>25713.299999999996</v>
      </c>
      <c r="AA220" s="4">
        <v>13.0236815863797</v>
      </c>
    </row>
    <row r="221" spans="1:27" s="4" customFormat="1" x14ac:dyDescent="0.25">
      <c r="A221" s="70"/>
      <c r="B221" s="5"/>
      <c r="C221" s="6">
        <v>42099</v>
      </c>
      <c r="D221" s="13">
        <v>5</v>
      </c>
      <c r="E221" s="13">
        <v>1.1000000000000001</v>
      </c>
      <c r="F221" s="4">
        <v>8.6999999999999993</v>
      </c>
      <c r="G221" s="4">
        <v>1699.4999999999995</v>
      </c>
      <c r="H221" s="4">
        <f t="shared" si="16"/>
        <v>195.4</v>
      </c>
      <c r="J221" s="4">
        <v>0</v>
      </c>
      <c r="K221" s="4">
        <v>367.70000000000016</v>
      </c>
      <c r="L221" s="4">
        <v>1.6</v>
      </c>
      <c r="M221" s="4">
        <v>223.30000000000007</v>
      </c>
      <c r="N221" s="8">
        <v>-1.6</v>
      </c>
      <c r="O221" s="4">
        <f t="shared" si="21"/>
        <v>189.3</v>
      </c>
      <c r="P221" s="4">
        <v>216</v>
      </c>
      <c r="Q221" s="11">
        <f t="shared" si="18"/>
        <v>1.1242857142857141</v>
      </c>
      <c r="R221" s="9">
        <f t="shared" si="19"/>
        <v>1.7988571428571427</v>
      </c>
      <c r="S221" s="9">
        <f t="shared" si="20"/>
        <v>-1.7988571428571427</v>
      </c>
      <c r="T221" s="9">
        <f t="shared" si="22"/>
        <v>173.06457142857138</v>
      </c>
      <c r="V221" s="4">
        <v>1190.7</v>
      </c>
      <c r="W221" s="4">
        <v>238.14000000000001</v>
      </c>
      <c r="X221" s="4">
        <v>118845.70000000001</v>
      </c>
      <c r="Y221" s="4">
        <f t="shared" si="17"/>
        <v>26903.999999999996</v>
      </c>
      <c r="AA221" s="4">
        <v>13.0849184795475</v>
      </c>
    </row>
    <row r="222" spans="1:27" s="4" customFormat="1" x14ac:dyDescent="0.25">
      <c r="A222" s="70"/>
      <c r="B222" s="5"/>
      <c r="C222" s="6">
        <v>42100</v>
      </c>
      <c r="D222" s="4">
        <v>5.9</v>
      </c>
      <c r="E222" s="21">
        <v>-0.4</v>
      </c>
      <c r="F222" s="4">
        <v>11.2</v>
      </c>
      <c r="G222" s="4">
        <v>1705.3999999999996</v>
      </c>
      <c r="H222" s="4">
        <f t="shared" si="16"/>
        <v>201.3</v>
      </c>
      <c r="J222" s="4">
        <v>0.1</v>
      </c>
      <c r="K222" s="4">
        <v>367.80000000000018</v>
      </c>
      <c r="L222" s="4">
        <v>2.1</v>
      </c>
      <c r="M222" s="4">
        <v>225.40000000000006</v>
      </c>
      <c r="N222" s="8">
        <v>-2</v>
      </c>
      <c r="O222" s="4">
        <f t="shared" si="21"/>
        <v>187.3</v>
      </c>
      <c r="P222" s="4">
        <v>217</v>
      </c>
      <c r="Q222" s="11">
        <f t="shared" si="18"/>
        <v>1.1285714285714286</v>
      </c>
      <c r="R222" s="9">
        <f t="shared" si="19"/>
        <v>2.37</v>
      </c>
      <c r="S222" s="9">
        <f t="shared" si="20"/>
        <v>-2.27</v>
      </c>
      <c r="T222" s="9">
        <f t="shared" si="22"/>
        <v>170.79457142857137</v>
      </c>
      <c r="V222" s="4">
        <v>1867.1</v>
      </c>
      <c r="W222" s="4">
        <v>316.45762711864404</v>
      </c>
      <c r="X222" s="4">
        <v>120712.80000000002</v>
      </c>
      <c r="Y222" s="4">
        <f t="shared" si="17"/>
        <v>28771.099999999995</v>
      </c>
      <c r="AA222" s="4">
        <v>13.146046842156499</v>
      </c>
    </row>
    <row r="223" spans="1:27" s="4" customFormat="1" x14ac:dyDescent="0.25">
      <c r="A223" s="70"/>
      <c r="B223" s="5"/>
      <c r="C223" s="6">
        <v>42101</v>
      </c>
      <c r="D223" s="4">
        <v>7.3</v>
      </c>
      <c r="E223" s="13">
        <v>0.7</v>
      </c>
      <c r="F223" s="4">
        <v>12.8</v>
      </c>
      <c r="G223" s="4">
        <v>1712.6999999999996</v>
      </c>
      <c r="H223" s="4">
        <f t="shared" si="16"/>
        <v>208.60000000000002</v>
      </c>
      <c r="J223" s="4">
        <v>0</v>
      </c>
      <c r="K223" s="4">
        <v>367.80000000000018</v>
      </c>
      <c r="L223" s="4">
        <v>2.6</v>
      </c>
      <c r="M223" s="4">
        <v>228.00000000000006</v>
      </c>
      <c r="N223" s="8">
        <v>-2.6</v>
      </c>
      <c r="O223" s="4">
        <f t="shared" si="21"/>
        <v>184.70000000000002</v>
      </c>
      <c r="P223" s="4">
        <v>218</v>
      </c>
      <c r="Q223" s="11">
        <f t="shared" si="18"/>
        <v>1.1328571428571428</v>
      </c>
      <c r="R223" s="9">
        <f t="shared" si="19"/>
        <v>2.9454285714285713</v>
      </c>
      <c r="S223" s="9">
        <f t="shared" si="20"/>
        <v>-2.9454285714285713</v>
      </c>
      <c r="T223" s="9">
        <f t="shared" si="22"/>
        <v>167.84914285714279</v>
      </c>
      <c r="V223" s="4">
        <v>1958</v>
      </c>
      <c r="W223" s="4">
        <v>268.21917808219177</v>
      </c>
      <c r="X223" s="4">
        <v>122670.80000000002</v>
      </c>
      <c r="Y223" s="4">
        <f t="shared" si="17"/>
        <v>30729.099999999995</v>
      </c>
      <c r="AA223" s="4">
        <v>13.2070591215617</v>
      </c>
    </row>
    <row r="224" spans="1:27" s="25" customFormat="1" x14ac:dyDescent="0.25">
      <c r="A224" s="70"/>
      <c r="B224" s="24"/>
      <c r="C224" s="6">
        <v>42102</v>
      </c>
      <c r="D224" s="25">
        <v>8.5</v>
      </c>
      <c r="E224" s="25">
        <v>1.8</v>
      </c>
      <c r="F224" s="25">
        <v>14</v>
      </c>
      <c r="G224" s="25">
        <v>1721.1999999999996</v>
      </c>
      <c r="H224" s="25">
        <f t="shared" si="16"/>
        <v>217.10000000000002</v>
      </c>
      <c r="J224" s="25">
        <v>0</v>
      </c>
      <c r="K224" s="25">
        <v>367.80000000000018</v>
      </c>
      <c r="L224" s="25">
        <v>2.5</v>
      </c>
      <c r="M224" s="25">
        <v>230.50000000000006</v>
      </c>
      <c r="N224" s="25">
        <v>-2.5</v>
      </c>
      <c r="O224" s="25">
        <f t="shared" si="21"/>
        <v>182.20000000000002</v>
      </c>
      <c r="P224" s="25">
        <v>219</v>
      </c>
      <c r="Q224" s="11">
        <f t="shared" si="18"/>
        <v>1.137142857142857</v>
      </c>
      <c r="R224" s="26">
        <f t="shared" si="19"/>
        <v>2.8428571428571425</v>
      </c>
      <c r="S224" s="26">
        <f t="shared" si="20"/>
        <v>-2.8428571428571425</v>
      </c>
      <c r="T224" s="9">
        <f t="shared" si="22"/>
        <v>165.00628571428564</v>
      </c>
      <c r="V224" s="25">
        <v>1788.1</v>
      </c>
      <c r="W224" s="25">
        <v>210.36470588235292</v>
      </c>
      <c r="X224" s="25">
        <v>124458.90000000002</v>
      </c>
      <c r="Y224" s="4">
        <f t="shared" si="17"/>
        <v>32517.199999999993</v>
      </c>
      <c r="AA224" s="4">
        <v>13.2679475072184</v>
      </c>
    </row>
    <row r="225" spans="1:27" s="4" customFormat="1" ht="15" customHeight="1" x14ac:dyDescent="0.25">
      <c r="A225" s="70"/>
      <c r="B225" s="5"/>
      <c r="C225" s="6">
        <v>42103</v>
      </c>
      <c r="D225" s="4">
        <v>10.5</v>
      </c>
      <c r="E225" s="4">
        <v>1.6</v>
      </c>
      <c r="F225" s="4">
        <v>17.600000000000001</v>
      </c>
      <c r="G225" s="4">
        <v>1731.6999999999996</v>
      </c>
      <c r="H225" s="4">
        <f t="shared" ref="H225:H288" si="23">H224+D225</f>
        <v>227.60000000000002</v>
      </c>
      <c r="J225" s="4">
        <v>0</v>
      </c>
      <c r="K225" s="4">
        <v>367.80000000000018</v>
      </c>
      <c r="L225" s="4">
        <v>3</v>
      </c>
      <c r="M225" s="4">
        <v>233.50000000000006</v>
      </c>
      <c r="N225" s="4">
        <v>-3</v>
      </c>
      <c r="O225" s="4">
        <f t="shared" si="21"/>
        <v>179.20000000000002</v>
      </c>
      <c r="P225" s="4">
        <v>220</v>
      </c>
      <c r="Q225" s="11">
        <f t="shared" si="18"/>
        <v>1.1414285714285715</v>
      </c>
      <c r="R225" s="9">
        <f t="shared" si="19"/>
        <v>3.4242857142857144</v>
      </c>
      <c r="S225" s="9">
        <f t="shared" si="20"/>
        <v>-3.4242857142857144</v>
      </c>
      <c r="T225" s="9">
        <f t="shared" si="22"/>
        <v>161.58199999999994</v>
      </c>
      <c r="V225" s="4">
        <v>2001.4</v>
      </c>
      <c r="W225" s="4">
        <v>190.60952380952381</v>
      </c>
      <c r="X225" s="4">
        <v>126460.30000000002</v>
      </c>
      <c r="Y225" s="4">
        <f t="shared" ref="Y225:Y288" si="24">Y224+V225</f>
        <v>34518.599999999991</v>
      </c>
      <c r="AA225" s="4">
        <v>13.328703913265899</v>
      </c>
    </row>
    <row r="226" spans="1:27" s="4" customFormat="1" x14ac:dyDescent="0.25">
      <c r="A226" s="70"/>
      <c r="B226" s="5"/>
      <c r="C226" s="6">
        <v>42104</v>
      </c>
      <c r="D226" s="4">
        <v>12.8</v>
      </c>
      <c r="E226" s="13">
        <v>4</v>
      </c>
      <c r="F226" s="4">
        <v>20.6</v>
      </c>
      <c r="G226" s="4">
        <v>1744.4999999999995</v>
      </c>
      <c r="H226" s="4">
        <f t="shared" si="23"/>
        <v>240.40000000000003</v>
      </c>
      <c r="J226" s="4">
        <v>0.2</v>
      </c>
      <c r="K226" s="4">
        <v>368.00000000000017</v>
      </c>
      <c r="L226" s="4">
        <v>3.2</v>
      </c>
      <c r="M226" s="4">
        <v>236.70000000000005</v>
      </c>
      <c r="N226" s="8">
        <v>-3</v>
      </c>
      <c r="O226" s="4">
        <f t="shared" si="21"/>
        <v>176.20000000000002</v>
      </c>
      <c r="P226" s="4">
        <v>221</v>
      </c>
      <c r="Q226" s="11">
        <f t="shared" si="18"/>
        <v>1.1457142857142857</v>
      </c>
      <c r="R226" s="9">
        <f t="shared" si="19"/>
        <v>3.6662857142857144</v>
      </c>
      <c r="S226" s="9">
        <f t="shared" si="20"/>
        <v>-3.4662857142857142</v>
      </c>
      <c r="T226" s="9">
        <f t="shared" si="22"/>
        <v>158.11571428571423</v>
      </c>
      <c r="U226" s="27"/>
      <c r="V226" s="4">
        <v>1788.1</v>
      </c>
      <c r="W226" s="4">
        <v>139.69531249999997</v>
      </c>
      <c r="X226" s="4">
        <v>128248.40000000002</v>
      </c>
      <c r="Y226" s="4">
        <f t="shared" si="24"/>
        <v>36306.69999999999</v>
      </c>
      <c r="AA226" s="4">
        <v>13.389319961210401</v>
      </c>
    </row>
    <row r="227" spans="1:27" s="52" customFormat="1" ht="15.75" thickBot="1" x14ac:dyDescent="0.3">
      <c r="A227" s="70"/>
      <c r="B227" s="57"/>
      <c r="C227" s="58">
        <v>42105</v>
      </c>
      <c r="D227" s="52">
        <v>10.7</v>
      </c>
      <c r="E227" s="52">
        <v>11.2</v>
      </c>
      <c r="F227" s="52">
        <v>13.4</v>
      </c>
      <c r="G227" s="52">
        <v>1755.1999999999996</v>
      </c>
      <c r="H227" s="52">
        <f t="shared" si="23"/>
        <v>251.10000000000002</v>
      </c>
      <c r="J227" s="52">
        <v>1.1000000000000001</v>
      </c>
      <c r="K227" s="52">
        <v>369.10000000000019</v>
      </c>
      <c r="L227" s="52">
        <v>2</v>
      </c>
      <c r="M227" s="52">
        <v>238.70000000000005</v>
      </c>
      <c r="N227" s="59">
        <v>-0.89999999999999991</v>
      </c>
      <c r="O227" s="52">
        <f t="shared" si="21"/>
        <v>175.3</v>
      </c>
      <c r="P227" s="52">
        <v>222</v>
      </c>
      <c r="Q227" s="11">
        <f t="shared" si="18"/>
        <v>1.1499999999999999</v>
      </c>
      <c r="R227" s="54">
        <f t="shared" si="19"/>
        <v>2.2999999999999998</v>
      </c>
      <c r="S227" s="54">
        <f t="shared" si="20"/>
        <v>-1.1999999999999997</v>
      </c>
      <c r="T227" s="54">
        <f t="shared" si="22"/>
        <v>156.91571428571424</v>
      </c>
      <c r="V227" s="52">
        <v>906</v>
      </c>
      <c r="W227" s="52">
        <v>84.672897196261687</v>
      </c>
      <c r="X227" s="52">
        <v>129154.40000000002</v>
      </c>
      <c r="Y227" s="52">
        <f t="shared" si="24"/>
        <v>37212.69999999999</v>
      </c>
      <c r="AA227" s="52">
        <v>13.449786962723399</v>
      </c>
    </row>
    <row r="228" spans="1:27" s="4" customFormat="1" x14ac:dyDescent="0.25">
      <c r="A228" s="44" t="s">
        <v>46</v>
      </c>
      <c r="B228" s="43"/>
      <c r="C228" s="6">
        <v>42106</v>
      </c>
      <c r="D228" s="4">
        <v>9.6</v>
      </c>
      <c r="E228" s="13">
        <v>2.1</v>
      </c>
      <c r="F228" s="4">
        <v>16.100000000000001</v>
      </c>
      <c r="G228" s="4">
        <v>1764.7999999999995</v>
      </c>
      <c r="H228" s="4">
        <f>D228</f>
        <v>9.6</v>
      </c>
      <c r="J228" s="4">
        <v>0</v>
      </c>
      <c r="K228" s="4">
        <v>369.10000000000019</v>
      </c>
      <c r="L228" s="4">
        <v>1.9</v>
      </c>
      <c r="M228" s="4">
        <v>240.60000000000005</v>
      </c>
      <c r="N228" s="8">
        <v>-1.9</v>
      </c>
      <c r="O228" s="4">
        <f t="shared" si="21"/>
        <v>173.4</v>
      </c>
      <c r="P228" s="4">
        <v>223</v>
      </c>
      <c r="Q228" s="11">
        <v>1.1499999999999999</v>
      </c>
      <c r="R228" s="9">
        <f t="shared" si="19"/>
        <v>2.1849999999999996</v>
      </c>
      <c r="S228" s="9">
        <f t="shared" si="20"/>
        <v>-2.1849999999999996</v>
      </c>
      <c r="T228" s="9">
        <f t="shared" si="22"/>
        <v>154.73071428571424</v>
      </c>
      <c r="V228" s="4">
        <v>1206.2</v>
      </c>
      <c r="W228" s="4">
        <v>125.64583333333334</v>
      </c>
      <c r="X228" s="4">
        <v>130360.60000000002</v>
      </c>
      <c r="Y228" s="4">
        <f>V228</f>
        <v>1206.2</v>
      </c>
      <c r="AA228" s="4">
        <v>13.5100959025732</v>
      </c>
    </row>
    <row r="229" spans="1:27" s="4" customFormat="1" x14ac:dyDescent="0.25">
      <c r="A229" s="32"/>
      <c r="B229" s="33"/>
      <c r="C229" s="6">
        <v>42107</v>
      </c>
      <c r="D229" s="4">
        <v>11.2</v>
      </c>
      <c r="E229" s="4">
        <v>5.6</v>
      </c>
      <c r="F229" s="4">
        <v>15.8</v>
      </c>
      <c r="G229" s="4">
        <v>1775.9999999999995</v>
      </c>
      <c r="H229" s="4">
        <f>H228+D229</f>
        <v>20.799999999999997</v>
      </c>
      <c r="I229" s="34" t="s">
        <v>27</v>
      </c>
      <c r="J229" s="4">
        <v>0</v>
      </c>
      <c r="K229" s="4">
        <v>369.10000000000019</v>
      </c>
      <c r="L229" s="4">
        <v>1.9</v>
      </c>
      <c r="M229" s="4">
        <v>242.50000000000006</v>
      </c>
      <c r="N229" s="8">
        <v>-1.9</v>
      </c>
      <c r="O229" s="4">
        <f t="shared" si="21"/>
        <v>171.5</v>
      </c>
      <c r="P229" s="4">
        <v>224</v>
      </c>
      <c r="Q229" s="4">
        <v>1.1499999999999999</v>
      </c>
      <c r="R229" s="9">
        <f t="shared" si="19"/>
        <v>2.1849999999999996</v>
      </c>
      <c r="S229" s="9">
        <f t="shared" si="20"/>
        <v>-2.1849999999999996</v>
      </c>
      <c r="T229" s="9">
        <f t="shared" si="22"/>
        <v>152.54571428571424</v>
      </c>
      <c r="U229" s="34" t="s">
        <v>28</v>
      </c>
      <c r="V229" s="4">
        <v>1380.2</v>
      </c>
      <c r="W229" s="4">
        <v>123.23214285714288</v>
      </c>
      <c r="X229" s="4">
        <v>131740.80000000002</v>
      </c>
      <c r="Y229" s="4">
        <f>Y228+V229</f>
        <v>2586.4</v>
      </c>
      <c r="Z229" s="34" t="s">
        <v>29</v>
      </c>
      <c r="AA229" s="4">
        <v>13.5702374217108</v>
      </c>
    </row>
    <row r="230" spans="1:27" s="4" customFormat="1" x14ac:dyDescent="0.25">
      <c r="A230" s="32" t="s">
        <v>47</v>
      </c>
      <c r="B230" s="33"/>
      <c r="C230" s="6">
        <v>42108</v>
      </c>
      <c r="D230" s="4">
        <v>14.7</v>
      </c>
      <c r="E230" s="4">
        <v>7.6</v>
      </c>
      <c r="F230" s="4">
        <v>22</v>
      </c>
      <c r="G230" s="4">
        <v>1790.6999999999996</v>
      </c>
      <c r="H230" s="4">
        <f t="shared" si="23"/>
        <v>35.5</v>
      </c>
      <c r="I230" s="4">
        <f>MIN(E228:E248)</f>
        <v>2.1</v>
      </c>
      <c r="J230" s="4">
        <v>0</v>
      </c>
      <c r="K230" s="4">
        <v>369.10000000000019</v>
      </c>
      <c r="L230" s="4">
        <v>4.2</v>
      </c>
      <c r="M230" s="4">
        <v>246.70000000000005</v>
      </c>
      <c r="N230" s="8">
        <v>-4.2</v>
      </c>
      <c r="O230" s="4">
        <f t="shared" si="21"/>
        <v>167.3</v>
      </c>
      <c r="P230" s="4">
        <v>225</v>
      </c>
      <c r="Q230" s="4">
        <v>1.1499999999999999</v>
      </c>
      <c r="R230" s="9">
        <f t="shared" si="19"/>
        <v>4.83</v>
      </c>
      <c r="S230" s="9">
        <f t="shared" si="20"/>
        <v>-4.83</v>
      </c>
      <c r="T230" s="9">
        <f t="shared" si="22"/>
        <v>147.71571428571423</v>
      </c>
      <c r="U230" s="4">
        <v>17</v>
      </c>
      <c r="V230" s="4">
        <v>2241.5</v>
      </c>
      <c r="W230" s="4">
        <v>152.48299319727892</v>
      </c>
      <c r="X230" s="4">
        <v>133982.30000000002</v>
      </c>
      <c r="Y230" s="4">
        <f t="shared" si="24"/>
        <v>4827.8999999999996</v>
      </c>
      <c r="Z230" s="4">
        <v>33754.199999999997</v>
      </c>
      <c r="AA230" s="4">
        <v>13.630201800534</v>
      </c>
    </row>
    <row r="231" spans="1:27" s="4" customFormat="1" x14ac:dyDescent="0.25">
      <c r="A231" s="32"/>
      <c r="B231" s="33"/>
      <c r="C231" s="6">
        <v>42109</v>
      </c>
      <c r="D231" s="4">
        <v>15.8</v>
      </c>
      <c r="E231" s="4">
        <v>8.3000000000000007</v>
      </c>
      <c r="F231" s="4">
        <v>24.4</v>
      </c>
      <c r="G231" s="4">
        <v>1806.4999999999995</v>
      </c>
      <c r="H231" s="4">
        <f t="shared" si="23"/>
        <v>51.3</v>
      </c>
      <c r="I231" s="34" t="s">
        <v>30</v>
      </c>
      <c r="J231" s="4">
        <v>0</v>
      </c>
      <c r="K231" s="4">
        <v>369.10000000000019</v>
      </c>
      <c r="L231" s="4">
        <v>4.0999999999999996</v>
      </c>
      <c r="M231" s="4">
        <v>250.80000000000004</v>
      </c>
      <c r="N231" s="8">
        <v>-4.0999999999999996</v>
      </c>
      <c r="O231" s="4">
        <f t="shared" si="21"/>
        <v>163.20000000000002</v>
      </c>
      <c r="P231" s="4">
        <v>226</v>
      </c>
      <c r="Q231" s="4">
        <v>1.1499999999999999</v>
      </c>
      <c r="R231" s="9">
        <f t="shared" si="19"/>
        <v>4.714999999999999</v>
      </c>
      <c r="S231" s="9">
        <f t="shared" si="20"/>
        <v>-4.714999999999999</v>
      </c>
      <c r="T231" s="9">
        <f t="shared" si="22"/>
        <v>143.00071428571422</v>
      </c>
      <c r="U231" s="34" t="s">
        <v>31</v>
      </c>
      <c r="V231" s="4">
        <v>2019.9</v>
      </c>
      <c r="W231" s="4">
        <v>127.84177215189874</v>
      </c>
      <c r="X231" s="4">
        <v>136002.20000000001</v>
      </c>
      <c r="Y231" s="4">
        <f t="shared" si="24"/>
        <v>6847.7999999999993</v>
      </c>
      <c r="Z231" s="34" t="s">
        <v>32</v>
      </c>
      <c r="AA231" s="4">
        <v>13.689978942358101</v>
      </c>
    </row>
    <row r="232" spans="1:27" s="4" customFormat="1" x14ac:dyDescent="0.25">
      <c r="A232" s="32"/>
      <c r="B232" s="33"/>
      <c r="C232" s="6">
        <v>42110</v>
      </c>
      <c r="D232" s="4">
        <v>14.3</v>
      </c>
      <c r="E232" s="4">
        <v>8</v>
      </c>
      <c r="F232" s="4">
        <v>19.7</v>
      </c>
      <c r="G232" s="4">
        <v>1820.7999999999995</v>
      </c>
      <c r="H232" s="4">
        <f t="shared" si="23"/>
        <v>65.599999999999994</v>
      </c>
      <c r="I232" s="4">
        <f>MAX(F228:F248)</f>
        <v>24.4</v>
      </c>
      <c r="J232" s="4">
        <v>0</v>
      </c>
      <c r="K232" s="4">
        <v>369.10000000000019</v>
      </c>
      <c r="L232" s="4">
        <v>2.1</v>
      </c>
      <c r="M232" s="4">
        <v>252.90000000000003</v>
      </c>
      <c r="N232" s="8">
        <v>-2.1</v>
      </c>
      <c r="O232" s="4">
        <f t="shared" si="21"/>
        <v>161.10000000000002</v>
      </c>
      <c r="P232" s="4">
        <v>227</v>
      </c>
      <c r="Q232" s="4">
        <v>1.1499999999999999</v>
      </c>
      <c r="R232" s="9">
        <f t="shared" si="19"/>
        <v>2.415</v>
      </c>
      <c r="S232" s="9">
        <f t="shared" si="20"/>
        <v>-2.415</v>
      </c>
      <c r="T232" s="9">
        <f t="shared" si="22"/>
        <v>140.58571428571423</v>
      </c>
      <c r="U232" s="4">
        <v>0</v>
      </c>
      <c r="V232" s="4">
        <v>1330.4</v>
      </c>
      <c r="W232" s="4">
        <v>93.03496503496504</v>
      </c>
      <c r="X232" s="4">
        <v>137332.6</v>
      </c>
      <c r="Y232" s="4">
        <f t="shared" si="24"/>
        <v>8178.1999999999989</v>
      </c>
      <c r="Z232" s="11">
        <f>(Z230/100)/I242</f>
        <v>1.4357379838366651</v>
      </c>
      <c r="AA232" s="4">
        <v>13.7495583571237</v>
      </c>
    </row>
    <row r="233" spans="1:27" s="4" customFormat="1" x14ac:dyDescent="0.25">
      <c r="A233" s="32"/>
      <c r="B233" s="33"/>
      <c r="C233" s="6">
        <v>42111</v>
      </c>
      <c r="D233" s="4">
        <v>11.3</v>
      </c>
      <c r="E233" s="4">
        <v>9.1</v>
      </c>
      <c r="F233" s="4">
        <v>13.5</v>
      </c>
      <c r="G233" s="4">
        <v>1832.0999999999995</v>
      </c>
      <c r="H233" s="4">
        <f t="shared" si="23"/>
        <v>76.899999999999991</v>
      </c>
      <c r="I233" s="34" t="s">
        <v>33</v>
      </c>
      <c r="J233" s="4">
        <v>0</v>
      </c>
      <c r="K233" s="4">
        <v>369.10000000000019</v>
      </c>
      <c r="L233" s="4">
        <v>2.2999999999999998</v>
      </c>
      <c r="M233" s="4">
        <v>255.20000000000005</v>
      </c>
      <c r="N233" s="8">
        <v>-2.2999999999999998</v>
      </c>
      <c r="O233" s="4">
        <f t="shared" si="21"/>
        <v>158.80000000000001</v>
      </c>
      <c r="P233" s="4">
        <v>228</v>
      </c>
      <c r="Q233" s="4">
        <v>1.1499999999999999</v>
      </c>
      <c r="R233" s="9">
        <f t="shared" si="19"/>
        <v>2.6449999999999996</v>
      </c>
      <c r="S233" s="9">
        <f t="shared" si="20"/>
        <v>-2.6449999999999996</v>
      </c>
      <c r="T233" s="9">
        <f t="shared" si="22"/>
        <v>137.94071428571422</v>
      </c>
      <c r="U233" s="34" t="s">
        <v>34</v>
      </c>
      <c r="V233" s="10">
        <v>889</v>
      </c>
      <c r="W233" s="4">
        <v>78.672566371681413</v>
      </c>
      <c r="X233" s="4">
        <v>138221.6</v>
      </c>
      <c r="Y233" s="4">
        <f t="shared" si="24"/>
        <v>9067.1999999999989</v>
      </c>
      <c r="Z233" s="34" t="s">
        <v>35</v>
      </c>
      <c r="AA233" s="4">
        <v>13.808929145378301</v>
      </c>
    </row>
    <row r="234" spans="1:27" s="4" customFormat="1" x14ac:dyDescent="0.25">
      <c r="A234" s="32"/>
      <c r="B234" s="33"/>
      <c r="C234" s="6">
        <v>42112</v>
      </c>
      <c r="D234" s="4">
        <v>10</v>
      </c>
      <c r="E234" s="4">
        <v>5.7</v>
      </c>
      <c r="F234" s="4">
        <v>14.5</v>
      </c>
      <c r="G234" s="4">
        <v>1842.0999999999995</v>
      </c>
      <c r="H234" s="4">
        <f t="shared" si="23"/>
        <v>86.899999999999991</v>
      </c>
      <c r="I234" s="9">
        <f>AVERAGE(D228:D248)</f>
        <v>11.195238095238096</v>
      </c>
      <c r="J234" s="4">
        <v>0</v>
      </c>
      <c r="K234" s="4">
        <v>369.10000000000019</v>
      </c>
      <c r="L234" s="4">
        <v>3.9</v>
      </c>
      <c r="M234" s="4">
        <v>259.10000000000002</v>
      </c>
      <c r="N234" s="8">
        <v>-3.9</v>
      </c>
      <c r="O234" s="4">
        <f t="shared" si="21"/>
        <v>154.9</v>
      </c>
      <c r="P234" s="4">
        <v>229</v>
      </c>
      <c r="Q234" s="4">
        <v>1.1499999999999999</v>
      </c>
      <c r="R234" s="9">
        <f t="shared" si="19"/>
        <v>4.4849999999999994</v>
      </c>
      <c r="S234" s="9">
        <f t="shared" si="20"/>
        <v>-4.4849999999999994</v>
      </c>
      <c r="T234" s="9">
        <f t="shared" si="22"/>
        <v>133.45571428571424</v>
      </c>
      <c r="U234" s="4">
        <v>0</v>
      </c>
      <c r="V234" s="4">
        <v>2363.1</v>
      </c>
      <c r="W234" s="4">
        <v>236.31</v>
      </c>
      <c r="X234" s="4">
        <v>140584.70000000001</v>
      </c>
      <c r="Y234" s="4">
        <f t="shared" si="24"/>
        <v>11430.3</v>
      </c>
      <c r="Z234" s="4">
        <v>5</v>
      </c>
      <c r="AA234" s="4">
        <v>13.868079982568</v>
      </c>
    </row>
    <row r="235" spans="1:27" s="4" customFormat="1" x14ac:dyDescent="0.25">
      <c r="A235" s="32"/>
      <c r="B235" s="33"/>
      <c r="C235" s="6">
        <v>42113</v>
      </c>
      <c r="D235" s="4">
        <v>9.5</v>
      </c>
      <c r="E235" s="13">
        <v>5</v>
      </c>
      <c r="F235" s="4">
        <v>13.9</v>
      </c>
      <c r="G235" s="4">
        <v>1851.5999999999995</v>
      </c>
      <c r="H235" s="4">
        <f t="shared" si="23"/>
        <v>96.399999999999991</v>
      </c>
      <c r="I235" s="34" t="s">
        <v>36</v>
      </c>
      <c r="J235" s="4">
        <v>0</v>
      </c>
      <c r="K235" s="4">
        <v>369.10000000000019</v>
      </c>
      <c r="L235" s="4">
        <v>3.4</v>
      </c>
      <c r="M235" s="4">
        <v>262.5</v>
      </c>
      <c r="N235" s="8">
        <v>-3.4</v>
      </c>
      <c r="O235" s="4">
        <f t="shared" si="21"/>
        <v>151.5</v>
      </c>
      <c r="P235" s="4">
        <v>230</v>
      </c>
      <c r="Q235" s="4">
        <v>1.1499999999999999</v>
      </c>
      <c r="R235" s="9">
        <f t="shared" si="19"/>
        <v>3.9099999999999997</v>
      </c>
      <c r="S235" s="9">
        <f t="shared" si="20"/>
        <v>-3.9099999999999997</v>
      </c>
      <c r="T235" s="9">
        <f t="shared" si="22"/>
        <v>129.54571428571424</v>
      </c>
      <c r="U235" s="34" t="s">
        <v>37</v>
      </c>
      <c r="V235" s="4">
        <v>2319.8000000000002</v>
      </c>
      <c r="W235" s="4">
        <v>244.18947368421055</v>
      </c>
      <c r="X235" s="4">
        <v>142904.5</v>
      </c>
      <c r="Y235" s="4">
        <f t="shared" si="24"/>
        <v>13750.099999999999</v>
      </c>
      <c r="AA235" s="4">
        <v>13.9269991036858</v>
      </c>
    </row>
    <row r="236" spans="1:27" s="4" customFormat="1" x14ac:dyDescent="0.25">
      <c r="A236" s="32"/>
      <c r="B236" s="33"/>
      <c r="C236" s="6">
        <v>42114</v>
      </c>
      <c r="D236" s="4">
        <v>11.9</v>
      </c>
      <c r="E236" s="13">
        <v>4.8</v>
      </c>
      <c r="F236" s="4">
        <v>19</v>
      </c>
      <c r="G236" s="4">
        <v>1863.4999999999995</v>
      </c>
      <c r="H236" s="4">
        <f t="shared" si="23"/>
        <v>108.3</v>
      </c>
      <c r="I236" s="4">
        <v>0</v>
      </c>
      <c r="J236" s="4">
        <v>0</v>
      </c>
      <c r="K236" s="4">
        <v>369.10000000000019</v>
      </c>
      <c r="L236" s="4">
        <v>3.9</v>
      </c>
      <c r="M236" s="4">
        <v>266.39999999999998</v>
      </c>
      <c r="N236" s="8">
        <v>-3.9</v>
      </c>
      <c r="O236" s="4">
        <f t="shared" si="21"/>
        <v>147.6</v>
      </c>
      <c r="P236" s="4">
        <v>231</v>
      </c>
      <c r="Q236" s="4">
        <v>1.1499999999999999</v>
      </c>
      <c r="R236" s="9">
        <f t="shared" si="19"/>
        <v>4.4849999999999994</v>
      </c>
      <c r="S236" s="9">
        <f t="shared" si="20"/>
        <v>-4.4849999999999994</v>
      </c>
      <c r="T236" s="9">
        <f t="shared" si="22"/>
        <v>125.06071428571424</v>
      </c>
      <c r="U236" s="9">
        <f>MIN(T228:T248)</f>
        <v>108.12071428571424</v>
      </c>
      <c r="V236" s="4">
        <v>2217.5</v>
      </c>
      <c r="W236" s="4">
        <v>186.34453781512605</v>
      </c>
      <c r="X236" s="4">
        <v>145122</v>
      </c>
      <c r="Y236" s="4">
        <f t="shared" si="24"/>
        <v>15967.599999999999</v>
      </c>
      <c r="AA236" s="4">
        <v>13.9856742883214</v>
      </c>
    </row>
    <row r="237" spans="1:27" s="4" customFormat="1" x14ac:dyDescent="0.25">
      <c r="A237" s="32"/>
      <c r="B237" s="33"/>
      <c r="C237" s="6">
        <v>42115</v>
      </c>
      <c r="D237" s="4">
        <v>12.5</v>
      </c>
      <c r="E237" s="4">
        <v>6.8</v>
      </c>
      <c r="F237" s="4">
        <v>19.100000000000001</v>
      </c>
      <c r="G237" s="4">
        <v>1875.9999999999995</v>
      </c>
      <c r="H237" s="4">
        <f t="shared" si="23"/>
        <v>120.8</v>
      </c>
      <c r="I237" s="34" t="s">
        <v>38</v>
      </c>
      <c r="J237" s="4">
        <v>0</v>
      </c>
      <c r="K237" s="4">
        <v>369.10000000000019</v>
      </c>
      <c r="L237" s="4">
        <v>4</v>
      </c>
      <c r="M237" s="4">
        <v>270.39999999999998</v>
      </c>
      <c r="N237" s="8">
        <v>-4</v>
      </c>
      <c r="O237" s="4">
        <f t="shared" si="21"/>
        <v>143.6</v>
      </c>
      <c r="P237" s="4">
        <v>232</v>
      </c>
      <c r="Q237" s="4">
        <v>1.1499999999999999</v>
      </c>
      <c r="R237" s="9">
        <f t="shared" si="19"/>
        <v>4.5999999999999996</v>
      </c>
      <c r="S237" s="9">
        <f t="shared" si="20"/>
        <v>-4.5999999999999996</v>
      </c>
      <c r="T237" s="9">
        <f t="shared" si="22"/>
        <v>120.46071428571425</v>
      </c>
      <c r="U237" s="34" t="s">
        <v>39</v>
      </c>
      <c r="V237" s="4">
        <v>2240.5</v>
      </c>
      <c r="W237" s="4">
        <v>179.24</v>
      </c>
      <c r="X237" s="4">
        <v>147362.5</v>
      </c>
      <c r="Y237" s="4">
        <f t="shared" si="24"/>
        <v>18208.099999999999</v>
      </c>
      <c r="AA237" s="4">
        <v>14.044092846166601</v>
      </c>
    </row>
    <row r="238" spans="1:27" s="4" customFormat="1" x14ac:dyDescent="0.25">
      <c r="A238" s="35"/>
      <c r="B238" s="33"/>
      <c r="C238" s="6">
        <v>42116</v>
      </c>
      <c r="D238" s="4">
        <v>10.1</v>
      </c>
      <c r="E238" s="4">
        <v>5.8</v>
      </c>
      <c r="F238" s="4">
        <v>15.7</v>
      </c>
      <c r="G238" s="4">
        <v>1886.0999999999995</v>
      </c>
      <c r="H238" s="4">
        <f t="shared" si="23"/>
        <v>130.9</v>
      </c>
      <c r="I238" s="4">
        <v>0</v>
      </c>
      <c r="J238" s="4">
        <v>0</v>
      </c>
      <c r="K238" s="4">
        <v>369.10000000000019</v>
      </c>
      <c r="L238" s="4">
        <v>3.8</v>
      </c>
      <c r="M238" s="4">
        <v>274.2</v>
      </c>
      <c r="N238" s="8">
        <v>-3.8</v>
      </c>
      <c r="O238" s="4">
        <f t="shared" si="21"/>
        <v>139.79999999999998</v>
      </c>
      <c r="P238" s="4">
        <v>233</v>
      </c>
      <c r="Q238" s="4">
        <v>1.1499999999999999</v>
      </c>
      <c r="R238" s="9">
        <f t="shared" si="19"/>
        <v>4.3699999999999992</v>
      </c>
      <c r="S238" s="9">
        <f t="shared" si="20"/>
        <v>-4.3699999999999992</v>
      </c>
      <c r="T238" s="9">
        <f t="shared" si="22"/>
        <v>116.09071428571424</v>
      </c>
      <c r="U238" s="9">
        <f>MAX(T228:T248)</f>
        <v>154.73071428571424</v>
      </c>
      <c r="V238" s="4">
        <v>2348.4</v>
      </c>
      <c r="W238" s="4">
        <v>232.51485148514854</v>
      </c>
      <c r="X238" s="4">
        <v>149710.9</v>
      </c>
      <c r="Y238" s="4">
        <f t="shared" si="24"/>
        <v>20556.5</v>
      </c>
      <c r="AA238" s="4">
        <v>14.102241603031301</v>
      </c>
    </row>
    <row r="239" spans="1:27" s="25" customFormat="1" x14ac:dyDescent="0.25">
      <c r="A239" s="32"/>
      <c r="C239" s="6">
        <v>42117</v>
      </c>
      <c r="D239" s="25">
        <v>11.3</v>
      </c>
      <c r="E239" s="25">
        <v>5.6</v>
      </c>
      <c r="F239" s="25">
        <v>17.100000000000001</v>
      </c>
      <c r="G239" s="25">
        <v>1897.3999999999994</v>
      </c>
      <c r="H239" s="25">
        <f t="shared" si="23"/>
        <v>142.20000000000002</v>
      </c>
      <c r="I239" s="34" t="s">
        <v>40</v>
      </c>
      <c r="J239" s="25">
        <v>0</v>
      </c>
      <c r="K239" s="25">
        <v>369.10000000000019</v>
      </c>
      <c r="L239" s="25">
        <v>3.7</v>
      </c>
      <c r="M239" s="25">
        <v>277.89999999999998</v>
      </c>
      <c r="N239" s="25">
        <v>-3.7</v>
      </c>
      <c r="O239" s="25">
        <f t="shared" si="21"/>
        <v>136.1</v>
      </c>
      <c r="P239" s="25">
        <v>234</v>
      </c>
      <c r="Q239" s="4">
        <v>1.1499999999999999</v>
      </c>
      <c r="R239" s="26">
        <f t="shared" si="19"/>
        <v>4.2549999999999999</v>
      </c>
      <c r="S239" s="26">
        <f t="shared" si="20"/>
        <v>-4.2549999999999999</v>
      </c>
      <c r="T239" s="9">
        <f t="shared" si="22"/>
        <v>111.83571428571425</v>
      </c>
      <c r="U239" s="34" t="s">
        <v>41</v>
      </c>
      <c r="V239" s="25">
        <v>2477</v>
      </c>
      <c r="W239" s="25">
        <v>219.20353982300884</v>
      </c>
      <c r="X239" s="25">
        <v>152187.9</v>
      </c>
      <c r="Y239" s="4">
        <f t="shared" si="24"/>
        <v>23033.5</v>
      </c>
      <c r="AA239" s="4">
        <v>14.1601068874331</v>
      </c>
    </row>
    <row r="240" spans="1:27" s="4" customFormat="1" ht="15" customHeight="1" x14ac:dyDescent="0.25">
      <c r="A240" s="32"/>
      <c r="B240" s="33"/>
      <c r="C240" s="6">
        <v>42118</v>
      </c>
      <c r="D240" s="4">
        <v>13.5</v>
      </c>
      <c r="E240" s="4">
        <v>6.2</v>
      </c>
      <c r="F240" s="4">
        <v>22.1</v>
      </c>
      <c r="G240" s="4">
        <v>1910.8999999999994</v>
      </c>
      <c r="H240" s="4">
        <f t="shared" si="23"/>
        <v>155.70000000000002</v>
      </c>
      <c r="I240" s="4">
        <v>5</v>
      </c>
      <c r="J240" s="4">
        <v>2.8</v>
      </c>
      <c r="K240" s="4">
        <v>371.9000000000002</v>
      </c>
      <c r="L240" s="4">
        <v>3</v>
      </c>
      <c r="M240" s="4">
        <v>280.89999999999998</v>
      </c>
      <c r="N240" s="8">
        <v>-0.20000000000000018</v>
      </c>
      <c r="O240" s="4">
        <f t="shared" si="21"/>
        <v>135.9</v>
      </c>
      <c r="P240" s="4">
        <v>235</v>
      </c>
      <c r="Q240" s="4">
        <v>1.1499999999999999</v>
      </c>
      <c r="R240" s="9">
        <f t="shared" si="19"/>
        <v>3.4499999999999997</v>
      </c>
      <c r="S240" s="9">
        <f t="shared" si="20"/>
        <v>-0.64999999999999991</v>
      </c>
      <c r="T240" s="9">
        <f t="shared" si="22"/>
        <v>111.18571428571424</v>
      </c>
      <c r="U240" s="49">
        <f>AVERAGE(T228:T248)</f>
        <v>124.7273809523809</v>
      </c>
      <c r="V240" s="4">
        <v>1563</v>
      </c>
      <c r="W240" s="4">
        <v>115.77777777777777</v>
      </c>
      <c r="X240" s="4">
        <v>153750.9</v>
      </c>
      <c r="Y240" s="4">
        <f t="shared" si="24"/>
        <v>24596.5</v>
      </c>
      <c r="AA240" s="4">
        <v>14.2176745178259</v>
      </c>
    </row>
    <row r="241" spans="1:27" s="4" customFormat="1" x14ac:dyDescent="0.25">
      <c r="A241" s="32"/>
      <c r="B241" s="33"/>
      <c r="C241" s="6">
        <v>42119</v>
      </c>
      <c r="D241" s="4">
        <v>13.1</v>
      </c>
      <c r="E241" s="4">
        <v>11.2</v>
      </c>
      <c r="F241" s="4">
        <v>15</v>
      </c>
      <c r="G241" s="4">
        <v>1923.9999999999993</v>
      </c>
      <c r="H241" s="4">
        <f t="shared" si="23"/>
        <v>168.8</v>
      </c>
      <c r="I241" s="34" t="s">
        <v>42</v>
      </c>
      <c r="J241" s="4">
        <v>3.8</v>
      </c>
      <c r="K241" s="4">
        <v>375.70000000000022</v>
      </c>
      <c r="L241" s="4">
        <v>1.4</v>
      </c>
      <c r="M241" s="4">
        <v>282.29999999999995</v>
      </c>
      <c r="N241" s="4">
        <v>2.4</v>
      </c>
      <c r="O241" s="4">
        <f t="shared" si="21"/>
        <v>138.30000000000001</v>
      </c>
      <c r="P241" s="4">
        <v>236</v>
      </c>
      <c r="Q241" s="4">
        <v>1.1499999999999999</v>
      </c>
      <c r="R241" s="9">
        <f t="shared" si="19"/>
        <v>1.6099999999999999</v>
      </c>
      <c r="S241" s="9">
        <f t="shared" si="20"/>
        <v>2.19</v>
      </c>
      <c r="T241" s="9">
        <f t="shared" si="22"/>
        <v>113.37571428571424</v>
      </c>
      <c r="V241" s="10">
        <v>763.7</v>
      </c>
      <c r="W241" s="4">
        <v>58.297709923664129</v>
      </c>
      <c r="X241" s="4">
        <v>154514.6</v>
      </c>
      <c r="Y241" s="4">
        <f t="shared" si="24"/>
        <v>25360.2</v>
      </c>
      <c r="AA241" s="4">
        <v>14.274929790539</v>
      </c>
    </row>
    <row r="242" spans="1:27" s="4" customFormat="1" x14ac:dyDescent="0.25">
      <c r="A242" s="32"/>
      <c r="B242" s="33"/>
      <c r="C242" s="6">
        <v>42120</v>
      </c>
      <c r="D242" s="4">
        <v>12.2</v>
      </c>
      <c r="E242" s="4">
        <v>11.3</v>
      </c>
      <c r="F242" s="4">
        <v>14.7</v>
      </c>
      <c r="G242" s="4">
        <v>1936.1999999999994</v>
      </c>
      <c r="H242" s="4">
        <f t="shared" si="23"/>
        <v>181</v>
      </c>
      <c r="I242" s="4">
        <v>235.1</v>
      </c>
      <c r="J242" s="4">
        <v>5.7</v>
      </c>
      <c r="K242" s="4">
        <v>381.4000000000002</v>
      </c>
      <c r="L242" s="4">
        <v>1.4</v>
      </c>
      <c r="M242" s="4">
        <v>283.69999999999993</v>
      </c>
      <c r="N242" s="4">
        <v>4.3000000000000007</v>
      </c>
      <c r="O242" s="4">
        <f t="shared" si="21"/>
        <v>142.60000000000002</v>
      </c>
      <c r="P242" s="4">
        <v>237</v>
      </c>
      <c r="Q242" s="4">
        <v>1.1499999999999999</v>
      </c>
      <c r="R242" s="9">
        <f t="shared" si="19"/>
        <v>1.6099999999999999</v>
      </c>
      <c r="S242" s="9">
        <f t="shared" si="20"/>
        <v>4.09</v>
      </c>
      <c r="T242" s="9">
        <f t="shared" si="22"/>
        <v>117.46571428571424</v>
      </c>
      <c r="U242" s="4">
        <f>(U240*100)/189.6</f>
        <v>65.78448362467347</v>
      </c>
      <c r="V242" s="10">
        <v>593.79999999999995</v>
      </c>
      <c r="W242" s="4">
        <v>48.672131147540981</v>
      </c>
      <c r="X242" s="4">
        <v>155108.4</v>
      </c>
      <c r="Y242" s="4">
        <f t="shared" si="24"/>
        <v>25954</v>
      </c>
      <c r="AA242" s="4">
        <v>14.3318574685045</v>
      </c>
    </row>
    <row r="243" spans="1:27" s="4" customFormat="1" x14ac:dyDescent="0.25">
      <c r="A243" s="32"/>
      <c r="B243" s="33"/>
      <c r="C243" s="6">
        <v>42121</v>
      </c>
      <c r="D243" s="4">
        <v>8.5</v>
      </c>
      <c r="E243" s="4">
        <v>6.9</v>
      </c>
      <c r="F243" s="4">
        <v>11.5</v>
      </c>
      <c r="G243" s="4">
        <v>1944.6999999999994</v>
      </c>
      <c r="H243" s="4">
        <f t="shared" si="23"/>
        <v>189.5</v>
      </c>
      <c r="J243" s="4">
        <v>0</v>
      </c>
      <c r="K243" s="4">
        <v>381.4000000000002</v>
      </c>
      <c r="L243" s="4">
        <v>2.4</v>
      </c>
      <c r="M243" s="4">
        <v>286.09999999999991</v>
      </c>
      <c r="N243" s="8">
        <v>-2.4</v>
      </c>
      <c r="O243" s="4">
        <f t="shared" si="21"/>
        <v>140.20000000000002</v>
      </c>
      <c r="P243" s="4">
        <v>238</v>
      </c>
      <c r="Q243" s="4">
        <v>1.1499999999999999</v>
      </c>
      <c r="R243" s="9">
        <f t="shared" si="19"/>
        <v>2.76</v>
      </c>
      <c r="S243" s="9">
        <f t="shared" si="20"/>
        <v>-2.76</v>
      </c>
      <c r="T243" s="9">
        <f t="shared" si="22"/>
        <v>114.70571428571424</v>
      </c>
      <c r="V243" s="4">
        <v>1372.6</v>
      </c>
      <c r="W243" s="4">
        <v>161.48235294117646</v>
      </c>
      <c r="X243" s="4">
        <v>156481</v>
      </c>
      <c r="Y243" s="4">
        <f t="shared" si="24"/>
        <v>27326.6</v>
      </c>
      <c r="AA243" s="4">
        <v>14.3884417708522</v>
      </c>
    </row>
    <row r="244" spans="1:27" s="4" customFormat="1" x14ac:dyDescent="0.25">
      <c r="A244" s="32"/>
      <c r="B244" s="33"/>
      <c r="C244" s="6">
        <v>42122</v>
      </c>
      <c r="D244" s="4">
        <v>7.7</v>
      </c>
      <c r="E244" s="13">
        <v>2.4</v>
      </c>
      <c r="F244" s="4">
        <v>11.3</v>
      </c>
      <c r="G244" s="4">
        <v>1952.3999999999994</v>
      </c>
      <c r="H244" s="4">
        <f t="shared" si="23"/>
        <v>197.2</v>
      </c>
      <c r="J244" s="4">
        <v>0</v>
      </c>
      <c r="K244" s="4">
        <v>381.4000000000002</v>
      </c>
      <c r="L244" s="4">
        <v>2.5</v>
      </c>
      <c r="M244" s="4">
        <v>288.59999999999991</v>
      </c>
      <c r="N244" s="8">
        <v>-2.5</v>
      </c>
      <c r="O244" s="4">
        <f t="shared" si="21"/>
        <v>137.70000000000002</v>
      </c>
      <c r="P244" s="4">
        <v>239</v>
      </c>
      <c r="Q244" s="4">
        <v>1.1499999999999999</v>
      </c>
      <c r="R244" s="9">
        <f t="shared" si="19"/>
        <v>2.875</v>
      </c>
      <c r="S244" s="9">
        <f t="shared" si="20"/>
        <v>-2.875</v>
      </c>
      <c r="T244" s="9">
        <f t="shared" si="22"/>
        <v>111.83071428571424</v>
      </c>
      <c r="V244" s="4">
        <v>1962.8</v>
      </c>
      <c r="W244" s="4">
        <v>254.90909090909091</v>
      </c>
      <c r="X244" s="4">
        <v>158443.79999999999</v>
      </c>
      <c r="Y244" s="4">
        <f t="shared" si="24"/>
        <v>29289.399999999998</v>
      </c>
      <c r="AA244" s="4">
        <v>14.4446663634609</v>
      </c>
    </row>
    <row r="245" spans="1:27" s="4" customFormat="1" x14ac:dyDescent="0.25">
      <c r="A245" s="32"/>
      <c r="B245" s="33"/>
      <c r="C245" s="6">
        <v>42123</v>
      </c>
      <c r="D245" s="4">
        <v>9.3000000000000007</v>
      </c>
      <c r="E245" s="13">
        <v>3.7</v>
      </c>
      <c r="F245" s="4">
        <v>13.9</v>
      </c>
      <c r="G245" s="4">
        <v>1961.6999999999994</v>
      </c>
      <c r="H245" s="4">
        <f t="shared" si="23"/>
        <v>206.5</v>
      </c>
      <c r="J245" s="4">
        <v>0.9</v>
      </c>
      <c r="K245" s="4">
        <v>382.30000000000018</v>
      </c>
      <c r="L245" s="4">
        <v>2.2000000000000002</v>
      </c>
      <c r="M245" s="4">
        <v>290.7999999999999</v>
      </c>
      <c r="N245" s="8">
        <v>-1.3000000000000003</v>
      </c>
      <c r="O245" s="4">
        <f t="shared" si="21"/>
        <v>136.4</v>
      </c>
      <c r="P245" s="4">
        <v>240</v>
      </c>
      <c r="Q245" s="4">
        <v>1.1499999999999999</v>
      </c>
      <c r="R245" s="9">
        <f t="shared" si="19"/>
        <v>2.5299999999999998</v>
      </c>
      <c r="S245" s="9">
        <f t="shared" si="20"/>
        <v>-1.63</v>
      </c>
      <c r="T245" s="9">
        <f t="shared" si="22"/>
        <v>110.20071428571424</v>
      </c>
      <c r="V245" s="4">
        <v>1470.7</v>
      </c>
      <c r="W245" s="4">
        <v>158.13978494623655</v>
      </c>
      <c r="X245" s="4">
        <v>159914.5</v>
      </c>
      <c r="Y245" s="4">
        <f t="shared" si="24"/>
        <v>30760.1</v>
      </c>
      <c r="AA245" s="4">
        <v>14.5005143505566</v>
      </c>
    </row>
    <row r="246" spans="1:27" s="4" customFormat="1" x14ac:dyDescent="0.25">
      <c r="A246" s="32"/>
      <c r="B246" s="33"/>
      <c r="C246" s="6">
        <v>42124</v>
      </c>
      <c r="D246" s="4">
        <v>8.8000000000000007</v>
      </c>
      <c r="E246" s="4">
        <v>6.6</v>
      </c>
      <c r="F246" s="4">
        <v>11.4</v>
      </c>
      <c r="G246" s="4">
        <v>1970.4999999999993</v>
      </c>
      <c r="H246" s="4">
        <f t="shared" si="23"/>
        <v>215.3</v>
      </c>
      <c r="J246" s="4">
        <v>1.2</v>
      </c>
      <c r="K246" s="4">
        <v>383.50000000000017</v>
      </c>
      <c r="L246" s="4">
        <v>1.3</v>
      </c>
      <c r="M246" s="4">
        <v>292.09999999999991</v>
      </c>
      <c r="N246" s="8">
        <v>-0.10000000000000009</v>
      </c>
      <c r="O246" s="4">
        <f t="shared" si="21"/>
        <v>136.30000000000001</v>
      </c>
      <c r="P246" s="4">
        <v>241</v>
      </c>
      <c r="Q246" s="4">
        <v>1.1499999999999999</v>
      </c>
      <c r="R246" s="9">
        <f t="shared" si="19"/>
        <v>1.4949999999999999</v>
      </c>
      <c r="S246" s="9">
        <f t="shared" si="20"/>
        <v>-0.29499999999999993</v>
      </c>
      <c r="T246" s="9">
        <f t="shared" si="22"/>
        <v>109.90571428571424</v>
      </c>
      <c r="V246" s="10">
        <v>892.1</v>
      </c>
      <c r="W246" s="4">
        <v>101.375</v>
      </c>
      <c r="X246" s="4">
        <v>160806.6</v>
      </c>
      <c r="Y246" s="4">
        <f t="shared" si="24"/>
        <v>31652.199999999997</v>
      </c>
      <c r="AA246" s="4">
        <v>14.555968267454601</v>
      </c>
    </row>
    <row r="247" spans="1:27" s="4" customFormat="1" x14ac:dyDescent="0.25">
      <c r="A247" s="32"/>
      <c r="B247" s="33"/>
      <c r="C247" s="6">
        <v>42125</v>
      </c>
      <c r="D247" s="4">
        <v>8.9</v>
      </c>
      <c r="E247" s="4">
        <v>5.0999999999999996</v>
      </c>
      <c r="F247" s="4">
        <v>11.6</v>
      </c>
      <c r="G247" s="4">
        <v>1979.3999999999994</v>
      </c>
      <c r="H247" s="4">
        <f t="shared" si="23"/>
        <v>224.20000000000002</v>
      </c>
      <c r="J247" s="4">
        <v>0.4</v>
      </c>
      <c r="K247" s="4">
        <v>383.90000000000015</v>
      </c>
      <c r="L247" s="4">
        <v>1.9</v>
      </c>
      <c r="M247" s="4">
        <v>293.99999999999989</v>
      </c>
      <c r="N247" s="8">
        <v>-1.5</v>
      </c>
      <c r="O247" s="4">
        <f t="shared" si="21"/>
        <v>134.80000000000001</v>
      </c>
      <c r="P247" s="4">
        <v>242</v>
      </c>
      <c r="Q247" s="4">
        <v>1.1499999999999999</v>
      </c>
      <c r="R247" s="9">
        <f t="shared" si="19"/>
        <v>2.1849999999999996</v>
      </c>
      <c r="S247" s="9">
        <f t="shared" si="20"/>
        <v>-1.7849999999999997</v>
      </c>
      <c r="T247" s="9">
        <f t="shared" si="22"/>
        <v>108.12071428571424</v>
      </c>
      <c r="V247" s="4">
        <v>1600</v>
      </c>
      <c r="W247" s="4">
        <v>179.77528089887639</v>
      </c>
      <c r="X247" s="4">
        <v>162406.6</v>
      </c>
      <c r="Y247" s="4">
        <f t="shared" si="24"/>
        <v>33252.199999999997</v>
      </c>
      <c r="AA247" s="4">
        <v>14.6110100745474</v>
      </c>
    </row>
    <row r="248" spans="1:27" s="52" customFormat="1" ht="15.75" thickBot="1" x14ac:dyDescent="0.3">
      <c r="A248" s="61" t="s">
        <v>48</v>
      </c>
      <c r="B248" s="62"/>
      <c r="C248" s="58">
        <v>42126</v>
      </c>
      <c r="D248" s="52">
        <v>10.9</v>
      </c>
      <c r="E248" s="52">
        <v>8.1</v>
      </c>
      <c r="F248" s="52">
        <v>13</v>
      </c>
      <c r="G248" s="52">
        <v>1990.2999999999995</v>
      </c>
      <c r="H248" s="52">
        <f t="shared" si="23"/>
        <v>235.10000000000002</v>
      </c>
      <c r="J248" s="52">
        <v>2.2000000000000002</v>
      </c>
      <c r="K248" s="52">
        <v>386.10000000000014</v>
      </c>
      <c r="L248" s="52">
        <v>0.7</v>
      </c>
      <c r="M248" s="52">
        <v>294.69999999999987</v>
      </c>
      <c r="N248" s="52">
        <v>1.5000000000000002</v>
      </c>
      <c r="O248" s="52">
        <f t="shared" si="21"/>
        <v>136.30000000000001</v>
      </c>
      <c r="P248" s="52">
        <v>243</v>
      </c>
      <c r="Q248" s="52">
        <v>1.1499999999999999</v>
      </c>
      <c r="R248" s="54">
        <f t="shared" si="19"/>
        <v>0.80499999999999994</v>
      </c>
      <c r="S248" s="54">
        <f t="shared" si="20"/>
        <v>1.3950000000000002</v>
      </c>
      <c r="T248" s="54">
        <f t="shared" si="22"/>
        <v>109.51571428571424</v>
      </c>
      <c r="V248" s="63">
        <v>502</v>
      </c>
      <c r="W248" s="52">
        <v>46.055045871559635</v>
      </c>
      <c r="X248" s="52">
        <v>162908.6</v>
      </c>
      <c r="Y248" s="52">
        <f t="shared" si="24"/>
        <v>33754.199999999997</v>
      </c>
      <c r="AA248" s="52">
        <v>14.665621152643499</v>
      </c>
    </row>
    <row r="249" spans="1:27" s="25" customFormat="1" x14ac:dyDescent="0.25">
      <c r="A249" s="71">
        <v>300</v>
      </c>
      <c r="B249" s="45"/>
      <c r="C249" s="40">
        <v>42127</v>
      </c>
      <c r="D249" s="25">
        <v>14.3</v>
      </c>
      <c r="E249" s="25">
        <v>11.3</v>
      </c>
      <c r="F249" s="25">
        <v>16.2</v>
      </c>
      <c r="G249" s="25">
        <v>2004.5999999999995</v>
      </c>
      <c r="H249" s="25">
        <f>D249</f>
        <v>14.3</v>
      </c>
      <c r="J249" s="25">
        <v>2</v>
      </c>
      <c r="K249" s="25">
        <v>388.10000000000014</v>
      </c>
      <c r="L249" s="25">
        <v>1</v>
      </c>
      <c r="M249" s="25">
        <v>295.69999999999987</v>
      </c>
      <c r="N249" s="25">
        <v>1</v>
      </c>
      <c r="O249" s="25">
        <f t="shared" si="21"/>
        <v>137.30000000000001</v>
      </c>
      <c r="P249" s="25">
        <v>244</v>
      </c>
      <c r="Q249" s="25">
        <v>1.1499999999999999</v>
      </c>
      <c r="R249" s="26">
        <f t="shared" si="19"/>
        <v>1.1499999999999999</v>
      </c>
      <c r="S249" s="26">
        <f t="shared" si="20"/>
        <v>0.85000000000000009</v>
      </c>
      <c r="T249" s="26">
        <f t="shared" si="22"/>
        <v>110.36571428571423</v>
      </c>
      <c r="V249" s="46">
        <v>748.4</v>
      </c>
      <c r="W249" s="25">
        <v>52.335664335664333</v>
      </c>
      <c r="X249" s="25">
        <v>163657</v>
      </c>
      <c r="Y249" s="25">
        <f>V249</f>
        <v>748.4</v>
      </c>
      <c r="AA249" s="25">
        <v>14.7197822997689</v>
      </c>
    </row>
    <row r="250" spans="1:27" s="4" customFormat="1" ht="15" customHeight="1" x14ac:dyDescent="0.25">
      <c r="A250" s="71"/>
      <c r="B250" s="5"/>
      <c r="C250" s="6">
        <v>42128</v>
      </c>
      <c r="D250" s="4">
        <v>14.9</v>
      </c>
      <c r="E250" s="4">
        <v>11.3</v>
      </c>
      <c r="F250" s="4">
        <v>19</v>
      </c>
      <c r="G250" s="4">
        <v>2019.4999999999995</v>
      </c>
      <c r="H250" s="4">
        <f>H249+D250</f>
        <v>29.200000000000003</v>
      </c>
      <c r="I250" s="39" t="s">
        <v>27</v>
      </c>
      <c r="J250" s="4">
        <v>23.6</v>
      </c>
      <c r="K250" s="4">
        <v>411.70000000000016</v>
      </c>
      <c r="L250" s="4">
        <v>2.5</v>
      </c>
      <c r="M250" s="4">
        <v>298.19999999999987</v>
      </c>
      <c r="N250" s="4">
        <v>21.1</v>
      </c>
      <c r="O250" s="4">
        <f t="shared" si="21"/>
        <v>158.4</v>
      </c>
      <c r="P250" s="4">
        <v>245</v>
      </c>
      <c r="Q250" s="4">
        <v>1.1499999999999999</v>
      </c>
      <c r="R250" s="9">
        <f t="shared" si="19"/>
        <v>2.875</v>
      </c>
      <c r="S250" s="9">
        <f t="shared" si="20"/>
        <v>20.725000000000001</v>
      </c>
      <c r="T250" s="9">
        <f t="shared" si="22"/>
        <v>131.09071428571423</v>
      </c>
      <c r="U250" s="39" t="s">
        <v>28</v>
      </c>
      <c r="V250" s="4">
        <v>1300.0999999999999</v>
      </c>
      <c r="W250" s="4">
        <v>87.255033557046971</v>
      </c>
      <c r="X250" s="4">
        <v>164957.1</v>
      </c>
      <c r="Y250" s="4">
        <f>Y249+V250</f>
        <v>2048.5</v>
      </c>
      <c r="Z250" s="39" t="s">
        <v>29</v>
      </c>
      <c r="AA250" s="4">
        <v>14.7734737295446</v>
      </c>
    </row>
    <row r="251" spans="1:27" s="4" customFormat="1" x14ac:dyDescent="0.25">
      <c r="A251" s="71"/>
      <c r="B251" s="5"/>
      <c r="C251" s="6">
        <v>42129</v>
      </c>
      <c r="D251" s="4">
        <v>15</v>
      </c>
      <c r="E251" s="4">
        <v>14.9</v>
      </c>
      <c r="F251" s="4">
        <v>16.2</v>
      </c>
      <c r="G251" s="4">
        <v>2034.4999999999995</v>
      </c>
      <c r="H251" s="4">
        <f t="shared" si="23"/>
        <v>44.2</v>
      </c>
      <c r="I251" s="4">
        <f>MIN(E249:E272)</f>
        <v>5.2</v>
      </c>
      <c r="J251" s="4">
        <v>3.7</v>
      </c>
      <c r="K251" s="4">
        <v>415.40000000000015</v>
      </c>
      <c r="L251" s="4">
        <v>2.8</v>
      </c>
      <c r="M251" s="4">
        <v>300.99999999999989</v>
      </c>
      <c r="N251" s="4">
        <v>0.90000000000000036</v>
      </c>
      <c r="O251" s="4">
        <f t="shared" si="21"/>
        <v>159.30000000000001</v>
      </c>
      <c r="P251" s="4">
        <v>246</v>
      </c>
      <c r="Q251" s="4">
        <v>1.1499999999999999</v>
      </c>
      <c r="R251" s="9">
        <f t="shared" si="19"/>
        <v>3.2199999999999998</v>
      </c>
      <c r="S251" s="9">
        <f t="shared" si="20"/>
        <v>0.48000000000000043</v>
      </c>
      <c r="T251" s="9">
        <f t="shared" si="22"/>
        <v>131.57071428571422</v>
      </c>
      <c r="U251" s="4">
        <v>20</v>
      </c>
      <c r="V251" s="4">
        <v>1349.8</v>
      </c>
      <c r="W251" s="4">
        <v>89.986666666666665</v>
      </c>
      <c r="X251" s="4">
        <v>166306.9</v>
      </c>
      <c r="Y251" s="4">
        <f t="shared" si="24"/>
        <v>3398.3</v>
      </c>
      <c r="Z251" s="4">
        <v>38520.300000000003</v>
      </c>
      <c r="AA251" s="4">
        <v>14.826675071258901</v>
      </c>
    </row>
    <row r="252" spans="1:27" s="4" customFormat="1" x14ac:dyDescent="0.25">
      <c r="A252" s="71"/>
      <c r="B252" s="5"/>
      <c r="C252" s="6">
        <v>42130</v>
      </c>
      <c r="D252" s="4">
        <v>11.2</v>
      </c>
      <c r="E252" s="4">
        <v>9.6</v>
      </c>
      <c r="F252" s="4">
        <v>14.3</v>
      </c>
      <c r="G252" s="4">
        <v>2045.6999999999996</v>
      </c>
      <c r="H252" s="4">
        <f t="shared" si="23"/>
        <v>55.400000000000006</v>
      </c>
      <c r="I252" s="39" t="s">
        <v>30</v>
      </c>
      <c r="J252" s="4">
        <v>1.9</v>
      </c>
      <c r="K252" s="4">
        <v>417.30000000000013</v>
      </c>
      <c r="L252" s="4">
        <v>2.7</v>
      </c>
      <c r="M252" s="4">
        <v>303.69999999999987</v>
      </c>
      <c r="N252" s="8">
        <v>-0.80000000000000027</v>
      </c>
      <c r="O252" s="4">
        <f t="shared" si="21"/>
        <v>158.5</v>
      </c>
      <c r="P252" s="4">
        <v>247</v>
      </c>
      <c r="Q252" s="4">
        <v>1.1499999999999999</v>
      </c>
      <c r="R252" s="9">
        <f t="shared" si="19"/>
        <v>3.105</v>
      </c>
      <c r="S252" s="9">
        <f t="shared" si="20"/>
        <v>-1.2050000000000001</v>
      </c>
      <c r="T252" s="9">
        <f t="shared" si="22"/>
        <v>130.3657142857142</v>
      </c>
      <c r="U252" s="39" t="s">
        <v>31</v>
      </c>
      <c r="V252" s="4">
        <v>1443.3</v>
      </c>
      <c r="W252" s="4">
        <v>128.86607142857144</v>
      </c>
      <c r="X252" s="4">
        <v>167750.19999999998</v>
      </c>
      <c r="Y252" s="4">
        <f t="shared" si="24"/>
        <v>4841.6000000000004</v>
      </c>
      <c r="Z252" s="39" t="s">
        <v>32</v>
      </c>
      <c r="AA252" s="4">
        <v>14.8793653717553</v>
      </c>
    </row>
    <row r="253" spans="1:27" s="4" customFormat="1" x14ac:dyDescent="0.25">
      <c r="A253" s="71"/>
      <c r="B253" s="5"/>
      <c r="C253" s="6">
        <v>42131</v>
      </c>
      <c r="D253" s="4">
        <v>11.7</v>
      </c>
      <c r="E253" s="4">
        <v>8.6</v>
      </c>
      <c r="F253" s="4">
        <v>14.3</v>
      </c>
      <c r="G253" s="4">
        <v>2057.3999999999996</v>
      </c>
      <c r="H253" s="4">
        <f t="shared" si="23"/>
        <v>67.100000000000009</v>
      </c>
      <c r="I253" s="4">
        <f>MAX(F249:F272)</f>
        <v>24</v>
      </c>
      <c r="J253" s="4">
        <v>0</v>
      </c>
      <c r="K253" s="4">
        <v>417.30000000000013</v>
      </c>
      <c r="L253" s="4">
        <v>2.8</v>
      </c>
      <c r="M253" s="4">
        <v>306.49999999999989</v>
      </c>
      <c r="N253" s="8">
        <v>-2.8</v>
      </c>
      <c r="O253" s="4">
        <f t="shared" si="21"/>
        <v>155.69999999999999</v>
      </c>
      <c r="P253" s="4">
        <v>248</v>
      </c>
      <c r="Q253" s="4">
        <v>1.1499999999999999</v>
      </c>
      <c r="R253" s="9">
        <f t="shared" si="19"/>
        <v>3.2199999999999998</v>
      </c>
      <c r="S253" s="9">
        <f t="shared" si="20"/>
        <v>-3.2199999999999998</v>
      </c>
      <c r="T253" s="9">
        <f t="shared" si="22"/>
        <v>127.14571428571421</v>
      </c>
      <c r="U253" s="4">
        <v>0</v>
      </c>
      <c r="V253" s="4">
        <v>1910</v>
      </c>
      <c r="W253" s="4">
        <v>163.24786324786325</v>
      </c>
      <c r="X253" s="4">
        <v>169660.19999999998</v>
      </c>
      <c r="Y253" s="4">
        <f t="shared" si="24"/>
        <v>6751.6</v>
      </c>
      <c r="Z253" s="11">
        <f>(Z251/100)/I263</f>
        <v>1.2692026359143329</v>
      </c>
      <c r="AA253" s="4">
        <v>14.9315230992589</v>
      </c>
    </row>
    <row r="254" spans="1:27" s="4" customFormat="1" x14ac:dyDescent="0.25">
      <c r="A254" s="71"/>
      <c r="B254" s="5"/>
      <c r="C254" s="6">
        <v>42132</v>
      </c>
      <c r="D254" s="4">
        <v>14.2</v>
      </c>
      <c r="E254" s="4">
        <v>10.5</v>
      </c>
      <c r="F254" s="4">
        <v>17.8</v>
      </c>
      <c r="G254" s="4">
        <v>2071.5999999999995</v>
      </c>
      <c r="H254" s="4">
        <f t="shared" si="23"/>
        <v>81.300000000000011</v>
      </c>
      <c r="I254" s="39" t="s">
        <v>33</v>
      </c>
      <c r="J254" s="4">
        <v>0</v>
      </c>
      <c r="K254" s="4">
        <v>417.30000000000013</v>
      </c>
      <c r="L254" s="4">
        <v>2.5</v>
      </c>
      <c r="M254" s="4">
        <v>308.99999999999989</v>
      </c>
      <c r="N254" s="8">
        <v>-2.5</v>
      </c>
      <c r="O254" s="4">
        <f t="shared" si="21"/>
        <v>153.19999999999999</v>
      </c>
      <c r="P254" s="4">
        <v>249</v>
      </c>
      <c r="Q254" s="4">
        <v>1.1499999999999999</v>
      </c>
      <c r="R254" s="9">
        <f t="shared" si="19"/>
        <v>2.875</v>
      </c>
      <c r="S254" s="9">
        <f t="shared" si="20"/>
        <v>-2.875</v>
      </c>
      <c r="T254" s="9">
        <f t="shared" si="22"/>
        <v>124.27071428571421</v>
      </c>
      <c r="U254" s="39" t="s">
        <v>34</v>
      </c>
      <c r="V254" s="4">
        <v>1640.2</v>
      </c>
      <c r="W254" s="4">
        <v>115.50704225352113</v>
      </c>
      <c r="X254" s="4">
        <v>171300.4</v>
      </c>
      <c r="Y254" s="4">
        <f t="shared" si="24"/>
        <v>8391.8000000000011</v>
      </c>
      <c r="Z254" s="39" t="s">
        <v>35</v>
      </c>
      <c r="AA254" s="4">
        <v>14.9831261492678</v>
      </c>
    </row>
    <row r="255" spans="1:27" s="4" customFormat="1" x14ac:dyDescent="0.25">
      <c r="A255" s="71"/>
      <c r="B255" s="5"/>
      <c r="C255" s="6">
        <v>42133</v>
      </c>
      <c r="D255" s="4">
        <v>14.5</v>
      </c>
      <c r="E255" s="4">
        <v>12.9</v>
      </c>
      <c r="F255" s="4">
        <v>17.899999999999999</v>
      </c>
      <c r="G255" s="4">
        <v>2086.0999999999995</v>
      </c>
      <c r="H255" s="4">
        <f t="shared" si="23"/>
        <v>95.800000000000011</v>
      </c>
      <c r="I255" s="9">
        <f>AVERAGE(D249:D272)</f>
        <v>12.645833333333334</v>
      </c>
      <c r="J255" s="4">
        <v>0</v>
      </c>
      <c r="K255" s="4">
        <v>417.30000000000013</v>
      </c>
      <c r="L255" s="4">
        <v>3.6</v>
      </c>
      <c r="M255" s="4">
        <v>312.59999999999991</v>
      </c>
      <c r="N255" s="8">
        <v>-3.6</v>
      </c>
      <c r="O255" s="4">
        <f t="shared" si="21"/>
        <v>149.6</v>
      </c>
      <c r="P255" s="4">
        <v>250</v>
      </c>
      <c r="Q255" s="4">
        <v>1.1499999999999999</v>
      </c>
      <c r="R255" s="9">
        <f t="shared" si="19"/>
        <v>4.1399999999999997</v>
      </c>
      <c r="S255" s="9">
        <f t="shared" si="20"/>
        <v>-4.1399999999999997</v>
      </c>
      <c r="T255" s="9">
        <f t="shared" si="22"/>
        <v>120.13071428571421</v>
      </c>
      <c r="U255" s="4">
        <v>0</v>
      </c>
      <c r="V255" s="4">
        <v>1808</v>
      </c>
      <c r="W255" s="4">
        <v>124.68965517241379</v>
      </c>
      <c r="X255" s="4">
        <v>173108.4</v>
      </c>
      <c r="Y255" s="4">
        <f t="shared" si="24"/>
        <v>10199.800000000001</v>
      </c>
      <c r="Z255" s="4">
        <v>1</v>
      </c>
      <c r="AA255" s="4">
        <v>15.0341518526344</v>
      </c>
    </row>
    <row r="256" spans="1:27" s="4" customFormat="1" x14ac:dyDescent="0.25">
      <c r="A256" s="71"/>
      <c r="B256" s="5"/>
      <c r="C256" s="6">
        <v>42134</v>
      </c>
      <c r="D256" s="4">
        <v>14.8</v>
      </c>
      <c r="E256" s="4">
        <v>8.9</v>
      </c>
      <c r="F256" s="4">
        <v>19.5</v>
      </c>
      <c r="G256" s="4">
        <v>2100.8999999999996</v>
      </c>
      <c r="H256" s="4">
        <f t="shared" si="23"/>
        <v>110.60000000000001</v>
      </c>
      <c r="I256" s="39" t="s">
        <v>36</v>
      </c>
      <c r="J256" s="4">
        <v>0</v>
      </c>
      <c r="K256" s="4">
        <v>417.30000000000013</v>
      </c>
      <c r="L256" s="4">
        <v>2.4</v>
      </c>
      <c r="M256" s="4">
        <v>314.99999999999989</v>
      </c>
      <c r="N256" s="8">
        <v>-2.4</v>
      </c>
      <c r="O256" s="4">
        <f t="shared" si="21"/>
        <v>147.19999999999999</v>
      </c>
      <c r="P256" s="4">
        <v>251</v>
      </c>
      <c r="Q256" s="4">
        <v>1.1499999999999999</v>
      </c>
      <c r="R256" s="9">
        <f t="shared" si="19"/>
        <v>2.76</v>
      </c>
      <c r="S256" s="9">
        <f t="shared" si="20"/>
        <v>-2.76</v>
      </c>
      <c r="T256" s="9">
        <f t="shared" si="22"/>
        <v>117.3707142857142</v>
      </c>
      <c r="U256" s="39" t="s">
        <v>37</v>
      </c>
      <c r="V256" s="4">
        <v>1503.9</v>
      </c>
      <c r="W256" s="4">
        <v>101.61486486486487</v>
      </c>
      <c r="X256" s="4">
        <v>174612.3</v>
      </c>
      <c r="Y256" s="4">
        <f t="shared" si="24"/>
        <v>11703.7</v>
      </c>
      <c r="AA256" s="4">
        <v>15.0845769859628</v>
      </c>
    </row>
    <row r="257" spans="1:27" s="4" customFormat="1" x14ac:dyDescent="0.25">
      <c r="A257" s="71"/>
      <c r="B257" s="5"/>
      <c r="C257" s="6">
        <v>42135</v>
      </c>
      <c r="D257" s="4">
        <v>17.3</v>
      </c>
      <c r="E257" s="4">
        <v>12</v>
      </c>
      <c r="F257" s="4">
        <v>24</v>
      </c>
      <c r="G257" s="4">
        <v>2118.1999999999998</v>
      </c>
      <c r="H257" s="4">
        <f t="shared" si="23"/>
        <v>127.9</v>
      </c>
      <c r="I257" s="4">
        <v>0</v>
      </c>
      <c r="J257" s="4">
        <v>0</v>
      </c>
      <c r="K257" s="4">
        <v>417.30000000000013</v>
      </c>
      <c r="L257" s="4">
        <v>4.2</v>
      </c>
      <c r="M257" s="4">
        <v>319.19999999999987</v>
      </c>
      <c r="N257" s="8">
        <v>-4.2</v>
      </c>
      <c r="O257" s="4">
        <f t="shared" si="21"/>
        <v>143</v>
      </c>
      <c r="P257" s="4">
        <v>252</v>
      </c>
      <c r="Q257" s="4">
        <v>1.1499999999999999</v>
      </c>
      <c r="R257" s="9">
        <f t="shared" si="19"/>
        <v>4.83</v>
      </c>
      <c r="S257" s="9">
        <f t="shared" si="20"/>
        <v>-4.83</v>
      </c>
      <c r="T257" s="9">
        <f t="shared" si="22"/>
        <v>112.5407142857142</v>
      </c>
      <c r="U257" s="9">
        <f>MIN(T249:T272)</f>
        <v>84.295714285714197</v>
      </c>
      <c r="V257" s="4">
        <v>2227.8000000000002</v>
      </c>
      <c r="W257" s="4">
        <v>128.77456647398844</v>
      </c>
      <c r="X257" s="4">
        <v>176840.09999999998</v>
      </c>
      <c r="Y257" s="4">
        <f t="shared" si="24"/>
        <v>13931.5</v>
      </c>
      <c r="AA257" s="4">
        <v>15.1343777844481</v>
      </c>
    </row>
    <row r="258" spans="1:27" s="4" customFormat="1" x14ac:dyDescent="0.25">
      <c r="A258" s="71"/>
      <c r="B258" s="5"/>
      <c r="C258" s="6">
        <v>42136</v>
      </c>
      <c r="D258" s="4">
        <v>12.9</v>
      </c>
      <c r="E258" s="4">
        <v>12.3</v>
      </c>
      <c r="F258" s="4">
        <v>16.100000000000001</v>
      </c>
      <c r="G258" s="4">
        <v>2131.1</v>
      </c>
      <c r="H258" s="4">
        <f t="shared" si="23"/>
        <v>140.80000000000001</v>
      </c>
      <c r="I258" s="39" t="s">
        <v>38</v>
      </c>
      <c r="J258" s="4">
        <v>0</v>
      </c>
      <c r="K258" s="4">
        <v>417.30000000000013</v>
      </c>
      <c r="L258" s="4">
        <v>2.6</v>
      </c>
      <c r="M258" s="4">
        <v>321.7999999999999</v>
      </c>
      <c r="N258" s="8">
        <v>-2.6</v>
      </c>
      <c r="O258" s="4">
        <f t="shared" si="21"/>
        <v>140.4</v>
      </c>
      <c r="P258" s="4">
        <v>253</v>
      </c>
      <c r="Q258" s="4">
        <v>1.1499999999999999</v>
      </c>
      <c r="R258" s="9">
        <f t="shared" si="19"/>
        <v>2.9899999999999998</v>
      </c>
      <c r="S258" s="9">
        <f t="shared" si="20"/>
        <v>-2.9899999999999998</v>
      </c>
      <c r="T258" s="9">
        <f t="shared" si="22"/>
        <v>109.55071428571421</v>
      </c>
      <c r="U258" s="39" t="s">
        <v>39</v>
      </c>
      <c r="V258" s="4">
        <v>1276.0999999999999</v>
      </c>
      <c r="W258" s="4">
        <v>98.922480620155028</v>
      </c>
      <c r="X258" s="4">
        <v>178116.19999999998</v>
      </c>
      <c r="Y258" s="4">
        <f t="shared" si="24"/>
        <v>15207.6</v>
      </c>
      <c r="AA258" s="4">
        <v>15.1835299572792</v>
      </c>
    </row>
    <row r="259" spans="1:27" s="4" customFormat="1" x14ac:dyDescent="0.25">
      <c r="A259" s="71"/>
      <c r="B259" s="5"/>
      <c r="C259" s="6">
        <v>42137</v>
      </c>
      <c r="D259" s="4">
        <v>12.8</v>
      </c>
      <c r="E259" s="4">
        <v>5.4</v>
      </c>
      <c r="F259" s="4">
        <v>17.7</v>
      </c>
      <c r="G259" s="4">
        <v>2143.9</v>
      </c>
      <c r="H259" s="4">
        <f t="shared" si="23"/>
        <v>153.60000000000002</v>
      </c>
      <c r="I259" s="4">
        <v>0</v>
      </c>
      <c r="J259" s="4">
        <v>0</v>
      </c>
      <c r="K259" s="4">
        <v>417.30000000000013</v>
      </c>
      <c r="L259" s="4">
        <v>3.2</v>
      </c>
      <c r="M259" s="4">
        <v>324.99999999999989</v>
      </c>
      <c r="N259" s="8">
        <v>-3.2</v>
      </c>
      <c r="O259" s="4">
        <f t="shared" si="21"/>
        <v>137.20000000000002</v>
      </c>
      <c r="P259" s="4">
        <v>254</v>
      </c>
      <c r="Q259" s="4">
        <v>1.1499999999999999</v>
      </c>
      <c r="R259" s="9">
        <f t="shared" si="19"/>
        <v>3.6799999999999997</v>
      </c>
      <c r="S259" s="9">
        <f t="shared" si="20"/>
        <v>-3.6799999999999997</v>
      </c>
      <c r="T259" s="9">
        <f t="shared" si="22"/>
        <v>105.8707142857142</v>
      </c>
      <c r="U259" s="9">
        <f>MAX(T249:T272)</f>
        <v>131.57071428571422</v>
      </c>
      <c r="V259" s="4">
        <v>2049.6</v>
      </c>
      <c r="W259" s="4">
        <v>160.12499999999997</v>
      </c>
      <c r="X259" s="4">
        <v>180165.8</v>
      </c>
      <c r="Y259" s="4">
        <f t="shared" si="24"/>
        <v>17257.2</v>
      </c>
      <c r="AA259" s="4">
        <v>15.2320087057244</v>
      </c>
    </row>
    <row r="260" spans="1:27" s="4" customFormat="1" x14ac:dyDescent="0.25">
      <c r="A260" s="71"/>
      <c r="B260" s="5"/>
      <c r="C260" s="6">
        <v>42138</v>
      </c>
      <c r="D260" s="4">
        <v>10.5</v>
      </c>
      <c r="E260" s="4">
        <v>9.8000000000000007</v>
      </c>
      <c r="F260" s="4">
        <v>14</v>
      </c>
      <c r="G260" s="4">
        <v>2154.4</v>
      </c>
      <c r="H260" s="4">
        <f t="shared" si="23"/>
        <v>164.10000000000002</v>
      </c>
      <c r="I260" s="39" t="s">
        <v>40</v>
      </c>
      <c r="J260" s="4">
        <v>9.3000000000000007</v>
      </c>
      <c r="K260" s="4">
        <v>426.60000000000014</v>
      </c>
      <c r="L260" s="4">
        <v>1.7</v>
      </c>
      <c r="M260" s="4">
        <v>326.69999999999987</v>
      </c>
      <c r="N260" s="4">
        <v>7.6000000000000005</v>
      </c>
      <c r="O260" s="4">
        <f t="shared" si="21"/>
        <v>144.80000000000001</v>
      </c>
      <c r="P260" s="4">
        <v>255</v>
      </c>
      <c r="Q260" s="4">
        <v>1.1499999999999999</v>
      </c>
      <c r="R260" s="9">
        <f t="shared" si="19"/>
        <v>1.9549999999999998</v>
      </c>
      <c r="S260" s="9">
        <f t="shared" si="20"/>
        <v>7.3450000000000006</v>
      </c>
      <c r="T260" s="9">
        <f t="shared" si="22"/>
        <v>113.2157142857142</v>
      </c>
      <c r="U260" s="39" t="s">
        <v>41</v>
      </c>
      <c r="V260" s="4">
        <v>990.3</v>
      </c>
      <c r="W260" s="4">
        <v>94.314285714285717</v>
      </c>
      <c r="X260" s="4">
        <v>181156.09999999998</v>
      </c>
      <c r="Y260" s="4">
        <f t="shared" si="24"/>
        <v>18247.5</v>
      </c>
      <c r="AA260" s="4">
        <v>15.279788744014599</v>
      </c>
    </row>
    <row r="261" spans="1:27" s="4" customFormat="1" x14ac:dyDescent="0.25">
      <c r="A261" s="71"/>
      <c r="B261" s="5"/>
      <c r="C261" s="6">
        <v>42139</v>
      </c>
      <c r="D261" s="4">
        <v>9.5</v>
      </c>
      <c r="E261" s="4">
        <v>5.2</v>
      </c>
      <c r="F261" s="4">
        <v>13.1</v>
      </c>
      <c r="G261" s="4">
        <v>2163.9</v>
      </c>
      <c r="H261" s="4">
        <f t="shared" si="23"/>
        <v>173.60000000000002</v>
      </c>
      <c r="I261" s="4">
        <v>0</v>
      </c>
      <c r="J261" s="4">
        <v>0.2</v>
      </c>
      <c r="K261" s="4">
        <v>426.80000000000013</v>
      </c>
      <c r="L261" s="4">
        <v>1.7</v>
      </c>
      <c r="M261" s="4">
        <v>328.39999999999986</v>
      </c>
      <c r="N261" s="8">
        <v>-1.5</v>
      </c>
      <c r="O261" s="4">
        <f t="shared" si="21"/>
        <v>143.30000000000001</v>
      </c>
      <c r="P261" s="4">
        <v>256</v>
      </c>
      <c r="Q261" s="4">
        <v>1.1499999999999999</v>
      </c>
      <c r="R261" s="9">
        <f t="shared" si="19"/>
        <v>1.9549999999999998</v>
      </c>
      <c r="S261" s="9">
        <f t="shared" si="20"/>
        <v>-1.7549999999999999</v>
      </c>
      <c r="T261" s="9">
        <f t="shared" si="22"/>
        <v>111.4607142857142</v>
      </c>
      <c r="U261" s="11">
        <f>AVERAGE(T249:T272)</f>
        <v>109.68154761904755</v>
      </c>
      <c r="V261" s="4">
        <v>1252.4000000000001</v>
      </c>
      <c r="W261" s="4">
        <v>131.83157894736843</v>
      </c>
      <c r="X261" s="4">
        <v>182408.49999999997</v>
      </c>
      <c r="Y261" s="4">
        <f t="shared" si="24"/>
        <v>19499.900000000001</v>
      </c>
      <c r="AA261" s="4">
        <v>15.326844323130199</v>
      </c>
    </row>
    <row r="262" spans="1:27" s="4" customFormat="1" x14ac:dyDescent="0.25">
      <c r="A262" s="71"/>
      <c r="B262" s="5"/>
      <c r="C262" s="6">
        <v>42140</v>
      </c>
      <c r="D262" s="4">
        <v>10.5</v>
      </c>
      <c r="E262" s="4">
        <v>5.4</v>
      </c>
      <c r="F262" s="4">
        <v>14.2</v>
      </c>
      <c r="G262" s="4">
        <v>2174.4</v>
      </c>
      <c r="H262" s="4">
        <f t="shared" si="23"/>
        <v>184.10000000000002</v>
      </c>
      <c r="I262" s="39" t="s">
        <v>42</v>
      </c>
      <c r="J262" s="4">
        <v>0</v>
      </c>
      <c r="K262" s="4">
        <v>426.80000000000013</v>
      </c>
      <c r="L262" s="4">
        <v>1.3</v>
      </c>
      <c r="M262" s="4">
        <v>329.69999999999987</v>
      </c>
      <c r="N262" s="8">
        <v>-1.3</v>
      </c>
      <c r="O262" s="4">
        <f t="shared" si="21"/>
        <v>142</v>
      </c>
      <c r="P262" s="4">
        <v>257</v>
      </c>
      <c r="Q262" s="4">
        <v>1.1499999999999999</v>
      </c>
      <c r="R262" s="9">
        <f t="shared" ref="R262:R316" si="25">Q262*L262</f>
        <v>1.4949999999999999</v>
      </c>
      <c r="S262" s="9">
        <f t="shared" ref="S262:S316" si="26">J262-R262</f>
        <v>-1.4949999999999999</v>
      </c>
      <c r="T262" s="9">
        <f t="shared" si="22"/>
        <v>109.9657142857142</v>
      </c>
      <c r="V262" s="4">
        <v>1101.4000000000001</v>
      </c>
      <c r="W262" s="4">
        <v>104.8952380952381</v>
      </c>
      <c r="X262" s="4">
        <v>183509.89999999997</v>
      </c>
      <c r="Y262" s="4">
        <f t="shared" si="24"/>
        <v>20601.300000000003</v>
      </c>
      <c r="AA262" s="4">
        <v>15.373149257592299</v>
      </c>
    </row>
    <row r="263" spans="1:27" s="4" customFormat="1" x14ac:dyDescent="0.25">
      <c r="A263" s="71"/>
      <c r="B263" s="5"/>
      <c r="C263" s="6">
        <v>42141</v>
      </c>
      <c r="D263" s="4">
        <v>11.1</v>
      </c>
      <c r="E263" s="4">
        <v>6</v>
      </c>
      <c r="F263" s="4">
        <v>16.600000000000001</v>
      </c>
      <c r="G263" s="4">
        <v>2185.5</v>
      </c>
      <c r="H263" s="4">
        <f t="shared" si="23"/>
        <v>195.20000000000002</v>
      </c>
      <c r="I263" s="4">
        <v>303.5</v>
      </c>
      <c r="J263" s="4">
        <v>0</v>
      </c>
      <c r="K263" s="4">
        <v>426.80000000000013</v>
      </c>
      <c r="L263" s="4">
        <v>3.1</v>
      </c>
      <c r="M263" s="4">
        <v>332.7999999999999</v>
      </c>
      <c r="N263" s="8">
        <v>-3.1</v>
      </c>
      <c r="O263" s="4">
        <f t="shared" si="21"/>
        <v>138.9</v>
      </c>
      <c r="P263" s="4">
        <v>258</v>
      </c>
      <c r="Q263" s="4">
        <v>1.1499999999999999</v>
      </c>
      <c r="R263" s="9">
        <f t="shared" si="25"/>
        <v>3.5649999999999999</v>
      </c>
      <c r="S263" s="9">
        <f t="shared" si="26"/>
        <v>-3.5649999999999999</v>
      </c>
      <c r="T263" s="9">
        <f t="shared" si="22"/>
        <v>106.4007142857142</v>
      </c>
      <c r="U263" s="4">
        <f>(U261*100)/189.6</f>
        <v>57.848917520594696</v>
      </c>
      <c r="V263" s="4">
        <v>2059</v>
      </c>
      <c r="W263" s="4">
        <v>185.4954954954955</v>
      </c>
      <c r="X263" s="4">
        <v>185568.89999999997</v>
      </c>
      <c r="Y263" s="4">
        <f t="shared" si="24"/>
        <v>22660.300000000003</v>
      </c>
      <c r="AA263" s="4">
        <v>15.4186769553468</v>
      </c>
    </row>
    <row r="264" spans="1:27" s="4" customFormat="1" x14ac:dyDescent="0.25">
      <c r="A264" s="71"/>
      <c r="B264" s="5"/>
      <c r="C264" s="6">
        <v>42142</v>
      </c>
      <c r="D264" s="4">
        <v>10.6</v>
      </c>
      <c r="E264" s="4">
        <v>5.8</v>
      </c>
      <c r="F264" s="4">
        <v>17.3</v>
      </c>
      <c r="G264" s="4">
        <v>2196.1</v>
      </c>
      <c r="H264" s="4">
        <f t="shared" si="23"/>
        <v>205.8</v>
      </c>
      <c r="J264" s="4">
        <v>2.7</v>
      </c>
      <c r="K264" s="4">
        <v>429.50000000000011</v>
      </c>
      <c r="L264" s="4">
        <v>2</v>
      </c>
      <c r="M264" s="4">
        <v>334.7999999999999</v>
      </c>
      <c r="N264" s="4">
        <v>0.70000000000000018</v>
      </c>
      <c r="O264" s="4">
        <f t="shared" ref="O264:O316" si="27">O263+N264</f>
        <v>139.6</v>
      </c>
      <c r="P264" s="4">
        <v>259</v>
      </c>
      <c r="Q264" s="4">
        <v>1.1499999999999999</v>
      </c>
      <c r="R264" s="9">
        <f t="shared" si="25"/>
        <v>2.2999999999999998</v>
      </c>
      <c r="S264" s="9">
        <f t="shared" si="26"/>
        <v>0.40000000000000036</v>
      </c>
      <c r="T264" s="9">
        <f t="shared" ref="T264:T316" si="28">MIN(189.6,(T263+S264))</f>
        <v>106.80071428571421</v>
      </c>
      <c r="V264" s="4">
        <v>990.3</v>
      </c>
      <c r="W264" s="4">
        <v>93.424528301886795</v>
      </c>
      <c r="X264" s="4">
        <v>186559.19999999995</v>
      </c>
      <c r="Y264" s="4">
        <f t="shared" si="24"/>
        <v>23650.600000000002</v>
      </c>
      <c r="AA264" s="4">
        <v>15.463400450818201</v>
      </c>
    </row>
    <row r="265" spans="1:27" s="25" customFormat="1" x14ac:dyDescent="0.25">
      <c r="A265" s="71"/>
      <c r="B265" s="24"/>
      <c r="C265" s="40">
        <v>42143</v>
      </c>
      <c r="D265" s="25">
        <v>9.1999999999999993</v>
      </c>
      <c r="E265" s="25">
        <v>6.9</v>
      </c>
      <c r="F265" s="25">
        <v>11.5</v>
      </c>
      <c r="G265" s="25">
        <v>2205.2999999999997</v>
      </c>
      <c r="H265" s="25">
        <f t="shared" si="23"/>
        <v>215</v>
      </c>
      <c r="J265" s="25">
        <v>2.9</v>
      </c>
      <c r="K265" s="25">
        <v>432.40000000000009</v>
      </c>
      <c r="L265" s="25">
        <v>2.9</v>
      </c>
      <c r="M265" s="25">
        <v>337.69999999999987</v>
      </c>
      <c r="N265" s="25">
        <v>0</v>
      </c>
      <c r="O265" s="25">
        <f t="shared" si="27"/>
        <v>139.6</v>
      </c>
      <c r="P265" s="25">
        <v>260</v>
      </c>
      <c r="Q265" s="4">
        <v>1.1499999999999999</v>
      </c>
      <c r="R265" s="26">
        <f t="shared" si="25"/>
        <v>3.3349999999999995</v>
      </c>
      <c r="S265" s="26">
        <f t="shared" si="26"/>
        <v>-0.43499999999999961</v>
      </c>
      <c r="T265" s="9">
        <f t="shared" si="28"/>
        <v>106.3657142857142</v>
      </c>
      <c r="V265" s="25">
        <v>2379.1</v>
      </c>
      <c r="W265" s="25">
        <v>258.59782608695656</v>
      </c>
      <c r="X265" s="25">
        <v>188938.29999999996</v>
      </c>
      <c r="Y265" s="4">
        <f t="shared" si="24"/>
        <v>26029.7</v>
      </c>
      <c r="AA265" s="4">
        <v>15.507292441198199</v>
      </c>
    </row>
    <row r="266" spans="1:27" s="4" customFormat="1" ht="15" customHeight="1" x14ac:dyDescent="0.25">
      <c r="A266" s="71"/>
      <c r="B266" s="5"/>
      <c r="C266" s="6">
        <v>42144</v>
      </c>
      <c r="D266" s="4">
        <v>9.6</v>
      </c>
      <c r="E266" s="4">
        <v>5.4</v>
      </c>
      <c r="F266" s="4">
        <v>13.5</v>
      </c>
      <c r="G266" s="4">
        <v>2214.8999999999996</v>
      </c>
      <c r="H266" s="4">
        <f t="shared" si="23"/>
        <v>224.6</v>
      </c>
      <c r="J266" s="4">
        <v>0.2</v>
      </c>
      <c r="K266" s="4">
        <v>432.60000000000008</v>
      </c>
      <c r="L266" s="4">
        <v>2.6</v>
      </c>
      <c r="M266" s="4">
        <v>340.2999999999999</v>
      </c>
      <c r="N266" s="8">
        <v>-2.4</v>
      </c>
      <c r="O266" s="4">
        <f t="shared" si="27"/>
        <v>137.19999999999999</v>
      </c>
      <c r="P266" s="4">
        <v>261</v>
      </c>
      <c r="Q266" s="4">
        <v>1.1499999999999999</v>
      </c>
      <c r="R266" s="9">
        <f t="shared" si="25"/>
        <v>2.9899999999999998</v>
      </c>
      <c r="S266" s="9">
        <f t="shared" si="26"/>
        <v>-2.7899999999999996</v>
      </c>
      <c r="T266" s="9">
        <f t="shared" si="28"/>
        <v>103.5757142857142</v>
      </c>
      <c r="U266" s="27"/>
      <c r="V266" s="4">
        <v>1869.1</v>
      </c>
      <c r="W266" s="4">
        <v>194.69791666666666</v>
      </c>
      <c r="X266" s="4">
        <v>190807.39999999997</v>
      </c>
      <c r="Y266" s="4">
        <f t="shared" si="24"/>
        <v>27898.799999999999</v>
      </c>
      <c r="AA266" s="4">
        <v>15.5503253260155</v>
      </c>
    </row>
    <row r="267" spans="1:27" s="4" customFormat="1" x14ac:dyDescent="0.25">
      <c r="A267" s="71"/>
      <c r="B267" s="5"/>
      <c r="C267" s="6">
        <v>42145</v>
      </c>
      <c r="D267" s="4">
        <v>11.6</v>
      </c>
      <c r="E267" s="4">
        <v>6.5</v>
      </c>
      <c r="F267" s="4">
        <v>16.600000000000001</v>
      </c>
      <c r="G267" s="4">
        <v>2226.4999999999995</v>
      </c>
      <c r="H267" s="4">
        <f t="shared" si="23"/>
        <v>236.2</v>
      </c>
      <c r="J267" s="4">
        <v>0</v>
      </c>
      <c r="K267" s="4">
        <v>432.60000000000008</v>
      </c>
      <c r="L267" s="4">
        <v>3</v>
      </c>
      <c r="M267" s="4">
        <v>343.2999999999999</v>
      </c>
      <c r="N267" s="8">
        <v>-3</v>
      </c>
      <c r="O267" s="4">
        <f t="shared" si="27"/>
        <v>134.19999999999999</v>
      </c>
      <c r="P267" s="4">
        <v>262</v>
      </c>
      <c r="Q267" s="4">
        <v>1.1499999999999999</v>
      </c>
      <c r="R267" s="9">
        <f t="shared" si="25"/>
        <v>3.4499999999999997</v>
      </c>
      <c r="S267" s="9">
        <f t="shared" si="26"/>
        <v>-3.4499999999999997</v>
      </c>
      <c r="T267" s="9">
        <f t="shared" si="28"/>
        <v>100.1257142857142</v>
      </c>
      <c r="V267" s="4">
        <v>1903.2</v>
      </c>
      <c r="W267" s="4">
        <v>164.06896551724139</v>
      </c>
      <c r="X267" s="4">
        <v>192710.59999999998</v>
      </c>
      <c r="Y267" s="4">
        <f t="shared" si="24"/>
        <v>29802</v>
      </c>
      <c r="AA267" s="4">
        <v>15.5924712500165</v>
      </c>
    </row>
    <row r="268" spans="1:27" s="4" customFormat="1" x14ac:dyDescent="0.25">
      <c r="A268" s="71"/>
      <c r="B268" s="5"/>
      <c r="C268" s="6">
        <v>42146</v>
      </c>
      <c r="D268" s="4">
        <v>12.9</v>
      </c>
      <c r="E268" s="4">
        <v>6.2</v>
      </c>
      <c r="F268" s="4">
        <v>17.399999999999999</v>
      </c>
      <c r="G268" s="4">
        <v>2239.3999999999996</v>
      </c>
      <c r="H268" s="4">
        <f t="shared" si="23"/>
        <v>249.1</v>
      </c>
      <c r="J268" s="4">
        <v>0</v>
      </c>
      <c r="K268" s="4">
        <v>432.60000000000008</v>
      </c>
      <c r="L268" s="4">
        <v>2.6</v>
      </c>
      <c r="M268" s="4">
        <v>345.89999999999992</v>
      </c>
      <c r="N268" s="8">
        <v>-2.6</v>
      </c>
      <c r="O268" s="4">
        <f t="shared" si="27"/>
        <v>131.6</v>
      </c>
      <c r="P268" s="4">
        <v>263</v>
      </c>
      <c r="Q268" s="4">
        <v>1.1499999999999999</v>
      </c>
      <c r="R268" s="9">
        <f t="shared" si="25"/>
        <v>2.9899999999999998</v>
      </c>
      <c r="S268" s="9">
        <f t="shared" si="26"/>
        <v>-2.9899999999999998</v>
      </c>
      <c r="T268" s="9">
        <f t="shared" si="28"/>
        <v>97.135714285714201</v>
      </c>
      <c r="V268" s="4">
        <v>1773.9</v>
      </c>
      <c r="W268" s="4">
        <v>137.51162790697674</v>
      </c>
      <c r="X268" s="4">
        <v>194484.49999999997</v>
      </c>
      <c r="Y268" s="4">
        <f t="shared" si="24"/>
        <v>31575.9</v>
      </c>
      <c r="AA268" s="4">
        <v>15.633702149368199</v>
      </c>
    </row>
    <row r="269" spans="1:27" s="4" customFormat="1" x14ac:dyDescent="0.25">
      <c r="A269" s="71"/>
      <c r="B269" s="5"/>
      <c r="C269" s="6">
        <v>42147</v>
      </c>
      <c r="D269" s="4">
        <v>14.1</v>
      </c>
      <c r="E269" s="4">
        <v>11.2</v>
      </c>
      <c r="F269" s="4">
        <v>18.5</v>
      </c>
      <c r="G269" s="4">
        <v>2253.4999999999995</v>
      </c>
      <c r="H269" s="4">
        <f t="shared" si="23"/>
        <v>263.2</v>
      </c>
      <c r="J269" s="4">
        <v>0</v>
      </c>
      <c r="K269" s="4">
        <v>432.60000000000008</v>
      </c>
      <c r="L269" s="4">
        <v>2.4</v>
      </c>
      <c r="M269" s="4">
        <v>348.2999999999999</v>
      </c>
      <c r="N269" s="8">
        <v>-2.4</v>
      </c>
      <c r="O269" s="4">
        <f t="shared" si="27"/>
        <v>129.19999999999999</v>
      </c>
      <c r="P269" s="4">
        <v>264</v>
      </c>
      <c r="Q269" s="4">
        <v>1.1499999999999999</v>
      </c>
      <c r="R269" s="9">
        <f t="shared" si="25"/>
        <v>2.76</v>
      </c>
      <c r="S269" s="9">
        <f t="shared" si="26"/>
        <v>-2.76</v>
      </c>
      <c r="T269" s="9">
        <f t="shared" si="28"/>
        <v>94.375714285714196</v>
      </c>
      <c r="V269" s="4">
        <v>1409.5</v>
      </c>
      <c r="W269" s="4">
        <v>99.964539007092199</v>
      </c>
      <c r="X269" s="4">
        <v>195893.99999999997</v>
      </c>
      <c r="Y269" s="4">
        <f t="shared" si="24"/>
        <v>32985.4</v>
      </c>
      <c r="AA269" s="4">
        <v>15.6739898011683</v>
      </c>
    </row>
    <row r="270" spans="1:27" s="4" customFormat="1" x14ac:dyDescent="0.25">
      <c r="A270" s="71"/>
      <c r="B270" s="5"/>
      <c r="C270" s="6">
        <v>42148</v>
      </c>
      <c r="D270" s="4">
        <v>14.1</v>
      </c>
      <c r="E270" s="4">
        <v>8.5</v>
      </c>
      <c r="F270" s="4">
        <v>18.600000000000001</v>
      </c>
      <c r="G270" s="4">
        <v>2267.5999999999995</v>
      </c>
      <c r="H270" s="4">
        <f t="shared" si="23"/>
        <v>277.3</v>
      </c>
      <c r="J270" s="4">
        <v>0.5</v>
      </c>
      <c r="K270" s="4">
        <v>433.10000000000008</v>
      </c>
      <c r="L270" s="4">
        <v>3.7</v>
      </c>
      <c r="M270" s="4">
        <v>351.99999999999989</v>
      </c>
      <c r="N270" s="8">
        <v>-3.2</v>
      </c>
      <c r="O270" s="4">
        <f t="shared" si="27"/>
        <v>125.99999999999999</v>
      </c>
      <c r="P270" s="4">
        <v>265</v>
      </c>
      <c r="Q270" s="4">
        <v>1.1499999999999999</v>
      </c>
      <c r="R270" s="9">
        <f t="shared" si="25"/>
        <v>4.2549999999999999</v>
      </c>
      <c r="S270" s="9">
        <f t="shared" si="26"/>
        <v>-3.7549999999999999</v>
      </c>
      <c r="T270" s="9">
        <f t="shared" si="28"/>
        <v>90.6207142857142</v>
      </c>
      <c r="V270" s="4">
        <v>2369.6</v>
      </c>
      <c r="W270" s="4">
        <v>168.05673758865248</v>
      </c>
      <c r="X270" s="4">
        <v>198263.59999999998</v>
      </c>
      <c r="Y270" s="4">
        <f t="shared" si="24"/>
        <v>35355</v>
      </c>
      <c r="AA270" s="4">
        <v>15.7133058762291</v>
      </c>
    </row>
    <row r="271" spans="1:27" s="4" customFormat="1" x14ac:dyDescent="0.25">
      <c r="A271" s="71"/>
      <c r="B271" s="5"/>
      <c r="C271" s="6">
        <v>42149</v>
      </c>
      <c r="D271" s="4">
        <v>13.4</v>
      </c>
      <c r="E271" s="4">
        <v>11.9</v>
      </c>
      <c r="F271" s="4">
        <v>16.399999999999999</v>
      </c>
      <c r="G271" s="4">
        <v>2280.9999999999995</v>
      </c>
      <c r="H271" s="4">
        <f t="shared" si="23"/>
        <v>290.7</v>
      </c>
      <c r="J271" s="4">
        <v>0</v>
      </c>
      <c r="K271" s="4">
        <v>433.10000000000008</v>
      </c>
      <c r="L271" s="4">
        <v>2.5</v>
      </c>
      <c r="M271" s="4">
        <v>354.49999999999989</v>
      </c>
      <c r="N271" s="8">
        <v>-2.5</v>
      </c>
      <c r="O271" s="4">
        <f t="shared" si="27"/>
        <v>123.49999999999999</v>
      </c>
      <c r="P271" s="4">
        <v>266</v>
      </c>
      <c r="Q271" s="4">
        <v>1.1499999999999999</v>
      </c>
      <c r="R271" s="9">
        <f t="shared" si="25"/>
        <v>2.875</v>
      </c>
      <c r="S271" s="9">
        <f t="shared" si="26"/>
        <v>-2.875</v>
      </c>
      <c r="T271" s="9">
        <f t="shared" si="28"/>
        <v>87.7457142857142</v>
      </c>
      <c r="V271" s="4">
        <v>1329.6</v>
      </c>
      <c r="W271" s="4">
        <v>99.223880597014912</v>
      </c>
      <c r="X271" s="4">
        <v>199593.19999999998</v>
      </c>
      <c r="Y271" s="4">
        <f t="shared" si="24"/>
        <v>36684.6</v>
      </c>
      <c r="AA271" s="4">
        <v>15.751621995070099</v>
      </c>
    </row>
    <row r="272" spans="1:27" s="52" customFormat="1" ht="15.75" thickBot="1" x14ac:dyDescent="0.3">
      <c r="A272" s="71"/>
      <c r="B272" s="57"/>
      <c r="C272" s="58">
        <v>42150</v>
      </c>
      <c r="D272" s="52">
        <v>12.8</v>
      </c>
      <c r="E272" s="52">
        <v>10</v>
      </c>
      <c r="F272" s="52">
        <v>16.3</v>
      </c>
      <c r="G272" s="52">
        <v>2293.7999999999997</v>
      </c>
      <c r="H272" s="52">
        <f t="shared" si="23"/>
        <v>303.5</v>
      </c>
      <c r="J272" s="52">
        <v>0</v>
      </c>
      <c r="K272" s="52">
        <v>433.10000000000008</v>
      </c>
      <c r="L272" s="52">
        <v>3</v>
      </c>
      <c r="M272" s="52">
        <v>357.49999999999989</v>
      </c>
      <c r="N272" s="59">
        <v>-3</v>
      </c>
      <c r="O272" s="52">
        <f t="shared" si="27"/>
        <v>120.49999999999999</v>
      </c>
      <c r="P272" s="52">
        <v>267</v>
      </c>
      <c r="Q272" s="52">
        <v>1.1499999999999999</v>
      </c>
      <c r="R272" s="54">
        <f t="shared" si="25"/>
        <v>3.4499999999999997</v>
      </c>
      <c r="S272" s="54">
        <f t="shared" si="26"/>
        <v>-3.4499999999999997</v>
      </c>
      <c r="T272" s="54">
        <f t="shared" si="28"/>
        <v>84.295714285714197</v>
      </c>
      <c r="V272" s="52">
        <v>1835.7</v>
      </c>
      <c r="W272" s="52">
        <v>143.4140625</v>
      </c>
      <c r="X272" s="52">
        <v>201428.9</v>
      </c>
      <c r="Y272" s="52">
        <f t="shared" si="24"/>
        <v>38520.299999999996</v>
      </c>
      <c r="AA272" s="52">
        <v>15.7889097870295</v>
      </c>
    </row>
    <row r="273" spans="1:27" s="25" customFormat="1" x14ac:dyDescent="0.25">
      <c r="A273" s="72">
        <v>600</v>
      </c>
      <c r="B273" s="47"/>
      <c r="C273" s="40">
        <v>42151</v>
      </c>
      <c r="D273" s="25">
        <v>13.9</v>
      </c>
      <c r="E273" s="25">
        <v>8</v>
      </c>
      <c r="F273" s="25">
        <v>18.600000000000001</v>
      </c>
      <c r="G273" s="25">
        <v>2307.6999999999998</v>
      </c>
      <c r="H273" s="25">
        <f>D273</f>
        <v>13.9</v>
      </c>
      <c r="J273" s="25">
        <v>0</v>
      </c>
      <c r="K273" s="25">
        <v>433.10000000000008</v>
      </c>
      <c r="L273" s="25">
        <v>3.4</v>
      </c>
      <c r="M273" s="25">
        <v>360.89999999999986</v>
      </c>
      <c r="N273" s="48">
        <v>-3.4</v>
      </c>
      <c r="O273" s="25">
        <f t="shared" si="27"/>
        <v>117.09999999999998</v>
      </c>
      <c r="P273" s="25">
        <v>268</v>
      </c>
      <c r="Q273" s="11">
        <f>1.15+((P273-267)/62)*(0.35-1.15)</f>
        <v>1.1370967741935483</v>
      </c>
      <c r="R273" s="26">
        <f t="shared" si="25"/>
        <v>3.8661290322580641</v>
      </c>
      <c r="S273" s="26">
        <f t="shared" si="26"/>
        <v>-3.8661290322580641</v>
      </c>
      <c r="T273" s="26">
        <f t="shared" si="28"/>
        <v>80.429585253456139</v>
      </c>
      <c r="V273" s="25">
        <v>2124.9</v>
      </c>
      <c r="W273" s="25">
        <v>152.87050359712231</v>
      </c>
      <c r="X273" s="25">
        <v>203553.8</v>
      </c>
      <c r="Y273" s="25">
        <f>V273</f>
        <v>2124.9</v>
      </c>
      <c r="AA273" s="25">
        <v>15.825140952375</v>
      </c>
    </row>
    <row r="274" spans="1:27" s="4" customFormat="1" ht="15" customHeight="1" x14ac:dyDescent="0.25">
      <c r="A274" s="72"/>
      <c r="B274" s="5"/>
      <c r="C274" s="6">
        <v>42152</v>
      </c>
      <c r="D274" s="4">
        <v>12.6</v>
      </c>
      <c r="E274" s="4">
        <v>10.199999999999999</v>
      </c>
      <c r="F274" s="4">
        <v>15.1</v>
      </c>
      <c r="G274" s="4">
        <v>2320.2999999999997</v>
      </c>
      <c r="H274" s="4">
        <f>H273+D274</f>
        <v>26.5</v>
      </c>
      <c r="I274" s="41" t="s">
        <v>27</v>
      </c>
      <c r="J274" s="4">
        <v>0</v>
      </c>
      <c r="K274" s="4">
        <v>433.10000000000008</v>
      </c>
      <c r="L274" s="4">
        <v>1.9</v>
      </c>
      <c r="M274" s="4">
        <v>362.79999999999984</v>
      </c>
      <c r="N274" s="8">
        <v>-1.9</v>
      </c>
      <c r="O274" s="4">
        <f t="shared" si="27"/>
        <v>115.19999999999997</v>
      </c>
      <c r="P274" s="4">
        <v>269</v>
      </c>
      <c r="Q274" s="11">
        <f t="shared" ref="Q274:Q316" si="29">1.15+((P274-267)/62)*(0.35-1.15)</f>
        <v>1.1241935483870966</v>
      </c>
      <c r="R274" s="9">
        <f t="shared" si="25"/>
        <v>2.1359677419354837</v>
      </c>
      <c r="S274" s="9">
        <f t="shared" si="26"/>
        <v>-2.1359677419354837</v>
      </c>
      <c r="T274" s="9">
        <f t="shared" si="28"/>
        <v>78.293617511520651</v>
      </c>
      <c r="U274" s="41" t="s">
        <v>28</v>
      </c>
      <c r="V274" s="4">
        <v>1140.8</v>
      </c>
      <c r="W274" s="4">
        <v>90.539682539682545</v>
      </c>
      <c r="X274" s="4">
        <v>204694.59999999998</v>
      </c>
      <c r="Y274" s="4">
        <f>Y273+V274</f>
        <v>3265.7</v>
      </c>
      <c r="Z274" s="41" t="s">
        <v>29</v>
      </c>
      <c r="AA274" s="4">
        <v>15.8602873272624</v>
      </c>
    </row>
    <row r="275" spans="1:27" s="4" customFormat="1" x14ac:dyDescent="0.25">
      <c r="A275" s="72"/>
      <c r="B275" s="5"/>
      <c r="C275" s="6">
        <v>42153</v>
      </c>
      <c r="D275" s="4">
        <v>11.4</v>
      </c>
      <c r="E275" s="4">
        <v>6.6</v>
      </c>
      <c r="F275" s="4">
        <v>14.4</v>
      </c>
      <c r="G275" s="4">
        <v>2331.6999999999998</v>
      </c>
      <c r="H275" s="4">
        <f t="shared" si="23"/>
        <v>37.9</v>
      </c>
      <c r="I275" s="4">
        <f>MIN(E273:E292)</f>
        <v>6</v>
      </c>
      <c r="J275" s="4">
        <v>1.6</v>
      </c>
      <c r="K275" s="4">
        <v>434.7000000000001</v>
      </c>
      <c r="L275" s="4">
        <v>1.8</v>
      </c>
      <c r="M275" s="4">
        <v>364.59999999999985</v>
      </c>
      <c r="N275" s="8">
        <v>-0.19999999999999996</v>
      </c>
      <c r="O275" s="4">
        <f t="shared" si="27"/>
        <v>114.99999999999997</v>
      </c>
      <c r="P275" s="4">
        <v>270</v>
      </c>
      <c r="Q275" s="11">
        <f t="shared" si="29"/>
        <v>1.111290322580645</v>
      </c>
      <c r="R275" s="9">
        <f t="shared" si="25"/>
        <v>2.000322580645161</v>
      </c>
      <c r="S275" s="9">
        <f t="shared" si="26"/>
        <v>-0.40032258064516091</v>
      </c>
      <c r="T275" s="9">
        <f t="shared" si="28"/>
        <v>77.893294930875484</v>
      </c>
      <c r="U275" s="4">
        <v>18</v>
      </c>
      <c r="V275" s="4">
        <v>1064.5</v>
      </c>
      <c r="W275" s="4">
        <v>93.377192982456137</v>
      </c>
      <c r="X275" s="4">
        <v>205759.09999999998</v>
      </c>
      <c r="Y275" s="4">
        <f t="shared" si="24"/>
        <v>4330.2</v>
      </c>
      <c r="Z275" s="4">
        <v>38942.400000000001</v>
      </c>
      <c r="AA275" s="4">
        <v>15.894320951357299</v>
      </c>
    </row>
    <row r="276" spans="1:27" s="4" customFormat="1" x14ac:dyDescent="0.25">
      <c r="A276" s="72"/>
      <c r="B276" s="5"/>
      <c r="C276" s="6">
        <v>42154</v>
      </c>
      <c r="D276" s="4">
        <v>12.1</v>
      </c>
      <c r="E276" s="4">
        <v>7.8</v>
      </c>
      <c r="F276" s="4">
        <v>15.6</v>
      </c>
      <c r="G276" s="4">
        <v>2343.7999999999997</v>
      </c>
      <c r="H276" s="4">
        <f t="shared" si="23"/>
        <v>50</v>
      </c>
      <c r="I276" s="41" t="s">
        <v>30</v>
      </c>
      <c r="J276" s="4">
        <v>0</v>
      </c>
      <c r="K276" s="4">
        <v>434.7000000000001</v>
      </c>
      <c r="L276" s="4">
        <v>2.8</v>
      </c>
      <c r="M276" s="4">
        <v>367.39999999999986</v>
      </c>
      <c r="N276" s="8">
        <v>-2.8</v>
      </c>
      <c r="O276" s="4">
        <f t="shared" si="27"/>
        <v>112.19999999999997</v>
      </c>
      <c r="P276" s="4">
        <v>271</v>
      </c>
      <c r="Q276" s="11">
        <f t="shared" si="29"/>
        <v>1.0983870967741935</v>
      </c>
      <c r="R276" s="9">
        <f t="shared" si="25"/>
        <v>3.0754838709677417</v>
      </c>
      <c r="S276" s="9">
        <f t="shared" si="26"/>
        <v>-3.0754838709677417</v>
      </c>
      <c r="T276" s="9">
        <f t="shared" si="28"/>
        <v>74.81781105990774</v>
      </c>
      <c r="U276" s="41" t="s">
        <v>31</v>
      </c>
      <c r="V276" s="4">
        <v>1749.1</v>
      </c>
      <c r="W276" s="4">
        <v>144.55371900826447</v>
      </c>
      <c r="X276" s="4">
        <v>207508.19999999998</v>
      </c>
      <c r="Y276" s="4">
        <f t="shared" si="24"/>
        <v>6079.2999999999993</v>
      </c>
      <c r="Z276" s="41" t="s">
        <v>32</v>
      </c>
      <c r="AA276" s="4">
        <v>15.927214137905599</v>
      </c>
    </row>
    <row r="277" spans="1:27" s="4" customFormat="1" x14ac:dyDescent="0.25">
      <c r="A277" s="72"/>
      <c r="B277" s="5"/>
      <c r="C277" s="6">
        <v>42155</v>
      </c>
      <c r="D277" s="4">
        <v>13.1</v>
      </c>
      <c r="E277" s="4">
        <v>8.6999999999999993</v>
      </c>
      <c r="F277" s="4">
        <v>15.4</v>
      </c>
      <c r="G277" s="4">
        <v>2356.8999999999996</v>
      </c>
      <c r="H277" s="4">
        <f t="shared" si="23"/>
        <v>63.1</v>
      </c>
      <c r="I277" s="4">
        <f>MAX(F273:F292)</f>
        <v>31.1</v>
      </c>
      <c r="J277" s="4">
        <v>6.7</v>
      </c>
      <c r="K277" s="4">
        <v>441.40000000000009</v>
      </c>
      <c r="L277" s="4">
        <v>1.2</v>
      </c>
      <c r="M277" s="4">
        <v>368.59999999999985</v>
      </c>
      <c r="N277" s="4">
        <v>5.5</v>
      </c>
      <c r="O277" s="4">
        <f t="shared" si="27"/>
        <v>117.69999999999997</v>
      </c>
      <c r="P277" s="4">
        <v>272</v>
      </c>
      <c r="Q277" s="11">
        <f t="shared" si="29"/>
        <v>1.0854838709677419</v>
      </c>
      <c r="R277" s="9">
        <f t="shared" si="25"/>
        <v>1.3025806451612902</v>
      </c>
      <c r="S277" s="9">
        <f t="shared" si="26"/>
        <v>5.3974193548387097</v>
      </c>
      <c r="T277" s="9">
        <f t="shared" si="28"/>
        <v>80.215230414746443</v>
      </c>
      <c r="U277" s="4">
        <v>0</v>
      </c>
      <c r="V277" s="4">
        <v>957.9</v>
      </c>
      <c r="W277" s="4">
        <v>73.122137404580158</v>
      </c>
      <c r="X277" s="4">
        <v>208466.09999999998</v>
      </c>
      <c r="Y277" s="4">
        <f t="shared" si="24"/>
        <v>7037.1999999999989</v>
      </c>
      <c r="Z277" s="11">
        <f>(Z275/100)/I287</f>
        <v>1.296783216783217</v>
      </c>
      <c r="AA277" s="4">
        <v>15.958939545999501</v>
      </c>
    </row>
    <row r="278" spans="1:27" s="4" customFormat="1" x14ac:dyDescent="0.25">
      <c r="A278" s="72"/>
      <c r="B278" s="5"/>
      <c r="C278" s="6">
        <v>42156</v>
      </c>
      <c r="D278" s="4">
        <v>11.9</v>
      </c>
      <c r="E278" s="4">
        <v>7.9</v>
      </c>
      <c r="F278" s="4">
        <v>14.7</v>
      </c>
      <c r="G278" s="4">
        <v>2368.7999999999997</v>
      </c>
      <c r="H278" s="4">
        <f t="shared" si="23"/>
        <v>75</v>
      </c>
      <c r="I278" s="41" t="s">
        <v>33</v>
      </c>
      <c r="J278" s="4">
        <v>0.1</v>
      </c>
      <c r="K278" s="4">
        <v>441.50000000000011</v>
      </c>
      <c r="L278" s="4">
        <v>3</v>
      </c>
      <c r="M278" s="4">
        <v>371.59999999999985</v>
      </c>
      <c r="N278" s="8">
        <v>-2.9</v>
      </c>
      <c r="O278" s="4">
        <f t="shared" si="27"/>
        <v>114.79999999999997</v>
      </c>
      <c r="P278" s="4">
        <v>273</v>
      </c>
      <c r="Q278" s="11">
        <f t="shared" si="29"/>
        <v>1.0725806451612903</v>
      </c>
      <c r="R278" s="9">
        <f t="shared" si="25"/>
        <v>3.217741935483871</v>
      </c>
      <c r="S278" s="9">
        <f t="shared" si="26"/>
        <v>-3.1177419354838709</v>
      </c>
      <c r="T278" s="9">
        <f t="shared" si="28"/>
        <v>77.097488479262566</v>
      </c>
      <c r="U278" s="41" t="s">
        <v>34</v>
      </c>
      <c r="V278" s="4">
        <v>1936.9</v>
      </c>
      <c r="W278" s="4">
        <v>162.76470588235296</v>
      </c>
      <c r="X278" s="4">
        <v>210402.99999999997</v>
      </c>
      <c r="Y278" s="4">
        <f t="shared" si="24"/>
        <v>8974.0999999999985</v>
      </c>
      <c r="Z278" s="41" t="s">
        <v>35</v>
      </c>
      <c r="AA278" s="4">
        <v>15.989470254758499</v>
      </c>
    </row>
    <row r="279" spans="1:27" s="4" customFormat="1" x14ac:dyDescent="0.25">
      <c r="A279" s="72"/>
      <c r="B279" s="5"/>
      <c r="C279" s="6">
        <v>42157</v>
      </c>
      <c r="D279" s="4">
        <v>15.9</v>
      </c>
      <c r="E279" s="4">
        <v>11.8</v>
      </c>
      <c r="F279" s="4">
        <v>19.2</v>
      </c>
      <c r="G279" s="4">
        <v>2384.6999999999998</v>
      </c>
      <c r="H279" s="4">
        <f t="shared" si="23"/>
        <v>90.9</v>
      </c>
      <c r="I279" s="4">
        <f>AVERAGE(D273:D292)</f>
        <v>15.014999999999997</v>
      </c>
      <c r="J279" s="4">
        <v>0.3</v>
      </c>
      <c r="K279" s="4">
        <v>441.80000000000013</v>
      </c>
      <c r="L279" s="4">
        <v>2.2999999999999998</v>
      </c>
      <c r="M279" s="4">
        <v>373.89999999999986</v>
      </c>
      <c r="N279" s="8">
        <v>-1.9999999999999998</v>
      </c>
      <c r="O279" s="4">
        <f t="shared" si="27"/>
        <v>112.79999999999997</v>
      </c>
      <c r="P279" s="4">
        <v>274</v>
      </c>
      <c r="Q279" s="11">
        <f t="shared" si="29"/>
        <v>1.0596774193548386</v>
      </c>
      <c r="R279" s="9">
        <f t="shared" si="25"/>
        <v>2.4372580645161288</v>
      </c>
      <c r="S279" s="9">
        <f t="shared" si="26"/>
        <v>-2.137258064516129</v>
      </c>
      <c r="T279" s="9">
        <f t="shared" si="28"/>
        <v>74.960230414746434</v>
      </c>
      <c r="U279" s="4">
        <v>4</v>
      </c>
      <c r="V279" s="10">
        <v>720.8</v>
      </c>
      <c r="W279" s="4">
        <v>45.333333333333329</v>
      </c>
      <c r="X279" s="4">
        <v>211123.79999999996</v>
      </c>
      <c r="Y279" s="4">
        <f t="shared" si="24"/>
        <v>9694.8999999999978</v>
      </c>
      <c r="Z279" s="4">
        <v>1</v>
      </c>
      <c r="AA279" s="4">
        <v>16.018779839104699</v>
      </c>
    </row>
    <row r="280" spans="1:27" s="4" customFormat="1" x14ac:dyDescent="0.25">
      <c r="A280" s="72"/>
      <c r="B280" s="5"/>
      <c r="C280" s="6">
        <v>42158</v>
      </c>
      <c r="D280" s="4">
        <v>14.5</v>
      </c>
      <c r="E280" s="4">
        <v>13.3</v>
      </c>
      <c r="F280" s="4">
        <v>17.899999999999999</v>
      </c>
      <c r="G280" s="4">
        <v>2399.1999999999998</v>
      </c>
      <c r="H280" s="4">
        <f t="shared" si="23"/>
        <v>105.4</v>
      </c>
      <c r="I280" s="41" t="s">
        <v>36</v>
      </c>
      <c r="J280" s="4">
        <v>0</v>
      </c>
      <c r="K280" s="4">
        <v>441.80000000000013</v>
      </c>
      <c r="L280" s="4">
        <v>3.7</v>
      </c>
      <c r="M280" s="4">
        <v>377.59999999999985</v>
      </c>
      <c r="N280" s="8">
        <v>-3.7</v>
      </c>
      <c r="O280" s="4">
        <f t="shared" si="27"/>
        <v>109.09999999999997</v>
      </c>
      <c r="P280" s="4">
        <v>275</v>
      </c>
      <c r="Q280" s="11">
        <f t="shared" si="29"/>
        <v>1.046774193548387</v>
      </c>
      <c r="R280" s="9">
        <f t="shared" si="25"/>
        <v>3.8730645161290318</v>
      </c>
      <c r="S280" s="9">
        <f t="shared" si="26"/>
        <v>-3.8730645161290318</v>
      </c>
      <c r="T280" s="9">
        <f t="shared" si="28"/>
        <v>71.0871658986174</v>
      </c>
      <c r="U280" s="41" t="s">
        <v>37</v>
      </c>
      <c r="V280" s="4">
        <v>1705.7</v>
      </c>
      <c r="W280" s="4">
        <v>117.63448275862069</v>
      </c>
      <c r="X280" s="4">
        <v>212829.49999999997</v>
      </c>
      <c r="Y280" s="4">
        <f t="shared" si="24"/>
        <v>11400.599999999999</v>
      </c>
      <c r="AA280" s="4">
        <v>16.046842446784598</v>
      </c>
    </row>
    <row r="281" spans="1:27" s="4" customFormat="1" x14ac:dyDescent="0.25">
      <c r="A281" s="72"/>
      <c r="B281" s="5"/>
      <c r="C281" s="6">
        <v>42159</v>
      </c>
      <c r="D281" s="4">
        <v>16.8</v>
      </c>
      <c r="E281" s="4">
        <v>6.1</v>
      </c>
      <c r="F281" s="4">
        <v>23.7</v>
      </c>
      <c r="G281" s="4">
        <v>2416</v>
      </c>
      <c r="H281" s="4">
        <f t="shared" si="23"/>
        <v>122.2</v>
      </c>
      <c r="I281" s="4">
        <v>0</v>
      </c>
      <c r="J281" s="4">
        <v>0</v>
      </c>
      <c r="K281" s="4">
        <v>441.80000000000013</v>
      </c>
      <c r="L281" s="4">
        <v>4.9000000000000004</v>
      </c>
      <c r="M281" s="4">
        <v>382.49999999999983</v>
      </c>
      <c r="N281" s="8">
        <v>-4.9000000000000004</v>
      </c>
      <c r="O281" s="4">
        <f t="shared" si="27"/>
        <v>104.19999999999996</v>
      </c>
      <c r="P281" s="4">
        <v>276</v>
      </c>
      <c r="Q281" s="11">
        <f t="shared" si="29"/>
        <v>1.0338709677419353</v>
      </c>
      <c r="R281" s="9">
        <f t="shared" si="25"/>
        <v>5.0659677419354834</v>
      </c>
      <c r="S281" s="9">
        <f t="shared" si="26"/>
        <v>-5.0659677419354834</v>
      </c>
      <c r="T281" s="9">
        <f t="shared" si="28"/>
        <v>66.021198156681919</v>
      </c>
      <c r="U281" s="9">
        <f>MIN(T273:T292)</f>
        <v>54.804746543778705</v>
      </c>
      <c r="V281" s="4">
        <v>2951</v>
      </c>
      <c r="W281" s="4">
        <v>175.6547619047619</v>
      </c>
      <c r="X281" s="4">
        <v>215780.49999999997</v>
      </c>
      <c r="Y281" s="4">
        <f t="shared" si="24"/>
        <v>14351.599999999999</v>
      </c>
      <c r="AA281" s="4">
        <v>16.073632876255999</v>
      </c>
    </row>
    <row r="282" spans="1:27" s="4" customFormat="1" x14ac:dyDescent="0.25">
      <c r="A282" s="72"/>
      <c r="B282" s="5"/>
      <c r="C282" s="6">
        <v>42160</v>
      </c>
      <c r="D282" s="4">
        <v>19.600000000000001</v>
      </c>
      <c r="E282" s="4">
        <v>14.1</v>
      </c>
      <c r="F282" s="12">
        <v>31.1</v>
      </c>
      <c r="G282" s="4">
        <v>2435.6</v>
      </c>
      <c r="H282" s="4">
        <f t="shared" si="23"/>
        <v>141.80000000000001</v>
      </c>
      <c r="I282" s="41" t="s">
        <v>38</v>
      </c>
      <c r="J282" s="4">
        <v>32.6</v>
      </c>
      <c r="K282" s="4">
        <v>474.40000000000015</v>
      </c>
      <c r="L282" s="4">
        <v>5.8</v>
      </c>
      <c r="M282" s="4">
        <v>388.29999999999984</v>
      </c>
      <c r="N282" s="4">
        <v>26.8</v>
      </c>
      <c r="O282" s="4">
        <f t="shared" si="27"/>
        <v>130.99999999999997</v>
      </c>
      <c r="P282" s="4">
        <v>277</v>
      </c>
      <c r="Q282" s="11">
        <f t="shared" si="29"/>
        <v>1.0209677419354839</v>
      </c>
      <c r="R282" s="9">
        <f t="shared" si="25"/>
        <v>5.9216129032258067</v>
      </c>
      <c r="S282" s="9">
        <f t="shared" si="26"/>
        <v>26.678387096774195</v>
      </c>
      <c r="T282" s="9">
        <f t="shared" si="28"/>
        <v>92.699585253456121</v>
      </c>
      <c r="U282" s="41" t="s">
        <v>39</v>
      </c>
      <c r="V282" s="4">
        <v>2311.6999999999998</v>
      </c>
      <c r="W282" s="4">
        <v>117.94387755102039</v>
      </c>
      <c r="X282" s="4">
        <v>218092.19999999998</v>
      </c>
      <c r="Y282" s="4">
        <f t="shared" si="24"/>
        <v>16663.3</v>
      </c>
      <c r="AA282" s="4">
        <v>16.0991266550297</v>
      </c>
    </row>
    <row r="283" spans="1:27" s="4" customFormat="1" x14ac:dyDescent="0.25">
      <c r="A283" s="72"/>
      <c r="B283" s="5"/>
      <c r="C283" s="6">
        <v>42161</v>
      </c>
      <c r="D283" s="4">
        <v>13.6</v>
      </c>
      <c r="E283" s="4">
        <v>11.7</v>
      </c>
      <c r="F283" s="4">
        <v>17.600000000000001</v>
      </c>
      <c r="G283" s="4">
        <v>2449.1999999999998</v>
      </c>
      <c r="H283" s="4">
        <f t="shared" si="23"/>
        <v>155.4</v>
      </c>
      <c r="I283" s="4">
        <v>2</v>
      </c>
      <c r="J283" s="4">
        <v>0</v>
      </c>
      <c r="K283" s="4">
        <v>474.40000000000015</v>
      </c>
      <c r="L283" s="4">
        <v>5.4</v>
      </c>
      <c r="M283" s="4">
        <v>393.69999999999982</v>
      </c>
      <c r="N283" s="8">
        <v>-5.4</v>
      </c>
      <c r="O283" s="4">
        <f t="shared" si="27"/>
        <v>125.59999999999997</v>
      </c>
      <c r="P283" s="4">
        <v>278</v>
      </c>
      <c r="Q283" s="11">
        <f t="shared" si="29"/>
        <v>1.0080645161290323</v>
      </c>
      <c r="R283" s="9">
        <f t="shared" si="25"/>
        <v>5.4435483870967749</v>
      </c>
      <c r="S283" s="9">
        <f t="shared" si="26"/>
        <v>-5.4435483870967749</v>
      </c>
      <c r="T283" s="9">
        <f t="shared" si="28"/>
        <v>87.256036866359352</v>
      </c>
      <c r="U283" s="9">
        <f>MAX(T273:T292)</f>
        <v>92.699585253456121</v>
      </c>
      <c r="V283" s="4">
        <v>3135.1</v>
      </c>
      <c r="W283" s="4">
        <v>230.52205882352942</v>
      </c>
      <c r="X283" s="4">
        <v>221227.3</v>
      </c>
      <c r="Y283" s="4">
        <f t="shared" si="24"/>
        <v>19798.399999999998</v>
      </c>
      <c r="AA283" s="4">
        <v>16.1233001180291</v>
      </c>
    </row>
    <row r="284" spans="1:27" s="4" customFormat="1" x14ac:dyDescent="0.25">
      <c r="A284" s="72"/>
      <c r="B284" s="5"/>
      <c r="C284" s="6">
        <v>42162</v>
      </c>
      <c r="D284" s="4">
        <v>13.5</v>
      </c>
      <c r="E284" s="4">
        <v>6</v>
      </c>
      <c r="F284" s="4">
        <v>19.3</v>
      </c>
      <c r="G284" s="4">
        <v>2462.6999999999998</v>
      </c>
      <c r="H284" s="4">
        <f t="shared" si="23"/>
        <v>168.9</v>
      </c>
      <c r="I284" s="41" t="s">
        <v>40</v>
      </c>
      <c r="J284" s="4">
        <v>0</v>
      </c>
      <c r="K284" s="4">
        <v>474.40000000000015</v>
      </c>
      <c r="L284" s="4">
        <v>3.2</v>
      </c>
      <c r="M284" s="4">
        <v>396.89999999999981</v>
      </c>
      <c r="N284" s="8">
        <v>-3.2</v>
      </c>
      <c r="O284" s="4">
        <f t="shared" si="27"/>
        <v>122.39999999999996</v>
      </c>
      <c r="P284" s="4">
        <v>279</v>
      </c>
      <c r="Q284" s="11">
        <f t="shared" si="29"/>
        <v>0.99516129032258061</v>
      </c>
      <c r="R284" s="9">
        <f t="shared" si="25"/>
        <v>3.1845161290322581</v>
      </c>
      <c r="S284" s="9">
        <f t="shared" si="26"/>
        <v>-3.1845161290322581</v>
      </c>
      <c r="T284" s="9">
        <f t="shared" si="28"/>
        <v>84.071520737327091</v>
      </c>
      <c r="U284" s="41" t="s">
        <v>41</v>
      </c>
      <c r="V284" s="4">
        <v>2087.3000000000002</v>
      </c>
      <c r="W284" s="4">
        <v>154.61481481481482</v>
      </c>
      <c r="X284" s="4">
        <v>223314.59999999998</v>
      </c>
      <c r="Y284" s="4">
        <f t="shared" si="24"/>
        <v>21885.699999999997</v>
      </c>
      <c r="AA284" s="4">
        <v>16.1461304855085</v>
      </c>
    </row>
    <row r="285" spans="1:27" s="4" customFormat="1" x14ac:dyDescent="0.25">
      <c r="A285" s="72"/>
      <c r="B285" s="5"/>
      <c r="C285" s="6">
        <v>42163</v>
      </c>
      <c r="D285" s="4">
        <v>13.2</v>
      </c>
      <c r="E285" s="4">
        <v>9.1</v>
      </c>
      <c r="F285" s="4">
        <v>16.8</v>
      </c>
      <c r="G285" s="4">
        <v>2475.8999999999996</v>
      </c>
      <c r="H285" s="4">
        <f t="shared" si="23"/>
        <v>182.1</v>
      </c>
      <c r="I285" s="4">
        <v>0</v>
      </c>
      <c r="J285" s="4">
        <v>0</v>
      </c>
      <c r="K285" s="4">
        <v>474.40000000000015</v>
      </c>
      <c r="L285" s="4">
        <v>4.5999999999999996</v>
      </c>
      <c r="M285" s="4">
        <v>401.49999999999983</v>
      </c>
      <c r="N285" s="8">
        <v>-4.5999999999999996</v>
      </c>
      <c r="O285" s="4">
        <f t="shared" si="27"/>
        <v>117.79999999999997</v>
      </c>
      <c r="P285" s="4">
        <v>280</v>
      </c>
      <c r="Q285" s="11">
        <f t="shared" si="29"/>
        <v>0.98225806451612896</v>
      </c>
      <c r="R285" s="9">
        <f t="shared" si="25"/>
        <v>4.5183870967741928</v>
      </c>
      <c r="S285" s="9">
        <f t="shared" si="26"/>
        <v>-4.5183870967741928</v>
      </c>
      <c r="T285" s="9">
        <f t="shared" si="28"/>
        <v>79.5531336405529</v>
      </c>
      <c r="U285" s="11">
        <f>AVERAGE(T273:T292)</f>
        <v>73.514407834101263</v>
      </c>
      <c r="V285" s="4">
        <v>2964.5</v>
      </c>
      <c r="W285" s="4">
        <v>224.58333333333334</v>
      </c>
      <c r="X285" s="4">
        <v>226279.09999999998</v>
      </c>
      <c r="Y285" s="4">
        <f t="shared" si="24"/>
        <v>24850.199999999997</v>
      </c>
      <c r="AA285" s="4">
        <v>16.167595940049001</v>
      </c>
    </row>
    <row r="286" spans="1:27" s="4" customFormat="1" x14ac:dyDescent="0.25">
      <c r="A286" s="72"/>
      <c r="B286" s="5"/>
      <c r="C286" s="6">
        <v>42164</v>
      </c>
      <c r="D286" s="4">
        <v>12.7</v>
      </c>
      <c r="E286" s="4">
        <v>9.6</v>
      </c>
      <c r="F286" s="4">
        <v>16.399999999999999</v>
      </c>
      <c r="G286" s="4">
        <v>2488.5999999999995</v>
      </c>
      <c r="H286" s="4">
        <f t="shared" si="23"/>
        <v>194.79999999999998</v>
      </c>
      <c r="I286" s="41" t="s">
        <v>42</v>
      </c>
      <c r="J286" s="4">
        <v>0</v>
      </c>
      <c r="K286" s="4">
        <v>474.40000000000015</v>
      </c>
      <c r="L286" s="4">
        <v>4.8</v>
      </c>
      <c r="M286" s="4">
        <v>406.29999999999984</v>
      </c>
      <c r="N286" s="8">
        <v>-4.8</v>
      </c>
      <c r="O286" s="4">
        <f t="shared" si="27"/>
        <v>112.99999999999997</v>
      </c>
      <c r="P286" s="4">
        <v>281</v>
      </c>
      <c r="Q286" s="11">
        <f t="shared" si="29"/>
        <v>0.96935483870967731</v>
      </c>
      <c r="R286" s="9">
        <f t="shared" si="25"/>
        <v>4.6529032258064511</v>
      </c>
      <c r="S286" s="9">
        <f t="shared" si="26"/>
        <v>-4.6529032258064511</v>
      </c>
      <c r="T286" s="9">
        <f t="shared" si="28"/>
        <v>74.900230414746446</v>
      </c>
      <c r="U286" s="4">
        <f>(U285*100)/189.6</f>
        <v>38.773421853428943</v>
      </c>
      <c r="V286" s="4">
        <v>3005.8</v>
      </c>
      <c r="W286" s="4">
        <v>236.67716535433073</v>
      </c>
      <c r="X286" s="4">
        <v>229284.89999999997</v>
      </c>
      <c r="Y286" s="4">
        <f t="shared" si="24"/>
        <v>27855.999999999996</v>
      </c>
      <c r="AA286" s="4">
        <v>16.187675702137401</v>
      </c>
    </row>
    <row r="287" spans="1:27" s="4" customFormat="1" x14ac:dyDescent="0.25">
      <c r="A287" s="72"/>
      <c r="B287" s="5"/>
      <c r="C287" s="6">
        <v>42165</v>
      </c>
      <c r="D287" s="4">
        <v>16.2</v>
      </c>
      <c r="E287" s="4">
        <v>9.3000000000000007</v>
      </c>
      <c r="F287" s="4">
        <v>21.4</v>
      </c>
      <c r="G287" s="4">
        <v>2504.7999999999993</v>
      </c>
      <c r="H287" s="4">
        <f t="shared" si="23"/>
        <v>210.99999999999997</v>
      </c>
      <c r="I287" s="4">
        <v>300.3</v>
      </c>
      <c r="J287" s="4">
        <v>0</v>
      </c>
      <c r="K287" s="4">
        <v>474.40000000000015</v>
      </c>
      <c r="L287" s="4">
        <v>5.0999999999999996</v>
      </c>
      <c r="M287" s="4">
        <v>411.39999999999986</v>
      </c>
      <c r="N287" s="8">
        <v>-5.0999999999999996</v>
      </c>
      <c r="O287" s="4">
        <f t="shared" si="27"/>
        <v>107.89999999999998</v>
      </c>
      <c r="P287" s="4">
        <v>282</v>
      </c>
      <c r="Q287" s="11">
        <f t="shared" si="29"/>
        <v>0.95645161290322567</v>
      </c>
      <c r="R287" s="9">
        <f t="shared" si="25"/>
        <v>4.8779032258064507</v>
      </c>
      <c r="S287" s="9">
        <f t="shared" si="26"/>
        <v>-4.8779032258064507</v>
      </c>
      <c r="T287" s="9">
        <f t="shared" si="28"/>
        <v>70.022327188939997</v>
      </c>
      <c r="V287" s="4">
        <v>2753.9</v>
      </c>
      <c r="W287" s="4">
        <v>169.99382716049385</v>
      </c>
      <c r="X287" s="4">
        <v>232038.79999999996</v>
      </c>
      <c r="Y287" s="4">
        <f t="shared" si="24"/>
        <v>30609.899999999998</v>
      </c>
      <c r="AA287" s="4">
        <v>16.206350103821901</v>
      </c>
    </row>
    <row r="288" spans="1:27" s="25" customFormat="1" x14ac:dyDescent="0.25">
      <c r="A288" s="72"/>
      <c r="B288" s="24"/>
      <c r="C288" s="6">
        <v>42166</v>
      </c>
      <c r="D288" s="25">
        <v>20.2</v>
      </c>
      <c r="E288" s="25">
        <v>15.1</v>
      </c>
      <c r="F288" s="25">
        <v>25.3</v>
      </c>
      <c r="G288" s="25">
        <v>2524.9999999999991</v>
      </c>
      <c r="H288" s="25">
        <f t="shared" si="23"/>
        <v>231.19999999999996</v>
      </c>
      <c r="J288" s="25">
        <v>1.1000000000000001</v>
      </c>
      <c r="K288" s="25">
        <v>475.50000000000017</v>
      </c>
      <c r="L288" s="25">
        <v>5</v>
      </c>
      <c r="M288" s="25">
        <v>416.39999999999986</v>
      </c>
      <c r="N288" s="25">
        <v>-3.9</v>
      </c>
      <c r="O288" s="25">
        <f t="shared" si="27"/>
        <v>103.99999999999997</v>
      </c>
      <c r="P288" s="25">
        <v>283</v>
      </c>
      <c r="Q288" s="11">
        <f t="shared" si="29"/>
        <v>0.94354838709677413</v>
      </c>
      <c r="R288" s="26">
        <f t="shared" si="25"/>
        <v>4.717741935483871</v>
      </c>
      <c r="S288" s="26">
        <f t="shared" si="26"/>
        <v>-3.6177419354838709</v>
      </c>
      <c r="T288" s="9">
        <f t="shared" si="28"/>
        <v>66.404585253456119</v>
      </c>
      <c r="V288" s="25">
        <v>2398.9</v>
      </c>
      <c r="W288" s="25">
        <v>118.75742574257427</v>
      </c>
      <c r="X288" s="25">
        <v>234437.69999999995</v>
      </c>
      <c r="Y288" s="4">
        <f t="shared" si="24"/>
        <v>33008.799999999996</v>
      </c>
      <c r="AA288" s="4">
        <v>16.223600659931702</v>
      </c>
    </row>
    <row r="289" spans="1:27" s="4" customFormat="1" ht="15" customHeight="1" x14ac:dyDescent="0.25">
      <c r="A289" s="72"/>
      <c r="B289" s="5"/>
      <c r="C289" s="6">
        <v>42167</v>
      </c>
      <c r="D289" s="4">
        <v>21.2</v>
      </c>
      <c r="E289" s="4">
        <v>16.899999999999999</v>
      </c>
      <c r="F289" s="12">
        <v>26.7</v>
      </c>
      <c r="G289" s="4">
        <v>2546.1999999999989</v>
      </c>
      <c r="H289" s="4">
        <f t="shared" ref="H289:H316" si="30">H288+D289</f>
        <v>252.39999999999995</v>
      </c>
      <c r="J289" s="4">
        <v>0</v>
      </c>
      <c r="K289" s="4">
        <v>475.50000000000017</v>
      </c>
      <c r="L289" s="4">
        <v>3.1</v>
      </c>
      <c r="M289" s="4">
        <v>419.49999999999989</v>
      </c>
      <c r="N289" s="8">
        <v>-3.1</v>
      </c>
      <c r="O289" s="4">
        <f t="shared" si="27"/>
        <v>100.89999999999998</v>
      </c>
      <c r="P289" s="4">
        <v>284</v>
      </c>
      <c r="Q289" s="11">
        <f t="shared" si="29"/>
        <v>0.93064516129032249</v>
      </c>
      <c r="R289" s="9">
        <f t="shared" si="25"/>
        <v>2.8849999999999998</v>
      </c>
      <c r="S289" s="9">
        <f t="shared" si="26"/>
        <v>-2.8849999999999998</v>
      </c>
      <c r="T289" s="9">
        <f t="shared" si="28"/>
        <v>63.519585253456121</v>
      </c>
      <c r="U289" s="27"/>
      <c r="V289" s="4">
        <v>1085.5999999999999</v>
      </c>
      <c r="W289" s="4">
        <v>51.20754716981132</v>
      </c>
      <c r="X289" s="4">
        <v>235523.29999999996</v>
      </c>
      <c r="Y289" s="4">
        <f t="shared" ref="Y289:Y316" si="31">Y288+V289</f>
        <v>34094.399999999994</v>
      </c>
      <c r="AA289" s="4">
        <v>16.2394101363499</v>
      </c>
    </row>
    <row r="290" spans="1:27" s="4" customFormat="1" x14ac:dyDescent="0.25">
      <c r="A290" s="72"/>
      <c r="B290" s="5"/>
      <c r="C290" s="6">
        <v>42168</v>
      </c>
      <c r="D290" s="4">
        <v>17.100000000000001</v>
      </c>
      <c r="E290" s="4">
        <v>14.6</v>
      </c>
      <c r="F290" s="4">
        <v>21.6</v>
      </c>
      <c r="G290" s="4">
        <v>2563.2999999999988</v>
      </c>
      <c r="H290" s="4">
        <f t="shared" si="30"/>
        <v>269.49999999999994</v>
      </c>
      <c r="J290" s="4">
        <v>0</v>
      </c>
      <c r="K290" s="4">
        <v>475.50000000000017</v>
      </c>
      <c r="L290" s="4">
        <v>4.7</v>
      </c>
      <c r="M290" s="4">
        <v>424.19999999999987</v>
      </c>
      <c r="N290" s="8">
        <v>-4.7</v>
      </c>
      <c r="O290" s="4">
        <f t="shared" si="27"/>
        <v>96.199999999999974</v>
      </c>
      <c r="P290" s="4">
        <v>285</v>
      </c>
      <c r="Q290" s="11">
        <f t="shared" si="29"/>
        <v>0.91774193548387084</v>
      </c>
      <c r="R290" s="9">
        <f t="shared" si="25"/>
        <v>4.3133870967741927</v>
      </c>
      <c r="S290" s="9">
        <f t="shared" si="26"/>
        <v>-4.3133870967741927</v>
      </c>
      <c r="T290" s="9">
        <f t="shared" si="28"/>
        <v>59.206198156681928</v>
      </c>
      <c r="V290" s="4">
        <v>2298.3000000000002</v>
      </c>
      <c r="W290" s="4">
        <v>134.40350877192984</v>
      </c>
      <c r="X290" s="4">
        <v>237821.59999999995</v>
      </c>
      <c r="Y290" s="4">
        <f t="shared" si="31"/>
        <v>36392.699999999997</v>
      </c>
      <c r="AA290" s="4">
        <v>16.253762614833501</v>
      </c>
    </row>
    <row r="291" spans="1:27" s="4" customFormat="1" x14ac:dyDescent="0.25">
      <c r="A291" s="72"/>
      <c r="B291" s="5"/>
      <c r="C291" s="6">
        <v>42169</v>
      </c>
      <c r="D291" s="4">
        <v>15.8</v>
      </c>
      <c r="E291" s="4">
        <v>9.9</v>
      </c>
      <c r="F291" s="4">
        <v>20.6</v>
      </c>
      <c r="G291" s="4">
        <v>2579.099999999999</v>
      </c>
      <c r="H291" s="4">
        <f t="shared" si="30"/>
        <v>285.29999999999995</v>
      </c>
      <c r="J291" s="4">
        <v>0</v>
      </c>
      <c r="K291" s="4">
        <v>475.50000000000017</v>
      </c>
      <c r="L291" s="4">
        <v>2.4</v>
      </c>
      <c r="M291" s="4">
        <v>426.59999999999985</v>
      </c>
      <c r="N291" s="8">
        <v>-2.4</v>
      </c>
      <c r="O291" s="4">
        <f t="shared" si="27"/>
        <v>93.799999999999969</v>
      </c>
      <c r="P291" s="4">
        <v>286</v>
      </c>
      <c r="Q291" s="11">
        <f t="shared" si="29"/>
        <v>0.90483870967741931</v>
      </c>
      <c r="R291" s="9">
        <f t="shared" si="25"/>
        <v>2.1716129032258062</v>
      </c>
      <c r="S291" s="9">
        <f t="shared" si="26"/>
        <v>-2.1716129032258062</v>
      </c>
      <c r="T291" s="9">
        <f t="shared" si="28"/>
        <v>57.034585253456122</v>
      </c>
      <c r="V291" s="4">
        <v>1279.4000000000001</v>
      </c>
      <c r="W291" s="4">
        <v>80.974683544303801</v>
      </c>
      <c r="X291" s="4">
        <v>239100.99999999994</v>
      </c>
      <c r="Y291" s="4">
        <f t="shared" si="31"/>
        <v>37672.1</v>
      </c>
      <c r="AA291" s="4">
        <v>16.266643553885899</v>
      </c>
    </row>
    <row r="292" spans="1:27" s="52" customFormat="1" ht="15.75" thickBot="1" x14ac:dyDescent="0.3">
      <c r="A292" s="72"/>
      <c r="B292" s="57"/>
      <c r="C292" s="58">
        <v>42170</v>
      </c>
      <c r="D292" s="52">
        <v>15</v>
      </c>
      <c r="E292" s="52">
        <v>13.4</v>
      </c>
      <c r="F292" s="52">
        <v>17.7</v>
      </c>
      <c r="G292" s="52">
        <v>2594.099999999999</v>
      </c>
      <c r="H292" s="52">
        <f t="shared" si="30"/>
        <v>300.29999999999995</v>
      </c>
      <c r="J292" s="52">
        <v>0</v>
      </c>
      <c r="K292" s="52">
        <v>475.50000000000017</v>
      </c>
      <c r="L292" s="52">
        <v>2.5</v>
      </c>
      <c r="M292" s="52">
        <v>429.09999999999985</v>
      </c>
      <c r="N292" s="59">
        <v>-2.5</v>
      </c>
      <c r="O292" s="52">
        <f t="shared" si="27"/>
        <v>91.299999999999969</v>
      </c>
      <c r="P292" s="52">
        <v>287</v>
      </c>
      <c r="Q292" s="60">
        <f t="shared" si="29"/>
        <v>0.89193548387096766</v>
      </c>
      <c r="R292" s="54">
        <f t="shared" si="25"/>
        <v>2.229838709677419</v>
      </c>
      <c r="S292" s="54">
        <f t="shared" si="26"/>
        <v>-2.229838709677419</v>
      </c>
      <c r="T292" s="55">
        <f t="shared" si="28"/>
        <v>54.804746543778705</v>
      </c>
      <c r="V292" s="52">
        <v>1270.3</v>
      </c>
      <c r="W292" s="52">
        <v>84.686666666666667</v>
      </c>
      <c r="X292" s="52">
        <v>240371.29999999993</v>
      </c>
      <c r="Y292" s="52">
        <f t="shared" si="31"/>
        <v>38942.400000000001</v>
      </c>
      <c r="AA292" s="52">
        <v>16.2780398452072</v>
      </c>
    </row>
    <row r="293" spans="1:27" s="25" customFormat="1" x14ac:dyDescent="0.25">
      <c r="A293" s="66">
        <v>1000</v>
      </c>
      <c r="B293" s="47"/>
      <c r="C293" s="40">
        <v>42171</v>
      </c>
      <c r="D293" s="25">
        <v>14.1</v>
      </c>
      <c r="E293" s="25">
        <v>9.5</v>
      </c>
      <c r="F293" s="25">
        <v>18.600000000000001</v>
      </c>
      <c r="G293" s="25">
        <v>2608.1999999999989</v>
      </c>
      <c r="H293" s="25">
        <f>D293</f>
        <v>14.1</v>
      </c>
      <c r="J293" s="25">
        <v>0</v>
      </c>
      <c r="K293" s="25">
        <v>475.50000000000017</v>
      </c>
      <c r="L293" s="25">
        <v>4.4000000000000004</v>
      </c>
      <c r="M293" s="25">
        <v>433.49999999999983</v>
      </c>
      <c r="N293" s="48">
        <v>-4.4000000000000004</v>
      </c>
      <c r="O293" s="25">
        <f t="shared" si="27"/>
        <v>86.899999999999963</v>
      </c>
      <c r="P293" s="25">
        <v>288</v>
      </c>
      <c r="Q293" s="11">
        <f t="shared" si="29"/>
        <v>0.87903225806451601</v>
      </c>
      <c r="R293" s="26">
        <f t="shared" si="25"/>
        <v>3.8677419354838709</v>
      </c>
      <c r="S293" s="26">
        <f t="shared" si="26"/>
        <v>-3.8677419354838709</v>
      </c>
      <c r="T293" s="9">
        <f t="shared" si="28"/>
        <v>50.937004608294835</v>
      </c>
      <c r="V293" s="25">
        <v>2575.4</v>
      </c>
      <c r="W293" s="25">
        <v>182.65248226950357</v>
      </c>
      <c r="X293" s="25">
        <v>242946.69999999992</v>
      </c>
      <c r="Y293" s="25">
        <f>V293</f>
        <v>2575.4</v>
      </c>
      <c r="AA293" s="25">
        <v>16.287939865271198</v>
      </c>
    </row>
    <row r="294" spans="1:27" s="4" customFormat="1" ht="15" customHeight="1" x14ac:dyDescent="0.25">
      <c r="A294" s="66"/>
      <c r="B294" s="5"/>
      <c r="C294" s="6">
        <v>42172</v>
      </c>
      <c r="D294" s="4">
        <v>16.2</v>
      </c>
      <c r="E294" s="4">
        <v>8</v>
      </c>
      <c r="F294" s="4">
        <v>21.8</v>
      </c>
      <c r="G294" s="4">
        <v>2624.3999999999987</v>
      </c>
      <c r="H294" s="4">
        <f>H293+D294</f>
        <v>30.299999999999997</v>
      </c>
      <c r="I294" s="42" t="s">
        <v>27</v>
      </c>
      <c r="J294" s="4">
        <v>0.1</v>
      </c>
      <c r="K294" s="4">
        <v>475.60000000000019</v>
      </c>
      <c r="L294" s="4">
        <v>3</v>
      </c>
      <c r="M294" s="4">
        <v>436.49999999999983</v>
      </c>
      <c r="N294" s="8">
        <v>-2.9</v>
      </c>
      <c r="O294" s="4">
        <f t="shared" si="27"/>
        <v>83.999999999999957</v>
      </c>
      <c r="P294" s="4">
        <v>289</v>
      </c>
      <c r="Q294" s="11">
        <f t="shared" si="29"/>
        <v>0.86612903225806437</v>
      </c>
      <c r="R294" s="9">
        <f t="shared" si="25"/>
        <v>2.5983870967741929</v>
      </c>
      <c r="S294" s="9">
        <f t="shared" si="26"/>
        <v>-2.4983870967741928</v>
      </c>
      <c r="T294" s="9">
        <f t="shared" si="28"/>
        <v>48.43861751152064</v>
      </c>
      <c r="U294" s="42" t="s">
        <v>28</v>
      </c>
      <c r="V294" s="4">
        <v>1680.6</v>
      </c>
      <c r="W294" s="4">
        <v>103.74074074074073</v>
      </c>
      <c r="X294" s="4">
        <v>244627.29999999993</v>
      </c>
      <c r="Y294" s="4">
        <f>V294+Y293</f>
        <v>4256</v>
      </c>
      <c r="Z294" s="42" t="s">
        <v>29</v>
      </c>
      <c r="AA294" s="4">
        <v>16.2963335216077</v>
      </c>
    </row>
    <row r="295" spans="1:27" s="4" customFormat="1" x14ac:dyDescent="0.25">
      <c r="A295" s="66"/>
      <c r="B295" s="5"/>
      <c r="C295" s="6">
        <v>42173</v>
      </c>
      <c r="D295" s="4">
        <v>15.1</v>
      </c>
      <c r="E295" s="4">
        <v>15.7</v>
      </c>
      <c r="F295" s="4">
        <v>17.3</v>
      </c>
      <c r="G295" s="4">
        <v>2639.4999999999986</v>
      </c>
      <c r="H295" s="4">
        <f t="shared" si="30"/>
        <v>45.4</v>
      </c>
      <c r="I295" s="4">
        <f>MIN(E293:E315)</f>
        <v>7.9</v>
      </c>
      <c r="J295" s="4">
        <v>1.9</v>
      </c>
      <c r="K295" s="4">
        <v>477.50000000000017</v>
      </c>
      <c r="L295" s="4">
        <v>1.9</v>
      </c>
      <c r="M295" s="4">
        <v>438.39999999999981</v>
      </c>
      <c r="N295" s="4">
        <v>0</v>
      </c>
      <c r="O295" s="4">
        <f t="shared" si="27"/>
        <v>83.999999999999957</v>
      </c>
      <c r="P295" s="4">
        <v>290</v>
      </c>
      <c r="Q295" s="11">
        <f t="shared" si="29"/>
        <v>0.85322580645161283</v>
      </c>
      <c r="R295" s="9">
        <f t="shared" si="25"/>
        <v>1.6211290322580643</v>
      </c>
      <c r="S295" s="9">
        <f t="shared" si="26"/>
        <v>0.27887096774193565</v>
      </c>
      <c r="T295" s="9">
        <f t="shared" si="28"/>
        <v>48.717488479262578</v>
      </c>
      <c r="U295" s="4">
        <v>18</v>
      </c>
      <c r="V295" s="10">
        <v>774.6</v>
      </c>
      <c r="W295" s="4">
        <v>51.298013245033118</v>
      </c>
      <c r="X295" s="4">
        <v>245401.89999999994</v>
      </c>
      <c r="Y295" s="4">
        <f t="shared" si="31"/>
        <v>5030.6000000000004</v>
      </c>
      <c r="Z295" s="4">
        <v>44693.9</v>
      </c>
      <c r="AA295" s="4">
        <v>16.303212293407299</v>
      </c>
    </row>
    <row r="296" spans="1:27" s="4" customFormat="1" x14ac:dyDescent="0.25">
      <c r="A296" s="66"/>
      <c r="B296" s="5"/>
      <c r="C296" s="6">
        <v>42174</v>
      </c>
      <c r="D296" s="4">
        <v>14.5</v>
      </c>
      <c r="E296" s="4">
        <v>8.8000000000000007</v>
      </c>
      <c r="F296" s="4">
        <v>18.7</v>
      </c>
      <c r="G296" s="4">
        <v>2653.9999999999986</v>
      </c>
      <c r="H296" s="4">
        <f t="shared" si="30"/>
        <v>59.9</v>
      </c>
      <c r="I296" s="42" t="s">
        <v>30</v>
      </c>
      <c r="J296" s="4">
        <v>0</v>
      </c>
      <c r="K296" s="4">
        <v>477.50000000000017</v>
      </c>
      <c r="L296" s="4">
        <v>2.8</v>
      </c>
      <c r="M296" s="4">
        <v>441.19999999999982</v>
      </c>
      <c r="N296" s="8">
        <v>-2.8</v>
      </c>
      <c r="O296" s="4">
        <f t="shared" si="27"/>
        <v>81.19999999999996</v>
      </c>
      <c r="P296" s="4">
        <v>291</v>
      </c>
      <c r="Q296" s="11">
        <f t="shared" si="29"/>
        <v>0.8403225806451613</v>
      </c>
      <c r="R296" s="9">
        <f t="shared" si="25"/>
        <v>2.3529032258064513</v>
      </c>
      <c r="S296" s="9">
        <f t="shared" si="26"/>
        <v>-2.3529032258064513</v>
      </c>
      <c r="T296" s="9">
        <f t="shared" si="28"/>
        <v>46.364585253456127</v>
      </c>
      <c r="U296" s="42" t="s">
        <v>31</v>
      </c>
      <c r="V296" s="4">
        <v>1830.6</v>
      </c>
      <c r="W296" s="4">
        <v>126.24827586206897</v>
      </c>
      <c r="X296" s="4">
        <v>247232.49999999994</v>
      </c>
      <c r="Y296" s="4">
        <f t="shared" si="31"/>
        <v>6861.2000000000007</v>
      </c>
      <c r="Z296" s="42" t="s">
        <v>32</v>
      </c>
      <c r="AA296" s="4">
        <v>16.308569266106399</v>
      </c>
    </row>
    <row r="297" spans="1:27" s="4" customFormat="1" x14ac:dyDescent="0.25">
      <c r="A297" s="66"/>
      <c r="B297" s="5"/>
      <c r="C297" s="6">
        <v>42175</v>
      </c>
      <c r="D297" s="4">
        <v>15.4</v>
      </c>
      <c r="E297" s="4">
        <v>10.9</v>
      </c>
      <c r="F297" s="4">
        <v>17.7</v>
      </c>
      <c r="G297" s="4">
        <v>2669.3999999999987</v>
      </c>
      <c r="H297" s="4">
        <f t="shared" si="30"/>
        <v>75.3</v>
      </c>
      <c r="I297" s="4">
        <f>MAX(F293:F315)</f>
        <v>33.4</v>
      </c>
      <c r="J297" s="4">
        <v>0.8</v>
      </c>
      <c r="K297" s="4">
        <v>478.30000000000018</v>
      </c>
      <c r="L297" s="4">
        <v>1.7</v>
      </c>
      <c r="M297" s="4">
        <v>442.89999999999981</v>
      </c>
      <c r="N297" s="8">
        <v>-0.89999999999999991</v>
      </c>
      <c r="O297" s="4">
        <f t="shared" si="27"/>
        <v>80.299999999999955</v>
      </c>
      <c r="P297" s="4">
        <v>292</v>
      </c>
      <c r="Q297" s="11">
        <f t="shared" si="29"/>
        <v>0.82741935483870965</v>
      </c>
      <c r="R297" s="9">
        <f t="shared" si="25"/>
        <v>1.4066129032258063</v>
      </c>
      <c r="S297" s="9">
        <f t="shared" si="26"/>
        <v>-0.6066129032258063</v>
      </c>
      <c r="T297" s="9">
        <f t="shared" si="28"/>
        <v>45.757972350230318</v>
      </c>
      <c r="U297" s="4">
        <v>0</v>
      </c>
      <c r="V297" s="4">
        <v>1086.3</v>
      </c>
      <c r="W297" s="4">
        <v>70.538961038961034</v>
      </c>
      <c r="X297" s="4">
        <v>248318.79999999993</v>
      </c>
      <c r="Y297" s="4">
        <f t="shared" si="31"/>
        <v>7947.5000000000009</v>
      </c>
      <c r="Z297" s="11">
        <f>(Z295/100)/I307</f>
        <v>1.0808681983071342</v>
      </c>
      <c r="AA297" s="4">
        <v>16.312399159655801</v>
      </c>
    </row>
    <row r="298" spans="1:27" s="4" customFormat="1" x14ac:dyDescent="0.25">
      <c r="A298" s="66"/>
      <c r="B298" s="5"/>
      <c r="C298" s="6">
        <v>42176</v>
      </c>
      <c r="D298" s="4">
        <v>16.100000000000001</v>
      </c>
      <c r="E298" s="4">
        <v>14.1</v>
      </c>
      <c r="F298" s="4">
        <v>18.899999999999999</v>
      </c>
      <c r="G298" s="4">
        <v>2685.4999999999986</v>
      </c>
      <c r="H298" s="4">
        <f t="shared" si="30"/>
        <v>91.4</v>
      </c>
      <c r="I298" s="42" t="s">
        <v>33</v>
      </c>
      <c r="J298" s="4">
        <v>0.7</v>
      </c>
      <c r="K298" s="4">
        <v>479.00000000000017</v>
      </c>
      <c r="L298" s="4">
        <v>2.7</v>
      </c>
      <c r="M298" s="4">
        <v>445.5999999999998</v>
      </c>
      <c r="N298" s="8">
        <v>-2</v>
      </c>
      <c r="O298" s="4">
        <f t="shared" si="27"/>
        <v>78.299999999999955</v>
      </c>
      <c r="P298" s="4">
        <v>293</v>
      </c>
      <c r="Q298" s="11">
        <f t="shared" si="29"/>
        <v>0.81451612903225801</v>
      </c>
      <c r="R298" s="9">
        <f t="shared" si="25"/>
        <v>2.1991935483870968</v>
      </c>
      <c r="S298" s="9">
        <f t="shared" si="26"/>
        <v>-1.4991935483870968</v>
      </c>
      <c r="T298" s="9">
        <f t="shared" si="28"/>
        <v>44.258778801843221</v>
      </c>
      <c r="U298" s="42" t="s">
        <v>34</v>
      </c>
      <c r="V298" s="4">
        <v>1383.9</v>
      </c>
      <c r="W298" s="4">
        <v>85.956521739130437</v>
      </c>
      <c r="X298" s="4">
        <v>249702.69999999992</v>
      </c>
      <c r="Y298" s="4">
        <f t="shared" si="31"/>
        <v>9331.4000000000015</v>
      </c>
      <c r="Z298" s="42" t="s">
        <v>35</v>
      </c>
      <c r="AA298" s="4">
        <v>16.3146983502313</v>
      </c>
    </row>
    <row r="299" spans="1:27" s="4" customFormat="1" x14ac:dyDescent="0.25">
      <c r="A299" s="66"/>
      <c r="B299" s="5"/>
      <c r="C299" s="6">
        <v>42177</v>
      </c>
      <c r="D299" s="4">
        <v>12.5</v>
      </c>
      <c r="E299" s="4">
        <v>11.2</v>
      </c>
      <c r="F299" s="4">
        <v>14</v>
      </c>
      <c r="G299" s="4">
        <v>2697.9999999999986</v>
      </c>
      <c r="H299" s="4">
        <f t="shared" si="30"/>
        <v>103.9</v>
      </c>
      <c r="I299" s="9">
        <f>AVERAGE(D293:D315)</f>
        <v>17.978260869565215</v>
      </c>
      <c r="J299" s="4">
        <v>16.600000000000001</v>
      </c>
      <c r="K299" s="4">
        <v>495.60000000000019</v>
      </c>
      <c r="L299" s="4">
        <v>1.2</v>
      </c>
      <c r="M299" s="4">
        <v>446.79999999999978</v>
      </c>
      <c r="N299" s="4">
        <v>15.400000000000002</v>
      </c>
      <c r="O299" s="4">
        <f t="shared" si="27"/>
        <v>93.69999999999996</v>
      </c>
      <c r="P299" s="4">
        <v>294</v>
      </c>
      <c r="Q299" s="11">
        <f t="shared" si="29"/>
        <v>0.80161290322580636</v>
      </c>
      <c r="R299" s="9">
        <f t="shared" si="25"/>
        <v>0.96193548387096761</v>
      </c>
      <c r="S299" s="9">
        <f t="shared" si="26"/>
        <v>15.638064516129035</v>
      </c>
      <c r="T299" s="9">
        <f t="shared" si="28"/>
        <v>59.896843317972255</v>
      </c>
      <c r="U299" s="4">
        <v>23</v>
      </c>
      <c r="V299" s="10">
        <v>671</v>
      </c>
      <c r="W299" s="4">
        <v>53.68</v>
      </c>
      <c r="X299" s="4">
        <v>250373.69999999992</v>
      </c>
      <c r="Y299" s="4">
        <f t="shared" si="31"/>
        <v>10002.400000000001</v>
      </c>
      <c r="Z299" s="4">
        <v>2</v>
      </c>
      <c r="AA299" s="4">
        <v>16.315464885196</v>
      </c>
    </row>
    <row r="300" spans="1:27" s="4" customFormat="1" x14ac:dyDescent="0.25">
      <c r="A300" s="66"/>
      <c r="B300" s="5"/>
      <c r="C300" s="6">
        <v>42178</v>
      </c>
      <c r="D300" s="4">
        <v>12.9</v>
      </c>
      <c r="E300" s="4">
        <v>9.9</v>
      </c>
      <c r="F300" s="4">
        <v>15.8</v>
      </c>
      <c r="G300" s="4">
        <v>2710.8999999999987</v>
      </c>
      <c r="H300" s="4">
        <f t="shared" si="30"/>
        <v>116.80000000000001</v>
      </c>
      <c r="I300" s="42" t="s">
        <v>36</v>
      </c>
      <c r="J300" s="4">
        <v>0</v>
      </c>
      <c r="K300" s="4">
        <v>495.60000000000019</v>
      </c>
      <c r="L300" s="4">
        <v>2.8</v>
      </c>
      <c r="M300" s="4">
        <v>449.5999999999998</v>
      </c>
      <c r="N300" s="8">
        <v>-2.8</v>
      </c>
      <c r="O300" s="4">
        <f t="shared" si="27"/>
        <v>90.899999999999963</v>
      </c>
      <c r="P300" s="4">
        <v>295</v>
      </c>
      <c r="Q300" s="11">
        <f t="shared" si="29"/>
        <v>0.78870967741935472</v>
      </c>
      <c r="R300" s="9">
        <f t="shared" si="25"/>
        <v>2.2083870967741932</v>
      </c>
      <c r="S300" s="9">
        <f t="shared" si="26"/>
        <v>-2.2083870967741932</v>
      </c>
      <c r="T300" s="9">
        <f t="shared" si="28"/>
        <v>57.688456221198059</v>
      </c>
      <c r="U300" s="42" t="s">
        <v>37</v>
      </c>
      <c r="V300" s="4">
        <v>1906.9</v>
      </c>
      <c r="W300" s="4">
        <v>147.8217054263566</v>
      </c>
      <c r="X300" s="4">
        <v>252280.59999999992</v>
      </c>
      <c r="Y300" s="4">
        <f t="shared" si="31"/>
        <v>11909.300000000001</v>
      </c>
      <c r="AA300" s="4">
        <v>16.314698491182799</v>
      </c>
    </row>
    <row r="301" spans="1:27" s="4" customFormat="1" x14ac:dyDescent="0.25">
      <c r="A301" s="66"/>
      <c r="B301" s="5"/>
      <c r="C301" s="6">
        <v>42179</v>
      </c>
      <c r="D301" s="4">
        <v>15.6</v>
      </c>
      <c r="E301" s="4">
        <v>7.9</v>
      </c>
      <c r="F301" s="4">
        <v>21.1</v>
      </c>
      <c r="G301" s="4">
        <v>2726.4999999999986</v>
      </c>
      <c r="H301" s="4">
        <f t="shared" si="30"/>
        <v>132.4</v>
      </c>
      <c r="I301" s="4">
        <v>0</v>
      </c>
      <c r="J301" s="4">
        <v>0</v>
      </c>
      <c r="K301" s="4">
        <v>495.60000000000019</v>
      </c>
      <c r="L301" s="4">
        <v>2.4</v>
      </c>
      <c r="M301" s="4">
        <v>451.99999999999977</v>
      </c>
      <c r="N301" s="8">
        <v>-2.4</v>
      </c>
      <c r="O301" s="4">
        <f t="shared" si="27"/>
        <v>88.499999999999957</v>
      </c>
      <c r="P301" s="4">
        <v>296</v>
      </c>
      <c r="Q301" s="11">
        <f t="shared" si="29"/>
        <v>0.77580645161290318</v>
      </c>
      <c r="R301" s="9">
        <f t="shared" si="25"/>
        <v>1.8619354838709676</v>
      </c>
      <c r="S301" s="9">
        <f t="shared" si="26"/>
        <v>-1.8619354838709676</v>
      </c>
      <c r="T301" s="9">
        <f t="shared" si="28"/>
        <v>55.826520737327094</v>
      </c>
      <c r="U301" s="9">
        <f>MIN(T293:T315)</f>
        <v>18.507811059907745</v>
      </c>
      <c r="V301" s="4">
        <v>1513.8</v>
      </c>
      <c r="W301" s="4">
        <v>97.038461538461533</v>
      </c>
      <c r="X301" s="4">
        <v>253794.39999999991</v>
      </c>
      <c r="Y301" s="4">
        <f t="shared" si="31"/>
        <v>13423.1</v>
      </c>
      <c r="AA301" s="4">
        <v>16.312400575227699</v>
      </c>
    </row>
    <row r="302" spans="1:27" s="4" customFormat="1" x14ac:dyDescent="0.25">
      <c r="A302" s="66"/>
      <c r="B302" s="5"/>
      <c r="C302" s="6">
        <v>42180</v>
      </c>
      <c r="D302" s="4">
        <v>19.5</v>
      </c>
      <c r="E302" s="4">
        <v>13.2</v>
      </c>
      <c r="F302" s="12">
        <v>25.4</v>
      </c>
      <c r="G302" s="4">
        <v>2745.9999999999986</v>
      </c>
      <c r="H302" s="4">
        <f t="shared" si="30"/>
        <v>151.9</v>
      </c>
      <c r="I302" s="42" t="s">
        <v>38</v>
      </c>
      <c r="J302" s="4">
        <v>0</v>
      </c>
      <c r="K302" s="4">
        <v>495.60000000000019</v>
      </c>
      <c r="L302" s="4">
        <v>4.0999999999999996</v>
      </c>
      <c r="M302" s="4">
        <v>456.0999999999998</v>
      </c>
      <c r="N302" s="8">
        <v>-4.0999999999999996</v>
      </c>
      <c r="O302" s="4">
        <f t="shared" si="27"/>
        <v>84.399999999999963</v>
      </c>
      <c r="P302" s="4">
        <v>297</v>
      </c>
      <c r="Q302" s="11">
        <f t="shared" si="29"/>
        <v>0.76290322580645153</v>
      </c>
      <c r="R302" s="9">
        <f t="shared" si="25"/>
        <v>3.1279032258064512</v>
      </c>
      <c r="S302" s="9">
        <f t="shared" si="26"/>
        <v>-3.1279032258064512</v>
      </c>
      <c r="T302" s="9">
        <f t="shared" si="28"/>
        <v>52.698617511520645</v>
      </c>
      <c r="U302" s="42" t="s">
        <v>39</v>
      </c>
      <c r="V302" s="4">
        <v>2193.1999999999998</v>
      </c>
      <c r="W302" s="4">
        <v>112.47179487179486</v>
      </c>
      <c r="X302" s="4">
        <v>255987.59999999992</v>
      </c>
      <c r="Y302" s="4">
        <f t="shared" si="31"/>
        <v>15616.3</v>
      </c>
      <c r="AA302" s="4">
        <v>16.308574218940901</v>
      </c>
    </row>
    <row r="303" spans="1:27" s="4" customFormat="1" x14ac:dyDescent="0.25">
      <c r="A303" s="66"/>
      <c r="B303" s="5"/>
      <c r="C303" s="6">
        <v>42181</v>
      </c>
      <c r="D303" s="4">
        <v>20.5</v>
      </c>
      <c r="E303" s="4">
        <v>14</v>
      </c>
      <c r="F303" s="12">
        <v>27</v>
      </c>
      <c r="G303" s="4">
        <v>2766.4999999999986</v>
      </c>
      <c r="H303" s="4">
        <f t="shared" si="30"/>
        <v>172.4</v>
      </c>
      <c r="I303" s="4">
        <v>7</v>
      </c>
      <c r="J303" s="4">
        <v>0</v>
      </c>
      <c r="K303" s="4">
        <v>495.60000000000019</v>
      </c>
      <c r="L303" s="4">
        <v>3.8</v>
      </c>
      <c r="M303" s="4">
        <v>459.89999999999981</v>
      </c>
      <c r="N303" s="8">
        <v>-3.8</v>
      </c>
      <c r="O303" s="4">
        <f t="shared" si="27"/>
        <v>80.599999999999966</v>
      </c>
      <c r="P303" s="4">
        <v>298</v>
      </c>
      <c r="Q303" s="11">
        <f t="shared" si="29"/>
        <v>0.75</v>
      </c>
      <c r="R303" s="9">
        <f t="shared" si="25"/>
        <v>2.8499999999999996</v>
      </c>
      <c r="S303" s="9">
        <f t="shared" si="26"/>
        <v>-2.8499999999999996</v>
      </c>
      <c r="T303" s="9">
        <f t="shared" si="28"/>
        <v>49.848617511520644</v>
      </c>
      <c r="U303" s="9">
        <f>MAX(T293:T315)</f>
        <v>59.896843317972255</v>
      </c>
      <c r="V303" s="4">
        <v>1815.9</v>
      </c>
      <c r="W303" s="4">
        <v>88.580487804878047</v>
      </c>
      <c r="X303" s="4">
        <v>257803.49999999991</v>
      </c>
      <c r="Y303" s="4">
        <f t="shared" si="31"/>
        <v>17432.2</v>
      </c>
      <c r="AA303" s="4">
        <v>16.303224165769201</v>
      </c>
    </row>
    <row r="304" spans="1:27" s="4" customFormat="1" x14ac:dyDescent="0.25">
      <c r="A304" s="66"/>
      <c r="B304" s="5"/>
      <c r="C304" s="6">
        <v>42182</v>
      </c>
      <c r="D304" s="4">
        <v>17.2</v>
      </c>
      <c r="E304" s="4">
        <v>15.5</v>
      </c>
      <c r="F304" s="4">
        <v>20.7</v>
      </c>
      <c r="G304" s="4">
        <v>2783.6999999999985</v>
      </c>
      <c r="H304" s="4">
        <f t="shared" si="30"/>
        <v>189.6</v>
      </c>
      <c r="I304" s="42" t="s">
        <v>40</v>
      </c>
      <c r="J304" s="4">
        <v>0</v>
      </c>
      <c r="K304" s="4">
        <v>495.60000000000019</v>
      </c>
      <c r="L304" s="4">
        <v>5.4</v>
      </c>
      <c r="M304" s="4">
        <v>465.29999999999978</v>
      </c>
      <c r="N304" s="8">
        <v>-5.4</v>
      </c>
      <c r="O304" s="4">
        <f t="shared" si="27"/>
        <v>75.19999999999996</v>
      </c>
      <c r="P304" s="4">
        <v>299</v>
      </c>
      <c r="Q304" s="11">
        <f t="shared" si="29"/>
        <v>0.73709677419354835</v>
      </c>
      <c r="R304" s="9">
        <f t="shared" si="25"/>
        <v>3.9803225806451614</v>
      </c>
      <c r="S304" s="9">
        <f t="shared" si="26"/>
        <v>-3.9803225806451614</v>
      </c>
      <c r="T304" s="9">
        <f t="shared" si="28"/>
        <v>45.868294930875479</v>
      </c>
      <c r="U304" s="42" t="s">
        <v>41</v>
      </c>
      <c r="V304" s="4">
        <v>2757.4</v>
      </c>
      <c r="W304" s="4">
        <v>160.31395348837211</v>
      </c>
      <c r="X304" s="4">
        <v>260560.89999999991</v>
      </c>
      <c r="Y304" s="4">
        <f t="shared" si="31"/>
        <v>20189.600000000002</v>
      </c>
      <c r="AA304" s="4">
        <v>16.296356801458401</v>
      </c>
    </row>
    <row r="305" spans="1:27" s="4" customFormat="1" x14ac:dyDescent="0.25">
      <c r="A305" s="66"/>
      <c r="B305" s="5"/>
      <c r="C305" s="6">
        <v>42183</v>
      </c>
      <c r="D305" s="4">
        <v>18.399999999999999</v>
      </c>
      <c r="E305" s="4">
        <v>10.4</v>
      </c>
      <c r="F305" s="4">
        <v>24.5</v>
      </c>
      <c r="G305" s="4">
        <v>2802.0999999999985</v>
      </c>
      <c r="H305" s="4">
        <f t="shared" si="30"/>
        <v>208</v>
      </c>
      <c r="I305" s="4">
        <v>0</v>
      </c>
      <c r="J305" s="4">
        <v>0</v>
      </c>
      <c r="K305" s="4">
        <v>495.60000000000019</v>
      </c>
      <c r="L305" s="4">
        <v>4.4000000000000004</v>
      </c>
      <c r="M305" s="4">
        <v>469.69999999999976</v>
      </c>
      <c r="N305" s="8">
        <v>-4.4000000000000004</v>
      </c>
      <c r="O305" s="4">
        <f t="shared" si="27"/>
        <v>70.799999999999955</v>
      </c>
      <c r="P305" s="4">
        <v>300</v>
      </c>
      <c r="Q305" s="11">
        <f t="shared" si="29"/>
        <v>0.72419354838709671</v>
      </c>
      <c r="R305" s="9">
        <f t="shared" si="25"/>
        <v>3.1864516129032259</v>
      </c>
      <c r="S305" s="9">
        <f t="shared" si="26"/>
        <v>-3.1864516129032259</v>
      </c>
      <c r="T305" s="9">
        <f t="shared" si="28"/>
        <v>42.681843317972252</v>
      </c>
      <c r="U305" s="11">
        <f>AVERAGE(T293:T315)</f>
        <v>39.668764776597783</v>
      </c>
      <c r="V305" s="4">
        <v>2417.6</v>
      </c>
      <c r="W305" s="4">
        <v>131.39130434782609</v>
      </c>
      <c r="X305" s="4">
        <v>262978.49999999988</v>
      </c>
      <c r="Y305" s="4">
        <f t="shared" si="31"/>
        <v>22607.200000000001</v>
      </c>
      <c r="AA305" s="4">
        <v>16.2879801278877</v>
      </c>
    </row>
    <row r="306" spans="1:27" s="4" customFormat="1" x14ac:dyDescent="0.25">
      <c r="A306" s="66"/>
      <c r="B306" s="5"/>
      <c r="C306" s="6">
        <v>42184</v>
      </c>
      <c r="D306" s="4">
        <v>18.899999999999999</v>
      </c>
      <c r="E306" s="4">
        <v>14.6</v>
      </c>
      <c r="F306" s="4">
        <v>23.7</v>
      </c>
      <c r="G306" s="4">
        <v>2820.9999999999986</v>
      </c>
      <c r="H306" s="4">
        <f t="shared" si="30"/>
        <v>226.9</v>
      </c>
      <c r="I306" s="42" t="s">
        <v>42</v>
      </c>
      <c r="J306" s="4">
        <v>0</v>
      </c>
      <c r="K306" s="4">
        <v>495.60000000000019</v>
      </c>
      <c r="L306" s="4">
        <v>5.3</v>
      </c>
      <c r="M306" s="4">
        <v>474.99999999999977</v>
      </c>
      <c r="N306" s="8">
        <v>-5.3</v>
      </c>
      <c r="O306" s="4">
        <f t="shared" si="27"/>
        <v>65.499999999999957</v>
      </c>
      <c r="P306" s="4">
        <v>301</v>
      </c>
      <c r="Q306" s="11">
        <f t="shared" si="29"/>
        <v>0.71129032258064506</v>
      </c>
      <c r="R306" s="9">
        <f t="shared" si="25"/>
        <v>3.7698387096774186</v>
      </c>
      <c r="S306" s="9">
        <f t="shared" si="26"/>
        <v>-3.7698387096774186</v>
      </c>
      <c r="T306" s="9">
        <f t="shared" si="28"/>
        <v>38.912004608294836</v>
      </c>
      <c r="V306" s="4">
        <v>2792</v>
      </c>
      <c r="W306" s="4">
        <v>147.72486772486775</v>
      </c>
      <c r="X306" s="4">
        <v>265770.49999999988</v>
      </c>
      <c r="Y306" s="4">
        <f t="shared" si="31"/>
        <v>25399.200000000001</v>
      </c>
      <c r="AA306" s="4">
        <v>16.278103730499399</v>
      </c>
    </row>
    <row r="307" spans="1:27" s="4" customFormat="1" x14ac:dyDescent="0.25">
      <c r="A307" s="66"/>
      <c r="B307" s="5"/>
      <c r="C307" s="6">
        <v>42185</v>
      </c>
      <c r="D307" s="4">
        <v>21.7</v>
      </c>
      <c r="E307" s="4">
        <v>12.6</v>
      </c>
      <c r="F307" s="12">
        <v>29.4</v>
      </c>
      <c r="G307" s="4">
        <v>2842.6999999999985</v>
      </c>
      <c r="H307" s="4">
        <f t="shared" si="30"/>
        <v>248.6</v>
      </c>
      <c r="I307" s="4">
        <v>413.5</v>
      </c>
      <c r="J307" s="4">
        <v>0</v>
      </c>
      <c r="K307" s="4">
        <v>495.60000000000019</v>
      </c>
      <c r="L307" s="4">
        <v>6.8</v>
      </c>
      <c r="M307" s="4">
        <v>481.79999999999978</v>
      </c>
      <c r="N307" s="8">
        <v>-6.8</v>
      </c>
      <c r="O307" s="4">
        <f t="shared" si="27"/>
        <v>58.69999999999996</v>
      </c>
      <c r="P307" s="4">
        <v>302</v>
      </c>
      <c r="Q307" s="11">
        <f t="shared" si="29"/>
        <v>0.69838709677419342</v>
      </c>
      <c r="R307" s="9">
        <f t="shared" si="25"/>
        <v>4.7490322580645152</v>
      </c>
      <c r="S307" s="9">
        <f t="shared" si="26"/>
        <v>-4.7490322580645152</v>
      </c>
      <c r="T307" s="9">
        <f t="shared" si="28"/>
        <v>34.162972350230319</v>
      </c>
      <c r="U307" s="4">
        <f>(U305*100)/189.6</f>
        <v>20.922344291454525</v>
      </c>
      <c r="V307" s="4">
        <v>3105.8</v>
      </c>
      <c r="W307" s="4">
        <v>143.12442396313367</v>
      </c>
      <c r="X307" s="4">
        <v>268876.29999999987</v>
      </c>
      <c r="Y307" s="4">
        <f t="shared" si="31"/>
        <v>28505</v>
      </c>
      <c r="AA307" s="4">
        <v>16.266738739605</v>
      </c>
    </row>
    <row r="308" spans="1:27" s="4" customFormat="1" x14ac:dyDescent="0.25">
      <c r="A308" s="66"/>
      <c r="B308" s="5"/>
      <c r="C308" s="6">
        <v>42186</v>
      </c>
      <c r="D308" s="4">
        <v>25.8</v>
      </c>
      <c r="E308" s="4">
        <v>14.9</v>
      </c>
      <c r="F308" s="12">
        <v>33.4</v>
      </c>
      <c r="G308" s="4">
        <v>2868.4999999999986</v>
      </c>
      <c r="H308" s="4">
        <f t="shared" si="30"/>
        <v>274.39999999999998</v>
      </c>
      <c r="J308" s="4">
        <v>0</v>
      </c>
      <c r="K308" s="4">
        <v>495.60000000000019</v>
      </c>
      <c r="L308" s="4">
        <v>6.9</v>
      </c>
      <c r="M308" s="4">
        <v>488.69999999999976</v>
      </c>
      <c r="N308" s="8">
        <v>-6.9</v>
      </c>
      <c r="O308" s="4">
        <f t="shared" si="27"/>
        <v>51.799999999999962</v>
      </c>
      <c r="P308" s="4">
        <v>303</v>
      </c>
      <c r="Q308" s="11">
        <f t="shared" si="29"/>
        <v>0.68548387096774177</v>
      </c>
      <c r="R308" s="9">
        <f t="shared" si="25"/>
        <v>4.7298387096774182</v>
      </c>
      <c r="S308" s="9">
        <f t="shared" si="26"/>
        <v>-4.7298387096774182</v>
      </c>
      <c r="T308" s="9">
        <f t="shared" si="28"/>
        <v>29.433133640552903</v>
      </c>
      <c r="V308" s="4">
        <v>2972</v>
      </c>
      <c r="W308" s="4">
        <v>115.1937984496124</v>
      </c>
      <c r="X308" s="4">
        <v>271848.29999999987</v>
      </c>
      <c r="Y308" s="4">
        <f t="shared" si="31"/>
        <v>31477</v>
      </c>
      <c r="AA308" s="4">
        <v>16.2538977858922</v>
      </c>
    </row>
    <row r="309" spans="1:27" s="4" customFormat="1" x14ac:dyDescent="0.25">
      <c r="A309" s="66"/>
      <c r="B309" s="5"/>
      <c r="C309" s="6">
        <v>42187</v>
      </c>
      <c r="D309" s="4">
        <v>22</v>
      </c>
      <c r="E309" s="4">
        <v>18.600000000000001</v>
      </c>
      <c r="F309" s="12">
        <v>26.4</v>
      </c>
      <c r="G309" s="4">
        <v>2890.4999999999986</v>
      </c>
      <c r="H309" s="4">
        <f t="shared" si="30"/>
        <v>296.39999999999998</v>
      </c>
      <c r="J309" s="4">
        <v>4.2</v>
      </c>
      <c r="K309" s="4">
        <v>499.80000000000018</v>
      </c>
      <c r="L309" s="4">
        <v>5.4</v>
      </c>
      <c r="M309" s="4">
        <v>494.09999999999974</v>
      </c>
      <c r="N309" s="8">
        <v>-1.2000000000000002</v>
      </c>
      <c r="O309" s="4">
        <f t="shared" si="27"/>
        <v>50.599999999999959</v>
      </c>
      <c r="P309" s="4">
        <v>304</v>
      </c>
      <c r="Q309" s="11">
        <f t="shared" si="29"/>
        <v>0.67258064516129024</v>
      </c>
      <c r="R309" s="9">
        <f t="shared" si="25"/>
        <v>3.6319354838709677</v>
      </c>
      <c r="S309" s="9">
        <f t="shared" si="26"/>
        <v>0.56806451612903253</v>
      </c>
      <c r="T309" s="9">
        <f t="shared" si="28"/>
        <v>30.001198156681937</v>
      </c>
      <c r="V309" s="4">
        <v>2555.5</v>
      </c>
      <c r="W309" s="4">
        <v>116.15909090909091</v>
      </c>
      <c r="X309" s="4">
        <v>274403.79999999987</v>
      </c>
      <c r="Y309" s="4">
        <f t="shared" si="31"/>
        <v>34032.5</v>
      </c>
      <c r="AA309" s="4">
        <v>16.239594950505701</v>
      </c>
    </row>
    <row r="310" spans="1:27" s="4" customFormat="1" x14ac:dyDescent="0.25">
      <c r="A310" s="66"/>
      <c r="B310" s="5"/>
      <c r="C310" s="6">
        <v>42188</v>
      </c>
      <c r="D310" s="4">
        <v>23.9</v>
      </c>
      <c r="E310" s="4">
        <v>16.600000000000001</v>
      </c>
      <c r="F310" s="12">
        <v>30.4</v>
      </c>
      <c r="G310" s="4">
        <v>2914.3999999999987</v>
      </c>
      <c r="H310" s="4">
        <f t="shared" si="30"/>
        <v>320.29999999999995</v>
      </c>
      <c r="J310" s="4">
        <v>0</v>
      </c>
      <c r="K310" s="4">
        <v>499.80000000000018</v>
      </c>
      <c r="L310" s="4">
        <v>6</v>
      </c>
      <c r="M310" s="4">
        <v>500.09999999999974</v>
      </c>
      <c r="N310" s="8">
        <v>-6</v>
      </c>
      <c r="O310" s="4">
        <f t="shared" si="27"/>
        <v>44.599999999999959</v>
      </c>
      <c r="P310" s="4">
        <v>305</v>
      </c>
      <c r="Q310" s="11">
        <f t="shared" si="29"/>
        <v>0.6596774193548387</v>
      </c>
      <c r="R310" s="9">
        <f t="shared" si="25"/>
        <v>3.9580645161290322</v>
      </c>
      <c r="S310" s="9">
        <f t="shared" si="26"/>
        <v>-3.9580645161290322</v>
      </c>
      <c r="T310" s="9">
        <f t="shared" si="28"/>
        <v>26.043133640552906</v>
      </c>
      <c r="V310" s="4">
        <v>2798.2</v>
      </c>
      <c r="W310" s="4">
        <v>117.07949790794979</v>
      </c>
      <c r="X310" s="4">
        <v>277201.99999999988</v>
      </c>
      <c r="Y310" s="4">
        <f t="shared" si="31"/>
        <v>36830.699999999997</v>
      </c>
      <c r="AA310" s="4">
        <v>16.2238457101089</v>
      </c>
    </row>
    <row r="311" spans="1:27" s="25" customFormat="1" x14ac:dyDescent="0.25">
      <c r="A311" s="66"/>
      <c r="B311" s="24"/>
      <c r="C311" s="6">
        <v>42189</v>
      </c>
      <c r="D311" s="25">
        <v>23.3</v>
      </c>
      <c r="E311" s="25">
        <v>22.1</v>
      </c>
      <c r="F311" s="25">
        <v>26.2</v>
      </c>
      <c r="G311" s="25">
        <v>2937.6999999999989</v>
      </c>
      <c r="H311" s="25">
        <f t="shared" si="30"/>
        <v>343.59999999999997</v>
      </c>
      <c r="J311" s="25">
        <v>0</v>
      </c>
      <c r="K311" s="25">
        <v>499.80000000000018</v>
      </c>
      <c r="L311" s="25">
        <v>4.0999999999999996</v>
      </c>
      <c r="M311" s="25">
        <v>504.19999999999976</v>
      </c>
      <c r="N311" s="25">
        <v>-4.0999999999999996</v>
      </c>
      <c r="O311" s="25">
        <f t="shared" si="27"/>
        <v>40.499999999999957</v>
      </c>
      <c r="P311" s="25">
        <v>306</v>
      </c>
      <c r="Q311" s="11">
        <f t="shared" si="29"/>
        <v>0.64677419354838706</v>
      </c>
      <c r="R311" s="26">
        <f t="shared" si="25"/>
        <v>2.6517741935483867</v>
      </c>
      <c r="S311" s="26">
        <f t="shared" si="26"/>
        <v>-2.6517741935483867</v>
      </c>
      <c r="T311" s="9">
        <f t="shared" si="28"/>
        <v>23.391359447004518</v>
      </c>
      <c r="V311" s="25">
        <v>1741.8</v>
      </c>
      <c r="W311" s="25">
        <v>74.75536480686695</v>
      </c>
      <c r="X311" s="25">
        <v>278943.79999999987</v>
      </c>
      <c r="Y311" s="4">
        <f t="shared" si="31"/>
        <v>38572.5</v>
      </c>
      <c r="AA311" s="4">
        <v>16.206666877370399</v>
      </c>
    </row>
    <row r="312" spans="1:27" s="4" customFormat="1" x14ac:dyDescent="0.25">
      <c r="A312" s="66"/>
      <c r="B312" s="43"/>
      <c r="C312" s="6">
        <v>42190</v>
      </c>
      <c r="D312" s="4">
        <v>17.399999999999999</v>
      </c>
      <c r="E312" s="4">
        <v>16.5</v>
      </c>
      <c r="F312" s="4">
        <v>19.3</v>
      </c>
      <c r="G312" s="4">
        <v>2955.099999999999</v>
      </c>
      <c r="H312" s="4">
        <f t="shared" si="30"/>
        <v>360.99999999999994</v>
      </c>
      <c r="J312" s="4">
        <v>0</v>
      </c>
      <c r="K312" s="4">
        <v>499.80000000000018</v>
      </c>
      <c r="L312" s="4">
        <v>3.1</v>
      </c>
      <c r="M312" s="4">
        <v>507.29999999999978</v>
      </c>
      <c r="N312" s="8">
        <v>-3.1</v>
      </c>
      <c r="O312" s="4">
        <f t="shared" si="27"/>
        <v>37.399999999999956</v>
      </c>
      <c r="P312" s="4">
        <v>307</v>
      </c>
      <c r="Q312" s="11">
        <f t="shared" si="29"/>
        <v>0.63387096774193541</v>
      </c>
      <c r="R312" s="9">
        <f t="shared" si="25"/>
        <v>1.9649999999999999</v>
      </c>
      <c r="S312" s="9">
        <f t="shared" si="26"/>
        <v>-1.9649999999999999</v>
      </c>
      <c r="T312" s="9">
        <f t="shared" si="28"/>
        <v>21.426359447004518</v>
      </c>
      <c r="V312" s="4">
        <v>1513.7</v>
      </c>
      <c r="W312" s="4">
        <v>86.994252873563227</v>
      </c>
      <c r="X312" s="4">
        <v>280457.49999999988</v>
      </c>
      <c r="Y312" s="4">
        <f t="shared" si="31"/>
        <v>40086.199999999997</v>
      </c>
      <c r="AA312" s="4">
        <v>16.188076537341999</v>
      </c>
    </row>
    <row r="313" spans="1:27" s="4" customFormat="1" x14ac:dyDescent="0.25">
      <c r="A313" s="66"/>
      <c r="B313" s="43"/>
      <c r="C313" s="6">
        <v>42191</v>
      </c>
      <c r="D313" s="4">
        <v>19.899999999999999</v>
      </c>
      <c r="E313" s="4">
        <v>11.2</v>
      </c>
      <c r="F313" s="12">
        <v>27.3</v>
      </c>
      <c r="G313" s="4">
        <v>2974.9999999999991</v>
      </c>
      <c r="H313" s="4">
        <f t="shared" si="30"/>
        <v>380.89999999999992</v>
      </c>
      <c r="J313" s="4">
        <v>0</v>
      </c>
      <c r="K313" s="4">
        <v>499.80000000000018</v>
      </c>
      <c r="L313" s="4">
        <v>4.7</v>
      </c>
      <c r="M313" s="4">
        <v>511.99999999999977</v>
      </c>
      <c r="N313" s="8">
        <v>-4.7</v>
      </c>
      <c r="O313" s="4">
        <f t="shared" si="27"/>
        <v>32.699999999999953</v>
      </c>
      <c r="P313" s="4">
        <v>308</v>
      </c>
      <c r="Q313" s="11">
        <f t="shared" si="29"/>
        <v>0.62096774193548387</v>
      </c>
      <c r="R313" s="9">
        <f t="shared" si="25"/>
        <v>2.9185483870967741</v>
      </c>
      <c r="S313" s="9">
        <f t="shared" si="26"/>
        <v>-2.9185483870967741</v>
      </c>
      <c r="T313" s="9">
        <f t="shared" si="28"/>
        <v>18.507811059907745</v>
      </c>
      <c r="V313" s="4">
        <v>2306.4</v>
      </c>
      <c r="W313" s="4">
        <v>115.8994974874372</v>
      </c>
      <c r="X313" s="4">
        <v>282763.89999999991</v>
      </c>
      <c r="Y313" s="4">
        <f t="shared" si="31"/>
        <v>42392.6</v>
      </c>
      <c r="AA313" s="4">
        <v>16.168093980218099</v>
      </c>
    </row>
    <row r="314" spans="1:27" s="4" customFormat="1" x14ac:dyDescent="0.25">
      <c r="A314" s="66"/>
      <c r="B314" s="43"/>
      <c r="C314" s="6">
        <v>42192</v>
      </c>
      <c r="D314" s="4">
        <v>17.3</v>
      </c>
      <c r="E314" s="4">
        <v>14.3</v>
      </c>
      <c r="F314" s="4">
        <v>22.7</v>
      </c>
      <c r="G314" s="4">
        <v>2992.2999999999993</v>
      </c>
      <c r="H314" s="4">
        <f t="shared" si="30"/>
        <v>398.19999999999993</v>
      </c>
      <c r="J314" s="4">
        <v>3.8</v>
      </c>
      <c r="K314" s="4">
        <v>503.60000000000019</v>
      </c>
      <c r="L314" s="4">
        <v>2.9</v>
      </c>
      <c r="M314" s="4">
        <v>514.89999999999975</v>
      </c>
      <c r="N314" s="4">
        <v>0.89999999999999991</v>
      </c>
      <c r="O314" s="4">
        <f t="shared" si="27"/>
        <v>33.599999999999952</v>
      </c>
      <c r="P314" s="4">
        <v>309</v>
      </c>
      <c r="Q314" s="11">
        <f t="shared" si="29"/>
        <v>0.60806451612903223</v>
      </c>
      <c r="R314" s="9">
        <f t="shared" si="25"/>
        <v>1.7633870967741934</v>
      </c>
      <c r="S314" s="9">
        <f t="shared" si="26"/>
        <v>2.0366129032258065</v>
      </c>
      <c r="T314" s="9">
        <f t="shared" si="28"/>
        <v>20.54442396313355</v>
      </c>
      <c r="V314" s="4">
        <v>1209.2</v>
      </c>
      <c r="W314" s="4">
        <v>69.895953757225428</v>
      </c>
      <c r="X314" s="4">
        <v>283973.09999999992</v>
      </c>
      <c r="Y314" s="4">
        <f t="shared" si="31"/>
        <v>43601.799999999996</v>
      </c>
      <c r="AA314" s="4">
        <v>16.1467396309795</v>
      </c>
    </row>
    <row r="315" spans="1:27" s="52" customFormat="1" ht="15.75" thickBot="1" x14ac:dyDescent="0.3">
      <c r="A315" s="66"/>
      <c r="B315" s="57"/>
      <c r="C315" s="58">
        <v>42193</v>
      </c>
      <c r="D315" s="52">
        <v>15.3</v>
      </c>
      <c r="E315" s="52">
        <v>12.2</v>
      </c>
      <c r="F315" s="52">
        <v>17.899999999999999</v>
      </c>
      <c r="G315" s="52">
        <v>3007.5999999999995</v>
      </c>
      <c r="H315" s="52">
        <f t="shared" si="30"/>
        <v>413.49999999999994</v>
      </c>
      <c r="J315" s="52">
        <v>1.8</v>
      </c>
      <c r="K315" s="52">
        <v>505.4000000000002</v>
      </c>
      <c r="L315" s="52">
        <v>2.2999999999999998</v>
      </c>
      <c r="M315" s="52">
        <v>517.1999999999997</v>
      </c>
      <c r="N315" s="59">
        <v>-0.49999999999999978</v>
      </c>
      <c r="O315" s="52">
        <f t="shared" si="27"/>
        <v>33.099999999999952</v>
      </c>
      <c r="P315" s="52">
        <v>310</v>
      </c>
      <c r="Q315" s="60">
        <f t="shared" si="29"/>
        <v>0.59516129032258058</v>
      </c>
      <c r="R315" s="54">
        <f t="shared" si="25"/>
        <v>1.3688709677419353</v>
      </c>
      <c r="S315" s="54">
        <f t="shared" si="26"/>
        <v>0.43112903225806476</v>
      </c>
      <c r="T315" s="55">
        <f t="shared" si="28"/>
        <v>20.975552995391613</v>
      </c>
      <c r="V315" s="52">
        <v>1092.0999999999999</v>
      </c>
      <c r="W315" s="52">
        <v>71.379084967320253</v>
      </c>
      <c r="X315" s="52">
        <v>285065.1999999999</v>
      </c>
      <c r="Y315" s="52">
        <f t="shared" si="31"/>
        <v>44693.899999999994</v>
      </c>
      <c r="AA315" s="52">
        <v>16.124034976432402</v>
      </c>
    </row>
    <row r="316" spans="1:27" s="25" customFormat="1" x14ac:dyDescent="0.25">
      <c r="B316" s="47"/>
      <c r="C316" s="40">
        <v>42194</v>
      </c>
      <c r="D316" s="25">
        <v>15.3</v>
      </c>
      <c r="E316" s="25">
        <v>13.4</v>
      </c>
      <c r="F316" s="25">
        <v>18.899999999999999</v>
      </c>
      <c r="G316" s="25">
        <v>3022.8999999999996</v>
      </c>
      <c r="H316" s="25">
        <f t="shared" si="30"/>
        <v>428.79999999999995</v>
      </c>
      <c r="J316" s="25">
        <v>0</v>
      </c>
      <c r="K316" s="25">
        <v>505.4000000000002</v>
      </c>
      <c r="L316" s="25">
        <v>4.2</v>
      </c>
      <c r="M316" s="25">
        <v>521.39999999999975</v>
      </c>
      <c r="N316" s="48">
        <v>-4.2</v>
      </c>
      <c r="O316" s="25">
        <f t="shared" si="27"/>
        <v>28.899999999999952</v>
      </c>
      <c r="P316" s="25">
        <v>311</v>
      </c>
      <c r="Q316" s="11">
        <f t="shared" si="29"/>
        <v>0.58225806451612894</v>
      </c>
      <c r="R316" s="26">
        <f t="shared" si="25"/>
        <v>2.4454838709677418</v>
      </c>
      <c r="S316" s="26">
        <f t="shared" si="26"/>
        <v>-2.4454838709677418</v>
      </c>
      <c r="T316" s="9">
        <f t="shared" si="28"/>
        <v>18.530069124423871</v>
      </c>
      <c r="V316" s="25">
        <v>2118.6999999999998</v>
      </c>
      <c r="W316" s="25">
        <v>138.47712418300651</v>
      </c>
      <c r="X316" s="25">
        <v>287183.89999999991</v>
      </c>
      <c r="Y316" s="25">
        <f t="shared" si="31"/>
        <v>46812.599999999991</v>
      </c>
      <c r="AA316" s="25">
        <v>16.100002490156001</v>
      </c>
    </row>
  </sheetData>
  <mergeCells count="13">
    <mergeCell ref="A193:A227"/>
    <mergeCell ref="A249:A272"/>
    <mergeCell ref="A273:A292"/>
    <mergeCell ref="A293:A315"/>
    <mergeCell ref="A5:Z5"/>
    <mergeCell ref="A6:A94"/>
    <mergeCell ref="A95:A192"/>
    <mergeCell ref="D1:I2"/>
    <mergeCell ref="J1:U2"/>
    <mergeCell ref="V1:Z2"/>
    <mergeCell ref="P3:T3"/>
    <mergeCell ref="G4:H4"/>
    <mergeCell ref="X4:Y4"/>
  </mergeCells>
  <conditionalFormatting sqref="T1:T4">
    <cfRule type="cellIs" dxfId="4" priority="4" operator="equal">
      <formula>0</formula>
    </cfRule>
    <cfRule type="cellIs" dxfId="3" priority="5" operator="lessThanOrEqual">
      <formula>63.2</formula>
    </cfRule>
  </conditionalFormatting>
  <conditionalFormatting sqref="S6:S316">
    <cfRule type="cellIs" dxfId="2" priority="3" operator="lessThanOrEqual">
      <formula>0</formula>
    </cfRule>
  </conditionalFormatting>
  <conditionalFormatting sqref="T5:T316">
    <cfRule type="cellIs" dxfId="1" priority="1" operator="equal">
      <formula>0</formula>
    </cfRule>
    <cfRule type="cellIs" dxfId="0" priority="2" operator="lessThanOrEqual">
      <formula>63.2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2019-10-22T11:50:40Z</dcterms:created>
  <dcterms:modified xsi:type="dcterms:W3CDTF">2019-11-27T10:04:45Z</dcterms:modified>
</cp:coreProperties>
</file>