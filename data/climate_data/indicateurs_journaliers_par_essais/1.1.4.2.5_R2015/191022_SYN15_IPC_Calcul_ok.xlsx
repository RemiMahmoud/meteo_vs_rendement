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N+" sheetId="1" state="visible" r:id="rId3"/>
    <sheet name="N-" sheetId="2" state="visible" r:id="rId4"/>
  </sheet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<sst xmlns="http://schemas.openxmlformats.org/spreadsheetml/2006/main" count="329" uniqueCount="61">
  <si>
    <t xml:space="preserve">TEMPERATURE</t>
  </si>
  <si>
    <t xml:space="preserve">ETAT HYDRIQUE</t>
  </si>
  <si>
    <t xml:space="preserve">RAYONNEMENT</t>
  </si>
  <si>
    <t xml:space="preserve">BILAN HYDRIQUE</t>
  </si>
  <si>
    <t xml:space="preserve">Période</t>
  </si>
  <si>
    <t xml:space="preserve">DATE</t>
  </si>
  <si>
    <t xml:space="preserve">T_Q</t>
  </si>
  <si>
    <t xml:space="preserve">TINF_H_Q</t>
  </si>
  <si>
    <t xml:space="preserve">TSUP_H_Q</t>
  </si>
  <si>
    <t xml:space="preserve">GDD base 0°</t>
  </si>
  <si>
    <t xml:space="preserve">VAR</t>
  </si>
  <si>
    <t xml:space="preserve">PRELIQ_Q</t>
  </si>
  <si>
    <t xml:space="preserve">Cumul_P</t>
  </si>
  <si>
    <t xml:space="preserve">ETP_Q</t>
  </si>
  <si>
    <t xml:space="preserve">Cumul_ETP</t>
  </si>
  <si>
    <t xml:space="preserve">P-ETP</t>
  </si>
  <si>
    <t xml:space="preserve">ETAT RU_1</t>
  </si>
  <si>
    <t xml:space="preserve">i</t>
  </si>
  <si>
    <t xml:space="preserve">kc</t>
  </si>
  <si>
    <t xml:space="preserve">ETM</t>
  </si>
  <si>
    <t xml:space="preserve">P-ETM</t>
  </si>
  <si>
    <t xml:space="preserve">WSC</t>
  </si>
  <si>
    <t xml:space="preserve">SSI_Q</t>
  </si>
  <si>
    <t xml:space="preserve">QPT_Q</t>
  </si>
  <si>
    <t xml:space="preserve">Cumul_RG</t>
  </si>
  <si>
    <t xml:space="preserve">Photoperiode</t>
  </si>
  <si>
    <t xml:space="preserve">SEMIS SYN15</t>
  </si>
  <si>
    <t xml:space="preserve">AUTOMNE</t>
  </si>
  <si>
    <t xml:space="preserve">Tmin</t>
  </si>
  <si>
    <t xml:space="preserve">nbj_sec</t>
  </si>
  <si>
    <t xml:space="preserve">crg</t>
  </si>
  <si>
    <t xml:space="preserve">Tmax</t>
  </si>
  <si>
    <t xml:space="preserve">nbj_water_deficit</t>
  </si>
  <si>
    <t xml:space="preserve">qpt_p</t>
  </si>
  <si>
    <t xml:space="preserve">Tmoy</t>
  </si>
  <si>
    <t xml:space="preserve">nbj_stress_hydro</t>
  </si>
  <si>
    <t xml:space="preserve">nbj_radinf_900</t>
  </si>
  <si>
    <t xml:space="preserve">nbj_tgel</t>
  </si>
  <si>
    <t xml:space="preserve">water_soil_content_min</t>
  </si>
  <si>
    <t xml:space="preserve">nbj_tsup25</t>
  </si>
  <si>
    <t xml:space="preserve">water_soil_content_max</t>
  </si>
  <si>
    <t xml:space="preserve">nbj_tinf5</t>
  </si>
  <si>
    <t xml:space="preserve">water_soil_content_moy</t>
  </si>
  <si>
    <t xml:space="preserve">gdd_p</t>
  </si>
  <si>
    <t xml:space="preserve">HIVER</t>
  </si>
  <si>
    <t xml:space="preserve">nbj_vern_opti</t>
  </si>
  <si>
    <t xml:space="preserve">WSC_i</t>
  </si>
  <si>
    <t xml:space="preserve">BI</t>
  </si>
  <si>
    <t xml:space="preserve">DRF</t>
  </si>
  <si>
    <t xml:space="preserve">TS</t>
  </si>
  <si>
    <t xml:space="preserve">IRF</t>
  </si>
  <si>
    <t xml:space="preserve">N50</t>
  </si>
  <si>
    <t xml:space="preserve">MONTAISON</t>
  </si>
  <si>
    <t xml:space="preserve">N80</t>
  </si>
  <si>
    <t xml:space="preserve">Montego</t>
  </si>
  <si>
    <t xml:space="preserve">Aviso</t>
  </si>
  <si>
    <t xml:space="preserve">Fin FLO</t>
  </si>
  <si>
    <t xml:space="preserve">a</t>
  </si>
  <si>
    <t xml:space="preserve">PRELIQ_Q (mm)</t>
  </si>
  <si>
    <t xml:space="preserve">Etat RU_1</t>
  </si>
  <si>
    <t xml:space="preserve">WSC_I</t>
  </si>
</sst>
</file>

<file path=xl/styles.xml><?xml version="1.0" encoding="utf-8"?>
<styleSheet xmlns="http://schemas.openxmlformats.org/spreadsheetml/2006/main">
  <numFmts count="4">
    <numFmt numFmtId="164" formatCode="General"/>
    <numFmt numFmtId="165" formatCode="dd/mm/yyyy"/>
    <numFmt numFmtId="166" formatCode="0.0"/>
    <numFmt numFmtId="167" formatCode="0.00"/>
  </numFmts>
  <fonts count="12">
    <font>
      <sz val="11"/>
      <color theme="1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theme="1"/>
      <name val="Calibri"/>
      <family val="2"/>
      <charset val="1"/>
    </font>
    <font>
      <b val="true"/>
      <i val="true"/>
      <sz val="11"/>
      <color theme="1"/>
      <name val="Calibri"/>
      <family val="2"/>
      <charset val="1"/>
    </font>
    <font>
      <b val="true"/>
      <i val="true"/>
      <u val="single"/>
      <sz val="11"/>
      <color rgb="FF000000"/>
      <name val="Calibri"/>
      <family val="2"/>
      <charset val="1"/>
    </font>
    <font>
      <b val="true"/>
      <sz val="11"/>
      <color rgb="FF000000"/>
      <name val="Calibri"/>
      <family val="2"/>
      <charset val="1"/>
    </font>
    <font>
      <b val="true"/>
      <sz val="11"/>
      <color rgb="FFFF0000"/>
      <name val="Calibri"/>
      <family val="2"/>
      <charset val="1"/>
    </font>
    <font>
      <sz val="11"/>
      <color rgb="FFFF0000"/>
      <name val="Calibri"/>
      <family val="2"/>
      <charset val="1"/>
    </font>
    <font>
      <b val="true"/>
      <sz val="11"/>
      <name val="Calibri"/>
      <family val="2"/>
      <charset val="1"/>
    </font>
    <font>
      <sz val="11"/>
      <name val="Calibri"/>
      <family val="2"/>
      <charset val="1"/>
    </font>
  </fonts>
  <fills count="19">
    <fill>
      <patternFill patternType="none"/>
    </fill>
    <fill>
      <patternFill patternType="gray125"/>
    </fill>
    <fill>
      <patternFill patternType="solid">
        <fgColor rgb="FF00B050"/>
        <bgColor rgb="FF008080"/>
      </patternFill>
    </fill>
    <fill>
      <patternFill patternType="solid">
        <fgColor rgb="FFFDE9D9"/>
        <bgColor rgb="FFF2DCDB"/>
      </patternFill>
    </fill>
    <fill>
      <patternFill patternType="solid">
        <fgColor rgb="FFD9D9D9"/>
        <bgColor rgb="FFDDD9C4"/>
      </patternFill>
    </fill>
    <fill>
      <patternFill patternType="solid">
        <fgColor rgb="FFF2DCDB"/>
        <bgColor rgb="FFFDE9D9"/>
      </patternFill>
    </fill>
    <fill>
      <patternFill patternType="solid">
        <fgColor rgb="FFCCC0DA"/>
        <bgColor rgb="FFC0C0C0"/>
      </patternFill>
    </fill>
    <fill>
      <patternFill patternType="solid">
        <fgColor rgb="FFFFC000"/>
        <bgColor rgb="FFFF9900"/>
      </patternFill>
    </fill>
    <fill>
      <patternFill patternType="solid">
        <fgColor rgb="FFDAEEF3"/>
        <bgColor rgb="FFD9D9D9"/>
      </patternFill>
    </fill>
    <fill>
      <patternFill patternType="solid">
        <fgColor rgb="FFDDD9C4"/>
        <bgColor rgb="FFD9D9D9"/>
      </patternFill>
    </fill>
    <fill>
      <patternFill patternType="solid">
        <fgColor rgb="FF0070C0"/>
        <bgColor rgb="FF008080"/>
      </patternFill>
    </fill>
    <fill>
      <patternFill patternType="solid">
        <fgColor rgb="FFC0C0C0"/>
        <bgColor rgb="FFCCC0DA"/>
      </patternFill>
    </fill>
    <fill>
      <patternFill patternType="solid">
        <fgColor rgb="FF4F81BD"/>
        <bgColor rgb="FF808080"/>
      </patternFill>
    </fill>
    <fill>
      <patternFill patternType="solid">
        <fgColor rgb="FFB1A0C7"/>
        <bgColor rgb="FF9999FF"/>
      </patternFill>
    </fill>
    <fill>
      <patternFill patternType="solid">
        <fgColor theme="3"/>
        <bgColor rgb="FF333333"/>
      </patternFill>
    </fill>
    <fill>
      <patternFill patternType="solid">
        <fgColor rgb="FF92D050"/>
        <bgColor rgb="FFA9D18E"/>
      </patternFill>
    </fill>
    <fill>
      <patternFill patternType="solid">
        <fgColor rgb="FFFFFF00"/>
        <bgColor rgb="FFFFFF00"/>
      </patternFill>
    </fill>
    <fill>
      <patternFill patternType="solid">
        <fgColor rgb="FFE26B0A"/>
        <bgColor rgb="FFFF9900"/>
      </patternFill>
    </fill>
    <fill>
      <patternFill patternType="solid">
        <fgColor rgb="FFFF0000"/>
        <bgColor rgb="FF993300"/>
      </patternFill>
    </fill>
  </fills>
  <borders count="2">
    <border diagonalUp="false" diagonalDown="false">
      <left/>
      <right/>
      <top/>
      <bottom/>
      <diagonal/>
    </border>
    <border diagonalUp="false" diagonalDown="false">
      <left/>
      <right/>
      <top/>
      <bottom style="medium"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80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5" fillId="0" borderId="0" xfId="0" applyFont="true" applyBorder="false" applyAlignment="true" applyProtection="true">
      <alignment horizontal="center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center" vertical="center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6" fillId="2" borderId="0" xfId="0" applyFont="true" applyBorder="true" applyAlignment="true" applyProtection="true">
      <alignment horizontal="center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9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9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1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2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3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4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9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8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0" fillId="1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6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7" fillId="1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0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7" fontId="11" fillId="0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5" fontId="11" fillId="4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7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7" fillId="18" borderId="0" xfId="0" applyFont="true" applyBorder="true" applyAlignment="true" applyProtection="true">
      <alignment horizontal="center" vertical="center" textRotation="255" wrapText="false" indent="0" shrinkToFit="false"/>
      <protection locked="true" hidden="false"/>
    </xf>
    <xf numFmtId="164" fontId="7" fillId="18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0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5" fontId="8" fillId="4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8" fillId="5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0" fillId="16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16" borderId="1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8" fillId="6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6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4" fontId="11" fillId="0" borderId="0" xfId="0" applyFont="true" applyBorder="true" applyAlignment="true" applyProtection="true">
      <alignment horizontal="center" vertical="center" textRotation="0" wrapText="false" indent="0" shrinkToFit="false"/>
      <protection locked="true" hidden="false"/>
    </xf>
    <xf numFmtId="164" fontId="11" fillId="5" borderId="0" xf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167" fontId="4" fillId="0" borderId="1" xfId="0" applyFont="true" applyBorder="tru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10"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  <dxf>
      <fill>
        <patternFill>
          <bgColor rgb="FFDA9694"/>
        </patternFill>
      </fill>
    </dxf>
    <dxf>
      <fill>
        <patternFill>
          <bgColor rgb="FFFABF8F"/>
        </patternFill>
      </fill>
    </dxf>
    <dxf>
      <fill>
        <patternFill>
          <bgColor rgb="FFF2DCDB"/>
        </patternFill>
      </fill>
    </dxf>
    <dxf>
      <fill>
        <patternFill>
          <bgColor theme="5" tint="0.3999"/>
        </patternFill>
      </fill>
    </dxf>
    <dxf>
      <fill>
        <patternFill>
          <bgColor theme="9" tint="0.3999"/>
        </patternFill>
      </fill>
    </dxf>
  </dxfs>
  <colors>
    <indexedColors>
      <rgbColor rgb="FF000000"/>
      <rgbColor rgb="FFF2DCDB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08080"/>
      <rgbColor rgb="FFC0C0C0"/>
      <rgbColor rgb="FF808080"/>
      <rgbColor rgb="FF9999FF"/>
      <rgbColor rgb="FF993366"/>
      <rgbColor rgb="FFFDE9D9"/>
      <rgbColor rgb="FFDAEEF3"/>
      <rgbColor rgb="FF660066"/>
      <rgbColor rgb="FFDA9694"/>
      <rgbColor rgb="FF0070C0"/>
      <rgbColor rgb="FFCCC0DA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DDD9C4"/>
      <rgbColor rgb="FFD9D9D9"/>
      <rgbColor rgb="FFFFFF99"/>
      <rgbColor rgb="FFA9D18E"/>
      <rgbColor rgb="FFF4B183"/>
      <rgbColor rgb="FFCC99FF"/>
      <rgbColor rgb="FFFABF8F"/>
      <rgbColor rgb="FF3366FF"/>
      <rgbColor rgb="FF33CCCC"/>
      <rgbColor rgb="FF92D050"/>
      <rgbColor rgb="FFFFC000"/>
      <rgbColor rgb="FFFF9900"/>
      <rgbColor rgb="FFE26B0A"/>
      <rgbColor rgb="FF4F81BD"/>
      <rgbColor rgb="FFB1A0C7"/>
      <rgbColor rgb="FF003366"/>
      <rgbColor rgb="FF00B050"/>
      <rgbColor rgb="FF003300"/>
      <rgbColor rgb="FF333300"/>
      <rgbColor rgb="FF993300"/>
      <rgbColor rgb="FF993366"/>
      <rgbColor rgb="FF44546A"/>
      <rgbColor rgb="FF333333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Thème Office">
  <a:themeElements>
    <a:clrScheme name="Office">
      <a:dk1>
        <a:srgbClr val="000000"/>
      </a:dk1>
      <a:lt1>
        <a:srgbClr val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 pitchFamily="0" charset="1"/>
        <a:ea typeface=""/>
        <a:cs typeface=""/>
      </a:majorFont>
      <a:minorFont>
        <a:latin typeface="Calibri" panose="020F0502020204030204" pitchFamily="0" charset="1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lumMod val="110000"/>
                <a:tint val="67000"/>
              </a:schemeClr>
            </a:gs>
            <a:gs pos="50000">
              <a:schemeClr val="phClr">
                <a:lumMod val="105000"/>
                <a:tint val="73000"/>
              </a:schemeClr>
            </a:gs>
            <a:gs pos="100000">
              <a:schemeClr val="phClr">
                <a:lumMod val="105000"/>
                <a:tint val="81000"/>
              </a:schemeClr>
            </a:gs>
          </a:gsLst>
          <a:lin ang="5400000" scaled="0"/>
          <a:tileRect l="0" t="0" r="0" b="0"/>
        </a:gradFill>
        <a:gradFill>
          <a:gsLst>
            <a:gs pos="0">
              <a:schemeClr val="phClr">
                <a:lumMod val="102000"/>
                <a:tint val="94000"/>
              </a:schemeClr>
            </a:gs>
            <a:gs pos="50000">
              <a:schemeClr val="phClr">
                <a:lumMod val="100000"/>
                <a:shade val="100000"/>
              </a:schemeClr>
            </a:gs>
            <a:gs pos="100000">
              <a:schemeClr val="phClr">
                <a:lumMod val="99000"/>
                <a:shade val="78000"/>
              </a:schemeClr>
            </a:gs>
          </a:gsLst>
          <a:lin ang="5400000" scaled="0"/>
          <a:tileRect l="0" t="0" r="0" b="0"/>
        </a:gradFill>
      </a:fillStyleLst>
      <a:lnStyleLst>
        <a:ln w="6350" cap="flat" cmpd="sng" algn="ctr">
          <a:prstDash val="solid"/>
          <a:miter lim="800000"/>
        </a:ln>
        <a:ln w="12700" cap="flat" cmpd="sng" algn="ctr">
          <a:prstDash val="solid"/>
          <a:miter lim="800000"/>
        </a:ln>
        <a:ln w="19050" cap="flat" cmpd="sng" algn="ctr"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>
            <a:tint val="95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</a:schemeClr>
            </a:gs>
            <a:gs pos="50000">
              <a:schemeClr val="phClr">
                <a:tint val="98000"/>
                <a:shade val="90000"/>
                <a:lumMod val="103000"/>
              </a:schemeClr>
            </a:gs>
            <a:gs pos="100000">
              <a:schemeClr val="phClr">
                <a:shade val="63000"/>
              </a:schemeClr>
            </a:gs>
          </a:gsLst>
          <a:lin ang="5400000" scaled="0"/>
          <a:tileRect l="0" t="0" r="0" b="0"/>
        </a:gra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D317"/>
  <sheetViews>
    <sheetView showFormulas="false" showGridLines="true" showRowColHeaders="true" showZeros="true" rightToLeft="false" tabSelected="true" showOutlineSymbols="true" defaultGridColor="true" view="normal" topLeftCell="A298" colorId="64" zoomScale="70" zoomScaleNormal="70" zoomScalePageLayoutView="100" workbookViewId="0">
      <selection pane="topLeft" activeCell="K317" activeCellId="0" sqref="K317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 t="s">
        <v>3</v>
      </c>
      <c r="Q3" s="2"/>
      <c r="R3" s="2"/>
      <c r="S3" s="2"/>
      <c r="T3" s="2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11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16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  <c r="AA4" s="1" t="s">
        <v>25</v>
      </c>
    </row>
    <row r="5" s="8" customFormat="true" ht="15" hidden="false" customHeight="false" outlineLevel="0" collapsed="false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8" customFormat="true" ht="15" hidden="false" customHeight="false" outlineLevel="0" collapsed="false">
      <c r="A6" s="9" t="s">
        <v>27</v>
      </c>
      <c r="B6" s="10"/>
      <c r="C6" s="11" t="n">
        <v>41884</v>
      </c>
      <c r="D6" s="8" t="n">
        <v>16.9</v>
      </c>
      <c r="E6" s="8" t="n">
        <v>14.3</v>
      </c>
      <c r="F6" s="8" t="n">
        <v>19.6</v>
      </c>
      <c r="G6" s="8" t="n">
        <v>16.9</v>
      </c>
      <c r="I6" s="12" t="s">
        <v>28</v>
      </c>
      <c r="J6" s="8" t="n">
        <v>0.5</v>
      </c>
      <c r="K6" s="8" t="n">
        <v>0.5</v>
      </c>
      <c r="L6" s="8" t="n">
        <v>1.3</v>
      </c>
      <c r="M6" s="8" t="n">
        <v>1.3</v>
      </c>
      <c r="N6" s="13" t="n">
        <v>-0.8</v>
      </c>
      <c r="O6" s="8" t="n">
        <v>44.1</v>
      </c>
      <c r="P6" s="8" t="n">
        <v>1</v>
      </c>
      <c r="Q6" s="8" t="n">
        <v>0.35</v>
      </c>
      <c r="R6" s="14" t="n">
        <f aca="false">Q6*L6</f>
        <v>0.455</v>
      </c>
      <c r="S6" s="14" t="n">
        <f aca="false">J6-R6</f>
        <v>0.045</v>
      </c>
      <c r="T6" s="14" t="n">
        <v>44.9</v>
      </c>
      <c r="U6" s="12" t="s">
        <v>29</v>
      </c>
      <c r="V6" s="15" t="n">
        <v>680.3</v>
      </c>
      <c r="W6" s="8" t="n">
        <v>40.2544378698225</v>
      </c>
      <c r="X6" s="8" t="n">
        <v>680.3</v>
      </c>
      <c r="Z6" s="12" t="s">
        <v>30</v>
      </c>
      <c r="AA6" s="8" t="n">
        <v>13.4834625961457</v>
      </c>
    </row>
    <row r="7" s="8" customFormat="true" ht="15" hidden="false" customHeight="false" outlineLevel="0" collapsed="false">
      <c r="A7" s="9"/>
      <c r="B7" s="10"/>
      <c r="C7" s="11" t="n">
        <v>41885</v>
      </c>
      <c r="D7" s="8" t="n">
        <v>16.1</v>
      </c>
      <c r="E7" s="8" t="n">
        <v>11.7</v>
      </c>
      <c r="F7" s="8" t="n">
        <v>20.1</v>
      </c>
      <c r="G7" s="8" t="n">
        <v>33</v>
      </c>
      <c r="I7" s="8" t="n">
        <v>3.4</v>
      </c>
      <c r="J7" s="8" t="n">
        <v>0.1</v>
      </c>
      <c r="K7" s="8" t="n">
        <v>0.6</v>
      </c>
      <c r="L7" s="8" t="n">
        <v>2.9</v>
      </c>
      <c r="M7" s="8" t="n">
        <v>4.2</v>
      </c>
      <c r="N7" s="13" t="n">
        <v>-2.8</v>
      </c>
      <c r="O7" s="8" t="n">
        <f aca="false">O6+N7</f>
        <v>41.3</v>
      </c>
      <c r="P7" s="8" t="n">
        <v>2</v>
      </c>
      <c r="Q7" s="8" t="n">
        <v>0.35</v>
      </c>
      <c r="R7" s="14" t="n">
        <f aca="false">Q7*L7</f>
        <v>1.015</v>
      </c>
      <c r="S7" s="14" t="n">
        <f aca="false">J7-R7</f>
        <v>-0.915</v>
      </c>
      <c r="T7" s="14" t="n">
        <f aca="false">MIN(189.6,(T6+S7))</f>
        <v>43.985</v>
      </c>
      <c r="U7" s="8" t="n">
        <v>62</v>
      </c>
      <c r="V7" s="8" t="n">
        <v>1658.5</v>
      </c>
      <c r="W7" s="8" t="n">
        <v>103.012422360248</v>
      </c>
      <c r="X7" s="8" t="n">
        <v>2338.8</v>
      </c>
      <c r="Z7" s="8" t="n">
        <v>59277.7</v>
      </c>
      <c r="AA7" s="8" t="n">
        <v>13.4238979567242</v>
      </c>
    </row>
    <row r="8" s="8" customFormat="true" ht="15" hidden="false" customHeight="false" outlineLevel="0" collapsed="false">
      <c r="A8" s="9"/>
      <c r="B8" s="10"/>
      <c r="C8" s="11" t="n">
        <v>41886</v>
      </c>
      <c r="D8" s="8" t="n">
        <v>16.7</v>
      </c>
      <c r="E8" s="8" t="n">
        <v>11.9</v>
      </c>
      <c r="F8" s="8" t="n">
        <v>20.7</v>
      </c>
      <c r="G8" s="8" t="n">
        <v>49.7</v>
      </c>
      <c r="I8" s="12" t="s">
        <v>31</v>
      </c>
      <c r="J8" s="8" t="n">
        <v>0</v>
      </c>
      <c r="K8" s="8" t="n">
        <v>0.6</v>
      </c>
      <c r="L8" s="8" t="n">
        <v>1.9</v>
      </c>
      <c r="M8" s="8" t="n">
        <v>6.1</v>
      </c>
      <c r="N8" s="13" t="n">
        <v>-1.9</v>
      </c>
      <c r="O8" s="8" t="n">
        <f aca="false">O7+N8</f>
        <v>39.4</v>
      </c>
      <c r="P8" s="8" t="n">
        <v>3</v>
      </c>
      <c r="Q8" s="8" t="n">
        <v>0.35</v>
      </c>
      <c r="R8" s="14" t="n">
        <f aca="false">Q8*L8</f>
        <v>0.665</v>
      </c>
      <c r="S8" s="14" t="n">
        <f aca="false">J8-R8</f>
        <v>-0.665</v>
      </c>
      <c r="T8" s="14" t="n">
        <f aca="false">MIN(189.6,(T7+S8))</f>
        <v>43.32</v>
      </c>
      <c r="U8" s="12" t="s">
        <v>32</v>
      </c>
      <c r="V8" s="8" t="n">
        <v>1232</v>
      </c>
      <c r="W8" s="8" t="n">
        <v>73.7724550898204</v>
      </c>
      <c r="X8" s="8" t="n">
        <v>3570.8</v>
      </c>
      <c r="Z8" s="12" t="s">
        <v>33</v>
      </c>
      <c r="AA8" s="8" t="n">
        <v>13.3641879000176</v>
      </c>
    </row>
    <row r="9" s="8" customFormat="true" ht="15" hidden="false" customHeight="false" outlineLevel="0" collapsed="false">
      <c r="A9" s="9"/>
      <c r="B9" s="10"/>
      <c r="C9" s="11" t="n">
        <v>41887</v>
      </c>
      <c r="D9" s="8" t="n">
        <v>17.9</v>
      </c>
      <c r="E9" s="8" t="n">
        <v>14.2</v>
      </c>
      <c r="F9" s="8" t="n">
        <v>22.2</v>
      </c>
      <c r="G9" s="8" t="n">
        <v>67.6</v>
      </c>
      <c r="I9" s="8" t="n">
        <v>25.7</v>
      </c>
      <c r="J9" s="8" t="n">
        <v>0</v>
      </c>
      <c r="K9" s="8" t="n">
        <v>0.6</v>
      </c>
      <c r="L9" s="8" t="n">
        <v>2.8</v>
      </c>
      <c r="M9" s="8" t="n">
        <v>8.9</v>
      </c>
      <c r="N9" s="13" t="n">
        <v>-2.8</v>
      </c>
      <c r="O9" s="8" t="n">
        <f aca="false">O8+N9</f>
        <v>36.6</v>
      </c>
      <c r="P9" s="8" t="n">
        <v>4</v>
      </c>
      <c r="Q9" s="8" t="n">
        <v>0.35</v>
      </c>
      <c r="R9" s="14" t="n">
        <f aca="false">Q9*L9</f>
        <v>0.98</v>
      </c>
      <c r="S9" s="14" t="n">
        <f aca="false">J9-R9</f>
        <v>-0.98</v>
      </c>
      <c r="T9" s="14" t="n">
        <f aca="false">MIN(189.6,(T8+S9))</f>
        <v>42.34</v>
      </c>
      <c r="U9" s="8" t="n">
        <v>0</v>
      </c>
      <c r="V9" s="8" t="n">
        <v>1426.4</v>
      </c>
      <c r="W9" s="8" t="n">
        <v>79.6871508379888</v>
      </c>
      <c r="X9" s="8" t="n">
        <v>4997.2</v>
      </c>
      <c r="Z9" s="16" t="n">
        <f aca="false">(Z7/100)/I19</f>
        <v>0.532976982557094</v>
      </c>
      <c r="AA9" s="8" t="n">
        <v>13.3043407395317</v>
      </c>
    </row>
    <row r="10" s="8" customFormat="true" ht="15" hidden="false" customHeight="false" outlineLevel="0" collapsed="false">
      <c r="A10" s="9"/>
      <c r="B10" s="10"/>
      <c r="C10" s="11" t="n">
        <v>41888</v>
      </c>
      <c r="D10" s="8" t="n">
        <v>18.1</v>
      </c>
      <c r="E10" s="8" t="n">
        <v>16.7</v>
      </c>
      <c r="F10" s="8" t="n">
        <v>21.2</v>
      </c>
      <c r="G10" s="8" t="n">
        <v>85.7</v>
      </c>
      <c r="I10" s="12" t="s">
        <v>34</v>
      </c>
      <c r="J10" s="8" t="n">
        <v>0.2</v>
      </c>
      <c r="K10" s="8" t="n">
        <v>0.8</v>
      </c>
      <c r="L10" s="8" t="n">
        <v>2.1</v>
      </c>
      <c r="M10" s="8" t="n">
        <v>11</v>
      </c>
      <c r="N10" s="13" t="n">
        <v>-1.9</v>
      </c>
      <c r="O10" s="8" t="n">
        <f aca="false">O9+N10</f>
        <v>34.7</v>
      </c>
      <c r="P10" s="8" t="n">
        <v>5</v>
      </c>
      <c r="Q10" s="8" t="n">
        <v>0.35</v>
      </c>
      <c r="R10" s="14" t="n">
        <f aca="false">Q10*L10</f>
        <v>0.735</v>
      </c>
      <c r="S10" s="14" t="n">
        <f aca="false">J10-R10</f>
        <v>-0.535</v>
      </c>
      <c r="T10" s="14" t="n">
        <f aca="false">MIN(189.6,(T9+S10))</f>
        <v>41.805</v>
      </c>
      <c r="U10" s="12" t="s">
        <v>35</v>
      </c>
      <c r="V10" s="8" t="n">
        <v>1042.4</v>
      </c>
      <c r="W10" s="8" t="n">
        <v>57.5911602209945</v>
      </c>
      <c r="X10" s="8" t="n">
        <v>6039.6</v>
      </c>
      <c r="Z10" s="12" t="s">
        <v>36</v>
      </c>
      <c r="AA10" s="8" t="n">
        <v>13.2443644788464</v>
      </c>
    </row>
    <row r="11" s="8" customFormat="true" ht="15" hidden="false" customHeight="false" outlineLevel="0" collapsed="false">
      <c r="A11" s="9"/>
      <c r="B11" s="10"/>
      <c r="C11" s="11" t="n">
        <v>41889</v>
      </c>
      <c r="D11" s="8" t="n">
        <v>17.1</v>
      </c>
      <c r="E11" s="8" t="n">
        <v>13</v>
      </c>
      <c r="F11" s="8" t="n">
        <v>22</v>
      </c>
      <c r="G11" s="8" t="n">
        <v>102.8</v>
      </c>
      <c r="I11" s="14" t="n">
        <v>12.4966292134831</v>
      </c>
      <c r="J11" s="8" t="n">
        <v>0.2</v>
      </c>
      <c r="K11" s="8" t="n">
        <v>1</v>
      </c>
      <c r="L11" s="8" t="n">
        <v>1.8</v>
      </c>
      <c r="M11" s="8" t="n">
        <v>12.8</v>
      </c>
      <c r="N11" s="13" t="n">
        <v>-1.6</v>
      </c>
      <c r="O11" s="8" t="n">
        <f aca="false">O10+N11</f>
        <v>33.1</v>
      </c>
      <c r="P11" s="8" t="n">
        <v>6</v>
      </c>
      <c r="Q11" s="8" t="n">
        <v>0.35</v>
      </c>
      <c r="R11" s="14" t="n">
        <f aca="false">Q11*L11</f>
        <v>0.63</v>
      </c>
      <c r="S11" s="14" t="n">
        <f aca="false">J11-R11</f>
        <v>-0.43</v>
      </c>
      <c r="T11" s="14" t="n">
        <f aca="false">MIN(189.6,(T10+S11))</f>
        <v>41.375</v>
      </c>
      <c r="U11" s="8" t="n">
        <v>36</v>
      </c>
      <c r="V11" s="15" t="n">
        <v>878.2</v>
      </c>
      <c r="W11" s="8" t="n">
        <v>51.3567251461988</v>
      </c>
      <c r="X11" s="8" t="n">
        <v>6917.8</v>
      </c>
      <c r="Z11" s="8" t="n">
        <v>64</v>
      </c>
      <c r="AA11" s="8" t="n">
        <v>13.1842668281984</v>
      </c>
    </row>
    <row r="12" s="8" customFormat="true" ht="15" hidden="false" customHeight="false" outlineLevel="0" collapsed="false">
      <c r="A12" s="9"/>
      <c r="B12" s="10"/>
      <c r="C12" s="11" t="n">
        <v>41890</v>
      </c>
      <c r="D12" s="8" t="n">
        <v>16.4</v>
      </c>
      <c r="E12" s="8" t="n">
        <v>13.1</v>
      </c>
      <c r="F12" s="8" t="n">
        <v>21.2</v>
      </c>
      <c r="G12" s="8" t="n">
        <v>119.2</v>
      </c>
      <c r="I12" s="12" t="s">
        <v>37</v>
      </c>
      <c r="J12" s="8" t="n">
        <v>0</v>
      </c>
      <c r="K12" s="8" t="n">
        <v>1</v>
      </c>
      <c r="L12" s="8" t="n">
        <v>3.3</v>
      </c>
      <c r="M12" s="8" t="n">
        <v>16.1</v>
      </c>
      <c r="N12" s="13" t="n">
        <v>-3.3</v>
      </c>
      <c r="O12" s="8" t="n">
        <f aca="false">O11+N12</f>
        <v>29.8</v>
      </c>
      <c r="P12" s="8" t="n">
        <v>7</v>
      </c>
      <c r="Q12" s="8" t="n">
        <v>0.35</v>
      </c>
      <c r="R12" s="14" t="n">
        <f aca="false">Q12*L12</f>
        <v>1.155</v>
      </c>
      <c r="S12" s="14" t="n">
        <f aca="false">J12-R12</f>
        <v>-1.155</v>
      </c>
      <c r="T12" s="14" t="n">
        <f aca="false">MIN(189.6,(T11+S12))</f>
        <v>40.22</v>
      </c>
      <c r="U12" s="12" t="s">
        <v>38</v>
      </c>
      <c r="V12" s="8" t="n">
        <v>1750.8</v>
      </c>
      <c r="W12" s="8" t="n">
        <v>106.756097560976</v>
      </c>
      <c r="X12" s="8" t="n">
        <v>8668.6</v>
      </c>
      <c r="AA12" s="8" t="n">
        <v>13.1240552211427</v>
      </c>
    </row>
    <row r="13" s="8" customFormat="true" ht="15" hidden="false" customHeight="false" outlineLevel="0" collapsed="false">
      <c r="A13" s="9"/>
      <c r="B13" s="10"/>
      <c r="C13" s="11" t="n">
        <v>41891</v>
      </c>
      <c r="D13" s="8" t="n">
        <v>14.8</v>
      </c>
      <c r="E13" s="8" t="n">
        <v>10.6</v>
      </c>
      <c r="F13" s="8" t="n">
        <v>19.4</v>
      </c>
      <c r="G13" s="8" t="n">
        <v>134</v>
      </c>
      <c r="I13" s="8" t="n">
        <v>0</v>
      </c>
      <c r="J13" s="8" t="n">
        <v>0</v>
      </c>
      <c r="K13" s="8" t="n">
        <v>1</v>
      </c>
      <c r="L13" s="8" t="n">
        <v>3</v>
      </c>
      <c r="M13" s="8" t="n">
        <v>19.1</v>
      </c>
      <c r="N13" s="13" t="n">
        <v>-3</v>
      </c>
      <c r="O13" s="8" t="n">
        <f aca="false">O12+N13</f>
        <v>26.8</v>
      </c>
      <c r="P13" s="8" t="n">
        <v>8</v>
      </c>
      <c r="Q13" s="8" t="n">
        <v>0.35</v>
      </c>
      <c r="R13" s="14" t="n">
        <f aca="false">Q13*L13</f>
        <v>1.05</v>
      </c>
      <c r="S13" s="14" t="n">
        <f aca="false">J13-R13</f>
        <v>-1.05</v>
      </c>
      <c r="T13" s="14" t="n">
        <f aca="false">MIN(189.6,(T12+S13))</f>
        <v>39.17</v>
      </c>
      <c r="U13" s="14" t="n">
        <f aca="false">MIN(T6:T94)</f>
        <v>32.2535</v>
      </c>
      <c r="V13" s="8" t="n">
        <v>1647.3</v>
      </c>
      <c r="W13" s="8" t="n">
        <v>111.304054054054</v>
      </c>
      <c r="X13" s="8" t="n">
        <v>10315.9</v>
      </c>
      <c r="AA13" s="8" t="n">
        <v>13.0637368312795</v>
      </c>
    </row>
    <row r="14" s="8" customFormat="true" ht="15" hidden="false" customHeight="false" outlineLevel="0" collapsed="false">
      <c r="A14" s="9"/>
      <c r="B14" s="10"/>
      <c r="C14" s="11" t="n">
        <v>41892</v>
      </c>
      <c r="D14" s="8" t="n">
        <v>14.1</v>
      </c>
      <c r="E14" s="8" t="n">
        <v>11.8</v>
      </c>
      <c r="F14" s="8" t="n">
        <v>18.7</v>
      </c>
      <c r="G14" s="8" t="n">
        <v>148.1</v>
      </c>
      <c r="I14" s="12" t="s">
        <v>39</v>
      </c>
      <c r="J14" s="8" t="n">
        <v>0</v>
      </c>
      <c r="K14" s="8" t="n">
        <v>1</v>
      </c>
      <c r="L14" s="8" t="n">
        <v>2.6</v>
      </c>
      <c r="M14" s="8" t="n">
        <v>21.7</v>
      </c>
      <c r="N14" s="13" t="n">
        <v>-2.6</v>
      </c>
      <c r="O14" s="8" t="n">
        <f aca="false">O13+N14</f>
        <v>24.2</v>
      </c>
      <c r="P14" s="8" t="n">
        <v>9</v>
      </c>
      <c r="Q14" s="8" t="n">
        <v>0.35</v>
      </c>
      <c r="R14" s="14" t="n">
        <f aca="false">Q14*L14</f>
        <v>0.91</v>
      </c>
      <c r="S14" s="14" t="n">
        <f aca="false">J14-R14</f>
        <v>-0.91</v>
      </c>
      <c r="T14" s="14" t="n">
        <f aca="false">MIN(189.6,(T13+S14))</f>
        <v>38.26</v>
      </c>
      <c r="U14" s="12" t="s">
        <v>40</v>
      </c>
      <c r="V14" s="8" t="n">
        <v>985.4</v>
      </c>
      <c r="W14" s="8" t="n">
        <v>69.886524822695</v>
      </c>
      <c r="X14" s="8" t="n">
        <v>11301.3</v>
      </c>
      <c r="AA14" s="8" t="n">
        <v>13.0033185890361</v>
      </c>
    </row>
    <row r="15" s="8" customFormat="true" ht="15" hidden="false" customHeight="false" outlineLevel="0" collapsed="false">
      <c r="A15" s="9"/>
      <c r="B15" s="10"/>
      <c r="C15" s="11" t="n">
        <v>41893</v>
      </c>
      <c r="D15" s="8" t="n">
        <v>14</v>
      </c>
      <c r="E15" s="8" t="n">
        <v>8.7</v>
      </c>
      <c r="F15" s="8" t="n">
        <v>19.2</v>
      </c>
      <c r="G15" s="8" t="n">
        <v>162.1</v>
      </c>
      <c r="I15" s="8" t="n">
        <v>2</v>
      </c>
      <c r="J15" s="8" t="n">
        <v>0.2</v>
      </c>
      <c r="K15" s="8" t="n">
        <v>1.2</v>
      </c>
      <c r="L15" s="8" t="n">
        <v>2.2</v>
      </c>
      <c r="M15" s="8" t="n">
        <v>23.9</v>
      </c>
      <c r="N15" s="13" t="n">
        <v>-2</v>
      </c>
      <c r="O15" s="8" t="n">
        <f aca="false">O14+N15</f>
        <v>22.2</v>
      </c>
      <c r="P15" s="8" t="n">
        <v>10</v>
      </c>
      <c r="Q15" s="8" t="n">
        <f aca="false">0.35+((P15-9)/80)*(1-0.35)</f>
        <v>0.358125</v>
      </c>
      <c r="R15" s="14" t="n">
        <f aca="false">Q15*L15</f>
        <v>0.787875</v>
      </c>
      <c r="S15" s="14" t="n">
        <f aca="false">J15-R15</f>
        <v>-0.587875</v>
      </c>
      <c r="T15" s="14" t="n">
        <f aca="false">MIN(189.6,(T14+S15))</f>
        <v>37.672125</v>
      </c>
      <c r="U15" s="14" t="n">
        <f aca="false">MAX(T7:T94)</f>
        <v>129.082875</v>
      </c>
      <c r="V15" s="8" t="n">
        <v>1040</v>
      </c>
      <c r="W15" s="8" t="n">
        <v>74.2857142857143</v>
      </c>
      <c r="X15" s="8" t="n">
        <v>12341.3</v>
      </c>
      <c r="AA15" s="8" t="n">
        <v>12.9428071984942</v>
      </c>
    </row>
    <row r="16" s="8" customFormat="true" ht="15" hidden="false" customHeight="false" outlineLevel="0" collapsed="false">
      <c r="A16" s="9"/>
      <c r="B16" s="10"/>
      <c r="C16" s="11" t="n">
        <v>41894</v>
      </c>
      <c r="D16" s="8" t="n">
        <v>14.9</v>
      </c>
      <c r="E16" s="8" t="n">
        <v>9.6</v>
      </c>
      <c r="F16" s="8" t="n">
        <v>19.9</v>
      </c>
      <c r="G16" s="8" t="n">
        <v>177</v>
      </c>
      <c r="I16" s="12" t="s">
        <v>41</v>
      </c>
      <c r="J16" s="8" t="n">
        <v>0.1</v>
      </c>
      <c r="K16" s="8" t="n">
        <v>1.3</v>
      </c>
      <c r="L16" s="8" t="n">
        <v>3.2</v>
      </c>
      <c r="M16" s="8" t="n">
        <v>27.1</v>
      </c>
      <c r="N16" s="13" t="n">
        <v>-3.1</v>
      </c>
      <c r="O16" s="8" t="n">
        <f aca="false">O15+N16</f>
        <v>19.1</v>
      </c>
      <c r="P16" s="8" t="n">
        <v>11</v>
      </c>
      <c r="Q16" s="8" t="n">
        <f aca="false">0.35+((P16-9)/80)*(1-0.35)</f>
        <v>0.36625</v>
      </c>
      <c r="R16" s="14" t="n">
        <f aca="false">Q16*L16</f>
        <v>1.172</v>
      </c>
      <c r="S16" s="14" t="n">
        <f aca="false">J16-R16</f>
        <v>-1.072</v>
      </c>
      <c r="T16" s="14" t="n">
        <f aca="false">MIN(189.6,(T15+S16))</f>
        <v>36.600125</v>
      </c>
      <c r="U16" s="12" t="s">
        <v>42</v>
      </c>
      <c r="V16" s="8" t="n">
        <v>1705.5</v>
      </c>
      <c r="W16" s="8" t="n">
        <v>114.463087248322</v>
      </c>
      <c r="X16" s="8" t="n">
        <v>14046.8</v>
      </c>
      <c r="AA16" s="8" t="n">
        <v>12.8822091542565</v>
      </c>
    </row>
    <row r="17" s="8" customFormat="true" ht="15" hidden="false" customHeight="false" outlineLevel="0" collapsed="false">
      <c r="A17" s="9"/>
      <c r="B17" s="10"/>
      <c r="C17" s="11" t="n">
        <v>41895</v>
      </c>
      <c r="D17" s="8" t="n">
        <v>15.4</v>
      </c>
      <c r="E17" s="8" t="n">
        <v>12</v>
      </c>
      <c r="F17" s="8" t="n">
        <v>19.1</v>
      </c>
      <c r="G17" s="8" t="n">
        <v>192.4</v>
      </c>
      <c r="I17" s="8" t="n">
        <v>4</v>
      </c>
      <c r="J17" s="8" t="n">
        <v>0.1</v>
      </c>
      <c r="K17" s="8" t="n">
        <v>1.4</v>
      </c>
      <c r="L17" s="8" t="n">
        <v>2.9</v>
      </c>
      <c r="M17" s="8" t="n">
        <v>30</v>
      </c>
      <c r="N17" s="13" t="n">
        <v>-2.8</v>
      </c>
      <c r="O17" s="8" t="n">
        <f aca="false">O16+N17</f>
        <v>16.3</v>
      </c>
      <c r="P17" s="8" t="n">
        <v>12</v>
      </c>
      <c r="Q17" s="8" t="n">
        <f aca="false">0.35+((P17-9)/80)*(1-0.35)</f>
        <v>0.374375</v>
      </c>
      <c r="R17" s="14" t="n">
        <f aca="false">Q17*L17</f>
        <v>1.0856875</v>
      </c>
      <c r="S17" s="14" t="n">
        <f aca="false">J17-R17</f>
        <v>-0.9856875</v>
      </c>
      <c r="T17" s="14" t="n">
        <f aca="false">MIN(189.6,(T16+S17))</f>
        <v>35.6144375</v>
      </c>
      <c r="U17" s="16" t="n">
        <f aca="false">AVERAGE(T6:T94)</f>
        <v>78.7678876404494</v>
      </c>
      <c r="V17" s="8" t="n">
        <v>1564.2</v>
      </c>
      <c r="W17" s="8" t="n">
        <v>101.571428571429</v>
      </c>
      <c r="X17" s="8" t="n">
        <v>15611</v>
      </c>
      <c r="AA17" s="8" t="n">
        <v>12.8215307583491</v>
      </c>
    </row>
    <row r="18" s="8" customFormat="true" ht="15" hidden="false" customHeight="false" outlineLevel="0" collapsed="false">
      <c r="A18" s="9"/>
      <c r="B18" s="10"/>
      <c r="C18" s="11" t="n">
        <v>41896</v>
      </c>
      <c r="D18" s="8" t="n">
        <v>15.1</v>
      </c>
      <c r="E18" s="8" t="n">
        <v>12.4</v>
      </c>
      <c r="F18" s="8" t="n">
        <v>17.9</v>
      </c>
      <c r="G18" s="8" t="n">
        <v>207.5</v>
      </c>
      <c r="I18" s="12" t="s">
        <v>43</v>
      </c>
      <c r="J18" s="8" t="n">
        <v>0</v>
      </c>
      <c r="K18" s="8" t="n">
        <v>1.4</v>
      </c>
      <c r="L18" s="8" t="n">
        <v>1.7</v>
      </c>
      <c r="M18" s="8" t="n">
        <v>31.7</v>
      </c>
      <c r="N18" s="13" t="n">
        <v>-1.7</v>
      </c>
      <c r="O18" s="8" t="n">
        <f aca="false">O17+N18</f>
        <v>14.6</v>
      </c>
      <c r="P18" s="8" t="n">
        <v>13</v>
      </c>
      <c r="Q18" s="8" t="n">
        <f aca="false">0.35+((P18-9)/80)*(1-0.35)</f>
        <v>0.3825</v>
      </c>
      <c r="R18" s="14" t="n">
        <f aca="false">Q18*L18</f>
        <v>0.65025</v>
      </c>
      <c r="S18" s="14" t="n">
        <f aca="false">J18-R18</f>
        <v>-0.65025</v>
      </c>
      <c r="T18" s="14" t="n">
        <f aca="false">MIN(189.6,(T17+S18))</f>
        <v>34.9641875</v>
      </c>
      <c r="V18" s="15" t="n">
        <v>778.1</v>
      </c>
      <c r="W18" s="8" t="n">
        <v>51.5298013245033</v>
      </c>
      <c r="X18" s="8" t="n">
        <v>16389.1</v>
      </c>
      <c r="AA18" s="8" t="n">
        <v>12.7607781371563</v>
      </c>
    </row>
    <row r="19" s="8" customFormat="true" ht="15" hidden="false" customHeight="false" outlineLevel="0" collapsed="false">
      <c r="A19" s="9"/>
      <c r="B19" s="10"/>
      <c r="C19" s="11" t="n">
        <v>41897</v>
      </c>
      <c r="D19" s="8" t="n">
        <v>16</v>
      </c>
      <c r="E19" s="8" t="n">
        <v>10.3</v>
      </c>
      <c r="F19" s="8" t="n">
        <v>22.3</v>
      </c>
      <c r="G19" s="8" t="n">
        <v>223.5</v>
      </c>
      <c r="I19" s="8" t="n">
        <v>1112.2</v>
      </c>
      <c r="J19" s="8" t="n">
        <v>0</v>
      </c>
      <c r="K19" s="8" t="n">
        <v>1.4</v>
      </c>
      <c r="L19" s="8" t="n">
        <v>2</v>
      </c>
      <c r="M19" s="8" t="n">
        <v>33.7</v>
      </c>
      <c r="N19" s="13" t="n">
        <v>-2</v>
      </c>
      <c r="O19" s="8" t="n">
        <f aca="false">O18+N19</f>
        <v>12.6</v>
      </c>
      <c r="P19" s="8" t="n">
        <v>14</v>
      </c>
      <c r="Q19" s="8" t="n">
        <f aca="false">0.35+((P19-9)/80)*(1-0.35)</f>
        <v>0.390625</v>
      </c>
      <c r="R19" s="14" t="n">
        <f aca="false">Q19*L19</f>
        <v>0.78125</v>
      </c>
      <c r="S19" s="14" t="n">
        <f aca="false">J19-R19</f>
        <v>-0.78125</v>
      </c>
      <c r="T19" s="14" t="n">
        <f aca="false">MIN(189.6,(T18+S19))</f>
        <v>34.1829375</v>
      </c>
      <c r="U19" s="8" t="n">
        <f aca="false">(U17*100)/189.6</f>
        <v>41.544244536102</v>
      </c>
      <c r="V19" s="8" t="n">
        <v>1005.4</v>
      </c>
      <c r="W19" s="8" t="n">
        <v>62.8375</v>
      </c>
      <c r="X19" s="8" t="n">
        <v>17394.5</v>
      </c>
      <c r="AA19" s="8" t="n">
        <v>12.6999572583863</v>
      </c>
    </row>
    <row r="20" s="8" customFormat="true" ht="15" hidden="false" customHeight="false" outlineLevel="0" collapsed="false">
      <c r="A20" s="9"/>
      <c r="B20" s="10"/>
      <c r="C20" s="11" t="n">
        <v>41898</v>
      </c>
      <c r="D20" s="8" t="n">
        <v>17</v>
      </c>
      <c r="E20" s="8" t="n">
        <v>10</v>
      </c>
      <c r="F20" s="8" t="n">
        <v>23.5</v>
      </c>
      <c r="G20" s="8" t="n">
        <v>240.5</v>
      </c>
      <c r="J20" s="8" t="n">
        <v>0</v>
      </c>
      <c r="K20" s="8" t="n">
        <v>1.4</v>
      </c>
      <c r="L20" s="8" t="n">
        <v>2.9</v>
      </c>
      <c r="M20" s="8" t="n">
        <v>36.6</v>
      </c>
      <c r="N20" s="13" t="n">
        <v>-2.9</v>
      </c>
      <c r="O20" s="8" t="n">
        <f aca="false">O19+N20</f>
        <v>9.70000000000001</v>
      </c>
      <c r="P20" s="8" t="n">
        <v>15</v>
      </c>
      <c r="Q20" s="8" t="n">
        <f aca="false">0.35+((P20-9)/80)*(1-0.35)</f>
        <v>0.39875</v>
      </c>
      <c r="R20" s="14" t="n">
        <f aca="false">Q20*L20</f>
        <v>1.156375</v>
      </c>
      <c r="S20" s="14" t="n">
        <f aca="false">J20-R20</f>
        <v>-1.156375</v>
      </c>
      <c r="T20" s="14" t="n">
        <f aca="false">MIN(189.6,(T19+S20))</f>
        <v>33.0265625</v>
      </c>
      <c r="V20" s="8" t="n">
        <v>1584.4</v>
      </c>
      <c r="W20" s="8" t="n">
        <v>93.2</v>
      </c>
      <c r="X20" s="8" t="n">
        <v>18978.9</v>
      </c>
      <c r="AA20" s="8" t="n">
        <v>12.6390739480711</v>
      </c>
    </row>
    <row r="21" s="8" customFormat="true" ht="15" hidden="false" customHeight="false" outlineLevel="0" collapsed="false">
      <c r="A21" s="9"/>
      <c r="B21" s="10"/>
      <c r="C21" s="11" t="n">
        <v>41899</v>
      </c>
      <c r="D21" s="8" t="n">
        <v>19.1</v>
      </c>
      <c r="E21" s="8" t="n">
        <v>14.2</v>
      </c>
      <c r="F21" s="8" t="n">
        <v>24.2</v>
      </c>
      <c r="G21" s="8" t="n">
        <v>259.6</v>
      </c>
      <c r="J21" s="8" t="n">
        <v>0</v>
      </c>
      <c r="K21" s="8" t="n">
        <v>1.4</v>
      </c>
      <c r="L21" s="8" t="n">
        <v>1.9</v>
      </c>
      <c r="M21" s="8" t="n">
        <v>38.5</v>
      </c>
      <c r="N21" s="13" t="n">
        <v>-1.9</v>
      </c>
      <c r="O21" s="8" t="n">
        <f aca="false">O20+N21</f>
        <v>7.8</v>
      </c>
      <c r="P21" s="8" t="n">
        <v>16</v>
      </c>
      <c r="Q21" s="8" t="n">
        <f aca="false">0.35+((P21-9)/80)*(1-0.35)</f>
        <v>0.406875</v>
      </c>
      <c r="R21" s="14" t="n">
        <f aca="false">Q21*L21</f>
        <v>0.7730625</v>
      </c>
      <c r="S21" s="14" t="n">
        <f aca="false">J21-R21</f>
        <v>-0.7730625</v>
      </c>
      <c r="T21" s="14" t="n">
        <f aca="false">MIN(189.6,(T20+S21))</f>
        <v>32.2535</v>
      </c>
      <c r="V21" s="15" t="n">
        <v>688.2</v>
      </c>
      <c r="W21" s="8" t="n">
        <v>36.0314136125654</v>
      </c>
      <c r="X21" s="8" t="n">
        <v>19667.1</v>
      </c>
      <c r="AA21" s="8" t="n">
        <v>12.5781339075999</v>
      </c>
    </row>
    <row r="22" s="8" customFormat="true" ht="15" hidden="false" customHeight="false" outlineLevel="0" collapsed="false">
      <c r="A22" s="9"/>
      <c r="B22" s="10"/>
      <c r="C22" s="11" t="n">
        <v>41900</v>
      </c>
      <c r="D22" s="8" t="n">
        <v>18.7</v>
      </c>
      <c r="E22" s="8" t="n">
        <v>15.9</v>
      </c>
      <c r="F22" s="8" t="n">
        <v>24.8</v>
      </c>
      <c r="G22" s="8" t="n">
        <v>278.3</v>
      </c>
      <c r="J22" s="8" t="n">
        <v>7.2</v>
      </c>
      <c r="K22" s="8" t="n">
        <v>8.6</v>
      </c>
      <c r="L22" s="8" t="n">
        <v>2.8</v>
      </c>
      <c r="M22" s="8" t="n">
        <v>41.3</v>
      </c>
      <c r="N22" s="8" t="n">
        <v>4.4</v>
      </c>
      <c r="O22" s="8" t="n">
        <f aca="false">O21+N22</f>
        <v>12.2</v>
      </c>
      <c r="P22" s="8" t="n">
        <v>17</v>
      </c>
      <c r="Q22" s="8" t="n">
        <f aca="false">0.35+((P22-9)/80)*(1-0.35)</f>
        <v>0.415</v>
      </c>
      <c r="R22" s="14" t="n">
        <f aca="false">Q22*L22</f>
        <v>1.162</v>
      </c>
      <c r="S22" s="14" t="n">
        <f aca="false">J22-R22</f>
        <v>6.038</v>
      </c>
      <c r="T22" s="14" t="n">
        <f aca="false">MIN(189.6,(T21+S22))</f>
        <v>38.2915</v>
      </c>
      <c r="V22" s="8" t="n">
        <v>1236.5</v>
      </c>
      <c r="W22" s="8" t="n">
        <v>66.1229946524064</v>
      </c>
      <c r="X22" s="8" t="n">
        <v>20903.6</v>
      </c>
      <c r="AA22" s="8" t="n">
        <v>12.5171427307916</v>
      </c>
    </row>
    <row r="23" s="8" customFormat="true" ht="15" hidden="false" customHeight="false" outlineLevel="0" collapsed="false">
      <c r="A23" s="9"/>
      <c r="B23" s="10"/>
      <c r="C23" s="11" t="n">
        <v>41901</v>
      </c>
      <c r="D23" s="8" t="n">
        <v>19.3</v>
      </c>
      <c r="E23" s="8" t="n">
        <v>14</v>
      </c>
      <c r="F23" s="17" t="n">
        <v>25.5</v>
      </c>
      <c r="G23" s="8" t="n">
        <v>297.6</v>
      </c>
      <c r="J23" s="8" t="n">
        <v>0</v>
      </c>
      <c r="K23" s="8" t="n">
        <v>8.6</v>
      </c>
      <c r="L23" s="8" t="n">
        <v>3</v>
      </c>
      <c r="M23" s="8" t="n">
        <v>44.3</v>
      </c>
      <c r="N23" s="13" t="n">
        <v>-3</v>
      </c>
      <c r="O23" s="8" t="n">
        <f aca="false">O22+N23</f>
        <v>9.20000000000001</v>
      </c>
      <c r="P23" s="8" t="n">
        <v>18</v>
      </c>
      <c r="Q23" s="8" t="n">
        <f aca="false">0.35+((P23-9)/80)*(1-0.35)</f>
        <v>0.423125</v>
      </c>
      <c r="R23" s="14" t="n">
        <f aca="false">Q23*L23</f>
        <v>1.269375</v>
      </c>
      <c r="S23" s="14" t="n">
        <f aca="false">J23-R23</f>
        <v>-1.269375</v>
      </c>
      <c r="T23" s="14" t="n">
        <f aca="false">MIN(189.6,(T22+S23))</f>
        <v>37.022125</v>
      </c>
      <c r="V23" s="8" t="n">
        <v>1378.3</v>
      </c>
      <c r="W23" s="8" t="n">
        <v>71.4145077720207</v>
      </c>
      <c r="X23" s="8" t="n">
        <v>22281.9</v>
      </c>
      <c r="AA23" s="8" t="n">
        <v>12.4561059210099</v>
      </c>
    </row>
    <row r="24" s="8" customFormat="true" ht="15" hidden="false" customHeight="false" outlineLevel="0" collapsed="false">
      <c r="A24" s="9"/>
      <c r="B24" s="10"/>
      <c r="C24" s="11" t="n">
        <v>41902</v>
      </c>
      <c r="D24" s="8" t="n">
        <v>18.4</v>
      </c>
      <c r="E24" s="8" t="n">
        <v>14.6</v>
      </c>
      <c r="F24" s="17" t="n">
        <v>25.7</v>
      </c>
      <c r="G24" s="8" t="n">
        <v>316</v>
      </c>
      <c r="J24" s="8" t="n">
        <v>11.3</v>
      </c>
      <c r="K24" s="8" t="n">
        <v>19.9</v>
      </c>
      <c r="L24" s="8" t="n">
        <v>1.8</v>
      </c>
      <c r="M24" s="8" t="n">
        <v>46.1</v>
      </c>
      <c r="N24" s="8" t="n">
        <v>9.5</v>
      </c>
      <c r="O24" s="8" t="n">
        <f aca="false">O23+N24</f>
        <v>18.7</v>
      </c>
      <c r="P24" s="8" t="n">
        <v>19</v>
      </c>
      <c r="Q24" s="8" t="n">
        <f aca="false">0.35+((P24-9)/80)*(1-0.35)</f>
        <v>0.43125</v>
      </c>
      <c r="R24" s="14" t="n">
        <f aca="false">Q24*L24</f>
        <v>0.77625</v>
      </c>
      <c r="S24" s="14" t="n">
        <f aca="false">J24-R24</f>
        <v>10.52375</v>
      </c>
      <c r="T24" s="14" t="n">
        <f aca="false">MIN(189.6,(T23+S24))</f>
        <v>47.545875</v>
      </c>
      <c r="V24" s="15" t="n">
        <v>598.2</v>
      </c>
      <c r="W24" s="8" t="n">
        <v>32.5108695652174</v>
      </c>
      <c r="X24" s="8" t="n">
        <v>22880.1</v>
      </c>
      <c r="AA24" s="8" t="n">
        <v>12.3950289083268</v>
      </c>
    </row>
    <row r="25" s="8" customFormat="true" ht="15" hidden="false" customHeight="false" outlineLevel="0" collapsed="false">
      <c r="A25" s="9"/>
      <c r="B25" s="10"/>
      <c r="C25" s="11" t="n">
        <v>41903</v>
      </c>
      <c r="D25" s="8" t="n">
        <v>15.1</v>
      </c>
      <c r="E25" s="8" t="n">
        <v>14.1</v>
      </c>
      <c r="F25" s="8" t="n">
        <v>17.2</v>
      </c>
      <c r="G25" s="8" t="n">
        <v>331.1</v>
      </c>
      <c r="J25" s="8" t="n">
        <v>0.1</v>
      </c>
      <c r="K25" s="8" t="n">
        <v>20</v>
      </c>
      <c r="L25" s="8" t="n">
        <v>2.2</v>
      </c>
      <c r="M25" s="8" t="n">
        <v>48.3</v>
      </c>
      <c r="N25" s="13" t="n">
        <v>-2.1</v>
      </c>
      <c r="O25" s="8" t="n">
        <f aca="false">O24+N25</f>
        <v>16.6</v>
      </c>
      <c r="P25" s="8" t="n">
        <v>20</v>
      </c>
      <c r="Q25" s="8" t="n">
        <f aca="false">0.35+((P25-9)/80)*(1-0.35)</f>
        <v>0.439375</v>
      </c>
      <c r="R25" s="14" t="n">
        <f aca="false">Q25*L25</f>
        <v>0.966625</v>
      </c>
      <c r="S25" s="14" t="n">
        <f aca="false">J25-R25</f>
        <v>-0.866625</v>
      </c>
      <c r="T25" s="14" t="n">
        <f aca="false">MIN(189.6,(T24+S25))</f>
        <v>46.67925</v>
      </c>
      <c r="V25" s="8" t="n">
        <v>1249.8</v>
      </c>
      <c r="W25" s="8" t="n">
        <v>82.7682119205298</v>
      </c>
      <c r="X25" s="8" t="n">
        <v>24129.9</v>
      </c>
      <c r="AA25" s="8" t="n">
        <v>12.3339170667409</v>
      </c>
    </row>
    <row r="26" s="8" customFormat="true" ht="15" hidden="false" customHeight="false" outlineLevel="0" collapsed="false">
      <c r="A26" s="9"/>
      <c r="B26" s="10"/>
      <c r="C26" s="11" t="n">
        <v>41904</v>
      </c>
      <c r="D26" s="8" t="n">
        <v>12.1</v>
      </c>
      <c r="E26" s="8" t="n">
        <v>8.9</v>
      </c>
      <c r="F26" s="8" t="n">
        <v>16.3</v>
      </c>
      <c r="G26" s="8" t="n">
        <v>343.2</v>
      </c>
      <c r="J26" s="8" t="n">
        <v>0</v>
      </c>
      <c r="K26" s="8" t="n">
        <v>20</v>
      </c>
      <c r="L26" s="8" t="n">
        <v>2</v>
      </c>
      <c r="M26" s="8" t="n">
        <v>50.3</v>
      </c>
      <c r="N26" s="13" t="n">
        <v>-2</v>
      </c>
      <c r="O26" s="8" t="n">
        <f aca="false">O25+N26</f>
        <v>14.6</v>
      </c>
      <c r="P26" s="8" t="n">
        <v>21</v>
      </c>
      <c r="Q26" s="8" t="n">
        <f aca="false">0.35+((P26-9)/80)*(1-0.35)</f>
        <v>0.4475</v>
      </c>
      <c r="R26" s="14" t="n">
        <f aca="false">Q26*L26</f>
        <v>0.895</v>
      </c>
      <c r="S26" s="14" t="n">
        <f aca="false">J26-R26</f>
        <v>-0.895</v>
      </c>
      <c r="T26" s="14" t="n">
        <f aca="false">MIN(189.6,(T25+S26))</f>
        <v>45.78425</v>
      </c>
      <c r="V26" s="8" t="n">
        <v>1039.1</v>
      </c>
      <c r="W26" s="8" t="n">
        <v>85.8760330578512</v>
      </c>
      <c r="X26" s="8" t="n">
        <v>25169</v>
      </c>
      <c r="AA26" s="8" t="n">
        <v>12.2727757314573</v>
      </c>
    </row>
    <row r="27" s="8" customFormat="true" ht="15" hidden="false" customHeight="false" outlineLevel="0" collapsed="false">
      <c r="A27" s="9"/>
      <c r="B27" s="10"/>
      <c r="C27" s="11" t="n">
        <v>41905</v>
      </c>
      <c r="D27" s="8" t="n">
        <v>10.9</v>
      </c>
      <c r="E27" s="8" t="n">
        <v>5.8</v>
      </c>
      <c r="F27" s="8" t="n">
        <v>16.6</v>
      </c>
      <c r="G27" s="8" t="n">
        <v>354.1</v>
      </c>
      <c r="J27" s="8" t="n">
        <v>0</v>
      </c>
      <c r="K27" s="8" t="n">
        <v>20</v>
      </c>
      <c r="L27" s="8" t="n">
        <v>1.7</v>
      </c>
      <c r="M27" s="8" t="n">
        <v>52</v>
      </c>
      <c r="N27" s="13" t="n">
        <v>-1.7</v>
      </c>
      <c r="O27" s="8" t="n">
        <f aca="false">O26+N27</f>
        <v>12.9</v>
      </c>
      <c r="P27" s="8" t="n">
        <v>22</v>
      </c>
      <c r="Q27" s="8" t="n">
        <f aca="false">0.35+((P27-9)/80)*(1-0.35)</f>
        <v>0.455625</v>
      </c>
      <c r="R27" s="14" t="n">
        <f aca="false">Q27*L27</f>
        <v>0.7745625</v>
      </c>
      <c r="S27" s="14" t="n">
        <f aca="false">J27-R27</f>
        <v>-0.7745625</v>
      </c>
      <c r="T27" s="14" t="n">
        <f aca="false">MIN(189.6,(T26+S27))</f>
        <v>45.0096875</v>
      </c>
      <c r="V27" s="8" t="n">
        <v>1042</v>
      </c>
      <c r="W27" s="8" t="n">
        <v>95.5963302752294</v>
      </c>
      <c r="X27" s="8" t="n">
        <v>26211</v>
      </c>
      <c r="AA27" s="8" t="n">
        <v>12.2116102162378</v>
      </c>
    </row>
    <row r="28" s="8" customFormat="true" ht="15" hidden="false" customHeight="false" outlineLevel="0" collapsed="false">
      <c r="A28" s="9"/>
      <c r="B28" s="10"/>
      <c r="C28" s="11" t="n">
        <v>41906</v>
      </c>
      <c r="D28" s="8" t="n">
        <v>11.5</v>
      </c>
      <c r="E28" s="8" t="n">
        <v>7.7</v>
      </c>
      <c r="F28" s="8" t="n">
        <v>16.3</v>
      </c>
      <c r="G28" s="8" t="n">
        <v>365.6</v>
      </c>
      <c r="J28" s="8" t="n">
        <v>5.8</v>
      </c>
      <c r="K28" s="8" t="n">
        <v>25.8</v>
      </c>
      <c r="L28" s="8" t="n">
        <v>1.3</v>
      </c>
      <c r="M28" s="8" t="n">
        <v>53.3</v>
      </c>
      <c r="N28" s="8" t="n">
        <v>4.5</v>
      </c>
      <c r="O28" s="8" t="n">
        <f aca="false">O27+N28</f>
        <v>17.4</v>
      </c>
      <c r="P28" s="8" t="n">
        <v>23</v>
      </c>
      <c r="Q28" s="8" t="n">
        <f aca="false">0.35+((P28-9)/80)*(1-0.35)</f>
        <v>0.46375</v>
      </c>
      <c r="R28" s="14" t="n">
        <f aca="false">Q28*L28</f>
        <v>0.602875</v>
      </c>
      <c r="S28" s="14" t="n">
        <f aca="false">J28-R28</f>
        <v>5.197125</v>
      </c>
      <c r="T28" s="14" t="n">
        <f aca="false">MIN(189.6,(T27+S28))</f>
        <v>50.2068125</v>
      </c>
      <c r="V28" s="15" t="n">
        <v>669.6</v>
      </c>
      <c r="W28" s="8" t="n">
        <v>58.2260869565217</v>
      </c>
      <c r="X28" s="8" t="n">
        <v>26880.6</v>
      </c>
      <c r="AA28" s="8" t="n">
        <v>12.1504258308271</v>
      </c>
    </row>
    <row r="29" s="8" customFormat="true" ht="15" hidden="false" customHeight="false" outlineLevel="0" collapsed="false">
      <c r="A29" s="9"/>
      <c r="B29" s="10"/>
      <c r="C29" s="11" t="n">
        <v>41907</v>
      </c>
      <c r="D29" s="8" t="n">
        <v>11.2</v>
      </c>
      <c r="E29" s="8" t="n">
        <v>6.6</v>
      </c>
      <c r="F29" s="8" t="n">
        <v>16.6</v>
      </c>
      <c r="G29" s="8" t="n">
        <v>376.8</v>
      </c>
      <c r="J29" s="8" t="n">
        <v>0</v>
      </c>
      <c r="K29" s="8" t="n">
        <v>25.8</v>
      </c>
      <c r="L29" s="8" t="n">
        <v>2.1</v>
      </c>
      <c r="M29" s="8" t="n">
        <v>55.4</v>
      </c>
      <c r="N29" s="13" t="n">
        <v>-2.1</v>
      </c>
      <c r="O29" s="8" t="n">
        <f aca="false">O28+N29</f>
        <v>15.3</v>
      </c>
      <c r="P29" s="8" t="n">
        <v>24</v>
      </c>
      <c r="Q29" s="8" t="n">
        <f aca="false">0.35+((P29-9)/80)*(1-0.35)</f>
        <v>0.471875</v>
      </c>
      <c r="R29" s="14" t="n">
        <f aca="false">Q29*L29</f>
        <v>0.9909375</v>
      </c>
      <c r="S29" s="14" t="n">
        <f aca="false">J29-R29</f>
        <v>-0.9909375</v>
      </c>
      <c r="T29" s="14" t="n">
        <f aca="false">MIN(189.6,(T28+S29))</f>
        <v>49.215875</v>
      </c>
      <c r="V29" s="8" t="n">
        <v>1119.8</v>
      </c>
      <c r="W29" s="8" t="n">
        <v>99.9821428571429</v>
      </c>
      <c r="X29" s="8" t="n">
        <v>28000.4</v>
      </c>
      <c r="AA29" s="8" t="n">
        <v>12.0892278984656</v>
      </c>
    </row>
    <row r="30" s="8" customFormat="true" ht="15" hidden="false" customHeight="false" outlineLevel="0" collapsed="false">
      <c r="A30" s="9"/>
      <c r="B30" s="10"/>
      <c r="C30" s="11" t="n">
        <v>41908</v>
      </c>
      <c r="D30" s="8" t="n">
        <v>14.2</v>
      </c>
      <c r="E30" s="8" t="n">
        <v>8.5</v>
      </c>
      <c r="F30" s="8" t="n">
        <v>19.9</v>
      </c>
      <c r="G30" s="8" t="n">
        <v>391</v>
      </c>
      <c r="J30" s="8" t="n">
        <v>0</v>
      </c>
      <c r="K30" s="8" t="n">
        <v>25.8</v>
      </c>
      <c r="L30" s="8" t="n">
        <v>2.1</v>
      </c>
      <c r="M30" s="8" t="n">
        <v>57.5</v>
      </c>
      <c r="N30" s="13" t="n">
        <v>-2.1</v>
      </c>
      <c r="O30" s="8" t="n">
        <f aca="false">O29+N30</f>
        <v>13.2</v>
      </c>
      <c r="P30" s="8" t="n">
        <v>25</v>
      </c>
      <c r="Q30" s="8" t="n">
        <f aca="false">0.35+((P30-9)/80)*(1-0.35)</f>
        <v>0.48</v>
      </c>
      <c r="R30" s="14" t="n">
        <f aca="false">Q30*L30</f>
        <v>1.008</v>
      </c>
      <c r="S30" s="14" t="n">
        <f aca="false">J30-R30</f>
        <v>-1.008</v>
      </c>
      <c r="T30" s="14" t="n">
        <f aca="false">MIN(189.6,(T29+S30))</f>
        <v>48.207875</v>
      </c>
      <c r="V30" s="8" t="n">
        <v>1039</v>
      </c>
      <c r="W30" s="8" t="n">
        <v>73.169014084507</v>
      </c>
      <c r="X30" s="8" t="n">
        <v>29039.4</v>
      </c>
      <c r="AA30" s="8" t="n">
        <v>12.0280217734959</v>
      </c>
    </row>
    <row r="31" s="8" customFormat="true" ht="15" hidden="false" customHeight="false" outlineLevel="0" collapsed="false">
      <c r="A31" s="9"/>
      <c r="B31" s="10"/>
      <c r="C31" s="11" t="n">
        <v>41909</v>
      </c>
      <c r="D31" s="8" t="n">
        <v>16.9</v>
      </c>
      <c r="E31" s="8" t="n">
        <v>14.4</v>
      </c>
      <c r="F31" s="8" t="n">
        <v>21.4</v>
      </c>
      <c r="G31" s="8" t="n">
        <v>407.9</v>
      </c>
      <c r="J31" s="8" t="n">
        <v>0</v>
      </c>
      <c r="K31" s="8" t="n">
        <v>25.8</v>
      </c>
      <c r="L31" s="8" t="n">
        <v>2.1</v>
      </c>
      <c r="M31" s="8" t="n">
        <v>59.6</v>
      </c>
      <c r="N31" s="13" t="n">
        <v>-2.1</v>
      </c>
      <c r="O31" s="8" t="n">
        <f aca="false">O30+N31</f>
        <v>11.1</v>
      </c>
      <c r="P31" s="8" t="n">
        <v>26</v>
      </c>
      <c r="Q31" s="8" t="n">
        <f aca="false">0.35+((P31-9)/80)*(1-0.35)</f>
        <v>0.488125</v>
      </c>
      <c r="R31" s="14" t="n">
        <f aca="false">Q31*L31</f>
        <v>1.0250625</v>
      </c>
      <c r="S31" s="14" t="n">
        <f aca="false">J31-R31</f>
        <v>-1.0250625</v>
      </c>
      <c r="T31" s="14" t="n">
        <f aca="false">MIN(189.6,(T30+S31))</f>
        <v>47.1828125</v>
      </c>
      <c r="V31" s="8" t="n">
        <v>930.3</v>
      </c>
      <c r="W31" s="8" t="n">
        <v>55.0473372781065</v>
      </c>
      <c r="X31" s="8" t="n">
        <v>29969.7</v>
      </c>
      <c r="AA31" s="8" t="n">
        <v>11.9668128590714</v>
      </c>
    </row>
    <row r="32" s="8" customFormat="true" ht="15" hidden="false" customHeight="false" outlineLevel="0" collapsed="false">
      <c r="A32" s="9"/>
      <c r="B32" s="10"/>
      <c r="C32" s="11" t="n">
        <v>41910</v>
      </c>
      <c r="D32" s="8" t="n">
        <v>16</v>
      </c>
      <c r="E32" s="8" t="n">
        <v>11.2</v>
      </c>
      <c r="F32" s="8" t="n">
        <v>20.9</v>
      </c>
      <c r="G32" s="8" t="n">
        <v>423.9</v>
      </c>
      <c r="J32" s="8" t="n">
        <v>0</v>
      </c>
      <c r="K32" s="8" t="n">
        <v>25.8</v>
      </c>
      <c r="L32" s="8" t="n">
        <v>2.1</v>
      </c>
      <c r="M32" s="8" t="n">
        <v>61.7</v>
      </c>
      <c r="N32" s="13" t="n">
        <v>-2.1</v>
      </c>
      <c r="O32" s="8" t="n">
        <f aca="false">O31+N32</f>
        <v>9</v>
      </c>
      <c r="P32" s="8" t="n">
        <v>27</v>
      </c>
      <c r="Q32" s="8" t="n">
        <f aca="false">0.35+((P32-9)/80)*(1-0.35)</f>
        <v>0.49625</v>
      </c>
      <c r="R32" s="14" t="n">
        <f aca="false">Q32*L32</f>
        <v>1.042125</v>
      </c>
      <c r="S32" s="14" t="n">
        <f aca="false">J32-R32</f>
        <v>-1.042125</v>
      </c>
      <c r="T32" s="14" t="n">
        <f aca="false">MIN(189.6,(T31+S32))</f>
        <v>46.1406875</v>
      </c>
      <c r="V32" s="8" t="n">
        <v>1186.9</v>
      </c>
      <c r="W32" s="8" t="n">
        <v>74.18125</v>
      </c>
      <c r="X32" s="8" t="n">
        <v>31156.6</v>
      </c>
      <c r="AA32" s="8" t="n">
        <v>11.9056066249754</v>
      </c>
    </row>
    <row r="33" s="8" customFormat="true" ht="15" hidden="false" customHeight="false" outlineLevel="0" collapsed="false">
      <c r="A33" s="9"/>
      <c r="B33" s="10"/>
      <c r="C33" s="11" t="n">
        <v>41911</v>
      </c>
      <c r="D33" s="8" t="n">
        <v>17</v>
      </c>
      <c r="E33" s="8" t="n">
        <v>14.5</v>
      </c>
      <c r="F33" s="8" t="n">
        <v>20.4</v>
      </c>
      <c r="G33" s="8" t="n">
        <v>440.9</v>
      </c>
      <c r="J33" s="8" t="n">
        <v>5.4</v>
      </c>
      <c r="K33" s="8" t="n">
        <v>31.2</v>
      </c>
      <c r="L33" s="8" t="n">
        <v>1.3</v>
      </c>
      <c r="M33" s="8" t="n">
        <v>63</v>
      </c>
      <c r="N33" s="8" t="n">
        <v>4.1</v>
      </c>
      <c r="O33" s="8" t="n">
        <f aca="false">O32+N33</f>
        <v>13.1</v>
      </c>
      <c r="P33" s="8" t="n">
        <v>28</v>
      </c>
      <c r="Q33" s="8" t="n">
        <f aca="false">0.35+((P33-9)/80)*(1-0.35)</f>
        <v>0.504375</v>
      </c>
      <c r="R33" s="14" t="n">
        <f aca="false">Q33*L33</f>
        <v>0.6556875</v>
      </c>
      <c r="S33" s="14" t="n">
        <f aca="false">J33-R33</f>
        <v>4.7443125</v>
      </c>
      <c r="T33" s="14" t="n">
        <f aca="false">MIN(189.6,(T32+S33))</f>
        <v>50.885</v>
      </c>
      <c r="V33" s="15" t="n">
        <v>607.1</v>
      </c>
      <c r="W33" s="8" t="n">
        <v>35.7117647058824</v>
      </c>
      <c r="X33" s="8" t="n">
        <v>31763.7</v>
      </c>
      <c r="AA33" s="8" t="n">
        <v>11.8444086255583</v>
      </c>
    </row>
    <row r="34" s="8" customFormat="true" ht="15" hidden="false" customHeight="false" outlineLevel="0" collapsed="false">
      <c r="A34" s="9"/>
      <c r="B34" s="10"/>
      <c r="C34" s="11" t="n">
        <v>41912</v>
      </c>
      <c r="D34" s="8" t="n">
        <v>15.9</v>
      </c>
      <c r="E34" s="8" t="n">
        <v>12.6</v>
      </c>
      <c r="F34" s="8" t="n">
        <v>20.9</v>
      </c>
      <c r="G34" s="8" t="n">
        <v>456.8</v>
      </c>
      <c r="J34" s="8" t="n">
        <v>0.1</v>
      </c>
      <c r="K34" s="8" t="n">
        <v>31.3</v>
      </c>
      <c r="L34" s="8" t="n">
        <v>2.2</v>
      </c>
      <c r="M34" s="8" t="n">
        <v>65.2</v>
      </c>
      <c r="N34" s="13" t="n">
        <v>-2.1</v>
      </c>
      <c r="O34" s="8" t="n">
        <f aca="false">O33+N34</f>
        <v>11</v>
      </c>
      <c r="P34" s="8" t="n">
        <v>29</v>
      </c>
      <c r="Q34" s="8" t="n">
        <f aca="false">0.35+((P34-9)/80)*(1-0.35)</f>
        <v>0.5125</v>
      </c>
      <c r="R34" s="14" t="n">
        <f aca="false">Q34*L34</f>
        <v>1.1275</v>
      </c>
      <c r="S34" s="14" t="n">
        <f aca="false">J34-R34</f>
        <v>-1.0275</v>
      </c>
      <c r="T34" s="14" t="n">
        <f aca="false">MIN(189.6,(T33+S34))</f>
        <v>49.8575</v>
      </c>
      <c r="V34" s="8" t="n">
        <v>1072.6</v>
      </c>
      <c r="W34" s="8" t="n">
        <v>67.4591194968553</v>
      </c>
      <c r="X34" s="8" t="n">
        <v>32836.3</v>
      </c>
      <c r="AA34" s="8" t="n">
        <v>11.7832245178004</v>
      </c>
    </row>
    <row r="35" s="8" customFormat="true" ht="15" hidden="false" customHeight="false" outlineLevel="0" collapsed="false">
      <c r="A35" s="9"/>
      <c r="B35" s="10"/>
      <c r="C35" s="11" t="n">
        <v>41913</v>
      </c>
      <c r="D35" s="8" t="n">
        <v>16</v>
      </c>
      <c r="E35" s="8" t="n">
        <v>10.9</v>
      </c>
      <c r="F35" s="8" t="n">
        <v>21.9</v>
      </c>
      <c r="G35" s="8" t="n">
        <v>472.8</v>
      </c>
      <c r="J35" s="8" t="n">
        <v>0.2</v>
      </c>
      <c r="K35" s="8" t="n">
        <v>31.5</v>
      </c>
      <c r="L35" s="8" t="n">
        <v>2.3</v>
      </c>
      <c r="M35" s="8" t="n">
        <v>67.5</v>
      </c>
      <c r="N35" s="13" t="n">
        <v>-2.1</v>
      </c>
      <c r="O35" s="8" t="n">
        <f aca="false">O34+N35</f>
        <v>8.90000000000001</v>
      </c>
      <c r="P35" s="8" t="n">
        <v>30</v>
      </c>
      <c r="Q35" s="8" t="n">
        <f aca="false">0.35+((P35-9)/80)*(1-0.35)</f>
        <v>0.520625</v>
      </c>
      <c r="R35" s="14" t="n">
        <f aca="false">Q35*L35</f>
        <v>1.1974375</v>
      </c>
      <c r="S35" s="14" t="n">
        <f aca="false">J35-R35</f>
        <v>-0.9974375</v>
      </c>
      <c r="T35" s="14" t="n">
        <f aca="false">MIN(189.6,(T34+S35))</f>
        <v>48.8600625</v>
      </c>
      <c r="V35" s="8" t="n">
        <v>1157.3</v>
      </c>
      <c r="W35" s="8" t="n">
        <v>72.33125</v>
      </c>
      <c r="X35" s="8" t="n">
        <v>33993.6</v>
      </c>
      <c r="AA35" s="8" t="n">
        <v>11.7220600795062</v>
      </c>
    </row>
    <row r="36" s="8" customFormat="true" ht="15" hidden="false" customHeight="false" outlineLevel="0" collapsed="false">
      <c r="A36" s="9"/>
      <c r="B36" s="10"/>
      <c r="C36" s="11" t="n">
        <v>41914</v>
      </c>
      <c r="D36" s="8" t="n">
        <v>15.8</v>
      </c>
      <c r="E36" s="8" t="n">
        <v>14.7</v>
      </c>
      <c r="F36" s="8" t="n">
        <v>18.7</v>
      </c>
      <c r="G36" s="8" t="n">
        <v>488.6</v>
      </c>
      <c r="J36" s="8" t="n">
        <v>0.1</v>
      </c>
      <c r="K36" s="8" t="n">
        <v>31.6</v>
      </c>
      <c r="L36" s="8" t="n">
        <v>0.9</v>
      </c>
      <c r="M36" s="8" t="n">
        <v>68.4</v>
      </c>
      <c r="N36" s="13" t="n">
        <v>-0.8</v>
      </c>
      <c r="O36" s="8" t="n">
        <f aca="false">O35+N36</f>
        <v>8.10000000000001</v>
      </c>
      <c r="P36" s="8" t="n">
        <v>31</v>
      </c>
      <c r="Q36" s="8" t="n">
        <f aca="false">0.35+((P36-9)/80)*(1-0.35)</f>
        <v>0.52875</v>
      </c>
      <c r="R36" s="14" t="n">
        <f aca="false">Q36*L36</f>
        <v>0.475875</v>
      </c>
      <c r="S36" s="14" t="n">
        <f aca="false">J36-R36</f>
        <v>-0.375875</v>
      </c>
      <c r="T36" s="14" t="n">
        <f aca="false">MIN(189.6,(T35+S36))</f>
        <v>48.4841875</v>
      </c>
      <c r="V36" s="15" t="n">
        <v>390.3</v>
      </c>
      <c r="W36" s="8" t="n">
        <v>24.7025316455696</v>
      </c>
      <c r="X36" s="8" t="n">
        <v>34383.9</v>
      </c>
      <c r="AA36" s="8" t="n">
        <v>11.6609212276372</v>
      </c>
    </row>
    <row r="37" s="8" customFormat="true" ht="15" hidden="false" customHeight="false" outlineLevel="0" collapsed="false">
      <c r="A37" s="9"/>
      <c r="B37" s="10"/>
      <c r="C37" s="11" t="n">
        <v>41915</v>
      </c>
      <c r="D37" s="8" t="n">
        <v>15.2</v>
      </c>
      <c r="E37" s="8" t="n">
        <v>9.4</v>
      </c>
      <c r="F37" s="8" t="n">
        <v>22</v>
      </c>
      <c r="G37" s="8" t="n">
        <v>503.8</v>
      </c>
      <c r="J37" s="8" t="n">
        <v>0</v>
      </c>
      <c r="K37" s="8" t="n">
        <v>31.6</v>
      </c>
      <c r="L37" s="8" t="n">
        <v>1.7</v>
      </c>
      <c r="M37" s="8" t="n">
        <v>70.1</v>
      </c>
      <c r="N37" s="13" t="n">
        <v>-1.7</v>
      </c>
      <c r="O37" s="8" t="n">
        <f aca="false">O36+N37</f>
        <v>6.40000000000001</v>
      </c>
      <c r="P37" s="8" t="n">
        <v>32</v>
      </c>
      <c r="Q37" s="8" t="n">
        <f aca="false">0.35+((P37-9)/80)*(1-0.35)</f>
        <v>0.536875</v>
      </c>
      <c r="R37" s="14" t="n">
        <f aca="false">Q37*L37</f>
        <v>0.9126875</v>
      </c>
      <c r="S37" s="14" t="n">
        <f aca="false">J37-R37</f>
        <v>-0.9126875</v>
      </c>
      <c r="T37" s="14" t="n">
        <f aca="false">MIN(189.6,(T36+S37))</f>
        <v>47.5715</v>
      </c>
      <c r="V37" s="15" t="n">
        <v>865.6</v>
      </c>
      <c r="W37" s="8" t="n">
        <v>56.9473684210526</v>
      </c>
      <c r="X37" s="8" t="n">
        <v>35249.5</v>
      </c>
      <c r="AA37" s="8" t="n">
        <v>11.5998140367872</v>
      </c>
    </row>
    <row r="38" s="8" customFormat="true" ht="15" hidden="false" customHeight="false" outlineLevel="0" collapsed="false">
      <c r="A38" s="9"/>
      <c r="B38" s="10"/>
      <c r="C38" s="11" t="n">
        <v>41916</v>
      </c>
      <c r="D38" s="8" t="n">
        <v>13.8</v>
      </c>
      <c r="E38" s="8" t="n">
        <v>9.3</v>
      </c>
      <c r="F38" s="8" t="n">
        <v>21</v>
      </c>
      <c r="G38" s="8" t="n">
        <v>517.6</v>
      </c>
      <c r="J38" s="8" t="n">
        <v>6</v>
      </c>
      <c r="K38" s="8" t="n">
        <v>37.6</v>
      </c>
      <c r="L38" s="8" t="n">
        <v>1.9</v>
      </c>
      <c r="M38" s="8" t="n">
        <v>72</v>
      </c>
      <c r="N38" s="8" t="n">
        <v>4.1</v>
      </c>
      <c r="O38" s="8" t="n">
        <f aca="false">O37+N38</f>
        <v>10.5</v>
      </c>
      <c r="P38" s="8" t="n">
        <v>33</v>
      </c>
      <c r="Q38" s="8" t="n">
        <f aca="false">0.35+((P38-9)/80)*(1-0.35)</f>
        <v>0.545</v>
      </c>
      <c r="R38" s="14" t="n">
        <f aca="false">Q38*L38</f>
        <v>1.0355</v>
      </c>
      <c r="S38" s="14" t="n">
        <f aca="false">J38-R38</f>
        <v>4.9645</v>
      </c>
      <c r="T38" s="14" t="n">
        <f aca="false">MIN(189.6,(T37+S38))</f>
        <v>52.536</v>
      </c>
      <c r="V38" s="15" t="n">
        <v>636.7</v>
      </c>
      <c r="W38" s="8" t="n">
        <v>46.1376811594203</v>
      </c>
      <c r="X38" s="8" t="n">
        <v>35886.2</v>
      </c>
      <c r="AA38" s="8" t="n">
        <v>11.5387447578035</v>
      </c>
    </row>
    <row r="39" s="8" customFormat="true" ht="15" hidden="false" customHeight="false" outlineLevel="0" collapsed="false">
      <c r="A39" s="9"/>
      <c r="B39" s="10"/>
      <c r="C39" s="11" t="n">
        <v>41917</v>
      </c>
      <c r="D39" s="8" t="n">
        <v>12.1</v>
      </c>
      <c r="E39" s="8" t="n">
        <v>9.7</v>
      </c>
      <c r="F39" s="8" t="n">
        <v>14.8</v>
      </c>
      <c r="G39" s="8" t="n">
        <v>529.7</v>
      </c>
      <c r="J39" s="8" t="n">
        <v>0</v>
      </c>
      <c r="K39" s="8" t="n">
        <v>37.6</v>
      </c>
      <c r="L39" s="8" t="n">
        <v>1.8</v>
      </c>
      <c r="M39" s="8" t="n">
        <v>73.8</v>
      </c>
      <c r="N39" s="13" t="n">
        <v>-1.8</v>
      </c>
      <c r="O39" s="8" t="n">
        <f aca="false">O38+N39</f>
        <v>8.7</v>
      </c>
      <c r="P39" s="8" t="n">
        <v>34</v>
      </c>
      <c r="Q39" s="8" t="n">
        <f aca="false">0.35+((P39-9)/80)*(1-0.35)</f>
        <v>0.553125</v>
      </c>
      <c r="R39" s="14" t="n">
        <f aca="false">Q39*L39</f>
        <v>0.995625</v>
      </c>
      <c r="S39" s="14" t="n">
        <f aca="false">J39-R39</f>
        <v>-0.995625</v>
      </c>
      <c r="T39" s="14" t="n">
        <f aca="false">MIN(189.6,(T38+S39))</f>
        <v>51.540375</v>
      </c>
      <c r="V39" s="15" t="n">
        <v>865.6</v>
      </c>
      <c r="W39" s="8" t="n">
        <v>71.5371900826446</v>
      </c>
      <c r="X39" s="8" t="n">
        <v>36751.8</v>
      </c>
      <c r="AA39" s="8" t="n">
        <v>11.477719836557</v>
      </c>
    </row>
    <row r="40" s="8" customFormat="true" ht="15" hidden="false" customHeight="false" outlineLevel="0" collapsed="false">
      <c r="A40" s="9"/>
      <c r="B40" s="10"/>
      <c r="C40" s="11" t="n">
        <v>41918</v>
      </c>
      <c r="D40" s="8" t="n">
        <v>11.1</v>
      </c>
      <c r="E40" s="8" t="n">
        <v>7.8</v>
      </c>
      <c r="F40" s="8" t="n">
        <v>13.6</v>
      </c>
      <c r="G40" s="8" t="n">
        <v>540.8</v>
      </c>
      <c r="J40" s="8" t="n">
        <v>4.7</v>
      </c>
      <c r="K40" s="8" t="n">
        <v>42.3</v>
      </c>
      <c r="L40" s="8" t="n">
        <v>0.9</v>
      </c>
      <c r="M40" s="8" t="n">
        <v>74.7</v>
      </c>
      <c r="N40" s="8" t="n">
        <v>3.8</v>
      </c>
      <c r="O40" s="8" t="n">
        <f aca="false">O39+N40</f>
        <v>12.5</v>
      </c>
      <c r="P40" s="8" t="n">
        <v>35</v>
      </c>
      <c r="Q40" s="8" t="n">
        <f aca="false">0.35+((P40-9)/80)*(1-0.35)</f>
        <v>0.56125</v>
      </c>
      <c r="R40" s="14" t="n">
        <f aca="false">Q40*L40</f>
        <v>0.505125</v>
      </c>
      <c r="S40" s="14" t="n">
        <f aca="false">J40-R40</f>
        <v>4.194875</v>
      </c>
      <c r="T40" s="14" t="n">
        <f aca="false">MIN(189.6,(T39+S40))</f>
        <v>55.73525</v>
      </c>
      <c r="V40" s="15" t="n">
        <v>622.3</v>
      </c>
      <c r="W40" s="8" t="n">
        <v>56.0630630630631</v>
      </c>
      <c r="X40" s="8" t="n">
        <v>37374.1</v>
      </c>
      <c r="AA40" s="8" t="n">
        <v>11.4167459328616</v>
      </c>
    </row>
    <row r="41" s="8" customFormat="true" ht="15" hidden="false" customHeight="false" outlineLevel="0" collapsed="false">
      <c r="A41" s="9"/>
      <c r="B41" s="10"/>
      <c r="C41" s="11" t="n">
        <v>41919</v>
      </c>
      <c r="D41" s="8" t="n">
        <v>11.7</v>
      </c>
      <c r="E41" s="8" t="n">
        <v>10.3</v>
      </c>
      <c r="F41" s="8" t="n">
        <v>13.9</v>
      </c>
      <c r="G41" s="8" t="n">
        <v>552.5</v>
      </c>
      <c r="J41" s="8" t="n">
        <v>1.3</v>
      </c>
      <c r="K41" s="8" t="n">
        <v>43.6</v>
      </c>
      <c r="L41" s="8" t="n">
        <v>1.5</v>
      </c>
      <c r="M41" s="8" t="n">
        <v>76.2</v>
      </c>
      <c r="N41" s="13" t="n">
        <v>-0.2</v>
      </c>
      <c r="O41" s="8" t="n">
        <f aca="false">O40+N41</f>
        <v>12.3</v>
      </c>
      <c r="P41" s="8" t="n">
        <v>36</v>
      </c>
      <c r="Q41" s="8" t="n">
        <f aca="false">0.35+((P41-9)/80)*(1-0.35)</f>
        <v>0.569375</v>
      </c>
      <c r="R41" s="14" t="n">
        <f aca="false">Q41*L41</f>
        <v>0.8540625</v>
      </c>
      <c r="S41" s="14" t="n">
        <f aca="false">J41-R41</f>
        <v>0.4459375</v>
      </c>
      <c r="T41" s="14" t="n">
        <f aca="false">MIN(189.6,(T40+S41))</f>
        <v>56.1811875</v>
      </c>
      <c r="V41" s="15" t="n">
        <v>825.7</v>
      </c>
      <c r="W41" s="8" t="n">
        <v>70.5726495726496</v>
      </c>
      <c r="X41" s="8" t="n">
        <v>38199.8</v>
      </c>
      <c r="AA41" s="8" t="n">
        <v>11.3558299395414</v>
      </c>
    </row>
    <row r="42" s="8" customFormat="true" ht="15" hidden="false" customHeight="false" outlineLevel="0" collapsed="false">
      <c r="A42" s="9"/>
      <c r="B42" s="10"/>
      <c r="C42" s="11" t="n">
        <v>41920</v>
      </c>
      <c r="D42" s="8" t="n">
        <v>13.8</v>
      </c>
      <c r="E42" s="8" t="n">
        <v>9.1</v>
      </c>
      <c r="F42" s="8" t="n">
        <v>16.3</v>
      </c>
      <c r="G42" s="8" t="n">
        <v>566.3</v>
      </c>
      <c r="J42" s="8" t="n">
        <v>8.8</v>
      </c>
      <c r="K42" s="8" t="n">
        <v>52.4</v>
      </c>
      <c r="L42" s="8" t="n">
        <v>0.4</v>
      </c>
      <c r="M42" s="8" t="n">
        <v>76.6</v>
      </c>
      <c r="N42" s="8" t="n">
        <v>8.4</v>
      </c>
      <c r="O42" s="8" t="n">
        <f aca="false">O41+N42</f>
        <v>20.7</v>
      </c>
      <c r="P42" s="8" t="n">
        <v>37</v>
      </c>
      <c r="Q42" s="8" t="n">
        <f aca="false">0.35+((P42-9)/80)*(1-0.35)</f>
        <v>0.5775</v>
      </c>
      <c r="R42" s="14" t="n">
        <f aca="false">Q42*L42</f>
        <v>0.231</v>
      </c>
      <c r="S42" s="14" t="n">
        <f aca="false">J42-R42</f>
        <v>8.569</v>
      </c>
      <c r="T42" s="14" t="n">
        <f aca="false">MIN(189.6,(T41+S42))</f>
        <v>64.7501875</v>
      </c>
      <c r="V42" s="15" t="n">
        <v>279.7</v>
      </c>
      <c r="W42" s="8" t="n">
        <v>20.268115942029</v>
      </c>
      <c r="X42" s="8" t="n">
        <v>38479.5</v>
      </c>
      <c r="AA42" s="8" t="n">
        <v>11.2949790016434</v>
      </c>
    </row>
    <row r="43" s="8" customFormat="true" ht="15" hidden="false" customHeight="false" outlineLevel="0" collapsed="false">
      <c r="A43" s="9"/>
      <c r="B43" s="10"/>
      <c r="C43" s="11" t="n">
        <v>41921</v>
      </c>
      <c r="D43" s="8" t="n">
        <v>14.8</v>
      </c>
      <c r="E43" s="8" t="n">
        <v>13.1</v>
      </c>
      <c r="F43" s="8" t="n">
        <v>17.6</v>
      </c>
      <c r="G43" s="8" t="n">
        <v>581.1</v>
      </c>
      <c r="J43" s="8" t="n">
        <v>0.9</v>
      </c>
      <c r="K43" s="8" t="n">
        <v>53.3</v>
      </c>
      <c r="L43" s="8" t="n">
        <v>1.7</v>
      </c>
      <c r="M43" s="8" t="n">
        <v>78.3</v>
      </c>
      <c r="N43" s="13" t="n">
        <v>-0.8</v>
      </c>
      <c r="O43" s="8" t="n">
        <f aca="false">O42+N43</f>
        <v>19.9</v>
      </c>
      <c r="P43" s="8" t="n">
        <v>38</v>
      </c>
      <c r="Q43" s="8" t="n">
        <f aca="false">0.35+((P43-9)/80)*(1-0.35)</f>
        <v>0.585625</v>
      </c>
      <c r="R43" s="14" t="n">
        <f aca="false">Q43*L43</f>
        <v>0.9955625</v>
      </c>
      <c r="S43" s="14" t="n">
        <f aca="false">J43-R43</f>
        <v>-0.0955624999999999</v>
      </c>
      <c r="T43" s="14" t="n">
        <f aca="false">MIN(189.6,(T42+S43))</f>
        <v>64.654625</v>
      </c>
      <c r="V43" s="15" t="n">
        <v>640.5</v>
      </c>
      <c r="W43" s="8" t="n">
        <v>43.277027027027</v>
      </c>
      <c r="X43" s="8" t="n">
        <v>39120</v>
      </c>
      <c r="AA43" s="8" t="n">
        <v>11.2342005357897</v>
      </c>
    </row>
    <row r="44" s="8" customFormat="true" ht="15" hidden="false" customHeight="false" outlineLevel="0" collapsed="false">
      <c r="A44" s="9"/>
      <c r="B44" s="10"/>
      <c r="C44" s="11" t="n">
        <v>41922</v>
      </c>
      <c r="D44" s="8" t="n">
        <v>12.8</v>
      </c>
      <c r="E44" s="8" t="n">
        <v>10.7</v>
      </c>
      <c r="F44" s="8" t="n">
        <v>16.5</v>
      </c>
      <c r="G44" s="8" t="n">
        <v>593.9</v>
      </c>
      <c r="J44" s="8" t="n">
        <v>2.2</v>
      </c>
      <c r="K44" s="8" t="n">
        <v>55.5</v>
      </c>
      <c r="L44" s="8" t="n">
        <v>1.7</v>
      </c>
      <c r="M44" s="8" t="n">
        <v>80</v>
      </c>
      <c r="N44" s="8" t="n">
        <v>0.5</v>
      </c>
      <c r="O44" s="8" t="n">
        <f aca="false">O43+N44</f>
        <v>20.4</v>
      </c>
      <c r="P44" s="8" t="n">
        <v>39</v>
      </c>
      <c r="Q44" s="8" t="n">
        <f aca="false">0.35+((P44-9)/80)*(1-0.35)</f>
        <v>0.59375</v>
      </c>
      <c r="R44" s="14" t="n">
        <f aca="false">Q44*L44</f>
        <v>1.009375</v>
      </c>
      <c r="S44" s="14" t="n">
        <f aca="false">J44-R44</f>
        <v>1.190625</v>
      </c>
      <c r="T44" s="14" t="n">
        <f aca="false">MIN(189.6,(T43+S44))</f>
        <v>65.84525</v>
      </c>
      <c r="V44" s="15" t="n">
        <v>807.5</v>
      </c>
      <c r="W44" s="8" t="n">
        <v>63.0859375</v>
      </c>
      <c r="X44" s="8" t="n">
        <v>39927.5</v>
      </c>
      <c r="AA44" s="8" t="n">
        <v>11.173502249662</v>
      </c>
    </row>
    <row r="45" s="8" customFormat="true" ht="15" hidden="false" customHeight="false" outlineLevel="0" collapsed="false">
      <c r="A45" s="9"/>
      <c r="B45" s="10"/>
      <c r="C45" s="11" t="n">
        <v>41923</v>
      </c>
      <c r="D45" s="8" t="n">
        <v>12.5</v>
      </c>
      <c r="E45" s="8" t="n">
        <v>10</v>
      </c>
      <c r="F45" s="8" t="n">
        <v>16.4</v>
      </c>
      <c r="G45" s="8" t="n">
        <v>606.4</v>
      </c>
      <c r="J45" s="8" t="n">
        <v>9.6</v>
      </c>
      <c r="K45" s="8" t="n">
        <v>65.1</v>
      </c>
      <c r="L45" s="8" t="n">
        <v>1.2</v>
      </c>
      <c r="M45" s="8" t="n">
        <v>81.2</v>
      </c>
      <c r="N45" s="8" t="n">
        <v>8.4</v>
      </c>
      <c r="O45" s="8" t="n">
        <f aca="false">O44+N45</f>
        <v>28.8</v>
      </c>
      <c r="P45" s="8" t="n">
        <v>40</v>
      </c>
      <c r="Q45" s="8" t="n">
        <f aca="false">0.35+((P45-9)/80)*(1-0.35)</f>
        <v>0.601875</v>
      </c>
      <c r="R45" s="14" t="n">
        <f aca="false">Q45*L45</f>
        <v>0.72225</v>
      </c>
      <c r="S45" s="14" t="n">
        <f aca="false">J45-R45</f>
        <v>8.87775</v>
      </c>
      <c r="T45" s="14" t="n">
        <f aca="false">MIN(189.6,(T44+S45))</f>
        <v>74.723</v>
      </c>
      <c r="V45" s="15" t="n">
        <v>564.9</v>
      </c>
      <c r="W45" s="8" t="n">
        <v>45.192</v>
      </c>
      <c r="X45" s="8" t="n">
        <v>40492.4</v>
      </c>
      <c r="AA45" s="8" t="n">
        <v>11.1128921616082</v>
      </c>
    </row>
    <row r="46" s="8" customFormat="true" ht="15" hidden="false" customHeight="false" outlineLevel="0" collapsed="false">
      <c r="A46" s="9"/>
      <c r="B46" s="10"/>
      <c r="C46" s="11" t="n">
        <v>41924</v>
      </c>
      <c r="D46" s="8" t="n">
        <v>12.2</v>
      </c>
      <c r="E46" s="8" t="n">
        <v>8.6</v>
      </c>
      <c r="F46" s="8" t="n">
        <v>14.7</v>
      </c>
      <c r="G46" s="8" t="n">
        <v>618.6</v>
      </c>
      <c r="J46" s="8" t="n">
        <v>3.2</v>
      </c>
      <c r="K46" s="8" t="n">
        <v>68.3</v>
      </c>
      <c r="L46" s="8" t="n">
        <v>0.7</v>
      </c>
      <c r="M46" s="8" t="n">
        <v>81.9</v>
      </c>
      <c r="N46" s="8" t="n">
        <v>2.5</v>
      </c>
      <c r="O46" s="8" t="n">
        <f aca="false">O45+N46</f>
        <v>31.3</v>
      </c>
      <c r="P46" s="8" t="n">
        <v>41</v>
      </c>
      <c r="Q46" s="8" t="n">
        <f aca="false">0.35+((P46-9)/80)*(1-0.35)</f>
        <v>0.61</v>
      </c>
      <c r="R46" s="14" t="n">
        <f aca="false">Q46*L46</f>
        <v>0.427</v>
      </c>
      <c r="S46" s="14" t="n">
        <f aca="false">J46-R46</f>
        <v>2.773</v>
      </c>
      <c r="T46" s="14" t="n">
        <f aca="false">MIN(189.6,(T45+S46))</f>
        <v>77.496</v>
      </c>
      <c r="V46" s="15" t="n">
        <v>349.8</v>
      </c>
      <c r="W46" s="8" t="n">
        <v>28.672131147541</v>
      </c>
      <c r="X46" s="8" t="n">
        <v>40842.2</v>
      </c>
      <c r="AA46" s="8" t="n">
        <v>11.0523786203561</v>
      </c>
    </row>
    <row r="47" s="8" customFormat="true" ht="15" hidden="false" customHeight="false" outlineLevel="0" collapsed="false">
      <c r="A47" s="9"/>
      <c r="B47" s="10"/>
      <c r="C47" s="11" t="n">
        <v>41925</v>
      </c>
      <c r="D47" s="8" t="n">
        <v>13.6</v>
      </c>
      <c r="E47" s="8" t="n">
        <v>12.6</v>
      </c>
      <c r="F47" s="8" t="n">
        <v>15.8</v>
      </c>
      <c r="G47" s="8" t="n">
        <v>632.2</v>
      </c>
      <c r="J47" s="8" t="n">
        <v>0</v>
      </c>
      <c r="K47" s="8" t="n">
        <v>68.3</v>
      </c>
      <c r="L47" s="8" t="n">
        <v>1.6</v>
      </c>
      <c r="M47" s="8" t="n">
        <v>83.5</v>
      </c>
      <c r="N47" s="13" t="n">
        <v>-1.6</v>
      </c>
      <c r="O47" s="8" t="n">
        <f aca="false">O46+N47</f>
        <v>29.7</v>
      </c>
      <c r="P47" s="8" t="n">
        <v>42</v>
      </c>
      <c r="Q47" s="8" t="n">
        <f aca="false">0.35+((P47-9)/80)*(1-0.35)</f>
        <v>0.618125</v>
      </c>
      <c r="R47" s="14" t="n">
        <f aca="false">Q47*L47</f>
        <v>0.989</v>
      </c>
      <c r="S47" s="14" t="n">
        <f aca="false">J47-R47</f>
        <v>-0.989</v>
      </c>
      <c r="T47" s="14" t="n">
        <f aca="false">MIN(189.6,(T46+S47))</f>
        <v>76.507</v>
      </c>
      <c r="V47" s="15" t="n">
        <v>503.1</v>
      </c>
      <c r="W47" s="8" t="n">
        <v>36.9926470588235</v>
      </c>
      <c r="X47" s="8" t="n">
        <v>41345.3</v>
      </c>
      <c r="AA47" s="8" t="n">
        <v>10.9919703248208</v>
      </c>
    </row>
    <row r="48" s="8" customFormat="true" ht="15" hidden="false" customHeight="false" outlineLevel="0" collapsed="false">
      <c r="A48" s="9"/>
      <c r="B48" s="10"/>
      <c r="C48" s="11" t="n">
        <v>41926</v>
      </c>
      <c r="D48" s="8" t="n">
        <v>11.5</v>
      </c>
      <c r="E48" s="8" t="n">
        <v>9.1</v>
      </c>
      <c r="F48" s="8" t="n">
        <v>16</v>
      </c>
      <c r="G48" s="8" t="n">
        <v>643.7</v>
      </c>
      <c r="J48" s="8" t="n">
        <v>0.1</v>
      </c>
      <c r="K48" s="8" t="n">
        <v>68.4</v>
      </c>
      <c r="L48" s="8" t="n">
        <v>1.7</v>
      </c>
      <c r="M48" s="8" t="n">
        <v>85.2</v>
      </c>
      <c r="N48" s="13" t="n">
        <v>-1.6</v>
      </c>
      <c r="O48" s="8" t="n">
        <f aca="false">O47+N48</f>
        <v>28.1</v>
      </c>
      <c r="P48" s="8" t="n">
        <v>43</v>
      </c>
      <c r="Q48" s="8" t="n">
        <f aca="false">0.35+((P48-9)/80)*(1-0.35)</f>
        <v>0.62625</v>
      </c>
      <c r="R48" s="14" t="n">
        <f aca="false">Q48*L48</f>
        <v>1.064625</v>
      </c>
      <c r="S48" s="14" t="n">
        <f aca="false">J48-R48</f>
        <v>-0.964625</v>
      </c>
      <c r="T48" s="14" t="n">
        <f aca="false">MIN(189.6,(T47+S48))</f>
        <v>75.542375</v>
      </c>
      <c r="V48" s="15" t="n">
        <v>710.6</v>
      </c>
      <c r="W48" s="8" t="n">
        <v>61.7913043478261</v>
      </c>
      <c r="X48" s="8" t="n">
        <v>42055.9</v>
      </c>
      <c r="AA48" s="8" t="n">
        <v>10.9316763439821</v>
      </c>
    </row>
    <row r="49" s="8" customFormat="true" ht="15" hidden="false" customHeight="false" outlineLevel="0" collapsed="false">
      <c r="A49" s="9"/>
      <c r="B49" s="10"/>
      <c r="C49" s="11" t="n">
        <v>41927</v>
      </c>
      <c r="D49" s="8" t="n">
        <v>11.7</v>
      </c>
      <c r="E49" s="8" t="n">
        <v>8.1</v>
      </c>
      <c r="F49" s="8" t="n">
        <v>14</v>
      </c>
      <c r="G49" s="8" t="n">
        <v>655.4</v>
      </c>
      <c r="J49" s="8" t="n">
        <v>2.4</v>
      </c>
      <c r="K49" s="8" t="n">
        <v>70.8</v>
      </c>
      <c r="L49" s="8" t="n">
        <v>0.2</v>
      </c>
      <c r="M49" s="8" t="n">
        <v>85.4</v>
      </c>
      <c r="N49" s="8" t="n">
        <v>2.2</v>
      </c>
      <c r="O49" s="8" t="n">
        <f aca="false">O48+N49</f>
        <v>30.3</v>
      </c>
      <c r="P49" s="8" t="n">
        <v>44</v>
      </c>
      <c r="Q49" s="8" t="n">
        <f aca="false">0.35+((P49-9)/80)*(1-0.35)</f>
        <v>0.634375</v>
      </c>
      <c r="R49" s="14" t="n">
        <f aca="false">Q49*L49</f>
        <v>0.126875</v>
      </c>
      <c r="S49" s="14" t="n">
        <f aca="false">J49-R49</f>
        <v>2.273125</v>
      </c>
      <c r="T49" s="14" t="n">
        <f aca="false">MIN(189.6,(T48+S49))</f>
        <v>77.8155</v>
      </c>
      <c r="V49" s="15" t="n">
        <v>248.2</v>
      </c>
      <c r="W49" s="8" t="n">
        <v>21.2136752136752</v>
      </c>
      <c r="X49" s="8" t="n">
        <v>42304.1</v>
      </c>
      <c r="AA49" s="8" t="n">
        <v>10.8715061368113</v>
      </c>
    </row>
    <row r="50" s="8" customFormat="true" ht="15" hidden="false" customHeight="false" outlineLevel="0" collapsed="false">
      <c r="A50" s="9"/>
      <c r="B50" s="10"/>
      <c r="C50" s="11" t="n">
        <v>41928</v>
      </c>
      <c r="D50" s="8" t="n">
        <v>15.3</v>
      </c>
      <c r="E50" s="8" t="n">
        <v>13.6</v>
      </c>
      <c r="F50" s="8" t="n">
        <v>17.6</v>
      </c>
      <c r="G50" s="8" t="n">
        <v>670.7</v>
      </c>
      <c r="J50" s="8" t="n">
        <v>12.3</v>
      </c>
      <c r="K50" s="8" t="n">
        <v>83.1</v>
      </c>
      <c r="L50" s="8" t="n">
        <v>1.3</v>
      </c>
      <c r="M50" s="8" t="n">
        <v>86.7</v>
      </c>
      <c r="N50" s="8" t="n">
        <v>11</v>
      </c>
      <c r="O50" s="8" t="n">
        <f aca="false">O49+N50</f>
        <v>41.3</v>
      </c>
      <c r="P50" s="8" t="n">
        <v>45</v>
      </c>
      <c r="Q50" s="8" t="n">
        <f aca="false">0.35+((P50-9)/80)*(1-0.35)</f>
        <v>0.6425</v>
      </c>
      <c r="R50" s="14" t="n">
        <f aca="false">Q50*L50</f>
        <v>0.83525</v>
      </c>
      <c r="S50" s="14" t="n">
        <f aca="false">J50-R50</f>
        <v>11.46475</v>
      </c>
      <c r="T50" s="14" t="n">
        <f aca="false">MIN(189.6,(T49+S50))</f>
        <v>89.28025</v>
      </c>
      <c r="V50" s="15" t="n">
        <v>592.2</v>
      </c>
      <c r="W50" s="8" t="n">
        <v>38.7058823529412</v>
      </c>
      <c r="X50" s="8" t="n">
        <v>42896.3</v>
      </c>
      <c r="AA50" s="8" t="n">
        <v>10.811469572217</v>
      </c>
    </row>
    <row r="51" s="8" customFormat="true" ht="15" hidden="false" customHeight="false" outlineLevel="0" collapsed="false">
      <c r="A51" s="9"/>
      <c r="B51" s="10"/>
      <c r="C51" s="11" t="n">
        <v>41929</v>
      </c>
      <c r="D51" s="8" t="n">
        <v>14.7</v>
      </c>
      <c r="E51" s="8" t="n">
        <v>12.6</v>
      </c>
      <c r="F51" s="8" t="n">
        <v>17</v>
      </c>
      <c r="G51" s="8" t="n">
        <v>685.4</v>
      </c>
      <c r="J51" s="8" t="n">
        <v>0</v>
      </c>
      <c r="K51" s="8" t="n">
        <v>83.1</v>
      </c>
      <c r="L51" s="8" t="n">
        <v>0.8</v>
      </c>
      <c r="M51" s="8" t="n">
        <v>87.5</v>
      </c>
      <c r="N51" s="13" t="n">
        <v>-0.8</v>
      </c>
      <c r="O51" s="8" t="n">
        <f aca="false">O50+N51</f>
        <v>40.5</v>
      </c>
      <c r="P51" s="8" t="n">
        <v>46</v>
      </c>
      <c r="Q51" s="8" t="n">
        <f aca="false">0.35+((P51-9)/80)*(1-0.35)</f>
        <v>0.650625</v>
      </c>
      <c r="R51" s="14" t="n">
        <f aca="false">Q51*L51</f>
        <v>0.5205</v>
      </c>
      <c r="S51" s="14" t="n">
        <f aca="false">J51-R51</f>
        <v>-0.5205</v>
      </c>
      <c r="T51" s="14" t="n">
        <f aca="false">MIN(189.6,(T50+S51))</f>
        <v>88.75975</v>
      </c>
      <c r="V51" s="15" t="n">
        <v>384.8</v>
      </c>
      <c r="W51" s="8" t="n">
        <v>26.1768707482993</v>
      </c>
      <c r="X51" s="8" t="n">
        <v>43281.1</v>
      </c>
      <c r="AA51" s="8" t="n">
        <v>10.7515769489798</v>
      </c>
    </row>
    <row r="52" s="8" customFormat="true" ht="15" hidden="false" customHeight="false" outlineLevel="0" collapsed="false">
      <c r="A52" s="9"/>
      <c r="B52" s="10"/>
      <c r="C52" s="11" t="n">
        <v>41930</v>
      </c>
      <c r="D52" s="8" t="n">
        <v>17.3</v>
      </c>
      <c r="E52" s="8" t="n">
        <v>13.9</v>
      </c>
      <c r="F52" s="8" t="n">
        <v>21.8</v>
      </c>
      <c r="G52" s="8" t="n">
        <v>702.7</v>
      </c>
      <c r="J52" s="8" t="n">
        <v>0.1</v>
      </c>
      <c r="K52" s="8" t="n">
        <v>83.2</v>
      </c>
      <c r="L52" s="8" t="n">
        <v>2.2</v>
      </c>
      <c r="M52" s="8" t="n">
        <v>89.7</v>
      </c>
      <c r="N52" s="13" t="n">
        <v>-2.1</v>
      </c>
      <c r="O52" s="8" t="n">
        <f aca="false">O51+N52</f>
        <v>38.4</v>
      </c>
      <c r="P52" s="8" t="n">
        <v>47</v>
      </c>
      <c r="Q52" s="8" t="n">
        <f aca="false">0.35+((P52-9)/80)*(1-0.35)</f>
        <v>0.65875</v>
      </c>
      <c r="R52" s="14" t="n">
        <f aca="false">Q52*L52</f>
        <v>1.44925</v>
      </c>
      <c r="S52" s="14" t="n">
        <f aca="false">J52-R52</f>
        <v>-1.34925</v>
      </c>
      <c r="T52" s="14" t="n">
        <f aca="false">MIN(189.6,(T51+S52))</f>
        <v>87.4105</v>
      </c>
      <c r="V52" s="8" t="n">
        <v>1055.6</v>
      </c>
      <c r="W52" s="8" t="n">
        <v>61.0173410404624</v>
      </c>
      <c r="X52" s="8" t="n">
        <v>44336.7</v>
      </c>
      <c r="AA52" s="8" t="n">
        <v>10.691839015637</v>
      </c>
    </row>
    <row r="53" s="8" customFormat="true" ht="15" hidden="false" customHeight="false" outlineLevel="0" collapsed="false">
      <c r="A53" s="9"/>
      <c r="B53" s="10"/>
      <c r="C53" s="11" t="n">
        <v>41931</v>
      </c>
      <c r="D53" s="8" t="n">
        <v>16.2</v>
      </c>
      <c r="E53" s="8" t="n">
        <v>13.6</v>
      </c>
      <c r="F53" s="8" t="n">
        <v>22.2</v>
      </c>
      <c r="G53" s="8" t="n">
        <v>718.9</v>
      </c>
      <c r="J53" s="8" t="n">
        <v>0.4</v>
      </c>
      <c r="K53" s="8" t="n">
        <v>83.6</v>
      </c>
      <c r="L53" s="8" t="n">
        <v>2.4</v>
      </c>
      <c r="M53" s="8" t="n">
        <v>92.1</v>
      </c>
      <c r="N53" s="13" t="n">
        <v>-2</v>
      </c>
      <c r="O53" s="8" t="n">
        <f aca="false">O52+N53</f>
        <v>36.4</v>
      </c>
      <c r="P53" s="8" t="n">
        <v>48</v>
      </c>
      <c r="Q53" s="8" t="n">
        <f aca="false">0.35+((P53-9)/80)*(1-0.35)</f>
        <v>0.666875</v>
      </c>
      <c r="R53" s="14" t="n">
        <f aca="false">Q53*L53</f>
        <v>1.6005</v>
      </c>
      <c r="S53" s="14" t="n">
        <f aca="false">J53-R53</f>
        <v>-1.2005</v>
      </c>
      <c r="T53" s="14" t="n">
        <f aca="false">MIN(189.6,(T52+S53))</f>
        <v>86.21</v>
      </c>
      <c r="V53" s="8" t="n">
        <v>994.8</v>
      </c>
      <c r="W53" s="8" t="n">
        <v>61.4074074074074</v>
      </c>
      <c r="X53" s="8" t="n">
        <v>45331.5</v>
      </c>
      <c r="AA53" s="8" t="n">
        <v>10.6322669902773</v>
      </c>
    </row>
    <row r="54" s="8" customFormat="true" ht="15" hidden="false" customHeight="false" outlineLevel="0" collapsed="false">
      <c r="A54" s="9"/>
      <c r="B54" s="10"/>
      <c r="C54" s="11" t="n">
        <v>41932</v>
      </c>
      <c r="D54" s="8" t="n">
        <v>12.5</v>
      </c>
      <c r="E54" s="8" t="n">
        <v>11.5</v>
      </c>
      <c r="F54" s="8" t="n">
        <v>15.6</v>
      </c>
      <c r="G54" s="8" t="n">
        <v>731.4</v>
      </c>
      <c r="J54" s="8" t="n">
        <v>0</v>
      </c>
      <c r="K54" s="8" t="n">
        <v>83.6</v>
      </c>
      <c r="L54" s="8" t="n">
        <v>1.2</v>
      </c>
      <c r="M54" s="8" t="n">
        <v>93.3</v>
      </c>
      <c r="N54" s="13" t="n">
        <v>-1.2</v>
      </c>
      <c r="O54" s="8" t="n">
        <f aca="false">O53+N54</f>
        <v>35.2</v>
      </c>
      <c r="P54" s="8" t="n">
        <v>49</v>
      </c>
      <c r="Q54" s="8" t="n">
        <f aca="false">0.35+((P54-9)/80)*(1-0.35)</f>
        <v>0.675</v>
      </c>
      <c r="R54" s="14" t="n">
        <f aca="false">Q54*L54</f>
        <v>0.81</v>
      </c>
      <c r="S54" s="14" t="n">
        <f aca="false">J54-R54</f>
        <v>-0.81</v>
      </c>
      <c r="T54" s="14" t="n">
        <f aca="false">MIN(189.6,(T53+S54))</f>
        <v>85.4</v>
      </c>
      <c r="V54" s="15" t="n">
        <v>498</v>
      </c>
      <c r="W54" s="8" t="n">
        <v>39.84</v>
      </c>
      <c r="X54" s="8" t="n">
        <v>45829.5</v>
      </c>
      <c r="AA54" s="8" t="n">
        <v>10.5728725801969</v>
      </c>
    </row>
    <row r="55" s="8" customFormat="true" ht="15" hidden="false" customHeight="false" outlineLevel="0" collapsed="false">
      <c r="A55" s="9"/>
      <c r="B55" s="10"/>
      <c r="C55" s="11" t="n">
        <v>41933</v>
      </c>
      <c r="D55" s="8" t="n">
        <v>11.2</v>
      </c>
      <c r="E55" s="8" t="n">
        <v>10.6</v>
      </c>
      <c r="F55" s="8" t="n">
        <v>13.1</v>
      </c>
      <c r="G55" s="8" t="n">
        <v>742.6</v>
      </c>
      <c r="J55" s="8" t="n">
        <v>5.8</v>
      </c>
      <c r="K55" s="8" t="n">
        <v>89.4</v>
      </c>
      <c r="L55" s="8" t="n">
        <v>1.4</v>
      </c>
      <c r="M55" s="8" t="n">
        <v>94.7</v>
      </c>
      <c r="N55" s="8" t="n">
        <v>4.4</v>
      </c>
      <c r="O55" s="8" t="n">
        <f aca="false">O54+N55</f>
        <v>39.6</v>
      </c>
      <c r="P55" s="8" t="n">
        <v>50</v>
      </c>
      <c r="Q55" s="8" t="n">
        <f aca="false">0.35+((P55-9)/80)*(1-0.35)</f>
        <v>0.683125</v>
      </c>
      <c r="R55" s="14" t="n">
        <f aca="false">Q55*L55</f>
        <v>0.956375</v>
      </c>
      <c r="S55" s="14" t="n">
        <f aca="false">J55-R55</f>
        <v>4.843625</v>
      </c>
      <c r="T55" s="14" t="n">
        <f aca="false">MIN(189.6,(T54+S55))</f>
        <v>90.243625</v>
      </c>
      <c r="V55" s="15" t="n">
        <v>278.1</v>
      </c>
      <c r="W55" s="8" t="n">
        <v>24.8303571428571</v>
      </c>
      <c r="X55" s="8" t="n">
        <v>46107.6</v>
      </c>
      <c r="AA55" s="8" t="n">
        <v>10.5136680013647</v>
      </c>
    </row>
    <row r="56" s="8" customFormat="true" ht="15" hidden="false" customHeight="false" outlineLevel="0" collapsed="false">
      <c r="A56" s="9"/>
      <c r="B56" s="10"/>
      <c r="C56" s="11" t="n">
        <v>41934</v>
      </c>
      <c r="D56" s="8" t="n">
        <v>8.9</v>
      </c>
      <c r="E56" s="8" t="n">
        <v>6.2</v>
      </c>
      <c r="F56" s="8" t="n">
        <v>12.6</v>
      </c>
      <c r="G56" s="8" t="n">
        <v>751.5</v>
      </c>
      <c r="J56" s="8" t="n">
        <v>0</v>
      </c>
      <c r="K56" s="8" t="n">
        <v>89.4</v>
      </c>
      <c r="L56" s="8" t="n">
        <v>1.4</v>
      </c>
      <c r="M56" s="8" t="n">
        <v>96.1</v>
      </c>
      <c r="N56" s="13" t="n">
        <v>-1.4</v>
      </c>
      <c r="O56" s="8" t="n">
        <f aca="false">O55+N56</f>
        <v>38.2</v>
      </c>
      <c r="P56" s="8" t="n">
        <v>51</v>
      </c>
      <c r="Q56" s="8" t="n">
        <f aca="false">0.35+((P56-9)/80)*(1-0.35)</f>
        <v>0.69125</v>
      </c>
      <c r="R56" s="14" t="n">
        <f aca="false">Q56*L56</f>
        <v>0.96775</v>
      </c>
      <c r="S56" s="14" t="n">
        <f aca="false">J56-R56</f>
        <v>-0.96775</v>
      </c>
      <c r="T56" s="14" t="n">
        <f aca="false">MIN(189.6,(T55+S56))</f>
        <v>89.275875</v>
      </c>
      <c r="V56" s="15" t="n">
        <v>486.9</v>
      </c>
      <c r="W56" s="8" t="n">
        <v>54.7078651685393</v>
      </c>
      <c r="X56" s="8" t="n">
        <v>46594.5</v>
      </c>
      <c r="AA56" s="8" t="n">
        <v>10.4546659976386</v>
      </c>
    </row>
    <row r="57" s="8" customFormat="true" ht="15" hidden="false" customHeight="false" outlineLevel="0" collapsed="false">
      <c r="A57" s="9"/>
      <c r="B57" s="10"/>
      <c r="C57" s="11" t="n">
        <v>41935</v>
      </c>
      <c r="D57" s="8" t="n">
        <v>11.5</v>
      </c>
      <c r="E57" s="8" t="n">
        <v>8</v>
      </c>
      <c r="F57" s="8" t="n">
        <v>13.9</v>
      </c>
      <c r="G57" s="8" t="n">
        <v>763</v>
      </c>
      <c r="J57" s="8" t="n">
        <v>0.1</v>
      </c>
      <c r="K57" s="8" t="n">
        <v>89.5</v>
      </c>
      <c r="L57" s="8" t="n">
        <v>0.7</v>
      </c>
      <c r="M57" s="8" t="n">
        <v>96.8</v>
      </c>
      <c r="N57" s="13" t="n">
        <v>-0.6</v>
      </c>
      <c r="O57" s="8" t="n">
        <f aca="false">O56+N57</f>
        <v>37.6</v>
      </c>
      <c r="P57" s="8" t="n">
        <v>52</v>
      </c>
      <c r="Q57" s="8" t="n">
        <f aca="false">0.35+((P57-9)/80)*(1-0.35)</f>
        <v>0.699375</v>
      </c>
      <c r="R57" s="14" t="n">
        <f aca="false">Q57*L57</f>
        <v>0.4895625</v>
      </c>
      <c r="S57" s="14" t="n">
        <f aca="false">J57-R57</f>
        <v>-0.3895625</v>
      </c>
      <c r="T57" s="14" t="n">
        <f aca="false">MIN(189.6,(T56+S57))</f>
        <v>88.8863125</v>
      </c>
      <c r="V57" s="15" t="n">
        <v>208.9</v>
      </c>
      <c r="W57" s="8" t="n">
        <v>18.1652173913044</v>
      </c>
      <c r="X57" s="8" t="n">
        <v>46803.4</v>
      </c>
      <c r="AA57" s="8" t="n">
        <v>10.3958798596663</v>
      </c>
    </row>
    <row r="58" s="8" customFormat="true" ht="15" hidden="false" customHeight="false" outlineLevel="0" collapsed="false">
      <c r="A58" s="9"/>
      <c r="B58" s="10"/>
      <c r="C58" s="11" t="n">
        <v>41936</v>
      </c>
      <c r="D58" s="8" t="n">
        <v>11.6</v>
      </c>
      <c r="E58" s="8" t="n">
        <v>10.6</v>
      </c>
      <c r="F58" s="8" t="n">
        <v>12.9</v>
      </c>
      <c r="G58" s="8" t="n">
        <v>774.6</v>
      </c>
      <c r="J58" s="8" t="n">
        <v>4.7</v>
      </c>
      <c r="K58" s="8" t="n">
        <v>94.2</v>
      </c>
      <c r="L58" s="8" t="n">
        <v>0.7</v>
      </c>
      <c r="M58" s="8" t="n">
        <v>97.5</v>
      </c>
      <c r="N58" s="8" t="n">
        <v>4</v>
      </c>
      <c r="O58" s="8" t="n">
        <f aca="false">O57+N58</f>
        <v>41.6</v>
      </c>
      <c r="P58" s="8" t="n">
        <v>53</v>
      </c>
      <c r="Q58" s="8" t="n">
        <f aca="false">0.35+((P58-9)/80)*(1-0.35)</f>
        <v>0.7075</v>
      </c>
      <c r="R58" s="14" t="n">
        <f aca="false">Q58*L58</f>
        <v>0.49525</v>
      </c>
      <c r="S58" s="14" t="n">
        <f aca="false">J58-R58</f>
        <v>4.20475</v>
      </c>
      <c r="T58" s="14" t="n">
        <f aca="false">MIN(189.6,(T57+S58))</f>
        <v>93.0910625</v>
      </c>
      <c r="V58" s="15" t="n">
        <v>185</v>
      </c>
      <c r="W58" s="8" t="n">
        <v>15.948275862069</v>
      </c>
      <c r="X58" s="8" t="n">
        <v>46988.4</v>
      </c>
      <c r="AA58" s="8" t="n">
        <v>10.3373234434006</v>
      </c>
    </row>
    <row r="59" s="8" customFormat="true" ht="15" hidden="false" customHeight="false" outlineLevel="0" collapsed="false">
      <c r="A59" s="9"/>
      <c r="B59" s="10"/>
      <c r="C59" s="11" t="n">
        <v>41937</v>
      </c>
      <c r="D59" s="8" t="n">
        <v>12.3</v>
      </c>
      <c r="E59" s="8" t="n">
        <v>11.6</v>
      </c>
      <c r="F59" s="8" t="n">
        <v>15</v>
      </c>
      <c r="G59" s="8" t="n">
        <v>786.9</v>
      </c>
      <c r="J59" s="8" t="n">
        <v>0.8</v>
      </c>
      <c r="K59" s="8" t="n">
        <v>95</v>
      </c>
      <c r="L59" s="8" t="n">
        <v>1.1</v>
      </c>
      <c r="M59" s="8" t="n">
        <v>98.6</v>
      </c>
      <c r="N59" s="13" t="n">
        <v>-0.3</v>
      </c>
      <c r="O59" s="8" t="n">
        <f aca="false">O58+N59</f>
        <v>41.3</v>
      </c>
      <c r="P59" s="8" t="n">
        <v>54</v>
      </c>
      <c r="Q59" s="8" t="n">
        <f aca="false">0.35+((P59-9)/80)*(1-0.35)</f>
        <v>0.715625</v>
      </c>
      <c r="R59" s="14" t="n">
        <f aca="false">Q59*L59</f>
        <v>0.7871875</v>
      </c>
      <c r="S59" s="14" t="n">
        <f aca="false">J59-R59</f>
        <v>0.0128125</v>
      </c>
      <c r="T59" s="14" t="n">
        <f aca="false">MIN(189.6,(T58+S59))</f>
        <v>93.103875</v>
      </c>
      <c r="V59" s="15" t="n">
        <v>398.1</v>
      </c>
      <c r="W59" s="8" t="n">
        <v>32.3658536585366</v>
      </c>
      <c r="X59" s="8" t="n">
        <v>47386.5</v>
      </c>
      <c r="AA59" s="8" t="n">
        <v>10.2790111881509</v>
      </c>
    </row>
    <row r="60" s="8" customFormat="true" ht="15" hidden="false" customHeight="false" outlineLevel="0" collapsed="false">
      <c r="A60" s="9"/>
      <c r="B60" s="10"/>
      <c r="C60" s="11" t="n">
        <v>41938</v>
      </c>
      <c r="D60" s="8" t="n">
        <v>11.5</v>
      </c>
      <c r="E60" s="8" t="n">
        <v>10</v>
      </c>
      <c r="F60" s="8" t="n">
        <v>14.8</v>
      </c>
      <c r="G60" s="8" t="n">
        <v>798.4</v>
      </c>
      <c r="J60" s="8" t="n">
        <v>0.3</v>
      </c>
      <c r="K60" s="8" t="n">
        <v>95.3</v>
      </c>
      <c r="L60" s="8" t="n">
        <v>0.8</v>
      </c>
      <c r="M60" s="8" t="n">
        <v>99.4</v>
      </c>
      <c r="N60" s="13" t="n">
        <v>-0.5</v>
      </c>
      <c r="O60" s="8" t="n">
        <f aca="false">O59+N60</f>
        <v>40.8</v>
      </c>
      <c r="P60" s="8" t="n">
        <v>55</v>
      </c>
      <c r="Q60" s="8" t="n">
        <f aca="false">0.35+((P60-9)/80)*(1-0.35)</f>
        <v>0.72375</v>
      </c>
      <c r="R60" s="14" t="n">
        <f aca="false">Q60*L60</f>
        <v>0.579</v>
      </c>
      <c r="S60" s="14" t="n">
        <f aca="false">J60-R60</f>
        <v>-0.279</v>
      </c>
      <c r="T60" s="14" t="n">
        <f aca="false">MIN(189.6,(T59+S60))</f>
        <v>92.824875</v>
      </c>
      <c r="V60" s="15" t="n">
        <v>263.8</v>
      </c>
      <c r="W60" s="8" t="n">
        <v>22.9391304347826</v>
      </c>
      <c r="X60" s="8" t="n">
        <v>47650.3</v>
      </c>
      <c r="AA60" s="8" t="n">
        <v>10.2209581340834</v>
      </c>
    </row>
    <row r="61" s="8" customFormat="true" ht="15" hidden="false" customHeight="false" outlineLevel="0" collapsed="false">
      <c r="A61" s="9"/>
      <c r="B61" s="10"/>
      <c r="C61" s="11" t="n">
        <v>41939</v>
      </c>
      <c r="D61" s="8" t="n">
        <v>10.3</v>
      </c>
      <c r="E61" s="8" t="n">
        <v>6.9</v>
      </c>
      <c r="F61" s="8" t="n">
        <v>13.5</v>
      </c>
      <c r="G61" s="8" t="n">
        <v>808.7</v>
      </c>
      <c r="J61" s="8" t="n">
        <v>0.3</v>
      </c>
      <c r="K61" s="8" t="n">
        <v>95.6</v>
      </c>
      <c r="L61" s="8" t="n">
        <v>0.6</v>
      </c>
      <c r="M61" s="8" t="n">
        <v>100</v>
      </c>
      <c r="N61" s="13" t="n">
        <v>-0.3</v>
      </c>
      <c r="O61" s="8" t="n">
        <f aca="false">O60+N61</f>
        <v>40.5</v>
      </c>
      <c r="P61" s="8" t="n">
        <v>56</v>
      </c>
      <c r="Q61" s="8" t="n">
        <f aca="false">0.35+((P61-9)/80)*(1-0.35)</f>
        <v>0.731875</v>
      </c>
      <c r="R61" s="14" t="n">
        <f aca="false">Q61*L61</f>
        <v>0.439125</v>
      </c>
      <c r="S61" s="14" t="n">
        <f aca="false">J61-R61</f>
        <v>-0.139125</v>
      </c>
      <c r="T61" s="14" t="n">
        <f aca="false">MIN(189.6,(T60+S61))</f>
        <v>92.68575</v>
      </c>
      <c r="V61" s="15" t="n">
        <v>358.7</v>
      </c>
      <c r="W61" s="8" t="n">
        <v>34.8252427184466</v>
      </c>
      <c r="X61" s="8" t="n">
        <v>48009</v>
      </c>
      <c r="AA61" s="8" t="n">
        <v>10.1631799390808</v>
      </c>
    </row>
    <row r="62" s="8" customFormat="true" ht="15" hidden="false" customHeight="false" outlineLevel="0" collapsed="false">
      <c r="A62" s="9"/>
      <c r="B62" s="10"/>
      <c r="C62" s="11" t="n">
        <v>41940</v>
      </c>
      <c r="D62" s="8" t="n">
        <v>9.5</v>
      </c>
      <c r="E62" s="8" t="n">
        <v>8.9</v>
      </c>
      <c r="F62" s="8" t="n">
        <v>10.4</v>
      </c>
      <c r="G62" s="8" t="n">
        <v>818.2</v>
      </c>
      <c r="J62" s="8" t="n">
        <v>0</v>
      </c>
      <c r="K62" s="8" t="n">
        <v>95.6</v>
      </c>
      <c r="L62" s="8" t="n">
        <v>0.4</v>
      </c>
      <c r="M62" s="8" t="n">
        <v>100.4</v>
      </c>
      <c r="N62" s="13" t="n">
        <v>-0.4</v>
      </c>
      <c r="O62" s="8" t="n">
        <f aca="false">O61+N62</f>
        <v>40.1</v>
      </c>
      <c r="P62" s="8" t="n">
        <v>57</v>
      </c>
      <c r="Q62" s="8" t="n">
        <f aca="false">0.35+((P62-9)/80)*(1-0.35)</f>
        <v>0.74</v>
      </c>
      <c r="R62" s="14" t="n">
        <f aca="false">Q62*L62</f>
        <v>0.296</v>
      </c>
      <c r="S62" s="14" t="n">
        <f aca="false">J62-R62</f>
        <v>-0.296</v>
      </c>
      <c r="T62" s="14" t="n">
        <f aca="false">MIN(189.6,(T61+S62))</f>
        <v>92.38975</v>
      </c>
      <c r="V62" s="15" t="n">
        <v>202.5</v>
      </c>
      <c r="W62" s="8" t="n">
        <v>21.3157894736842</v>
      </c>
      <c r="X62" s="8" t="n">
        <v>48211.5</v>
      </c>
      <c r="AA62" s="8" t="n">
        <v>10.1056928948582</v>
      </c>
    </row>
    <row r="63" s="8" customFormat="true" ht="15" hidden="false" customHeight="false" outlineLevel="0" collapsed="false">
      <c r="A63" s="9"/>
      <c r="B63" s="10"/>
      <c r="C63" s="11" t="n">
        <v>41941</v>
      </c>
      <c r="D63" s="8" t="n">
        <v>11.2</v>
      </c>
      <c r="E63" s="8" t="n">
        <v>9.6</v>
      </c>
      <c r="F63" s="8" t="n">
        <v>12.4</v>
      </c>
      <c r="G63" s="8" t="n">
        <v>829.4</v>
      </c>
      <c r="J63" s="8" t="n">
        <v>0.4</v>
      </c>
      <c r="K63" s="8" t="n">
        <v>96</v>
      </c>
      <c r="L63" s="8" t="n">
        <v>0.4</v>
      </c>
      <c r="M63" s="8" t="n">
        <v>100.8</v>
      </c>
      <c r="N63" s="8" t="n">
        <v>0</v>
      </c>
      <c r="O63" s="8" t="n">
        <f aca="false">O62+N63</f>
        <v>40.1</v>
      </c>
      <c r="P63" s="8" t="n">
        <v>58</v>
      </c>
      <c r="Q63" s="8" t="n">
        <f aca="false">0.35+((P63-9)/80)*(1-0.35)</f>
        <v>0.748125</v>
      </c>
      <c r="R63" s="14" t="n">
        <f aca="false">Q63*L63</f>
        <v>0.29925</v>
      </c>
      <c r="S63" s="14" t="n">
        <f aca="false">J63-R63</f>
        <v>0.10075</v>
      </c>
      <c r="T63" s="14" t="n">
        <f aca="false">MIN(189.6,(T62+S63))</f>
        <v>92.4905</v>
      </c>
      <c r="V63" s="15" t="n">
        <v>270.7</v>
      </c>
      <c r="W63" s="8" t="n">
        <v>24.1696428571429</v>
      </c>
      <c r="X63" s="8" t="n">
        <v>48482.2</v>
      </c>
      <c r="AA63" s="8" t="n">
        <v>10.0485139422284</v>
      </c>
    </row>
    <row r="64" s="8" customFormat="true" ht="15" hidden="false" customHeight="false" outlineLevel="0" collapsed="false">
      <c r="A64" s="9"/>
      <c r="B64" s="10"/>
      <c r="C64" s="11" t="n">
        <v>41942</v>
      </c>
      <c r="D64" s="8" t="n">
        <v>12.9</v>
      </c>
      <c r="E64" s="8" t="n">
        <v>10.1</v>
      </c>
      <c r="F64" s="8" t="n">
        <v>16.4</v>
      </c>
      <c r="G64" s="8" t="n">
        <v>842.3</v>
      </c>
      <c r="J64" s="8" t="n">
        <v>0.1</v>
      </c>
      <c r="K64" s="8" t="n">
        <v>96.1</v>
      </c>
      <c r="L64" s="8" t="n">
        <v>0.6</v>
      </c>
      <c r="M64" s="8" t="n">
        <v>101.4</v>
      </c>
      <c r="N64" s="13" t="n">
        <v>-0.5</v>
      </c>
      <c r="O64" s="8" t="n">
        <f aca="false">O63+N64</f>
        <v>39.6</v>
      </c>
      <c r="P64" s="8" t="n">
        <v>59</v>
      </c>
      <c r="Q64" s="8" t="n">
        <f aca="false">0.35+((P64-9)/80)*(1-0.35)</f>
        <v>0.75625</v>
      </c>
      <c r="R64" s="14" t="n">
        <f aca="false">Q64*L64</f>
        <v>0.45375</v>
      </c>
      <c r="S64" s="14" t="n">
        <f aca="false">J64-R64</f>
        <v>-0.35375</v>
      </c>
      <c r="T64" s="14" t="n">
        <f aca="false">MIN(189.6,(T63+S64))</f>
        <v>92.13675</v>
      </c>
      <c r="V64" s="15" t="n">
        <v>205.6</v>
      </c>
      <c r="W64" s="8" t="n">
        <v>15.937984496124</v>
      </c>
      <c r="X64" s="8" t="n">
        <v>48687.8</v>
      </c>
      <c r="AA64" s="8" t="n">
        <v>9.99166068540131</v>
      </c>
    </row>
    <row r="65" s="8" customFormat="true" ht="15" hidden="false" customHeight="false" outlineLevel="0" collapsed="false">
      <c r="A65" s="9"/>
      <c r="B65" s="10"/>
      <c r="C65" s="11" t="n">
        <v>41943</v>
      </c>
      <c r="D65" s="8" t="n">
        <v>13.4</v>
      </c>
      <c r="E65" s="8" t="n">
        <v>9.8</v>
      </c>
      <c r="F65" s="8" t="n">
        <v>18.7</v>
      </c>
      <c r="G65" s="8" t="n">
        <v>855.7</v>
      </c>
      <c r="J65" s="8" t="n">
        <v>0.1</v>
      </c>
      <c r="K65" s="8" t="n">
        <v>96.2</v>
      </c>
      <c r="L65" s="8" t="n">
        <v>1.7</v>
      </c>
      <c r="M65" s="8" t="n">
        <v>103.1</v>
      </c>
      <c r="N65" s="13" t="n">
        <v>-1.6</v>
      </c>
      <c r="O65" s="8" t="n">
        <f aca="false">O64+N65</f>
        <v>38</v>
      </c>
      <c r="P65" s="8" t="n">
        <v>60</v>
      </c>
      <c r="Q65" s="8" t="n">
        <f aca="false">0.35+((P65-9)/80)*(1-0.35)</f>
        <v>0.764375</v>
      </c>
      <c r="R65" s="14" t="n">
        <f aca="false">Q65*L65</f>
        <v>1.2994375</v>
      </c>
      <c r="S65" s="14" t="n">
        <f aca="false">J65-R65</f>
        <v>-1.1994375</v>
      </c>
      <c r="T65" s="14" t="n">
        <f aca="false">MIN(189.6,(T64+S65))</f>
        <v>90.9373125</v>
      </c>
      <c r="V65" s="15" t="n">
        <v>769.4</v>
      </c>
      <c r="W65" s="8" t="n">
        <v>57.4179104477612</v>
      </c>
      <c r="X65" s="8" t="n">
        <v>49457.2</v>
      </c>
      <c r="AA65" s="8" t="n">
        <v>9.93515140519334</v>
      </c>
    </row>
    <row r="66" s="8" customFormat="true" ht="15" hidden="false" customHeight="false" outlineLevel="0" collapsed="false">
      <c r="A66" s="9"/>
      <c r="B66" s="10"/>
      <c r="C66" s="11" t="n">
        <v>41944</v>
      </c>
      <c r="D66" s="8" t="n">
        <v>14</v>
      </c>
      <c r="E66" s="8" t="n">
        <v>9.7</v>
      </c>
      <c r="F66" s="8" t="n">
        <v>18.6</v>
      </c>
      <c r="G66" s="8" t="n">
        <v>869.7</v>
      </c>
      <c r="J66" s="8" t="n">
        <v>0.1</v>
      </c>
      <c r="K66" s="8" t="n">
        <v>96.3</v>
      </c>
      <c r="L66" s="8" t="n">
        <v>1.4</v>
      </c>
      <c r="M66" s="8" t="n">
        <v>104.5</v>
      </c>
      <c r="N66" s="13" t="n">
        <v>-1.3</v>
      </c>
      <c r="O66" s="8" t="n">
        <f aca="false">O65+N66</f>
        <v>36.7</v>
      </c>
      <c r="P66" s="8" t="n">
        <v>61</v>
      </c>
      <c r="Q66" s="8" t="n">
        <f aca="false">0.35+((P66-9)/80)*(1-0.35)</f>
        <v>0.7725</v>
      </c>
      <c r="R66" s="14" t="n">
        <f aca="false">Q66*L66</f>
        <v>1.0815</v>
      </c>
      <c r="S66" s="14" t="n">
        <f aca="false">J66-R66</f>
        <v>-0.9815</v>
      </c>
      <c r="T66" s="14" t="n">
        <f aca="false">MIN(189.6,(T65+S66))</f>
        <v>89.9558125</v>
      </c>
      <c r="V66" s="15" t="n">
        <v>791.4</v>
      </c>
      <c r="W66" s="8" t="n">
        <v>56.5285714285714</v>
      </c>
      <c r="X66" s="8" t="n">
        <v>50248.6</v>
      </c>
      <c r="AA66" s="8" t="n">
        <v>9.87900507101492</v>
      </c>
    </row>
    <row r="67" s="8" customFormat="true" ht="15" hidden="false" customHeight="false" outlineLevel="0" collapsed="false">
      <c r="A67" s="9"/>
      <c r="B67" s="10"/>
      <c r="C67" s="11" t="n">
        <v>41945</v>
      </c>
      <c r="D67" s="8" t="n">
        <v>13.7</v>
      </c>
      <c r="E67" s="8" t="n">
        <v>11.2</v>
      </c>
      <c r="F67" s="8" t="n">
        <v>16</v>
      </c>
      <c r="G67" s="8" t="n">
        <v>883.4</v>
      </c>
      <c r="J67" s="8" t="n">
        <v>2.9</v>
      </c>
      <c r="K67" s="8" t="n">
        <v>99.2</v>
      </c>
      <c r="L67" s="8" t="n">
        <v>1</v>
      </c>
      <c r="M67" s="8" t="n">
        <v>105.5</v>
      </c>
      <c r="N67" s="8" t="n">
        <v>1.9</v>
      </c>
      <c r="O67" s="8" t="n">
        <f aca="false">O66+N67</f>
        <v>38.6</v>
      </c>
      <c r="P67" s="8" t="n">
        <v>62</v>
      </c>
      <c r="Q67" s="8" t="n">
        <f aca="false">0.35+((P67-9)/80)*(1-0.35)</f>
        <v>0.780625</v>
      </c>
      <c r="R67" s="14" t="n">
        <f aca="false">Q67*L67</f>
        <v>0.780625</v>
      </c>
      <c r="S67" s="14" t="n">
        <f aca="false">J67-R67</f>
        <v>2.119375</v>
      </c>
      <c r="T67" s="14" t="n">
        <f aca="false">MIN(189.6,(T66+S67))</f>
        <v>92.0751875</v>
      </c>
      <c r="V67" s="15" t="n">
        <v>277.6</v>
      </c>
      <c r="W67" s="8" t="n">
        <v>20.2627737226277</v>
      </c>
      <c r="X67" s="8" t="n">
        <v>50526.2</v>
      </c>
      <c r="AA67" s="8" t="n">
        <v>9.82324135149748</v>
      </c>
    </row>
    <row r="68" s="8" customFormat="true" ht="15" hidden="false" customHeight="false" outlineLevel="0" collapsed="false">
      <c r="A68" s="9"/>
      <c r="B68" s="10"/>
      <c r="C68" s="11" t="n">
        <v>41946</v>
      </c>
      <c r="D68" s="8" t="n">
        <v>11.9</v>
      </c>
      <c r="E68" s="8" t="n">
        <v>10.5</v>
      </c>
      <c r="F68" s="8" t="n">
        <v>14.3</v>
      </c>
      <c r="G68" s="8" t="n">
        <v>895.3</v>
      </c>
      <c r="J68" s="8" t="n">
        <v>20.1</v>
      </c>
      <c r="K68" s="8" t="n">
        <v>119.3</v>
      </c>
      <c r="L68" s="8" t="n">
        <v>1.3</v>
      </c>
      <c r="M68" s="8" t="n">
        <v>106.8</v>
      </c>
      <c r="N68" s="8" t="n">
        <v>18.8</v>
      </c>
      <c r="O68" s="8" t="n">
        <f aca="false">O67+N68</f>
        <v>57.4</v>
      </c>
      <c r="P68" s="8" t="n">
        <v>63</v>
      </c>
      <c r="Q68" s="8" t="n">
        <f aca="false">0.35+((P68-9)/80)*(1-0.35)</f>
        <v>0.78875</v>
      </c>
      <c r="R68" s="14" t="n">
        <f aca="false">Q68*L68</f>
        <v>1.025375</v>
      </c>
      <c r="S68" s="14" t="n">
        <f aca="false">J68-R68</f>
        <v>19.074625</v>
      </c>
      <c r="T68" s="14" t="n">
        <f aca="false">MIN(189.6,(T67+S68))</f>
        <v>111.1498125</v>
      </c>
      <c r="V68" s="15" t="n">
        <v>147.5</v>
      </c>
      <c r="W68" s="8" t="n">
        <v>12.3949579831933</v>
      </c>
      <c r="X68" s="8" t="n">
        <v>50673.7</v>
      </c>
      <c r="AA68" s="8" t="n">
        <v>9.76788062361241</v>
      </c>
    </row>
    <row r="69" s="8" customFormat="true" ht="15" hidden="false" customHeight="false" outlineLevel="0" collapsed="false">
      <c r="A69" s="9"/>
      <c r="B69" s="10"/>
      <c r="C69" s="11" t="n">
        <v>41947</v>
      </c>
      <c r="D69" s="8" t="n">
        <v>8.1</v>
      </c>
      <c r="E69" s="8" t="n">
        <v>7.4</v>
      </c>
      <c r="F69" s="8" t="n">
        <v>9.7</v>
      </c>
      <c r="G69" s="8" t="n">
        <v>903.4</v>
      </c>
      <c r="J69" s="8" t="n">
        <v>0.3</v>
      </c>
      <c r="K69" s="8" t="n">
        <v>119.6</v>
      </c>
      <c r="L69" s="8" t="n">
        <v>0.7</v>
      </c>
      <c r="M69" s="8" t="n">
        <v>107.5</v>
      </c>
      <c r="N69" s="13" t="n">
        <v>-0.4</v>
      </c>
      <c r="O69" s="8" t="n">
        <f aca="false">O68+N69</f>
        <v>57</v>
      </c>
      <c r="P69" s="8" t="n">
        <v>64</v>
      </c>
      <c r="Q69" s="8" t="n">
        <f aca="false">0.35+((P69-9)/80)*(1-0.35)</f>
        <v>0.796875</v>
      </c>
      <c r="R69" s="14" t="n">
        <f aca="false">Q69*L69</f>
        <v>0.5578125</v>
      </c>
      <c r="S69" s="14" t="n">
        <f aca="false">J69-R69</f>
        <v>-0.2578125</v>
      </c>
      <c r="T69" s="14" t="n">
        <f aca="false">MIN(189.6,(T68+S69))</f>
        <v>110.892</v>
      </c>
      <c r="V69" s="15" t="n">
        <v>475.5</v>
      </c>
      <c r="W69" s="8" t="n">
        <v>58.7037037037037</v>
      </c>
      <c r="X69" s="8" t="n">
        <v>51149.2</v>
      </c>
      <c r="AA69" s="8" t="n">
        <v>9.71294398012771</v>
      </c>
    </row>
    <row r="70" s="8" customFormat="true" ht="15" hidden="false" customHeight="false" outlineLevel="0" collapsed="false">
      <c r="A70" s="9"/>
      <c r="B70" s="10"/>
      <c r="C70" s="11" t="n">
        <v>41948</v>
      </c>
      <c r="D70" s="8" t="n">
        <v>6.7</v>
      </c>
      <c r="E70" s="18" t="n">
        <v>4.6</v>
      </c>
      <c r="F70" s="8" t="n">
        <v>9</v>
      </c>
      <c r="G70" s="8" t="n">
        <v>910.1</v>
      </c>
      <c r="J70" s="8" t="n">
        <v>0.2</v>
      </c>
      <c r="K70" s="8" t="n">
        <v>119.8</v>
      </c>
      <c r="L70" s="8" t="n">
        <v>0.6</v>
      </c>
      <c r="M70" s="8" t="n">
        <v>108.1</v>
      </c>
      <c r="N70" s="13" t="n">
        <v>-0.4</v>
      </c>
      <c r="O70" s="8" t="n">
        <f aca="false">O69+N70</f>
        <v>56.6</v>
      </c>
      <c r="P70" s="8" t="n">
        <v>65</v>
      </c>
      <c r="Q70" s="8" t="n">
        <f aca="false">0.35+((P70-9)/80)*(1-0.35)</f>
        <v>0.805</v>
      </c>
      <c r="R70" s="14" t="n">
        <f aca="false">Q70*L70</f>
        <v>0.483</v>
      </c>
      <c r="S70" s="14" t="n">
        <f aca="false">J70-R70</f>
        <v>-0.283</v>
      </c>
      <c r="T70" s="14" t="n">
        <f aca="false">MIN(189.6,(T69+S70))</f>
        <v>110.609</v>
      </c>
      <c r="V70" s="15" t="n">
        <v>267.5</v>
      </c>
      <c r="W70" s="8" t="n">
        <v>39.9253731343284</v>
      </c>
      <c r="X70" s="8" t="n">
        <v>51416.7</v>
      </c>
      <c r="AA70" s="8" t="n">
        <v>9.65845323524096</v>
      </c>
    </row>
    <row r="71" s="8" customFormat="true" ht="15" hidden="false" customHeight="false" outlineLevel="0" collapsed="false">
      <c r="A71" s="9"/>
      <c r="B71" s="10"/>
      <c r="C71" s="11" t="n">
        <v>41949</v>
      </c>
      <c r="D71" s="8" t="n">
        <v>7</v>
      </c>
      <c r="E71" s="18" t="n">
        <v>3.4</v>
      </c>
      <c r="F71" s="8" t="n">
        <v>10.9</v>
      </c>
      <c r="G71" s="8" t="n">
        <v>917.1</v>
      </c>
      <c r="J71" s="8" t="n">
        <v>0.3</v>
      </c>
      <c r="K71" s="8" t="n">
        <v>120.1</v>
      </c>
      <c r="L71" s="8" t="n">
        <v>0.8</v>
      </c>
      <c r="M71" s="8" t="n">
        <v>108.9</v>
      </c>
      <c r="N71" s="13" t="n">
        <v>-0.5</v>
      </c>
      <c r="O71" s="8" t="n">
        <f aca="false">O70+N71</f>
        <v>56.1</v>
      </c>
      <c r="P71" s="8" t="n">
        <v>66</v>
      </c>
      <c r="Q71" s="8" t="n">
        <f aca="false">0.35+((P71-9)/80)*(1-0.35)</f>
        <v>0.813125</v>
      </c>
      <c r="R71" s="14" t="n">
        <f aca="false">Q71*L71</f>
        <v>0.6505</v>
      </c>
      <c r="S71" s="14" t="n">
        <f aca="false">J71-R71</f>
        <v>-0.3505</v>
      </c>
      <c r="T71" s="14" t="n">
        <f aca="false">MIN(189.6,(T70+S71))</f>
        <v>110.2585</v>
      </c>
      <c r="V71" s="15" t="n">
        <v>504.8</v>
      </c>
      <c r="W71" s="8" t="n">
        <v>72.1142857142857</v>
      </c>
      <c r="X71" s="8" t="n">
        <v>51921.5</v>
      </c>
      <c r="AA71" s="8" t="n">
        <v>9.60443092822046</v>
      </c>
    </row>
    <row r="72" s="8" customFormat="true" ht="15" hidden="false" customHeight="false" outlineLevel="0" collapsed="false">
      <c r="A72" s="9"/>
      <c r="B72" s="10"/>
      <c r="C72" s="11" t="n">
        <v>41950</v>
      </c>
      <c r="D72" s="8" t="n">
        <v>9.5</v>
      </c>
      <c r="E72" s="8" t="n">
        <v>6.9</v>
      </c>
      <c r="F72" s="8" t="n">
        <v>11.8</v>
      </c>
      <c r="G72" s="8" t="n">
        <v>926.6</v>
      </c>
      <c r="J72" s="8" t="n">
        <v>3.4</v>
      </c>
      <c r="K72" s="8" t="n">
        <v>123.5</v>
      </c>
      <c r="L72" s="8" t="n">
        <v>1.1</v>
      </c>
      <c r="M72" s="8" t="n">
        <v>110</v>
      </c>
      <c r="N72" s="8" t="n">
        <v>2.3</v>
      </c>
      <c r="O72" s="8" t="n">
        <f aca="false">O71+N72</f>
        <v>58.4</v>
      </c>
      <c r="P72" s="8" t="n">
        <v>67</v>
      </c>
      <c r="Q72" s="8" t="n">
        <f aca="false">0.35+((P72-9)/80)*(1-0.35)</f>
        <v>0.82125</v>
      </c>
      <c r="R72" s="14" t="n">
        <f aca="false">Q72*L72</f>
        <v>0.903375</v>
      </c>
      <c r="S72" s="14" t="n">
        <f aca="false">J72-R72</f>
        <v>2.496625</v>
      </c>
      <c r="T72" s="14" t="n">
        <f aca="false">MIN(189.6,(T71+S72))</f>
        <v>112.755125</v>
      </c>
      <c r="V72" s="15" t="n">
        <v>379.9</v>
      </c>
      <c r="W72" s="8" t="n">
        <v>39.9894736842105</v>
      </c>
      <c r="X72" s="8" t="n">
        <v>52301.4</v>
      </c>
      <c r="AA72" s="8" t="n">
        <v>9.55090032488063</v>
      </c>
    </row>
    <row r="73" s="8" customFormat="true" ht="15" hidden="false" customHeight="false" outlineLevel="0" collapsed="false">
      <c r="A73" s="9"/>
      <c r="B73" s="10"/>
      <c r="C73" s="11" t="n">
        <v>41951</v>
      </c>
      <c r="D73" s="8" t="n">
        <v>9.6</v>
      </c>
      <c r="E73" s="8" t="n">
        <v>6.9</v>
      </c>
      <c r="F73" s="8" t="n">
        <v>11.7</v>
      </c>
      <c r="G73" s="8" t="n">
        <v>936.2</v>
      </c>
      <c r="J73" s="8" t="n">
        <v>0</v>
      </c>
      <c r="K73" s="8" t="n">
        <v>123.5</v>
      </c>
      <c r="L73" s="8" t="n">
        <v>0.7</v>
      </c>
      <c r="M73" s="8" t="n">
        <v>110.7</v>
      </c>
      <c r="N73" s="13" t="n">
        <v>-0.7</v>
      </c>
      <c r="O73" s="8" t="n">
        <f aca="false">O72+N73</f>
        <v>57.7</v>
      </c>
      <c r="P73" s="8" t="n">
        <v>68</v>
      </c>
      <c r="Q73" s="8" t="n">
        <f aca="false">0.35+((P73-9)/80)*(1-0.35)</f>
        <v>0.829375</v>
      </c>
      <c r="R73" s="14" t="n">
        <f aca="false">Q73*L73</f>
        <v>0.5805625</v>
      </c>
      <c r="S73" s="14" t="n">
        <f aca="false">J73-R73</f>
        <v>-0.5805625</v>
      </c>
      <c r="T73" s="14" t="n">
        <f aca="false">MIN(189.6,(T72+S73))</f>
        <v>112.1745625</v>
      </c>
      <c r="V73" s="15" t="n">
        <v>419.9</v>
      </c>
      <c r="W73" s="8" t="n">
        <v>43.7395833333333</v>
      </c>
      <c r="X73" s="8" t="n">
        <v>52721.3</v>
      </c>
      <c r="AA73" s="8" t="n">
        <v>9.49788541671261</v>
      </c>
    </row>
    <row r="74" s="8" customFormat="true" ht="15" hidden="false" customHeight="false" outlineLevel="0" collapsed="false">
      <c r="A74" s="9"/>
      <c r="B74" s="10"/>
      <c r="C74" s="11" t="n">
        <v>41952</v>
      </c>
      <c r="D74" s="8" t="n">
        <v>9.4</v>
      </c>
      <c r="E74" s="8" t="n">
        <v>8.7</v>
      </c>
      <c r="F74" s="8" t="n">
        <v>11.1</v>
      </c>
      <c r="G74" s="8" t="n">
        <v>945.6</v>
      </c>
      <c r="J74" s="8" t="n">
        <v>0.2</v>
      </c>
      <c r="K74" s="8" t="n">
        <v>123.7</v>
      </c>
      <c r="L74" s="8" t="n">
        <v>0.7</v>
      </c>
      <c r="M74" s="8" t="n">
        <v>111.4</v>
      </c>
      <c r="N74" s="13" t="n">
        <v>-0.5</v>
      </c>
      <c r="O74" s="8" t="n">
        <f aca="false">O73+N74</f>
        <v>57.2</v>
      </c>
      <c r="P74" s="8" t="n">
        <v>69</v>
      </c>
      <c r="Q74" s="8" t="n">
        <f aca="false">0.35+((P74-9)/80)*(1-0.35)</f>
        <v>0.8375</v>
      </c>
      <c r="R74" s="14" t="n">
        <f aca="false">Q74*L74</f>
        <v>0.58625</v>
      </c>
      <c r="S74" s="14" t="n">
        <f aca="false">J74-R74</f>
        <v>-0.38625</v>
      </c>
      <c r="T74" s="14" t="n">
        <f aca="false">MIN(189.6,(T73+S74))</f>
        <v>111.7883125</v>
      </c>
      <c r="V74" s="15" t="n">
        <v>272.4</v>
      </c>
      <c r="W74" s="8" t="n">
        <v>28.9787234042553</v>
      </c>
      <c r="X74" s="8" t="n">
        <v>52993.7</v>
      </c>
      <c r="AA74" s="8" t="n">
        <v>9.44541091748669</v>
      </c>
    </row>
    <row r="75" s="8" customFormat="true" ht="15" hidden="false" customHeight="false" outlineLevel="0" collapsed="false">
      <c r="A75" s="9"/>
      <c r="B75" s="10"/>
      <c r="C75" s="11" t="n">
        <v>41953</v>
      </c>
      <c r="D75" s="8" t="n">
        <v>7.4</v>
      </c>
      <c r="E75" s="8" t="n">
        <v>4.9</v>
      </c>
      <c r="F75" s="8" t="n">
        <v>10.4</v>
      </c>
      <c r="G75" s="8" t="n">
        <v>953</v>
      </c>
      <c r="J75" s="8" t="n">
        <v>0.2</v>
      </c>
      <c r="K75" s="8" t="n">
        <v>123.9</v>
      </c>
      <c r="L75" s="8" t="n">
        <v>0.8</v>
      </c>
      <c r="M75" s="8" t="n">
        <v>112.2</v>
      </c>
      <c r="N75" s="13" t="n">
        <v>-0.6</v>
      </c>
      <c r="O75" s="8" t="n">
        <f aca="false">O74+N75</f>
        <v>56.6</v>
      </c>
      <c r="P75" s="8" t="n">
        <v>70</v>
      </c>
      <c r="Q75" s="8" t="n">
        <f aca="false">0.35+((P75-9)/80)*(1-0.35)</f>
        <v>0.845625</v>
      </c>
      <c r="R75" s="14" t="n">
        <f aca="false">Q75*L75</f>
        <v>0.6765</v>
      </c>
      <c r="S75" s="14" t="n">
        <f aca="false">J75-R75</f>
        <v>-0.4765</v>
      </c>
      <c r="T75" s="14" t="n">
        <f aca="false">MIN(189.6,(T74+S75))</f>
        <v>111.3118125</v>
      </c>
      <c r="V75" s="15" t="n">
        <v>508.6</v>
      </c>
      <c r="W75" s="8" t="n">
        <v>68.7297297297297</v>
      </c>
      <c r="X75" s="8" t="n">
        <v>53502.3</v>
      </c>
      <c r="AA75" s="8" t="n">
        <v>9.39350225713998</v>
      </c>
    </row>
    <row r="76" s="8" customFormat="true" ht="15" hidden="false" customHeight="false" outlineLevel="0" collapsed="false">
      <c r="A76" s="9"/>
      <c r="B76" s="10"/>
      <c r="C76" s="11" t="n">
        <v>41954</v>
      </c>
      <c r="D76" s="8" t="n">
        <v>9.6</v>
      </c>
      <c r="E76" s="8" t="n">
        <v>5.2</v>
      </c>
      <c r="F76" s="8" t="n">
        <v>12.9</v>
      </c>
      <c r="G76" s="8" t="n">
        <v>962.6</v>
      </c>
      <c r="J76" s="8" t="n">
        <v>0.2</v>
      </c>
      <c r="K76" s="8" t="n">
        <v>124.1</v>
      </c>
      <c r="L76" s="8" t="n">
        <v>0.8</v>
      </c>
      <c r="M76" s="8" t="n">
        <v>113</v>
      </c>
      <c r="N76" s="13" t="n">
        <v>-0.6</v>
      </c>
      <c r="O76" s="8" t="n">
        <f aca="false">O75+N76</f>
        <v>56</v>
      </c>
      <c r="P76" s="8" t="n">
        <v>71</v>
      </c>
      <c r="Q76" s="8" t="n">
        <f aca="false">0.35+((P76-9)/80)*(1-0.35)</f>
        <v>0.85375</v>
      </c>
      <c r="R76" s="14" t="n">
        <f aca="false">Q76*L76</f>
        <v>0.683</v>
      </c>
      <c r="S76" s="14" t="n">
        <f aca="false">J76-R76</f>
        <v>-0.483</v>
      </c>
      <c r="T76" s="14" t="n">
        <f aca="false">MIN(189.6,(T75+S76))</f>
        <v>110.8288125</v>
      </c>
      <c r="V76" s="15" t="n">
        <v>561.8</v>
      </c>
      <c r="W76" s="8" t="n">
        <v>58.5208333333333</v>
      </c>
      <c r="X76" s="8" t="n">
        <v>54064.1</v>
      </c>
      <c r="AA76" s="8" t="n">
        <v>9.34218557276114</v>
      </c>
    </row>
    <row r="77" s="8" customFormat="true" ht="15" hidden="false" customHeight="false" outlineLevel="0" collapsed="false">
      <c r="A77" s="9"/>
      <c r="B77" s="10"/>
      <c r="C77" s="11" t="n">
        <v>41955</v>
      </c>
      <c r="D77" s="8" t="n">
        <v>9.7</v>
      </c>
      <c r="E77" s="8" t="n">
        <v>7.4</v>
      </c>
      <c r="F77" s="8" t="n">
        <v>13.5</v>
      </c>
      <c r="G77" s="8" t="n">
        <v>972.3</v>
      </c>
      <c r="J77" s="8" t="n">
        <v>0.1</v>
      </c>
      <c r="K77" s="8" t="n">
        <v>124.2</v>
      </c>
      <c r="L77" s="8" t="n">
        <v>1.1</v>
      </c>
      <c r="M77" s="8" t="n">
        <v>114.1</v>
      </c>
      <c r="N77" s="13" t="n">
        <v>-1</v>
      </c>
      <c r="O77" s="8" t="n">
        <f aca="false">O76+N77</f>
        <v>55</v>
      </c>
      <c r="P77" s="8" t="n">
        <v>72</v>
      </c>
      <c r="Q77" s="8" t="n">
        <f aca="false">0.35+((P77-9)/80)*(1-0.35)</f>
        <v>0.861875</v>
      </c>
      <c r="R77" s="14" t="n">
        <f aca="false">Q77*L77</f>
        <v>0.9480625</v>
      </c>
      <c r="S77" s="14" t="n">
        <f aca="false">J77-R77</f>
        <v>-0.8480625</v>
      </c>
      <c r="T77" s="14" t="n">
        <f aca="false">MIN(189.6,(T76+S77))</f>
        <v>109.98075</v>
      </c>
      <c r="V77" s="15" t="n">
        <v>598.3</v>
      </c>
      <c r="W77" s="8" t="n">
        <v>61.680412371134</v>
      </c>
      <c r="X77" s="8" t="n">
        <v>54662.4</v>
      </c>
      <c r="AA77" s="8" t="n">
        <v>9.29148769648325</v>
      </c>
    </row>
    <row r="78" s="8" customFormat="true" ht="15" hidden="false" customHeight="false" outlineLevel="0" collapsed="false">
      <c r="A78" s="9"/>
      <c r="B78" s="10"/>
      <c r="C78" s="11" t="n">
        <v>41956</v>
      </c>
      <c r="D78" s="8" t="n">
        <v>8.3</v>
      </c>
      <c r="E78" s="8" t="n">
        <v>5.4</v>
      </c>
      <c r="F78" s="8" t="n">
        <v>11</v>
      </c>
      <c r="G78" s="8" t="n">
        <v>980.6</v>
      </c>
      <c r="J78" s="8" t="n">
        <v>0</v>
      </c>
      <c r="K78" s="8" t="n">
        <v>124.2</v>
      </c>
      <c r="L78" s="8" t="n">
        <v>0.5</v>
      </c>
      <c r="M78" s="8" t="n">
        <v>114.6</v>
      </c>
      <c r="N78" s="13" t="n">
        <v>-0.5</v>
      </c>
      <c r="O78" s="8" t="n">
        <f aca="false">O77+N78</f>
        <v>54.5</v>
      </c>
      <c r="P78" s="8" t="n">
        <v>73</v>
      </c>
      <c r="Q78" s="8" t="n">
        <f aca="false">0.35+((P78-9)/80)*(1-0.35)</f>
        <v>0.87</v>
      </c>
      <c r="R78" s="14" t="n">
        <f aca="false">Q78*L78</f>
        <v>0.435</v>
      </c>
      <c r="S78" s="14" t="n">
        <f aca="false">J78-R78</f>
        <v>-0.435</v>
      </c>
      <c r="T78" s="14" t="n">
        <f aca="false">MIN(189.6,(T77+S78))</f>
        <v>109.54575</v>
      </c>
      <c r="V78" s="15" t="n">
        <v>265.3</v>
      </c>
      <c r="W78" s="8" t="n">
        <v>31.9638554216867</v>
      </c>
      <c r="X78" s="8" t="n">
        <v>54927.7</v>
      </c>
      <c r="AA78" s="8" t="n">
        <v>9.2414361400975</v>
      </c>
    </row>
    <row r="79" s="8" customFormat="true" ht="15" hidden="false" customHeight="false" outlineLevel="0" collapsed="false">
      <c r="A79" s="9"/>
      <c r="B79" s="10"/>
      <c r="C79" s="11" t="n">
        <v>41957</v>
      </c>
      <c r="D79" s="8" t="n">
        <v>9.1</v>
      </c>
      <c r="E79" s="8" t="n">
        <v>7.5</v>
      </c>
      <c r="F79" s="8" t="n">
        <v>10</v>
      </c>
      <c r="G79" s="8" t="n">
        <v>989.7</v>
      </c>
      <c r="J79" s="8" t="n">
        <v>10.8</v>
      </c>
      <c r="K79" s="8" t="n">
        <v>135</v>
      </c>
      <c r="L79" s="8" t="n">
        <v>0.4</v>
      </c>
      <c r="M79" s="8" t="n">
        <v>115</v>
      </c>
      <c r="N79" s="8" t="n">
        <v>10.4</v>
      </c>
      <c r="O79" s="8" t="n">
        <f aca="false">O78+N79</f>
        <v>64.9</v>
      </c>
      <c r="P79" s="8" t="n">
        <v>74</v>
      </c>
      <c r="Q79" s="8" t="n">
        <f aca="false">0.35+((P79-9)/80)*(1-0.35)</f>
        <v>0.878125</v>
      </c>
      <c r="R79" s="14" t="n">
        <f aca="false">Q79*L79</f>
        <v>0.35125</v>
      </c>
      <c r="S79" s="14" t="n">
        <f aca="false">J79-R79</f>
        <v>10.44875</v>
      </c>
      <c r="T79" s="14" t="n">
        <f aca="false">MIN(189.6,(T78+S79))</f>
        <v>119.9945</v>
      </c>
      <c r="V79" s="15" t="n">
        <v>118.6</v>
      </c>
      <c r="W79" s="8" t="n">
        <v>13.032967032967</v>
      </c>
      <c r="X79" s="8" t="n">
        <v>55046.3</v>
      </c>
      <c r="AA79" s="8" t="n">
        <v>9.19205907620333</v>
      </c>
    </row>
    <row r="80" s="8" customFormat="true" ht="15" hidden="false" customHeight="false" outlineLevel="0" collapsed="false">
      <c r="A80" s="9"/>
      <c r="B80" s="10"/>
      <c r="C80" s="11" t="n">
        <v>41958</v>
      </c>
      <c r="D80" s="8" t="n">
        <v>9.5</v>
      </c>
      <c r="E80" s="8" t="n">
        <v>9.1</v>
      </c>
      <c r="F80" s="8" t="n">
        <v>11.4</v>
      </c>
      <c r="G80" s="8" t="n">
        <v>999.2</v>
      </c>
      <c r="J80" s="8" t="n">
        <v>3.5</v>
      </c>
      <c r="K80" s="8" t="n">
        <v>138.5</v>
      </c>
      <c r="L80" s="8" t="n">
        <v>0.4</v>
      </c>
      <c r="M80" s="8" t="n">
        <v>115.4</v>
      </c>
      <c r="N80" s="8" t="n">
        <v>3.1</v>
      </c>
      <c r="O80" s="8" t="n">
        <f aca="false">O79+N80</f>
        <v>68</v>
      </c>
      <c r="P80" s="8" t="n">
        <v>75</v>
      </c>
      <c r="Q80" s="8" t="n">
        <f aca="false">0.35+((P80-9)/80)*(1-0.35)</f>
        <v>0.88625</v>
      </c>
      <c r="R80" s="14" t="n">
        <f aca="false">Q80*L80</f>
        <v>0.3545</v>
      </c>
      <c r="S80" s="14" t="n">
        <f aca="false">J80-R80</f>
        <v>3.1455</v>
      </c>
      <c r="T80" s="14" t="n">
        <f aca="false">MIN(189.6,(T79+S80))</f>
        <v>123.14</v>
      </c>
      <c r="V80" s="15" t="n">
        <v>127.3</v>
      </c>
      <c r="W80" s="8" t="n">
        <v>13.4</v>
      </c>
      <c r="X80" s="8" t="n">
        <v>55173.6</v>
      </c>
      <c r="AA80" s="8" t="n">
        <v>9.14338531571597</v>
      </c>
    </row>
    <row r="81" s="8" customFormat="true" ht="15" hidden="false" customHeight="false" outlineLevel="0" collapsed="false">
      <c r="A81" s="9"/>
      <c r="B81" s="10"/>
      <c r="C81" s="11" t="n">
        <v>41959</v>
      </c>
      <c r="D81" s="8" t="n">
        <v>8.4</v>
      </c>
      <c r="E81" s="8" t="n">
        <v>6.8</v>
      </c>
      <c r="F81" s="8" t="n">
        <v>10.1</v>
      </c>
      <c r="G81" s="8" t="n">
        <v>1007.6</v>
      </c>
      <c r="J81" s="8" t="n">
        <v>1.2</v>
      </c>
      <c r="K81" s="8" t="n">
        <v>139.7</v>
      </c>
      <c r="L81" s="8" t="n">
        <v>0.3</v>
      </c>
      <c r="M81" s="8" t="n">
        <v>115.7</v>
      </c>
      <c r="N81" s="8" t="n">
        <v>0.9</v>
      </c>
      <c r="O81" s="8" t="n">
        <f aca="false">O80+N81</f>
        <v>68.9</v>
      </c>
      <c r="P81" s="8" t="n">
        <v>76</v>
      </c>
      <c r="Q81" s="8" t="n">
        <f aca="false">0.35+((P81-9)/80)*(1-0.35)</f>
        <v>0.894375</v>
      </c>
      <c r="R81" s="14" t="n">
        <f aca="false">Q81*L81</f>
        <v>0.2683125</v>
      </c>
      <c r="S81" s="14" t="n">
        <f aca="false">J81-R81</f>
        <v>0.9316875</v>
      </c>
      <c r="T81" s="14" t="n">
        <f aca="false">MIN(189.6,(T80+S81))</f>
        <v>124.0716875</v>
      </c>
      <c r="V81" s="15" t="n">
        <v>182.7</v>
      </c>
      <c r="W81" s="8" t="n">
        <v>21.75</v>
      </c>
      <c r="X81" s="8" t="n">
        <v>55356.3</v>
      </c>
      <c r="AA81" s="8" t="n">
        <v>9.0954442815599</v>
      </c>
    </row>
    <row r="82" s="8" customFormat="true" ht="15" hidden="false" customHeight="false" outlineLevel="0" collapsed="false">
      <c r="A82" s="9"/>
      <c r="B82" s="10"/>
      <c r="C82" s="11" t="n">
        <v>41960</v>
      </c>
      <c r="D82" s="8" t="n">
        <v>8.3</v>
      </c>
      <c r="E82" s="8" t="n">
        <v>7.5</v>
      </c>
      <c r="F82" s="8" t="n">
        <v>9.4</v>
      </c>
      <c r="G82" s="8" t="n">
        <v>1015.9</v>
      </c>
      <c r="J82" s="8" t="n">
        <v>1.6</v>
      </c>
      <c r="K82" s="8" t="n">
        <v>141.3</v>
      </c>
      <c r="L82" s="8" t="n">
        <v>0.4</v>
      </c>
      <c r="M82" s="8" t="n">
        <v>116.1</v>
      </c>
      <c r="N82" s="8" t="n">
        <v>1.2</v>
      </c>
      <c r="O82" s="8" t="n">
        <f aca="false">O81+N82</f>
        <v>70.1</v>
      </c>
      <c r="P82" s="8" t="n">
        <v>77</v>
      </c>
      <c r="Q82" s="8" t="n">
        <f aca="false">0.35+((P82-9)/80)*(1-0.35)</f>
        <v>0.9025</v>
      </c>
      <c r="R82" s="14" t="n">
        <f aca="false">Q82*L82</f>
        <v>0.361</v>
      </c>
      <c r="S82" s="14" t="n">
        <f aca="false">J82-R82</f>
        <v>1.239</v>
      </c>
      <c r="T82" s="14" t="n">
        <f aca="false">MIN(189.6,(T81+S82))</f>
        <v>125.3106875</v>
      </c>
      <c r="V82" s="15" t="n">
        <v>196</v>
      </c>
      <c r="W82" s="8" t="n">
        <v>23.6144578313253</v>
      </c>
      <c r="X82" s="8" t="n">
        <v>55552.3</v>
      </c>
      <c r="AA82" s="8" t="n">
        <v>9.04826597838681</v>
      </c>
    </row>
    <row r="83" s="8" customFormat="true" ht="15" hidden="false" customHeight="false" outlineLevel="0" collapsed="false">
      <c r="A83" s="9"/>
      <c r="B83" s="10"/>
      <c r="C83" s="11" t="n">
        <v>41961</v>
      </c>
      <c r="D83" s="8" t="n">
        <v>8</v>
      </c>
      <c r="E83" s="8" t="n">
        <v>7.3</v>
      </c>
      <c r="F83" s="8" t="n">
        <v>10.5</v>
      </c>
      <c r="G83" s="8" t="n">
        <v>1023.9</v>
      </c>
      <c r="J83" s="8" t="n">
        <v>0.1</v>
      </c>
      <c r="K83" s="8" t="n">
        <v>141.4</v>
      </c>
      <c r="L83" s="8" t="n">
        <v>0.8</v>
      </c>
      <c r="M83" s="8" t="n">
        <v>116.9</v>
      </c>
      <c r="N83" s="13" t="n">
        <v>-0.7</v>
      </c>
      <c r="O83" s="8" t="n">
        <f aca="false">O82+N83</f>
        <v>69.4</v>
      </c>
      <c r="P83" s="8" t="n">
        <v>78</v>
      </c>
      <c r="Q83" s="8" t="n">
        <f aca="false">0.35+((P83-9)/80)*(1-0.35)</f>
        <v>0.910625</v>
      </c>
      <c r="R83" s="14" t="n">
        <f aca="false">Q83*L83</f>
        <v>0.7285</v>
      </c>
      <c r="S83" s="14" t="n">
        <f aca="false">J83-R83</f>
        <v>-0.6285</v>
      </c>
      <c r="T83" s="14" t="n">
        <f aca="false">MIN(189.6,(T82+S83))</f>
        <v>124.6821875</v>
      </c>
      <c r="V83" s="15" t="n">
        <v>389.8</v>
      </c>
      <c r="W83" s="8" t="n">
        <v>48.725</v>
      </c>
      <c r="X83" s="8" t="n">
        <v>55942.1</v>
      </c>
      <c r="AA83" s="8" t="n">
        <v>9.00188095816921</v>
      </c>
    </row>
    <row r="84" s="8" customFormat="true" ht="15" hidden="false" customHeight="false" outlineLevel="0" collapsed="false">
      <c r="A84" s="9"/>
      <c r="B84" s="10"/>
      <c r="C84" s="11" t="n">
        <v>41962</v>
      </c>
      <c r="D84" s="8" t="n">
        <v>6.6</v>
      </c>
      <c r="E84" s="8" t="n">
        <v>5.8</v>
      </c>
      <c r="F84" s="8" t="n">
        <v>7.2</v>
      </c>
      <c r="G84" s="8" t="n">
        <v>1030.5</v>
      </c>
      <c r="J84" s="8" t="n">
        <v>0.2</v>
      </c>
      <c r="K84" s="8" t="n">
        <v>141.6</v>
      </c>
      <c r="L84" s="8" t="n">
        <v>0.3</v>
      </c>
      <c r="M84" s="8" t="n">
        <v>117.2</v>
      </c>
      <c r="N84" s="13" t="n">
        <v>-0.1</v>
      </c>
      <c r="O84" s="8" t="n">
        <f aca="false">O83+N84</f>
        <v>69.3</v>
      </c>
      <c r="P84" s="8" t="n">
        <v>79</v>
      </c>
      <c r="Q84" s="8" t="n">
        <f aca="false">0.35+((P84-9)/80)*(1-0.35)</f>
        <v>0.91875</v>
      </c>
      <c r="R84" s="14" t="n">
        <f aca="false">Q84*L84</f>
        <v>0.275625</v>
      </c>
      <c r="S84" s="14" t="n">
        <f aca="false">J84-R84</f>
        <v>-0.0756249999999999</v>
      </c>
      <c r="T84" s="14" t="n">
        <f aca="false">MIN(189.6,(T83+S84))</f>
        <v>124.6065625</v>
      </c>
      <c r="V84" s="15" t="n">
        <v>217.9</v>
      </c>
      <c r="W84" s="8" t="n">
        <v>33.0151515151515</v>
      </c>
      <c r="X84" s="8" t="n">
        <v>56160</v>
      </c>
      <c r="AA84" s="19" t="n">
        <v>8.95632028153667</v>
      </c>
    </row>
    <row r="85" s="8" customFormat="true" ht="15" hidden="false" customHeight="false" outlineLevel="0" collapsed="false">
      <c r="A85" s="9"/>
      <c r="B85" s="10"/>
      <c r="C85" s="11" t="n">
        <v>41963</v>
      </c>
      <c r="D85" s="8" t="n">
        <v>6.6</v>
      </c>
      <c r="E85" s="8" t="n">
        <v>6.3</v>
      </c>
      <c r="F85" s="8" t="n">
        <v>7.2</v>
      </c>
      <c r="G85" s="8" t="n">
        <v>1037.1</v>
      </c>
      <c r="J85" s="8" t="n">
        <v>0</v>
      </c>
      <c r="K85" s="8" t="n">
        <v>141.6</v>
      </c>
      <c r="L85" s="8" t="n">
        <v>0.4</v>
      </c>
      <c r="M85" s="8" t="n">
        <v>117.6</v>
      </c>
      <c r="N85" s="13" t="n">
        <v>-0.4</v>
      </c>
      <c r="O85" s="8" t="n">
        <f aca="false">O84+N85</f>
        <v>68.9</v>
      </c>
      <c r="P85" s="8" t="n">
        <v>80</v>
      </c>
      <c r="Q85" s="8" t="n">
        <f aca="false">0.35+((P85-9)/80)*(1-0.35)</f>
        <v>0.926875</v>
      </c>
      <c r="R85" s="14" t="n">
        <f aca="false">Q85*L85</f>
        <v>0.37075</v>
      </c>
      <c r="S85" s="14" t="n">
        <f aca="false">J85-R85</f>
        <v>-0.37075</v>
      </c>
      <c r="T85" s="14" t="n">
        <f aca="false">MIN(189.6,(T84+S85))</f>
        <v>124.2358125</v>
      </c>
      <c r="V85" s="15" t="n">
        <v>349.1</v>
      </c>
      <c r="W85" s="8" t="n">
        <v>52.8939393939394</v>
      </c>
      <c r="X85" s="8" t="n">
        <v>56509.1</v>
      </c>
      <c r="AA85" s="19" t="n">
        <v>8.91161547474022</v>
      </c>
    </row>
    <row r="86" s="8" customFormat="true" ht="15" hidden="false" customHeight="false" outlineLevel="0" collapsed="false">
      <c r="A86" s="9"/>
      <c r="B86" s="10"/>
      <c r="C86" s="11" t="n">
        <v>41964</v>
      </c>
      <c r="D86" s="8" t="n">
        <v>6.6</v>
      </c>
      <c r="E86" s="18" t="n">
        <v>4.3</v>
      </c>
      <c r="F86" s="8" t="n">
        <v>8.2</v>
      </c>
      <c r="G86" s="8" t="n">
        <v>1043.7</v>
      </c>
      <c r="J86" s="8" t="n">
        <v>0.1</v>
      </c>
      <c r="K86" s="8" t="n">
        <v>141.7</v>
      </c>
      <c r="L86" s="8" t="n">
        <v>0.4</v>
      </c>
      <c r="M86" s="8" t="n">
        <v>118</v>
      </c>
      <c r="N86" s="13" t="n">
        <v>-0.3</v>
      </c>
      <c r="O86" s="8" t="n">
        <f aca="false">O85+N86</f>
        <v>68.6</v>
      </c>
      <c r="P86" s="8" t="n">
        <v>81</v>
      </c>
      <c r="Q86" s="8" t="n">
        <f aca="false">0.35+((P86-9)/80)*(1-0.35)</f>
        <v>0.935</v>
      </c>
      <c r="R86" s="14" t="n">
        <f aca="false">Q86*L86</f>
        <v>0.374</v>
      </c>
      <c r="S86" s="14" t="n">
        <f aca="false">J86-R86</f>
        <v>-0.274</v>
      </c>
      <c r="T86" s="14" t="n">
        <f aca="false">MIN(189.6,(T85+S86))</f>
        <v>123.9618125</v>
      </c>
      <c r="V86" s="15" t="n">
        <v>395</v>
      </c>
      <c r="W86" s="8" t="n">
        <v>59.8484848484849</v>
      </c>
      <c r="X86" s="8" t="n">
        <v>56904.1</v>
      </c>
      <c r="AA86" s="19" t="n">
        <v>8.86779848215216</v>
      </c>
    </row>
    <row r="87" s="8" customFormat="true" ht="15" hidden="false" customHeight="false" outlineLevel="0" collapsed="false">
      <c r="A87" s="9"/>
      <c r="B87" s="10"/>
      <c r="C87" s="11" t="n">
        <v>41965</v>
      </c>
      <c r="D87" s="8" t="n">
        <v>9.4</v>
      </c>
      <c r="E87" s="8" t="n">
        <v>6</v>
      </c>
      <c r="F87" s="8" t="n">
        <v>12.4</v>
      </c>
      <c r="G87" s="8" t="n">
        <v>1053.1</v>
      </c>
      <c r="J87" s="8" t="n">
        <v>0.7</v>
      </c>
      <c r="K87" s="8" t="n">
        <v>142.4</v>
      </c>
      <c r="L87" s="8" t="n">
        <v>0.6</v>
      </c>
      <c r="M87" s="8" t="n">
        <v>118.6</v>
      </c>
      <c r="N87" s="8" t="n">
        <v>0.1</v>
      </c>
      <c r="O87" s="8" t="n">
        <f aca="false">O86+N87</f>
        <v>68.7</v>
      </c>
      <c r="P87" s="8" t="n">
        <v>82</v>
      </c>
      <c r="Q87" s="8" t="n">
        <f aca="false">0.35+((P87-9)/80)*(1-0.35)</f>
        <v>0.943125</v>
      </c>
      <c r="R87" s="14" t="n">
        <f aca="false">Q87*L87</f>
        <v>0.565875</v>
      </c>
      <c r="S87" s="14" t="n">
        <f aca="false">J87-R87</f>
        <v>0.134125</v>
      </c>
      <c r="T87" s="14" t="n">
        <f aca="false">MIN(189.6,(T86+S87))</f>
        <v>124.0959375</v>
      </c>
      <c r="V87" s="15" t="n">
        <v>362.3</v>
      </c>
      <c r="W87" s="8" t="n">
        <v>38.5425531914894</v>
      </c>
      <c r="X87" s="8" t="n">
        <v>57266.4</v>
      </c>
      <c r="AA87" s="19" t="n">
        <v>8.82490161423389</v>
      </c>
    </row>
    <row r="88" s="8" customFormat="true" ht="15" hidden="false" customHeight="false" outlineLevel="0" collapsed="false">
      <c r="A88" s="9"/>
      <c r="B88" s="10"/>
      <c r="C88" s="11" t="n">
        <v>41966</v>
      </c>
      <c r="D88" s="8" t="n">
        <v>10.8</v>
      </c>
      <c r="E88" s="8" t="n">
        <v>7.8</v>
      </c>
      <c r="F88" s="8" t="n">
        <v>13.7</v>
      </c>
      <c r="G88" s="8" t="n">
        <v>1063.9</v>
      </c>
      <c r="J88" s="8" t="n">
        <v>0.3</v>
      </c>
      <c r="K88" s="8" t="n">
        <v>142.7</v>
      </c>
      <c r="L88" s="8" t="n">
        <v>0.7</v>
      </c>
      <c r="M88" s="8" t="n">
        <v>119.3</v>
      </c>
      <c r="N88" s="13" t="n">
        <v>-0.4</v>
      </c>
      <c r="O88" s="8" t="n">
        <f aca="false">O87+N88</f>
        <v>68.3</v>
      </c>
      <c r="P88" s="8" t="n">
        <v>83</v>
      </c>
      <c r="Q88" s="8" t="n">
        <f aca="false">0.35+((P88-9)/80)*(1-0.35)</f>
        <v>0.95125</v>
      </c>
      <c r="R88" s="14" t="n">
        <f aca="false">Q88*L88</f>
        <v>0.665875</v>
      </c>
      <c r="S88" s="14" t="n">
        <f aca="false">J88-R88</f>
        <v>-0.365875</v>
      </c>
      <c r="T88" s="14" t="n">
        <f aca="false">MIN(189.6,(T87+S88))</f>
        <v>123.7300625</v>
      </c>
      <c r="V88" s="15" t="n">
        <v>449.2</v>
      </c>
      <c r="W88" s="8" t="n">
        <v>41.5925925925926</v>
      </c>
      <c r="X88" s="8" t="n">
        <v>57715.6</v>
      </c>
      <c r="AA88" s="19" t="n">
        <v>8.78295749093237</v>
      </c>
    </row>
    <row r="89" s="8" customFormat="true" ht="15" hidden="false" customHeight="false" outlineLevel="0" collapsed="false">
      <c r="A89" s="9"/>
      <c r="B89" s="10"/>
      <c r="C89" s="11" t="n">
        <v>41967</v>
      </c>
      <c r="D89" s="8" t="n">
        <v>8.2</v>
      </c>
      <c r="E89" s="8" t="n">
        <v>6.9</v>
      </c>
      <c r="F89" s="8" t="n">
        <v>10.3</v>
      </c>
      <c r="G89" s="8" t="n">
        <v>1072.1</v>
      </c>
      <c r="J89" s="8" t="n">
        <v>0</v>
      </c>
      <c r="K89" s="8" t="n">
        <v>142.7</v>
      </c>
      <c r="L89" s="8" t="n">
        <v>0.8</v>
      </c>
      <c r="M89" s="8" t="n">
        <v>120.1</v>
      </c>
      <c r="N89" s="13" t="n">
        <v>-0.8</v>
      </c>
      <c r="O89" s="8" t="n">
        <f aca="false">O88+N89</f>
        <v>67.5</v>
      </c>
      <c r="P89" s="8" t="n">
        <v>84</v>
      </c>
      <c r="Q89" s="8" t="n">
        <f aca="false">0.35+((P89-9)/80)*(1-0.35)</f>
        <v>0.959375</v>
      </c>
      <c r="R89" s="14" t="n">
        <f aca="false">Q89*L89</f>
        <v>0.7675</v>
      </c>
      <c r="S89" s="14" t="n">
        <f aca="false">J89-R89</f>
        <v>-0.7675</v>
      </c>
      <c r="T89" s="14" t="n">
        <f aca="false">MIN(189.6,(T88+S89))</f>
        <v>122.9625625</v>
      </c>
      <c r="V89" s="15" t="n">
        <v>478.7</v>
      </c>
      <c r="W89" s="8" t="n">
        <v>58.3780487804878</v>
      </c>
      <c r="X89" s="8" t="n">
        <v>58194.3</v>
      </c>
      <c r="AA89" s="19" t="n">
        <v>8.74199898049803</v>
      </c>
    </row>
    <row r="90" s="8" customFormat="true" ht="15" hidden="false" customHeight="false" outlineLevel="0" collapsed="false">
      <c r="A90" s="9"/>
      <c r="B90" s="10"/>
      <c r="C90" s="11" t="n">
        <v>41968</v>
      </c>
      <c r="D90" s="8" t="n">
        <v>7.4</v>
      </c>
      <c r="E90" s="8" t="n">
        <v>5.6</v>
      </c>
      <c r="F90" s="8" t="n">
        <v>8.8</v>
      </c>
      <c r="G90" s="8" t="n">
        <v>1079.5</v>
      </c>
      <c r="J90" s="8" t="n">
        <v>4.8</v>
      </c>
      <c r="K90" s="8" t="n">
        <v>147.5</v>
      </c>
      <c r="L90" s="8" t="n">
        <v>0.4</v>
      </c>
      <c r="M90" s="8" t="n">
        <v>120.5</v>
      </c>
      <c r="N90" s="8" t="n">
        <v>4.4</v>
      </c>
      <c r="O90" s="8" t="n">
        <f aca="false">O89+N90</f>
        <v>71.9</v>
      </c>
      <c r="P90" s="8" t="n">
        <v>85</v>
      </c>
      <c r="Q90" s="8" t="n">
        <f aca="false">0.35+((P90-9)/80)*(1-0.35)</f>
        <v>0.9675</v>
      </c>
      <c r="R90" s="14" t="n">
        <f aca="false">Q90*L90</f>
        <v>0.387</v>
      </c>
      <c r="S90" s="14" t="n">
        <f aca="false">J90-R90</f>
        <v>4.413</v>
      </c>
      <c r="T90" s="14" t="n">
        <f aca="false">MIN(189.6,(T89+S90))</f>
        <v>127.3755625</v>
      </c>
      <c r="V90" s="15" t="n">
        <v>214.1</v>
      </c>
      <c r="W90" s="8" t="n">
        <v>28.9324324324324</v>
      </c>
      <c r="X90" s="8" t="n">
        <v>58408.4</v>
      </c>
      <c r="AA90" s="19" t="n">
        <v>8.70205913375169</v>
      </c>
    </row>
    <row r="91" s="8" customFormat="true" ht="15" hidden="false" customHeight="false" outlineLevel="0" collapsed="false">
      <c r="A91" s="9"/>
      <c r="B91" s="10"/>
      <c r="C91" s="11" t="n">
        <v>41969</v>
      </c>
      <c r="D91" s="8" t="n">
        <v>9</v>
      </c>
      <c r="E91" s="8" t="n">
        <v>7.5</v>
      </c>
      <c r="F91" s="8" t="n">
        <v>10.2</v>
      </c>
      <c r="G91" s="8" t="n">
        <v>1088.5</v>
      </c>
      <c r="J91" s="8" t="n">
        <v>2</v>
      </c>
      <c r="K91" s="8" t="n">
        <v>149.5</v>
      </c>
      <c r="L91" s="8" t="n">
        <v>0.3</v>
      </c>
      <c r="M91" s="8" t="n">
        <v>120.8</v>
      </c>
      <c r="N91" s="8" t="n">
        <v>1.7</v>
      </c>
      <c r="O91" s="8" t="n">
        <f aca="false">O90+N91</f>
        <v>73.6</v>
      </c>
      <c r="P91" s="8" t="n">
        <v>86</v>
      </c>
      <c r="Q91" s="8" t="n">
        <f aca="false">0.35+((P91-9)/80)*(1-0.35)</f>
        <v>0.975625</v>
      </c>
      <c r="R91" s="14" t="n">
        <f aca="false">Q91*L91</f>
        <v>0.2926875</v>
      </c>
      <c r="S91" s="14" t="n">
        <f aca="false">J91-R91</f>
        <v>1.7073125</v>
      </c>
      <c r="T91" s="14" t="n">
        <f aca="false">MIN(189.6,(T90+S91))</f>
        <v>129.082875</v>
      </c>
      <c r="V91" s="15" t="n">
        <v>142.7</v>
      </c>
      <c r="W91" s="8" t="n">
        <v>15.8555555555556</v>
      </c>
      <c r="X91" s="8" t="n">
        <v>58551.1</v>
      </c>
      <c r="AA91" s="19" t="n">
        <v>8.66317111386645</v>
      </c>
    </row>
    <row r="92" s="8" customFormat="true" ht="15" hidden="false" customHeight="false" outlineLevel="0" collapsed="false">
      <c r="A92" s="9"/>
      <c r="B92" s="10"/>
      <c r="C92" s="11" t="n">
        <v>41970</v>
      </c>
      <c r="D92" s="8" t="n">
        <v>9.5</v>
      </c>
      <c r="E92" s="8" t="n">
        <v>8.9</v>
      </c>
      <c r="F92" s="8" t="n">
        <v>10.2</v>
      </c>
      <c r="G92" s="8" t="n">
        <v>1098</v>
      </c>
      <c r="J92" s="8" t="n">
        <v>0.2</v>
      </c>
      <c r="K92" s="8" t="n">
        <v>149.7</v>
      </c>
      <c r="L92" s="8" t="n">
        <v>0.4</v>
      </c>
      <c r="M92" s="8" t="n">
        <v>121.2</v>
      </c>
      <c r="N92" s="13" t="n">
        <v>-0.2</v>
      </c>
      <c r="O92" s="8" t="n">
        <f aca="false">O91+N92</f>
        <v>73.4</v>
      </c>
      <c r="P92" s="8" t="n">
        <v>87</v>
      </c>
      <c r="Q92" s="8" t="n">
        <f aca="false">0.35+((P92-9)/80)*(1-0.35)</f>
        <v>0.98375</v>
      </c>
      <c r="R92" s="14" t="n">
        <f aca="false">Q92*L92</f>
        <v>0.3935</v>
      </c>
      <c r="S92" s="14" t="n">
        <f aca="false">J92-R92</f>
        <v>-0.1935</v>
      </c>
      <c r="T92" s="14" t="n">
        <f aca="false">MIN(189.6,(T91+S92))</f>
        <v>128.889375</v>
      </c>
      <c r="V92" s="15" t="n">
        <v>176.4</v>
      </c>
      <c r="W92" s="8" t="n">
        <v>18.5684210526316</v>
      </c>
      <c r="X92" s="8" t="n">
        <v>58727.5</v>
      </c>
      <c r="AA92" s="19" t="n">
        <v>8.62536812177169</v>
      </c>
    </row>
    <row r="93" s="8" customFormat="true" ht="15" hidden="false" customHeight="false" outlineLevel="0" collapsed="false">
      <c r="A93" s="9"/>
      <c r="B93" s="10"/>
      <c r="C93" s="11" t="n">
        <v>41971</v>
      </c>
      <c r="D93" s="8" t="n">
        <v>9</v>
      </c>
      <c r="E93" s="8" t="n">
        <v>7.6</v>
      </c>
      <c r="F93" s="8" t="n">
        <v>11.2</v>
      </c>
      <c r="G93" s="8" t="n">
        <v>1107</v>
      </c>
      <c r="J93" s="8" t="n">
        <v>0</v>
      </c>
      <c r="K93" s="8" t="n">
        <v>149.7</v>
      </c>
      <c r="L93" s="8" t="n">
        <v>0.7</v>
      </c>
      <c r="M93" s="8" t="n">
        <v>121.9</v>
      </c>
      <c r="N93" s="13" t="n">
        <v>-0.7</v>
      </c>
      <c r="O93" s="8" t="n">
        <f aca="false">O92+N93</f>
        <v>72.7</v>
      </c>
      <c r="P93" s="8" t="n">
        <v>88</v>
      </c>
      <c r="Q93" s="8" t="n">
        <f aca="false">0.35+((P93-9)/80)*(1-0.35)</f>
        <v>0.991875</v>
      </c>
      <c r="R93" s="14" t="n">
        <f aca="false">Q93*L93</f>
        <v>0.6943125</v>
      </c>
      <c r="S93" s="14" t="n">
        <f aca="false">J93-R93</f>
        <v>-0.6943125</v>
      </c>
      <c r="T93" s="14" t="n">
        <f aca="false">MIN(189.6,(T92+S93))</f>
        <v>128.1950625</v>
      </c>
      <c r="V93" s="15" t="n">
        <v>201.6</v>
      </c>
      <c r="W93" s="8" t="n">
        <v>22.4</v>
      </c>
      <c r="X93" s="8" t="n">
        <v>58929.1</v>
      </c>
      <c r="AA93" s="19" t="n">
        <v>8.58868331733055</v>
      </c>
    </row>
    <row r="94" s="23" customFormat="true" ht="15" hidden="false" customHeight="false" outlineLevel="0" collapsed="false">
      <c r="A94" s="9"/>
      <c r="B94" s="20"/>
      <c r="C94" s="21" t="n">
        <v>41972</v>
      </c>
      <c r="D94" s="22" t="n">
        <v>5.2</v>
      </c>
      <c r="E94" s="22" t="n">
        <v>3.6</v>
      </c>
      <c r="F94" s="22" t="n">
        <v>7.6</v>
      </c>
      <c r="G94" s="22" t="n">
        <v>1112.2</v>
      </c>
      <c r="H94" s="22"/>
      <c r="I94" s="22"/>
      <c r="J94" s="22" t="n">
        <v>0.1</v>
      </c>
      <c r="K94" s="22" t="n">
        <v>149.8</v>
      </c>
      <c r="L94" s="22" t="n">
        <v>0.7</v>
      </c>
      <c r="M94" s="22" t="n">
        <v>122.6</v>
      </c>
      <c r="N94" s="22" t="n">
        <v>-0.6</v>
      </c>
      <c r="O94" s="22" t="n">
        <f aca="false">O93+N94</f>
        <v>72.1</v>
      </c>
      <c r="P94" s="22" t="n">
        <v>89</v>
      </c>
      <c r="Q94" s="23" t="n">
        <f aca="false">0.35+((P94-9)/80)*(1-0.35)</f>
        <v>1</v>
      </c>
      <c r="R94" s="24" t="n">
        <f aca="false">Q94*L94</f>
        <v>0.7</v>
      </c>
      <c r="S94" s="24" t="n">
        <f aca="false">J94-R94</f>
        <v>-0.6</v>
      </c>
      <c r="T94" s="25" t="n">
        <f aca="false">MIN(189.6,(T93+S94))</f>
        <v>127.5950625</v>
      </c>
      <c r="U94" s="22"/>
      <c r="V94" s="22" t="n">
        <v>348.6</v>
      </c>
      <c r="W94" s="22" t="n">
        <v>67.0384615384616</v>
      </c>
      <c r="X94" s="22" t="n">
        <v>59277.7</v>
      </c>
      <c r="Y94" s="22"/>
      <c r="Z94" s="22"/>
      <c r="AA94" s="26" t="n">
        <v>8.55314973648841</v>
      </c>
    </row>
    <row r="95" s="8" customFormat="true" ht="15" hidden="false" customHeight="false" outlineLevel="0" collapsed="false">
      <c r="A95" s="27" t="s">
        <v>44</v>
      </c>
      <c r="B95" s="28"/>
      <c r="C95" s="11" t="n">
        <v>41973</v>
      </c>
      <c r="D95" s="18" t="n">
        <v>4.6</v>
      </c>
      <c r="E95" s="18" t="n">
        <v>3.2</v>
      </c>
      <c r="F95" s="8" t="n">
        <v>7.3</v>
      </c>
      <c r="G95" s="8" t="n">
        <v>1116.8</v>
      </c>
      <c r="H95" s="8" t="n">
        <v>4.6</v>
      </c>
      <c r="I95" s="29" t="s">
        <v>28</v>
      </c>
      <c r="J95" s="8" t="n">
        <v>0.8</v>
      </c>
      <c r="K95" s="8" t="n">
        <v>150.6</v>
      </c>
      <c r="L95" s="8" t="n">
        <v>0.4</v>
      </c>
      <c r="M95" s="8" t="n">
        <v>123</v>
      </c>
      <c r="N95" s="8" t="n">
        <v>0.4</v>
      </c>
      <c r="O95" s="8" t="n">
        <f aca="false">O94+N95</f>
        <v>72.5</v>
      </c>
      <c r="P95" s="8" t="n">
        <v>90</v>
      </c>
      <c r="Q95" s="8" t="n">
        <v>1</v>
      </c>
      <c r="R95" s="14" t="n">
        <f aca="false">Q95*L95</f>
        <v>0.4</v>
      </c>
      <c r="S95" s="14" t="n">
        <f aca="false">J95-R95</f>
        <v>0.4</v>
      </c>
      <c r="T95" s="14" t="n">
        <f aca="false">MIN(189.6,(T94+S95))</f>
        <v>127.9950625</v>
      </c>
      <c r="U95" s="29" t="s">
        <v>29</v>
      </c>
      <c r="V95" s="15" t="n">
        <v>213.6</v>
      </c>
      <c r="W95" s="8" t="n">
        <v>46.4347826086957</v>
      </c>
      <c r="X95" s="8" t="n">
        <v>59491.3</v>
      </c>
      <c r="Y95" s="8" t="n">
        <f aca="false">V95</f>
        <v>213.6</v>
      </c>
      <c r="Z95" s="29" t="s">
        <v>30</v>
      </c>
      <c r="AA95" s="19" t="n">
        <v>8.51880020463869</v>
      </c>
    </row>
    <row r="96" s="8" customFormat="true" ht="15" hidden="false" customHeight="false" outlineLevel="0" collapsed="false">
      <c r="A96" s="27"/>
      <c r="B96" s="28"/>
      <c r="C96" s="11" t="n">
        <v>41974</v>
      </c>
      <c r="D96" s="18" t="n">
        <v>3.2</v>
      </c>
      <c r="E96" s="18" t="n">
        <v>2.7</v>
      </c>
      <c r="F96" s="18" t="n">
        <v>2.9</v>
      </c>
      <c r="G96" s="8" t="n">
        <v>1120</v>
      </c>
      <c r="H96" s="8" t="n">
        <f aca="false">H95+D96</f>
        <v>7.8</v>
      </c>
      <c r="I96" s="8" t="n">
        <v>-3.8</v>
      </c>
      <c r="J96" s="8" t="n">
        <v>0.2</v>
      </c>
      <c r="K96" s="8" t="n">
        <v>150.8</v>
      </c>
      <c r="L96" s="8" t="n">
        <v>0.3</v>
      </c>
      <c r="M96" s="8" t="n">
        <v>123.3</v>
      </c>
      <c r="N96" s="13" t="n">
        <v>-0.1</v>
      </c>
      <c r="O96" s="8" t="n">
        <f aca="false">O95+N96</f>
        <v>72.4</v>
      </c>
      <c r="P96" s="8" t="n">
        <v>91</v>
      </c>
      <c r="Q96" s="8" t="n">
        <v>1</v>
      </c>
      <c r="R96" s="14" t="n">
        <f aca="false">Q96*L96</f>
        <v>0.3</v>
      </c>
      <c r="S96" s="14" t="n">
        <f aca="false">J96-R96</f>
        <v>-0.1</v>
      </c>
      <c r="T96" s="14" t="n">
        <f aca="false">MIN(189.6,(T95+S96))</f>
        <v>127.8950625</v>
      </c>
      <c r="U96" s="8" t="n">
        <v>50</v>
      </c>
      <c r="V96" s="15" t="n">
        <v>224.4</v>
      </c>
      <c r="W96" s="8" t="n">
        <v>70.125</v>
      </c>
      <c r="X96" s="8" t="n">
        <v>59715.7</v>
      </c>
      <c r="Y96" s="8" t="n">
        <f aca="false">Y95+V96</f>
        <v>438</v>
      </c>
      <c r="Z96" s="8" t="n">
        <v>32664</v>
      </c>
      <c r="AA96" s="19" t="n">
        <v>8.48566724650208</v>
      </c>
    </row>
    <row r="97" s="8" customFormat="true" ht="15" hidden="false" customHeight="false" outlineLevel="0" collapsed="false">
      <c r="A97" s="27"/>
      <c r="B97" s="28"/>
      <c r="C97" s="11" t="n">
        <v>41975</v>
      </c>
      <c r="D97" s="18" t="n">
        <v>2.3</v>
      </c>
      <c r="E97" s="18" t="n">
        <v>1.7</v>
      </c>
      <c r="F97" s="18" t="n">
        <v>3.1</v>
      </c>
      <c r="G97" s="8" t="n">
        <v>1122.3</v>
      </c>
      <c r="H97" s="8" t="n">
        <f aca="false">H96+D97</f>
        <v>10.1</v>
      </c>
      <c r="I97" s="29" t="s">
        <v>31</v>
      </c>
      <c r="J97" s="8" t="n">
        <v>1.4</v>
      </c>
      <c r="K97" s="8" t="n">
        <v>152.2</v>
      </c>
      <c r="L97" s="8" t="n">
        <v>0.3</v>
      </c>
      <c r="M97" s="8" t="n">
        <v>123.6</v>
      </c>
      <c r="N97" s="8" t="n">
        <v>1.1</v>
      </c>
      <c r="O97" s="8" t="n">
        <f aca="false">O96+N97</f>
        <v>73.5</v>
      </c>
      <c r="P97" s="8" t="n">
        <v>92</v>
      </c>
      <c r="Q97" s="8" t="n">
        <v>1</v>
      </c>
      <c r="R97" s="14" t="n">
        <f aca="false">Q97*L97</f>
        <v>0.3</v>
      </c>
      <c r="S97" s="14" t="n">
        <f aca="false">J97-R97</f>
        <v>1.1</v>
      </c>
      <c r="T97" s="14" t="n">
        <f aca="false">MIN(189.6,(T96+S97))</f>
        <v>128.9950625</v>
      </c>
      <c r="U97" s="29" t="s">
        <v>32</v>
      </c>
      <c r="V97" s="15" t="n">
        <v>164.1</v>
      </c>
      <c r="W97" s="8" t="n">
        <v>71.3478260869565</v>
      </c>
      <c r="X97" s="8" t="n">
        <v>59879.8</v>
      </c>
      <c r="Y97" s="8" t="n">
        <f aca="false">Y96+V97</f>
        <v>602.1</v>
      </c>
      <c r="Z97" s="29" t="s">
        <v>33</v>
      </c>
      <c r="AA97" s="19" t="n">
        <v>8.45378299286625</v>
      </c>
    </row>
    <row r="98" s="8" customFormat="true" ht="15" hidden="false" customHeight="false" outlineLevel="0" collapsed="false">
      <c r="A98" s="27"/>
      <c r="B98" s="28"/>
      <c r="C98" s="11" t="n">
        <v>41976</v>
      </c>
      <c r="D98" s="18" t="n">
        <v>1.3</v>
      </c>
      <c r="E98" s="18" t="n">
        <v>0.5</v>
      </c>
      <c r="F98" s="18" t="n">
        <v>2.1</v>
      </c>
      <c r="G98" s="8" t="n">
        <v>1123.6</v>
      </c>
      <c r="H98" s="8" t="n">
        <f aca="false">H97+D98</f>
        <v>11.4</v>
      </c>
      <c r="I98" s="8" t="n">
        <v>14.5</v>
      </c>
      <c r="J98" s="8" t="n">
        <v>0</v>
      </c>
      <c r="K98" s="8" t="n">
        <v>152.2</v>
      </c>
      <c r="L98" s="8" t="n">
        <v>0.5</v>
      </c>
      <c r="M98" s="8" t="n">
        <v>124.1</v>
      </c>
      <c r="N98" s="13" t="n">
        <v>-0.5</v>
      </c>
      <c r="O98" s="8" t="n">
        <f aca="false">O97+N98</f>
        <v>73</v>
      </c>
      <c r="P98" s="8" t="n">
        <v>93</v>
      </c>
      <c r="Q98" s="8" t="n">
        <v>1</v>
      </c>
      <c r="R98" s="14" t="n">
        <f aca="false">Q98*L98</f>
        <v>0.5</v>
      </c>
      <c r="S98" s="14" t="n">
        <f aca="false">J98-R98</f>
        <v>-0.5</v>
      </c>
      <c r="T98" s="14" t="n">
        <f aca="false">MIN(189.6,(T97+S98))</f>
        <v>128.4950625</v>
      </c>
      <c r="U98" s="8" t="n">
        <v>0</v>
      </c>
      <c r="V98" s="15" t="n">
        <v>379.3</v>
      </c>
      <c r="W98" s="8" t="n">
        <v>291.769230769231</v>
      </c>
      <c r="X98" s="8" t="n">
        <v>60259.1</v>
      </c>
      <c r="Y98" s="8" t="n">
        <f aca="false">Y97+V98</f>
        <v>981.4</v>
      </c>
      <c r="Z98" s="16" t="n">
        <f aca="false">(Z96/100)/I108</f>
        <v>0.833477928042868</v>
      </c>
      <c r="AA98" s="19" t="n">
        <v>8.42317908458435</v>
      </c>
    </row>
    <row r="99" s="8" customFormat="true" ht="15" hidden="false" customHeight="false" outlineLevel="0" collapsed="false">
      <c r="A99" s="27"/>
      <c r="B99" s="28"/>
      <c r="C99" s="11" t="n">
        <v>41977</v>
      </c>
      <c r="D99" s="18" t="n">
        <v>1.6</v>
      </c>
      <c r="E99" s="18" t="n">
        <v>0.4</v>
      </c>
      <c r="F99" s="18" t="n">
        <v>3.3</v>
      </c>
      <c r="G99" s="8" t="n">
        <v>1125.2</v>
      </c>
      <c r="H99" s="8" t="n">
        <f aca="false">H98+D99</f>
        <v>13</v>
      </c>
      <c r="I99" s="29" t="s">
        <v>34</v>
      </c>
      <c r="J99" s="8" t="n">
        <v>0.5</v>
      </c>
      <c r="K99" s="8" t="n">
        <v>152.7</v>
      </c>
      <c r="L99" s="8" t="n">
        <v>0.3</v>
      </c>
      <c r="M99" s="8" t="n">
        <v>124.4</v>
      </c>
      <c r="N99" s="8" t="n">
        <v>0.2</v>
      </c>
      <c r="O99" s="8" t="n">
        <f aca="false">O98+N99</f>
        <v>73.2</v>
      </c>
      <c r="P99" s="8" t="n">
        <v>94</v>
      </c>
      <c r="Q99" s="8" t="n">
        <v>1</v>
      </c>
      <c r="R99" s="14" t="n">
        <f aca="false">Q99*L99</f>
        <v>0.3</v>
      </c>
      <c r="S99" s="14" t="n">
        <f aca="false">J99-R99</f>
        <v>0.2</v>
      </c>
      <c r="T99" s="14" t="n">
        <f aca="false">MIN(189.6,(T98+S99))</f>
        <v>128.6950625</v>
      </c>
      <c r="U99" s="29" t="s">
        <v>35</v>
      </c>
      <c r="V99" s="15" t="n">
        <v>246.1</v>
      </c>
      <c r="W99" s="8" t="n">
        <v>153.8125</v>
      </c>
      <c r="X99" s="8" t="n">
        <v>60505.2</v>
      </c>
      <c r="Y99" s="8" t="n">
        <f aca="false">Y98+V99</f>
        <v>1227.5</v>
      </c>
      <c r="Z99" s="29" t="s">
        <v>36</v>
      </c>
      <c r="AA99" s="19" t="n">
        <v>8.39388657428115</v>
      </c>
    </row>
    <row r="100" s="8" customFormat="true" ht="15" hidden="false" customHeight="false" outlineLevel="0" collapsed="false">
      <c r="A100" s="27"/>
      <c r="B100" s="28"/>
      <c r="C100" s="11" t="n">
        <v>41978</v>
      </c>
      <c r="D100" s="18" t="n">
        <v>3.8</v>
      </c>
      <c r="E100" s="18" t="n">
        <v>2.4</v>
      </c>
      <c r="F100" s="18" t="n">
        <v>4.3</v>
      </c>
      <c r="G100" s="8" t="n">
        <v>1129</v>
      </c>
      <c r="H100" s="8" t="n">
        <f aca="false">H99+D100</f>
        <v>16.8</v>
      </c>
      <c r="I100" s="14" t="n">
        <v>3.94285714285714</v>
      </c>
      <c r="J100" s="8" t="n">
        <v>0.7</v>
      </c>
      <c r="K100" s="8" t="n">
        <v>153.4</v>
      </c>
      <c r="L100" s="8" t="n">
        <v>0.3</v>
      </c>
      <c r="M100" s="8" t="n">
        <v>124.7</v>
      </c>
      <c r="N100" s="8" t="n">
        <v>0.4</v>
      </c>
      <c r="O100" s="8" t="n">
        <f aca="false">O99+N100</f>
        <v>73.6</v>
      </c>
      <c r="P100" s="8" t="n">
        <v>95</v>
      </c>
      <c r="Q100" s="8" t="n">
        <v>1</v>
      </c>
      <c r="R100" s="14" t="n">
        <f aca="false">Q100*L100</f>
        <v>0.3</v>
      </c>
      <c r="S100" s="14" t="n">
        <f aca="false">J100-R100</f>
        <v>0.4</v>
      </c>
      <c r="T100" s="14" t="n">
        <f aca="false">MIN(189.6,(T99+S100))</f>
        <v>129.0950625</v>
      </c>
      <c r="U100" s="8" t="n">
        <v>0</v>
      </c>
      <c r="V100" s="15" t="n">
        <v>284.4</v>
      </c>
      <c r="W100" s="8" t="n">
        <v>74.8421052631579</v>
      </c>
      <c r="X100" s="8" t="n">
        <v>60789.6</v>
      </c>
      <c r="Y100" s="8" t="n">
        <f aca="false">Y99+V100</f>
        <v>1511.9</v>
      </c>
      <c r="Z100" s="8" t="n">
        <v>95</v>
      </c>
      <c r="AA100" s="19" t="n">
        <v>8.36593582626487</v>
      </c>
    </row>
    <row r="101" s="8" customFormat="true" ht="15" hidden="false" customHeight="false" outlineLevel="0" collapsed="false">
      <c r="A101" s="27"/>
      <c r="B101" s="28"/>
      <c r="C101" s="11" t="n">
        <v>41979</v>
      </c>
      <c r="D101" s="18" t="n">
        <v>2.8</v>
      </c>
      <c r="E101" s="18" t="n">
        <v>1</v>
      </c>
      <c r="F101" s="8" t="n">
        <v>5.9</v>
      </c>
      <c r="G101" s="8" t="n">
        <v>1131.8</v>
      </c>
      <c r="H101" s="8" t="n">
        <f aca="false">H100+D101</f>
        <v>19.6</v>
      </c>
      <c r="I101" s="29" t="s">
        <v>37</v>
      </c>
      <c r="J101" s="8" t="n">
        <v>0</v>
      </c>
      <c r="K101" s="8" t="n">
        <v>153.4</v>
      </c>
      <c r="L101" s="8" t="n">
        <v>0.5</v>
      </c>
      <c r="M101" s="8" t="n">
        <v>125.2</v>
      </c>
      <c r="N101" s="13" t="n">
        <v>-0.5</v>
      </c>
      <c r="O101" s="8" t="n">
        <f aca="false">O100+N101</f>
        <v>73.1</v>
      </c>
      <c r="P101" s="8" t="n">
        <v>96</v>
      </c>
      <c r="Q101" s="8" t="n">
        <v>1</v>
      </c>
      <c r="R101" s="14" t="n">
        <f aca="false">Q101*L101</f>
        <v>0.5</v>
      </c>
      <c r="S101" s="14" t="n">
        <f aca="false">J101-R101</f>
        <v>-0.5</v>
      </c>
      <c r="T101" s="14" t="n">
        <f aca="false">MIN(189.6,(T100+S101))</f>
        <v>128.5950625</v>
      </c>
      <c r="U101" s="29" t="s">
        <v>38</v>
      </c>
      <c r="V101" s="15" t="n">
        <v>228.3</v>
      </c>
      <c r="W101" s="8" t="n">
        <v>81.5357142857143</v>
      </c>
      <c r="X101" s="8" t="n">
        <v>61017.9</v>
      </c>
      <c r="Y101" s="8" t="n">
        <f aca="false">Y100+V101</f>
        <v>1740.2</v>
      </c>
      <c r="AA101" s="19" t="n">
        <v>8.33935641519034</v>
      </c>
    </row>
    <row r="102" s="8" customFormat="true" ht="15" hidden="false" customHeight="false" outlineLevel="0" collapsed="false">
      <c r="A102" s="27"/>
      <c r="B102" s="28"/>
      <c r="C102" s="11" t="n">
        <v>41980</v>
      </c>
      <c r="D102" s="18" t="n">
        <v>2.2</v>
      </c>
      <c r="E102" s="30" t="n">
        <v>-0.7</v>
      </c>
      <c r="F102" s="8" t="n">
        <v>5.8</v>
      </c>
      <c r="G102" s="8" t="n">
        <v>1134</v>
      </c>
      <c r="H102" s="8" t="n">
        <f aca="false">H101+D102</f>
        <v>21.8</v>
      </c>
      <c r="I102" s="8" t="n">
        <v>28</v>
      </c>
      <c r="J102" s="8" t="n">
        <v>1.6</v>
      </c>
      <c r="K102" s="8" t="n">
        <v>155</v>
      </c>
      <c r="L102" s="8" t="n">
        <v>0.3</v>
      </c>
      <c r="M102" s="8" t="n">
        <v>125.5</v>
      </c>
      <c r="N102" s="8" t="n">
        <v>1.3</v>
      </c>
      <c r="O102" s="8" t="n">
        <f aca="false">O101+N102</f>
        <v>74.4</v>
      </c>
      <c r="P102" s="8" t="n">
        <v>97</v>
      </c>
      <c r="Q102" s="8" t="n">
        <v>1</v>
      </c>
      <c r="R102" s="14" t="n">
        <f aca="false">Q102*L102</f>
        <v>0.3</v>
      </c>
      <c r="S102" s="14" t="n">
        <f aca="false">J102-R102</f>
        <v>1.3</v>
      </c>
      <c r="T102" s="14" t="n">
        <f aca="false">MIN(189.6,(T101+S102))</f>
        <v>129.8950625</v>
      </c>
      <c r="U102" s="14" t="n">
        <f aca="false">MIN(T95:T192)</f>
        <v>127.8950625</v>
      </c>
      <c r="V102" s="15" t="n">
        <v>116.4</v>
      </c>
      <c r="W102" s="8" t="n">
        <v>52.9090909090909</v>
      </c>
      <c r="X102" s="8" t="n">
        <v>61134.3</v>
      </c>
      <c r="Y102" s="8" t="n">
        <f aca="false">Y101+V102</f>
        <v>1856.6</v>
      </c>
      <c r="AA102" s="19" t="n">
        <v>8.31417702406231</v>
      </c>
    </row>
    <row r="103" s="8" customFormat="true" ht="15" hidden="false" customHeight="false" outlineLevel="0" collapsed="false">
      <c r="A103" s="27"/>
      <c r="B103" s="28"/>
      <c r="C103" s="11" t="n">
        <v>41981</v>
      </c>
      <c r="D103" s="18" t="n">
        <v>2</v>
      </c>
      <c r="E103" s="18" t="n">
        <v>1</v>
      </c>
      <c r="F103" s="18" t="n">
        <v>3.6</v>
      </c>
      <c r="G103" s="8" t="n">
        <v>1136</v>
      </c>
      <c r="H103" s="8" t="n">
        <f aca="false">H102+D103</f>
        <v>23.8</v>
      </c>
      <c r="I103" s="29" t="s">
        <v>39</v>
      </c>
      <c r="J103" s="8" t="n">
        <v>5</v>
      </c>
      <c r="K103" s="8" t="n">
        <v>160</v>
      </c>
      <c r="L103" s="8" t="n">
        <v>0.3</v>
      </c>
      <c r="M103" s="8" t="n">
        <v>125.8</v>
      </c>
      <c r="N103" s="8" t="n">
        <v>4.7</v>
      </c>
      <c r="O103" s="8" t="n">
        <f aca="false">O102+N103</f>
        <v>79.1</v>
      </c>
      <c r="P103" s="8" t="n">
        <v>98</v>
      </c>
      <c r="Q103" s="8" t="n">
        <v>1</v>
      </c>
      <c r="R103" s="14" t="n">
        <f aca="false">Q103*L103</f>
        <v>0.3</v>
      </c>
      <c r="S103" s="14" t="n">
        <f aca="false">J103-R103</f>
        <v>4.7</v>
      </c>
      <c r="T103" s="14" t="n">
        <f aca="false">MIN(189.6,(T102+S103))</f>
        <v>134.5950625</v>
      </c>
      <c r="U103" s="29" t="s">
        <v>40</v>
      </c>
      <c r="V103" s="31" t="n">
        <v>77.3</v>
      </c>
      <c r="W103" s="8" t="n">
        <v>38.65</v>
      </c>
      <c r="X103" s="8" t="n">
        <v>61211.6</v>
      </c>
      <c r="Y103" s="8" t="n">
        <f aca="false">Y102+V103</f>
        <v>1933.9</v>
      </c>
      <c r="AA103" s="19" t="n">
        <v>8.2904253422086</v>
      </c>
    </row>
    <row r="104" s="8" customFormat="true" ht="15" hidden="false" customHeight="false" outlineLevel="0" collapsed="false">
      <c r="A104" s="27"/>
      <c r="B104" s="28"/>
      <c r="C104" s="11" t="n">
        <v>41982</v>
      </c>
      <c r="D104" s="18" t="n">
        <v>2.9</v>
      </c>
      <c r="E104" s="18" t="n">
        <v>0.7</v>
      </c>
      <c r="F104" s="8" t="n">
        <v>6.6</v>
      </c>
      <c r="G104" s="8" t="n">
        <v>1138.9</v>
      </c>
      <c r="H104" s="8" t="n">
        <f aca="false">H103+D104</f>
        <v>26.7</v>
      </c>
      <c r="I104" s="8" t="n">
        <v>0</v>
      </c>
      <c r="J104" s="8" t="n">
        <v>2</v>
      </c>
      <c r="K104" s="8" t="n">
        <v>162</v>
      </c>
      <c r="L104" s="8" t="n">
        <v>0.6</v>
      </c>
      <c r="M104" s="8" t="n">
        <v>126.4</v>
      </c>
      <c r="N104" s="8" t="n">
        <v>1.4</v>
      </c>
      <c r="O104" s="8" t="n">
        <f aca="false">O103+N104</f>
        <v>80.5</v>
      </c>
      <c r="P104" s="8" t="n">
        <v>99</v>
      </c>
      <c r="Q104" s="8" t="n">
        <v>1</v>
      </c>
      <c r="R104" s="14" t="n">
        <f aca="false">Q104*L104</f>
        <v>0.6</v>
      </c>
      <c r="S104" s="14" t="n">
        <f aca="false">J104-R104</f>
        <v>1.4</v>
      </c>
      <c r="T104" s="14" t="n">
        <f aca="false">MIN(189.6,(T103+S104))</f>
        <v>135.9950625</v>
      </c>
      <c r="U104" s="14" t="n">
        <f aca="false">MAX(T95:T192)</f>
        <v>189.6</v>
      </c>
      <c r="V104" s="15" t="n">
        <v>335.5</v>
      </c>
      <c r="W104" s="8" t="n">
        <v>115.689655172414</v>
      </c>
      <c r="X104" s="8" t="n">
        <v>61547.1</v>
      </c>
      <c r="Y104" s="8" t="n">
        <f aca="false">Y103+V104</f>
        <v>2269.4</v>
      </c>
      <c r="AA104" s="19" t="n">
        <v>8.26812796388679</v>
      </c>
    </row>
    <row r="105" s="8" customFormat="true" ht="15" hidden="false" customHeight="false" outlineLevel="0" collapsed="false">
      <c r="A105" s="27"/>
      <c r="B105" s="10"/>
      <c r="C105" s="11" t="n">
        <v>41983</v>
      </c>
      <c r="D105" s="8" t="n">
        <v>6.8</v>
      </c>
      <c r="E105" s="18" t="n">
        <v>3.3</v>
      </c>
      <c r="F105" s="8" t="n">
        <v>9</v>
      </c>
      <c r="G105" s="8" t="n">
        <v>1145.7</v>
      </c>
      <c r="H105" s="8" t="n">
        <f aca="false">H104+D105</f>
        <v>33.5</v>
      </c>
      <c r="I105" s="29" t="s">
        <v>41</v>
      </c>
      <c r="J105" s="8" t="n">
        <v>3</v>
      </c>
      <c r="K105" s="8" t="n">
        <v>165</v>
      </c>
      <c r="L105" s="8" t="n">
        <v>0.4</v>
      </c>
      <c r="M105" s="8" t="n">
        <v>126.8</v>
      </c>
      <c r="N105" s="8" t="n">
        <v>2.6</v>
      </c>
      <c r="O105" s="8" t="n">
        <f aca="false">O104+N105</f>
        <v>83.1</v>
      </c>
      <c r="P105" s="8" t="n">
        <v>100</v>
      </c>
      <c r="Q105" s="8" t="n">
        <v>1</v>
      </c>
      <c r="R105" s="14" t="n">
        <f aca="false">Q105*L105</f>
        <v>0.4</v>
      </c>
      <c r="S105" s="14" t="n">
        <f aca="false">J105-R105</f>
        <v>2.6</v>
      </c>
      <c r="T105" s="14" t="n">
        <f aca="false">MIN(189.6,(T104+S105))</f>
        <v>138.5950625</v>
      </c>
      <c r="U105" s="29" t="s">
        <v>42</v>
      </c>
      <c r="V105" s="15" t="n">
        <v>149</v>
      </c>
      <c r="W105" s="8" t="n">
        <v>21.9117647058824</v>
      </c>
      <c r="X105" s="8" t="n">
        <v>61696.1</v>
      </c>
      <c r="Y105" s="8" t="n">
        <f aca="false">Y104+V105</f>
        <v>2418.4</v>
      </c>
      <c r="AA105" s="19" t="n">
        <v>8.24731028821774</v>
      </c>
    </row>
    <row r="106" s="8" customFormat="true" ht="15" hidden="false" customHeight="false" outlineLevel="0" collapsed="false">
      <c r="A106" s="27"/>
      <c r="B106" s="10"/>
      <c r="C106" s="11" t="n">
        <v>41984</v>
      </c>
      <c r="D106" s="8" t="n">
        <v>7.1</v>
      </c>
      <c r="E106" s="8" t="n">
        <v>5.7</v>
      </c>
      <c r="F106" s="8" t="n">
        <v>8.5</v>
      </c>
      <c r="G106" s="8" t="n">
        <v>1152.8</v>
      </c>
      <c r="H106" s="8" t="n">
        <f aca="false">H105+D106</f>
        <v>40.6</v>
      </c>
      <c r="I106" s="8" t="n">
        <v>57</v>
      </c>
      <c r="J106" s="8" t="n">
        <v>7.3</v>
      </c>
      <c r="K106" s="8" t="n">
        <v>172.3</v>
      </c>
      <c r="L106" s="8" t="n">
        <v>0.7</v>
      </c>
      <c r="M106" s="8" t="n">
        <v>127.5</v>
      </c>
      <c r="N106" s="8" t="n">
        <v>6.6</v>
      </c>
      <c r="O106" s="8" t="n">
        <f aca="false">O105+N106</f>
        <v>89.7</v>
      </c>
      <c r="P106" s="8" t="n">
        <v>101</v>
      </c>
      <c r="Q106" s="8" t="n">
        <v>1</v>
      </c>
      <c r="R106" s="14" t="n">
        <f aca="false">Q106*L106</f>
        <v>0.7</v>
      </c>
      <c r="S106" s="14" t="n">
        <f aca="false">J106-R106</f>
        <v>6.6</v>
      </c>
      <c r="T106" s="14" t="n">
        <f aca="false">MIN(189.6,(T105+S106))</f>
        <v>145.1950625</v>
      </c>
      <c r="U106" s="16" t="n">
        <f aca="false">AVERAGE(T95:T192)</f>
        <v>179.099660076531</v>
      </c>
      <c r="V106" s="15" t="n">
        <v>115.2</v>
      </c>
      <c r="W106" s="8" t="n">
        <v>16.2253521126761</v>
      </c>
      <c r="X106" s="8" t="n">
        <v>61811.3</v>
      </c>
      <c r="Y106" s="8" t="n">
        <f aca="false">Y105+V106</f>
        <v>2533.6</v>
      </c>
      <c r="AA106" s="19" t="n">
        <v>8.22799642116085</v>
      </c>
    </row>
    <row r="107" s="8" customFormat="true" ht="15" hidden="false" customHeight="false" outlineLevel="0" collapsed="false">
      <c r="A107" s="27"/>
      <c r="B107" s="10"/>
      <c r="C107" s="11" t="n">
        <v>41985</v>
      </c>
      <c r="D107" s="8" t="n">
        <v>8.3</v>
      </c>
      <c r="E107" s="8" t="n">
        <v>7.4</v>
      </c>
      <c r="F107" s="8" t="n">
        <v>9.6</v>
      </c>
      <c r="G107" s="8" t="n">
        <v>1161.1</v>
      </c>
      <c r="H107" s="8" t="n">
        <f aca="false">H106+D107</f>
        <v>48.9</v>
      </c>
      <c r="I107" s="29" t="s">
        <v>43</v>
      </c>
      <c r="J107" s="8" t="n">
        <v>16.8</v>
      </c>
      <c r="K107" s="8" t="n">
        <v>189.1</v>
      </c>
      <c r="L107" s="8" t="n">
        <v>0.7</v>
      </c>
      <c r="M107" s="8" t="n">
        <v>128.2</v>
      </c>
      <c r="N107" s="8" t="n">
        <v>16.1</v>
      </c>
      <c r="O107" s="8" t="n">
        <f aca="false">O106+N107</f>
        <v>105.8</v>
      </c>
      <c r="P107" s="8" t="n">
        <v>102</v>
      </c>
      <c r="Q107" s="8" t="n">
        <v>1</v>
      </c>
      <c r="R107" s="14" t="n">
        <f aca="false">Q107*L107</f>
        <v>0.7</v>
      </c>
      <c r="S107" s="14" t="n">
        <f aca="false">J107-R107</f>
        <v>16.1</v>
      </c>
      <c r="T107" s="14" t="n">
        <f aca="false">MIN(189.6,(T106+S107))</f>
        <v>161.2950625</v>
      </c>
      <c r="U107" s="29" t="s">
        <v>45</v>
      </c>
      <c r="V107" s="31" t="n">
        <v>65.5</v>
      </c>
      <c r="W107" s="8" t="n">
        <v>7.89156626506024</v>
      </c>
      <c r="X107" s="8" t="n">
        <v>61876.8</v>
      </c>
      <c r="Y107" s="8" t="n">
        <f aca="false">Y106+V107</f>
        <v>2599.1</v>
      </c>
      <c r="AA107" s="19" t="n">
        <v>8.21020908026093</v>
      </c>
    </row>
    <row r="108" s="8" customFormat="true" ht="15" hidden="false" customHeight="false" outlineLevel="0" collapsed="false">
      <c r="A108" s="27"/>
      <c r="B108" s="28"/>
      <c r="C108" s="11" t="n">
        <v>41986</v>
      </c>
      <c r="D108" s="18" t="n">
        <v>3.1</v>
      </c>
      <c r="E108" s="18" t="n">
        <v>2.8</v>
      </c>
      <c r="F108" s="18" t="n">
        <v>3.9</v>
      </c>
      <c r="G108" s="8" t="n">
        <v>1164.2</v>
      </c>
      <c r="H108" s="8" t="n">
        <f aca="false">H107+D108</f>
        <v>52</v>
      </c>
      <c r="I108" s="18" t="n">
        <v>391.9</v>
      </c>
      <c r="J108" s="8" t="n">
        <v>2.1</v>
      </c>
      <c r="K108" s="8" t="n">
        <v>191.2</v>
      </c>
      <c r="L108" s="8" t="n">
        <v>0.1</v>
      </c>
      <c r="M108" s="8" t="n">
        <v>128.3</v>
      </c>
      <c r="N108" s="8" t="n">
        <v>2</v>
      </c>
      <c r="O108" s="8" t="n">
        <f aca="false">O107+N108</f>
        <v>107.8</v>
      </c>
      <c r="P108" s="8" t="n">
        <v>103</v>
      </c>
      <c r="Q108" s="8" t="n">
        <v>1</v>
      </c>
      <c r="R108" s="14" t="n">
        <f aca="false">Q108*L108</f>
        <v>0.1</v>
      </c>
      <c r="S108" s="14" t="n">
        <f aca="false">J108-R108</f>
        <v>2</v>
      </c>
      <c r="T108" s="14" t="n">
        <f aca="false">MIN(189.6,(T107+S108))</f>
        <v>163.2950625</v>
      </c>
      <c r="U108" s="8" t="n">
        <v>36</v>
      </c>
      <c r="V108" s="31" t="n">
        <v>79.1</v>
      </c>
      <c r="W108" s="8" t="n">
        <v>25.5161290322581</v>
      </c>
      <c r="X108" s="8" t="n">
        <v>61955.9</v>
      </c>
      <c r="Y108" s="8" t="n">
        <f aca="false">Y107+V108</f>
        <v>2678.2</v>
      </c>
      <c r="AA108" s="19" t="n">
        <v>8.19396950290205</v>
      </c>
    </row>
    <row r="109" s="8" customFormat="true" ht="15" hidden="false" customHeight="false" outlineLevel="0" collapsed="false">
      <c r="A109" s="27"/>
      <c r="B109" s="28"/>
      <c r="C109" s="11" t="n">
        <v>41987</v>
      </c>
      <c r="D109" s="18" t="n">
        <v>0.3</v>
      </c>
      <c r="E109" s="30" t="n">
        <v>-0.9</v>
      </c>
      <c r="F109" s="18" t="n">
        <v>3.1</v>
      </c>
      <c r="G109" s="8" t="n">
        <v>1164.5</v>
      </c>
      <c r="H109" s="8" t="n">
        <f aca="false">H108+D109</f>
        <v>52.3</v>
      </c>
      <c r="J109" s="8" t="n">
        <v>0.3</v>
      </c>
      <c r="K109" s="8" t="n">
        <v>191.5</v>
      </c>
      <c r="L109" s="8" t="n">
        <v>0.3</v>
      </c>
      <c r="M109" s="8" t="n">
        <v>128.6</v>
      </c>
      <c r="N109" s="8" t="n">
        <v>0</v>
      </c>
      <c r="O109" s="8" t="n">
        <f aca="false">O108+N109</f>
        <v>107.8</v>
      </c>
      <c r="P109" s="8" t="n">
        <v>104</v>
      </c>
      <c r="Q109" s="8" t="n">
        <v>1</v>
      </c>
      <c r="R109" s="14" t="n">
        <f aca="false">Q109*L109</f>
        <v>0.3</v>
      </c>
      <c r="S109" s="14" t="n">
        <f aca="false">J109-R109</f>
        <v>0</v>
      </c>
      <c r="T109" s="14" t="n">
        <f aca="false">MIN(189.6,(T108+S109))</f>
        <v>163.2950625</v>
      </c>
      <c r="V109" s="15" t="n">
        <v>148.6</v>
      </c>
      <c r="W109" s="8" t="n">
        <v>495.333333333333</v>
      </c>
      <c r="X109" s="8" t="n">
        <v>62104.5</v>
      </c>
      <c r="Y109" s="8" t="n">
        <f aca="false">Y108+V109</f>
        <v>2826.8</v>
      </c>
      <c r="AA109" s="19" t="n">
        <v>8.17929735880139</v>
      </c>
    </row>
    <row r="110" s="8" customFormat="true" ht="15" hidden="false" customHeight="false" outlineLevel="0" collapsed="false">
      <c r="A110" s="27"/>
      <c r="B110" s="28"/>
      <c r="C110" s="11" t="n">
        <v>41988</v>
      </c>
      <c r="D110" s="18" t="n">
        <v>4.6</v>
      </c>
      <c r="E110" s="18" t="n">
        <v>1.3</v>
      </c>
      <c r="F110" s="8" t="n">
        <v>6</v>
      </c>
      <c r="G110" s="8" t="n">
        <v>1169.1</v>
      </c>
      <c r="H110" s="8" t="n">
        <f aca="false">H109+D110</f>
        <v>56.9</v>
      </c>
      <c r="J110" s="8" t="n">
        <v>1.4</v>
      </c>
      <c r="K110" s="8" t="n">
        <v>192.9</v>
      </c>
      <c r="L110" s="8" t="n">
        <v>0.1</v>
      </c>
      <c r="M110" s="8" t="n">
        <v>128.7</v>
      </c>
      <c r="N110" s="8" t="n">
        <v>1.3</v>
      </c>
      <c r="O110" s="8" t="n">
        <f aca="false">O109+N110</f>
        <v>109.1</v>
      </c>
      <c r="P110" s="8" t="n">
        <v>105</v>
      </c>
      <c r="Q110" s="8" t="n">
        <v>1</v>
      </c>
      <c r="R110" s="14" t="n">
        <f aca="false">Q110*L110</f>
        <v>0.1</v>
      </c>
      <c r="S110" s="14" t="n">
        <f aca="false">J110-R110</f>
        <v>1.3</v>
      </c>
      <c r="T110" s="14" t="n">
        <f aca="false">MIN(189.6,(T109+S110))</f>
        <v>164.5950625</v>
      </c>
      <c r="U110" s="8" t="n">
        <f aca="false">(U106*100)/189.6</f>
        <v>94.4618460319255</v>
      </c>
      <c r="V110" s="31" t="n">
        <v>68.3</v>
      </c>
      <c r="W110" s="8" t="n">
        <v>14.8478260869565</v>
      </c>
      <c r="X110" s="8" t="n">
        <v>62172.8</v>
      </c>
      <c r="Y110" s="8" t="n">
        <f aca="false">Y109+V110</f>
        <v>2895.1</v>
      </c>
      <c r="AA110" s="19" t="n">
        <v>8.16621066746338</v>
      </c>
    </row>
    <row r="111" s="8" customFormat="true" ht="15" hidden="false" customHeight="false" outlineLevel="0" collapsed="false">
      <c r="A111" s="27"/>
      <c r="B111" s="10"/>
      <c r="C111" s="11" t="n">
        <v>41989</v>
      </c>
      <c r="D111" s="8" t="n">
        <v>5.9</v>
      </c>
      <c r="E111" s="18" t="n">
        <v>4.8</v>
      </c>
      <c r="F111" s="8" t="n">
        <v>8.1</v>
      </c>
      <c r="G111" s="8" t="n">
        <v>1175</v>
      </c>
      <c r="H111" s="8" t="n">
        <f aca="false">H110+D111</f>
        <v>62.8</v>
      </c>
      <c r="J111" s="8" t="n">
        <v>6.7</v>
      </c>
      <c r="K111" s="8" t="n">
        <v>199.6</v>
      </c>
      <c r="L111" s="8" t="n">
        <v>0.5</v>
      </c>
      <c r="M111" s="8" t="n">
        <v>129.2</v>
      </c>
      <c r="N111" s="8" t="n">
        <v>6.2</v>
      </c>
      <c r="O111" s="8" t="n">
        <f aca="false">O110+N111</f>
        <v>115.3</v>
      </c>
      <c r="P111" s="8" t="n">
        <v>106</v>
      </c>
      <c r="Q111" s="8" t="n">
        <v>1</v>
      </c>
      <c r="R111" s="14" t="n">
        <f aca="false">Q111*L111</f>
        <v>0.5</v>
      </c>
      <c r="S111" s="14" t="n">
        <f aca="false">J111-R111</f>
        <v>6.2</v>
      </c>
      <c r="T111" s="14" t="n">
        <f aca="false">MIN(189.6,(T110+S111))</f>
        <v>170.7950625</v>
      </c>
      <c r="V111" s="15" t="n">
        <v>292.9</v>
      </c>
      <c r="W111" s="8" t="n">
        <v>49.6440677966102</v>
      </c>
      <c r="X111" s="8" t="n">
        <v>62465.7</v>
      </c>
      <c r="Y111" s="8" t="n">
        <f aca="false">Y110+V111</f>
        <v>3188</v>
      </c>
      <c r="AA111" s="19" t="n">
        <v>8.15472572129291</v>
      </c>
    </row>
    <row r="112" s="8" customFormat="true" ht="15" hidden="false" customHeight="false" outlineLevel="0" collapsed="false">
      <c r="A112" s="27"/>
      <c r="B112" s="10"/>
      <c r="C112" s="11" t="n">
        <v>41990</v>
      </c>
      <c r="D112" s="8" t="n">
        <v>8.9</v>
      </c>
      <c r="E112" s="18" t="n">
        <v>4.1</v>
      </c>
      <c r="F112" s="8" t="n">
        <v>11.6</v>
      </c>
      <c r="G112" s="8" t="n">
        <v>1183.9</v>
      </c>
      <c r="H112" s="8" t="n">
        <f aca="false">H111+D112</f>
        <v>71.7</v>
      </c>
      <c r="J112" s="8" t="n">
        <v>5.9</v>
      </c>
      <c r="K112" s="8" t="n">
        <v>205.5</v>
      </c>
      <c r="L112" s="8" t="n">
        <v>0.1</v>
      </c>
      <c r="M112" s="8" t="n">
        <v>129.3</v>
      </c>
      <c r="N112" s="8" t="n">
        <v>5.8</v>
      </c>
      <c r="O112" s="8" t="n">
        <f aca="false">O111+N112</f>
        <v>121.1</v>
      </c>
      <c r="P112" s="8" t="n">
        <v>107</v>
      </c>
      <c r="Q112" s="8" t="n">
        <v>1</v>
      </c>
      <c r="R112" s="14" t="n">
        <f aca="false">Q112*L112</f>
        <v>0.1</v>
      </c>
      <c r="S112" s="14" t="n">
        <f aca="false">J112-R112</f>
        <v>5.8</v>
      </c>
      <c r="T112" s="14" t="n">
        <f aca="false">MIN(189.6,(T111+S112))</f>
        <v>176.5950625</v>
      </c>
      <c r="V112" s="31" t="n">
        <v>75.2</v>
      </c>
      <c r="W112" s="8" t="n">
        <v>8.44943820224719</v>
      </c>
      <c r="X112" s="8" t="n">
        <v>62540.9</v>
      </c>
      <c r="Y112" s="8" t="n">
        <f aca="false">Y111+V112</f>
        <v>3263.2</v>
      </c>
      <c r="AA112" s="19" t="n">
        <v>8.14485701503406</v>
      </c>
    </row>
    <row r="113" s="8" customFormat="true" ht="15" hidden="false" customHeight="false" outlineLevel="0" collapsed="false">
      <c r="A113" s="27"/>
      <c r="B113" s="10"/>
      <c r="C113" s="11" t="n">
        <v>41991</v>
      </c>
      <c r="D113" s="8" t="n">
        <v>11.9</v>
      </c>
      <c r="E113" s="8" t="n">
        <v>10.6</v>
      </c>
      <c r="F113" s="8" t="n">
        <v>13</v>
      </c>
      <c r="G113" s="8" t="n">
        <v>1195.8</v>
      </c>
      <c r="H113" s="8" t="n">
        <f aca="false">H112+D113</f>
        <v>83.6</v>
      </c>
      <c r="J113" s="8" t="n">
        <v>0.6</v>
      </c>
      <c r="K113" s="8" t="n">
        <v>206.1</v>
      </c>
      <c r="L113" s="8" t="n">
        <v>0.5</v>
      </c>
      <c r="M113" s="8" t="n">
        <v>129.8</v>
      </c>
      <c r="N113" s="8" t="n">
        <v>0.1</v>
      </c>
      <c r="O113" s="8" t="n">
        <f aca="false">O112+N113</f>
        <v>121.2</v>
      </c>
      <c r="P113" s="8" t="n">
        <v>108</v>
      </c>
      <c r="Q113" s="8" t="n">
        <v>1</v>
      </c>
      <c r="R113" s="14" t="n">
        <f aca="false">Q113*L113</f>
        <v>0.5</v>
      </c>
      <c r="S113" s="14" t="n">
        <f aca="false">J113-R113</f>
        <v>0.1</v>
      </c>
      <c r="T113" s="14" t="n">
        <f aca="false">MIN(189.6,(T112+S113))</f>
        <v>176.6950625</v>
      </c>
      <c r="V113" s="31" t="n">
        <v>98.1</v>
      </c>
      <c r="W113" s="8" t="n">
        <v>8.2436974789916</v>
      </c>
      <c r="X113" s="8" t="n">
        <v>62639</v>
      </c>
      <c r="Y113" s="8" t="n">
        <f aca="false">Y112+V113</f>
        <v>3361.3</v>
      </c>
      <c r="AA113" s="19" t="n">
        <v>8.13661718215996</v>
      </c>
    </row>
    <row r="114" s="8" customFormat="true" ht="15" hidden="false" customHeight="false" outlineLevel="0" collapsed="false">
      <c r="A114" s="27"/>
      <c r="B114" s="10"/>
      <c r="C114" s="11" t="n">
        <v>41992</v>
      </c>
      <c r="D114" s="8" t="n">
        <v>9.3</v>
      </c>
      <c r="E114" s="8" t="n">
        <v>7.3</v>
      </c>
      <c r="F114" s="8" t="n">
        <v>11.5</v>
      </c>
      <c r="G114" s="8" t="n">
        <v>1205.1</v>
      </c>
      <c r="H114" s="8" t="n">
        <f aca="false">H113+D114</f>
        <v>92.9</v>
      </c>
      <c r="J114" s="8" t="n">
        <v>4.8</v>
      </c>
      <c r="K114" s="8" t="n">
        <v>210.9</v>
      </c>
      <c r="L114" s="8" t="n">
        <v>0.6</v>
      </c>
      <c r="M114" s="8" t="n">
        <v>130.4</v>
      </c>
      <c r="N114" s="8" t="n">
        <v>4.2</v>
      </c>
      <c r="O114" s="8" t="n">
        <f aca="false">O113+N114</f>
        <v>125.4</v>
      </c>
      <c r="P114" s="8" t="n">
        <v>109</v>
      </c>
      <c r="Q114" s="8" t="n">
        <v>1</v>
      </c>
      <c r="R114" s="14" t="n">
        <f aca="false">Q114*L114</f>
        <v>0.6</v>
      </c>
      <c r="S114" s="14" t="n">
        <f aca="false">J114-R114</f>
        <v>4.2</v>
      </c>
      <c r="T114" s="14" t="n">
        <f aca="false">MIN(189.6,(T113+S114))</f>
        <v>180.8950625</v>
      </c>
      <c r="V114" s="31" t="n">
        <v>85.9</v>
      </c>
      <c r="W114" s="8" t="n">
        <v>9.23655913978495</v>
      </c>
      <c r="X114" s="8" t="n">
        <v>62724.9</v>
      </c>
      <c r="Y114" s="8" t="n">
        <f aca="false">Y113+V114</f>
        <v>3447.2</v>
      </c>
      <c r="AA114" s="19" t="n">
        <v>8.13001693878818</v>
      </c>
    </row>
    <row r="115" s="8" customFormat="true" ht="15" hidden="false" customHeight="false" outlineLevel="0" collapsed="false">
      <c r="A115" s="27"/>
      <c r="B115" s="10"/>
      <c r="C115" s="11" t="n">
        <v>41993</v>
      </c>
      <c r="D115" s="8" t="n">
        <v>6</v>
      </c>
      <c r="E115" s="18" t="n">
        <v>4.3</v>
      </c>
      <c r="F115" s="8" t="n">
        <v>8.3</v>
      </c>
      <c r="G115" s="8" t="n">
        <v>1211.1</v>
      </c>
      <c r="H115" s="8" t="n">
        <f aca="false">H114+D115</f>
        <v>98.9</v>
      </c>
      <c r="J115" s="8" t="n">
        <v>0.4</v>
      </c>
      <c r="K115" s="8" t="n">
        <v>211.3</v>
      </c>
      <c r="L115" s="8" t="n">
        <v>0.7</v>
      </c>
      <c r="M115" s="8" t="n">
        <v>131.1</v>
      </c>
      <c r="N115" s="13" t="n">
        <v>-0.3</v>
      </c>
      <c r="O115" s="8" t="n">
        <f aca="false">O114+N115</f>
        <v>125.1</v>
      </c>
      <c r="P115" s="8" t="n">
        <v>110</v>
      </c>
      <c r="Q115" s="8" t="n">
        <v>1</v>
      </c>
      <c r="R115" s="14" t="n">
        <f aca="false">Q115*L115</f>
        <v>0.7</v>
      </c>
      <c r="S115" s="14" t="n">
        <f aca="false">J115-R115</f>
        <v>-0.3</v>
      </c>
      <c r="T115" s="14" t="n">
        <f aca="false">MIN(189.6,(T114+S115))</f>
        <v>180.5950625</v>
      </c>
      <c r="V115" s="15" t="n">
        <v>120.1</v>
      </c>
      <c r="W115" s="8" t="n">
        <v>20.0166666666667</v>
      </c>
      <c r="X115" s="8" t="n">
        <v>62845</v>
      </c>
      <c r="Y115" s="8" t="n">
        <f aca="false">Y114+V115</f>
        <v>3567.3</v>
      </c>
      <c r="AA115" s="19" t="n">
        <v>8.12506503563669</v>
      </c>
    </row>
    <row r="116" s="8" customFormat="true" ht="15" hidden="false" customHeight="false" outlineLevel="0" collapsed="false">
      <c r="A116" s="27"/>
      <c r="B116" s="10"/>
      <c r="C116" s="11" t="n">
        <v>41994</v>
      </c>
      <c r="D116" s="8" t="n">
        <v>6.3</v>
      </c>
      <c r="E116" s="18" t="n">
        <v>2.9</v>
      </c>
      <c r="F116" s="8" t="n">
        <v>8.3</v>
      </c>
      <c r="G116" s="8" t="n">
        <v>1217.4</v>
      </c>
      <c r="H116" s="8" t="n">
        <f aca="false">H115+D116</f>
        <v>105.2</v>
      </c>
      <c r="J116" s="8" t="n">
        <v>0</v>
      </c>
      <c r="K116" s="8" t="n">
        <v>211.3</v>
      </c>
      <c r="L116" s="8" t="n">
        <v>0.5</v>
      </c>
      <c r="M116" s="8" t="n">
        <v>131.6</v>
      </c>
      <c r="N116" s="13" t="n">
        <v>-0.5</v>
      </c>
      <c r="O116" s="8" t="n">
        <f aca="false">O115+N116</f>
        <v>124.6</v>
      </c>
      <c r="P116" s="8" t="n">
        <v>111</v>
      </c>
      <c r="Q116" s="8" t="n">
        <v>1</v>
      </c>
      <c r="R116" s="14" t="n">
        <f aca="false">Q116*L116</f>
        <v>0.5</v>
      </c>
      <c r="S116" s="14" t="n">
        <f aca="false">J116-R116</f>
        <v>-0.5</v>
      </c>
      <c r="T116" s="14" t="n">
        <f aca="false">MIN(189.6,(T115+S116))</f>
        <v>180.0950625</v>
      </c>
      <c r="V116" s="15" t="n">
        <v>121.5</v>
      </c>
      <c r="W116" s="8" t="n">
        <v>19.2857142857143</v>
      </c>
      <c r="X116" s="8" t="n">
        <v>62966.5</v>
      </c>
      <c r="Y116" s="8" t="n">
        <f aca="false">Y115+V116</f>
        <v>3688.8</v>
      </c>
      <c r="AA116" s="19" t="n">
        <v>8.12176821846773</v>
      </c>
    </row>
    <row r="117" s="8" customFormat="true" ht="15" hidden="false" customHeight="false" outlineLevel="0" collapsed="false">
      <c r="A117" s="27"/>
      <c r="B117" s="10"/>
      <c r="C117" s="11" t="n">
        <v>41995</v>
      </c>
      <c r="D117" s="8" t="n">
        <v>9.7</v>
      </c>
      <c r="E117" s="8" t="n">
        <v>7.5</v>
      </c>
      <c r="F117" s="8" t="n">
        <v>10.6</v>
      </c>
      <c r="G117" s="8" t="n">
        <v>1227.1</v>
      </c>
      <c r="H117" s="8" t="n">
        <f aca="false">H116+D117</f>
        <v>114.9</v>
      </c>
      <c r="J117" s="8" t="n">
        <v>0</v>
      </c>
      <c r="K117" s="8" t="n">
        <v>211.3</v>
      </c>
      <c r="L117" s="8" t="n">
        <v>0.6</v>
      </c>
      <c r="M117" s="8" t="n">
        <v>132.2</v>
      </c>
      <c r="N117" s="13" t="n">
        <v>-0.6</v>
      </c>
      <c r="O117" s="8" t="n">
        <f aca="false">O116+N117</f>
        <v>124</v>
      </c>
      <c r="P117" s="8" t="n">
        <v>112</v>
      </c>
      <c r="Q117" s="8" t="n">
        <v>1</v>
      </c>
      <c r="R117" s="14" t="n">
        <f aca="false">Q117*L117</f>
        <v>0.6</v>
      </c>
      <c r="S117" s="14" t="n">
        <f aca="false">J117-R117</f>
        <v>-0.6</v>
      </c>
      <c r="T117" s="14" t="n">
        <f aca="false">MIN(189.6,(T116+S117))</f>
        <v>179.4950625</v>
      </c>
      <c r="V117" s="31" t="n">
        <v>79.5</v>
      </c>
      <c r="W117" s="8" t="n">
        <v>8.1958762886598</v>
      </c>
      <c r="X117" s="8" t="n">
        <v>63046</v>
      </c>
      <c r="Y117" s="8" t="n">
        <f aca="false">Y116+V117</f>
        <v>3768.3</v>
      </c>
      <c r="AA117" s="19" t="n">
        <v>8.12013119739199</v>
      </c>
    </row>
    <row r="118" s="8" customFormat="true" ht="15" hidden="false" customHeight="false" outlineLevel="0" collapsed="false">
      <c r="A118" s="27"/>
      <c r="B118" s="10"/>
      <c r="C118" s="11" t="n">
        <v>41996</v>
      </c>
      <c r="D118" s="8" t="n">
        <v>9.7</v>
      </c>
      <c r="E118" s="8" t="n">
        <v>9.2</v>
      </c>
      <c r="F118" s="8" t="n">
        <v>10.6</v>
      </c>
      <c r="G118" s="8" t="n">
        <v>1236.8</v>
      </c>
      <c r="H118" s="8" t="n">
        <f aca="false">H117+D118</f>
        <v>124.6</v>
      </c>
      <c r="J118" s="8" t="n">
        <v>0</v>
      </c>
      <c r="K118" s="8" t="n">
        <v>211.3</v>
      </c>
      <c r="L118" s="8" t="n">
        <v>0.8</v>
      </c>
      <c r="M118" s="8" t="n">
        <v>133</v>
      </c>
      <c r="N118" s="13" t="n">
        <v>-0.8</v>
      </c>
      <c r="O118" s="8" t="n">
        <f aca="false">O117+N118</f>
        <v>123.2</v>
      </c>
      <c r="P118" s="8" t="n">
        <v>113</v>
      </c>
      <c r="Q118" s="8" t="n">
        <v>1</v>
      </c>
      <c r="R118" s="14" t="n">
        <f aca="false">Q118*L118</f>
        <v>0.8</v>
      </c>
      <c r="S118" s="14" t="n">
        <f aca="false">J118-R118</f>
        <v>-0.8</v>
      </c>
      <c r="T118" s="14" t="n">
        <f aca="false">MIN(189.6,(T117+S118))</f>
        <v>178.6950625</v>
      </c>
      <c r="V118" s="15" t="n">
        <v>127.2</v>
      </c>
      <c r="W118" s="8" t="n">
        <v>13.1134020618557</v>
      </c>
      <c r="X118" s="8" t="n">
        <v>63173.2</v>
      </c>
      <c r="Y118" s="8" t="n">
        <f aca="false">Y117+V118</f>
        <v>3895.5</v>
      </c>
      <c r="AA118" s="19" t="n">
        <v>8.12015662532492</v>
      </c>
    </row>
    <row r="119" s="8" customFormat="true" ht="15" hidden="false" customHeight="false" outlineLevel="0" collapsed="false">
      <c r="A119" s="27"/>
      <c r="B119" s="10"/>
      <c r="C119" s="11" t="n">
        <v>41997</v>
      </c>
      <c r="D119" s="8" t="n">
        <v>8.1</v>
      </c>
      <c r="E119" s="8" t="n">
        <v>7.7</v>
      </c>
      <c r="F119" s="8" t="n">
        <v>10.3</v>
      </c>
      <c r="G119" s="8" t="n">
        <v>1244.9</v>
      </c>
      <c r="H119" s="8" t="n">
        <f aca="false">H118+D119</f>
        <v>132.7</v>
      </c>
      <c r="J119" s="8" t="n">
        <v>1.2</v>
      </c>
      <c r="K119" s="8" t="n">
        <v>212.5</v>
      </c>
      <c r="L119" s="8" t="n">
        <v>1.1</v>
      </c>
      <c r="M119" s="8" t="n">
        <v>134.1</v>
      </c>
      <c r="N119" s="8" t="n">
        <v>0.0999999999999999</v>
      </c>
      <c r="O119" s="8" t="n">
        <f aca="false">O118+N119</f>
        <v>123.3</v>
      </c>
      <c r="P119" s="8" t="n">
        <v>114</v>
      </c>
      <c r="Q119" s="8" t="n">
        <v>1</v>
      </c>
      <c r="R119" s="14" t="n">
        <f aca="false">Q119*L119</f>
        <v>1.1</v>
      </c>
      <c r="S119" s="14" t="n">
        <f aca="false">J119-R119</f>
        <v>0.0999999999999999</v>
      </c>
      <c r="T119" s="14" t="n">
        <f aca="false">MIN(189.6,(T118+S119))</f>
        <v>178.7950625</v>
      </c>
      <c r="V119" s="15" t="n">
        <v>122.8</v>
      </c>
      <c r="W119" s="8" t="n">
        <v>15.1604938271605</v>
      </c>
      <c r="X119" s="8" t="n">
        <v>63296</v>
      </c>
      <c r="Y119" s="8" t="n">
        <f aca="false">Y118+V119</f>
        <v>4018.3</v>
      </c>
      <c r="AA119" s="19" t="n">
        <v>8.12184508580092</v>
      </c>
    </row>
    <row r="120" s="8" customFormat="true" ht="15" hidden="false" customHeight="false" outlineLevel="0" collapsed="false">
      <c r="A120" s="27"/>
      <c r="B120" s="28"/>
      <c r="C120" s="11" t="n">
        <v>41998</v>
      </c>
      <c r="D120" s="18" t="n">
        <v>4.3</v>
      </c>
      <c r="E120" s="18" t="n">
        <v>3.4</v>
      </c>
      <c r="F120" s="8" t="n">
        <v>7.5</v>
      </c>
      <c r="G120" s="8" t="n">
        <v>1249.2</v>
      </c>
      <c r="H120" s="8" t="n">
        <f aca="false">H119+D120</f>
        <v>137</v>
      </c>
      <c r="J120" s="8" t="n">
        <v>0</v>
      </c>
      <c r="K120" s="8" t="n">
        <v>212.5</v>
      </c>
      <c r="L120" s="8" t="n">
        <v>0.9</v>
      </c>
      <c r="M120" s="8" t="n">
        <v>135</v>
      </c>
      <c r="N120" s="13" t="n">
        <v>-0.9</v>
      </c>
      <c r="O120" s="8" t="n">
        <f aca="false">O119+N120</f>
        <v>122.4</v>
      </c>
      <c r="P120" s="8" t="n">
        <v>115</v>
      </c>
      <c r="Q120" s="8" t="n">
        <v>1</v>
      </c>
      <c r="R120" s="14" t="n">
        <f aca="false">Q120*L120</f>
        <v>0.9</v>
      </c>
      <c r="S120" s="14" t="n">
        <f aca="false">J120-R120</f>
        <v>-0.9</v>
      </c>
      <c r="T120" s="14" t="n">
        <f aca="false">MIN(189.6,(T119+S120))</f>
        <v>177.8950625</v>
      </c>
      <c r="V120" s="15" t="n">
        <v>394.2</v>
      </c>
      <c r="W120" s="8" t="n">
        <v>91.6744186046512</v>
      </c>
      <c r="X120" s="8" t="n">
        <v>63690.2</v>
      </c>
      <c r="Y120" s="8" t="n">
        <f aca="false">Y119+V120</f>
        <v>4412.5</v>
      </c>
      <c r="AA120" s="19" t="n">
        <v>8.12519509026255</v>
      </c>
    </row>
    <row r="121" s="8" customFormat="true" ht="15" hidden="false" customHeight="false" outlineLevel="0" collapsed="false">
      <c r="A121" s="27"/>
      <c r="B121" s="28"/>
      <c r="C121" s="11" t="n">
        <v>41999</v>
      </c>
      <c r="D121" s="18" t="n">
        <v>2.4</v>
      </c>
      <c r="E121" s="18" t="n">
        <v>0.3</v>
      </c>
      <c r="F121" s="18" t="n">
        <v>3.8</v>
      </c>
      <c r="G121" s="8" t="n">
        <v>1251.6</v>
      </c>
      <c r="H121" s="8" t="n">
        <f aca="false">H120+D121</f>
        <v>139.4</v>
      </c>
      <c r="J121" s="8" t="n">
        <v>11</v>
      </c>
      <c r="K121" s="8" t="n">
        <v>223.5</v>
      </c>
      <c r="L121" s="8" t="n">
        <v>0.3</v>
      </c>
      <c r="M121" s="8" t="n">
        <v>135.3</v>
      </c>
      <c r="N121" s="8" t="n">
        <v>10.7</v>
      </c>
      <c r="O121" s="8" t="n">
        <f aca="false">O120+N121</f>
        <v>133.1</v>
      </c>
      <c r="P121" s="8" t="n">
        <v>116</v>
      </c>
      <c r="Q121" s="8" t="n">
        <v>1</v>
      </c>
      <c r="R121" s="14" t="n">
        <f aca="false">Q121*L121</f>
        <v>0.3</v>
      </c>
      <c r="S121" s="14" t="n">
        <f aca="false">J121-R121</f>
        <v>10.7</v>
      </c>
      <c r="T121" s="14" t="n">
        <f aca="false">MIN(189.6,(T120+S121))</f>
        <v>188.5950625</v>
      </c>
      <c r="V121" s="15" t="n">
        <v>247.4</v>
      </c>
      <c r="W121" s="8" t="n">
        <v>103.083333333333</v>
      </c>
      <c r="X121" s="8" t="n">
        <v>63937.6</v>
      </c>
      <c r="Y121" s="8" t="n">
        <f aca="false">Y120+V121</f>
        <v>4659.9</v>
      </c>
      <c r="AA121" s="19" t="n">
        <v>8.13020308485049</v>
      </c>
    </row>
    <row r="122" s="8" customFormat="true" ht="15" hidden="false" customHeight="false" outlineLevel="0" collapsed="false">
      <c r="A122" s="27"/>
      <c r="B122" s="28"/>
      <c r="C122" s="11" t="n">
        <v>42000</v>
      </c>
      <c r="D122" s="18" t="n">
        <v>3</v>
      </c>
      <c r="E122" s="18" t="n">
        <v>2.3</v>
      </c>
      <c r="F122" s="18" t="n">
        <v>4.3</v>
      </c>
      <c r="G122" s="8" t="n">
        <v>1254.6</v>
      </c>
      <c r="H122" s="8" t="n">
        <f aca="false">H121+D122</f>
        <v>142.4</v>
      </c>
      <c r="J122" s="8" t="n">
        <v>2.2</v>
      </c>
      <c r="K122" s="8" t="n">
        <v>225.7</v>
      </c>
      <c r="L122" s="8" t="n">
        <v>0.6</v>
      </c>
      <c r="M122" s="8" t="n">
        <v>135.9</v>
      </c>
      <c r="N122" s="8" t="n">
        <v>1.6</v>
      </c>
      <c r="O122" s="8" t="n">
        <f aca="false">O121+N122</f>
        <v>134.7</v>
      </c>
      <c r="P122" s="8" t="n">
        <v>117</v>
      </c>
      <c r="Q122" s="8" t="n">
        <v>1</v>
      </c>
      <c r="R122" s="14" t="n">
        <f aca="false">Q122*L122</f>
        <v>0.6</v>
      </c>
      <c r="S122" s="14" t="n">
        <f aca="false">J122-R122</f>
        <v>1.6</v>
      </c>
      <c r="T122" s="14" t="n">
        <f aca="false">MIN(189.6,(T121+S122))</f>
        <v>189.6</v>
      </c>
      <c r="V122" s="31" t="n">
        <v>81</v>
      </c>
      <c r="W122" s="8" t="n">
        <v>27</v>
      </c>
      <c r="X122" s="8" t="n">
        <v>64018.6</v>
      </c>
      <c r="Y122" s="8" t="n">
        <f aca="false">Y121+V122</f>
        <v>4740.9</v>
      </c>
      <c r="AA122" s="19" t="n">
        <v>8.13686346662892</v>
      </c>
    </row>
    <row r="123" s="8" customFormat="true" ht="15" hidden="false" customHeight="false" outlineLevel="0" collapsed="false">
      <c r="A123" s="27"/>
      <c r="B123" s="28"/>
      <c r="C123" s="11" t="n">
        <v>42001</v>
      </c>
      <c r="D123" s="30" t="n">
        <v>-1.7</v>
      </c>
      <c r="E123" s="30" t="n">
        <v>-2</v>
      </c>
      <c r="F123" s="30" t="n">
        <v>-1.3</v>
      </c>
      <c r="G123" s="8" t="n">
        <v>1254.6</v>
      </c>
      <c r="H123" s="8" t="n">
        <v>142.4</v>
      </c>
      <c r="J123" s="8" t="n">
        <v>0</v>
      </c>
      <c r="K123" s="8" t="n">
        <v>225.7</v>
      </c>
      <c r="L123" s="8" t="n">
        <v>0.7</v>
      </c>
      <c r="M123" s="8" t="n">
        <v>136.6</v>
      </c>
      <c r="N123" s="13" t="n">
        <v>-0.7</v>
      </c>
      <c r="O123" s="8" t="n">
        <f aca="false">O122+N123</f>
        <v>134</v>
      </c>
      <c r="P123" s="8" t="n">
        <v>118</v>
      </c>
      <c r="Q123" s="8" t="n">
        <v>1</v>
      </c>
      <c r="R123" s="14" t="n">
        <f aca="false">Q123*L123</f>
        <v>0.7</v>
      </c>
      <c r="S123" s="14" t="n">
        <f aca="false">J123-R123</f>
        <v>-0.7</v>
      </c>
      <c r="T123" s="14" t="n">
        <f aca="false">MIN(189.6,(T122+S123))</f>
        <v>188.9</v>
      </c>
      <c r="V123" s="15" t="n">
        <v>561.5</v>
      </c>
      <c r="W123" s="8" t="n">
        <v>-330.294117647059</v>
      </c>
      <c r="X123" s="8" t="n">
        <v>64580.1</v>
      </c>
      <c r="Y123" s="8" t="n">
        <f aca="false">Y122+V123</f>
        <v>5302.4</v>
      </c>
      <c r="AA123" s="19" t="n">
        <v>8.14516860909032</v>
      </c>
    </row>
    <row r="124" s="8" customFormat="true" ht="15" hidden="false" customHeight="false" outlineLevel="0" collapsed="false">
      <c r="A124" s="27"/>
      <c r="B124" s="28"/>
      <c r="C124" s="11" t="n">
        <v>42002</v>
      </c>
      <c r="D124" s="18" t="n">
        <v>0.4</v>
      </c>
      <c r="E124" s="30" t="n">
        <v>-3.8</v>
      </c>
      <c r="F124" s="18" t="n">
        <v>2.6</v>
      </c>
      <c r="G124" s="8" t="n">
        <v>1255</v>
      </c>
      <c r="H124" s="8" t="n">
        <f aca="false">H123+D124</f>
        <v>142.8</v>
      </c>
      <c r="J124" s="8" t="n">
        <v>0</v>
      </c>
      <c r="K124" s="8" t="n">
        <v>225.7</v>
      </c>
      <c r="L124" s="8" t="n">
        <v>0.2</v>
      </c>
      <c r="M124" s="8" t="n">
        <v>136.8</v>
      </c>
      <c r="N124" s="13" t="n">
        <v>-0.2</v>
      </c>
      <c r="O124" s="8" t="n">
        <f aca="false">O123+N124</f>
        <v>133.8</v>
      </c>
      <c r="P124" s="8" t="n">
        <v>119</v>
      </c>
      <c r="Q124" s="8" t="n">
        <v>1</v>
      </c>
      <c r="R124" s="14" t="n">
        <f aca="false">Q124*L124</f>
        <v>0.2</v>
      </c>
      <c r="S124" s="14" t="n">
        <f aca="false">J124-R124</f>
        <v>-0.2</v>
      </c>
      <c r="T124" s="14" t="n">
        <f aca="false">MIN(189.6,(T123+S124))</f>
        <v>188.7</v>
      </c>
      <c r="V124" s="15" t="n">
        <v>286.7</v>
      </c>
      <c r="W124" s="8" t="n">
        <v>716.75</v>
      </c>
      <c r="X124" s="8" t="n">
        <v>64866.8</v>
      </c>
      <c r="Y124" s="8" t="n">
        <f aca="false">Y123+V124</f>
        <v>5589.1</v>
      </c>
      <c r="AA124" s="19" t="n">
        <v>8.15510889669624</v>
      </c>
    </row>
    <row r="125" s="8" customFormat="true" ht="15" hidden="false" customHeight="false" outlineLevel="0" collapsed="false">
      <c r="A125" s="27"/>
      <c r="B125" s="28"/>
      <c r="C125" s="11" t="n">
        <v>42003</v>
      </c>
      <c r="D125" s="18" t="n">
        <v>1.7</v>
      </c>
      <c r="E125" s="30" t="n">
        <v>-0.2</v>
      </c>
      <c r="F125" s="18" t="n">
        <v>2.7</v>
      </c>
      <c r="G125" s="8" t="n">
        <v>1256.7</v>
      </c>
      <c r="H125" s="8" t="n">
        <f aca="false">H124+D125</f>
        <v>144.5</v>
      </c>
      <c r="J125" s="8" t="n">
        <v>0.1</v>
      </c>
      <c r="K125" s="8" t="n">
        <v>225.8</v>
      </c>
      <c r="L125" s="8" t="n">
        <v>0.2</v>
      </c>
      <c r="M125" s="8" t="n">
        <v>137</v>
      </c>
      <c r="N125" s="13" t="n">
        <v>-0.1</v>
      </c>
      <c r="O125" s="8" t="n">
        <f aca="false">O124+N125</f>
        <v>133.7</v>
      </c>
      <c r="P125" s="8" t="n">
        <v>120</v>
      </c>
      <c r="Q125" s="8" t="n">
        <v>1</v>
      </c>
      <c r="R125" s="14" t="n">
        <f aca="false">Q125*L125</f>
        <v>0.2</v>
      </c>
      <c r="S125" s="14" t="n">
        <f aca="false">J125-R125</f>
        <v>-0.1</v>
      </c>
      <c r="T125" s="14" t="n">
        <f aca="false">MIN(189.6,(T124+S125))</f>
        <v>188.6</v>
      </c>
      <c r="V125" s="15" t="n">
        <v>191.4</v>
      </c>
      <c r="W125" s="8" t="n">
        <v>112.588235294118</v>
      </c>
      <c r="X125" s="8" t="n">
        <v>65058.2</v>
      </c>
      <c r="Y125" s="8" t="n">
        <f aca="false">Y124+V125</f>
        <v>5780.5</v>
      </c>
      <c r="AA125" s="19" t="n">
        <v>8.16667276812664</v>
      </c>
    </row>
    <row r="126" s="8" customFormat="true" ht="15" hidden="false" customHeight="false" outlineLevel="0" collapsed="false">
      <c r="A126" s="27"/>
      <c r="B126" s="28"/>
      <c r="C126" s="11" t="n">
        <v>42004</v>
      </c>
      <c r="D126" s="18" t="n">
        <v>2</v>
      </c>
      <c r="E126" s="18" t="n">
        <v>1.4</v>
      </c>
      <c r="F126" s="18" t="n">
        <v>4.3</v>
      </c>
      <c r="G126" s="8" t="n">
        <v>1258.7</v>
      </c>
      <c r="H126" s="8" t="n">
        <f aca="false">H125+D126</f>
        <v>146.5</v>
      </c>
      <c r="J126" s="8" t="n">
        <v>0</v>
      </c>
      <c r="K126" s="8" t="n">
        <v>225.8</v>
      </c>
      <c r="L126" s="8" t="n">
        <v>0.6</v>
      </c>
      <c r="M126" s="8" t="n">
        <v>137.6</v>
      </c>
      <c r="N126" s="13" t="n">
        <v>-0.6</v>
      </c>
      <c r="O126" s="8" t="n">
        <f aca="false">O125+N126</f>
        <v>133.1</v>
      </c>
      <c r="P126" s="8" t="n">
        <v>121</v>
      </c>
      <c r="Q126" s="8" t="n">
        <v>1</v>
      </c>
      <c r="R126" s="14" t="n">
        <f aca="false">Q126*L126</f>
        <v>0.6</v>
      </c>
      <c r="S126" s="14" t="n">
        <f aca="false">J126-R126</f>
        <v>-0.6</v>
      </c>
      <c r="T126" s="14" t="n">
        <f aca="false">MIN(189.6,(T125+S126))</f>
        <v>188</v>
      </c>
      <c r="V126" s="15" t="n">
        <v>288.1</v>
      </c>
      <c r="W126" s="8" t="n">
        <v>144.05</v>
      </c>
      <c r="X126" s="8" t="n">
        <v>65346.3</v>
      </c>
      <c r="Y126" s="8" t="n">
        <f aca="false">Y125+V126</f>
        <v>6068.6</v>
      </c>
      <c r="AA126" s="19" t="n">
        <v>8.17984676783238</v>
      </c>
    </row>
    <row r="127" s="8" customFormat="true" ht="15" hidden="false" customHeight="false" outlineLevel="0" collapsed="false">
      <c r="A127" s="27"/>
      <c r="B127" s="28"/>
      <c r="C127" s="11" t="n">
        <v>42005</v>
      </c>
      <c r="D127" s="18" t="n">
        <v>1.3</v>
      </c>
      <c r="E127" s="30" t="n">
        <v>-1.2</v>
      </c>
      <c r="F127" s="8" t="n">
        <v>6.6</v>
      </c>
      <c r="G127" s="8" t="n">
        <v>1260</v>
      </c>
      <c r="H127" s="8" t="n">
        <f aca="false">H126+D127</f>
        <v>147.8</v>
      </c>
      <c r="J127" s="8" t="n">
        <v>0.9</v>
      </c>
      <c r="K127" s="8" t="n">
        <v>226.7</v>
      </c>
      <c r="L127" s="8" t="n">
        <v>0.8</v>
      </c>
      <c r="M127" s="8" t="n">
        <v>138.4</v>
      </c>
      <c r="N127" s="8" t="n">
        <v>0.1</v>
      </c>
      <c r="O127" s="8" t="n">
        <f aca="false">O126+N127</f>
        <v>133.2</v>
      </c>
      <c r="P127" s="8" t="n">
        <v>122</v>
      </c>
      <c r="Q127" s="8" t="n">
        <v>1</v>
      </c>
      <c r="R127" s="14" t="n">
        <f aca="false">Q127*L127</f>
        <v>0.8</v>
      </c>
      <c r="S127" s="14" t="n">
        <f aca="false">J127-R127</f>
        <v>0.1</v>
      </c>
      <c r="T127" s="14" t="n">
        <f aca="false">MIN(189.6,(T126+S127))</f>
        <v>188.1</v>
      </c>
      <c r="V127" s="15" t="n">
        <v>369</v>
      </c>
      <c r="W127" s="8" t="n">
        <v>283.846153846154</v>
      </c>
      <c r="X127" s="8" t="n">
        <v>65715.3</v>
      </c>
      <c r="Y127" s="8" t="n">
        <f aca="false">Y126+V127</f>
        <v>6437.6</v>
      </c>
      <c r="AA127" s="19" t="n">
        <v>8.19937833706376</v>
      </c>
    </row>
    <row r="128" s="8" customFormat="true" ht="15" hidden="false" customHeight="false" outlineLevel="0" collapsed="false">
      <c r="A128" s="27"/>
      <c r="B128" s="10"/>
      <c r="C128" s="11" t="n">
        <v>42006</v>
      </c>
      <c r="D128" s="8" t="n">
        <v>5.6</v>
      </c>
      <c r="E128" s="18" t="n">
        <v>2</v>
      </c>
      <c r="F128" s="8" t="n">
        <v>10</v>
      </c>
      <c r="G128" s="8" t="n">
        <v>1265.6</v>
      </c>
      <c r="H128" s="8" t="n">
        <f aca="false">H127+D128</f>
        <v>153.4</v>
      </c>
      <c r="J128" s="8" t="n">
        <v>0.3</v>
      </c>
      <c r="K128" s="8" t="n">
        <v>227</v>
      </c>
      <c r="L128" s="8" t="n">
        <v>0.7</v>
      </c>
      <c r="M128" s="8" t="n">
        <v>139.1</v>
      </c>
      <c r="N128" s="13" t="n">
        <v>-0.4</v>
      </c>
      <c r="O128" s="8" t="n">
        <f aca="false">O127+N128</f>
        <v>132.8</v>
      </c>
      <c r="P128" s="8" t="n">
        <v>123</v>
      </c>
      <c r="Q128" s="8" t="n">
        <v>1</v>
      </c>
      <c r="R128" s="14" t="n">
        <f aca="false">Q128*L128</f>
        <v>0.7</v>
      </c>
      <c r="S128" s="14" t="n">
        <f aca="false">J128-R128</f>
        <v>-0.4</v>
      </c>
      <c r="T128" s="14" t="n">
        <f aca="false">MIN(189.6,(T127+S128))</f>
        <v>187.7</v>
      </c>
      <c r="V128" s="15" t="n">
        <v>280.9</v>
      </c>
      <c r="W128" s="8" t="n">
        <v>50.1607142857143</v>
      </c>
      <c r="X128" s="8" t="n">
        <v>65996.2</v>
      </c>
      <c r="Y128" s="8" t="n">
        <f aca="false">Y127+V128</f>
        <v>6718.5</v>
      </c>
      <c r="AA128" s="19" t="n">
        <v>8.21619700554713</v>
      </c>
    </row>
    <row r="129" s="8" customFormat="true" ht="15" hidden="false" customHeight="false" outlineLevel="0" collapsed="false">
      <c r="A129" s="27"/>
      <c r="B129" s="10"/>
      <c r="C129" s="11" t="n">
        <v>42007</v>
      </c>
      <c r="D129" s="8" t="n">
        <v>5.4</v>
      </c>
      <c r="E129" s="18" t="n">
        <v>0.8</v>
      </c>
      <c r="F129" s="8" t="n">
        <v>11.7</v>
      </c>
      <c r="G129" s="8" t="n">
        <v>1271</v>
      </c>
      <c r="H129" s="8" t="n">
        <f aca="false">H128+D129</f>
        <v>158.8</v>
      </c>
      <c r="J129" s="8" t="n">
        <v>10.1</v>
      </c>
      <c r="K129" s="8" t="n">
        <v>237.1</v>
      </c>
      <c r="L129" s="8" t="n">
        <v>0.5</v>
      </c>
      <c r="M129" s="8" t="n">
        <v>139.6</v>
      </c>
      <c r="N129" s="8" t="n">
        <v>9.6</v>
      </c>
      <c r="O129" s="8" t="n">
        <f aca="false">O128+N129</f>
        <v>142.4</v>
      </c>
      <c r="P129" s="8" t="n">
        <v>124</v>
      </c>
      <c r="Q129" s="8" t="n">
        <v>1</v>
      </c>
      <c r="R129" s="14" t="n">
        <f aca="false">Q129*L129</f>
        <v>0.5</v>
      </c>
      <c r="S129" s="14" t="n">
        <f aca="false">J129-R129</f>
        <v>9.6</v>
      </c>
      <c r="T129" s="14" t="n">
        <f aca="false">MIN(189.6,(T128+S129))</f>
        <v>189.6</v>
      </c>
      <c r="V129" s="31" t="n">
        <v>62.8</v>
      </c>
      <c r="W129" s="8" t="n">
        <v>11.6296296296296</v>
      </c>
      <c r="X129" s="8" t="n">
        <v>66059</v>
      </c>
      <c r="Y129" s="8" t="n">
        <f aca="false">Y128+V129</f>
        <v>6781.3</v>
      </c>
      <c r="AA129" s="19" t="n">
        <v>8.23456872557595</v>
      </c>
    </row>
    <row r="130" s="8" customFormat="true" ht="15" hidden="false" customHeight="false" outlineLevel="0" collapsed="false">
      <c r="A130" s="27"/>
      <c r="B130" s="28"/>
      <c r="C130" s="11" t="n">
        <v>42008</v>
      </c>
      <c r="D130" s="18" t="n">
        <v>2.7</v>
      </c>
      <c r="E130" s="18" t="n">
        <v>1.3</v>
      </c>
      <c r="F130" s="8" t="n">
        <v>5.9</v>
      </c>
      <c r="G130" s="8" t="n">
        <v>1273.7</v>
      </c>
      <c r="H130" s="8" t="n">
        <f aca="false">H129+D130</f>
        <v>161.5</v>
      </c>
      <c r="J130" s="8" t="n">
        <v>0</v>
      </c>
      <c r="K130" s="8" t="n">
        <v>237.1</v>
      </c>
      <c r="L130" s="8" t="n">
        <v>0.5</v>
      </c>
      <c r="M130" s="8" t="n">
        <v>140.1</v>
      </c>
      <c r="N130" s="13" t="n">
        <v>-0.5</v>
      </c>
      <c r="O130" s="8" t="n">
        <f aca="false">O129+N130</f>
        <v>141.9</v>
      </c>
      <c r="P130" s="8" t="n">
        <v>125</v>
      </c>
      <c r="Q130" s="8" t="n">
        <v>1</v>
      </c>
      <c r="R130" s="14" t="n">
        <f aca="false">Q130*L130</f>
        <v>0.5</v>
      </c>
      <c r="S130" s="14" t="n">
        <f aca="false">J130-R130</f>
        <v>-0.5</v>
      </c>
      <c r="T130" s="14" t="n">
        <f aca="false">MIN(189.6,(T129+S130))</f>
        <v>189.1</v>
      </c>
      <c r="V130" s="15" t="n">
        <v>386</v>
      </c>
      <c r="W130" s="8" t="n">
        <v>142.962962962963</v>
      </c>
      <c r="X130" s="8" t="n">
        <v>66445</v>
      </c>
      <c r="Y130" s="8" t="n">
        <f aca="false">Y129+V130</f>
        <v>7167.3</v>
      </c>
      <c r="AA130" s="19" t="n">
        <v>8.25447265766023</v>
      </c>
    </row>
    <row r="131" s="8" customFormat="true" ht="15" hidden="false" customHeight="false" outlineLevel="0" collapsed="false">
      <c r="A131" s="27"/>
      <c r="B131" s="28"/>
      <c r="C131" s="11" t="n">
        <v>42009</v>
      </c>
      <c r="D131" s="30" t="n">
        <v>-0.7</v>
      </c>
      <c r="E131" s="30" t="n">
        <v>-0.7</v>
      </c>
      <c r="F131" s="30" t="n">
        <v>-0.4</v>
      </c>
      <c r="G131" s="8" t="n">
        <v>1273.7</v>
      </c>
      <c r="H131" s="8" t="n">
        <v>161.5</v>
      </c>
      <c r="J131" s="8" t="n">
        <v>0.1</v>
      </c>
      <c r="K131" s="8" t="n">
        <v>237.2</v>
      </c>
      <c r="L131" s="8" t="n">
        <v>0.3</v>
      </c>
      <c r="M131" s="8" t="n">
        <v>140.4</v>
      </c>
      <c r="N131" s="13" t="n">
        <v>-0.2</v>
      </c>
      <c r="O131" s="8" t="n">
        <f aca="false">O130+N131</f>
        <v>141.7</v>
      </c>
      <c r="P131" s="8" t="n">
        <v>126</v>
      </c>
      <c r="Q131" s="8" t="n">
        <v>1</v>
      </c>
      <c r="R131" s="14" t="n">
        <f aca="false">Q131*L131</f>
        <v>0.3</v>
      </c>
      <c r="S131" s="14" t="n">
        <f aca="false">J131-R131</f>
        <v>-0.2</v>
      </c>
      <c r="T131" s="14" t="n">
        <f aca="false">MIN(189.6,(T130+S131))</f>
        <v>188.9</v>
      </c>
      <c r="V131" s="15" t="n">
        <v>235.3</v>
      </c>
      <c r="W131" s="8" t="n">
        <v>-336.142857142857</v>
      </c>
      <c r="X131" s="8" t="n">
        <v>66680.3</v>
      </c>
      <c r="Y131" s="8" t="n">
        <f aca="false">Y130+V131</f>
        <v>7402.6</v>
      </c>
      <c r="AA131" s="19" t="n">
        <v>8.27588645810926</v>
      </c>
    </row>
    <row r="132" s="8" customFormat="true" ht="15" hidden="false" customHeight="false" outlineLevel="0" collapsed="false">
      <c r="A132" s="27"/>
      <c r="B132" s="28"/>
      <c r="C132" s="11" t="n">
        <v>42010</v>
      </c>
      <c r="D132" s="18" t="n">
        <v>0.6</v>
      </c>
      <c r="E132" s="30" t="n">
        <v>-1.7</v>
      </c>
      <c r="F132" s="18" t="n">
        <v>2.6</v>
      </c>
      <c r="G132" s="8" t="n">
        <v>1274.3</v>
      </c>
      <c r="H132" s="8" t="n">
        <f aca="false">H131+D132</f>
        <v>162.1</v>
      </c>
      <c r="J132" s="8" t="n">
        <v>0.1</v>
      </c>
      <c r="K132" s="8" t="n">
        <v>237.3</v>
      </c>
      <c r="L132" s="8" t="n">
        <v>0.2</v>
      </c>
      <c r="M132" s="8" t="n">
        <v>140.6</v>
      </c>
      <c r="N132" s="13" t="n">
        <v>-0.1</v>
      </c>
      <c r="O132" s="8" t="n">
        <f aca="false">O131+N132</f>
        <v>141.6</v>
      </c>
      <c r="P132" s="8" t="n">
        <v>127</v>
      </c>
      <c r="Q132" s="8" t="n">
        <v>1</v>
      </c>
      <c r="R132" s="14" t="n">
        <f aca="false">Q132*L132</f>
        <v>0.2</v>
      </c>
      <c r="S132" s="14" t="n">
        <f aca="false">J132-R132</f>
        <v>-0.1</v>
      </c>
      <c r="T132" s="14" t="n">
        <f aca="false">MIN(189.6,(T131+S132))</f>
        <v>188.8</v>
      </c>
      <c r="V132" s="15" t="n">
        <v>208.1</v>
      </c>
      <c r="W132" s="8" t="n">
        <v>346.833333333333</v>
      </c>
      <c r="X132" s="8" t="n">
        <v>66888.4</v>
      </c>
      <c r="Y132" s="8" t="n">
        <f aca="false">Y131+V132</f>
        <v>7610.7</v>
      </c>
      <c r="AA132" s="19" t="n">
        <v>8.29878636969683</v>
      </c>
    </row>
    <row r="133" s="8" customFormat="true" ht="15" hidden="false" customHeight="false" outlineLevel="0" collapsed="false">
      <c r="A133" s="27"/>
      <c r="B133" s="28"/>
      <c r="C133" s="11" t="n">
        <v>42011</v>
      </c>
      <c r="D133" s="18" t="n">
        <v>1.7</v>
      </c>
      <c r="E133" s="30" t="n">
        <v>-0.1</v>
      </c>
      <c r="F133" s="8" t="n">
        <v>7.1</v>
      </c>
      <c r="G133" s="8" t="n">
        <v>1276</v>
      </c>
      <c r="H133" s="8" t="n">
        <f aca="false">H132+D133</f>
        <v>163.8</v>
      </c>
      <c r="J133" s="8" t="n">
        <v>2.5</v>
      </c>
      <c r="K133" s="8" t="n">
        <v>239.8</v>
      </c>
      <c r="L133" s="8" t="n">
        <v>0.7</v>
      </c>
      <c r="M133" s="8" t="n">
        <v>141.3</v>
      </c>
      <c r="N133" s="8" t="n">
        <v>1.8</v>
      </c>
      <c r="O133" s="8" t="n">
        <f aca="false">O132+N133</f>
        <v>143.4</v>
      </c>
      <c r="P133" s="8" t="n">
        <v>128</v>
      </c>
      <c r="Q133" s="8" t="n">
        <v>1</v>
      </c>
      <c r="R133" s="14" t="n">
        <f aca="false">Q133*L133</f>
        <v>0.7</v>
      </c>
      <c r="S133" s="14" t="n">
        <f aca="false">J133-R133</f>
        <v>1.8</v>
      </c>
      <c r="T133" s="14" t="n">
        <f aca="false">MIN(189.6,(T132+S133))</f>
        <v>189.6</v>
      </c>
      <c r="V133" s="15" t="n">
        <v>165.7</v>
      </c>
      <c r="W133" s="8" t="n">
        <v>97.4705882352941</v>
      </c>
      <c r="X133" s="8" t="n">
        <v>67054.1</v>
      </c>
      <c r="Y133" s="8" t="n">
        <f aca="false">Y132+V133</f>
        <v>7776.4</v>
      </c>
      <c r="AA133" s="19" t="n">
        <v>8.32314731603099</v>
      </c>
    </row>
    <row r="134" s="8" customFormat="true" ht="15" hidden="false" customHeight="false" outlineLevel="0" collapsed="false">
      <c r="A134" s="27"/>
      <c r="B134" s="10"/>
      <c r="C134" s="11" t="n">
        <v>42012</v>
      </c>
      <c r="D134" s="8" t="n">
        <v>7.1</v>
      </c>
      <c r="E134" s="18" t="n">
        <v>3.2</v>
      </c>
      <c r="F134" s="8" t="n">
        <v>9.1</v>
      </c>
      <c r="G134" s="8" t="n">
        <v>1283.1</v>
      </c>
      <c r="H134" s="8" t="n">
        <f aca="false">H133+D134</f>
        <v>170.9</v>
      </c>
      <c r="J134" s="8" t="n">
        <v>7.3</v>
      </c>
      <c r="K134" s="8" t="n">
        <v>247.1</v>
      </c>
      <c r="L134" s="8" t="n">
        <v>0.1</v>
      </c>
      <c r="M134" s="8" t="n">
        <v>141.4</v>
      </c>
      <c r="N134" s="8" t="n">
        <v>7.2</v>
      </c>
      <c r="O134" s="8" t="n">
        <f aca="false">O133+N134</f>
        <v>150.6</v>
      </c>
      <c r="P134" s="8" t="n">
        <v>129</v>
      </c>
      <c r="Q134" s="8" t="n">
        <v>1</v>
      </c>
      <c r="R134" s="14" t="n">
        <f aca="false">Q134*L134</f>
        <v>0.1</v>
      </c>
      <c r="S134" s="14" t="n">
        <f aca="false">J134-R134</f>
        <v>7.2</v>
      </c>
      <c r="T134" s="14" t="n">
        <f aca="false">MIN(189.6,(T133+S134))</f>
        <v>189.6</v>
      </c>
      <c r="V134" s="15" t="n">
        <v>94.9</v>
      </c>
      <c r="W134" s="8" t="n">
        <v>13.3661971830986</v>
      </c>
      <c r="X134" s="8" t="n">
        <v>67149</v>
      </c>
      <c r="Y134" s="8" t="n">
        <f aca="false">Y133+V134</f>
        <v>7871.3</v>
      </c>
      <c r="AA134" s="19" t="n">
        <v>8.3489429988931</v>
      </c>
    </row>
    <row r="135" s="8" customFormat="true" ht="15" hidden="false" customHeight="false" outlineLevel="0" collapsed="false">
      <c r="A135" s="27"/>
      <c r="B135" s="10"/>
      <c r="C135" s="11" t="n">
        <v>42013</v>
      </c>
      <c r="D135" s="8" t="n">
        <v>10.5</v>
      </c>
      <c r="E135" s="8" t="n">
        <v>6.4</v>
      </c>
      <c r="F135" s="8" t="n">
        <v>14.5</v>
      </c>
      <c r="G135" s="8" t="n">
        <v>1293.6</v>
      </c>
      <c r="H135" s="8" t="n">
        <f aca="false">H134+D135</f>
        <v>181.4</v>
      </c>
      <c r="J135" s="8" t="n">
        <v>0.8</v>
      </c>
      <c r="K135" s="8" t="n">
        <v>247.9</v>
      </c>
      <c r="L135" s="8" t="n">
        <v>0.8</v>
      </c>
      <c r="M135" s="8" t="n">
        <v>142.2</v>
      </c>
      <c r="N135" s="8" t="n">
        <v>0</v>
      </c>
      <c r="O135" s="8" t="n">
        <f aca="false">O134+N135</f>
        <v>150.6</v>
      </c>
      <c r="P135" s="8" t="n">
        <v>130</v>
      </c>
      <c r="Q135" s="8" t="n">
        <v>1</v>
      </c>
      <c r="R135" s="14" t="n">
        <f aca="false">Q135*L135</f>
        <v>0.8</v>
      </c>
      <c r="S135" s="14" t="n">
        <f aca="false">J135-R135</f>
        <v>0</v>
      </c>
      <c r="T135" s="14" t="n">
        <f aca="false">MIN(189.6,(T134+S135))</f>
        <v>189.6</v>
      </c>
      <c r="V135" s="15" t="n">
        <v>106.2</v>
      </c>
      <c r="W135" s="8" t="n">
        <v>10.1142857142857</v>
      </c>
      <c r="X135" s="8" t="n">
        <v>67255.2</v>
      </c>
      <c r="Y135" s="8" t="n">
        <f aca="false">Y134+V135</f>
        <v>7977.5</v>
      </c>
      <c r="AA135" s="19" t="n">
        <v>8.37614599781441</v>
      </c>
    </row>
    <row r="136" s="8" customFormat="true" ht="15" hidden="false" customHeight="false" outlineLevel="0" collapsed="false">
      <c r="A136" s="27"/>
      <c r="B136" s="10"/>
      <c r="C136" s="11" t="n">
        <v>42014</v>
      </c>
      <c r="D136" s="8" t="n">
        <v>10.5</v>
      </c>
      <c r="E136" s="8" t="n">
        <v>8.4</v>
      </c>
      <c r="F136" s="8" t="n">
        <v>12.7</v>
      </c>
      <c r="G136" s="8" t="n">
        <v>1304.1</v>
      </c>
      <c r="H136" s="8" t="n">
        <f aca="false">H135+D136</f>
        <v>191.9</v>
      </c>
      <c r="J136" s="8" t="n">
        <v>2.2</v>
      </c>
      <c r="K136" s="8" t="n">
        <v>250.1</v>
      </c>
      <c r="L136" s="8" t="n">
        <v>1.1</v>
      </c>
      <c r="M136" s="8" t="n">
        <v>143.3</v>
      </c>
      <c r="N136" s="8" t="n">
        <v>1.1</v>
      </c>
      <c r="O136" s="8" t="n">
        <f aca="false">O135+N136</f>
        <v>151.7</v>
      </c>
      <c r="P136" s="8" t="n">
        <v>131</v>
      </c>
      <c r="Q136" s="8" t="n">
        <v>1</v>
      </c>
      <c r="R136" s="14" t="n">
        <f aca="false">Q136*L136</f>
        <v>1.1</v>
      </c>
      <c r="S136" s="14" t="n">
        <f aca="false">J136-R136</f>
        <v>1.1</v>
      </c>
      <c r="T136" s="14" t="n">
        <f aca="false">MIN(189.6,(T135+S136))</f>
        <v>189.6</v>
      </c>
      <c r="V136" s="15" t="n">
        <v>249.2</v>
      </c>
      <c r="W136" s="8" t="n">
        <v>23.7333333333333</v>
      </c>
      <c r="X136" s="8" t="n">
        <v>67504.4</v>
      </c>
      <c r="Y136" s="8" t="n">
        <f aca="false">Y135+V136</f>
        <v>8226.7</v>
      </c>
      <c r="AA136" s="19" t="n">
        <v>8.40472787117078</v>
      </c>
    </row>
    <row r="137" s="8" customFormat="true" ht="15" hidden="false" customHeight="false" outlineLevel="0" collapsed="false">
      <c r="A137" s="27"/>
      <c r="B137" s="10"/>
      <c r="C137" s="11" t="n">
        <v>42015</v>
      </c>
      <c r="D137" s="8" t="n">
        <v>5.7</v>
      </c>
      <c r="E137" s="18" t="n">
        <v>3.7</v>
      </c>
      <c r="F137" s="8" t="n">
        <v>7.5</v>
      </c>
      <c r="G137" s="8" t="n">
        <v>1309.8</v>
      </c>
      <c r="H137" s="8" t="n">
        <f aca="false">H136+D137</f>
        <v>197.6</v>
      </c>
      <c r="J137" s="8" t="n">
        <v>0</v>
      </c>
      <c r="K137" s="8" t="n">
        <v>250.1</v>
      </c>
      <c r="L137" s="8" t="n">
        <v>1.3</v>
      </c>
      <c r="M137" s="8" t="n">
        <v>144.6</v>
      </c>
      <c r="N137" s="13" t="n">
        <v>-1.3</v>
      </c>
      <c r="O137" s="8" t="n">
        <f aca="false">O136+N137</f>
        <v>150.4</v>
      </c>
      <c r="P137" s="8" t="n">
        <v>132</v>
      </c>
      <c r="Q137" s="8" t="n">
        <v>1</v>
      </c>
      <c r="R137" s="14" t="n">
        <f aca="false">Q137*L137</f>
        <v>1.3</v>
      </c>
      <c r="S137" s="14" t="n">
        <f aca="false">J137-R137</f>
        <v>-1.3</v>
      </c>
      <c r="T137" s="14" t="n">
        <f aca="false">MIN(189.6,(T136+S137))</f>
        <v>188.3</v>
      </c>
      <c r="V137" s="15" t="n">
        <v>507</v>
      </c>
      <c r="W137" s="8" t="n">
        <v>88.9473684210526</v>
      </c>
      <c r="X137" s="8" t="n">
        <v>68011.4</v>
      </c>
      <c r="Y137" s="8" t="n">
        <f aca="false">Y136+V137</f>
        <v>8733.7</v>
      </c>
      <c r="AA137" s="19" t="n">
        <v>8.43465925809618</v>
      </c>
    </row>
    <row r="138" s="8" customFormat="true" ht="15" hidden="false" customHeight="false" outlineLevel="0" collapsed="false">
      <c r="A138" s="27"/>
      <c r="B138" s="10"/>
      <c r="C138" s="11" t="n">
        <v>42016</v>
      </c>
      <c r="D138" s="8" t="n">
        <v>7.9</v>
      </c>
      <c r="E138" s="8" t="n">
        <v>6.2</v>
      </c>
      <c r="F138" s="8" t="n">
        <v>9.3</v>
      </c>
      <c r="G138" s="8" t="n">
        <v>1317.7</v>
      </c>
      <c r="H138" s="8" t="n">
        <f aca="false">H137+D138</f>
        <v>205.5</v>
      </c>
      <c r="J138" s="8" t="n">
        <v>0</v>
      </c>
      <c r="K138" s="8" t="n">
        <v>250.1</v>
      </c>
      <c r="L138" s="8" t="n">
        <v>1.2</v>
      </c>
      <c r="M138" s="8" t="n">
        <v>145.8</v>
      </c>
      <c r="N138" s="13" t="n">
        <v>-1.2</v>
      </c>
      <c r="O138" s="8" t="n">
        <f aca="false">O137+N138</f>
        <v>149.2</v>
      </c>
      <c r="P138" s="8" t="n">
        <v>133</v>
      </c>
      <c r="Q138" s="8" t="n">
        <v>1</v>
      </c>
      <c r="R138" s="14" t="n">
        <f aca="false">Q138*L138</f>
        <v>1.2</v>
      </c>
      <c r="S138" s="14" t="n">
        <f aca="false">J138-R138</f>
        <v>-1.2</v>
      </c>
      <c r="T138" s="14" t="n">
        <f aca="false">MIN(189.6,(T137+S138))</f>
        <v>187.1</v>
      </c>
      <c r="V138" s="15" t="n">
        <v>109.3</v>
      </c>
      <c r="W138" s="8" t="n">
        <v>13.8354430379747</v>
      </c>
      <c r="X138" s="8" t="n">
        <v>68120.7</v>
      </c>
      <c r="Y138" s="8" t="n">
        <f aca="false">Y137+V138</f>
        <v>8843</v>
      </c>
      <c r="AA138" s="19" t="n">
        <v>8.46590998054281</v>
      </c>
    </row>
    <row r="139" s="8" customFormat="true" ht="15" hidden="false" customHeight="false" outlineLevel="0" collapsed="false">
      <c r="A139" s="27"/>
      <c r="B139" s="10"/>
      <c r="C139" s="11" t="n">
        <v>42017</v>
      </c>
      <c r="D139" s="8" t="n">
        <v>8.1</v>
      </c>
      <c r="E139" s="8" t="n">
        <v>7</v>
      </c>
      <c r="F139" s="8" t="n">
        <v>9.5</v>
      </c>
      <c r="G139" s="8" t="n">
        <v>1325.8</v>
      </c>
      <c r="H139" s="8" t="n">
        <f aca="false">H138+D139</f>
        <v>213.6</v>
      </c>
      <c r="J139" s="8" t="n">
        <v>2.3</v>
      </c>
      <c r="K139" s="8" t="n">
        <v>252.4</v>
      </c>
      <c r="L139" s="8" t="n">
        <v>0.8</v>
      </c>
      <c r="M139" s="8" t="n">
        <v>146.6</v>
      </c>
      <c r="N139" s="8" t="n">
        <v>1.5</v>
      </c>
      <c r="O139" s="8" t="n">
        <f aca="false">O138+N139</f>
        <v>150.7</v>
      </c>
      <c r="P139" s="8" t="n">
        <v>134</v>
      </c>
      <c r="Q139" s="8" t="n">
        <v>1</v>
      </c>
      <c r="R139" s="14" t="n">
        <f aca="false">Q139*L139</f>
        <v>0.8</v>
      </c>
      <c r="S139" s="14" t="n">
        <f aca="false">J139-R139</f>
        <v>1.5</v>
      </c>
      <c r="T139" s="14" t="n">
        <f aca="false">MIN(189.6,(T138+S139))</f>
        <v>188.6</v>
      </c>
      <c r="V139" s="15" t="n">
        <v>136.5</v>
      </c>
      <c r="W139" s="8" t="n">
        <v>16.8518518518519</v>
      </c>
      <c r="X139" s="8" t="n">
        <v>68257.2</v>
      </c>
      <c r="Y139" s="8" t="n">
        <f aca="false">Y138+V139</f>
        <v>8979.5</v>
      </c>
      <c r="AA139" s="19" t="n">
        <v>8.49844914484888</v>
      </c>
    </row>
    <row r="140" s="8" customFormat="true" ht="15" hidden="false" customHeight="false" outlineLevel="0" collapsed="false">
      <c r="A140" s="27"/>
      <c r="B140" s="28"/>
      <c r="C140" s="11" t="n">
        <v>42018</v>
      </c>
      <c r="D140" s="18" t="n">
        <v>4.6</v>
      </c>
      <c r="E140" s="18" t="n">
        <v>3.5</v>
      </c>
      <c r="F140" s="8" t="n">
        <v>9.2</v>
      </c>
      <c r="G140" s="8" t="n">
        <v>1330.4</v>
      </c>
      <c r="H140" s="8" t="n">
        <f aca="false">H139+D140</f>
        <v>218.2</v>
      </c>
      <c r="J140" s="8" t="n">
        <v>7.4</v>
      </c>
      <c r="K140" s="8" t="n">
        <v>259.8</v>
      </c>
      <c r="L140" s="8" t="n">
        <v>1.2</v>
      </c>
      <c r="M140" s="8" t="n">
        <v>147.8</v>
      </c>
      <c r="N140" s="8" t="n">
        <v>6.2</v>
      </c>
      <c r="O140" s="8" t="n">
        <f aca="false">O139+N140</f>
        <v>156.9</v>
      </c>
      <c r="P140" s="8" t="n">
        <v>135</v>
      </c>
      <c r="Q140" s="8" t="n">
        <v>1</v>
      </c>
      <c r="R140" s="14" t="n">
        <f aca="false">Q140*L140</f>
        <v>1.2</v>
      </c>
      <c r="S140" s="14" t="n">
        <f aca="false">J140-R140</f>
        <v>6.2</v>
      </c>
      <c r="T140" s="14" t="n">
        <f aca="false">MIN(189.6,(T139+S140))</f>
        <v>189.6</v>
      </c>
      <c r="V140" s="15" t="n">
        <v>280.3</v>
      </c>
      <c r="W140" s="8" t="n">
        <v>60.9347826086957</v>
      </c>
      <c r="X140" s="8" t="n">
        <v>68537.5</v>
      </c>
      <c r="Y140" s="8" t="n">
        <f aca="false">Y139+V140</f>
        <v>9259.8</v>
      </c>
      <c r="AA140" s="19" t="n">
        <v>8.53224524221389</v>
      </c>
    </row>
    <row r="141" s="8" customFormat="true" ht="15" hidden="false" customHeight="false" outlineLevel="0" collapsed="false">
      <c r="A141" s="27"/>
      <c r="B141" s="10"/>
      <c r="C141" s="11" t="n">
        <v>42019</v>
      </c>
      <c r="D141" s="8" t="n">
        <v>8.1</v>
      </c>
      <c r="E141" s="18" t="n">
        <v>4.6</v>
      </c>
      <c r="F141" s="8" t="n">
        <v>9.8</v>
      </c>
      <c r="G141" s="8" t="n">
        <v>1338.5</v>
      </c>
      <c r="H141" s="8" t="n">
        <f aca="false">H140+D141</f>
        <v>226.3</v>
      </c>
      <c r="J141" s="8" t="n">
        <v>2</v>
      </c>
      <c r="K141" s="8" t="n">
        <v>261.8</v>
      </c>
      <c r="L141" s="8" t="n">
        <v>0.7</v>
      </c>
      <c r="M141" s="8" t="n">
        <v>148.5</v>
      </c>
      <c r="N141" s="8" t="n">
        <v>1.3</v>
      </c>
      <c r="O141" s="8" t="n">
        <f aca="false">O140+N141</f>
        <v>158.2</v>
      </c>
      <c r="P141" s="8" t="n">
        <v>136</v>
      </c>
      <c r="Q141" s="8" t="n">
        <v>1</v>
      </c>
      <c r="R141" s="14" t="n">
        <f aca="false">Q141*L141</f>
        <v>0.7</v>
      </c>
      <c r="S141" s="14" t="n">
        <f aca="false">J141-R141</f>
        <v>1.3</v>
      </c>
      <c r="T141" s="14" t="n">
        <f aca="false">MIN(189.6,(T140+S141))</f>
        <v>189.6</v>
      </c>
      <c r="V141" s="15" t="n">
        <v>120.2</v>
      </c>
      <c r="W141" s="8" t="n">
        <v>14.8395061728395</v>
      </c>
      <c r="X141" s="8" t="n">
        <v>68657.7</v>
      </c>
      <c r="Y141" s="8" t="n">
        <f aca="false">Y140+V141</f>
        <v>9380</v>
      </c>
      <c r="AA141" s="19" t="n">
        <v>8.56726624752367</v>
      </c>
    </row>
    <row r="142" s="8" customFormat="true" ht="15" hidden="false" customHeight="false" outlineLevel="0" collapsed="false">
      <c r="A142" s="27"/>
      <c r="B142" s="28"/>
      <c r="C142" s="11" t="n">
        <v>42020</v>
      </c>
      <c r="D142" s="18" t="n">
        <v>4.6</v>
      </c>
      <c r="E142" s="18" t="n">
        <v>3.8</v>
      </c>
      <c r="F142" s="8" t="n">
        <v>6.8</v>
      </c>
      <c r="G142" s="8" t="n">
        <v>1343.1</v>
      </c>
      <c r="H142" s="8" t="n">
        <f aca="false">H141+D142</f>
        <v>230.9</v>
      </c>
      <c r="J142" s="8" t="n">
        <v>2.4</v>
      </c>
      <c r="K142" s="8" t="n">
        <v>264.2</v>
      </c>
      <c r="L142" s="8" t="n">
        <v>0.6</v>
      </c>
      <c r="M142" s="8" t="n">
        <v>149.1</v>
      </c>
      <c r="N142" s="8" t="n">
        <v>1.8</v>
      </c>
      <c r="O142" s="8" t="n">
        <f aca="false">O141+N142</f>
        <v>160</v>
      </c>
      <c r="P142" s="8" t="n">
        <v>137</v>
      </c>
      <c r="Q142" s="8" t="n">
        <v>1</v>
      </c>
      <c r="R142" s="14" t="n">
        <f aca="false">Q142*L142</f>
        <v>0.6</v>
      </c>
      <c r="S142" s="14" t="n">
        <f aca="false">J142-R142</f>
        <v>1.8</v>
      </c>
      <c r="T142" s="14" t="n">
        <f aca="false">MIN(189.6,(T141+S142))</f>
        <v>189.6</v>
      </c>
      <c r="V142" s="15" t="n">
        <v>259.7</v>
      </c>
      <c r="W142" s="8" t="n">
        <v>56.4565217391304</v>
      </c>
      <c r="X142" s="8" t="n">
        <v>68917.4</v>
      </c>
      <c r="Y142" s="8" t="n">
        <f aca="false">Y141+V142</f>
        <v>9639.7</v>
      </c>
      <c r="AA142" s="19" t="n">
        <v>8.60347971601435</v>
      </c>
    </row>
    <row r="143" s="8" customFormat="true" ht="15" hidden="false" customHeight="false" outlineLevel="0" collapsed="false">
      <c r="A143" s="27"/>
      <c r="B143" s="28"/>
      <c r="C143" s="11" t="n">
        <v>42021</v>
      </c>
      <c r="D143" s="18" t="n">
        <v>2.1</v>
      </c>
      <c r="E143" s="18" t="n">
        <v>0</v>
      </c>
      <c r="F143" s="8" t="n">
        <v>5.1</v>
      </c>
      <c r="G143" s="8" t="n">
        <v>1345.2</v>
      </c>
      <c r="H143" s="8" t="n">
        <f aca="false">H142+D143</f>
        <v>233</v>
      </c>
      <c r="J143" s="8" t="n">
        <v>0</v>
      </c>
      <c r="K143" s="8" t="n">
        <v>264.2</v>
      </c>
      <c r="L143" s="8" t="n">
        <v>0.7</v>
      </c>
      <c r="M143" s="8" t="n">
        <v>149.8</v>
      </c>
      <c r="N143" s="13" t="n">
        <v>-0.7</v>
      </c>
      <c r="O143" s="8" t="n">
        <f aca="false">O142+N143</f>
        <v>159.3</v>
      </c>
      <c r="P143" s="8" t="n">
        <v>138</v>
      </c>
      <c r="Q143" s="8" t="n">
        <v>1</v>
      </c>
      <c r="R143" s="14" t="n">
        <f aca="false">Q143*L143</f>
        <v>0.7</v>
      </c>
      <c r="S143" s="14" t="n">
        <f aca="false">J143-R143</f>
        <v>-0.7</v>
      </c>
      <c r="T143" s="14" t="n">
        <f aca="false">MIN(189.6,(T142+S143))</f>
        <v>188.9</v>
      </c>
      <c r="V143" s="15" t="n">
        <v>603.7</v>
      </c>
      <c r="W143" s="8" t="n">
        <v>287.476190476191</v>
      </c>
      <c r="X143" s="8" t="n">
        <v>69521.1</v>
      </c>
      <c r="Y143" s="8" t="n">
        <f aca="false">Y142+V143</f>
        <v>10243.4</v>
      </c>
      <c r="AA143" s="19" t="n">
        <v>8.64085287731244</v>
      </c>
    </row>
    <row r="144" s="8" customFormat="true" ht="15" hidden="false" customHeight="false" outlineLevel="0" collapsed="false">
      <c r="A144" s="27"/>
      <c r="B144" s="28"/>
      <c r="C144" s="11" t="n">
        <v>42022</v>
      </c>
      <c r="D144" s="18" t="n">
        <v>2.7</v>
      </c>
      <c r="E144" s="18" t="n">
        <v>1.6</v>
      </c>
      <c r="F144" s="18" t="n">
        <v>3.8</v>
      </c>
      <c r="G144" s="8" t="n">
        <v>1347.9</v>
      </c>
      <c r="H144" s="8" t="n">
        <f aca="false">H143+D144</f>
        <v>235.7</v>
      </c>
      <c r="J144" s="8" t="n">
        <v>3.2</v>
      </c>
      <c r="K144" s="8" t="n">
        <v>267.4</v>
      </c>
      <c r="L144" s="8" t="n">
        <v>0.3</v>
      </c>
      <c r="M144" s="8" t="n">
        <v>150.1</v>
      </c>
      <c r="N144" s="8" t="n">
        <v>2.9</v>
      </c>
      <c r="O144" s="8" t="n">
        <f aca="false">O143+N144</f>
        <v>162.2</v>
      </c>
      <c r="P144" s="8" t="n">
        <v>139</v>
      </c>
      <c r="Q144" s="8" t="n">
        <v>1</v>
      </c>
      <c r="R144" s="14" t="n">
        <f aca="false">Q144*L144</f>
        <v>0.3</v>
      </c>
      <c r="S144" s="14" t="n">
        <f aca="false">J144-R144</f>
        <v>2.9</v>
      </c>
      <c r="T144" s="14" t="n">
        <f aca="false">MIN(189.6,(T143+S144))</f>
        <v>189.6</v>
      </c>
      <c r="V144" s="15" t="n">
        <v>105.9</v>
      </c>
      <c r="W144" s="8" t="n">
        <v>39.2222222222222</v>
      </c>
      <c r="X144" s="8" t="n">
        <v>69627</v>
      </c>
      <c r="Y144" s="8" t="n">
        <f aca="false">Y143+V144</f>
        <v>10349.3</v>
      </c>
      <c r="AA144" s="19" t="n">
        <v>8.67935272643905</v>
      </c>
    </row>
    <row r="145" s="8" customFormat="true" ht="15" hidden="false" customHeight="false" outlineLevel="0" collapsed="false">
      <c r="A145" s="27"/>
      <c r="B145" s="28"/>
      <c r="C145" s="11" t="n">
        <v>42023</v>
      </c>
      <c r="D145" s="18" t="n">
        <v>1.6</v>
      </c>
      <c r="E145" s="18" t="n">
        <v>0.7</v>
      </c>
      <c r="F145" s="18" t="n">
        <v>2.4</v>
      </c>
      <c r="G145" s="8" t="n">
        <v>1349.5</v>
      </c>
      <c r="H145" s="8" t="n">
        <f aca="false">H144+D145</f>
        <v>237.3</v>
      </c>
      <c r="J145" s="8" t="n">
        <v>0.2</v>
      </c>
      <c r="K145" s="8" t="n">
        <v>267.6</v>
      </c>
      <c r="L145" s="8" t="n">
        <v>0.3</v>
      </c>
      <c r="M145" s="8" t="n">
        <v>150.4</v>
      </c>
      <c r="N145" s="13" t="n">
        <v>-0.1</v>
      </c>
      <c r="O145" s="8" t="n">
        <f aca="false">O144+N145</f>
        <v>162.1</v>
      </c>
      <c r="P145" s="8" t="n">
        <v>140</v>
      </c>
      <c r="Q145" s="8" t="n">
        <v>1</v>
      </c>
      <c r="R145" s="14" t="n">
        <f aca="false">Q145*L145</f>
        <v>0.3</v>
      </c>
      <c r="S145" s="14" t="n">
        <f aca="false">J145-R145</f>
        <v>-0.1</v>
      </c>
      <c r="T145" s="14" t="n">
        <f aca="false">MIN(189.6,(T144+S145))</f>
        <v>189.5</v>
      </c>
      <c r="V145" s="15" t="n">
        <v>170.4</v>
      </c>
      <c r="W145" s="8" t="n">
        <v>106.5</v>
      </c>
      <c r="X145" s="8" t="n">
        <v>69797.4</v>
      </c>
      <c r="Y145" s="8" t="n">
        <f aca="false">Y144+V145</f>
        <v>10519.7</v>
      </c>
      <c r="AA145" s="19" t="n">
        <v>8.71894611141681</v>
      </c>
    </row>
    <row r="146" s="8" customFormat="true" ht="15" hidden="false" customHeight="false" outlineLevel="0" collapsed="false">
      <c r="A146" s="27"/>
      <c r="B146" s="28"/>
      <c r="C146" s="11" t="n">
        <v>42024</v>
      </c>
      <c r="D146" s="30" t="n">
        <v>-0.7</v>
      </c>
      <c r="E146" s="30" t="n">
        <v>-1.4</v>
      </c>
      <c r="F146" s="30" t="n">
        <v>-0.4</v>
      </c>
      <c r="G146" s="8" t="n">
        <v>1349.5</v>
      </c>
      <c r="H146" s="8" t="n">
        <v>237.3</v>
      </c>
      <c r="J146" s="8" t="n">
        <v>0</v>
      </c>
      <c r="K146" s="8" t="n">
        <v>267.6</v>
      </c>
      <c r="L146" s="8" t="n">
        <v>0.2</v>
      </c>
      <c r="M146" s="8" t="n">
        <v>150.6</v>
      </c>
      <c r="N146" s="13" t="n">
        <v>-0.2</v>
      </c>
      <c r="O146" s="8" t="n">
        <f aca="false">O145+N146</f>
        <v>161.9</v>
      </c>
      <c r="P146" s="8" t="n">
        <v>141</v>
      </c>
      <c r="Q146" s="8" t="n">
        <v>1</v>
      </c>
      <c r="R146" s="14" t="n">
        <f aca="false">Q146*L146</f>
        <v>0.2</v>
      </c>
      <c r="S146" s="14" t="n">
        <f aca="false">J146-R146</f>
        <v>-0.2</v>
      </c>
      <c r="T146" s="14" t="n">
        <f aca="false">MIN(189.6,(T145+S146))</f>
        <v>189.3</v>
      </c>
      <c r="V146" s="15" t="n">
        <v>212</v>
      </c>
      <c r="W146" s="8" t="n">
        <v>-302.857142857143</v>
      </c>
      <c r="X146" s="8" t="n">
        <v>70009.4</v>
      </c>
      <c r="Y146" s="8" t="n">
        <f aca="false">Y145+V146</f>
        <v>10731.7</v>
      </c>
      <c r="AA146" s="19" t="n">
        <v>8.75959981716926</v>
      </c>
    </row>
    <row r="147" s="8" customFormat="true" ht="15" hidden="false" customHeight="false" outlineLevel="0" collapsed="false">
      <c r="A147" s="27"/>
      <c r="B147" s="28"/>
      <c r="C147" s="11" t="n">
        <v>42025</v>
      </c>
      <c r="D147" s="30" t="n">
        <v>-0.1</v>
      </c>
      <c r="E147" s="30" t="n">
        <v>-0.7</v>
      </c>
      <c r="F147" s="18" t="n">
        <v>1</v>
      </c>
      <c r="G147" s="8" t="n">
        <v>1349.5</v>
      </c>
      <c r="H147" s="8" t="n">
        <v>237.3</v>
      </c>
      <c r="J147" s="8" t="n">
        <v>0</v>
      </c>
      <c r="K147" s="8" t="n">
        <v>267.6</v>
      </c>
      <c r="L147" s="8" t="n">
        <v>0.3</v>
      </c>
      <c r="M147" s="8" t="n">
        <v>150.9</v>
      </c>
      <c r="N147" s="13" t="n">
        <v>-0.3</v>
      </c>
      <c r="O147" s="8" t="n">
        <f aca="false">O146+N147</f>
        <v>161.6</v>
      </c>
      <c r="P147" s="8" t="n">
        <v>142</v>
      </c>
      <c r="Q147" s="8" t="n">
        <v>1</v>
      </c>
      <c r="R147" s="14" t="n">
        <f aca="false">Q147*L147</f>
        <v>0.3</v>
      </c>
      <c r="S147" s="14" t="n">
        <f aca="false">J147-R147</f>
        <v>-0.3</v>
      </c>
      <c r="T147" s="14" t="n">
        <f aca="false">MIN(189.6,(T146+S147))</f>
        <v>189</v>
      </c>
      <c r="V147" s="15" t="n">
        <v>157.9</v>
      </c>
      <c r="W147" s="8" t="n">
        <v>-1579</v>
      </c>
      <c r="X147" s="8" t="n">
        <v>70167.3</v>
      </c>
      <c r="Y147" s="8" t="n">
        <f aca="false">Y146+V147</f>
        <v>10889.6</v>
      </c>
      <c r="AA147" s="19" t="n">
        <v>8.80128064545252</v>
      </c>
    </row>
    <row r="148" s="8" customFormat="true" ht="15" hidden="false" customHeight="false" outlineLevel="0" collapsed="false">
      <c r="A148" s="27"/>
      <c r="B148" s="28"/>
      <c r="C148" s="11" t="n">
        <v>42026</v>
      </c>
      <c r="D148" s="30" t="n">
        <v>-0.8</v>
      </c>
      <c r="E148" s="30" t="n">
        <v>-2.3</v>
      </c>
      <c r="F148" s="18" t="n">
        <v>0.8</v>
      </c>
      <c r="G148" s="8" t="n">
        <v>1349.5</v>
      </c>
      <c r="H148" s="8" t="n">
        <v>237.3</v>
      </c>
      <c r="J148" s="8" t="n">
        <v>0</v>
      </c>
      <c r="K148" s="8" t="n">
        <v>267.6</v>
      </c>
      <c r="L148" s="8" t="n">
        <v>0.4</v>
      </c>
      <c r="M148" s="8" t="n">
        <v>151.3</v>
      </c>
      <c r="N148" s="13" t="n">
        <v>-0.4</v>
      </c>
      <c r="O148" s="8" t="n">
        <f aca="false">O147+N148</f>
        <v>161.2</v>
      </c>
      <c r="P148" s="8" t="n">
        <v>143</v>
      </c>
      <c r="Q148" s="8" t="n">
        <v>1</v>
      </c>
      <c r="R148" s="14" t="n">
        <f aca="false">Q148*L148</f>
        <v>0.4</v>
      </c>
      <c r="S148" s="14" t="n">
        <f aca="false">J148-R148</f>
        <v>-0.4</v>
      </c>
      <c r="T148" s="14" t="n">
        <f aca="false">MIN(189.6,(T147+S148))</f>
        <v>188.6</v>
      </c>
      <c r="V148" s="15" t="n">
        <v>423.8</v>
      </c>
      <c r="W148" s="8" t="n">
        <v>-529.75</v>
      </c>
      <c r="X148" s="8" t="n">
        <v>70591.1</v>
      </c>
      <c r="Y148" s="8" t="n">
        <f aca="false">Y147+V148</f>
        <v>11313.4</v>
      </c>
      <c r="AA148" s="19" t="n">
        <v>8.843955490608</v>
      </c>
    </row>
    <row r="149" s="8" customFormat="true" ht="15" hidden="false" customHeight="false" outlineLevel="0" collapsed="false">
      <c r="A149" s="27"/>
      <c r="B149" s="28"/>
      <c r="C149" s="11" t="n">
        <v>42027</v>
      </c>
      <c r="D149" s="30" t="n">
        <v>-0.3</v>
      </c>
      <c r="E149" s="30" t="n">
        <v>-1.1</v>
      </c>
      <c r="F149" s="18" t="n">
        <v>1</v>
      </c>
      <c r="G149" s="8" t="n">
        <v>1349.5</v>
      </c>
      <c r="H149" s="8" t="n">
        <v>237.3</v>
      </c>
      <c r="J149" s="8" t="n">
        <v>1.9</v>
      </c>
      <c r="K149" s="8" t="n">
        <v>269.5</v>
      </c>
      <c r="L149" s="8" t="n">
        <v>0.6</v>
      </c>
      <c r="M149" s="8" t="n">
        <v>151.9</v>
      </c>
      <c r="N149" s="8" t="n">
        <v>1.3</v>
      </c>
      <c r="O149" s="8" t="n">
        <f aca="false">O148+N149</f>
        <v>162.5</v>
      </c>
      <c r="P149" s="8" t="n">
        <v>144</v>
      </c>
      <c r="Q149" s="8" t="n">
        <v>1</v>
      </c>
      <c r="R149" s="14" t="n">
        <f aca="false">Q149*L149</f>
        <v>0.6</v>
      </c>
      <c r="S149" s="14" t="n">
        <f aca="false">J149-R149</f>
        <v>1.3</v>
      </c>
      <c r="T149" s="14" t="n">
        <f aca="false">MIN(189.6,(T148+S149))</f>
        <v>189.6</v>
      </c>
      <c r="V149" s="15" t="n">
        <v>555.5</v>
      </c>
      <c r="W149" s="8" t="n">
        <v>-1851.66666666667</v>
      </c>
      <c r="X149" s="8" t="n">
        <v>71146.6</v>
      </c>
      <c r="Y149" s="8" t="n">
        <f aca="false">Y148+V149</f>
        <v>11868.9</v>
      </c>
      <c r="AA149" s="19" t="n">
        <v>8.88759141097181</v>
      </c>
    </row>
    <row r="150" s="8" customFormat="true" ht="15" hidden="false" customHeight="false" outlineLevel="0" collapsed="false">
      <c r="A150" s="27"/>
      <c r="B150" s="28"/>
      <c r="C150" s="11" t="n">
        <v>42028</v>
      </c>
      <c r="D150" s="18" t="n">
        <v>1.7</v>
      </c>
      <c r="E150" s="30" t="n">
        <v>-1.2</v>
      </c>
      <c r="F150" s="8" t="n">
        <v>5.1</v>
      </c>
      <c r="G150" s="8" t="n">
        <v>1351.2</v>
      </c>
      <c r="H150" s="8" t="n">
        <f aca="false">H149+D150</f>
        <v>239</v>
      </c>
      <c r="J150" s="8" t="n">
        <v>0.6</v>
      </c>
      <c r="K150" s="8" t="n">
        <v>270.1</v>
      </c>
      <c r="L150" s="8" t="n">
        <v>0.7</v>
      </c>
      <c r="M150" s="8" t="n">
        <v>152.6</v>
      </c>
      <c r="N150" s="13" t="n">
        <v>-0.1</v>
      </c>
      <c r="O150" s="8" t="n">
        <f aca="false">O149+N150</f>
        <v>162.4</v>
      </c>
      <c r="P150" s="8" t="n">
        <v>145</v>
      </c>
      <c r="Q150" s="8" t="n">
        <v>1</v>
      </c>
      <c r="R150" s="14" t="n">
        <f aca="false">Q150*L150</f>
        <v>0.7</v>
      </c>
      <c r="S150" s="14" t="n">
        <f aca="false">J150-R150</f>
        <v>-0.1</v>
      </c>
      <c r="T150" s="14" t="n">
        <f aca="false">MIN(189.6,(T149+S150))</f>
        <v>189.5</v>
      </c>
      <c r="V150" s="15" t="n">
        <v>418.6</v>
      </c>
      <c r="W150" s="8" t="n">
        <v>246.235294117647</v>
      </c>
      <c r="X150" s="8" t="n">
        <v>71565.2</v>
      </c>
      <c r="Y150" s="8" t="n">
        <f aca="false">Y149+V150</f>
        <v>12287.5</v>
      </c>
      <c r="AA150" s="19" t="n">
        <v>8.93215569582119</v>
      </c>
    </row>
    <row r="151" s="8" customFormat="true" ht="15" hidden="false" customHeight="false" outlineLevel="0" collapsed="false">
      <c r="A151" s="27"/>
      <c r="B151" s="28"/>
      <c r="C151" s="11" t="n">
        <v>42029</v>
      </c>
      <c r="D151" s="18" t="n">
        <v>2.6</v>
      </c>
      <c r="E151" s="18" t="n">
        <v>0.2</v>
      </c>
      <c r="F151" s="8" t="n">
        <v>5.8</v>
      </c>
      <c r="G151" s="8" t="n">
        <v>1353.8</v>
      </c>
      <c r="H151" s="8" t="n">
        <f aca="false">H150+D151</f>
        <v>241.6</v>
      </c>
      <c r="J151" s="8" t="n">
        <v>0.7</v>
      </c>
      <c r="K151" s="8" t="n">
        <v>270.8</v>
      </c>
      <c r="L151" s="8" t="n">
        <v>0.4</v>
      </c>
      <c r="M151" s="8" t="n">
        <v>153</v>
      </c>
      <c r="N151" s="8" t="n">
        <v>0.3</v>
      </c>
      <c r="O151" s="8" t="n">
        <f aca="false">O150+N151</f>
        <v>162.7</v>
      </c>
      <c r="P151" s="8" t="n">
        <v>146</v>
      </c>
      <c r="Q151" s="8" t="n">
        <v>1</v>
      </c>
      <c r="R151" s="14" t="n">
        <f aca="false">Q151*L151</f>
        <v>0.4</v>
      </c>
      <c r="S151" s="14" t="n">
        <f aca="false">J151-R151</f>
        <v>0.3</v>
      </c>
      <c r="T151" s="14" t="n">
        <f aca="false">MIN(189.6,(T150+S151))</f>
        <v>189.6</v>
      </c>
      <c r="V151" s="15" t="n">
        <v>154.2</v>
      </c>
      <c r="W151" s="8" t="n">
        <v>59.3076923076923</v>
      </c>
      <c r="X151" s="8" t="n">
        <v>71719.4</v>
      </c>
      <c r="Y151" s="8" t="n">
        <f aca="false">Y150+V151</f>
        <v>12441.7</v>
      </c>
      <c r="AA151" s="19" t="n">
        <v>8.9776159277803</v>
      </c>
    </row>
    <row r="152" s="8" customFormat="true" ht="15" hidden="false" customHeight="false" outlineLevel="0" collapsed="false">
      <c r="A152" s="27"/>
      <c r="B152" s="10"/>
      <c r="C152" s="11" t="n">
        <v>42030</v>
      </c>
      <c r="D152" s="8" t="n">
        <v>6.3</v>
      </c>
      <c r="E152" s="18" t="n">
        <v>4.2</v>
      </c>
      <c r="F152" s="8" t="n">
        <v>8.4</v>
      </c>
      <c r="G152" s="8" t="n">
        <v>1360.1</v>
      </c>
      <c r="H152" s="8" t="n">
        <f aca="false">H151+D152</f>
        <v>247.9</v>
      </c>
      <c r="J152" s="8" t="n">
        <v>1.4</v>
      </c>
      <c r="K152" s="8" t="n">
        <v>272.2</v>
      </c>
      <c r="L152" s="8" t="n">
        <v>0.3</v>
      </c>
      <c r="M152" s="8" t="n">
        <v>153.3</v>
      </c>
      <c r="N152" s="8" t="n">
        <v>1.1</v>
      </c>
      <c r="O152" s="8" t="n">
        <f aca="false">O151+N152</f>
        <v>163.8</v>
      </c>
      <c r="P152" s="8" t="n">
        <v>147</v>
      </c>
      <c r="Q152" s="8" t="n">
        <v>1</v>
      </c>
      <c r="R152" s="14" t="n">
        <f aca="false">Q152*L152</f>
        <v>0.3</v>
      </c>
      <c r="S152" s="14" t="n">
        <f aca="false">J152-R152</f>
        <v>1.1</v>
      </c>
      <c r="T152" s="14" t="n">
        <f aca="false">MIN(189.6,(T151+S152))</f>
        <v>189.6</v>
      </c>
      <c r="V152" s="15" t="n">
        <v>144.7</v>
      </c>
      <c r="W152" s="8" t="n">
        <v>22.968253968254</v>
      </c>
      <c r="X152" s="8" t="n">
        <v>71864.1</v>
      </c>
      <c r="Y152" s="8" t="n">
        <f aca="false">Y151+V152</f>
        <v>12586.4</v>
      </c>
      <c r="AA152" s="8" t="n">
        <v>9.02394004064672</v>
      </c>
    </row>
    <row r="153" s="8" customFormat="true" ht="15" hidden="false" customHeight="false" outlineLevel="0" collapsed="false">
      <c r="A153" s="27"/>
      <c r="B153" s="10"/>
      <c r="C153" s="11" t="n">
        <v>42031</v>
      </c>
      <c r="D153" s="18" t="n">
        <v>3.9</v>
      </c>
      <c r="E153" s="18" t="n">
        <v>0.9</v>
      </c>
      <c r="F153" s="8" t="n">
        <v>5.8</v>
      </c>
      <c r="G153" s="8" t="n">
        <v>1364</v>
      </c>
      <c r="H153" s="8" t="n">
        <f aca="false">H152+D153</f>
        <v>251.8</v>
      </c>
      <c r="J153" s="8" t="n">
        <v>0</v>
      </c>
      <c r="K153" s="8" t="n">
        <v>272.2</v>
      </c>
      <c r="L153" s="8" t="n">
        <v>0.4</v>
      </c>
      <c r="M153" s="8" t="n">
        <v>153.7</v>
      </c>
      <c r="N153" s="13" t="n">
        <v>-0.4</v>
      </c>
      <c r="O153" s="8" t="n">
        <f aca="false">O152+N153</f>
        <v>163.4</v>
      </c>
      <c r="P153" s="8" t="n">
        <v>148</v>
      </c>
      <c r="Q153" s="8" t="n">
        <v>1</v>
      </c>
      <c r="R153" s="14" t="n">
        <f aca="false">Q153*L153</f>
        <v>0.4</v>
      </c>
      <c r="S153" s="14" t="n">
        <f aca="false">J153-R153</f>
        <v>-0.4</v>
      </c>
      <c r="T153" s="14" t="n">
        <f aca="false">MIN(189.6,(T152+S153))</f>
        <v>189.2</v>
      </c>
      <c r="V153" s="15" t="n">
        <v>279</v>
      </c>
      <c r="W153" s="8" t="n">
        <v>71.5384615384615</v>
      </c>
      <c r="X153" s="8" t="n">
        <v>72143.1</v>
      </c>
      <c r="Y153" s="8" t="n">
        <f aca="false">Y152+V153</f>
        <v>12865.4</v>
      </c>
      <c r="AA153" s="8" t="n">
        <v>9.07109637263594</v>
      </c>
    </row>
    <row r="154" s="8" customFormat="true" ht="15" hidden="false" customHeight="false" outlineLevel="0" collapsed="false">
      <c r="A154" s="27"/>
      <c r="B154" s="10" t="n">
        <v>8</v>
      </c>
      <c r="C154" s="11" t="n">
        <v>42032</v>
      </c>
      <c r="D154" s="8" t="n">
        <v>5.2</v>
      </c>
      <c r="E154" s="18" t="n">
        <v>4.8</v>
      </c>
      <c r="F154" s="8" t="n">
        <v>6.4</v>
      </c>
      <c r="G154" s="8" t="n">
        <v>1369.2</v>
      </c>
      <c r="H154" s="8" t="n">
        <f aca="false">H153+D154</f>
        <v>257</v>
      </c>
      <c r="J154" s="8" t="n">
        <v>3.1</v>
      </c>
      <c r="K154" s="8" t="n">
        <v>275.3</v>
      </c>
      <c r="L154" s="8" t="n">
        <v>0.8</v>
      </c>
      <c r="M154" s="8" t="n">
        <v>154.5</v>
      </c>
      <c r="N154" s="8" t="n">
        <v>2.3</v>
      </c>
      <c r="O154" s="8" t="n">
        <f aca="false">O153+N154</f>
        <v>165.7</v>
      </c>
      <c r="P154" s="8" t="n">
        <v>149</v>
      </c>
      <c r="Q154" s="8" t="n">
        <v>1</v>
      </c>
      <c r="R154" s="14" t="n">
        <f aca="false">Q154*L154</f>
        <v>0.8</v>
      </c>
      <c r="S154" s="14" t="n">
        <f aca="false">J154-R154</f>
        <v>2.3</v>
      </c>
      <c r="T154" s="14" t="n">
        <f aca="false">MIN(189.6,(T153+S154))</f>
        <v>189.6</v>
      </c>
      <c r="V154" s="15" t="n">
        <v>186.9</v>
      </c>
      <c r="W154" s="8" t="n">
        <v>35.9423076923077</v>
      </c>
      <c r="X154" s="8" t="n">
        <v>72330</v>
      </c>
      <c r="Y154" s="8" t="n">
        <f aca="false">Y153+V154</f>
        <v>13052.3</v>
      </c>
      <c r="AA154" s="8" t="n">
        <v>9.1190537150738</v>
      </c>
    </row>
    <row r="155" s="8" customFormat="true" ht="15" hidden="false" customHeight="false" outlineLevel="0" collapsed="false">
      <c r="A155" s="27"/>
      <c r="B155" s="10"/>
      <c r="C155" s="11" t="n">
        <v>42033</v>
      </c>
      <c r="D155" s="18" t="n">
        <v>3</v>
      </c>
      <c r="E155" s="18" t="n">
        <v>2.5</v>
      </c>
      <c r="F155" s="18" t="n">
        <v>4.4</v>
      </c>
      <c r="G155" s="8" t="n">
        <v>1372.2</v>
      </c>
      <c r="H155" s="8" t="n">
        <f aca="false">H154+D155</f>
        <v>260</v>
      </c>
      <c r="J155" s="8" t="n">
        <v>6.1</v>
      </c>
      <c r="K155" s="8" t="n">
        <v>281.4</v>
      </c>
      <c r="L155" s="8" t="n">
        <v>0.6</v>
      </c>
      <c r="M155" s="8" t="n">
        <v>155.1</v>
      </c>
      <c r="N155" s="8" t="n">
        <v>5.5</v>
      </c>
      <c r="O155" s="8" t="n">
        <f aca="false">O154+N155</f>
        <v>171.2</v>
      </c>
      <c r="P155" s="8" t="n">
        <v>150</v>
      </c>
      <c r="Q155" s="8" t="n">
        <v>1</v>
      </c>
      <c r="R155" s="14" t="n">
        <f aca="false">Q155*L155</f>
        <v>0.6</v>
      </c>
      <c r="S155" s="14" t="n">
        <f aca="false">J155-R155</f>
        <v>5.5</v>
      </c>
      <c r="T155" s="14" t="n">
        <f aca="false">MIN(189.6,(T154+S155))</f>
        <v>189.6</v>
      </c>
      <c r="V155" s="15" t="n">
        <v>150.6</v>
      </c>
      <c r="W155" s="8" t="n">
        <v>50.2</v>
      </c>
      <c r="X155" s="8" t="n">
        <v>72480.6</v>
      </c>
      <c r="Y155" s="8" t="n">
        <f aca="false">Y154+V155</f>
        <v>13202.9</v>
      </c>
      <c r="AA155" s="8" t="n">
        <v>9.16778135659601</v>
      </c>
    </row>
    <row r="156" s="8" customFormat="true" ht="15" hidden="false" customHeight="false" outlineLevel="0" collapsed="false">
      <c r="A156" s="27"/>
      <c r="B156" s="10"/>
      <c r="C156" s="11" t="n">
        <v>42034</v>
      </c>
      <c r="D156" s="18" t="n">
        <v>1.4</v>
      </c>
      <c r="E156" s="18" t="n">
        <v>0.6</v>
      </c>
      <c r="F156" s="18" t="n">
        <v>2</v>
      </c>
      <c r="G156" s="8" t="n">
        <v>1373.6</v>
      </c>
      <c r="H156" s="8" t="n">
        <f aca="false">H155+D156</f>
        <v>261.4</v>
      </c>
      <c r="J156" s="8" t="n">
        <v>2.9</v>
      </c>
      <c r="K156" s="8" t="n">
        <v>284.3</v>
      </c>
      <c r="L156" s="8" t="n">
        <v>0.3</v>
      </c>
      <c r="M156" s="8" t="n">
        <v>155.4</v>
      </c>
      <c r="N156" s="8" t="n">
        <v>2.6</v>
      </c>
      <c r="O156" s="8" t="n">
        <f aca="false">O155+N156</f>
        <v>173.8</v>
      </c>
      <c r="P156" s="8" t="n">
        <v>151</v>
      </c>
      <c r="Q156" s="8" t="n">
        <v>1</v>
      </c>
      <c r="R156" s="14" t="n">
        <f aca="false">Q156*L156</f>
        <v>0.3</v>
      </c>
      <c r="S156" s="14" t="n">
        <f aca="false">J156-R156</f>
        <v>2.6</v>
      </c>
      <c r="T156" s="14" t="n">
        <f aca="false">MIN(189.6,(T155+S156))</f>
        <v>189.6</v>
      </c>
      <c r="V156" s="15" t="n">
        <v>203.8</v>
      </c>
      <c r="W156" s="8" t="n">
        <v>145.571428571429</v>
      </c>
      <c r="X156" s="8" t="n">
        <v>72684.4</v>
      </c>
      <c r="Y156" s="8" t="n">
        <f aca="false">Y155+V156</f>
        <v>13406.7</v>
      </c>
      <c r="AA156" s="8" t="n">
        <v>9.21724912294005</v>
      </c>
    </row>
    <row r="157" s="8" customFormat="true" ht="15" hidden="false" customHeight="false" outlineLevel="0" collapsed="false">
      <c r="A157" s="27"/>
      <c r="B157" s="10"/>
      <c r="C157" s="11" t="n">
        <v>42035</v>
      </c>
      <c r="D157" s="18" t="n">
        <v>1.7</v>
      </c>
      <c r="E157" s="18" t="n">
        <v>0.1</v>
      </c>
      <c r="F157" s="18" t="n">
        <v>3.1</v>
      </c>
      <c r="G157" s="8" t="n">
        <v>1375.3</v>
      </c>
      <c r="H157" s="8" t="n">
        <f aca="false">H156+D157</f>
        <v>263.1</v>
      </c>
      <c r="J157" s="8" t="n">
        <v>1.3</v>
      </c>
      <c r="K157" s="8" t="n">
        <v>285.6</v>
      </c>
      <c r="L157" s="8" t="n">
        <v>0.2</v>
      </c>
      <c r="M157" s="8" t="n">
        <v>155.6</v>
      </c>
      <c r="N157" s="8" t="n">
        <v>1.1</v>
      </c>
      <c r="O157" s="8" t="n">
        <f aca="false">O156+N157</f>
        <v>174.9</v>
      </c>
      <c r="P157" s="8" t="n">
        <v>152</v>
      </c>
      <c r="Q157" s="8" t="n">
        <v>1</v>
      </c>
      <c r="R157" s="14" t="n">
        <f aca="false">Q157*L157</f>
        <v>0.2</v>
      </c>
      <c r="S157" s="14" t="n">
        <f aca="false">J157-R157</f>
        <v>1.1</v>
      </c>
      <c r="T157" s="14" t="n">
        <f aca="false">MIN(189.6,(T156+S157))</f>
        <v>189.6</v>
      </c>
      <c r="V157" s="15" t="n">
        <v>125</v>
      </c>
      <c r="W157" s="8" t="n">
        <v>73.5294117647059</v>
      </c>
      <c r="X157" s="8" t="n">
        <v>72809.4</v>
      </c>
      <c r="Y157" s="8" t="n">
        <f aca="false">Y156+V157</f>
        <v>13531.7</v>
      </c>
      <c r="AA157" s="8" t="n">
        <v>9.2674274124374</v>
      </c>
    </row>
    <row r="158" s="8" customFormat="true" ht="15" hidden="false" customHeight="false" outlineLevel="0" collapsed="false">
      <c r="A158" s="27"/>
      <c r="B158" s="10"/>
      <c r="C158" s="11" t="n">
        <v>42036</v>
      </c>
      <c r="D158" s="18" t="n">
        <v>3</v>
      </c>
      <c r="E158" s="18" t="n">
        <v>1.9</v>
      </c>
      <c r="F158" s="18" t="n">
        <v>3.9</v>
      </c>
      <c r="G158" s="8" t="n">
        <v>1378.3</v>
      </c>
      <c r="H158" s="8" t="n">
        <f aca="false">H157+D158</f>
        <v>266.1</v>
      </c>
      <c r="J158" s="8" t="n">
        <v>0.8</v>
      </c>
      <c r="K158" s="8" t="n">
        <v>286.4</v>
      </c>
      <c r="L158" s="8" t="n">
        <v>0.6</v>
      </c>
      <c r="M158" s="8" t="n">
        <v>156.2</v>
      </c>
      <c r="N158" s="8" t="n">
        <v>0.2</v>
      </c>
      <c r="O158" s="8" t="n">
        <f aca="false">O157+N158</f>
        <v>175.1</v>
      </c>
      <c r="P158" s="8" t="n">
        <v>153</v>
      </c>
      <c r="Q158" s="8" t="n">
        <v>1</v>
      </c>
      <c r="R158" s="14" t="n">
        <f aca="false">Q158*L158</f>
        <v>0.6</v>
      </c>
      <c r="S158" s="14" t="n">
        <f aca="false">J158-R158</f>
        <v>0.2</v>
      </c>
      <c r="T158" s="14" t="n">
        <f aca="false">MIN(189.6,(T157+S158))</f>
        <v>189.6</v>
      </c>
      <c r="V158" s="15" t="n">
        <v>173.5</v>
      </c>
      <c r="W158" s="8" t="n">
        <v>57.8333333333333</v>
      </c>
      <c r="X158" s="8" t="n">
        <v>72982.9</v>
      </c>
      <c r="Y158" s="8" t="n">
        <f aca="false">Y157+V158</f>
        <v>13705.2</v>
      </c>
      <c r="AA158" s="8" t="n">
        <v>9.31828722733351</v>
      </c>
    </row>
    <row r="159" s="8" customFormat="true" ht="15" hidden="false" customHeight="false" outlineLevel="0" collapsed="false">
      <c r="A159" s="27"/>
      <c r="B159" s="10"/>
      <c r="C159" s="11" t="n">
        <v>42037</v>
      </c>
      <c r="D159" s="18" t="n">
        <v>1.2</v>
      </c>
      <c r="E159" s="18" t="n">
        <v>0.7</v>
      </c>
      <c r="F159" s="18" t="n">
        <v>2.9</v>
      </c>
      <c r="G159" s="8" t="n">
        <v>1379.5</v>
      </c>
      <c r="H159" s="8" t="n">
        <f aca="false">H158+D159</f>
        <v>267.3</v>
      </c>
      <c r="J159" s="8" t="n">
        <v>0</v>
      </c>
      <c r="K159" s="8" t="n">
        <v>286.4</v>
      </c>
      <c r="L159" s="8" t="n">
        <v>0.8</v>
      </c>
      <c r="M159" s="8" t="n">
        <v>157</v>
      </c>
      <c r="N159" s="13" t="n">
        <v>-0.8</v>
      </c>
      <c r="O159" s="8" t="n">
        <f aca="false">O158+N159</f>
        <v>174.3</v>
      </c>
      <c r="P159" s="8" t="n">
        <v>154</v>
      </c>
      <c r="Q159" s="8" t="n">
        <v>1</v>
      </c>
      <c r="R159" s="14" t="n">
        <f aca="false">Q159*L159</f>
        <v>0.8</v>
      </c>
      <c r="S159" s="14" t="n">
        <f aca="false">J159-R159</f>
        <v>-0.8</v>
      </c>
      <c r="T159" s="14" t="n">
        <f aca="false">MIN(189.6,(T158+S159))</f>
        <v>188.8</v>
      </c>
      <c r="V159" s="15" t="n">
        <v>647.6</v>
      </c>
      <c r="W159" s="8" t="n">
        <v>539.666666666667</v>
      </c>
      <c r="X159" s="8" t="n">
        <v>73630.5</v>
      </c>
      <c r="Y159" s="8" t="n">
        <f aca="false">Y158+V159</f>
        <v>14352.8</v>
      </c>
      <c r="AA159" s="8" t="n">
        <v>9.36980020107949</v>
      </c>
    </row>
    <row r="160" s="8" customFormat="true" ht="15" hidden="false" customHeight="false" outlineLevel="0" collapsed="false">
      <c r="A160" s="27"/>
      <c r="B160" s="10"/>
      <c r="C160" s="11" t="n">
        <v>42038</v>
      </c>
      <c r="D160" s="18" t="n">
        <v>0.5</v>
      </c>
      <c r="E160" s="30" t="n">
        <v>-1.1</v>
      </c>
      <c r="F160" s="18" t="n">
        <v>2.2</v>
      </c>
      <c r="G160" s="8" t="n">
        <v>1380</v>
      </c>
      <c r="H160" s="8" t="n">
        <f aca="false">H159+D160</f>
        <v>267.8</v>
      </c>
      <c r="J160" s="8" t="n">
        <v>0</v>
      </c>
      <c r="K160" s="8" t="n">
        <v>286.4</v>
      </c>
      <c r="L160" s="8" t="n">
        <v>0.3</v>
      </c>
      <c r="M160" s="8" t="n">
        <v>157.3</v>
      </c>
      <c r="N160" s="13" t="n">
        <v>-0.3</v>
      </c>
      <c r="O160" s="8" t="n">
        <f aca="false">O159+N160</f>
        <v>174</v>
      </c>
      <c r="P160" s="8" t="n">
        <v>155</v>
      </c>
      <c r="Q160" s="8" t="n">
        <v>1</v>
      </c>
      <c r="R160" s="14" t="n">
        <f aca="false">Q160*L160</f>
        <v>0.3</v>
      </c>
      <c r="S160" s="14" t="n">
        <f aca="false">J160-R160</f>
        <v>-0.3</v>
      </c>
      <c r="T160" s="14" t="n">
        <f aca="false">MIN(189.6,(T159+S160))</f>
        <v>188.5</v>
      </c>
      <c r="V160" s="15" t="n">
        <v>449.9</v>
      </c>
      <c r="W160" s="8" t="n">
        <v>899.8</v>
      </c>
      <c r="X160" s="8" t="n">
        <v>74080.4</v>
      </c>
      <c r="Y160" s="8" t="n">
        <f aca="false">Y159+V160</f>
        <v>14802.7</v>
      </c>
      <c r="AA160" s="8" t="n">
        <v>9.42193862175289</v>
      </c>
    </row>
    <row r="161" s="8" customFormat="true" ht="15" hidden="false" customHeight="false" outlineLevel="0" collapsed="false">
      <c r="A161" s="27"/>
      <c r="B161" s="10" t="n">
        <v>9</v>
      </c>
      <c r="C161" s="11" t="n">
        <v>42039</v>
      </c>
      <c r="D161" s="18" t="n">
        <v>1.2</v>
      </c>
      <c r="E161" s="30" t="n">
        <v>-1</v>
      </c>
      <c r="F161" s="18" t="n">
        <v>3.1</v>
      </c>
      <c r="G161" s="8" t="n">
        <v>1381.2</v>
      </c>
      <c r="H161" s="8" t="n">
        <f aca="false">H160+D161</f>
        <v>269</v>
      </c>
      <c r="J161" s="8" t="n">
        <v>0</v>
      </c>
      <c r="K161" s="8" t="n">
        <v>286.4</v>
      </c>
      <c r="L161" s="8" t="n">
        <v>0.8</v>
      </c>
      <c r="M161" s="8" t="n">
        <v>158.1</v>
      </c>
      <c r="N161" s="13" t="n">
        <v>-0.8</v>
      </c>
      <c r="O161" s="8" t="n">
        <f aca="false">O160+N161</f>
        <v>173.2</v>
      </c>
      <c r="P161" s="8" t="n">
        <v>156</v>
      </c>
      <c r="Q161" s="8" t="n">
        <v>1</v>
      </c>
      <c r="R161" s="14" t="n">
        <f aca="false">Q161*L161</f>
        <v>0.8</v>
      </c>
      <c r="S161" s="14" t="n">
        <f aca="false">J161-R161</f>
        <v>-0.8</v>
      </c>
      <c r="T161" s="14" t="n">
        <f aca="false">MIN(189.6,(T160+S161))</f>
        <v>187.7</v>
      </c>
      <c r="V161" s="15" t="n">
        <v>853.6</v>
      </c>
      <c r="W161" s="8" t="n">
        <v>711.333333333333</v>
      </c>
      <c r="X161" s="8" t="n">
        <v>74934</v>
      </c>
      <c r="Y161" s="8" t="n">
        <f aca="false">Y160+V161</f>
        <v>15656.3</v>
      </c>
      <c r="AA161" s="8" t="n">
        <v>9.47467545177604</v>
      </c>
    </row>
    <row r="162" s="8" customFormat="true" ht="15" hidden="false" customHeight="false" outlineLevel="0" collapsed="false">
      <c r="A162" s="27"/>
      <c r="B162" s="10"/>
      <c r="C162" s="11" t="n">
        <v>42040</v>
      </c>
      <c r="D162" s="30" t="n">
        <v>-0.1</v>
      </c>
      <c r="E162" s="30" t="n">
        <v>-0.8</v>
      </c>
      <c r="F162" s="18" t="n">
        <v>0.9</v>
      </c>
      <c r="G162" s="8" t="n">
        <v>1381.2</v>
      </c>
      <c r="H162" s="8" t="n">
        <v>269</v>
      </c>
      <c r="J162" s="8" t="n">
        <v>0</v>
      </c>
      <c r="K162" s="8" t="n">
        <v>286.4</v>
      </c>
      <c r="L162" s="8" t="n">
        <v>0.5</v>
      </c>
      <c r="M162" s="8" t="n">
        <v>158.6</v>
      </c>
      <c r="N162" s="13" t="n">
        <v>-0.5</v>
      </c>
      <c r="O162" s="8" t="n">
        <f aca="false">O161+N162</f>
        <v>172.7</v>
      </c>
      <c r="P162" s="8" t="n">
        <v>157</v>
      </c>
      <c r="Q162" s="8" t="n">
        <v>1</v>
      </c>
      <c r="R162" s="14" t="n">
        <f aca="false">Q162*L162</f>
        <v>0.5</v>
      </c>
      <c r="S162" s="14" t="n">
        <f aca="false">J162-R162</f>
        <v>-0.5</v>
      </c>
      <c r="T162" s="14" t="n">
        <f aca="false">MIN(189.6,(T161+S162))</f>
        <v>187.2</v>
      </c>
      <c r="V162" s="15" t="n">
        <v>331.2</v>
      </c>
      <c r="W162" s="8" t="n">
        <v>-3312</v>
      </c>
      <c r="X162" s="8" t="n">
        <v>75265.2</v>
      </c>
      <c r="Y162" s="8" t="n">
        <f aca="false">Y161+V162</f>
        <v>15987.5</v>
      </c>
      <c r="AA162" s="8" t="n">
        <v>9.52798434410822</v>
      </c>
    </row>
    <row r="163" s="8" customFormat="true" ht="15" hidden="false" customHeight="false" outlineLevel="0" collapsed="false">
      <c r="A163" s="27"/>
      <c r="B163" s="10"/>
      <c r="C163" s="11" t="n">
        <v>42041</v>
      </c>
      <c r="D163" s="30" t="n">
        <v>-0.7</v>
      </c>
      <c r="E163" s="30" t="n">
        <v>-1.4</v>
      </c>
      <c r="F163" s="18" t="n">
        <v>0.4</v>
      </c>
      <c r="G163" s="8" t="n">
        <v>1381.2</v>
      </c>
      <c r="H163" s="8" t="n">
        <v>269</v>
      </c>
      <c r="J163" s="8" t="n">
        <v>0</v>
      </c>
      <c r="K163" s="8" t="n">
        <v>286.4</v>
      </c>
      <c r="L163" s="8" t="n">
        <v>1.1</v>
      </c>
      <c r="M163" s="8" t="n">
        <v>159.7</v>
      </c>
      <c r="N163" s="13" t="n">
        <v>-1.1</v>
      </c>
      <c r="O163" s="8" t="n">
        <f aca="false">O162+N163</f>
        <v>171.6</v>
      </c>
      <c r="P163" s="8" t="n">
        <v>158</v>
      </c>
      <c r="Q163" s="8" t="n">
        <v>1</v>
      </c>
      <c r="R163" s="14" t="n">
        <f aca="false">Q163*L163</f>
        <v>1.1</v>
      </c>
      <c r="S163" s="14" t="n">
        <f aca="false">J163-R163</f>
        <v>-1.1</v>
      </c>
      <c r="T163" s="14" t="n">
        <f aca="false">MIN(189.6,(T162+S163))</f>
        <v>186.1</v>
      </c>
      <c r="V163" s="15" t="n">
        <v>387</v>
      </c>
      <c r="W163" s="8" t="n">
        <v>-552.857142857143</v>
      </c>
      <c r="X163" s="8" t="n">
        <v>75652.2</v>
      </c>
      <c r="Y163" s="8" t="n">
        <f aca="false">Y162+V163</f>
        <v>16374.5</v>
      </c>
      <c r="AA163" s="8" t="n">
        <v>9.58183965509436</v>
      </c>
    </row>
    <row r="164" s="8" customFormat="true" ht="15" hidden="false" customHeight="false" outlineLevel="0" collapsed="false">
      <c r="A164" s="27"/>
      <c r="B164" s="10"/>
      <c r="C164" s="11" t="n">
        <v>42042</v>
      </c>
      <c r="D164" s="18" t="n">
        <v>1.1</v>
      </c>
      <c r="E164" s="30" t="n">
        <v>-2.6</v>
      </c>
      <c r="F164" s="18" t="n">
        <v>3.7</v>
      </c>
      <c r="G164" s="8" t="n">
        <v>1382.3</v>
      </c>
      <c r="H164" s="8" t="n">
        <f aca="false">H163+D164</f>
        <v>270.1</v>
      </c>
      <c r="J164" s="8" t="n">
        <v>0</v>
      </c>
      <c r="K164" s="8" t="n">
        <v>286.4</v>
      </c>
      <c r="L164" s="8" t="n">
        <v>0.9</v>
      </c>
      <c r="M164" s="8" t="n">
        <v>160.6</v>
      </c>
      <c r="N164" s="13" t="n">
        <v>-0.9</v>
      </c>
      <c r="O164" s="8" t="n">
        <f aca="false">O163+N164</f>
        <v>170.7</v>
      </c>
      <c r="P164" s="8" t="n">
        <v>159</v>
      </c>
      <c r="Q164" s="8" t="n">
        <v>1</v>
      </c>
      <c r="R164" s="14" t="n">
        <f aca="false">Q164*L164</f>
        <v>0.9</v>
      </c>
      <c r="S164" s="14" t="n">
        <f aca="false">J164-R164</f>
        <v>-0.9</v>
      </c>
      <c r="T164" s="14" t="n">
        <f aca="false">MIN(189.6,(T163+S164))</f>
        <v>185.2</v>
      </c>
      <c r="V164" s="15" t="n">
        <v>790.3</v>
      </c>
      <c r="W164" s="8" t="n">
        <v>718.454545454545</v>
      </c>
      <c r="X164" s="8" t="n">
        <v>76442.5</v>
      </c>
      <c r="Y164" s="8" t="n">
        <f aca="false">Y163+V164</f>
        <v>17164.8</v>
      </c>
      <c r="AA164" s="8" t="n">
        <v>9.63621645415633</v>
      </c>
    </row>
    <row r="165" s="8" customFormat="true" ht="15" hidden="false" customHeight="false" outlineLevel="0" collapsed="false">
      <c r="A165" s="27"/>
      <c r="B165" s="10"/>
      <c r="C165" s="11" t="n">
        <v>42043</v>
      </c>
      <c r="D165" s="18" t="n">
        <v>3.6</v>
      </c>
      <c r="E165" s="18" t="n">
        <v>2.8</v>
      </c>
      <c r="F165" s="8" t="n">
        <v>5.5</v>
      </c>
      <c r="G165" s="8" t="n">
        <v>1385.9</v>
      </c>
      <c r="H165" s="8" t="n">
        <f aca="false">H164+D165</f>
        <v>273.7</v>
      </c>
      <c r="J165" s="8" t="n">
        <v>0</v>
      </c>
      <c r="K165" s="8" t="n">
        <v>286.4</v>
      </c>
      <c r="L165" s="8" t="n">
        <v>0.9</v>
      </c>
      <c r="M165" s="8" t="n">
        <v>161.5</v>
      </c>
      <c r="N165" s="13" t="n">
        <v>-0.9</v>
      </c>
      <c r="O165" s="8" t="n">
        <f aca="false">O164+N165</f>
        <v>169.8</v>
      </c>
      <c r="P165" s="8" t="n">
        <v>160</v>
      </c>
      <c r="Q165" s="8" t="n">
        <v>1</v>
      </c>
      <c r="R165" s="14" t="n">
        <f aca="false">Q165*L165</f>
        <v>0.9</v>
      </c>
      <c r="S165" s="14" t="n">
        <f aca="false">J165-R165</f>
        <v>-0.9</v>
      </c>
      <c r="T165" s="14" t="n">
        <f aca="false">MIN(189.6,(T164+S165))</f>
        <v>184.3</v>
      </c>
      <c r="V165" s="15" t="n">
        <v>469.9</v>
      </c>
      <c r="W165" s="8" t="n">
        <v>130.527777777778</v>
      </c>
      <c r="X165" s="8" t="n">
        <v>76912.4</v>
      </c>
      <c r="Y165" s="8" t="n">
        <f aca="false">Y164+V165</f>
        <v>17634.7</v>
      </c>
      <c r="AA165" s="8" t="n">
        <v>9.69109053051493</v>
      </c>
    </row>
    <row r="166" s="8" customFormat="true" ht="15" hidden="false" customHeight="false" outlineLevel="0" collapsed="false">
      <c r="A166" s="27"/>
      <c r="B166" s="10"/>
      <c r="C166" s="11" t="n">
        <v>42044</v>
      </c>
      <c r="D166" s="18" t="n">
        <v>1</v>
      </c>
      <c r="E166" s="30" t="n">
        <v>-0.4</v>
      </c>
      <c r="F166" s="18" t="n">
        <v>2.4</v>
      </c>
      <c r="G166" s="8" t="n">
        <v>1386.9</v>
      </c>
      <c r="H166" s="8" t="n">
        <f aca="false">H165+D166</f>
        <v>274.7</v>
      </c>
      <c r="J166" s="8" t="n">
        <v>0.2</v>
      </c>
      <c r="K166" s="8" t="n">
        <v>286.6</v>
      </c>
      <c r="L166" s="8" t="n">
        <v>0.4</v>
      </c>
      <c r="M166" s="8" t="n">
        <v>161.9</v>
      </c>
      <c r="N166" s="13" t="n">
        <v>-0.2</v>
      </c>
      <c r="O166" s="8" t="n">
        <f aca="false">O165+N166</f>
        <v>169.6</v>
      </c>
      <c r="P166" s="8" t="n">
        <v>161</v>
      </c>
      <c r="Q166" s="8" t="n">
        <v>1</v>
      </c>
      <c r="R166" s="14" t="n">
        <f aca="false">Q166*L166</f>
        <v>0.4</v>
      </c>
      <c r="S166" s="14" t="n">
        <f aca="false">J166-R166</f>
        <v>-0.2</v>
      </c>
      <c r="T166" s="14" t="n">
        <f aca="false">MIN(189.6,(T165+S166))</f>
        <v>184.1</v>
      </c>
      <c r="V166" s="15" t="n">
        <v>295.3</v>
      </c>
      <c r="W166" s="8" t="n">
        <v>295.3</v>
      </c>
      <c r="X166" s="8" t="n">
        <v>77207.7</v>
      </c>
      <c r="Y166" s="8" t="n">
        <f aca="false">Y165+V166</f>
        <v>17930</v>
      </c>
      <c r="AA166" s="8" t="n">
        <v>9.74643839713075</v>
      </c>
    </row>
    <row r="167" s="8" customFormat="true" ht="15" hidden="false" customHeight="false" outlineLevel="0" collapsed="false">
      <c r="A167" s="27"/>
      <c r="B167" s="10"/>
      <c r="C167" s="11" t="n">
        <v>42045</v>
      </c>
      <c r="D167" s="18" t="n">
        <v>3.5</v>
      </c>
      <c r="E167" s="18" t="n">
        <v>1.3</v>
      </c>
      <c r="F167" s="8" t="n">
        <v>5.3</v>
      </c>
      <c r="G167" s="8" t="n">
        <v>1390.4</v>
      </c>
      <c r="H167" s="8" t="n">
        <f aca="false">H166+D167</f>
        <v>278.2</v>
      </c>
      <c r="J167" s="32" t="n">
        <v>0</v>
      </c>
      <c r="K167" s="8" t="n">
        <v>286.6</v>
      </c>
      <c r="L167" s="8" t="n">
        <v>0.5</v>
      </c>
      <c r="M167" s="8" t="n">
        <v>162.4</v>
      </c>
      <c r="N167" s="13" t="n">
        <v>-0.5</v>
      </c>
      <c r="O167" s="8" t="n">
        <f aca="false">O166+N167</f>
        <v>169.1</v>
      </c>
      <c r="P167" s="8" t="n">
        <v>162</v>
      </c>
      <c r="Q167" s="8" t="n">
        <v>1</v>
      </c>
      <c r="R167" s="14" t="n">
        <f aca="false">Q167*L167</f>
        <v>0.5</v>
      </c>
      <c r="S167" s="14" t="n">
        <f aca="false">J167-R167</f>
        <v>-0.5</v>
      </c>
      <c r="T167" s="14" t="n">
        <f aca="false">MIN(189.6,(T166+S167))</f>
        <v>183.6</v>
      </c>
      <c r="V167" s="15" t="n">
        <v>401</v>
      </c>
      <c r="W167" s="8" t="n">
        <v>114.571428571429</v>
      </c>
      <c r="X167" s="8" t="n">
        <v>77608.7</v>
      </c>
      <c r="Y167" s="8" t="n">
        <f aca="false">Y166+V167</f>
        <v>18331</v>
      </c>
      <c r="AA167" s="8" t="n">
        <v>9.80223729205065</v>
      </c>
      <c r="AB167" s="33" t="s">
        <v>46</v>
      </c>
    </row>
    <row r="168" s="8" customFormat="true" ht="15" hidden="false" customHeight="false" outlineLevel="0" collapsed="false">
      <c r="A168" s="27"/>
      <c r="B168" s="10" t="n">
        <v>10</v>
      </c>
      <c r="C168" s="11" t="n">
        <v>42046</v>
      </c>
      <c r="D168" s="18" t="n">
        <v>3</v>
      </c>
      <c r="E168" s="18" t="n">
        <v>2.8</v>
      </c>
      <c r="F168" s="18" t="n">
        <v>4.3</v>
      </c>
      <c r="G168" s="8" t="n">
        <v>1393.4</v>
      </c>
      <c r="H168" s="8" t="n">
        <f aca="false">H167+D168</f>
        <v>281.2</v>
      </c>
      <c r="J168" s="32" t="n">
        <v>0</v>
      </c>
      <c r="K168" s="8" t="n">
        <v>286.6</v>
      </c>
      <c r="L168" s="8" t="n">
        <v>0.8</v>
      </c>
      <c r="M168" s="8" t="n">
        <v>163.2</v>
      </c>
      <c r="N168" s="13" t="n">
        <v>-0.8</v>
      </c>
      <c r="O168" s="8" t="n">
        <f aca="false">O167+N168</f>
        <v>168.3</v>
      </c>
      <c r="P168" s="8" t="n">
        <v>163</v>
      </c>
      <c r="Q168" s="8" t="n">
        <v>1</v>
      </c>
      <c r="R168" s="14" t="n">
        <f aca="false">Q168*L168</f>
        <v>0.8</v>
      </c>
      <c r="S168" s="14" t="n">
        <f aca="false">J168-R168</f>
        <v>-0.8</v>
      </c>
      <c r="T168" s="14" t="n">
        <f aca="false">MIN(189.6,(T167+S168))</f>
        <v>182.8</v>
      </c>
      <c r="V168" s="15" t="n">
        <v>523.5</v>
      </c>
      <c r="W168" s="8" t="n">
        <v>174.5</v>
      </c>
      <c r="X168" s="8" t="n">
        <v>78132.2</v>
      </c>
      <c r="Y168" s="8" t="n">
        <f aca="false">Y167+V168</f>
        <v>18854.5</v>
      </c>
      <c r="AA168" s="8" t="n">
        <v>9.85846517734382</v>
      </c>
      <c r="AB168" s="14" t="n">
        <f aca="false">AVERAGE(T174:T187)</f>
        <v>188.085714285714</v>
      </c>
    </row>
    <row r="169" s="8" customFormat="true" ht="15" hidden="false" customHeight="false" outlineLevel="0" collapsed="false">
      <c r="A169" s="27"/>
      <c r="B169" s="10"/>
      <c r="C169" s="11" t="n">
        <v>42047</v>
      </c>
      <c r="D169" s="30" t="n">
        <v>-0.4</v>
      </c>
      <c r="E169" s="30" t="n">
        <v>-1.3</v>
      </c>
      <c r="F169" s="18" t="n">
        <v>1</v>
      </c>
      <c r="G169" s="8" t="n">
        <v>1393.4</v>
      </c>
      <c r="H169" s="8" t="n">
        <v>281.2</v>
      </c>
      <c r="J169" s="32" t="n">
        <v>0</v>
      </c>
      <c r="K169" s="8" t="n">
        <v>286.6</v>
      </c>
      <c r="L169" s="8" t="n">
        <v>0.4</v>
      </c>
      <c r="M169" s="8" t="n">
        <v>163.6</v>
      </c>
      <c r="N169" s="13" t="n">
        <v>-0.4</v>
      </c>
      <c r="O169" s="8" t="n">
        <f aca="false">O168+N169</f>
        <v>167.9</v>
      </c>
      <c r="P169" s="8" t="n">
        <v>164</v>
      </c>
      <c r="Q169" s="8" t="n">
        <v>1</v>
      </c>
      <c r="R169" s="14" t="n">
        <f aca="false">Q169*L169</f>
        <v>0.4</v>
      </c>
      <c r="S169" s="14" t="n">
        <f aca="false">J169-R169</f>
        <v>-0.4</v>
      </c>
      <c r="T169" s="14" t="n">
        <f aca="false">MIN(189.6,(T168+S169))</f>
        <v>182.4</v>
      </c>
      <c r="V169" s="15" t="n">
        <v>399</v>
      </c>
      <c r="W169" s="8" t="n">
        <v>-997.5</v>
      </c>
      <c r="X169" s="8" t="n">
        <v>78531.2</v>
      </c>
      <c r="Y169" s="8" t="n">
        <f aca="false">Y168+V169</f>
        <v>19253.5</v>
      </c>
      <c r="AA169" s="8" t="n">
        <v>9.9151007358076</v>
      </c>
      <c r="AB169" s="33" t="s">
        <v>47</v>
      </c>
    </row>
    <row r="170" s="8" customFormat="true" ht="15" hidden="false" customHeight="false" outlineLevel="0" collapsed="false">
      <c r="A170" s="27"/>
      <c r="B170" s="10"/>
      <c r="C170" s="11" t="n">
        <v>42048</v>
      </c>
      <c r="D170" s="8" t="n">
        <v>5.4</v>
      </c>
      <c r="E170" s="30" t="n">
        <v>-1.4</v>
      </c>
      <c r="F170" s="8" t="n">
        <v>9.4</v>
      </c>
      <c r="G170" s="8" t="n">
        <v>1398.8</v>
      </c>
      <c r="H170" s="8" t="n">
        <f aca="false">H169+D170</f>
        <v>286.6</v>
      </c>
      <c r="J170" s="32" t="n">
        <v>2.1</v>
      </c>
      <c r="K170" s="8" t="n">
        <v>288.7</v>
      </c>
      <c r="L170" s="8" t="n">
        <v>0.4</v>
      </c>
      <c r="M170" s="8" t="n">
        <v>164</v>
      </c>
      <c r="N170" s="8" t="n">
        <v>1.7</v>
      </c>
      <c r="O170" s="8" t="n">
        <f aca="false">O169+N170</f>
        <v>169.6</v>
      </c>
      <c r="P170" s="8" t="n">
        <v>165</v>
      </c>
      <c r="Q170" s="8" t="n">
        <v>1</v>
      </c>
      <c r="R170" s="14" t="n">
        <f aca="false">Q170*L170</f>
        <v>0.4</v>
      </c>
      <c r="S170" s="14" t="n">
        <f aca="false">J170-R170</f>
        <v>1.7</v>
      </c>
      <c r="T170" s="14" t="n">
        <f aca="false">MIN(189.6,(T169+S170))</f>
        <v>184.1</v>
      </c>
      <c r="V170" s="15" t="n">
        <v>471.8</v>
      </c>
      <c r="W170" s="8" t="n">
        <v>87.3703703703704</v>
      </c>
      <c r="X170" s="8" t="n">
        <v>79003</v>
      </c>
      <c r="Y170" s="8" t="n">
        <f aca="false">Y169+V170</f>
        <v>19725.3</v>
      </c>
      <c r="AA170" s="8" t="n">
        <v>9.97212336561814</v>
      </c>
      <c r="AB170" s="8" t="n">
        <v>3</v>
      </c>
    </row>
    <row r="171" s="8" customFormat="true" ht="15" hidden="false" customHeight="false" outlineLevel="0" collapsed="false">
      <c r="A171" s="27"/>
      <c r="B171" s="10"/>
      <c r="C171" s="11" t="n">
        <v>42049</v>
      </c>
      <c r="D171" s="8" t="n">
        <v>6.1</v>
      </c>
      <c r="E171" s="18" t="n">
        <v>4.8</v>
      </c>
      <c r="F171" s="8" t="n">
        <v>7.9</v>
      </c>
      <c r="G171" s="8" t="n">
        <v>1404.9</v>
      </c>
      <c r="H171" s="8" t="n">
        <f aca="false">H170+D171</f>
        <v>292.7</v>
      </c>
      <c r="J171" s="32" t="n">
        <v>1.8</v>
      </c>
      <c r="K171" s="8" t="n">
        <v>290.5</v>
      </c>
      <c r="L171" s="8" t="n">
        <v>0.5</v>
      </c>
      <c r="M171" s="8" t="n">
        <v>164.5</v>
      </c>
      <c r="N171" s="8" t="n">
        <v>1.3</v>
      </c>
      <c r="O171" s="8" t="n">
        <f aca="false">O170+N171</f>
        <v>170.9</v>
      </c>
      <c r="P171" s="8" t="n">
        <v>166</v>
      </c>
      <c r="Q171" s="8" t="n">
        <v>1</v>
      </c>
      <c r="R171" s="14" t="n">
        <f aca="false">Q171*L171</f>
        <v>0.5</v>
      </c>
      <c r="S171" s="14" t="n">
        <f aca="false">J171-R171</f>
        <v>1.3</v>
      </c>
      <c r="T171" s="14" t="n">
        <f aca="false">MIN(189.6,(T170+S171))</f>
        <v>185.4</v>
      </c>
      <c r="V171" s="15" t="n">
        <v>136.5</v>
      </c>
      <c r="W171" s="8" t="n">
        <v>22.3770491803279</v>
      </c>
      <c r="X171" s="8" t="n">
        <v>79139.5</v>
      </c>
      <c r="Y171" s="8" t="n">
        <f aca="false">Y170+V171</f>
        <v>19861.8</v>
      </c>
      <c r="AA171" s="8" t="n">
        <v>10.0295131730956</v>
      </c>
      <c r="AB171" s="33" t="s">
        <v>48</v>
      </c>
    </row>
    <row r="172" s="8" customFormat="true" ht="15" hidden="false" customHeight="false" outlineLevel="0" collapsed="false">
      <c r="A172" s="27"/>
      <c r="B172" s="10"/>
      <c r="C172" s="11" t="n">
        <v>42050</v>
      </c>
      <c r="D172" s="8" t="n">
        <v>5.5</v>
      </c>
      <c r="E172" s="18" t="n">
        <v>3.7</v>
      </c>
      <c r="F172" s="8" t="n">
        <v>8.2</v>
      </c>
      <c r="G172" s="8" t="n">
        <v>1410.4</v>
      </c>
      <c r="H172" s="8" t="n">
        <f aca="false">H171+D172</f>
        <v>298.2</v>
      </c>
      <c r="J172" s="32" t="n">
        <v>0.2</v>
      </c>
      <c r="K172" s="8" t="n">
        <v>290.7</v>
      </c>
      <c r="L172" s="8" t="n">
        <v>0.8</v>
      </c>
      <c r="M172" s="8" t="n">
        <v>165.3</v>
      </c>
      <c r="N172" s="13" t="n">
        <v>-0.6</v>
      </c>
      <c r="O172" s="8" t="n">
        <f aca="false">O171+N172</f>
        <v>170.3</v>
      </c>
      <c r="P172" s="8" t="n">
        <v>167</v>
      </c>
      <c r="Q172" s="8" t="n">
        <v>1</v>
      </c>
      <c r="R172" s="14" t="n">
        <f aca="false">Q172*L172</f>
        <v>0.8</v>
      </c>
      <c r="S172" s="14" t="n">
        <f aca="false">J172-R172</f>
        <v>-0.6</v>
      </c>
      <c r="T172" s="14" t="n">
        <f aca="false">MIN(189.6,(T171+S172))</f>
        <v>184.8</v>
      </c>
      <c r="V172" s="15" t="n">
        <v>595.8</v>
      </c>
      <c r="W172" s="8" t="n">
        <v>108.327272727273</v>
      </c>
      <c r="X172" s="8" t="n">
        <v>79735.3</v>
      </c>
      <c r="Y172" s="8" t="n">
        <f aca="false">Y171+V172</f>
        <v>20457.6</v>
      </c>
      <c r="AA172" s="8" t="n">
        <v>10.0872509637468</v>
      </c>
      <c r="AB172" s="8" t="n">
        <v>1</v>
      </c>
    </row>
    <row r="173" s="8" customFormat="true" ht="15" hidden="false" customHeight="false" outlineLevel="0" collapsed="false">
      <c r="A173" s="27"/>
      <c r="B173" s="10"/>
      <c r="C173" s="11" t="n">
        <v>42051</v>
      </c>
      <c r="D173" s="18" t="n">
        <v>3</v>
      </c>
      <c r="E173" s="30" t="n">
        <v>-0.6</v>
      </c>
      <c r="F173" s="8" t="n">
        <v>5.1</v>
      </c>
      <c r="G173" s="8" t="n">
        <v>1413.4</v>
      </c>
      <c r="H173" s="8" t="n">
        <f aca="false">H172+D173</f>
        <v>301.2</v>
      </c>
      <c r="J173" s="32" t="n">
        <v>0</v>
      </c>
      <c r="K173" s="8" t="n">
        <v>290.7</v>
      </c>
      <c r="L173" s="8" t="n">
        <v>0.3</v>
      </c>
      <c r="M173" s="8" t="n">
        <v>165.6</v>
      </c>
      <c r="N173" s="13" t="n">
        <v>-0.3</v>
      </c>
      <c r="O173" s="8" t="n">
        <f aca="false">O172+N173</f>
        <v>170</v>
      </c>
      <c r="P173" s="8" t="n">
        <v>168</v>
      </c>
      <c r="Q173" s="8" t="n">
        <v>1</v>
      </c>
      <c r="R173" s="14" t="n">
        <f aca="false">Q173*L173</f>
        <v>0.3</v>
      </c>
      <c r="S173" s="14" t="n">
        <f aca="false">J173-R173</f>
        <v>-0.3</v>
      </c>
      <c r="T173" s="14" t="n">
        <f aca="false">MIN(189.6,(T172+S173))</f>
        <v>184.5</v>
      </c>
      <c r="V173" s="15" t="n">
        <v>320.5</v>
      </c>
      <c r="W173" s="8" t="n">
        <v>106.833333333333</v>
      </c>
      <c r="X173" s="8" t="n">
        <v>80055.8</v>
      </c>
      <c r="Y173" s="8" t="n">
        <f aca="false">Y172+V173</f>
        <v>20778.1</v>
      </c>
      <c r="AA173" s="8" t="n">
        <v>10.1453182317421</v>
      </c>
      <c r="AB173" s="33" t="s">
        <v>49</v>
      </c>
    </row>
    <row r="174" s="8" customFormat="true" ht="15" hidden="false" customHeight="false" outlineLevel="0" collapsed="false">
      <c r="A174" s="27"/>
      <c r="B174" s="10"/>
      <c r="C174" s="11" t="n">
        <v>42052</v>
      </c>
      <c r="D174" s="18" t="n">
        <v>4.3</v>
      </c>
      <c r="E174" s="18" t="n">
        <v>3.9</v>
      </c>
      <c r="F174" s="8" t="n">
        <v>5.9</v>
      </c>
      <c r="G174" s="8" t="n">
        <v>1417.7</v>
      </c>
      <c r="H174" s="8" t="n">
        <f aca="false">H173+D174</f>
        <v>305.5</v>
      </c>
      <c r="J174" s="32" t="n">
        <v>0.3</v>
      </c>
      <c r="K174" s="8" t="n">
        <v>291</v>
      </c>
      <c r="L174" s="8" t="n">
        <v>0.6</v>
      </c>
      <c r="M174" s="8" t="n">
        <v>166.2</v>
      </c>
      <c r="N174" s="13" t="n">
        <v>-0.3</v>
      </c>
      <c r="O174" s="8" t="n">
        <f aca="false">O173+N174</f>
        <v>169.7</v>
      </c>
      <c r="P174" s="8" t="n">
        <v>169</v>
      </c>
      <c r="Q174" s="8" t="n">
        <v>1</v>
      </c>
      <c r="R174" s="14" t="n">
        <f aca="false">Q174*L174</f>
        <v>0.6</v>
      </c>
      <c r="S174" s="14" t="n">
        <f aca="false">J174-R174</f>
        <v>-0.3</v>
      </c>
      <c r="T174" s="34" t="n">
        <f aca="false">MIN(189.6,(T173+S174))</f>
        <v>184.2</v>
      </c>
      <c r="V174" s="15" t="n">
        <v>409.3</v>
      </c>
      <c r="W174" s="8" t="n">
        <v>95.1860465116279</v>
      </c>
      <c r="X174" s="8" t="n">
        <v>80465.1</v>
      </c>
      <c r="Y174" s="8" t="n">
        <f aca="false">Y173+V174</f>
        <v>21187.4</v>
      </c>
      <c r="AA174" s="8" t="n">
        <v>10.2036971479745</v>
      </c>
      <c r="AB174" s="8" t="n">
        <v>5</v>
      </c>
    </row>
    <row r="175" s="8" customFormat="true" ht="15" hidden="false" customHeight="false" outlineLevel="0" collapsed="false">
      <c r="A175" s="27"/>
      <c r="B175" s="10"/>
      <c r="C175" s="11" t="n">
        <v>42053</v>
      </c>
      <c r="D175" s="18" t="n">
        <v>0.6</v>
      </c>
      <c r="E175" s="30" t="n">
        <v>-1.6</v>
      </c>
      <c r="F175" s="18" t="n">
        <v>2.8</v>
      </c>
      <c r="G175" s="8" t="n">
        <v>1418.3</v>
      </c>
      <c r="H175" s="8" t="n">
        <f aca="false">H174+D175</f>
        <v>306.1</v>
      </c>
      <c r="J175" s="32" t="n">
        <v>0</v>
      </c>
      <c r="K175" s="8" t="n">
        <v>291</v>
      </c>
      <c r="L175" s="8" t="n">
        <v>0.5</v>
      </c>
      <c r="M175" s="8" t="n">
        <v>166.7</v>
      </c>
      <c r="N175" s="13" t="n">
        <v>-0.5</v>
      </c>
      <c r="O175" s="8" t="n">
        <f aca="false">O174+N175</f>
        <v>169.2</v>
      </c>
      <c r="P175" s="8" t="n">
        <v>170</v>
      </c>
      <c r="Q175" s="8" t="n">
        <v>1</v>
      </c>
      <c r="R175" s="14" t="n">
        <f aca="false">Q175*L175</f>
        <v>0.5</v>
      </c>
      <c r="S175" s="14" t="n">
        <f aca="false">J175-R175</f>
        <v>-0.5</v>
      </c>
      <c r="T175" s="34" t="n">
        <f aca="false">MIN(189.6,(T174+S175))</f>
        <v>183.7</v>
      </c>
      <c r="V175" s="15" t="n">
        <v>401.3</v>
      </c>
      <c r="W175" s="8" t="n">
        <v>668.833333333333</v>
      </c>
      <c r="X175" s="8" t="n">
        <v>80866.4</v>
      </c>
      <c r="Y175" s="8" t="n">
        <f aca="false">Y174+V175</f>
        <v>21588.7</v>
      </c>
      <c r="AA175" s="8" t="n">
        <v>10.2623705468442</v>
      </c>
      <c r="AB175" s="33" t="s">
        <v>50</v>
      </c>
    </row>
    <row r="176" s="8" customFormat="true" ht="15" hidden="false" customHeight="false" outlineLevel="0" collapsed="false">
      <c r="A176" s="27"/>
      <c r="B176" s="10"/>
      <c r="C176" s="11" t="n">
        <v>42054</v>
      </c>
      <c r="D176" s="18" t="n">
        <v>3</v>
      </c>
      <c r="E176" s="18" t="n">
        <v>0.4</v>
      </c>
      <c r="F176" s="8" t="n">
        <v>4.9</v>
      </c>
      <c r="G176" s="8" t="n">
        <v>1421.3</v>
      </c>
      <c r="H176" s="8" t="n">
        <f aca="false">H175+D176</f>
        <v>309.1</v>
      </c>
      <c r="J176" s="32" t="n">
        <v>2.5</v>
      </c>
      <c r="K176" s="8" t="n">
        <v>293.5</v>
      </c>
      <c r="L176" s="8" t="n">
        <v>0.6</v>
      </c>
      <c r="M176" s="8" t="n">
        <v>167.3</v>
      </c>
      <c r="N176" s="8" t="n">
        <v>1.9</v>
      </c>
      <c r="O176" s="8" t="n">
        <f aca="false">O175+N176</f>
        <v>171.1</v>
      </c>
      <c r="P176" s="8" t="n">
        <v>171</v>
      </c>
      <c r="Q176" s="8" t="n">
        <v>1</v>
      </c>
      <c r="R176" s="14" t="n">
        <f aca="false">Q176*L176</f>
        <v>0.6</v>
      </c>
      <c r="S176" s="14" t="n">
        <f aca="false">J176-R176</f>
        <v>1.9</v>
      </c>
      <c r="T176" s="34" t="n">
        <f aca="false">MIN(189.6,(T175+S176))</f>
        <v>185.6</v>
      </c>
      <c r="V176" s="15" t="n">
        <v>623.3</v>
      </c>
      <c r="W176" s="8" t="n">
        <v>207.766666666667</v>
      </c>
      <c r="X176" s="8" t="n">
        <v>81489.7</v>
      </c>
      <c r="Y176" s="8" t="n">
        <f aca="false">Y175+V176</f>
        <v>22212</v>
      </c>
      <c r="AA176" s="8" t="n">
        <v>10.3213219118997</v>
      </c>
      <c r="AB176" s="8" t="n">
        <f aca="false">SUM(J178:J187)</f>
        <v>29.4</v>
      </c>
    </row>
    <row r="177" s="37" customFormat="true" ht="15" hidden="false" customHeight="false" outlineLevel="0" collapsed="false">
      <c r="A177" s="27"/>
      <c r="B177" s="35" t="s">
        <v>51</v>
      </c>
      <c r="C177" s="36" t="n">
        <v>42055</v>
      </c>
      <c r="D177" s="37" t="n">
        <v>5.8</v>
      </c>
      <c r="E177" s="37" t="n">
        <v>4.2</v>
      </c>
      <c r="F177" s="37" t="n">
        <v>7.3</v>
      </c>
      <c r="G177" s="37" t="n">
        <v>1427.1</v>
      </c>
      <c r="H177" s="37" t="n">
        <f aca="false">H176+D177</f>
        <v>314.9</v>
      </c>
      <c r="J177" s="37" t="n">
        <v>11.5</v>
      </c>
      <c r="K177" s="37" t="n">
        <v>305</v>
      </c>
      <c r="L177" s="37" t="n">
        <v>0.6</v>
      </c>
      <c r="M177" s="37" t="n">
        <v>167.9</v>
      </c>
      <c r="N177" s="37" t="n">
        <v>10.9</v>
      </c>
      <c r="O177" s="37" t="n">
        <f aca="false">O176+N177</f>
        <v>182</v>
      </c>
      <c r="P177" s="37" t="n">
        <v>172</v>
      </c>
      <c r="Q177" s="37" t="n">
        <v>1</v>
      </c>
      <c r="R177" s="38" t="n">
        <f aca="false">Q177*L177</f>
        <v>0.6</v>
      </c>
      <c r="S177" s="38" t="n">
        <f aca="false">J177-R177</f>
        <v>10.9</v>
      </c>
      <c r="T177" s="38" t="n">
        <f aca="false">MIN(189.6,(T176+S177))</f>
        <v>189.6</v>
      </c>
      <c r="V177" s="37" t="n">
        <v>182</v>
      </c>
      <c r="W177" s="37" t="n">
        <v>31.3793103448276</v>
      </c>
      <c r="X177" s="37" t="n">
        <v>81671.7</v>
      </c>
      <c r="Y177" s="37" t="n">
        <f aca="false">Y176+V177</f>
        <v>22394</v>
      </c>
      <c r="AA177" s="37" t="n">
        <v>10.3805353604641</v>
      </c>
    </row>
    <row r="178" s="8" customFormat="true" ht="15" hidden="false" customHeight="false" outlineLevel="0" collapsed="false">
      <c r="A178" s="27"/>
      <c r="B178" s="10"/>
      <c r="C178" s="11" t="n">
        <v>42056</v>
      </c>
      <c r="D178" s="18" t="n">
        <v>2.7</v>
      </c>
      <c r="E178" s="18" t="n">
        <v>2.1</v>
      </c>
      <c r="F178" s="18" t="n">
        <v>3.7</v>
      </c>
      <c r="G178" s="8" t="n">
        <v>1429.8</v>
      </c>
      <c r="H178" s="8" t="n">
        <f aca="false">H177+D178</f>
        <v>317.6</v>
      </c>
      <c r="J178" s="32" t="n">
        <v>1.8</v>
      </c>
      <c r="K178" s="8" t="n">
        <v>306.8</v>
      </c>
      <c r="L178" s="8" t="n">
        <v>0.4</v>
      </c>
      <c r="M178" s="8" t="n">
        <v>168.3</v>
      </c>
      <c r="N178" s="8" t="n">
        <v>1.4</v>
      </c>
      <c r="O178" s="8" t="n">
        <f aca="false">O177+N178</f>
        <v>183.4</v>
      </c>
      <c r="P178" s="8" t="n">
        <v>173</v>
      </c>
      <c r="Q178" s="8" t="n">
        <v>1</v>
      </c>
      <c r="R178" s="14" t="n">
        <f aca="false">Q178*L178</f>
        <v>0.4</v>
      </c>
      <c r="S178" s="14" t="n">
        <f aca="false">J178-R178</f>
        <v>1.4</v>
      </c>
      <c r="T178" s="34" t="n">
        <f aca="false">MIN(189.6,(T177+S178))</f>
        <v>189.6</v>
      </c>
      <c r="V178" s="15" t="n">
        <v>282.3</v>
      </c>
      <c r="W178" s="8" t="n">
        <v>104.555555555556</v>
      </c>
      <c r="X178" s="8" t="n">
        <v>81954</v>
      </c>
      <c r="Y178" s="8" t="n">
        <f aca="false">Y177+V178</f>
        <v>22676.3</v>
      </c>
      <c r="AA178" s="8" t="n">
        <v>10.4399956273618</v>
      </c>
    </row>
    <row r="179" s="8" customFormat="true" ht="15" hidden="false" customHeight="false" outlineLevel="0" collapsed="false">
      <c r="A179" s="27"/>
      <c r="B179" s="10"/>
      <c r="C179" s="11" t="n">
        <v>42057</v>
      </c>
      <c r="D179" s="18" t="n">
        <v>3.6</v>
      </c>
      <c r="E179" s="30" t="n">
        <v>-0.7</v>
      </c>
      <c r="F179" s="8" t="n">
        <v>6.5</v>
      </c>
      <c r="G179" s="8" t="n">
        <v>1433.4</v>
      </c>
      <c r="H179" s="8" t="n">
        <f aca="false">H178+D179</f>
        <v>321.2</v>
      </c>
      <c r="J179" s="32" t="n">
        <v>8.8</v>
      </c>
      <c r="K179" s="8" t="n">
        <v>315.6</v>
      </c>
      <c r="L179" s="8" t="n">
        <v>0.7</v>
      </c>
      <c r="M179" s="8" t="n">
        <v>169</v>
      </c>
      <c r="N179" s="8" t="n">
        <v>8.1</v>
      </c>
      <c r="O179" s="8" t="n">
        <f aca="false">O178+N179</f>
        <v>191.5</v>
      </c>
      <c r="P179" s="8" t="n">
        <v>174</v>
      </c>
      <c r="Q179" s="8" t="n">
        <v>1</v>
      </c>
      <c r="R179" s="14" t="n">
        <f aca="false">Q179*L179</f>
        <v>0.7</v>
      </c>
      <c r="S179" s="14" t="n">
        <f aca="false">J179-R179</f>
        <v>8.1</v>
      </c>
      <c r="T179" s="34" t="n">
        <f aca="false">MIN(189.6,(T178+S179))</f>
        <v>189.6</v>
      </c>
      <c r="V179" s="15" t="n">
        <v>617.9</v>
      </c>
      <c r="W179" s="8" t="n">
        <v>171.638888888889</v>
      </c>
      <c r="X179" s="8" t="n">
        <v>82571.9</v>
      </c>
      <c r="Y179" s="8" t="n">
        <f aca="false">Y178+V179</f>
        <v>23294.2</v>
      </c>
      <c r="AA179" s="8" t="n">
        <v>10.4996880478584</v>
      </c>
    </row>
    <row r="180" s="8" customFormat="true" ht="15" hidden="false" customHeight="false" outlineLevel="0" collapsed="false">
      <c r="A180" s="27"/>
      <c r="B180" s="10"/>
      <c r="C180" s="11" t="n">
        <v>42058</v>
      </c>
      <c r="D180" s="8" t="n">
        <v>5.9</v>
      </c>
      <c r="E180" s="18" t="n">
        <v>3.9</v>
      </c>
      <c r="F180" s="8" t="n">
        <v>9.8</v>
      </c>
      <c r="G180" s="8" t="n">
        <v>1439.3</v>
      </c>
      <c r="H180" s="8" t="n">
        <f aca="false">H179+D180</f>
        <v>327.1</v>
      </c>
      <c r="J180" s="32" t="n">
        <v>0.3</v>
      </c>
      <c r="K180" s="8" t="n">
        <v>315.9</v>
      </c>
      <c r="L180" s="8" t="n">
        <v>1.4</v>
      </c>
      <c r="M180" s="8" t="n">
        <v>170.4</v>
      </c>
      <c r="N180" s="13" t="n">
        <v>-1.1</v>
      </c>
      <c r="O180" s="8" t="n">
        <f aca="false">O179+N180</f>
        <v>190.4</v>
      </c>
      <c r="P180" s="8" t="n">
        <v>175</v>
      </c>
      <c r="Q180" s="8" t="n">
        <v>1</v>
      </c>
      <c r="R180" s="14" t="n">
        <f aca="false">Q180*L180</f>
        <v>1.4</v>
      </c>
      <c r="S180" s="14" t="n">
        <f aca="false">J180-R180</f>
        <v>-1.1</v>
      </c>
      <c r="T180" s="34" t="n">
        <f aca="false">MIN(189.6,(T179+S180))</f>
        <v>188.5</v>
      </c>
      <c r="V180" s="15" t="n">
        <v>709.9</v>
      </c>
      <c r="W180" s="8" t="n">
        <v>120.322033898305</v>
      </c>
      <c r="X180" s="8" t="n">
        <v>83281.8</v>
      </c>
      <c r="Y180" s="8" t="n">
        <f aca="false">Y179+V180</f>
        <v>24004.1</v>
      </c>
      <c r="AA180" s="8" t="n">
        <v>10.5595985399135</v>
      </c>
    </row>
    <row r="181" s="8" customFormat="true" ht="15" hidden="false" customHeight="false" outlineLevel="0" collapsed="false">
      <c r="A181" s="27"/>
      <c r="B181" s="10"/>
      <c r="C181" s="11" t="n">
        <v>42059</v>
      </c>
      <c r="D181" s="18" t="n">
        <v>4.9</v>
      </c>
      <c r="E181" s="18" t="n">
        <v>2.3</v>
      </c>
      <c r="F181" s="8" t="n">
        <v>8.5</v>
      </c>
      <c r="G181" s="8" t="n">
        <v>1444.2</v>
      </c>
      <c r="H181" s="8" t="n">
        <f aca="false">H180+D181</f>
        <v>332</v>
      </c>
      <c r="J181" s="32" t="n">
        <v>1.2</v>
      </c>
      <c r="K181" s="8" t="n">
        <v>317.1</v>
      </c>
      <c r="L181" s="8" t="n">
        <v>1.2</v>
      </c>
      <c r="M181" s="8" t="n">
        <v>171.6</v>
      </c>
      <c r="N181" s="8" t="n">
        <v>0</v>
      </c>
      <c r="O181" s="8" t="n">
        <f aca="false">O180+N181</f>
        <v>190.4</v>
      </c>
      <c r="P181" s="8" t="n">
        <v>176</v>
      </c>
      <c r="Q181" s="8" t="n">
        <v>1</v>
      </c>
      <c r="R181" s="14" t="n">
        <f aca="false">Q181*L181</f>
        <v>1.2</v>
      </c>
      <c r="S181" s="14" t="n">
        <f aca="false">J181-R181</f>
        <v>0</v>
      </c>
      <c r="T181" s="34" t="n">
        <f aca="false">MIN(189.6,(T180+S181))</f>
        <v>188.5</v>
      </c>
      <c r="V181" s="15" t="n">
        <v>732.6</v>
      </c>
      <c r="W181" s="8" t="n">
        <v>149.510204081633</v>
      </c>
      <c r="X181" s="8" t="n">
        <v>84014.4</v>
      </c>
      <c r="Y181" s="8" t="n">
        <f aca="false">Y180+V181</f>
        <v>24736.7</v>
      </c>
      <c r="AA181" s="8" t="n">
        <v>10.6197135858434</v>
      </c>
    </row>
    <row r="182" s="8" customFormat="true" ht="15" hidden="false" customHeight="false" outlineLevel="0" collapsed="false">
      <c r="A182" s="27"/>
      <c r="B182" s="10"/>
      <c r="C182" s="11" t="n">
        <v>42060</v>
      </c>
      <c r="D182" s="8" t="n">
        <v>5.3</v>
      </c>
      <c r="E182" s="18" t="n">
        <v>1.9</v>
      </c>
      <c r="F182" s="8" t="n">
        <v>7.4</v>
      </c>
      <c r="G182" s="8" t="n">
        <v>1449.5</v>
      </c>
      <c r="H182" s="8" t="n">
        <f aca="false">H181+D182</f>
        <v>337.3</v>
      </c>
      <c r="J182" s="32" t="n">
        <v>2.1</v>
      </c>
      <c r="K182" s="8" t="n">
        <v>319.2</v>
      </c>
      <c r="L182" s="8" t="n">
        <v>0.2</v>
      </c>
      <c r="M182" s="8" t="n">
        <v>171.8</v>
      </c>
      <c r="N182" s="8" t="n">
        <v>1.9</v>
      </c>
      <c r="O182" s="8" t="n">
        <f aca="false">O181+N182</f>
        <v>192.3</v>
      </c>
      <c r="P182" s="8" t="n">
        <v>177</v>
      </c>
      <c r="Q182" s="8" t="n">
        <v>1</v>
      </c>
      <c r="R182" s="14" t="n">
        <f aca="false">Q182*L182</f>
        <v>0.2</v>
      </c>
      <c r="S182" s="14" t="n">
        <f aca="false">J182-R182</f>
        <v>1.9</v>
      </c>
      <c r="T182" s="34" t="n">
        <f aca="false">MIN(189.6,(T181+S182))</f>
        <v>189.6</v>
      </c>
      <c r="V182" s="15" t="n">
        <v>194</v>
      </c>
      <c r="W182" s="8" t="n">
        <v>36.6037735849057</v>
      </c>
      <c r="X182" s="8" t="n">
        <v>84208.4</v>
      </c>
      <c r="Y182" s="8" t="n">
        <f aca="false">Y181+V182</f>
        <v>24930.7</v>
      </c>
      <c r="AA182" s="8" t="n">
        <v>10.6800202134794</v>
      </c>
      <c r="AD182" s="33" t="s">
        <v>46</v>
      </c>
    </row>
    <row r="183" s="8" customFormat="true" ht="15" hidden="false" customHeight="false" outlineLevel="0" collapsed="false">
      <c r="A183" s="27"/>
      <c r="B183" s="10"/>
      <c r="C183" s="11" t="n">
        <v>42061</v>
      </c>
      <c r="D183" s="8" t="n">
        <v>7.6</v>
      </c>
      <c r="E183" s="8" t="n">
        <v>5.4</v>
      </c>
      <c r="F183" s="8" t="n">
        <v>9.8</v>
      </c>
      <c r="G183" s="8" t="n">
        <v>1457.1</v>
      </c>
      <c r="H183" s="8" t="n">
        <f aca="false">H182+D183</f>
        <v>344.9</v>
      </c>
      <c r="J183" s="32" t="n">
        <v>9.7</v>
      </c>
      <c r="K183" s="8" t="n">
        <v>328.9</v>
      </c>
      <c r="L183" s="8" t="n">
        <v>0.3</v>
      </c>
      <c r="M183" s="8" t="n">
        <v>172.1</v>
      </c>
      <c r="N183" s="8" t="n">
        <v>9.4</v>
      </c>
      <c r="O183" s="8" t="n">
        <f aca="false">O182+N183</f>
        <v>201.7</v>
      </c>
      <c r="P183" s="8" t="n">
        <v>178</v>
      </c>
      <c r="Q183" s="8" t="n">
        <v>1</v>
      </c>
      <c r="R183" s="14" t="n">
        <f aca="false">Q183*L183</f>
        <v>0.3</v>
      </c>
      <c r="S183" s="14" t="n">
        <f aca="false">J183-R183</f>
        <v>9.4</v>
      </c>
      <c r="T183" s="34" t="n">
        <f aca="false">MIN(189.6,(T182+S183))</f>
        <v>189.6</v>
      </c>
      <c r="V183" s="15" t="n">
        <v>207.8</v>
      </c>
      <c r="W183" s="8" t="n">
        <v>27.3421052631579</v>
      </c>
      <c r="X183" s="8" t="n">
        <v>84416.2</v>
      </c>
      <c r="Y183" s="8" t="n">
        <f aca="false">Y182+V183</f>
        <v>25138.5</v>
      </c>
      <c r="AA183" s="8" t="n">
        <v>10.7405059769033</v>
      </c>
      <c r="AD183" s="16" t="n">
        <f aca="false">(AB168*(50/130))+(AB189*(80/130))</f>
        <v>177.927545787546</v>
      </c>
    </row>
    <row r="184" s="8" customFormat="true" ht="15" hidden="false" customHeight="false" outlineLevel="0" collapsed="false">
      <c r="A184" s="27"/>
      <c r="B184" s="10"/>
      <c r="C184" s="11" t="n">
        <v>42062</v>
      </c>
      <c r="D184" s="18" t="n">
        <v>4</v>
      </c>
      <c r="E184" s="18" t="n">
        <v>2.1</v>
      </c>
      <c r="F184" s="8" t="n">
        <v>6.9</v>
      </c>
      <c r="G184" s="8" t="n">
        <v>1461.1</v>
      </c>
      <c r="H184" s="8" t="n">
        <f aca="false">H183+D184</f>
        <v>348.9</v>
      </c>
      <c r="J184" s="32" t="n">
        <v>0</v>
      </c>
      <c r="K184" s="8" t="n">
        <v>328.9</v>
      </c>
      <c r="L184" s="8" t="n">
        <v>1.2</v>
      </c>
      <c r="M184" s="8" t="n">
        <v>173.3</v>
      </c>
      <c r="N184" s="13" t="n">
        <v>-1.2</v>
      </c>
      <c r="O184" s="8" t="n">
        <f aca="false">O183+N184</f>
        <v>200.5</v>
      </c>
      <c r="P184" s="8" t="n">
        <v>179</v>
      </c>
      <c r="Q184" s="8" t="n">
        <v>1</v>
      </c>
      <c r="R184" s="14" t="n">
        <f aca="false">Q184*L184</f>
        <v>1.2</v>
      </c>
      <c r="S184" s="14" t="n">
        <f aca="false">J184-R184</f>
        <v>-1.2</v>
      </c>
      <c r="T184" s="34" t="n">
        <f aca="false">MIN(189.6,(T183+S184))</f>
        <v>188.4</v>
      </c>
      <c r="V184" s="15" t="n">
        <v>885</v>
      </c>
      <c r="W184" s="8" t="n">
        <v>221.25</v>
      </c>
      <c r="X184" s="8" t="n">
        <v>85301.2</v>
      </c>
      <c r="Y184" s="8" t="n">
        <f aca="false">Y183+V184</f>
        <v>26023.5</v>
      </c>
      <c r="AA184" s="8" t="n">
        <v>10.8011589368326</v>
      </c>
      <c r="AD184" s="33" t="s">
        <v>47</v>
      </c>
    </row>
    <row r="185" s="8" customFormat="true" ht="15" hidden="false" customHeight="false" outlineLevel="0" collapsed="false">
      <c r="A185" s="27"/>
      <c r="B185" s="10"/>
      <c r="C185" s="11" t="n">
        <v>42063</v>
      </c>
      <c r="D185" s="8" t="n">
        <v>5.2</v>
      </c>
      <c r="E185" s="30" t="n">
        <v>-0.3</v>
      </c>
      <c r="F185" s="8" t="n">
        <v>9.3</v>
      </c>
      <c r="G185" s="8" t="n">
        <v>1466.3</v>
      </c>
      <c r="H185" s="8" t="n">
        <f aca="false">H184+D185</f>
        <v>354.1</v>
      </c>
      <c r="J185" s="32" t="n">
        <v>3.6</v>
      </c>
      <c r="K185" s="8" t="n">
        <v>332.5</v>
      </c>
      <c r="L185" s="8" t="n">
        <v>0.8</v>
      </c>
      <c r="M185" s="8" t="n">
        <v>174.1</v>
      </c>
      <c r="N185" s="8" t="n">
        <v>2.8</v>
      </c>
      <c r="O185" s="8" t="n">
        <f aca="false">O184+N185</f>
        <v>203.3</v>
      </c>
      <c r="P185" s="8" t="n">
        <v>180</v>
      </c>
      <c r="Q185" s="8" t="n">
        <v>1</v>
      </c>
      <c r="R185" s="14" t="n">
        <f aca="false">Q185*L185</f>
        <v>0.8</v>
      </c>
      <c r="S185" s="14" t="n">
        <f aca="false">J185-R185</f>
        <v>2.8</v>
      </c>
      <c r="T185" s="34" t="n">
        <f aca="false">MIN(189.6,(T184+S185))</f>
        <v>189.6</v>
      </c>
      <c r="V185" s="15" t="n">
        <v>555.6</v>
      </c>
      <c r="W185" s="8" t="n">
        <v>106.846153846154</v>
      </c>
      <c r="X185" s="8" t="n">
        <v>85856.8</v>
      </c>
      <c r="Y185" s="8" t="n">
        <f aca="false">Y184+V185</f>
        <v>26579.1</v>
      </c>
      <c r="AA185" s="8" t="n">
        <v>10.8619676407228</v>
      </c>
      <c r="AD185" s="14" t="n">
        <f aca="false">(AB170*(50/130))+(AB191*(80/130))</f>
        <v>2.38461538461539</v>
      </c>
    </row>
    <row r="186" s="8" customFormat="true" ht="15" hidden="false" customHeight="false" outlineLevel="0" collapsed="false">
      <c r="A186" s="27"/>
      <c r="B186" s="10"/>
      <c r="C186" s="11" t="n">
        <v>42064</v>
      </c>
      <c r="D186" s="8" t="n">
        <v>9.1</v>
      </c>
      <c r="E186" s="8" t="n">
        <v>7</v>
      </c>
      <c r="F186" s="8" t="n">
        <v>11</v>
      </c>
      <c r="G186" s="8" t="n">
        <v>1475.4</v>
      </c>
      <c r="H186" s="8" t="n">
        <f aca="false">H185+D186</f>
        <v>363.2</v>
      </c>
      <c r="J186" s="32" t="n">
        <v>0.3</v>
      </c>
      <c r="K186" s="8" t="n">
        <v>332.8</v>
      </c>
      <c r="L186" s="8" t="n">
        <v>1.6</v>
      </c>
      <c r="M186" s="8" t="n">
        <v>175.7</v>
      </c>
      <c r="N186" s="13" t="n">
        <v>-1.3</v>
      </c>
      <c r="O186" s="8" t="n">
        <f aca="false">O185+N186</f>
        <v>202</v>
      </c>
      <c r="P186" s="8" t="n">
        <v>181</v>
      </c>
      <c r="Q186" s="8" t="n">
        <v>1</v>
      </c>
      <c r="R186" s="14" t="n">
        <f aca="false">Q186*L186</f>
        <v>1.6</v>
      </c>
      <c r="S186" s="14" t="n">
        <f aca="false">J186-R186</f>
        <v>-1.3</v>
      </c>
      <c r="T186" s="34" t="n">
        <f aca="false">MIN(189.6,(T185+S186))</f>
        <v>188.3</v>
      </c>
      <c r="V186" s="15" t="n">
        <v>777.1</v>
      </c>
      <c r="W186" s="8" t="n">
        <v>85.3956043956044</v>
      </c>
      <c r="X186" s="8" t="n">
        <v>86633.9</v>
      </c>
      <c r="Y186" s="8" t="n">
        <f aca="false">Y185+V186</f>
        <v>27356.2</v>
      </c>
      <c r="AA186" s="8" t="n">
        <v>10.9229211026463</v>
      </c>
      <c r="AD186" s="33" t="s">
        <v>48</v>
      </c>
    </row>
    <row r="187" s="8" customFormat="true" ht="15" hidden="false" customHeight="false" outlineLevel="0" collapsed="false">
      <c r="A187" s="27"/>
      <c r="B187" s="10"/>
      <c r="C187" s="11" t="n">
        <v>42065</v>
      </c>
      <c r="D187" s="8" t="n">
        <v>5.6</v>
      </c>
      <c r="E187" s="18" t="n">
        <v>4.8</v>
      </c>
      <c r="F187" s="8" t="n">
        <v>7.3</v>
      </c>
      <c r="G187" s="8" t="n">
        <v>1481</v>
      </c>
      <c r="H187" s="8" t="n">
        <f aca="false">H186+D187</f>
        <v>368.8</v>
      </c>
      <c r="J187" s="32" t="n">
        <v>1.6</v>
      </c>
      <c r="K187" s="8" t="n">
        <v>334.4</v>
      </c>
      <c r="L187" s="8" t="n">
        <v>1.5</v>
      </c>
      <c r="M187" s="8" t="n">
        <v>177.2</v>
      </c>
      <c r="N187" s="8" t="n">
        <v>0.1</v>
      </c>
      <c r="O187" s="8" t="n">
        <f aca="false">O186+N187</f>
        <v>202.1</v>
      </c>
      <c r="P187" s="8" t="n">
        <v>182</v>
      </c>
      <c r="Q187" s="8" t="n">
        <v>1</v>
      </c>
      <c r="R187" s="14" t="n">
        <f aca="false">Q187*L187</f>
        <v>1.5</v>
      </c>
      <c r="S187" s="14" t="n">
        <f aca="false">J187-R187</f>
        <v>0.1</v>
      </c>
      <c r="T187" s="34" t="n">
        <f aca="false">MIN(189.6,(T186+S187))</f>
        <v>188.4</v>
      </c>
      <c r="V187" s="8" t="n">
        <v>964.7</v>
      </c>
      <c r="W187" s="8" t="n">
        <v>172.267857142857</v>
      </c>
      <c r="X187" s="8" t="n">
        <v>87598.6</v>
      </c>
      <c r="Y187" s="8" t="n">
        <f aca="false">Y186+V187</f>
        <v>28320.9</v>
      </c>
      <c r="AA187" s="8" t="n">
        <v>10.9840087830034</v>
      </c>
      <c r="AD187" s="14" t="n">
        <f aca="false">(AB172*(50/130))+(AB193*(80/130))</f>
        <v>5.30769230769231</v>
      </c>
    </row>
    <row r="188" s="8" customFormat="true" ht="15" hidden="false" customHeight="false" outlineLevel="0" collapsed="false">
      <c r="A188" s="27"/>
      <c r="B188" s="10"/>
      <c r="C188" s="11" t="n">
        <v>42066</v>
      </c>
      <c r="D188" s="18" t="n">
        <v>4.4</v>
      </c>
      <c r="E188" s="18" t="n">
        <v>1.5</v>
      </c>
      <c r="F188" s="8" t="n">
        <v>7.9</v>
      </c>
      <c r="G188" s="8" t="n">
        <v>1485.4</v>
      </c>
      <c r="H188" s="8" t="n">
        <f aca="false">H187+D188</f>
        <v>373.2</v>
      </c>
      <c r="I188" s="8" t="n">
        <v>10</v>
      </c>
      <c r="J188" s="32" t="n">
        <v>1.9</v>
      </c>
      <c r="K188" s="8" t="n">
        <v>336.3</v>
      </c>
      <c r="L188" s="8" t="n">
        <v>0.9</v>
      </c>
      <c r="M188" s="8" t="n">
        <v>178.1</v>
      </c>
      <c r="N188" s="8" t="n">
        <v>1</v>
      </c>
      <c r="O188" s="8" t="n">
        <f aca="false">O187+N188</f>
        <v>203.1</v>
      </c>
      <c r="P188" s="8" t="n">
        <v>183</v>
      </c>
      <c r="Q188" s="8" t="n">
        <v>1</v>
      </c>
      <c r="R188" s="14" t="n">
        <f aca="false">Q188*L188</f>
        <v>0.9</v>
      </c>
      <c r="S188" s="14" t="n">
        <f aca="false">J188-R188</f>
        <v>1</v>
      </c>
      <c r="T188" s="14" t="n">
        <f aca="false">MIN(189.6,(T187+S188))</f>
        <v>189.4</v>
      </c>
      <c r="V188" s="15" t="n">
        <v>390.3</v>
      </c>
      <c r="W188" s="8" t="n">
        <v>88.7045454545455</v>
      </c>
      <c r="X188" s="8" t="n">
        <v>87988.9</v>
      </c>
      <c r="Y188" s="8" t="n">
        <f aca="false">Y187+V188</f>
        <v>28711.2</v>
      </c>
      <c r="AA188" s="8" t="n">
        <v>11.0452205681135</v>
      </c>
      <c r="AB188" s="33" t="s">
        <v>46</v>
      </c>
      <c r="AD188" s="33" t="s">
        <v>49</v>
      </c>
    </row>
    <row r="189" s="8" customFormat="true" ht="15" hidden="false" customHeight="false" outlineLevel="0" collapsed="false">
      <c r="A189" s="27"/>
      <c r="B189" s="10"/>
      <c r="C189" s="11" t="n">
        <v>42067</v>
      </c>
      <c r="D189" s="18" t="n">
        <v>4.1</v>
      </c>
      <c r="E189" s="18" t="n">
        <v>0.7</v>
      </c>
      <c r="F189" s="8" t="n">
        <v>7.3</v>
      </c>
      <c r="G189" s="8" t="n">
        <v>1489.5</v>
      </c>
      <c r="H189" s="8" t="n">
        <f aca="false">H188+D189</f>
        <v>377.3</v>
      </c>
      <c r="J189" s="32" t="n">
        <v>0.4</v>
      </c>
      <c r="K189" s="8" t="n">
        <v>336.7</v>
      </c>
      <c r="L189" s="8" t="n">
        <v>1.4</v>
      </c>
      <c r="M189" s="8" t="n">
        <v>179.5</v>
      </c>
      <c r="N189" s="13" t="n">
        <v>-1</v>
      </c>
      <c r="O189" s="8" t="n">
        <f aca="false">O188+N189</f>
        <v>202.1</v>
      </c>
      <c r="P189" s="8" t="n">
        <v>184</v>
      </c>
      <c r="Q189" s="8" t="n">
        <v>1</v>
      </c>
      <c r="R189" s="14" t="n">
        <f aca="false">Q189*L189</f>
        <v>1.4</v>
      </c>
      <c r="S189" s="14" t="n">
        <f aca="false">J189-R189</f>
        <v>-1</v>
      </c>
      <c r="T189" s="14" t="n">
        <f aca="false">MIN(189.6,(T188+S189))</f>
        <v>188.4</v>
      </c>
      <c r="V189" s="8" t="n">
        <v>1253.7</v>
      </c>
      <c r="W189" s="8" t="n">
        <v>305.780487804878</v>
      </c>
      <c r="X189" s="8" t="n">
        <v>89242.6</v>
      </c>
      <c r="Y189" s="8" t="n">
        <f aca="false">Y188+V189</f>
        <v>29964.9</v>
      </c>
      <c r="AA189" s="8" t="n">
        <v>11.1065467497302</v>
      </c>
      <c r="AB189" s="14" t="n">
        <f aca="false">AVERAGE(T195:T208)</f>
        <v>171.57869047619</v>
      </c>
      <c r="AD189" s="14" t="n">
        <f aca="false">(AB174*(50/130))+(AB195*(80/130))</f>
        <v>1.92307692307692</v>
      </c>
    </row>
    <row r="190" s="8" customFormat="true" ht="15" hidden="false" customHeight="false" outlineLevel="0" collapsed="false">
      <c r="A190" s="27"/>
      <c r="B190" s="10"/>
      <c r="C190" s="11" t="n">
        <v>42068</v>
      </c>
      <c r="D190" s="18" t="n">
        <v>4.1</v>
      </c>
      <c r="E190" s="30" t="n">
        <v>-0.4</v>
      </c>
      <c r="F190" s="8" t="n">
        <v>8.8</v>
      </c>
      <c r="G190" s="8" t="n">
        <v>1493.6</v>
      </c>
      <c r="H190" s="8" t="n">
        <f aca="false">H189+D190</f>
        <v>381.4</v>
      </c>
      <c r="J190" s="32" t="n">
        <v>0.1</v>
      </c>
      <c r="K190" s="8" t="n">
        <v>336.8</v>
      </c>
      <c r="L190" s="8" t="n">
        <v>1.4</v>
      </c>
      <c r="M190" s="8" t="n">
        <v>180.9</v>
      </c>
      <c r="N190" s="13" t="n">
        <v>-1.3</v>
      </c>
      <c r="O190" s="8" t="n">
        <f aca="false">O189+N190</f>
        <v>200.8</v>
      </c>
      <c r="P190" s="8" t="n">
        <v>185</v>
      </c>
      <c r="Q190" s="8" t="n">
        <v>1</v>
      </c>
      <c r="R190" s="14" t="n">
        <f aca="false">Q190*L190</f>
        <v>1.4</v>
      </c>
      <c r="S190" s="14" t="n">
        <f aca="false">J190-R190</f>
        <v>-1.3</v>
      </c>
      <c r="T190" s="14" t="n">
        <f aca="false">MIN(189.6,(T189+S190))</f>
        <v>187.1</v>
      </c>
      <c r="V190" s="8" t="n">
        <v>1093.3</v>
      </c>
      <c r="W190" s="8" t="n">
        <v>266.658536585366</v>
      </c>
      <c r="X190" s="8" t="n">
        <v>90335.9</v>
      </c>
      <c r="Y190" s="8" t="n">
        <f aca="false">Y189+V190</f>
        <v>31058.2</v>
      </c>
      <c r="AA190" s="8" t="n">
        <v>11.1679780045177</v>
      </c>
      <c r="AB190" s="33" t="s">
        <v>47</v>
      </c>
      <c r="AD190" s="33" t="s">
        <v>50</v>
      </c>
    </row>
    <row r="191" s="8" customFormat="true" ht="15" hidden="false" customHeight="false" outlineLevel="0" collapsed="false">
      <c r="A191" s="27"/>
      <c r="B191" s="10"/>
      <c r="C191" s="11" t="n">
        <v>42069</v>
      </c>
      <c r="D191" s="18" t="n">
        <v>4.5</v>
      </c>
      <c r="E191" s="30" t="n">
        <v>-0.2</v>
      </c>
      <c r="F191" s="8" t="n">
        <v>9.5</v>
      </c>
      <c r="G191" s="8" t="n">
        <v>1498.1</v>
      </c>
      <c r="H191" s="8" t="n">
        <f aca="false">H190+D191</f>
        <v>385.9</v>
      </c>
      <c r="J191" s="32" t="n">
        <v>0.1</v>
      </c>
      <c r="K191" s="8" t="n">
        <v>336.9</v>
      </c>
      <c r="L191" s="8" t="n">
        <v>1.1</v>
      </c>
      <c r="M191" s="8" t="n">
        <v>182</v>
      </c>
      <c r="N191" s="13" t="n">
        <v>-1</v>
      </c>
      <c r="O191" s="8" t="n">
        <f aca="false">O190+N191</f>
        <v>199.8</v>
      </c>
      <c r="P191" s="8" t="n">
        <v>186</v>
      </c>
      <c r="Q191" s="8" t="n">
        <v>1</v>
      </c>
      <c r="R191" s="14" t="n">
        <f aca="false">Q191*L191</f>
        <v>1.1</v>
      </c>
      <c r="S191" s="14" t="n">
        <f aca="false">J191-R191</f>
        <v>-1</v>
      </c>
      <c r="T191" s="14" t="n">
        <f aca="false">MIN(189.6,(T190+S191))</f>
        <v>186.1</v>
      </c>
      <c r="V191" s="15" t="n">
        <v>778.2</v>
      </c>
      <c r="W191" s="8" t="n">
        <v>172.933333333333</v>
      </c>
      <c r="X191" s="8" t="n">
        <v>91114.1</v>
      </c>
      <c r="Y191" s="8" t="n">
        <f aca="false">Y190+V191</f>
        <v>31836.4</v>
      </c>
      <c r="AA191" s="8" t="n">
        <v>11.2295053735237</v>
      </c>
      <c r="AB191" s="8" t="n">
        <v>2</v>
      </c>
      <c r="AD191" s="14" t="n">
        <f aca="false">(AB176*(50/130))+(AB197*(80/130))</f>
        <v>11.6769230769231</v>
      </c>
    </row>
    <row r="192" s="8" customFormat="true" ht="15" hidden="false" customHeight="false" outlineLevel="0" collapsed="false">
      <c r="A192" s="27"/>
      <c r="B192" s="10"/>
      <c r="C192" s="39" t="n">
        <v>42070</v>
      </c>
      <c r="D192" s="40" t="n">
        <v>6</v>
      </c>
      <c r="E192" s="40" t="n">
        <v>0.6</v>
      </c>
      <c r="F192" s="40" t="n">
        <v>10.1</v>
      </c>
      <c r="G192" s="40" t="n">
        <v>1504.1</v>
      </c>
      <c r="H192" s="8" t="n">
        <f aca="false">H191+D192</f>
        <v>391.9</v>
      </c>
      <c r="I192" s="40"/>
      <c r="J192" s="41" t="n">
        <v>0</v>
      </c>
      <c r="K192" s="40" t="n">
        <v>336.9</v>
      </c>
      <c r="L192" s="40" t="n">
        <v>1.3</v>
      </c>
      <c r="M192" s="40" t="n">
        <v>183.3</v>
      </c>
      <c r="N192" s="40" t="n">
        <v>-1.3</v>
      </c>
      <c r="O192" s="42" t="n">
        <f aca="false">O191+N192</f>
        <v>198.5</v>
      </c>
      <c r="P192" s="42" t="n">
        <v>187</v>
      </c>
      <c r="Q192" s="42" t="n">
        <v>1</v>
      </c>
      <c r="R192" s="43" t="n">
        <f aca="false">Q192*L192</f>
        <v>1.3</v>
      </c>
      <c r="S192" s="43" t="n">
        <f aca="false">J192-R192</f>
        <v>-1.3</v>
      </c>
      <c r="T192" s="14" t="n">
        <f aca="false">MIN(189.6,(T191+S192))</f>
        <v>184.8</v>
      </c>
      <c r="U192" s="42"/>
      <c r="V192" s="40" t="n">
        <v>827.6</v>
      </c>
      <c r="W192" s="40" t="n">
        <v>137.933333333333</v>
      </c>
      <c r="X192" s="40" t="n">
        <v>91941.7</v>
      </c>
      <c r="Y192" s="8" t="n">
        <f aca="false">Y191+V192</f>
        <v>32664</v>
      </c>
      <c r="Z192" s="40"/>
      <c r="AA192" s="8" t="n">
        <v>11.2911202416762</v>
      </c>
      <c r="AB192" s="33" t="s">
        <v>48</v>
      </c>
    </row>
    <row r="193" s="8" customFormat="true" ht="15" hidden="false" customHeight="true" outlineLevel="0" collapsed="false">
      <c r="A193" s="44" t="s">
        <v>52</v>
      </c>
      <c r="B193" s="10"/>
      <c r="C193" s="11" t="n">
        <v>42071</v>
      </c>
      <c r="D193" s="8" t="n">
        <v>8.4</v>
      </c>
      <c r="E193" s="18" t="n">
        <v>1</v>
      </c>
      <c r="F193" s="8" t="n">
        <v>14.6</v>
      </c>
      <c r="G193" s="8" t="n">
        <v>1512.5</v>
      </c>
      <c r="H193" s="8" t="n">
        <v>8.4</v>
      </c>
      <c r="I193" s="45" t="s">
        <v>28</v>
      </c>
      <c r="J193" s="32" t="n">
        <v>0</v>
      </c>
      <c r="K193" s="8" t="n">
        <v>336.9</v>
      </c>
      <c r="L193" s="8" t="n">
        <v>1.9</v>
      </c>
      <c r="M193" s="8" t="n">
        <v>185.2</v>
      </c>
      <c r="N193" s="13" t="n">
        <v>-1.9</v>
      </c>
      <c r="O193" s="8" t="n">
        <f aca="false">O192+N193</f>
        <v>196.6</v>
      </c>
      <c r="P193" s="8" t="n">
        <v>188</v>
      </c>
      <c r="Q193" s="16" t="n">
        <f aca="false">1+((P193-187)/36)*(1.15-1)</f>
        <v>1.00416666666667</v>
      </c>
      <c r="R193" s="14" t="n">
        <f aca="false">Q193*L193</f>
        <v>1.90791666666667</v>
      </c>
      <c r="S193" s="14" t="n">
        <f aca="false">J193-R193</f>
        <v>-1.90791666666667</v>
      </c>
      <c r="T193" s="14" t="n">
        <f aca="false">MIN(189.6,(T192+S193))</f>
        <v>182.892083333333</v>
      </c>
      <c r="U193" s="45" t="s">
        <v>29</v>
      </c>
      <c r="V193" s="8" t="n">
        <v>1330.3</v>
      </c>
      <c r="W193" s="8" t="n">
        <v>158.369047619048</v>
      </c>
      <c r="X193" s="8" t="n">
        <v>93272</v>
      </c>
      <c r="Y193" s="8" t="n">
        <v>1330.3</v>
      </c>
      <c r="Z193" s="45" t="s">
        <v>30</v>
      </c>
      <c r="AA193" s="8" t="n">
        <v>11.3528143173298</v>
      </c>
      <c r="AB193" s="8" t="n">
        <v>8</v>
      </c>
    </row>
    <row r="194" s="8" customFormat="true" ht="15" hidden="false" customHeight="false" outlineLevel="0" collapsed="false">
      <c r="A194" s="44"/>
      <c r="B194" s="10"/>
      <c r="C194" s="11" t="n">
        <v>42072</v>
      </c>
      <c r="D194" s="8" t="n">
        <v>8.7</v>
      </c>
      <c r="E194" s="8" t="n">
        <v>7.7</v>
      </c>
      <c r="F194" s="8" t="n">
        <v>10</v>
      </c>
      <c r="G194" s="8" t="n">
        <v>1521.2</v>
      </c>
      <c r="H194" s="8" t="n">
        <f aca="false">H193+D194</f>
        <v>17.1</v>
      </c>
      <c r="I194" s="8" t="n">
        <v>-2.5</v>
      </c>
      <c r="J194" s="32" t="n">
        <v>0.3</v>
      </c>
      <c r="K194" s="8" t="n">
        <v>337.2</v>
      </c>
      <c r="L194" s="8" t="n">
        <v>0.8</v>
      </c>
      <c r="M194" s="8" t="n">
        <v>186</v>
      </c>
      <c r="N194" s="13" t="n">
        <v>-0.5</v>
      </c>
      <c r="O194" s="8" t="n">
        <f aca="false">O193+N194</f>
        <v>196.1</v>
      </c>
      <c r="P194" s="8" t="n">
        <v>189</v>
      </c>
      <c r="Q194" s="16" t="n">
        <f aca="false">1+((P194-187)/36)*(1.15-1)</f>
        <v>1.00833333333333</v>
      </c>
      <c r="R194" s="14" t="n">
        <f aca="false">Q194*L194</f>
        <v>0.806666666666667</v>
      </c>
      <c r="S194" s="14" t="n">
        <f aca="false">J194-R194</f>
        <v>-0.506666666666667</v>
      </c>
      <c r="T194" s="14" t="n">
        <f aca="false">MIN(189.6,(T193+S194))</f>
        <v>182.385416666667</v>
      </c>
      <c r="U194" s="8" t="n">
        <v>29</v>
      </c>
      <c r="V194" s="15" t="n">
        <v>606.7</v>
      </c>
      <c r="W194" s="8" t="n">
        <v>69.7356321839081</v>
      </c>
      <c r="X194" s="8" t="n">
        <v>93878.7</v>
      </c>
      <c r="Y194" s="8" t="n">
        <f aca="false">Y193+V194</f>
        <v>1937</v>
      </c>
      <c r="Z194" s="8" t="n">
        <v>38418.9</v>
      </c>
      <c r="AA194" s="8" t="n">
        <v>11.4145796118836</v>
      </c>
      <c r="AB194" s="33" t="s">
        <v>49</v>
      </c>
    </row>
    <row r="195" s="8" customFormat="true" ht="15" hidden="false" customHeight="false" outlineLevel="0" collapsed="false">
      <c r="A195" s="44"/>
      <c r="B195" s="10"/>
      <c r="C195" s="11" t="n">
        <v>42073</v>
      </c>
      <c r="D195" s="8" t="n">
        <v>8.7</v>
      </c>
      <c r="E195" s="8" t="n">
        <v>7.5</v>
      </c>
      <c r="F195" s="8" t="n">
        <v>11.5</v>
      </c>
      <c r="G195" s="8" t="n">
        <v>1529.9</v>
      </c>
      <c r="H195" s="8" t="n">
        <f aca="false">H194+D195</f>
        <v>25.8</v>
      </c>
      <c r="I195" s="45" t="s">
        <v>31</v>
      </c>
      <c r="J195" s="32" t="n">
        <v>0.1</v>
      </c>
      <c r="K195" s="8" t="n">
        <v>337.3</v>
      </c>
      <c r="L195" s="8" t="n">
        <v>1.5</v>
      </c>
      <c r="M195" s="8" t="n">
        <v>187.5</v>
      </c>
      <c r="N195" s="13" t="n">
        <v>-1.4</v>
      </c>
      <c r="O195" s="8" t="n">
        <f aca="false">O194+N195</f>
        <v>194.7</v>
      </c>
      <c r="P195" s="8" t="n">
        <v>190</v>
      </c>
      <c r="Q195" s="16" t="n">
        <f aca="false">1+((P195-187)/36)*(1.15-1)</f>
        <v>1.0125</v>
      </c>
      <c r="R195" s="14" t="n">
        <f aca="false">Q195*L195</f>
        <v>1.51875</v>
      </c>
      <c r="S195" s="14" t="n">
        <f aca="false">J195-R195</f>
        <v>-1.41875</v>
      </c>
      <c r="T195" s="34" t="n">
        <f aca="false">MIN(189.6,(T194+S195))</f>
        <v>180.966666666667</v>
      </c>
      <c r="U195" s="45" t="s">
        <v>32</v>
      </c>
      <c r="V195" s="8" t="n">
        <v>1010.4</v>
      </c>
      <c r="W195" s="8" t="n">
        <v>116.137931034483</v>
      </c>
      <c r="X195" s="8" t="n">
        <v>94889.1</v>
      </c>
      <c r="Y195" s="8" t="n">
        <f aca="false">Y194+V195</f>
        <v>2947.4</v>
      </c>
      <c r="Z195" s="45" t="s">
        <v>33</v>
      </c>
      <c r="AA195" s="8" t="n">
        <v>11.4764084194862</v>
      </c>
      <c r="AB195" s="8" t="n">
        <v>0</v>
      </c>
    </row>
    <row r="196" s="8" customFormat="true" ht="15" hidden="false" customHeight="false" outlineLevel="0" collapsed="false">
      <c r="A196" s="44"/>
      <c r="B196" s="10"/>
      <c r="C196" s="11" t="n">
        <v>42074</v>
      </c>
      <c r="D196" s="8" t="n">
        <v>6</v>
      </c>
      <c r="E196" s="18" t="n">
        <v>2.2</v>
      </c>
      <c r="F196" s="8" t="n">
        <v>10.5</v>
      </c>
      <c r="G196" s="8" t="n">
        <v>1535.9</v>
      </c>
      <c r="H196" s="8" t="n">
        <f aca="false">H195+D196</f>
        <v>31.8</v>
      </c>
      <c r="I196" s="8" t="n">
        <f aca="false">MAX(F193:F228)</f>
        <v>20.6</v>
      </c>
      <c r="J196" s="32" t="n">
        <v>0</v>
      </c>
      <c r="K196" s="8" t="n">
        <v>337.3</v>
      </c>
      <c r="L196" s="8" t="n">
        <v>1</v>
      </c>
      <c r="M196" s="8" t="n">
        <v>188.5</v>
      </c>
      <c r="N196" s="13" t="n">
        <v>-1</v>
      </c>
      <c r="O196" s="8" t="n">
        <f aca="false">O195+N196</f>
        <v>193.7</v>
      </c>
      <c r="P196" s="8" t="n">
        <v>191</v>
      </c>
      <c r="Q196" s="16" t="n">
        <f aca="false">1+((P196-187)/36)*(1.15-1)</f>
        <v>1.01666666666667</v>
      </c>
      <c r="R196" s="14" t="n">
        <f aca="false">Q196*L196</f>
        <v>1.01666666666667</v>
      </c>
      <c r="S196" s="14" t="n">
        <f aca="false">J196-R196</f>
        <v>-1.01666666666667</v>
      </c>
      <c r="T196" s="34" t="n">
        <f aca="false">MIN(189.6,(T195+S196))</f>
        <v>179.95</v>
      </c>
      <c r="U196" s="8" t="n">
        <v>0</v>
      </c>
      <c r="V196" s="15" t="n">
        <v>619.2</v>
      </c>
      <c r="W196" s="8" t="n">
        <v>103.2</v>
      </c>
      <c r="X196" s="8" t="n">
        <v>95508.3</v>
      </c>
      <c r="Y196" s="8" t="n">
        <f aca="false">Y195+V196</f>
        <v>3566.6</v>
      </c>
      <c r="Z196" s="16" t="n">
        <f aca="false">(Z194/100)/I206</f>
        <v>1.47368239355581</v>
      </c>
      <c r="AA196" s="8" t="n">
        <v>11.5382932968443</v>
      </c>
      <c r="AB196" s="33" t="s">
        <v>50</v>
      </c>
    </row>
    <row r="197" s="8" customFormat="true" ht="15" hidden="false" customHeight="false" outlineLevel="0" collapsed="false">
      <c r="A197" s="44"/>
      <c r="B197" s="10"/>
      <c r="C197" s="11" t="n">
        <v>42075</v>
      </c>
      <c r="D197" s="8" t="n">
        <v>6</v>
      </c>
      <c r="E197" s="30" t="n">
        <v>-0.3</v>
      </c>
      <c r="F197" s="8" t="n">
        <v>11.6</v>
      </c>
      <c r="G197" s="8" t="n">
        <v>1541.9</v>
      </c>
      <c r="H197" s="8" t="n">
        <f aca="false">H196+D197</f>
        <v>37.8</v>
      </c>
      <c r="I197" s="45" t="s">
        <v>34</v>
      </c>
      <c r="J197" s="32" t="n">
        <v>0</v>
      </c>
      <c r="K197" s="8" t="n">
        <v>337.3</v>
      </c>
      <c r="L197" s="8" t="n">
        <v>2.2</v>
      </c>
      <c r="M197" s="8" t="n">
        <v>190.7</v>
      </c>
      <c r="N197" s="13" t="n">
        <v>-2.2</v>
      </c>
      <c r="O197" s="8" t="n">
        <f aca="false">O196+N197</f>
        <v>191.5</v>
      </c>
      <c r="P197" s="8" t="n">
        <v>192</v>
      </c>
      <c r="Q197" s="16" t="n">
        <f aca="false">1+((P197-187)/36)*(1.15-1)</f>
        <v>1.02083333333333</v>
      </c>
      <c r="R197" s="14" t="n">
        <f aca="false">Q197*L197</f>
        <v>2.24583333333333</v>
      </c>
      <c r="S197" s="14" t="n">
        <f aca="false">J197-R197</f>
        <v>-2.24583333333333</v>
      </c>
      <c r="T197" s="34" t="n">
        <f aca="false">MIN(189.6,(T196+S197))</f>
        <v>177.704166666667</v>
      </c>
      <c r="U197" s="45" t="s">
        <v>35</v>
      </c>
      <c r="V197" s="8" t="n">
        <v>1502.7</v>
      </c>
      <c r="W197" s="8" t="n">
        <v>250.45</v>
      </c>
      <c r="X197" s="8" t="n">
        <v>97011</v>
      </c>
      <c r="Y197" s="8" t="n">
        <f aca="false">Y196+V197</f>
        <v>5069.3</v>
      </c>
      <c r="Z197" s="45" t="s">
        <v>36</v>
      </c>
      <c r="AA197" s="8" t="n">
        <v>11.6002270431453</v>
      </c>
      <c r="AB197" s="8" t="n">
        <f aca="false">SUM(J199:J208)</f>
        <v>0.6</v>
      </c>
    </row>
    <row r="198" s="37" customFormat="true" ht="15" hidden="false" customHeight="false" outlineLevel="0" collapsed="false">
      <c r="A198" s="44"/>
      <c r="B198" s="35" t="s">
        <v>53</v>
      </c>
      <c r="C198" s="36" t="n">
        <v>42076</v>
      </c>
      <c r="D198" s="37" t="n">
        <v>5.1</v>
      </c>
      <c r="E198" s="37" t="n">
        <v>-0.1</v>
      </c>
      <c r="F198" s="37" t="n">
        <v>9.4</v>
      </c>
      <c r="G198" s="37" t="n">
        <v>1547</v>
      </c>
      <c r="H198" s="37" t="n">
        <f aca="false">H197+D198</f>
        <v>42.9</v>
      </c>
      <c r="I198" s="38" t="n">
        <f aca="false">AVERAGE(D193:D228)</f>
        <v>7.24166666666667</v>
      </c>
      <c r="J198" s="37" t="n">
        <v>0</v>
      </c>
      <c r="K198" s="37" t="n">
        <v>337.3</v>
      </c>
      <c r="L198" s="37" t="n">
        <v>1.5</v>
      </c>
      <c r="M198" s="37" t="n">
        <v>192.2</v>
      </c>
      <c r="N198" s="37" t="n">
        <v>-1.5</v>
      </c>
      <c r="O198" s="37" t="n">
        <f aca="false">O197+N198</f>
        <v>190</v>
      </c>
      <c r="P198" s="37" t="n">
        <v>193</v>
      </c>
      <c r="Q198" s="46" t="n">
        <f aca="false">1+((P198-187)/36)*(1.15-1)</f>
        <v>1.025</v>
      </c>
      <c r="R198" s="38" t="n">
        <f aca="false">Q198*L198</f>
        <v>1.5375</v>
      </c>
      <c r="S198" s="38" t="n">
        <f aca="false">J198-R198</f>
        <v>-1.5375</v>
      </c>
      <c r="T198" s="38" t="n">
        <f aca="false">MIN(189.6,(T197+S198))</f>
        <v>176.166666666667</v>
      </c>
      <c r="U198" s="37" t="n">
        <v>0</v>
      </c>
      <c r="V198" s="37" t="n">
        <v>1200</v>
      </c>
      <c r="W198" s="37" t="n">
        <v>235.294117647059</v>
      </c>
      <c r="X198" s="37" t="n">
        <v>98211</v>
      </c>
      <c r="Y198" s="37" t="n">
        <f aca="false">Y197+V198</f>
        <v>6269.3</v>
      </c>
      <c r="Z198" s="37" t="n">
        <v>14</v>
      </c>
      <c r="AA198" s="37" t="n">
        <v>11.6622026801018</v>
      </c>
    </row>
    <row r="199" s="8" customFormat="true" ht="15" hidden="false" customHeight="false" outlineLevel="0" collapsed="false">
      <c r="A199" s="44"/>
      <c r="B199" s="10"/>
      <c r="C199" s="11" t="n">
        <v>42077</v>
      </c>
      <c r="D199" s="8" t="n">
        <v>5.3</v>
      </c>
      <c r="E199" s="18" t="n">
        <v>2.7</v>
      </c>
      <c r="F199" s="8" t="n">
        <v>7.8</v>
      </c>
      <c r="G199" s="8" t="n">
        <v>1552.3</v>
      </c>
      <c r="H199" s="8" t="n">
        <f aca="false">H198+D199</f>
        <v>48.2</v>
      </c>
      <c r="I199" s="45" t="s">
        <v>37</v>
      </c>
      <c r="J199" s="32" t="n">
        <v>0.1</v>
      </c>
      <c r="K199" s="8" t="n">
        <v>337.4</v>
      </c>
      <c r="L199" s="8" t="n">
        <v>1.7</v>
      </c>
      <c r="M199" s="8" t="n">
        <v>193.9</v>
      </c>
      <c r="N199" s="13" t="n">
        <v>-1.6</v>
      </c>
      <c r="O199" s="8" t="n">
        <f aca="false">O198+N199</f>
        <v>188.4</v>
      </c>
      <c r="P199" s="8" t="n">
        <v>194</v>
      </c>
      <c r="Q199" s="16" t="n">
        <f aca="false">1+((P199-187)/36)*(1.15-1)</f>
        <v>1.02916666666667</v>
      </c>
      <c r="R199" s="14" t="n">
        <f aca="false">Q199*L199</f>
        <v>1.74958333333333</v>
      </c>
      <c r="S199" s="14" t="n">
        <f aca="false">J199-R199</f>
        <v>-1.64958333333333</v>
      </c>
      <c r="T199" s="34" t="n">
        <f aca="false">MIN(189.6,(T198+S199))</f>
        <v>174.517083333333</v>
      </c>
      <c r="U199" s="45" t="s">
        <v>38</v>
      </c>
      <c r="V199" s="8" t="n">
        <v>1286.8</v>
      </c>
      <c r="W199" s="8" t="n">
        <v>242.792452830189</v>
      </c>
      <c r="X199" s="8" t="n">
        <v>99497.8</v>
      </c>
      <c r="Y199" s="8" t="n">
        <f aca="false">Y198+V199</f>
        <v>7556.1</v>
      </c>
      <c r="AA199" s="8" t="n">
        <v>11.7242134321258</v>
      </c>
    </row>
    <row r="200" s="8" customFormat="true" ht="15" hidden="false" customHeight="false" outlineLevel="0" collapsed="false">
      <c r="A200" s="44"/>
      <c r="B200" s="10"/>
      <c r="C200" s="11" t="n">
        <v>42078</v>
      </c>
      <c r="D200" s="18" t="n">
        <v>4.6</v>
      </c>
      <c r="E200" s="18" t="n">
        <v>3.7</v>
      </c>
      <c r="F200" s="8" t="n">
        <v>5.9</v>
      </c>
      <c r="G200" s="8" t="n">
        <v>1556.9</v>
      </c>
      <c r="H200" s="8" t="n">
        <f aca="false">H199+D200</f>
        <v>52.8</v>
      </c>
      <c r="I200" s="8" t="n">
        <v>5</v>
      </c>
      <c r="J200" s="32" t="n">
        <v>0.5</v>
      </c>
      <c r="K200" s="8" t="n">
        <v>337.9</v>
      </c>
      <c r="L200" s="8" t="n">
        <v>0.5</v>
      </c>
      <c r="M200" s="8" t="n">
        <v>194.4</v>
      </c>
      <c r="N200" s="8" t="n">
        <v>0</v>
      </c>
      <c r="O200" s="8" t="n">
        <f aca="false">O199+N200</f>
        <v>188.4</v>
      </c>
      <c r="P200" s="8" t="n">
        <v>195</v>
      </c>
      <c r="Q200" s="16" t="n">
        <f aca="false">1+((P200-187)/36)*(1.15-1)</f>
        <v>1.03333333333333</v>
      </c>
      <c r="R200" s="14" t="n">
        <f aca="false">Q200*L200</f>
        <v>0.516666666666667</v>
      </c>
      <c r="S200" s="14" t="n">
        <f aca="false">J200-R200</f>
        <v>-0.0166666666666666</v>
      </c>
      <c r="T200" s="34" t="n">
        <f aca="false">MIN(189.6,(T199+S200))</f>
        <v>174.500416666667</v>
      </c>
      <c r="U200" s="14" t="n">
        <f aca="false">MIN(T193:T228)</f>
        <v>154.860833333333</v>
      </c>
      <c r="V200" s="15" t="n">
        <v>358.4</v>
      </c>
      <c r="W200" s="8" t="n">
        <v>77.9130434782609</v>
      </c>
      <c r="X200" s="8" t="n">
        <v>99856.2</v>
      </c>
      <c r="Y200" s="8" t="n">
        <f aca="false">Y199+V200</f>
        <v>7914.5</v>
      </c>
      <c r="AA200" s="8" t="n">
        <v>11.7862527066358</v>
      </c>
    </row>
    <row r="201" s="8" customFormat="true" ht="15" hidden="false" customHeight="false" outlineLevel="0" collapsed="false">
      <c r="A201" s="44"/>
      <c r="B201" s="10"/>
      <c r="C201" s="11" t="n">
        <v>42079</v>
      </c>
      <c r="D201" s="8" t="n">
        <v>5.1</v>
      </c>
      <c r="E201" s="30" t="n">
        <v>-0.3</v>
      </c>
      <c r="F201" s="8" t="n">
        <v>8.9</v>
      </c>
      <c r="G201" s="8" t="n">
        <v>1562</v>
      </c>
      <c r="H201" s="8" t="n">
        <f aca="false">H200+D201</f>
        <v>57.9</v>
      </c>
      <c r="I201" s="45" t="s">
        <v>39</v>
      </c>
      <c r="J201" s="32" t="n">
        <v>0</v>
      </c>
      <c r="K201" s="8" t="n">
        <v>337.9</v>
      </c>
      <c r="L201" s="8" t="n">
        <v>1</v>
      </c>
      <c r="M201" s="8" t="n">
        <v>195.4</v>
      </c>
      <c r="N201" s="13" t="n">
        <v>-1</v>
      </c>
      <c r="O201" s="8" t="n">
        <f aca="false">O200+N201</f>
        <v>187.4</v>
      </c>
      <c r="P201" s="8" t="n">
        <v>196</v>
      </c>
      <c r="Q201" s="16" t="n">
        <f aca="false">1+((P201-187)/36)*(1.15-1)</f>
        <v>1.0375</v>
      </c>
      <c r="R201" s="14" t="n">
        <f aca="false">Q201*L201</f>
        <v>1.0375</v>
      </c>
      <c r="S201" s="14" t="n">
        <f aca="false">J201-R201</f>
        <v>-1.0375</v>
      </c>
      <c r="T201" s="34" t="n">
        <f aca="false">MIN(189.6,(T200+S201))</f>
        <v>173.462916666667</v>
      </c>
      <c r="U201" s="45" t="s">
        <v>40</v>
      </c>
      <c r="V201" s="8" t="n">
        <v>1016.6</v>
      </c>
      <c r="W201" s="8" t="n">
        <v>199.333333333333</v>
      </c>
      <c r="X201" s="8" t="n">
        <v>100872.8</v>
      </c>
      <c r="Y201" s="8" t="n">
        <f aca="false">Y200+V201</f>
        <v>8931.1</v>
      </c>
      <c r="AA201" s="8" t="n">
        <v>11.8483140744981</v>
      </c>
    </row>
    <row r="202" s="8" customFormat="true" ht="15" hidden="false" customHeight="false" outlineLevel="0" collapsed="false">
      <c r="A202" s="44"/>
      <c r="B202" s="10"/>
      <c r="C202" s="11" t="n">
        <v>42080</v>
      </c>
      <c r="D202" s="8" t="n">
        <v>8.1</v>
      </c>
      <c r="E202" s="18" t="n">
        <v>1.1</v>
      </c>
      <c r="F202" s="8" t="n">
        <v>14.1</v>
      </c>
      <c r="G202" s="8" t="n">
        <v>1570.1</v>
      </c>
      <c r="H202" s="8" t="n">
        <f aca="false">H201+D202</f>
        <v>66</v>
      </c>
      <c r="I202" s="8" t="n">
        <v>0</v>
      </c>
      <c r="J202" s="32" t="n">
        <v>0</v>
      </c>
      <c r="K202" s="8" t="n">
        <v>337.9</v>
      </c>
      <c r="L202" s="8" t="n">
        <v>2.1</v>
      </c>
      <c r="M202" s="8" t="n">
        <v>197.5</v>
      </c>
      <c r="N202" s="13" t="n">
        <v>-2.1</v>
      </c>
      <c r="O202" s="8" t="n">
        <f aca="false">O201+N202</f>
        <v>185.3</v>
      </c>
      <c r="P202" s="8" t="n">
        <v>197</v>
      </c>
      <c r="Q202" s="16" t="n">
        <f aca="false">1+((P202-187)/36)*(1.15-1)</f>
        <v>1.04166666666667</v>
      </c>
      <c r="R202" s="14" t="n">
        <f aca="false">Q202*L202</f>
        <v>2.1875</v>
      </c>
      <c r="S202" s="14" t="n">
        <f aca="false">J202-R202</f>
        <v>-2.1875</v>
      </c>
      <c r="T202" s="34" t="n">
        <f aca="false">MIN(189.6,(T201+S202))</f>
        <v>171.275416666667</v>
      </c>
      <c r="U202" s="14" t="n">
        <f aca="false">MAX(T193:T228)</f>
        <v>182.892083333333</v>
      </c>
      <c r="V202" s="8" t="n">
        <v>1471.5</v>
      </c>
      <c r="W202" s="8" t="n">
        <v>181.666666666667</v>
      </c>
      <c r="X202" s="8" t="n">
        <v>102344.3</v>
      </c>
      <c r="Y202" s="8" t="n">
        <f aca="false">Y201+V202</f>
        <v>10402.6</v>
      </c>
      <c r="AA202" s="8" t="n">
        <v>11.9103912506042</v>
      </c>
    </row>
    <row r="203" s="8" customFormat="true" ht="15" hidden="false" customHeight="false" outlineLevel="0" collapsed="false">
      <c r="A203" s="44"/>
      <c r="B203" s="10"/>
      <c r="C203" s="11" t="n">
        <v>42081</v>
      </c>
      <c r="D203" s="8" t="n">
        <v>7.5</v>
      </c>
      <c r="E203" s="18" t="n">
        <v>4.6</v>
      </c>
      <c r="F203" s="8" t="n">
        <v>11.4</v>
      </c>
      <c r="G203" s="8" t="n">
        <v>1577.6</v>
      </c>
      <c r="H203" s="8" t="n">
        <f aca="false">H202+D203</f>
        <v>73.5</v>
      </c>
      <c r="I203" s="45" t="s">
        <v>41</v>
      </c>
      <c r="J203" s="32" t="n">
        <v>0</v>
      </c>
      <c r="K203" s="8" t="n">
        <v>337.9</v>
      </c>
      <c r="L203" s="8" t="n">
        <v>1.9</v>
      </c>
      <c r="M203" s="8" t="n">
        <v>199.4</v>
      </c>
      <c r="N203" s="13" t="n">
        <v>-1.9</v>
      </c>
      <c r="O203" s="8" t="n">
        <f aca="false">O202+N203</f>
        <v>183.4</v>
      </c>
      <c r="P203" s="8" t="n">
        <v>198</v>
      </c>
      <c r="Q203" s="16" t="n">
        <f aca="false">1+((P203-187)/36)*(1.15-1)</f>
        <v>1.04583333333333</v>
      </c>
      <c r="R203" s="14" t="n">
        <f aca="false">Q203*L203</f>
        <v>1.98708333333333</v>
      </c>
      <c r="S203" s="14" t="n">
        <f aca="false">J203-R203</f>
        <v>-1.98708333333333</v>
      </c>
      <c r="T203" s="34" t="n">
        <f aca="false">MIN(189.6,(T202+S203))</f>
        <v>169.288333333333</v>
      </c>
      <c r="U203" s="45" t="s">
        <v>42</v>
      </c>
      <c r="V203" s="8" t="n">
        <v>1217</v>
      </c>
      <c r="W203" s="8" t="n">
        <v>162.266666666667</v>
      </c>
      <c r="X203" s="8" t="n">
        <v>103561.3</v>
      </c>
      <c r="Y203" s="8" t="n">
        <f aca="false">Y202+V203</f>
        <v>11619.6</v>
      </c>
      <c r="AA203" s="8" t="n">
        <v>11.9724780745811</v>
      </c>
    </row>
    <row r="204" s="8" customFormat="true" ht="15" hidden="false" customHeight="false" outlineLevel="0" collapsed="false">
      <c r="A204" s="44"/>
      <c r="B204" s="10"/>
      <c r="C204" s="11" t="n">
        <v>42082</v>
      </c>
      <c r="D204" s="8" t="n">
        <v>6.5</v>
      </c>
      <c r="E204" s="8" t="n">
        <v>5.5</v>
      </c>
      <c r="F204" s="8" t="n">
        <v>7.5</v>
      </c>
      <c r="G204" s="8" t="n">
        <v>1584.1</v>
      </c>
      <c r="H204" s="8" t="n">
        <f aca="false">H203+D204</f>
        <v>80</v>
      </c>
      <c r="I204" s="8" t="n">
        <v>19</v>
      </c>
      <c r="J204" s="32" t="n">
        <v>0</v>
      </c>
      <c r="K204" s="8" t="n">
        <v>337.9</v>
      </c>
      <c r="L204" s="8" t="n">
        <v>1.1</v>
      </c>
      <c r="M204" s="8" t="n">
        <v>200.5</v>
      </c>
      <c r="N204" s="13" t="n">
        <v>-1.1</v>
      </c>
      <c r="O204" s="8" t="n">
        <f aca="false">O203+N204</f>
        <v>182.3</v>
      </c>
      <c r="P204" s="8" t="n">
        <v>199</v>
      </c>
      <c r="Q204" s="16" t="n">
        <f aca="false">1+((P204-187)/36)*(1.15-1)</f>
        <v>1.05</v>
      </c>
      <c r="R204" s="14" t="n">
        <f aca="false">Q204*L204</f>
        <v>1.155</v>
      </c>
      <c r="S204" s="14" t="n">
        <f aca="false">J204-R204</f>
        <v>-1.155</v>
      </c>
      <c r="T204" s="34" t="n">
        <f aca="false">MIN(189.6,(T203+S204))</f>
        <v>168.133333333333</v>
      </c>
      <c r="U204" s="14" t="n">
        <f aca="false">AVERAGE(T193:T228)</f>
        <v>170.029884259259</v>
      </c>
      <c r="V204" s="15" t="n">
        <v>689.3</v>
      </c>
      <c r="W204" s="8" t="n">
        <v>106.046153846154</v>
      </c>
      <c r="X204" s="8" t="n">
        <v>104250.6</v>
      </c>
      <c r="Y204" s="8" t="n">
        <f aca="false">Y203+V204</f>
        <v>12308.9</v>
      </c>
      <c r="AA204" s="8" t="n">
        <v>12.0345684916335</v>
      </c>
    </row>
    <row r="205" s="8" customFormat="true" ht="15" hidden="false" customHeight="false" outlineLevel="0" collapsed="false">
      <c r="A205" s="44"/>
      <c r="B205" s="10"/>
      <c r="C205" s="11" t="n">
        <v>42083</v>
      </c>
      <c r="D205" s="8" t="n">
        <v>6.7</v>
      </c>
      <c r="E205" s="8" t="n">
        <v>6.2</v>
      </c>
      <c r="F205" s="8" t="n">
        <v>8.4</v>
      </c>
      <c r="G205" s="8" t="n">
        <v>1590.8</v>
      </c>
      <c r="H205" s="8" t="n">
        <f aca="false">H204+D205</f>
        <v>86.7</v>
      </c>
      <c r="I205" s="45" t="s">
        <v>43</v>
      </c>
      <c r="J205" s="32" t="n">
        <v>0</v>
      </c>
      <c r="K205" s="8" t="n">
        <v>337.9</v>
      </c>
      <c r="L205" s="8" t="n">
        <v>2</v>
      </c>
      <c r="M205" s="8" t="n">
        <v>202.5</v>
      </c>
      <c r="N205" s="13" t="n">
        <v>-2</v>
      </c>
      <c r="O205" s="8" t="n">
        <f aca="false">O204+N205</f>
        <v>180.3</v>
      </c>
      <c r="P205" s="8" t="n">
        <v>200</v>
      </c>
      <c r="Q205" s="16" t="n">
        <f aca="false">1+((P205-187)/36)*(1.15-1)</f>
        <v>1.05416666666667</v>
      </c>
      <c r="R205" s="14" t="n">
        <f aca="false">Q205*L205</f>
        <v>2.10833333333333</v>
      </c>
      <c r="S205" s="14" t="n">
        <f aca="false">J205-R205</f>
        <v>-2.10833333333333</v>
      </c>
      <c r="T205" s="34" t="n">
        <f aca="false">MIN(189.6,(T204+S205))</f>
        <v>166.025</v>
      </c>
      <c r="V205" s="8" t="n">
        <v>1582.8</v>
      </c>
      <c r="W205" s="8" t="n">
        <v>236.238805970149</v>
      </c>
      <c r="X205" s="8" t="n">
        <v>105833.4</v>
      </c>
      <c r="Y205" s="8" t="n">
        <f aca="false">Y204+V205</f>
        <v>13891.7</v>
      </c>
      <c r="AA205" s="8" t="n">
        <v>12.0966565335137</v>
      </c>
    </row>
    <row r="206" s="8" customFormat="true" ht="15" hidden="false" customHeight="false" outlineLevel="0" collapsed="false">
      <c r="A206" s="44"/>
      <c r="B206" s="10"/>
      <c r="C206" s="11" t="n">
        <v>42084</v>
      </c>
      <c r="D206" s="8" t="n">
        <v>5.3</v>
      </c>
      <c r="E206" s="18" t="n">
        <v>2.2</v>
      </c>
      <c r="F206" s="8" t="n">
        <v>7.9</v>
      </c>
      <c r="G206" s="8" t="n">
        <v>1596.1</v>
      </c>
      <c r="H206" s="8" t="n">
        <f aca="false">H205+D206</f>
        <v>92</v>
      </c>
      <c r="I206" s="8" t="n">
        <v>260.7</v>
      </c>
      <c r="J206" s="32" t="n">
        <v>0</v>
      </c>
      <c r="K206" s="8" t="n">
        <v>337.9</v>
      </c>
      <c r="L206" s="8" t="n">
        <v>0.9</v>
      </c>
      <c r="M206" s="8" t="n">
        <v>203.4</v>
      </c>
      <c r="N206" s="13" t="n">
        <v>-0.9</v>
      </c>
      <c r="O206" s="8" t="n">
        <f aca="false">O205+N206</f>
        <v>179.4</v>
      </c>
      <c r="P206" s="8" t="n">
        <v>201</v>
      </c>
      <c r="Q206" s="16" t="n">
        <f aca="false">1+((P206-187)/36)*(1.15-1)</f>
        <v>1.05833333333333</v>
      </c>
      <c r="R206" s="14" t="n">
        <f aca="false">Q206*L206</f>
        <v>0.9525</v>
      </c>
      <c r="S206" s="14" t="n">
        <f aca="false">J206-R206</f>
        <v>-0.9525</v>
      </c>
      <c r="T206" s="34" t="n">
        <f aca="false">MIN(189.6,(T205+S206))</f>
        <v>165.0725</v>
      </c>
      <c r="U206" s="8" t="n">
        <f aca="false">(U204*100)/189.6</f>
        <v>89.6782089974996</v>
      </c>
      <c r="V206" s="15" t="n">
        <v>612.8</v>
      </c>
      <c r="W206" s="8" t="n">
        <v>115.622641509434</v>
      </c>
      <c r="X206" s="8" t="n">
        <v>106446.2</v>
      </c>
      <c r="Y206" s="8" t="n">
        <f aca="false">Y205+V206</f>
        <v>14504.5</v>
      </c>
      <c r="AA206" s="8" t="n">
        <v>12.1587362996137</v>
      </c>
    </row>
    <row r="207" s="8" customFormat="true" ht="15" hidden="false" customHeight="false" outlineLevel="0" collapsed="false">
      <c r="A207" s="44"/>
      <c r="B207" s="10"/>
      <c r="C207" s="11" t="n">
        <v>42085</v>
      </c>
      <c r="D207" s="8" t="n">
        <v>5.4</v>
      </c>
      <c r="E207" s="18" t="n">
        <v>4.7</v>
      </c>
      <c r="F207" s="8" t="n">
        <v>8.1</v>
      </c>
      <c r="G207" s="8" t="n">
        <v>1601.5</v>
      </c>
      <c r="H207" s="8" t="n">
        <f aca="false">H206+D207</f>
        <v>97.4</v>
      </c>
      <c r="J207" s="32" t="n">
        <v>0</v>
      </c>
      <c r="K207" s="8" t="n">
        <v>337.9</v>
      </c>
      <c r="L207" s="8" t="n">
        <v>1.7</v>
      </c>
      <c r="M207" s="8" t="n">
        <v>205.1</v>
      </c>
      <c r="N207" s="13" t="n">
        <v>-1.7</v>
      </c>
      <c r="O207" s="8" t="n">
        <f aca="false">O206+N207</f>
        <v>177.7</v>
      </c>
      <c r="P207" s="8" t="n">
        <v>202</v>
      </c>
      <c r="Q207" s="16" t="n">
        <f aca="false">1+((P207-187)/36)*(1.15-1)</f>
        <v>1.0625</v>
      </c>
      <c r="R207" s="14" t="n">
        <f aca="false">Q207*L207</f>
        <v>1.80625</v>
      </c>
      <c r="S207" s="14" t="n">
        <f aca="false">J207-R207</f>
        <v>-1.80625</v>
      </c>
      <c r="T207" s="34" t="n">
        <f aca="false">MIN(189.6,(T206+S207))</f>
        <v>163.26625</v>
      </c>
      <c r="V207" s="8" t="n">
        <v>951.6</v>
      </c>
      <c r="W207" s="8" t="n">
        <v>176.222222222222</v>
      </c>
      <c r="X207" s="8" t="n">
        <v>107397.8</v>
      </c>
      <c r="Y207" s="8" t="n">
        <f aca="false">Y206+V207</f>
        <v>15456.1</v>
      </c>
      <c r="AA207" s="8" t="n">
        <v>12.2208019381753</v>
      </c>
    </row>
    <row r="208" s="8" customFormat="true" ht="15" hidden="false" customHeight="false" outlineLevel="0" collapsed="false">
      <c r="A208" s="44"/>
      <c r="B208" s="10"/>
      <c r="C208" s="11" t="n">
        <v>42086</v>
      </c>
      <c r="D208" s="18" t="n">
        <v>4</v>
      </c>
      <c r="E208" s="30" t="n">
        <v>-2.5</v>
      </c>
      <c r="F208" s="8" t="n">
        <v>10.1</v>
      </c>
      <c r="G208" s="8" t="n">
        <v>1605.5</v>
      </c>
      <c r="H208" s="8" t="n">
        <f aca="false">H207+D208</f>
        <v>101.4</v>
      </c>
      <c r="J208" s="32" t="n">
        <v>0</v>
      </c>
      <c r="K208" s="8" t="n">
        <v>337.9</v>
      </c>
      <c r="L208" s="8" t="n">
        <v>1.4</v>
      </c>
      <c r="M208" s="8" t="n">
        <v>206.5</v>
      </c>
      <c r="N208" s="13" t="n">
        <v>-1.4</v>
      </c>
      <c r="O208" s="8" t="n">
        <f aca="false">O207+N208</f>
        <v>176.3</v>
      </c>
      <c r="P208" s="8" t="n">
        <v>203</v>
      </c>
      <c r="Q208" s="16" t="n">
        <f aca="false">1+((P208-187)/36)*(1.15-1)</f>
        <v>1.06666666666667</v>
      </c>
      <c r="R208" s="14" t="n">
        <f aca="false">Q208*L208</f>
        <v>1.49333333333333</v>
      </c>
      <c r="S208" s="14" t="n">
        <f aca="false">J208-R208</f>
        <v>-1.49333333333333</v>
      </c>
      <c r="T208" s="34" t="n">
        <f aca="false">MIN(189.6,(T207+S208))</f>
        <v>161.772916666667</v>
      </c>
      <c r="V208" s="8" t="n">
        <v>1125.8</v>
      </c>
      <c r="W208" s="8" t="n">
        <v>281.45</v>
      </c>
      <c r="X208" s="8" t="n">
        <v>108523.6</v>
      </c>
      <c r="Y208" s="8" t="n">
        <f aca="false">Y207+V208</f>
        <v>16581.9</v>
      </c>
      <c r="AA208" s="8" t="n">
        <v>12.2828476276119</v>
      </c>
    </row>
    <row r="209" s="8" customFormat="true" ht="15" hidden="false" customHeight="false" outlineLevel="0" collapsed="false">
      <c r="A209" s="44"/>
      <c r="B209" s="10"/>
      <c r="C209" s="11" t="n">
        <v>42087</v>
      </c>
      <c r="D209" s="18" t="n">
        <v>4.8</v>
      </c>
      <c r="E209" s="18" t="n">
        <v>0.1</v>
      </c>
      <c r="F209" s="8" t="n">
        <v>9.3</v>
      </c>
      <c r="G209" s="8" t="n">
        <v>1610.3</v>
      </c>
      <c r="H209" s="8" t="n">
        <f aca="false">H208+D209</f>
        <v>106.2</v>
      </c>
      <c r="J209" s="8" t="n">
        <v>6.8</v>
      </c>
      <c r="K209" s="8" t="n">
        <v>344.7</v>
      </c>
      <c r="L209" s="8" t="n">
        <v>1</v>
      </c>
      <c r="M209" s="8" t="n">
        <v>207.5</v>
      </c>
      <c r="N209" s="8" t="n">
        <v>5.8</v>
      </c>
      <c r="O209" s="8" t="n">
        <f aca="false">O208+N209</f>
        <v>182.1</v>
      </c>
      <c r="P209" s="8" t="n">
        <v>204</v>
      </c>
      <c r="Q209" s="16" t="n">
        <f aca="false">1+((P209-187)/36)*(1.15-1)</f>
        <v>1.07083333333333</v>
      </c>
      <c r="R209" s="14" t="n">
        <f aca="false">Q209*L209</f>
        <v>1.07083333333333</v>
      </c>
      <c r="S209" s="14" t="n">
        <f aca="false">J209-R209</f>
        <v>5.72916666666667</v>
      </c>
      <c r="T209" s="14" t="n">
        <f aca="false">MIN(189.6,(T208+S209))</f>
        <v>167.502083333333</v>
      </c>
      <c r="V209" s="15" t="n">
        <v>781.8</v>
      </c>
      <c r="W209" s="8" t="n">
        <v>162.875</v>
      </c>
      <c r="X209" s="8" t="n">
        <v>109305.4</v>
      </c>
      <c r="Y209" s="8" t="n">
        <f aca="false">Y208+V209</f>
        <v>17363.7</v>
      </c>
      <c r="AA209" s="8" t="n">
        <v>12.3448675579349</v>
      </c>
    </row>
    <row r="210" s="8" customFormat="true" ht="15" hidden="false" customHeight="false" outlineLevel="0" collapsed="false">
      <c r="A210" s="44"/>
      <c r="B210" s="10"/>
      <c r="C210" s="11" t="n">
        <v>42088</v>
      </c>
      <c r="D210" s="18" t="n">
        <v>4.7</v>
      </c>
      <c r="E210" s="18" t="n">
        <v>3.6</v>
      </c>
      <c r="F210" s="8" t="n">
        <v>7.1</v>
      </c>
      <c r="G210" s="8" t="n">
        <v>1615</v>
      </c>
      <c r="H210" s="8" t="n">
        <f aca="false">H209+D210</f>
        <v>110.9</v>
      </c>
      <c r="J210" s="8" t="n">
        <v>0.5</v>
      </c>
      <c r="K210" s="8" t="n">
        <v>345.2</v>
      </c>
      <c r="L210" s="8" t="n">
        <v>1.1</v>
      </c>
      <c r="M210" s="8" t="n">
        <v>208.6</v>
      </c>
      <c r="N210" s="13" t="n">
        <v>-0.6</v>
      </c>
      <c r="O210" s="8" t="n">
        <f aca="false">O209+N210</f>
        <v>181.5</v>
      </c>
      <c r="P210" s="8" t="n">
        <v>205</v>
      </c>
      <c r="Q210" s="16" t="n">
        <f aca="false">1+((P210-187)/36)*(1.15-1)</f>
        <v>1.075</v>
      </c>
      <c r="R210" s="14" t="n">
        <f aca="false">Q210*L210</f>
        <v>1.1825</v>
      </c>
      <c r="S210" s="14" t="n">
        <f aca="false">J210-R210</f>
        <v>-0.6825</v>
      </c>
      <c r="T210" s="14" t="n">
        <f aca="false">MIN(189.6,(T209+S210))</f>
        <v>166.819583333333</v>
      </c>
      <c r="V210" s="15" t="n">
        <v>699.2</v>
      </c>
      <c r="W210" s="8" t="n">
        <v>148.765957446809</v>
      </c>
      <c r="X210" s="8" t="n">
        <v>110004.6</v>
      </c>
      <c r="Y210" s="8" t="n">
        <f aca="false">Y209+V210</f>
        <v>18062.9</v>
      </c>
      <c r="AA210" s="8" t="n">
        <v>12.4068559122797</v>
      </c>
    </row>
    <row r="211" s="8" customFormat="true" ht="15" hidden="false" customHeight="false" outlineLevel="0" collapsed="false">
      <c r="A211" s="44"/>
      <c r="B211" s="10"/>
      <c r="C211" s="11" t="n">
        <v>42089</v>
      </c>
      <c r="D211" s="18" t="n">
        <v>4.2</v>
      </c>
      <c r="E211" s="18" t="n">
        <v>0.1</v>
      </c>
      <c r="F211" s="8" t="n">
        <v>8.2</v>
      </c>
      <c r="G211" s="8" t="n">
        <v>1619.2</v>
      </c>
      <c r="H211" s="8" t="n">
        <f aca="false">H210+D211</f>
        <v>115.1</v>
      </c>
      <c r="J211" s="8" t="n">
        <v>3</v>
      </c>
      <c r="K211" s="8" t="n">
        <v>348.2</v>
      </c>
      <c r="L211" s="8" t="n">
        <v>0.6</v>
      </c>
      <c r="M211" s="8" t="n">
        <v>209.2</v>
      </c>
      <c r="N211" s="8" t="n">
        <v>2.4</v>
      </c>
      <c r="O211" s="8" t="n">
        <f aca="false">O210+N211</f>
        <v>183.9</v>
      </c>
      <c r="P211" s="8" t="n">
        <v>206</v>
      </c>
      <c r="Q211" s="16" t="n">
        <f aca="false">1+((P211-187)/36)*(1.15-1)</f>
        <v>1.07916666666667</v>
      </c>
      <c r="R211" s="14" t="n">
        <f aca="false">Q211*L211</f>
        <v>0.6475</v>
      </c>
      <c r="S211" s="14" t="n">
        <f aca="false">J211-R211</f>
        <v>2.3525</v>
      </c>
      <c r="T211" s="14" t="n">
        <f aca="false">MIN(189.6,(T210+S211))</f>
        <v>169.172083333333</v>
      </c>
      <c r="V211" s="15" t="n">
        <v>486.9</v>
      </c>
      <c r="W211" s="8" t="n">
        <v>115.928571428571</v>
      </c>
      <c r="X211" s="8" t="n">
        <v>110491.5</v>
      </c>
      <c r="Y211" s="8" t="n">
        <f aca="false">Y210+V211</f>
        <v>18549.8</v>
      </c>
      <c r="AA211" s="8" t="n">
        <v>12.4688068485226</v>
      </c>
    </row>
    <row r="212" s="8" customFormat="true" ht="15" hidden="false" customHeight="false" outlineLevel="0" collapsed="false">
      <c r="A212" s="44"/>
      <c r="B212" s="10"/>
      <c r="C212" s="11" t="n">
        <v>42090</v>
      </c>
      <c r="D212" s="8" t="n">
        <v>6</v>
      </c>
      <c r="E212" s="18" t="n">
        <v>1.9</v>
      </c>
      <c r="F212" s="8" t="n">
        <v>9.9</v>
      </c>
      <c r="G212" s="8" t="n">
        <v>1625.2</v>
      </c>
      <c r="H212" s="8" t="n">
        <f aca="false">H211+D212</f>
        <v>121.1</v>
      </c>
      <c r="J212" s="8" t="n">
        <v>0.6</v>
      </c>
      <c r="K212" s="8" t="n">
        <v>348.8</v>
      </c>
      <c r="L212" s="8" t="n">
        <v>1.4</v>
      </c>
      <c r="M212" s="8" t="n">
        <v>210.6</v>
      </c>
      <c r="N212" s="13" t="n">
        <v>-0.8</v>
      </c>
      <c r="O212" s="8" t="n">
        <f aca="false">O211+N212</f>
        <v>183.1</v>
      </c>
      <c r="P212" s="8" t="n">
        <v>207</v>
      </c>
      <c r="Q212" s="16" t="n">
        <f aca="false">1+((P212-187)/36)*(1.15-1)</f>
        <v>1.08333333333333</v>
      </c>
      <c r="R212" s="14" t="n">
        <f aca="false">Q212*L212</f>
        <v>1.51666666666667</v>
      </c>
      <c r="S212" s="14" t="n">
        <f aca="false">J212-R212</f>
        <v>-0.916666666666666</v>
      </c>
      <c r="T212" s="14" t="n">
        <f aca="false">MIN(189.6,(T211+S212))</f>
        <v>168.255416666667</v>
      </c>
      <c r="V212" s="8" t="n">
        <v>1002.4</v>
      </c>
      <c r="W212" s="8" t="n">
        <v>167.066666666667</v>
      </c>
      <c r="X212" s="8" t="n">
        <v>111493.9</v>
      </c>
      <c r="Y212" s="8" t="n">
        <f aca="false">Y211+V212</f>
        <v>19552.2</v>
      </c>
      <c r="AA212" s="8" t="n">
        <v>12.5307144809848</v>
      </c>
    </row>
    <row r="213" s="8" customFormat="true" ht="15" hidden="false" customHeight="false" outlineLevel="0" collapsed="false">
      <c r="A213" s="44"/>
      <c r="B213" s="10"/>
      <c r="C213" s="11" t="n">
        <v>42091</v>
      </c>
      <c r="D213" s="8" t="n">
        <v>10</v>
      </c>
      <c r="E213" s="18" t="n">
        <v>3.3</v>
      </c>
      <c r="F213" s="8" t="n">
        <v>13.8</v>
      </c>
      <c r="G213" s="8" t="n">
        <v>1635.2</v>
      </c>
      <c r="H213" s="8" t="n">
        <f aca="false">H212+D213</f>
        <v>131.1</v>
      </c>
      <c r="J213" s="8" t="n">
        <v>1.9</v>
      </c>
      <c r="K213" s="8" t="n">
        <v>350.7</v>
      </c>
      <c r="L213" s="8" t="n">
        <v>0.5</v>
      </c>
      <c r="M213" s="8" t="n">
        <v>211.1</v>
      </c>
      <c r="N213" s="8" t="n">
        <v>1.4</v>
      </c>
      <c r="O213" s="8" t="n">
        <f aca="false">O212+N213</f>
        <v>184.5</v>
      </c>
      <c r="P213" s="8" t="n">
        <v>208</v>
      </c>
      <c r="Q213" s="16" t="n">
        <f aca="false">1+((P213-187)/36)*(1.15-1)</f>
        <v>1.0875</v>
      </c>
      <c r="R213" s="14" t="n">
        <f aca="false">Q213*L213</f>
        <v>0.54375</v>
      </c>
      <c r="S213" s="14" t="n">
        <f aca="false">J213-R213</f>
        <v>1.35625</v>
      </c>
      <c r="T213" s="14" t="n">
        <f aca="false">MIN(189.6,(T212+S213))</f>
        <v>169.611666666667</v>
      </c>
      <c r="V213" s="15" t="n">
        <v>474.8</v>
      </c>
      <c r="W213" s="8" t="n">
        <v>47.48</v>
      </c>
      <c r="X213" s="8" t="n">
        <v>111968.7</v>
      </c>
      <c r="Y213" s="8" t="n">
        <f aca="false">Y212+V213</f>
        <v>20027</v>
      </c>
      <c r="AA213" s="8" t="n">
        <v>12.5925728622148</v>
      </c>
    </row>
    <row r="214" s="8" customFormat="true" ht="15" hidden="false" customHeight="false" outlineLevel="0" collapsed="false">
      <c r="A214" s="44"/>
      <c r="B214" s="10"/>
      <c r="C214" s="11" t="n">
        <v>42092</v>
      </c>
      <c r="D214" s="8" t="n">
        <v>10.7</v>
      </c>
      <c r="E214" s="8" t="n">
        <v>9.3</v>
      </c>
      <c r="F214" s="8" t="n">
        <v>12.5</v>
      </c>
      <c r="G214" s="8" t="n">
        <v>1645.9</v>
      </c>
      <c r="H214" s="8" t="n">
        <f aca="false">H213+D214</f>
        <v>141.8</v>
      </c>
      <c r="J214" s="8" t="n">
        <v>4.1</v>
      </c>
      <c r="K214" s="8" t="n">
        <v>354.8</v>
      </c>
      <c r="L214" s="8" t="n">
        <v>1.1</v>
      </c>
      <c r="M214" s="8" t="n">
        <v>212.2</v>
      </c>
      <c r="N214" s="8" t="n">
        <v>3</v>
      </c>
      <c r="O214" s="8" t="n">
        <f aca="false">O213+N214</f>
        <v>187.5</v>
      </c>
      <c r="P214" s="8" t="n">
        <v>209</v>
      </c>
      <c r="Q214" s="16" t="n">
        <f aca="false">1+((P214-187)/36)*(1.15-1)</f>
        <v>1.09166666666667</v>
      </c>
      <c r="R214" s="14" t="n">
        <f aca="false">Q214*L214</f>
        <v>1.20083333333333</v>
      </c>
      <c r="S214" s="14" t="n">
        <f aca="false">J214-R214</f>
        <v>2.89916666666667</v>
      </c>
      <c r="T214" s="14" t="n">
        <f aca="false">MIN(189.6,(T213+S214))</f>
        <v>172.510833333333</v>
      </c>
      <c r="V214" s="15" t="n">
        <v>353.6</v>
      </c>
      <c r="W214" s="8" t="n">
        <v>33.0467289719626</v>
      </c>
      <c r="X214" s="8" t="n">
        <v>112322.3</v>
      </c>
      <c r="Y214" s="8" t="n">
        <f aca="false">Y213+V214</f>
        <v>20380.6</v>
      </c>
      <c r="AA214" s="8" t="n">
        <v>12.6543759648451</v>
      </c>
    </row>
    <row r="215" s="8" customFormat="true" ht="15" hidden="false" customHeight="false" outlineLevel="0" collapsed="false">
      <c r="A215" s="44"/>
      <c r="B215" s="10"/>
      <c r="C215" s="11" t="n">
        <v>42093</v>
      </c>
      <c r="D215" s="8" t="n">
        <v>9.7</v>
      </c>
      <c r="E215" s="8" t="n">
        <v>8.3</v>
      </c>
      <c r="F215" s="8" t="n">
        <v>11.5</v>
      </c>
      <c r="G215" s="8" t="n">
        <v>1655.6</v>
      </c>
      <c r="H215" s="8" t="n">
        <f aca="false">H214+D215</f>
        <v>151.5</v>
      </c>
      <c r="J215" s="8" t="n">
        <v>1.7</v>
      </c>
      <c r="K215" s="8" t="n">
        <v>356.5</v>
      </c>
      <c r="L215" s="8" t="n">
        <v>1.9</v>
      </c>
      <c r="M215" s="8" t="n">
        <v>214.1</v>
      </c>
      <c r="N215" s="13" t="n">
        <v>-0.2</v>
      </c>
      <c r="O215" s="8" t="n">
        <f aca="false">O214+N215</f>
        <v>187.3</v>
      </c>
      <c r="P215" s="8" t="n">
        <v>210</v>
      </c>
      <c r="Q215" s="16" t="n">
        <f aca="false">1+((P215-187)/36)*(1.15-1)</f>
        <v>1.09583333333333</v>
      </c>
      <c r="R215" s="14" t="n">
        <f aca="false">Q215*L215</f>
        <v>2.08208333333333</v>
      </c>
      <c r="S215" s="14" t="n">
        <f aca="false">J215-R215</f>
        <v>-0.382083333333333</v>
      </c>
      <c r="T215" s="14" t="n">
        <f aca="false">MIN(189.6,(T214+S215))</f>
        <v>172.12875</v>
      </c>
      <c r="V215" s="15" t="n">
        <v>697.3</v>
      </c>
      <c r="W215" s="8" t="n">
        <v>71.8865979381443</v>
      </c>
      <c r="X215" s="8" t="n">
        <v>113019.6</v>
      </c>
      <c r="Y215" s="8" t="n">
        <f aca="false">Y214+V215</f>
        <v>21077.9</v>
      </c>
      <c r="AA215" s="8" t="n">
        <v>12.7161176635174</v>
      </c>
    </row>
    <row r="216" s="8" customFormat="true" ht="15" hidden="false" customHeight="false" outlineLevel="0" collapsed="false">
      <c r="A216" s="44"/>
      <c r="B216" s="10"/>
      <c r="C216" s="11" t="n">
        <v>42094</v>
      </c>
      <c r="D216" s="8" t="n">
        <v>10</v>
      </c>
      <c r="E216" s="8" t="n">
        <v>9</v>
      </c>
      <c r="F216" s="8" t="n">
        <v>11.5</v>
      </c>
      <c r="G216" s="8" t="n">
        <v>1665.6</v>
      </c>
      <c r="H216" s="8" t="n">
        <f aca="false">H215+D216</f>
        <v>161.5</v>
      </c>
      <c r="J216" s="8" t="n">
        <v>0.1</v>
      </c>
      <c r="K216" s="8" t="n">
        <v>356.6</v>
      </c>
      <c r="L216" s="8" t="n">
        <v>2.5</v>
      </c>
      <c r="M216" s="8" t="n">
        <v>216.6</v>
      </c>
      <c r="N216" s="13" t="n">
        <v>-2.4</v>
      </c>
      <c r="O216" s="8" t="n">
        <f aca="false">O215+N216</f>
        <v>184.9</v>
      </c>
      <c r="P216" s="8" t="n">
        <v>211</v>
      </c>
      <c r="Q216" s="16" t="n">
        <f aca="false">1+((P216-187)/36)*(1.15-1)</f>
        <v>1.1</v>
      </c>
      <c r="R216" s="14" t="n">
        <f aca="false">Q216*L216</f>
        <v>2.75</v>
      </c>
      <c r="S216" s="14" t="n">
        <f aca="false">J216-R216</f>
        <v>-2.65</v>
      </c>
      <c r="T216" s="14" t="n">
        <f aca="false">MIN(189.6,(T215+S216))</f>
        <v>169.47875</v>
      </c>
      <c r="V216" s="8" t="n">
        <v>1389.3</v>
      </c>
      <c r="W216" s="8" t="n">
        <v>138.93</v>
      </c>
      <c r="X216" s="8" t="n">
        <v>114408.9</v>
      </c>
      <c r="Y216" s="8" t="n">
        <f aca="false">Y215+V216</f>
        <v>22467.2</v>
      </c>
      <c r="AA216" s="8" t="n">
        <v>12.7777917168725</v>
      </c>
    </row>
    <row r="217" s="8" customFormat="true" ht="15" hidden="false" customHeight="false" outlineLevel="0" collapsed="false">
      <c r="A217" s="44"/>
      <c r="B217" s="10"/>
      <c r="C217" s="11" t="n">
        <v>42095</v>
      </c>
      <c r="D217" s="8" t="n">
        <v>7.3</v>
      </c>
      <c r="E217" s="18" t="n">
        <v>5</v>
      </c>
      <c r="F217" s="8" t="n">
        <v>9.6</v>
      </c>
      <c r="G217" s="8" t="n">
        <v>1672.9</v>
      </c>
      <c r="H217" s="8" t="n">
        <f aca="false">H216+D217</f>
        <v>168.8</v>
      </c>
      <c r="J217" s="8" t="n">
        <v>2.5</v>
      </c>
      <c r="K217" s="8" t="n">
        <v>359.1</v>
      </c>
      <c r="L217" s="8" t="n">
        <v>2.5</v>
      </c>
      <c r="M217" s="8" t="n">
        <v>219.1</v>
      </c>
      <c r="N217" s="8" t="n">
        <v>0</v>
      </c>
      <c r="O217" s="8" t="n">
        <f aca="false">O216+N217</f>
        <v>184.9</v>
      </c>
      <c r="P217" s="8" t="n">
        <v>212</v>
      </c>
      <c r="Q217" s="16" t="n">
        <f aca="false">1+((P217-187)/36)*(1.15-1)</f>
        <v>1.10416666666667</v>
      </c>
      <c r="R217" s="14" t="n">
        <f aca="false">Q217*L217</f>
        <v>2.76041666666667</v>
      </c>
      <c r="S217" s="14" t="n">
        <f aca="false">J217-R217</f>
        <v>-0.260416666666666</v>
      </c>
      <c r="T217" s="14" t="n">
        <f aca="false">MIN(189.6,(T216+S217))</f>
        <v>169.218333333333</v>
      </c>
      <c r="V217" s="8" t="n">
        <v>1361</v>
      </c>
      <c r="W217" s="8" t="n">
        <v>186.438356164384</v>
      </c>
      <c r="X217" s="8" t="n">
        <v>115769.9</v>
      </c>
      <c r="Y217" s="8" t="n">
        <f aca="false">Y216+V217</f>
        <v>23828.2</v>
      </c>
      <c r="AA217" s="8" t="n">
        <v>12.839391749601</v>
      </c>
    </row>
    <row r="218" s="8" customFormat="true" ht="15" hidden="false" customHeight="false" outlineLevel="0" collapsed="false">
      <c r="A218" s="44"/>
      <c r="B218" s="10"/>
      <c r="C218" s="11" t="n">
        <v>42096</v>
      </c>
      <c r="D218" s="8" t="n">
        <v>7.6</v>
      </c>
      <c r="E218" s="8" t="n">
        <v>6.7</v>
      </c>
      <c r="F218" s="8" t="n">
        <v>9</v>
      </c>
      <c r="G218" s="8" t="n">
        <v>1680.5</v>
      </c>
      <c r="H218" s="8" t="n">
        <f aca="false">H217+D218</f>
        <v>176.4</v>
      </c>
      <c r="J218" s="8" t="n">
        <v>2.6</v>
      </c>
      <c r="K218" s="8" t="n">
        <v>361.7</v>
      </c>
      <c r="L218" s="8" t="n">
        <v>1.4</v>
      </c>
      <c r="M218" s="8" t="n">
        <v>220.5</v>
      </c>
      <c r="N218" s="8" t="n">
        <v>1.2</v>
      </c>
      <c r="O218" s="8" t="n">
        <f aca="false">O217+N218</f>
        <v>186.1</v>
      </c>
      <c r="P218" s="8" t="n">
        <v>213</v>
      </c>
      <c r="Q218" s="16" t="n">
        <f aca="false">1+((P218-187)/36)*(1.15-1)</f>
        <v>1.10833333333333</v>
      </c>
      <c r="R218" s="14" t="n">
        <f aca="false">Q218*L218</f>
        <v>1.55166666666667</v>
      </c>
      <c r="S218" s="14" t="n">
        <f aca="false">J218-R218</f>
        <v>1.04833333333333</v>
      </c>
      <c r="T218" s="14" t="n">
        <f aca="false">MIN(189.6,(T217+S218))</f>
        <v>170.266666666667</v>
      </c>
      <c r="V218" s="15" t="n">
        <v>893.3</v>
      </c>
      <c r="W218" s="8" t="n">
        <v>117.539473684211</v>
      </c>
      <c r="X218" s="8" t="n">
        <v>116663.2</v>
      </c>
      <c r="Y218" s="8" t="n">
        <f aca="false">Y217+V218</f>
        <v>24721.5</v>
      </c>
      <c r="AA218" s="8" t="n">
        <v>12.9009112345524</v>
      </c>
    </row>
    <row r="219" s="8" customFormat="true" ht="15" hidden="false" customHeight="false" outlineLevel="0" collapsed="false">
      <c r="A219" s="44"/>
      <c r="B219" s="10"/>
      <c r="C219" s="11" t="n">
        <v>42097</v>
      </c>
      <c r="D219" s="8" t="n">
        <v>7.4</v>
      </c>
      <c r="E219" s="18" t="n">
        <v>4.1</v>
      </c>
      <c r="F219" s="8" t="n">
        <v>9.1</v>
      </c>
      <c r="G219" s="8" t="n">
        <v>1687.9</v>
      </c>
      <c r="H219" s="8" t="n">
        <f aca="false">H218+D219</f>
        <v>183.8</v>
      </c>
      <c r="J219" s="8" t="n">
        <v>5.1</v>
      </c>
      <c r="K219" s="8" t="n">
        <v>366.8</v>
      </c>
      <c r="L219" s="8" t="n">
        <v>0.4</v>
      </c>
      <c r="M219" s="8" t="n">
        <v>220.9</v>
      </c>
      <c r="N219" s="8" t="n">
        <v>4.7</v>
      </c>
      <c r="O219" s="8" t="n">
        <f aca="false">O218+N219</f>
        <v>190.8</v>
      </c>
      <c r="P219" s="8" t="n">
        <v>214</v>
      </c>
      <c r="Q219" s="16" t="n">
        <f aca="false">1+((P219-187)/36)*(1.15-1)</f>
        <v>1.1125</v>
      </c>
      <c r="R219" s="14" t="n">
        <f aca="false">Q219*L219</f>
        <v>0.445</v>
      </c>
      <c r="S219" s="14" t="n">
        <f aca="false">J219-R219</f>
        <v>4.655</v>
      </c>
      <c r="T219" s="14" t="n">
        <f aca="false">MIN(189.6,(T218+S219))</f>
        <v>174.921666666667</v>
      </c>
      <c r="V219" s="15" t="n">
        <v>349.1</v>
      </c>
      <c r="W219" s="8" t="n">
        <v>47.1756756756757</v>
      </c>
      <c r="X219" s="8" t="n">
        <v>117012.3</v>
      </c>
      <c r="Y219" s="8" t="n">
        <f aca="false">Y218+V219</f>
        <v>25070.6</v>
      </c>
      <c r="AA219" s="8" t="n">
        <v>12.9623434749028</v>
      </c>
    </row>
    <row r="220" s="8" customFormat="true" ht="15" hidden="false" customHeight="false" outlineLevel="0" collapsed="false">
      <c r="A220" s="44"/>
      <c r="B220" s="10"/>
      <c r="C220" s="11" t="n">
        <v>42098</v>
      </c>
      <c r="D220" s="8" t="n">
        <v>6.6</v>
      </c>
      <c r="E220" s="8" t="n">
        <v>6.7</v>
      </c>
      <c r="F220" s="8" t="n">
        <v>7.6</v>
      </c>
      <c r="G220" s="8" t="n">
        <v>1694.5</v>
      </c>
      <c r="H220" s="8" t="n">
        <f aca="false">H219+D220</f>
        <v>190.4</v>
      </c>
      <c r="J220" s="8" t="n">
        <v>0.9</v>
      </c>
      <c r="K220" s="8" t="n">
        <v>367.7</v>
      </c>
      <c r="L220" s="8" t="n">
        <v>0.8</v>
      </c>
      <c r="M220" s="8" t="n">
        <v>221.7</v>
      </c>
      <c r="N220" s="8" t="n">
        <v>0.1</v>
      </c>
      <c r="O220" s="8" t="n">
        <f aca="false">O219+N220</f>
        <v>190.9</v>
      </c>
      <c r="P220" s="8" t="n">
        <v>215</v>
      </c>
      <c r="Q220" s="16" t="n">
        <f aca="false">1+((P220-187)/36)*(1.15-1)</f>
        <v>1.11666666666667</v>
      </c>
      <c r="R220" s="14" t="n">
        <f aca="false">Q220*L220</f>
        <v>0.893333333333333</v>
      </c>
      <c r="S220" s="14" t="n">
        <f aca="false">J220-R220</f>
        <v>0.0066666666666666</v>
      </c>
      <c r="T220" s="14" t="n">
        <f aca="false">MIN(189.6,(T219+S220))</f>
        <v>174.928333333333</v>
      </c>
      <c r="V220" s="15" t="n">
        <v>642.7</v>
      </c>
      <c r="W220" s="8" t="n">
        <v>97.3787878787879</v>
      </c>
      <c r="X220" s="8" t="n">
        <v>117655</v>
      </c>
      <c r="Y220" s="8" t="n">
        <f aca="false">Y219+V220</f>
        <v>25713.3</v>
      </c>
      <c r="AA220" s="8" t="n">
        <v>13.0236815863797</v>
      </c>
    </row>
    <row r="221" s="8" customFormat="true" ht="15" hidden="false" customHeight="false" outlineLevel="0" collapsed="false">
      <c r="A221" s="44"/>
      <c r="B221" s="10"/>
      <c r="C221" s="11" t="n">
        <v>42099</v>
      </c>
      <c r="D221" s="18" t="n">
        <v>5</v>
      </c>
      <c r="E221" s="18" t="n">
        <v>1.1</v>
      </c>
      <c r="F221" s="8" t="n">
        <v>8.7</v>
      </c>
      <c r="G221" s="8" t="n">
        <v>1699.5</v>
      </c>
      <c r="H221" s="8" t="n">
        <f aca="false">H220+D221</f>
        <v>195.4</v>
      </c>
      <c r="J221" s="8" t="n">
        <v>0</v>
      </c>
      <c r="K221" s="8" t="n">
        <v>367.7</v>
      </c>
      <c r="L221" s="8" t="n">
        <v>1.6</v>
      </c>
      <c r="M221" s="8" t="n">
        <v>223.3</v>
      </c>
      <c r="N221" s="13" t="n">
        <v>-1.6</v>
      </c>
      <c r="O221" s="8" t="n">
        <f aca="false">O220+N221</f>
        <v>189.3</v>
      </c>
      <c r="P221" s="8" t="n">
        <v>216</v>
      </c>
      <c r="Q221" s="16" t="n">
        <f aca="false">1+((P221-187)/36)*(1.15-1)</f>
        <v>1.12083333333333</v>
      </c>
      <c r="R221" s="14" t="n">
        <f aca="false">Q221*L221</f>
        <v>1.79333333333333</v>
      </c>
      <c r="S221" s="14" t="n">
        <f aca="false">J221-R221</f>
        <v>-1.79333333333333</v>
      </c>
      <c r="T221" s="14" t="n">
        <f aca="false">MIN(189.6,(T220+S221))</f>
        <v>173.135</v>
      </c>
      <c r="V221" s="8" t="n">
        <v>1190.7</v>
      </c>
      <c r="W221" s="8" t="n">
        <v>238.14</v>
      </c>
      <c r="X221" s="8" t="n">
        <v>118845.7</v>
      </c>
      <c r="Y221" s="8" t="n">
        <f aca="false">Y220+V221</f>
        <v>26904</v>
      </c>
      <c r="AA221" s="8" t="n">
        <v>13.0849184795475</v>
      </c>
    </row>
    <row r="222" s="8" customFormat="true" ht="15" hidden="false" customHeight="false" outlineLevel="0" collapsed="false">
      <c r="A222" s="44"/>
      <c r="B222" s="10"/>
      <c r="C222" s="11" t="n">
        <v>42100</v>
      </c>
      <c r="D222" s="8" t="n">
        <v>5.9</v>
      </c>
      <c r="E222" s="30" t="n">
        <v>-0.4</v>
      </c>
      <c r="F222" s="8" t="n">
        <v>11.2</v>
      </c>
      <c r="G222" s="8" t="n">
        <v>1705.4</v>
      </c>
      <c r="H222" s="8" t="n">
        <f aca="false">H221+D222</f>
        <v>201.3</v>
      </c>
      <c r="J222" s="8" t="n">
        <v>0.1</v>
      </c>
      <c r="K222" s="8" t="n">
        <v>367.8</v>
      </c>
      <c r="L222" s="8" t="n">
        <v>2.1</v>
      </c>
      <c r="M222" s="8" t="n">
        <v>225.4</v>
      </c>
      <c r="N222" s="13" t="n">
        <v>-2</v>
      </c>
      <c r="O222" s="8" t="n">
        <f aca="false">O221+N222</f>
        <v>187.3</v>
      </c>
      <c r="P222" s="8" t="n">
        <v>217</v>
      </c>
      <c r="Q222" s="16" t="n">
        <f aca="false">1+((P222-187)/36)*(1.15-1)</f>
        <v>1.125</v>
      </c>
      <c r="R222" s="14" t="n">
        <f aca="false">Q222*L222</f>
        <v>2.3625</v>
      </c>
      <c r="S222" s="14" t="n">
        <f aca="false">J222-R222</f>
        <v>-2.2625</v>
      </c>
      <c r="T222" s="14" t="n">
        <f aca="false">MIN(189.6,(T221+S222))</f>
        <v>170.8725</v>
      </c>
      <c r="V222" s="8" t="n">
        <v>1867.1</v>
      </c>
      <c r="W222" s="8" t="n">
        <v>316.457627118644</v>
      </c>
      <c r="X222" s="8" t="n">
        <v>120712.8</v>
      </c>
      <c r="Y222" s="8" t="n">
        <f aca="false">Y221+V222</f>
        <v>28771.1</v>
      </c>
      <c r="AA222" s="8" t="n">
        <v>13.1460468421565</v>
      </c>
    </row>
    <row r="223" s="8" customFormat="true" ht="15" hidden="false" customHeight="false" outlineLevel="0" collapsed="false">
      <c r="A223" s="44"/>
      <c r="B223" s="10"/>
      <c r="C223" s="11" t="n">
        <v>42101</v>
      </c>
      <c r="D223" s="8" t="n">
        <v>7.3</v>
      </c>
      <c r="E223" s="18" t="n">
        <v>0.7</v>
      </c>
      <c r="F223" s="8" t="n">
        <v>12.8</v>
      </c>
      <c r="G223" s="8" t="n">
        <v>1712.7</v>
      </c>
      <c r="H223" s="8" t="n">
        <f aca="false">H222+D223</f>
        <v>208.6</v>
      </c>
      <c r="J223" s="8" t="n">
        <v>0</v>
      </c>
      <c r="K223" s="8" t="n">
        <v>367.8</v>
      </c>
      <c r="L223" s="8" t="n">
        <v>2.6</v>
      </c>
      <c r="M223" s="8" t="n">
        <v>228</v>
      </c>
      <c r="N223" s="13" t="n">
        <v>-2.6</v>
      </c>
      <c r="O223" s="8" t="n">
        <f aca="false">O222+N223</f>
        <v>184.7</v>
      </c>
      <c r="P223" s="8" t="n">
        <v>218</v>
      </c>
      <c r="Q223" s="16" t="n">
        <f aca="false">1+((P223-187)/36)*(1.15-1)</f>
        <v>1.12916666666667</v>
      </c>
      <c r="R223" s="14" t="n">
        <f aca="false">Q223*L223</f>
        <v>2.93583333333333</v>
      </c>
      <c r="S223" s="14" t="n">
        <f aca="false">J223-R223</f>
        <v>-2.93583333333333</v>
      </c>
      <c r="T223" s="14" t="n">
        <f aca="false">MIN(189.6,(T222+S223))</f>
        <v>167.936666666667</v>
      </c>
      <c r="V223" s="8" t="n">
        <v>1958</v>
      </c>
      <c r="W223" s="8" t="n">
        <v>268.219178082192</v>
      </c>
      <c r="X223" s="8" t="n">
        <v>122670.8</v>
      </c>
      <c r="Y223" s="8" t="n">
        <f aca="false">Y222+V223</f>
        <v>30729.1</v>
      </c>
      <c r="AA223" s="8" t="n">
        <v>13.2070591215617</v>
      </c>
    </row>
    <row r="224" s="48" customFormat="true" ht="15" hidden="false" customHeight="false" outlineLevel="0" collapsed="false">
      <c r="A224" s="44"/>
      <c r="B224" s="47"/>
      <c r="C224" s="11" t="n">
        <v>42102</v>
      </c>
      <c r="D224" s="48" t="n">
        <v>8.5</v>
      </c>
      <c r="E224" s="48" t="n">
        <v>1.8</v>
      </c>
      <c r="F224" s="48" t="n">
        <v>14</v>
      </c>
      <c r="G224" s="48" t="n">
        <v>1721.2</v>
      </c>
      <c r="H224" s="48" t="n">
        <f aca="false">H223+D224</f>
        <v>217.1</v>
      </c>
      <c r="J224" s="48" t="n">
        <v>0</v>
      </c>
      <c r="K224" s="48" t="n">
        <v>367.8</v>
      </c>
      <c r="L224" s="48" t="n">
        <v>2.5</v>
      </c>
      <c r="M224" s="48" t="n">
        <v>230.5</v>
      </c>
      <c r="N224" s="48" t="n">
        <v>-2.5</v>
      </c>
      <c r="O224" s="48" t="n">
        <f aca="false">O223+N224</f>
        <v>182.2</v>
      </c>
      <c r="P224" s="48" t="n">
        <v>219</v>
      </c>
      <c r="Q224" s="16" t="n">
        <f aca="false">1+((P224-187)/36)*(1.15-1)</f>
        <v>1.13333333333333</v>
      </c>
      <c r="R224" s="49" t="n">
        <f aca="false">Q224*L224</f>
        <v>2.83333333333333</v>
      </c>
      <c r="S224" s="49" t="n">
        <f aca="false">J224-R224</f>
        <v>-2.83333333333333</v>
      </c>
      <c r="T224" s="14" t="n">
        <f aca="false">MIN(189.6,(T223+S224))</f>
        <v>165.103333333333</v>
      </c>
      <c r="V224" s="48" t="n">
        <v>1788.1</v>
      </c>
      <c r="W224" s="48" t="n">
        <v>210.364705882353</v>
      </c>
      <c r="X224" s="48" t="n">
        <v>124458.9</v>
      </c>
      <c r="Y224" s="8" t="n">
        <f aca="false">Y223+V224</f>
        <v>32517.2</v>
      </c>
      <c r="AA224" s="8" t="n">
        <v>13.2679475072184</v>
      </c>
    </row>
    <row r="225" s="8" customFormat="true" ht="15" hidden="false" customHeight="true" outlineLevel="0" collapsed="false">
      <c r="A225" s="44"/>
      <c r="B225" s="10"/>
      <c r="C225" s="11" t="n">
        <v>42103</v>
      </c>
      <c r="D225" s="8" t="n">
        <v>10.5</v>
      </c>
      <c r="E225" s="8" t="n">
        <v>1.6</v>
      </c>
      <c r="F225" s="8" t="n">
        <v>17.6</v>
      </c>
      <c r="G225" s="8" t="n">
        <v>1731.7</v>
      </c>
      <c r="H225" s="8" t="n">
        <f aca="false">H224+D225</f>
        <v>227.6</v>
      </c>
      <c r="J225" s="8" t="n">
        <v>0</v>
      </c>
      <c r="K225" s="8" t="n">
        <v>367.8</v>
      </c>
      <c r="L225" s="8" t="n">
        <v>3</v>
      </c>
      <c r="M225" s="8" t="n">
        <v>233.5</v>
      </c>
      <c r="N225" s="8" t="n">
        <v>-3</v>
      </c>
      <c r="O225" s="8" t="n">
        <f aca="false">O224+N225</f>
        <v>179.2</v>
      </c>
      <c r="P225" s="8" t="n">
        <v>220</v>
      </c>
      <c r="Q225" s="16" t="n">
        <f aca="false">1+((P225-187)/36)*(1.15-1)</f>
        <v>1.1375</v>
      </c>
      <c r="R225" s="14" t="n">
        <f aca="false">Q225*L225</f>
        <v>3.4125</v>
      </c>
      <c r="S225" s="14" t="n">
        <f aca="false">J225-R225</f>
        <v>-3.4125</v>
      </c>
      <c r="T225" s="14" t="n">
        <f aca="false">MIN(189.6,(T224+S225))</f>
        <v>161.690833333333</v>
      </c>
      <c r="V225" s="8" t="n">
        <v>2001.4</v>
      </c>
      <c r="W225" s="8" t="n">
        <v>190.609523809524</v>
      </c>
      <c r="X225" s="8" t="n">
        <v>126460.3</v>
      </c>
      <c r="Y225" s="8" t="n">
        <f aca="false">Y224+V225</f>
        <v>34518.6</v>
      </c>
      <c r="AA225" s="8" t="n">
        <v>13.3287039132659</v>
      </c>
    </row>
    <row r="226" s="8" customFormat="true" ht="15" hidden="false" customHeight="false" outlineLevel="0" collapsed="false">
      <c r="A226" s="44"/>
      <c r="B226" s="10"/>
      <c r="C226" s="11" t="n">
        <v>42104</v>
      </c>
      <c r="D226" s="8" t="n">
        <v>12.8</v>
      </c>
      <c r="E226" s="18" t="n">
        <v>4</v>
      </c>
      <c r="F226" s="8" t="n">
        <v>20.6</v>
      </c>
      <c r="G226" s="8" t="n">
        <v>1744.5</v>
      </c>
      <c r="H226" s="8" t="n">
        <f aca="false">H225+D226</f>
        <v>240.4</v>
      </c>
      <c r="J226" s="8" t="n">
        <v>0.2</v>
      </c>
      <c r="K226" s="8" t="n">
        <v>368</v>
      </c>
      <c r="L226" s="8" t="n">
        <v>3.2</v>
      </c>
      <c r="M226" s="8" t="n">
        <v>236.7</v>
      </c>
      <c r="N226" s="13" t="n">
        <v>-3</v>
      </c>
      <c r="O226" s="8" t="n">
        <f aca="false">O225+N226</f>
        <v>176.2</v>
      </c>
      <c r="P226" s="8" t="n">
        <v>221</v>
      </c>
      <c r="Q226" s="16" t="n">
        <f aca="false">1+((P226-187)/36)*(1.15-1)</f>
        <v>1.14166666666667</v>
      </c>
      <c r="R226" s="14" t="n">
        <f aca="false">Q226*L226</f>
        <v>3.65333333333333</v>
      </c>
      <c r="S226" s="14" t="n">
        <f aca="false">J226-R226</f>
        <v>-3.45333333333333</v>
      </c>
      <c r="T226" s="14" t="n">
        <f aca="false">MIN(189.6,(T225+S226))</f>
        <v>158.2375</v>
      </c>
      <c r="U226" s="50"/>
      <c r="V226" s="8" t="n">
        <v>1788.1</v>
      </c>
      <c r="W226" s="8" t="n">
        <v>139.6953125</v>
      </c>
      <c r="X226" s="8" t="n">
        <v>128248.4</v>
      </c>
      <c r="Y226" s="8" t="n">
        <f aca="false">Y225+V226</f>
        <v>36306.7</v>
      </c>
      <c r="AA226" s="8" t="n">
        <v>13.3893199612104</v>
      </c>
    </row>
    <row r="227" s="8" customFormat="true" ht="15" hidden="false" customHeight="false" outlineLevel="0" collapsed="false">
      <c r="A227" s="44"/>
      <c r="B227" s="10"/>
      <c r="C227" s="11" t="n">
        <v>42105</v>
      </c>
      <c r="D227" s="8" t="n">
        <v>10.7</v>
      </c>
      <c r="E227" s="8" t="n">
        <v>11.2</v>
      </c>
      <c r="F227" s="8" t="n">
        <v>13.4</v>
      </c>
      <c r="G227" s="8" t="n">
        <v>1755.2</v>
      </c>
      <c r="H227" s="8" t="n">
        <f aca="false">H226+D227</f>
        <v>251.1</v>
      </c>
      <c r="J227" s="8" t="n">
        <v>1.1</v>
      </c>
      <c r="K227" s="8" t="n">
        <v>369.1</v>
      </c>
      <c r="L227" s="8" t="n">
        <v>2</v>
      </c>
      <c r="M227" s="8" t="n">
        <v>238.7</v>
      </c>
      <c r="N227" s="13" t="n">
        <v>-0.9</v>
      </c>
      <c r="O227" s="8" t="n">
        <f aca="false">O226+N227</f>
        <v>175.3</v>
      </c>
      <c r="P227" s="8" t="n">
        <v>222</v>
      </c>
      <c r="Q227" s="16" t="n">
        <f aca="false">1+((P227-187)/36)*(1.15-1)</f>
        <v>1.14583333333333</v>
      </c>
      <c r="R227" s="14" t="n">
        <f aca="false">Q227*L227</f>
        <v>2.29166666666667</v>
      </c>
      <c r="S227" s="14" t="n">
        <f aca="false">J227-R227</f>
        <v>-1.19166666666667</v>
      </c>
      <c r="T227" s="14" t="n">
        <f aca="false">MIN(189.6,(T226+S227))</f>
        <v>157.045833333333</v>
      </c>
      <c r="V227" s="8" t="n">
        <v>906</v>
      </c>
      <c r="W227" s="8" t="n">
        <v>84.6728971962617</v>
      </c>
      <c r="X227" s="8" t="n">
        <v>129154.4</v>
      </c>
      <c r="Y227" s="8" t="n">
        <f aca="false">Y226+V227</f>
        <v>37212.7</v>
      </c>
      <c r="AA227" s="8" t="n">
        <v>13.4497869627234</v>
      </c>
    </row>
    <row r="228" s="42" customFormat="true" ht="15" hidden="false" customHeight="false" outlineLevel="0" collapsed="false">
      <c r="A228" s="44"/>
      <c r="B228" s="51"/>
      <c r="C228" s="52" t="n">
        <v>42106</v>
      </c>
      <c r="D228" s="42" t="n">
        <v>9.6</v>
      </c>
      <c r="E228" s="53" t="n">
        <v>2.1</v>
      </c>
      <c r="F228" s="42" t="n">
        <v>16.1</v>
      </c>
      <c r="G228" s="42" t="n">
        <v>1764.8</v>
      </c>
      <c r="H228" s="42" t="n">
        <f aca="false">H227+D228</f>
        <v>260.7</v>
      </c>
      <c r="J228" s="42" t="n">
        <v>0</v>
      </c>
      <c r="K228" s="42" t="n">
        <v>369.1</v>
      </c>
      <c r="L228" s="42" t="n">
        <v>1.9</v>
      </c>
      <c r="M228" s="42" t="n">
        <v>240.6</v>
      </c>
      <c r="N228" s="54" t="n">
        <v>-1.9</v>
      </c>
      <c r="O228" s="42" t="n">
        <f aca="false">O227+N228</f>
        <v>173.4</v>
      </c>
      <c r="P228" s="42" t="n">
        <v>223</v>
      </c>
      <c r="Q228" s="16" t="n">
        <f aca="false">1+((P228-187)/36)*(1.15-1)</f>
        <v>1.15</v>
      </c>
      <c r="R228" s="43" t="n">
        <f aca="false">Q228*L228</f>
        <v>2.185</v>
      </c>
      <c r="S228" s="43" t="n">
        <f aca="false">J228-R228</f>
        <v>-2.185</v>
      </c>
      <c r="T228" s="14" t="n">
        <f aca="false">MIN(189.6,(T227+S228))</f>
        <v>154.860833333333</v>
      </c>
      <c r="V228" s="42" t="n">
        <v>1206.2</v>
      </c>
      <c r="W228" s="42" t="n">
        <v>125.645833333333</v>
      </c>
      <c r="X228" s="42" t="n">
        <v>130360.6</v>
      </c>
      <c r="Y228" s="8" t="n">
        <f aca="false">Y227+V228</f>
        <v>38418.9</v>
      </c>
      <c r="AA228" s="8" t="n">
        <v>13.5100959025732</v>
      </c>
    </row>
    <row r="229" s="8" customFormat="true" ht="15" hidden="false" customHeight="false" outlineLevel="0" collapsed="false">
      <c r="A229" s="55" t="s">
        <v>54</v>
      </c>
      <c r="C229" s="11" t="n">
        <v>42107</v>
      </c>
      <c r="D229" s="8" t="n">
        <v>11.2</v>
      </c>
      <c r="E229" s="8" t="n">
        <v>5.6</v>
      </c>
      <c r="F229" s="8" t="n">
        <v>15.8</v>
      </c>
      <c r="G229" s="8" t="n">
        <v>1776</v>
      </c>
      <c r="H229" s="8" t="n">
        <v>11.2</v>
      </c>
      <c r="I229" s="56" t="s">
        <v>28</v>
      </c>
      <c r="J229" s="8" t="n">
        <v>0</v>
      </c>
      <c r="K229" s="8" t="n">
        <v>369.1</v>
      </c>
      <c r="L229" s="8" t="n">
        <v>1.9</v>
      </c>
      <c r="M229" s="8" t="n">
        <v>242.5</v>
      </c>
      <c r="N229" s="13" t="n">
        <v>-1.9</v>
      </c>
      <c r="O229" s="8" t="n">
        <f aca="false">O228+N229</f>
        <v>171.5</v>
      </c>
      <c r="P229" s="8" t="n">
        <v>224</v>
      </c>
      <c r="Q229" s="8" t="n">
        <v>1.15</v>
      </c>
      <c r="R229" s="14" t="n">
        <f aca="false">Q229*L229</f>
        <v>2.185</v>
      </c>
      <c r="S229" s="14" t="n">
        <f aca="false">J229-R229</f>
        <v>-2.185</v>
      </c>
      <c r="T229" s="14" t="n">
        <f aca="false">MIN(189.6,(T228+S229))</f>
        <v>152.675833333333</v>
      </c>
      <c r="U229" s="56" t="s">
        <v>29</v>
      </c>
      <c r="V229" s="8" t="n">
        <v>1380.2</v>
      </c>
      <c r="W229" s="8" t="n">
        <v>123.232142857143</v>
      </c>
      <c r="X229" s="8" t="n">
        <v>131740.8</v>
      </c>
      <c r="Y229" s="8" t="n">
        <v>1380.2</v>
      </c>
      <c r="Z229" s="56" t="s">
        <v>30</v>
      </c>
      <c r="AA229" s="8" t="n">
        <v>13.5702374217108</v>
      </c>
    </row>
    <row r="230" s="8" customFormat="true" ht="15" hidden="false" customHeight="false" outlineLevel="0" collapsed="false">
      <c r="A230" s="55"/>
      <c r="C230" s="11" t="n">
        <v>42108</v>
      </c>
      <c r="D230" s="8" t="n">
        <v>14.7</v>
      </c>
      <c r="E230" s="8" t="n">
        <v>7.6</v>
      </c>
      <c r="F230" s="8" t="n">
        <v>22</v>
      </c>
      <c r="G230" s="8" t="n">
        <v>1790.7</v>
      </c>
      <c r="H230" s="8" t="n">
        <f aca="false">H229+D230</f>
        <v>25.9</v>
      </c>
      <c r="I230" s="8" t="n">
        <f aca="false">MIN(E229:E249)</f>
        <v>2.4</v>
      </c>
      <c r="J230" s="8" t="n">
        <v>0</v>
      </c>
      <c r="K230" s="8" t="n">
        <v>369.1</v>
      </c>
      <c r="L230" s="8" t="n">
        <v>4.2</v>
      </c>
      <c r="M230" s="8" t="n">
        <v>246.7</v>
      </c>
      <c r="N230" s="13" t="n">
        <v>-4.2</v>
      </c>
      <c r="O230" s="8" t="n">
        <f aca="false">O229+N230</f>
        <v>167.3</v>
      </c>
      <c r="P230" s="8" t="n">
        <v>225</v>
      </c>
      <c r="Q230" s="8" t="n">
        <v>1.15</v>
      </c>
      <c r="R230" s="14" t="n">
        <f aca="false">Q230*L230</f>
        <v>4.83</v>
      </c>
      <c r="S230" s="14" t="n">
        <f aca="false">J230-R230</f>
        <v>-4.83</v>
      </c>
      <c r="T230" s="14" t="n">
        <f aca="false">MIN(189.6,(T229+S230))</f>
        <v>147.845833333333</v>
      </c>
      <c r="U230" s="8" t="n">
        <v>17</v>
      </c>
      <c r="V230" s="8" t="n">
        <v>2241.5</v>
      </c>
      <c r="W230" s="8" t="n">
        <v>152.482993197279</v>
      </c>
      <c r="X230" s="8" t="n">
        <v>133982.3</v>
      </c>
      <c r="Y230" s="8" t="n">
        <f aca="false">Y229+V230</f>
        <v>3621.7</v>
      </c>
      <c r="Z230" s="8" t="n">
        <v>33296.4</v>
      </c>
      <c r="AA230" s="8" t="n">
        <v>13.630201800534</v>
      </c>
    </row>
    <row r="231" s="8" customFormat="true" ht="15" hidden="false" customHeight="false" outlineLevel="0" collapsed="false">
      <c r="A231" s="55" t="s">
        <v>55</v>
      </c>
      <c r="C231" s="11" t="n">
        <v>42109</v>
      </c>
      <c r="D231" s="8" t="n">
        <v>15.8</v>
      </c>
      <c r="E231" s="8" t="n">
        <v>8.3</v>
      </c>
      <c r="F231" s="8" t="n">
        <v>24.4</v>
      </c>
      <c r="G231" s="8" t="n">
        <v>1806.5</v>
      </c>
      <c r="H231" s="8" t="n">
        <f aca="false">H230+D231</f>
        <v>41.7</v>
      </c>
      <c r="I231" s="56" t="s">
        <v>31</v>
      </c>
      <c r="J231" s="8" t="n">
        <v>0</v>
      </c>
      <c r="K231" s="8" t="n">
        <v>369.1</v>
      </c>
      <c r="L231" s="8" t="n">
        <v>4.1</v>
      </c>
      <c r="M231" s="8" t="n">
        <v>250.8</v>
      </c>
      <c r="N231" s="13" t="n">
        <v>-4.1</v>
      </c>
      <c r="O231" s="8" t="n">
        <f aca="false">O230+N231</f>
        <v>163.2</v>
      </c>
      <c r="P231" s="8" t="n">
        <v>226</v>
      </c>
      <c r="Q231" s="8" t="n">
        <v>1.15</v>
      </c>
      <c r="R231" s="14" t="n">
        <f aca="false">Q231*L231</f>
        <v>4.715</v>
      </c>
      <c r="S231" s="14" t="n">
        <f aca="false">J231-R231</f>
        <v>-4.715</v>
      </c>
      <c r="T231" s="14" t="n">
        <f aca="false">MIN(189.6,(T230+S231))</f>
        <v>143.130833333333</v>
      </c>
      <c r="U231" s="56" t="s">
        <v>32</v>
      </c>
      <c r="V231" s="8" t="n">
        <v>2019.9</v>
      </c>
      <c r="W231" s="8" t="n">
        <v>127.841772151899</v>
      </c>
      <c r="X231" s="8" t="n">
        <v>136002.2</v>
      </c>
      <c r="Y231" s="8" t="n">
        <f aca="false">Y230+V231</f>
        <v>5641.6</v>
      </c>
      <c r="Z231" s="56" t="s">
        <v>33</v>
      </c>
      <c r="AA231" s="8" t="n">
        <v>13.6899789423581</v>
      </c>
    </row>
    <row r="232" s="8" customFormat="true" ht="15" hidden="false" customHeight="false" outlineLevel="0" collapsed="false">
      <c r="A232" s="55"/>
      <c r="C232" s="11" t="n">
        <v>42110</v>
      </c>
      <c r="D232" s="8" t="n">
        <v>14.3</v>
      </c>
      <c r="E232" s="8" t="n">
        <v>8</v>
      </c>
      <c r="F232" s="8" t="n">
        <v>19.7</v>
      </c>
      <c r="G232" s="8" t="n">
        <v>1820.8</v>
      </c>
      <c r="H232" s="8" t="n">
        <f aca="false">H231+D232</f>
        <v>56</v>
      </c>
      <c r="I232" s="8" t="n">
        <f aca="false">MAX(F229:F249)</f>
        <v>24.4</v>
      </c>
      <c r="J232" s="8" t="n">
        <v>0</v>
      </c>
      <c r="K232" s="8" t="n">
        <v>369.1</v>
      </c>
      <c r="L232" s="8" t="n">
        <v>2.1</v>
      </c>
      <c r="M232" s="8" t="n">
        <v>252.9</v>
      </c>
      <c r="N232" s="13" t="n">
        <v>-2.1</v>
      </c>
      <c r="O232" s="8" t="n">
        <f aca="false">O231+N232</f>
        <v>161.1</v>
      </c>
      <c r="P232" s="8" t="n">
        <v>227</v>
      </c>
      <c r="Q232" s="8" t="n">
        <v>1.15</v>
      </c>
      <c r="R232" s="14" t="n">
        <f aca="false">Q232*L232</f>
        <v>2.415</v>
      </c>
      <c r="S232" s="14" t="n">
        <f aca="false">J232-R232</f>
        <v>-2.415</v>
      </c>
      <c r="T232" s="14" t="n">
        <f aca="false">MIN(189.6,(T231+S232))</f>
        <v>140.715833333333</v>
      </c>
      <c r="U232" s="8" t="n">
        <v>0</v>
      </c>
      <c r="V232" s="8" t="n">
        <v>1330.4</v>
      </c>
      <c r="W232" s="8" t="n">
        <v>93.034965034965</v>
      </c>
      <c r="X232" s="8" t="n">
        <v>137332.6</v>
      </c>
      <c r="Y232" s="8" t="n">
        <f aca="false">Y231+V232</f>
        <v>6972</v>
      </c>
      <c r="Z232" s="16" t="n">
        <f aca="false">(Z230/100)/I242</f>
        <v>1.38850708924103</v>
      </c>
      <c r="AA232" s="8" t="n">
        <v>13.7495583571237</v>
      </c>
    </row>
    <row r="233" s="8" customFormat="true" ht="15" hidden="false" customHeight="false" outlineLevel="0" collapsed="false">
      <c r="A233" s="55"/>
      <c r="C233" s="11" t="n">
        <v>42111</v>
      </c>
      <c r="D233" s="8" t="n">
        <v>11.3</v>
      </c>
      <c r="E233" s="8" t="n">
        <v>9.1</v>
      </c>
      <c r="F233" s="8" t="n">
        <v>13.5</v>
      </c>
      <c r="G233" s="8" t="n">
        <v>1832.1</v>
      </c>
      <c r="H233" s="8" t="n">
        <f aca="false">H232+D233</f>
        <v>67.3</v>
      </c>
      <c r="I233" s="56" t="s">
        <v>34</v>
      </c>
      <c r="J233" s="8" t="n">
        <v>0</v>
      </c>
      <c r="K233" s="8" t="n">
        <v>369.1</v>
      </c>
      <c r="L233" s="8" t="n">
        <v>2.3</v>
      </c>
      <c r="M233" s="8" t="n">
        <v>255.2</v>
      </c>
      <c r="N233" s="13" t="n">
        <v>-2.3</v>
      </c>
      <c r="O233" s="8" t="n">
        <f aca="false">O232+N233</f>
        <v>158.8</v>
      </c>
      <c r="P233" s="8" t="n">
        <v>228</v>
      </c>
      <c r="Q233" s="8" t="n">
        <v>1.15</v>
      </c>
      <c r="R233" s="14" t="n">
        <f aca="false">Q233*L233</f>
        <v>2.645</v>
      </c>
      <c r="S233" s="14" t="n">
        <f aca="false">J233-R233</f>
        <v>-2.645</v>
      </c>
      <c r="T233" s="14" t="n">
        <f aca="false">MIN(189.6,(T232+S233))</f>
        <v>138.070833333333</v>
      </c>
      <c r="U233" s="56" t="s">
        <v>35</v>
      </c>
      <c r="V233" s="15" t="n">
        <v>889</v>
      </c>
      <c r="W233" s="8" t="n">
        <v>78.6725663716814</v>
      </c>
      <c r="X233" s="8" t="n">
        <v>138221.6</v>
      </c>
      <c r="Y233" s="8" t="n">
        <f aca="false">Y232+V233</f>
        <v>7861</v>
      </c>
      <c r="Z233" s="56" t="s">
        <v>36</v>
      </c>
      <c r="AA233" s="8" t="n">
        <v>13.8089291453783</v>
      </c>
    </row>
    <row r="234" s="8" customFormat="true" ht="15" hidden="false" customHeight="false" outlineLevel="0" collapsed="false">
      <c r="A234" s="55"/>
      <c r="C234" s="11" t="n">
        <v>42112</v>
      </c>
      <c r="D234" s="8" t="n">
        <v>10</v>
      </c>
      <c r="E234" s="8" t="n">
        <v>5.7</v>
      </c>
      <c r="F234" s="8" t="n">
        <v>14.5</v>
      </c>
      <c r="G234" s="8" t="n">
        <v>1842.1</v>
      </c>
      <c r="H234" s="8" t="n">
        <f aca="false">H233+D234</f>
        <v>77.3</v>
      </c>
      <c r="I234" s="14" t="n">
        <f aca="false">AVERAGE(D229:D249)</f>
        <v>11.4190476190476</v>
      </c>
      <c r="J234" s="8" t="n">
        <v>0</v>
      </c>
      <c r="K234" s="8" t="n">
        <v>369.1</v>
      </c>
      <c r="L234" s="8" t="n">
        <v>3.9</v>
      </c>
      <c r="M234" s="8" t="n">
        <v>259.1</v>
      </c>
      <c r="N234" s="13" t="n">
        <v>-3.9</v>
      </c>
      <c r="O234" s="8" t="n">
        <f aca="false">O233+N234</f>
        <v>154.9</v>
      </c>
      <c r="P234" s="8" t="n">
        <v>229</v>
      </c>
      <c r="Q234" s="8" t="n">
        <v>1.15</v>
      </c>
      <c r="R234" s="14" t="n">
        <f aca="false">Q234*L234</f>
        <v>4.485</v>
      </c>
      <c r="S234" s="14" t="n">
        <f aca="false">J234-R234</f>
        <v>-4.485</v>
      </c>
      <c r="T234" s="14" t="n">
        <f aca="false">MIN(189.6,(T233+S234))</f>
        <v>133.585833333333</v>
      </c>
      <c r="U234" s="8" t="n">
        <v>0</v>
      </c>
      <c r="V234" s="8" t="n">
        <v>2363.1</v>
      </c>
      <c r="W234" s="8" t="n">
        <v>236.31</v>
      </c>
      <c r="X234" s="8" t="n">
        <v>140584.7</v>
      </c>
      <c r="Y234" s="8" t="n">
        <f aca="false">Y233+V234</f>
        <v>10224.1</v>
      </c>
      <c r="Z234" s="8" t="n">
        <v>6</v>
      </c>
      <c r="AA234" s="8" t="n">
        <v>13.868079982568</v>
      </c>
    </row>
    <row r="235" s="8" customFormat="true" ht="15" hidden="false" customHeight="false" outlineLevel="0" collapsed="false">
      <c r="A235" s="55"/>
      <c r="C235" s="11" t="n">
        <v>42113</v>
      </c>
      <c r="D235" s="8" t="n">
        <v>9.5</v>
      </c>
      <c r="E235" s="18" t="n">
        <v>5</v>
      </c>
      <c r="F235" s="8" t="n">
        <v>13.9</v>
      </c>
      <c r="G235" s="8" t="n">
        <v>1851.6</v>
      </c>
      <c r="H235" s="8" t="n">
        <f aca="false">H234+D235</f>
        <v>86.8</v>
      </c>
      <c r="I235" s="56" t="s">
        <v>37</v>
      </c>
      <c r="J235" s="8" t="n">
        <v>0</v>
      </c>
      <c r="K235" s="8" t="n">
        <v>369.1</v>
      </c>
      <c r="L235" s="8" t="n">
        <v>3.4</v>
      </c>
      <c r="M235" s="8" t="n">
        <v>262.5</v>
      </c>
      <c r="N235" s="13" t="n">
        <v>-3.4</v>
      </c>
      <c r="O235" s="8" t="n">
        <f aca="false">O234+N235</f>
        <v>151.5</v>
      </c>
      <c r="P235" s="8" t="n">
        <v>230</v>
      </c>
      <c r="Q235" s="8" t="n">
        <v>1.15</v>
      </c>
      <c r="R235" s="14" t="n">
        <f aca="false">Q235*L235</f>
        <v>3.91</v>
      </c>
      <c r="S235" s="14" t="n">
        <f aca="false">J235-R235</f>
        <v>-3.91</v>
      </c>
      <c r="T235" s="14" t="n">
        <f aca="false">MIN(189.6,(T234+S235))</f>
        <v>129.675833333333</v>
      </c>
      <c r="U235" s="56" t="s">
        <v>38</v>
      </c>
      <c r="V235" s="8" t="n">
        <v>2319.8</v>
      </c>
      <c r="W235" s="8" t="n">
        <v>244.189473684211</v>
      </c>
      <c r="X235" s="8" t="n">
        <v>142904.5</v>
      </c>
      <c r="Y235" s="8" t="n">
        <f aca="false">Y234+V235</f>
        <v>12543.9</v>
      </c>
      <c r="AA235" s="8" t="n">
        <v>13.9269991036858</v>
      </c>
    </row>
    <row r="236" s="8" customFormat="true" ht="15" hidden="false" customHeight="false" outlineLevel="0" collapsed="false">
      <c r="A236" s="55"/>
      <c r="C236" s="11" t="n">
        <v>42114</v>
      </c>
      <c r="D236" s="8" t="n">
        <v>11.9</v>
      </c>
      <c r="E236" s="18" t="n">
        <v>4.8</v>
      </c>
      <c r="F236" s="8" t="n">
        <v>19</v>
      </c>
      <c r="G236" s="8" t="n">
        <v>1863.5</v>
      </c>
      <c r="H236" s="8" t="n">
        <f aca="false">H235+D236</f>
        <v>98.7</v>
      </c>
      <c r="I236" s="8" t="n">
        <v>0</v>
      </c>
      <c r="J236" s="8" t="n">
        <v>0</v>
      </c>
      <c r="K236" s="8" t="n">
        <v>369.1</v>
      </c>
      <c r="L236" s="8" t="n">
        <v>3.9</v>
      </c>
      <c r="M236" s="8" t="n">
        <v>266.4</v>
      </c>
      <c r="N236" s="13" t="n">
        <v>-3.9</v>
      </c>
      <c r="O236" s="8" t="n">
        <f aca="false">O235+N236</f>
        <v>147.6</v>
      </c>
      <c r="P236" s="8" t="n">
        <v>231</v>
      </c>
      <c r="Q236" s="8" t="n">
        <v>1.15</v>
      </c>
      <c r="R236" s="14" t="n">
        <f aca="false">Q236*L236</f>
        <v>4.485</v>
      </c>
      <c r="S236" s="14" t="n">
        <f aca="false">J236-R236</f>
        <v>-4.485</v>
      </c>
      <c r="T236" s="14" t="n">
        <f aca="false">MIN(189.6,(T235+S236))</f>
        <v>125.190833333333</v>
      </c>
      <c r="U236" s="14" t="n">
        <f aca="false">MIN(T229:T249)</f>
        <v>108.250833333333</v>
      </c>
      <c r="V236" s="8" t="n">
        <v>2217.5</v>
      </c>
      <c r="W236" s="8" t="n">
        <v>186.344537815126</v>
      </c>
      <c r="X236" s="8" t="n">
        <v>145122</v>
      </c>
      <c r="Y236" s="8" t="n">
        <f aca="false">Y235+V236</f>
        <v>14761.4</v>
      </c>
      <c r="AA236" s="8" t="n">
        <v>13.9856742883214</v>
      </c>
    </row>
    <row r="237" s="8" customFormat="true" ht="15" hidden="false" customHeight="false" outlineLevel="0" collapsed="false">
      <c r="A237" s="55"/>
      <c r="C237" s="11" t="n">
        <v>42115</v>
      </c>
      <c r="D237" s="8" t="n">
        <v>12.5</v>
      </c>
      <c r="E237" s="8" t="n">
        <v>6.8</v>
      </c>
      <c r="F237" s="8" t="n">
        <v>19.1</v>
      </c>
      <c r="G237" s="8" t="n">
        <v>1876</v>
      </c>
      <c r="H237" s="8" t="n">
        <f aca="false">H236+D237</f>
        <v>111.2</v>
      </c>
      <c r="I237" s="56" t="s">
        <v>39</v>
      </c>
      <c r="J237" s="8" t="n">
        <v>0</v>
      </c>
      <c r="K237" s="8" t="n">
        <v>369.1</v>
      </c>
      <c r="L237" s="8" t="n">
        <v>4</v>
      </c>
      <c r="M237" s="8" t="n">
        <v>270.4</v>
      </c>
      <c r="N237" s="13" t="n">
        <v>-4</v>
      </c>
      <c r="O237" s="8" t="n">
        <f aca="false">O236+N237</f>
        <v>143.6</v>
      </c>
      <c r="P237" s="8" t="n">
        <v>232</v>
      </c>
      <c r="Q237" s="8" t="n">
        <v>1.15</v>
      </c>
      <c r="R237" s="14" t="n">
        <f aca="false">Q237*L237</f>
        <v>4.6</v>
      </c>
      <c r="S237" s="14" t="n">
        <f aca="false">J237-R237</f>
        <v>-4.6</v>
      </c>
      <c r="T237" s="14" t="n">
        <f aca="false">MIN(189.6,(T236+S237))</f>
        <v>120.590833333333</v>
      </c>
      <c r="U237" s="56" t="s">
        <v>40</v>
      </c>
      <c r="V237" s="8" t="n">
        <v>2240.5</v>
      </c>
      <c r="W237" s="8" t="n">
        <v>179.24</v>
      </c>
      <c r="X237" s="8" t="n">
        <v>147362.5</v>
      </c>
      <c r="Y237" s="8" t="n">
        <f aca="false">Y236+V237</f>
        <v>17001.9</v>
      </c>
      <c r="AA237" s="8" t="n">
        <v>14.0440928461666</v>
      </c>
    </row>
    <row r="238" s="8" customFormat="true" ht="15" hidden="false" customHeight="false" outlineLevel="0" collapsed="false">
      <c r="A238" s="55"/>
      <c r="C238" s="11" t="n">
        <v>42116</v>
      </c>
      <c r="D238" s="8" t="n">
        <v>10.1</v>
      </c>
      <c r="E238" s="8" t="n">
        <v>5.8</v>
      </c>
      <c r="F238" s="8" t="n">
        <v>15.7</v>
      </c>
      <c r="G238" s="8" t="n">
        <v>1886.1</v>
      </c>
      <c r="H238" s="8" t="n">
        <f aca="false">H237+D238</f>
        <v>121.3</v>
      </c>
      <c r="I238" s="8" t="n">
        <v>0</v>
      </c>
      <c r="J238" s="8" t="n">
        <v>0</v>
      </c>
      <c r="K238" s="8" t="n">
        <v>369.1</v>
      </c>
      <c r="L238" s="8" t="n">
        <v>3.8</v>
      </c>
      <c r="M238" s="8" t="n">
        <v>274.2</v>
      </c>
      <c r="N238" s="13" t="n">
        <v>-3.8</v>
      </c>
      <c r="O238" s="8" t="n">
        <f aca="false">O237+N238</f>
        <v>139.8</v>
      </c>
      <c r="P238" s="8" t="n">
        <v>233</v>
      </c>
      <c r="Q238" s="8" t="n">
        <v>1.15</v>
      </c>
      <c r="R238" s="14" t="n">
        <f aca="false">Q238*L238</f>
        <v>4.37</v>
      </c>
      <c r="S238" s="14" t="n">
        <f aca="false">J238-R238</f>
        <v>-4.37</v>
      </c>
      <c r="T238" s="14" t="n">
        <f aca="false">MIN(189.6,(T237+S238))</f>
        <v>116.220833333333</v>
      </c>
      <c r="U238" s="14" t="n">
        <f aca="false">MAX(T229:T249)</f>
        <v>152.675833333333</v>
      </c>
      <c r="V238" s="8" t="n">
        <v>2348.4</v>
      </c>
      <c r="W238" s="8" t="n">
        <v>232.514851485149</v>
      </c>
      <c r="X238" s="8" t="n">
        <v>149710.9</v>
      </c>
      <c r="Y238" s="8" t="n">
        <f aca="false">Y237+V238</f>
        <v>19350.3</v>
      </c>
      <c r="AA238" s="8" t="n">
        <v>14.1022416030313</v>
      </c>
    </row>
    <row r="239" s="48" customFormat="true" ht="15" hidden="false" customHeight="false" outlineLevel="0" collapsed="false">
      <c r="A239" s="57"/>
      <c r="C239" s="11" t="n">
        <v>42117</v>
      </c>
      <c r="D239" s="48" t="n">
        <v>11.3</v>
      </c>
      <c r="E239" s="48" t="n">
        <v>5.6</v>
      </c>
      <c r="F239" s="48" t="n">
        <v>17.1</v>
      </c>
      <c r="G239" s="48" t="n">
        <v>1897.4</v>
      </c>
      <c r="H239" s="48" t="n">
        <f aca="false">H238+D239</f>
        <v>132.6</v>
      </c>
      <c r="I239" s="56" t="s">
        <v>41</v>
      </c>
      <c r="J239" s="48" t="n">
        <v>0</v>
      </c>
      <c r="K239" s="48" t="n">
        <v>369.1</v>
      </c>
      <c r="L239" s="48" t="n">
        <v>3.7</v>
      </c>
      <c r="M239" s="48" t="n">
        <v>277.9</v>
      </c>
      <c r="N239" s="48" t="n">
        <v>-3.7</v>
      </c>
      <c r="O239" s="48" t="n">
        <f aca="false">O238+N239</f>
        <v>136.1</v>
      </c>
      <c r="P239" s="48" t="n">
        <v>234</v>
      </c>
      <c r="Q239" s="8" t="n">
        <v>1.15</v>
      </c>
      <c r="R239" s="49" t="n">
        <f aca="false">Q239*L239</f>
        <v>4.255</v>
      </c>
      <c r="S239" s="49" t="n">
        <f aca="false">J239-R239</f>
        <v>-4.255</v>
      </c>
      <c r="T239" s="14" t="n">
        <f aca="false">MIN(189.6,(T238+S239))</f>
        <v>111.965833333333</v>
      </c>
      <c r="U239" s="56" t="s">
        <v>42</v>
      </c>
      <c r="V239" s="48" t="n">
        <v>2477</v>
      </c>
      <c r="W239" s="48" t="n">
        <v>219.203539823009</v>
      </c>
      <c r="X239" s="48" t="n">
        <v>152187.9</v>
      </c>
      <c r="Y239" s="8" t="n">
        <f aca="false">Y238+V239</f>
        <v>21827.3</v>
      </c>
      <c r="AA239" s="8" t="n">
        <v>14.1601068874331</v>
      </c>
    </row>
    <row r="240" s="8" customFormat="true" ht="15" hidden="false" customHeight="true" outlineLevel="0" collapsed="false">
      <c r="A240" s="55"/>
      <c r="C240" s="11" t="n">
        <v>42118</v>
      </c>
      <c r="D240" s="8" t="n">
        <v>13.5</v>
      </c>
      <c r="E240" s="8" t="n">
        <v>6.2</v>
      </c>
      <c r="F240" s="8" t="n">
        <v>22.1</v>
      </c>
      <c r="G240" s="8" t="n">
        <v>1910.9</v>
      </c>
      <c r="H240" s="8" t="n">
        <f aca="false">H239+D240</f>
        <v>146.1</v>
      </c>
      <c r="I240" s="8" t="n">
        <v>4</v>
      </c>
      <c r="J240" s="8" t="n">
        <v>2.8</v>
      </c>
      <c r="K240" s="8" t="n">
        <v>371.9</v>
      </c>
      <c r="L240" s="8" t="n">
        <v>3</v>
      </c>
      <c r="M240" s="8" t="n">
        <v>280.9</v>
      </c>
      <c r="N240" s="13" t="n">
        <v>-0.2</v>
      </c>
      <c r="O240" s="8" t="n">
        <f aca="false">O239+N240</f>
        <v>135.9</v>
      </c>
      <c r="P240" s="8" t="n">
        <v>235</v>
      </c>
      <c r="Q240" s="8" t="n">
        <v>1.15</v>
      </c>
      <c r="R240" s="14" t="n">
        <f aca="false">Q240*L240</f>
        <v>3.45</v>
      </c>
      <c r="S240" s="14" t="n">
        <f aca="false">J240-R240</f>
        <v>-0.65</v>
      </c>
      <c r="T240" s="14" t="n">
        <f aca="false">MIN(189.6,(T239+S240))</f>
        <v>111.315833333333</v>
      </c>
      <c r="U240" s="58" t="n">
        <f aca="false">AVERAGE(T229:T249)</f>
        <v>122.744880952381</v>
      </c>
      <c r="V240" s="8" t="n">
        <v>1563</v>
      </c>
      <c r="W240" s="8" t="n">
        <v>115.777777777778</v>
      </c>
      <c r="X240" s="8" t="n">
        <v>153750.9</v>
      </c>
      <c r="Y240" s="8" t="n">
        <f aca="false">Y239+V240</f>
        <v>23390.3</v>
      </c>
      <c r="AA240" s="8" t="n">
        <v>14.2176745178259</v>
      </c>
    </row>
    <row r="241" s="8" customFormat="true" ht="15" hidden="false" customHeight="false" outlineLevel="0" collapsed="false">
      <c r="A241" s="55"/>
      <c r="C241" s="11" t="n">
        <v>42119</v>
      </c>
      <c r="D241" s="8" t="n">
        <v>13.1</v>
      </c>
      <c r="E241" s="8" t="n">
        <v>11.2</v>
      </c>
      <c r="F241" s="8" t="n">
        <v>15</v>
      </c>
      <c r="G241" s="8" t="n">
        <v>1924</v>
      </c>
      <c r="H241" s="8" t="n">
        <f aca="false">H240+D241</f>
        <v>159.2</v>
      </c>
      <c r="I241" s="56" t="s">
        <v>43</v>
      </c>
      <c r="J241" s="8" t="n">
        <v>3.8</v>
      </c>
      <c r="K241" s="8" t="n">
        <v>375.7</v>
      </c>
      <c r="L241" s="8" t="n">
        <v>1.4</v>
      </c>
      <c r="M241" s="8" t="n">
        <v>282.3</v>
      </c>
      <c r="N241" s="8" t="n">
        <v>2.4</v>
      </c>
      <c r="O241" s="8" t="n">
        <f aca="false">O240+N241</f>
        <v>138.3</v>
      </c>
      <c r="P241" s="8" t="n">
        <v>236</v>
      </c>
      <c r="Q241" s="8" t="n">
        <v>1.15</v>
      </c>
      <c r="R241" s="14" t="n">
        <f aca="false">Q241*L241</f>
        <v>1.61</v>
      </c>
      <c r="S241" s="14" t="n">
        <f aca="false">J241-R241</f>
        <v>2.19</v>
      </c>
      <c r="T241" s="14" t="n">
        <f aca="false">MIN(189.6,(T240+S241))</f>
        <v>113.505833333333</v>
      </c>
      <c r="V241" s="15" t="n">
        <v>763.7</v>
      </c>
      <c r="W241" s="8" t="n">
        <v>58.2977099236641</v>
      </c>
      <c r="X241" s="8" t="n">
        <v>154514.6</v>
      </c>
      <c r="Y241" s="8" t="n">
        <f aca="false">Y240+V241</f>
        <v>24154</v>
      </c>
      <c r="AA241" s="8" t="n">
        <v>14.274929790539</v>
      </c>
    </row>
    <row r="242" s="8" customFormat="true" ht="15" hidden="false" customHeight="false" outlineLevel="0" collapsed="false">
      <c r="A242" s="55"/>
      <c r="C242" s="11" t="n">
        <v>42120</v>
      </c>
      <c r="D242" s="8" t="n">
        <v>12.2</v>
      </c>
      <c r="E242" s="8" t="n">
        <v>11.3</v>
      </c>
      <c r="F242" s="8" t="n">
        <v>14.7</v>
      </c>
      <c r="G242" s="8" t="n">
        <v>1936.2</v>
      </c>
      <c r="H242" s="8" t="n">
        <f aca="false">H241+D242</f>
        <v>171.4</v>
      </c>
      <c r="I242" s="8" t="n">
        <v>239.8</v>
      </c>
      <c r="J242" s="8" t="n">
        <v>5.7</v>
      </c>
      <c r="K242" s="8" t="n">
        <v>381.4</v>
      </c>
      <c r="L242" s="8" t="n">
        <v>1.4</v>
      </c>
      <c r="M242" s="8" t="n">
        <v>283.7</v>
      </c>
      <c r="N242" s="8" t="n">
        <v>4.3</v>
      </c>
      <c r="O242" s="8" t="n">
        <f aca="false">O241+N242</f>
        <v>142.6</v>
      </c>
      <c r="P242" s="8" t="n">
        <v>237</v>
      </c>
      <c r="Q242" s="8" t="n">
        <v>1.15</v>
      </c>
      <c r="R242" s="14" t="n">
        <f aca="false">Q242*L242</f>
        <v>1.61</v>
      </c>
      <c r="S242" s="14" t="n">
        <f aca="false">J242-R242</f>
        <v>4.09</v>
      </c>
      <c r="T242" s="14" t="n">
        <f aca="false">MIN(189.6,(T241+S242))</f>
        <v>117.595833333333</v>
      </c>
      <c r="U242" s="8" t="n">
        <f aca="false">(U240*100)/189.6</f>
        <v>64.7388612618043</v>
      </c>
      <c r="V242" s="15" t="n">
        <v>593.8</v>
      </c>
      <c r="W242" s="8" t="n">
        <v>48.672131147541</v>
      </c>
      <c r="X242" s="8" t="n">
        <v>155108.4</v>
      </c>
      <c r="Y242" s="8" t="n">
        <f aca="false">Y241+V242</f>
        <v>24747.8</v>
      </c>
      <c r="AA242" s="8" t="n">
        <v>14.3318574685045</v>
      </c>
    </row>
    <row r="243" s="8" customFormat="true" ht="15" hidden="false" customHeight="false" outlineLevel="0" collapsed="false">
      <c r="A243" s="55"/>
      <c r="C243" s="11" t="n">
        <v>42121</v>
      </c>
      <c r="D243" s="8" t="n">
        <v>8.5</v>
      </c>
      <c r="E243" s="8" t="n">
        <v>6.9</v>
      </c>
      <c r="F243" s="8" t="n">
        <v>11.5</v>
      </c>
      <c r="G243" s="8" t="n">
        <v>1944.7</v>
      </c>
      <c r="H243" s="8" t="n">
        <f aca="false">H242+D243</f>
        <v>179.9</v>
      </c>
      <c r="J243" s="8" t="n">
        <v>0</v>
      </c>
      <c r="K243" s="8" t="n">
        <v>381.4</v>
      </c>
      <c r="L243" s="8" t="n">
        <v>2.4</v>
      </c>
      <c r="M243" s="8" t="n">
        <v>286.1</v>
      </c>
      <c r="N243" s="13" t="n">
        <v>-2.4</v>
      </c>
      <c r="O243" s="8" t="n">
        <f aca="false">O242+N243</f>
        <v>140.2</v>
      </c>
      <c r="P243" s="8" t="n">
        <v>238</v>
      </c>
      <c r="Q243" s="8" t="n">
        <v>1.15</v>
      </c>
      <c r="R243" s="14" t="n">
        <f aca="false">Q243*L243</f>
        <v>2.76</v>
      </c>
      <c r="S243" s="14" t="n">
        <f aca="false">J243-R243</f>
        <v>-2.76</v>
      </c>
      <c r="T243" s="14" t="n">
        <f aca="false">MIN(189.6,(T242+S243))</f>
        <v>114.835833333333</v>
      </c>
      <c r="V243" s="8" t="n">
        <v>1372.6</v>
      </c>
      <c r="W243" s="8" t="n">
        <v>161.482352941176</v>
      </c>
      <c r="X243" s="8" t="n">
        <v>156481</v>
      </c>
      <c r="Y243" s="8" t="n">
        <f aca="false">Y242+V243</f>
        <v>26120.4</v>
      </c>
      <c r="AA243" s="8" t="n">
        <v>14.3884417708522</v>
      </c>
    </row>
    <row r="244" s="8" customFormat="true" ht="15" hidden="false" customHeight="false" outlineLevel="0" collapsed="false">
      <c r="A244" s="55"/>
      <c r="C244" s="11" t="n">
        <v>42122</v>
      </c>
      <c r="D244" s="8" t="n">
        <v>7.7</v>
      </c>
      <c r="E244" s="18" t="n">
        <v>2.4</v>
      </c>
      <c r="F244" s="8" t="n">
        <v>11.3</v>
      </c>
      <c r="G244" s="8" t="n">
        <v>1952.4</v>
      </c>
      <c r="H244" s="8" t="n">
        <f aca="false">H243+D244</f>
        <v>187.6</v>
      </c>
      <c r="J244" s="8" t="n">
        <v>0</v>
      </c>
      <c r="K244" s="8" t="n">
        <v>381.4</v>
      </c>
      <c r="L244" s="8" t="n">
        <v>2.5</v>
      </c>
      <c r="M244" s="8" t="n">
        <v>288.6</v>
      </c>
      <c r="N244" s="13" t="n">
        <v>-2.5</v>
      </c>
      <c r="O244" s="8" t="n">
        <f aca="false">O243+N244</f>
        <v>137.7</v>
      </c>
      <c r="P244" s="8" t="n">
        <v>239</v>
      </c>
      <c r="Q244" s="8" t="n">
        <v>1.15</v>
      </c>
      <c r="R244" s="14" t="n">
        <f aca="false">Q244*L244</f>
        <v>2.875</v>
      </c>
      <c r="S244" s="14" t="n">
        <f aca="false">J244-R244</f>
        <v>-2.875</v>
      </c>
      <c r="T244" s="14" t="n">
        <f aca="false">MIN(189.6,(T243+S244))</f>
        <v>111.960833333333</v>
      </c>
      <c r="V244" s="8" t="n">
        <v>1962.8</v>
      </c>
      <c r="W244" s="8" t="n">
        <v>254.909090909091</v>
      </c>
      <c r="X244" s="8" t="n">
        <v>158443.8</v>
      </c>
      <c r="Y244" s="8" t="n">
        <f aca="false">Y243+V244</f>
        <v>28083.2</v>
      </c>
      <c r="AA244" s="8" t="n">
        <v>14.4446663634609</v>
      </c>
    </row>
    <row r="245" s="8" customFormat="true" ht="15" hidden="false" customHeight="false" outlineLevel="0" collapsed="false">
      <c r="A245" s="55"/>
      <c r="C245" s="11" t="n">
        <v>42123</v>
      </c>
      <c r="D245" s="8" t="n">
        <v>9.3</v>
      </c>
      <c r="E245" s="18" t="n">
        <v>3.7</v>
      </c>
      <c r="F245" s="8" t="n">
        <v>13.9</v>
      </c>
      <c r="G245" s="8" t="n">
        <v>1961.7</v>
      </c>
      <c r="H245" s="8" t="n">
        <f aca="false">H244+D245</f>
        <v>196.9</v>
      </c>
      <c r="J245" s="8" t="n">
        <v>0.9</v>
      </c>
      <c r="K245" s="8" t="n">
        <v>382.3</v>
      </c>
      <c r="L245" s="8" t="n">
        <v>2.2</v>
      </c>
      <c r="M245" s="8" t="n">
        <v>290.8</v>
      </c>
      <c r="N245" s="13" t="n">
        <v>-1.3</v>
      </c>
      <c r="O245" s="8" t="n">
        <f aca="false">O244+N245</f>
        <v>136.4</v>
      </c>
      <c r="P245" s="8" t="n">
        <v>240</v>
      </c>
      <c r="Q245" s="8" t="n">
        <v>1.15</v>
      </c>
      <c r="R245" s="14" t="n">
        <f aca="false">Q245*L245</f>
        <v>2.53</v>
      </c>
      <c r="S245" s="14" t="n">
        <f aca="false">J245-R245</f>
        <v>-1.63</v>
      </c>
      <c r="T245" s="14" t="n">
        <f aca="false">MIN(189.6,(T244+S245))</f>
        <v>110.330833333333</v>
      </c>
      <c r="V245" s="8" t="n">
        <v>1470.7</v>
      </c>
      <c r="W245" s="8" t="n">
        <v>158.139784946237</v>
      </c>
      <c r="X245" s="8" t="n">
        <v>159914.5</v>
      </c>
      <c r="Y245" s="8" t="n">
        <f aca="false">Y244+V245</f>
        <v>29553.9</v>
      </c>
      <c r="AA245" s="8" t="n">
        <v>14.5005143505566</v>
      </c>
    </row>
    <row r="246" s="8" customFormat="true" ht="15" hidden="false" customHeight="false" outlineLevel="0" collapsed="false">
      <c r="A246" s="55"/>
      <c r="C246" s="11" t="n">
        <v>42124</v>
      </c>
      <c r="D246" s="8" t="n">
        <v>8.8</v>
      </c>
      <c r="E246" s="8" t="n">
        <v>6.6</v>
      </c>
      <c r="F246" s="8" t="n">
        <v>11.4</v>
      </c>
      <c r="G246" s="8" t="n">
        <v>1970.5</v>
      </c>
      <c r="H246" s="8" t="n">
        <f aca="false">H245+D246</f>
        <v>205.7</v>
      </c>
      <c r="J246" s="8" t="n">
        <v>1.2</v>
      </c>
      <c r="K246" s="8" t="n">
        <v>383.5</v>
      </c>
      <c r="L246" s="8" t="n">
        <v>1.3</v>
      </c>
      <c r="M246" s="8" t="n">
        <v>292.1</v>
      </c>
      <c r="N246" s="13" t="n">
        <v>-0.1</v>
      </c>
      <c r="O246" s="8" t="n">
        <f aca="false">O245+N246</f>
        <v>136.3</v>
      </c>
      <c r="P246" s="8" t="n">
        <v>241</v>
      </c>
      <c r="Q246" s="8" t="n">
        <v>1.15</v>
      </c>
      <c r="R246" s="14" t="n">
        <f aca="false">Q246*L246</f>
        <v>1.495</v>
      </c>
      <c r="S246" s="14" t="n">
        <f aca="false">J246-R246</f>
        <v>-0.295</v>
      </c>
      <c r="T246" s="14" t="n">
        <f aca="false">MIN(189.6,(T245+S246))</f>
        <v>110.035833333333</v>
      </c>
      <c r="V246" s="15" t="n">
        <v>892.1</v>
      </c>
      <c r="W246" s="8" t="n">
        <v>101.375</v>
      </c>
      <c r="X246" s="8" t="n">
        <v>160806.6</v>
      </c>
      <c r="Y246" s="8" t="n">
        <f aca="false">Y245+V246</f>
        <v>30446</v>
      </c>
      <c r="AA246" s="8" t="n">
        <v>14.5559682674546</v>
      </c>
    </row>
    <row r="247" s="8" customFormat="true" ht="15" hidden="false" customHeight="false" outlineLevel="0" collapsed="false">
      <c r="A247" s="55"/>
      <c r="C247" s="11" t="n">
        <v>42125</v>
      </c>
      <c r="D247" s="8" t="n">
        <v>8.9</v>
      </c>
      <c r="E247" s="8" t="n">
        <v>5.1</v>
      </c>
      <c r="F247" s="8" t="n">
        <v>11.6</v>
      </c>
      <c r="G247" s="8" t="n">
        <v>1979.4</v>
      </c>
      <c r="H247" s="8" t="n">
        <f aca="false">H246+D247</f>
        <v>214.6</v>
      </c>
      <c r="J247" s="8" t="n">
        <v>0.4</v>
      </c>
      <c r="K247" s="8" t="n">
        <v>383.9</v>
      </c>
      <c r="L247" s="8" t="n">
        <v>1.9</v>
      </c>
      <c r="M247" s="8" t="n">
        <v>294</v>
      </c>
      <c r="N247" s="13" t="n">
        <v>-1.5</v>
      </c>
      <c r="O247" s="8" t="n">
        <f aca="false">O246+N247</f>
        <v>134.8</v>
      </c>
      <c r="P247" s="8" t="n">
        <v>242</v>
      </c>
      <c r="Q247" s="8" t="n">
        <v>1.15</v>
      </c>
      <c r="R247" s="14" t="n">
        <f aca="false">Q247*L247</f>
        <v>2.185</v>
      </c>
      <c r="S247" s="14" t="n">
        <f aca="false">J247-R247</f>
        <v>-1.785</v>
      </c>
      <c r="T247" s="14" t="n">
        <f aca="false">MIN(189.6,(T246+S247))</f>
        <v>108.250833333333</v>
      </c>
      <c r="V247" s="8" t="n">
        <v>1600</v>
      </c>
      <c r="W247" s="8" t="n">
        <v>179.775280898876</v>
      </c>
      <c r="X247" s="8" t="n">
        <v>162406.6</v>
      </c>
      <c r="Y247" s="8" t="n">
        <f aca="false">Y246+V247</f>
        <v>32046</v>
      </c>
      <c r="AA247" s="8" t="n">
        <v>14.6110100745474</v>
      </c>
    </row>
    <row r="248" s="8" customFormat="true" ht="15" hidden="false" customHeight="false" outlineLevel="0" collapsed="false">
      <c r="A248" s="55"/>
      <c r="C248" s="11" t="n">
        <v>42126</v>
      </c>
      <c r="D248" s="8" t="n">
        <v>10.9</v>
      </c>
      <c r="E248" s="8" t="n">
        <v>8.1</v>
      </c>
      <c r="F248" s="8" t="n">
        <v>13</v>
      </c>
      <c r="G248" s="8" t="n">
        <v>1990.3</v>
      </c>
      <c r="H248" s="8" t="n">
        <f aca="false">H247+D248</f>
        <v>225.5</v>
      </c>
      <c r="J248" s="8" t="n">
        <v>2.2</v>
      </c>
      <c r="K248" s="8" t="n">
        <v>386.1</v>
      </c>
      <c r="L248" s="8" t="n">
        <v>0.7</v>
      </c>
      <c r="M248" s="8" t="n">
        <v>294.7</v>
      </c>
      <c r="N248" s="8" t="n">
        <v>1.5</v>
      </c>
      <c r="O248" s="8" t="n">
        <f aca="false">O247+N248</f>
        <v>136.3</v>
      </c>
      <c r="P248" s="8" t="n">
        <v>243</v>
      </c>
      <c r="Q248" s="8" t="n">
        <v>1.15</v>
      </c>
      <c r="R248" s="14" t="n">
        <f aca="false">Q248*L248</f>
        <v>0.805</v>
      </c>
      <c r="S248" s="14" t="n">
        <f aca="false">J248-R248</f>
        <v>1.395</v>
      </c>
      <c r="T248" s="14" t="n">
        <f aca="false">MIN(189.6,(T247+S248))</f>
        <v>109.645833333333</v>
      </c>
      <c r="V248" s="15" t="n">
        <v>502</v>
      </c>
      <c r="W248" s="8" t="n">
        <v>46.0550458715596</v>
      </c>
      <c r="X248" s="8" t="n">
        <v>162908.6</v>
      </c>
      <c r="Y248" s="8" t="n">
        <f aca="false">Y247+V248</f>
        <v>32548</v>
      </c>
      <c r="AA248" s="8" t="n">
        <v>14.6656211526435</v>
      </c>
    </row>
    <row r="249" s="42" customFormat="true" ht="15" hidden="false" customHeight="false" outlineLevel="0" collapsed="false">
      <c r="A249" s="59" t="s">
        <v>56</v>
      </c>
      <c r="C249" s="52" t="n">
        <v>42127</v>
      </c>
      <c r="D249" s="42" t="n">
        <v>14.3</v>
      </c>
      <c r="E249" s="42" t="n">
        <v>11.3</v>
      </c>
      <c r="F249" s="42" t="n">
        <v>16.2</v>
      </c>
      <c r="G249" s="42" t="n">
        <v>2004.6</v>
      </c>
      <c r="H249" s="42" t="n">
        <f aca="false">H248+D249</f>
        <v>239.8</v>
      </c>
      <c r="J249" s="42" t="n">
        <v>2</v>
      </c>
      <c r="K249" s="42" t="n">
        <v>388.1</v>
      </c>
      <c r="L249" s="42" t="n">
        <v>1</v>
      </c>
      <c r="M249" s="42" t="n">
        <v>295.7</v>
      </c>
      <c r="N249" s="42" t="n">
        <v>1</v>
      </c>
      <c r="O249" s="42" t="n">
        <f aca="false">O248+N249</f>
        <v>137.3</v>
      </c>
      <c r="P249" s="42" t="n">
        <v>244</v>
      </c>
      <c r="Q249" s="8" t="n">
        <v>1.15</v>
      </c>
      <c r="R249" s="43" t="n">
        <f aca="false">Q249*L249</f>
        <v>1.15</v>
      </c>
      <c r="S249" s="43" t="n">
        <f aca="false">J249-R249</f>
        <v>0.85</v>
      </c>
      <c r="T249" s="14" t="n">
        <f aca="false">MIN(189.6,(T248+S249))</f>
        <v>110.495833333333</v>
      </c>
      <c r="V249" s="60" t="n">
        <v>748.4</v>
      </c>
      <c r="W249" s="42" t="n">
        <v>52.3356643356643</v>
      </c>
      <c r="X249" s="42" t="n">
        <v>163657</v>
      </c>
      <c r="Y249" s="8" t="n">
        <f aca="false">Y248+V249</f>
        <v>33296.4</v>
      </c>
      <c r="AA249" s="8" t="n">
        <v>14.7197822997689</v>
      </c>
    </row>
    <row r="250" s="8" customFormat="true" ht="15" hidden="false" customHeight="false" outlineLevel="0" collapsed="false">
      <c r="A250" s="61" t="n">
        <v>300</v>
      </c>
      <c r="B250" s="10"/>
      <c r="C250" s="11" t="n">
        <v>42128</v>
      </c>
      <c r="D250" s="8" t="n">
        <v>14.9</v>
      </c>
      <c r="E250" s="8" t="n">
        <v>11.3</v>
      </c>
      <c r="F250" s="8" t="n">
        <v>19</v>
      </c>
      <c r="G250" s="8" t="n">
        <v>2019.5</v>
      </c>
      <c r="H250" s="8" t="n">
        <v>14.9</v>
      </c>
      <c r="I250" s="62" t="s">
        <v>28</v>
      </c>
      <c r="J250" s="8" t="n">
        <v>23.6</v>
      </c>
      <c r="K250" s="8" t="n">
        <v>411.7</v>
      </c>
      <c r="L250" s="8" t="n">
        <v>2.5</v>
      </c>
      <c r="M250" s="8" t="n">
        <v>298.2</v>
      </c>
      <c r="N250" s="8" t="n">
        <v>21.1</v>
      </c>
      <c r="O250" s="8" t="n">
        <f aca="false">O249+N250</f>
        <v>158.4</v>
      </c>
      <c r="P250" s="8" t="n">
        <v>245</v>
      </c>
      <c r="Q250" s="8" t="n">
        <v>1.15</v>
      </c>
      <c r="R250" s="14" t="n">
        <f aca="false">Q250*L250</f>
        <v>2.875</v>
      </c>
      <c r="S250" s="14" t="n">
        <f aca="false">J250-R250</f>
        <v>20.725</v>
      </c>
      <c r="T250" s="14" t="n">
        <f aca="false">MIN(189.6,(T249+S250))</f>
        <v>131.220833333333</v>
      </c>
      <c r="U250" s="62" t="s">
        <v>29</v>
      </c>
      <c r="V250" s="8" t="n">
        <v>1300.1</v>
      </c>
      <c r="W250" s="8" t="n">
        <v>87.255033557047</v>
      </c>
      <c r="X250" s="8" t="n">
        <v>164957.1</v>
      </c>
      <c r="Y250" s="8" t="n">
        <v>1300.1</v>
      </c>
      <c r="Z250" s="62" t="s">
        <v>30</v>
      </c>
      <c r="AA250" s="8" t="n">
        <v>14.7734737295446</v>
      </c>
    </row>
    <row r="251" s="8" customFormat="true" ht="15" hidden="false" customHeight="false" outlineLevel="0" collapsed="false">
      <c r="A251" s="61"/>
      <c r="B251" s="10"/>
      <c r="C251" s="11" t="n">
        <v>42129</v>
      </c>
      <c r="D251" s="8" t="n">
        <v>15</v>
      </c>
      <c r="E251" s="8" t="n">
        <v>14.9</v>
      </c>
      <c r="F251" s="8" t="n">
        <v>16.2</v>
      </c>
      <c r="G251" s="8" t="n">
        <v>2034.5</v>
      </c>
      <c r="H251" s="8" t="n">
        <f aca="false">H250+D251</f>
        <v>29.9</v>
      </c>
      <c r="I251" s="8" t="n">
        <f aca="false">MIN(E250:E273)</f>
        <v>5.2</v>
      </c>
      <c r="J251" s="8" t="n">
        <v>3.7</v>
      </c>
      <c r="K251" s="8" t="n">
        <v>415.4</v>
      </c>
      <c r="L251" s="8" t="n">
        <v>2.8</v>
      </c>
      <c r="M251" s="8" t="n">
        <v>301</v>
      </c>
      <c r="N251" s="8" t="n">
        <v>0.9</v>
      </c>
      <c r="O251" s="8" t="n">
        <f aca="false">O250+N251</f>
        <v>159.3</v>
      </c>
      <c r="P251" s="8" t="n">
        <v>246</v>
      </c>
      <c r="Q251" s="8" t="n">
        <v>1.15</v>
      </c>
      <c r="R251" s="14" t="n">
        <f aca="false">Q251*L251</f>
        <v>3.22</v>
      </c>
      <c r="S251" s="14" t="n">
        <f aca="false">J251-R251</f>
        <v>0.48</v>
      </c>
      <c r="T251" s="14" t="n">
        <f aca="false">MIN(189.6,(T250+S251))</f>
        <v>131.700833333333</v>
      </c>
      <c r="U251" s="8" t="n">
        <v>20</v>
      </c>
      <c r="V251" s="8" t="n">
        <v>1349.8</v>
      </c>
      <c r="W251" s="8" t="n">
        <v>89.9866666666667</v>
      </c>
      <c r="X251" s="8" t="n">
        <v>166306.9</v>
      </c>
      <c r="Y251" s="8" t="n">
        <f aca="false">Y250+V251</f>
        <v>2649.9</v>
      </c>
      <c r="Z251" s="8" t="n">
        <v>39896.8</v>
      </c>
      <c r="AA251" s="8" t="n">
        <v>14.8266750712589</v>
      </c>
    </row>
    <row r="252" s="8" customFormat="true" ht="15" hidden="false" customHeight="false" outlineLevel="0" collapsed="false">
      <c r="A252" s="61"/>
      <c r="B252" s="10"/>
      <c r="C252" s="11" t="n">
        <v>42130</v>
      </c>
      <c r="D252" s="8" t="n">
        <v>11.2</v>
      </c>
      <c r="E252" s="8" t="n">
        <v>9.6</v>
      </c>
      <c r="F252" s="8" t="n">
        <v>14.3</v>
      </c>
      <c r="G252" s="8" t="n">
        <v>2045.7</v>
      </c>
      <c r="H252" s="8" t="n">
        <f aca="false">H251+D252</f>
        <v>41.1</v>
      </c>
      <c r="I252" s="62" t="s">
        <v>31</v>
      </c>
      <c r="J252" s="8" t="n">
        <v>1.9</v>
      </c>
      <c r="K252" s="8" t="n">
        <v>417.3</v>
      </c>
      <c r="L252" s="8" t="n">
        <v>2.7</v>
      </c>
      <c r="M252" s="8" t="n">
        <v>303.7</v>
      </c>
      <c r="N252" s="13" t="n">
        <v>-0.8</v>
      </c>
      <c r="O252" s="8" t="n">
        <f aca="false">O251+N252</f>
        <v>158.5</v>
      </c>
      <c r="P252" s="8" t="n">
        <v>247</v>
      </c>
      <c r="Q252" s="8" t="n">
        <v>1.15</v>
      </c>
      <c r="R252" s="14" t="n">
        <f aca="false">Q252*L252</f>
        <v>3.105</v>
      </c>
      <c r="S252" s="14" t="n">
        <f aca="false">J252-R252</f>
        <v>-1.205</v>
      </c>
      <c r="T252" s="14" t="n">
        <f aca="false">MIN(189.6,(T251+S252))</f>
        <v>130.495833333333</v>
      </c>
      <c r="U252" s="62" t="s">
        <v>32</v>
      </c>
      <c r="V252" s="8" t="n">
        <v>1443.3</v>
      </c>
      <c r="W252" s="8" t="n">
        <v>128.866071428571</v>
      </c>
      <c r="X252" s="8" t="n">
        <v>167750.2</v>
      </c>
      <c r="Y252" s="8" t="n">
        <f aca="false">Y251+V252</f>
        <v>4093.2</v>
      </c>
      <c r="Z252" s="62" t="s">
        <v>33</v>
      </c>
      <c r="AA252" s="8" t="n">
        <v>14.8793653717553</v>
      </c>
    </row>
    <row r="253" s="8" customFormat="true" ht="15" hidden="false" customHeight="false" outlineLevel="0" collapsed="false">
      <c r="A253" s="61"/>
      <c r="B253" s="10"/>
      <c r="C253" s="11" t="n">
        <v>42131</v>
      </c>
      <c r="D253" s="8" t="n">
        <v>11.7</v>
      </c>
      <c r="E253" s="8" t="n">
        <v>8.6</v>
      </c>
      <c r="F253" s="8" t="n">
        <v>14.3</v>
      </c>
      <c r="G253" s="8" t="n">
        <v>2057.4</v>
      </c>
      <c r="H253" s="8" t="n">
        <f aca="false">H252+D253</f>
        <v>52.8</v>
      </c>
      <c r="I253" s="8" t="n">
        <f aca="false">MAX(F250:F273)</f>
        <v>24</v>
      </c>
      <c r="J253" s="8" t="n">
        <v>0</v>
      </c>
      <c r="K253" s="8" t="n">
        <v>417.3</v>
      </c>
      <c r="L253" s="8" t="n">
        <v>2.8</v>
      </c>
      <c r="M253" s="8" t="n">
        <v>306.5</v>
      </c>
      <c r="N253" s="13" t="n">
        <v>-2.8</v>
      </c>
      <c r="O253" s="8" t="n">
        <f aca="false">O252+N253</f>
        <v>155.7</v>
      </c>
      <c r="P253" s="8" t="n">
        <v>248</v>
      </c>
      <c r="Q253" s="8" t="n">
        <v>1.15</v>
      </c>
      <c r="R253" s="14" t="n">
        <f aca="false">Q253*L253</f>
        <v>3.22</v>
      </c>
      <c r="S253" s="14" t="n">
        <f aca="false">J253-R253</f>
        <v>-3.22</v>
      </c>
      <c r="T253" s="14" t="n">
        <f aca="false">MIN(189.6,(T252+S253))</f>
        <v>127.275833333333</v>
      </c>
      <c r="U253" s="8" t="n">
        <v>0</v>
      </c>
      <c r="V253" s="8" t="n">
        <v>1910</v>
      </c>
      <c r="W253" s="8" t="n">
        <v>163.247863247863</v>
      </c>
      <c r="X253" s="8" t="n">
        <v>169660.2</v>
      </c>
      <c r="Y253" s="8" t="n">
        <f aca="false">Y252+V253</f>
        <v>6003.2</v>
      </c>
      <c r="Z253" s="16" t="n">
        <f aca="false">(Z251/100)/I263</f>
        <v>1.31629165291983</v>
      </c>
      <c r="AA253" s="8" t="n">
        <v>14.9315230992589</v>
      </c>
    </row>
    <row r="254" s="8" customFormat="true" ht="15" hidden="false" customHeight="false" outlineLevel="0" collapsed="false">
      <c r="A254" s="61"/>
      <c r="B254" s="10"/>
      <c r="C254" s="11" t="n">
        <v>42132</v>
      </c>
      <c r="D254" s="8" t="n">
        <v>14.2</v>
      </c>
      <c r="E254" s="8" t="n">
        <v>10.5</v>
      </c>
      <c r="F254" s="8" t="n">
        <v>17.8</v>
      </c>
      <c r="G254" s="8" t="n">
        <v>2071.6</v>
      </c>
      <c r="H254" s="8" t="n">
        <f aca="false">H253+D254</f>
        <v>67</v>
      </c>
      <c r="I254" s="62" t="s">
        <v>34</v>
      </c>
      <c r="J254" s="8" t="n">
        <v>0</v>
      </c>
      <c r="K254" s="8" t="n">
        <v>417.3</v>
      </c>
      <c r="L254" s="8" t="n">
        <v>2.5</v>
      </c>
      <c r="M254" s="8" t="n">
        <v>309</v>
      </c>
      <c r="N254" s="13" t="n">
        <v>-2.5</v>
      </c>
      <c r="O254" s="8" t="n">
        <f aca="false">O253+N254</f>
        <v>153.2</v>
      </c>
      <c r="P254" s="8" t="n">
        <v>249</v>
      </c>
      <c r="Q254" s="8" t="n">
        <v>1.15</v>
      </c>
      <c r="R254" s="14" t="n">
        <f aca="false">Q254*L254</f>
        <v>2.875</v>
      </c>
      <c r="S254" s="14" t="n">
        <f aca="false">J254-R254</f>
        <v>-2.875</v>
      </c>
      <c r="T254" s="14" t="n">
        <f aca="false">MIN(189.6,(T253+S254))</f>
        <v>124.400833333333</v>
      </c>
      <c r="U254" s="62" t="s">
        <v>35</v>
      </c>
      <c r="V254" s="8" t="n">
        <v>1640.2</v>
      </c>
      <c r="W254" s="8" t="n">
        <v>115.507042253521</v>
      </c>
      <c r="X254" s="8" t="n">
        <v>171300.4</v>
      </c>
      <c r="Y254" s="8" t="n">
        <f aca="false">Y253+V254</f>
        <v>7643.4</v>
      </c>
      <c r="Z254" s="62" t="s">
        <v>36</v>
      </c>
      <c r="AA254" s="8" t="n">
        <v>14.9831261492678</v>
      </c>
    </row>
    <row r="255" s="8" customFormat="true" ht="15" hidden="false" customHeight="false" outlineLevel="0" collapsed="false">
      <c r="A255" s="61"/>
      <c r="B255" s="10"/>
      <c r="C255" s="11" t="n">
        <v>42133</v>
      </c>
      <c r="D255" s="8" t="n">
        <v>14.5</v>
      </c>
      <c r="E255" s="8" t="n">
        <v>12.9</v>
      </c>
      <c r="F255" s="8" t="n">
        <v>17.9</v>
      </c>
      <c r="G255" s="8" t="n">
        <v>2086.1</v>
      </c>
      <c r="H255" s="8" t="n">
        <f aca="false">H254+D255</f>
        <v>81.5</v>
      </c>
      <c r="I255" s="14" t="n">
        <f aca="false">AVERAGE(D250:D273)</f>
        <v>12.6291666666667</v>
      </c>
      <c r="J255" s="8" t="n">
        <v>0</v>
      </c>
      <c r="K255" s="8" t="n">
        <v>417.3</v>
      </c>
      <c r="L255" s="8" t="n">
        <v>3.6</v>
      </c>
      <c r="M255" s="8" t="n">
        <v>312.6</v>
      </c>
      <c r="N255" s="13" t="n">
        <v>-3.6</v>
      </c>
      <c r="O255" s="8" t="n">
        <f aca="false">O254+N255</f>
        <v>149.6</v>
      </c>
      <c r="P255" s="8" t="n">
        <v>250</v>
      </c>
      <c r="Q255" s="8" t="n">
        <v>1.15</v>
      </c>
      <c r="R255" s="14" t="n">
        <f aca="false">Q255*L255</f>
        <v>4.14</v>
      </c>
      <c r="S255" s="14" t="n">
        <f aca="false">J255-R255</f>
        <v>-4.14</v>
      </c>
      <c r="T255" s="14" t="n">
        <f aca="false">MIN(189.6,(T254+S255))</f>
        <v>120.260833333333</v>
      </c>
      <c r="U255" s="8" t="n">
        <v>0</v>
      </c>
      <c r="V255" s="8" t="n">
        <v>1808</v>
      </c>
      <c r="W255" s="8" t="n">
        <v>124.689655172414</v>
      </c>
      <c r="X255" s="8" t="n">
        <v>173108.4</v>
      </c>
      <c r="Y255" s="8" t="n">
        <f aca="false">Y254+V255</f>
        <v>9451.4</v>
      </c>
      <c r="Z255" s="8" t="n">
        <v>0</v>
      </c>
      <c r="AA255" s="8" t="n">
        <v>15.0341518526344</v>
      </c>
    </row>
    <row r="256" s="8" customFormat="true" ht="15" hidden="false" customHeight="false" outlineLevel="0" collapsed="false">
      <c r="A256" s="61"/>
      <c r="B256" s="10"/>
      <c r="C256" s="11" t="n">
        <v>42134</v>
      </c>
      <c r="D256" s="8" t="n">
        <v>14.8</v>
      </c>
      <c r="E256" s="8" t="n">
        <v>8.9</v>
      </c>
      <c r="F256" s="8" t="n">
        <v>19.5</v>
      </c>
      <c r="G256" s="8" t="n">
        <v>2100.9</v>
      </c>
      <c r="H256" s="8" t="n">
        <f aca="false">H255+D256</f>
        <v>96.3</v>
      </c>
      <c r="I256" s="62" t="s">
        <v>37</v>
      </c>
      <c r="J256" s="8" t="n">
        <v>0</v>
      </c>
      <c r="K256" s="8" t="n">
        <v>417.3</v>
      </c>
      <c r="L256" s="8" t="n">
        <v>2.4</v>
      </c>
      <c r="M256" s="8" t="n">
        <v>315</v>
      </c>
      <c r="N256" s="13" t="n">
        <v>-2.4</v>
      </c>
      <c r="O256" s="8" t="n">
        <f aca="false">O255+N256</f>
        <v>147.2</v>
      </c>
      <c r="P256" s="8" t="n">
        <v>251</v>
      </c>
      <c r="Q256" s="8" t="n">
        <v>1.15</v>
      </c>
      <c r="R256" s="14" t="n">
        <f aca="false">Q256*L256</f>
        <v>2.76</v>
      </c>
      <c r="S256" s="14" t="n">
        <f aca="false">J256-R256</f>
        <v>-2.76</v>
      </c>
      <c r="T256" s="14" t="n">
        <f aca="false">MIN(189.6,(T255+S256))</f>
        <v>117.500833333333</v>
      </c>
      <c r="U256" s="62" t="s">
        <v>38</v>
      </c>
      <c r="V256" s="8" t="n">
        <v>1503.9</v>
      </c>
      <c r="W256" s="8" t="n">
        <v>101.614864864865</v>
      </c>
      <c r="X256" s="8" t="n">
        <v>174612.3</v>
      </c>
      <c r="Y256" s="8" t="n">
        <f aca="false">Y255+V256</f>
        <v>10955.3</v>
      </c>
      <c r="AA256" s="8" t="n">
        <v>15.0845769859628</v>
      </c>
    </row>
    <row r="257" s="8" customFormat="true" ht="15" hidden="false" customHeight="false" outlineLevel="0" collapsed="false">
      <c r="A257" s="61"/>
      <c r="B257" s="10"/>
      <c r="C257" s="11" t="n">
        <v>42135</v>
      </c>
      <c r="D257" s="8" t="n">
        <v>17.3</v>
      </c>
      <c r="E257" s="8" t="n">
        <v>12</v>
      </c>
      <c r="F257" s="8" t="n">
        <v>24</v>
      </c>
      <c r="G257" s="8" t="n">
        <v>2118.2</v>
      </c>
      <c r="H257" s="8" t="n">
        <f aca="false">H256+D257</f>
        <v>113.6</v>
      </c>
      <c r="I257" s="8" t="n">
        <v>0</v>
      </c>
      <c r="J257" s="8" t="n">
        <v>0</v>
      </c>
      <c r="K257" s="8" t="n">
        <v>417.3</v>
      </c>
      <c r="L257" s="8" t="n">
        <v>4.2</v>
      </c>
      <c r="M257" s="8" t="n">
        <v>319.2</v>
      </c>
      <c r="N257" s="13" t="n">
        <v>-4.2</v>
      </c>
      <c r="O257" s="8" t="n">
        <f aca="false">O256+N257</f>
        <v>143</v>
      </c>
      <c r="P257" s="8" t="n">
        <v>252</v>
      </c>
      <c r="Q257" s="8" t="n">
        <v>1.15</v>
      </c>
      <c r="R257" s="14" t="n">
        <f aca="false">Q257*L257</f>
        <v>4.83</v>
      </c>
      <c r="S257" s="14" t="n">
        <f aca="false">J257-R257</f>
        <v>-4.83</v>
      </c>
      <c r="T257" s="14" t="n">
        <f aca="false">MIN(189.6,(T256+S257))</f>
        <v>112.670833333333</v>
      </c>
      <c r="U257" s="14" t="n">
        <f aca="false">MIN(T250:T273)</f>
        <v>80.5158333333332</v>
      </c>
      <c r="V257" s="8" t="n">
        <v>2227.8</v>
      </c>
      <c r="W257" s="8" t="n">
        <v>128.774566473988</v>
      </c>
      <c r="X257" s="8" t="n">
        <v>176840.1</v>
      </c>
      <c r="Y257" s="8" t="n">
        <f aca="false">Y256+V257</f>
        <v>13183.1</v>
      </c>
      <c r="AA257" s="8" t="n">
        <v>15.1343777844481</v>
      </c>
    </row>
    <row r="258" s="8" customFormat="true" ht="15" hidden="false" customHeight="false" outlineLevel="0" collapsed="false">
      <c r="A258" s="61"/>
      <c r="B258" s="10"/>
      <c r="C258" s="11" t="n">
        <v>42136</v>
      </c>
      <c r="D258" s="8" t="n">
        <v>12.9</v>
      </c>
      <c r="E258" s="8" t="n">
        <v>12.3</v>
      </c>
      <c r="F258" s="8" t="n">
        <v>16.1</v>
      </c>
      <c r="G258" s="8" t="n">
        <v>2131.1</v>
      </c>
      <c r="H258" s="8" t="n">
        <f aca="false">H257+D258</f>
        <v>126.5</v>
      </c>
      <c r="I258" s="62" t="s">
        <v>39</v>
      </c>
      <c r="J258" s="8" t="n">
        <v>0</v>
      </c>
      <c r="K258" s="8" t="n">
        <v>417.3</v>
      </c>
      <c r="L258" s="8" t="n">
        <v>2.6</v>
      </c>
      <c r="M258" s="8" t="n">
        <v>321.8</v>
      </c>
      <c r="N258" s="13" t="n">
        <v>-2.6</v>
      </c>
      <c r="O258" s="8" t="n">
        <f aca="false">O257+N258</f>
        <v>140.4</v>
      </c>
      <c r="P258" s="8" t="n">
        <v>253</v>
      </c>
      <c r="Q258" s="8" t="n">
        <v>1.15</v>
      </c>
      <c r="R258" s="14" t="n">
        <f aca="false">Q258*L258</f>
        <v>2.99</v>
      </c>
      <c r="S258" s="14" t="n">
        <f aca="false">J258-R258</f>
        <v>-2.99</v>
      </c>
      <c r="T258" s="14" t="n">
        <f aca="false">MIN(189.6,(T257+S258))</f>
        <v>109.680833333333</v>
      </c>
      <c r="U258" s="62" t="s">
        <v>40</v>
      </c>
      <c r="V258" s="8" t="n">
        <v>1276.1</v>
      </c>
      <c r="W258" s="8" t="n">
        <v>98.922480620155</v>
      </c>
      <c r="X258" s="8" t="n">
        <v>178116.2</v>
      </c>
      <c r="Y258" s="8" t="n">
        <f aca="false">Y257+V258</f>
        <v>14459.2</v>
      </c>
      <c r="AA258" s="8" t="n">
        <v>15.1835299572792</v>
      </c>
    </row>
    <row r="259" s="8" customFormat="true" ht="15" hidden="false" customHeight="false" outlineLevel="0" collapsed="false">
      <c r="A259" s="61"/>
      <c r="B259" s="10"/>
      <c r="C259" s="11" t="n">
        <v>42137</v>
      </c>
      <c r="D259" s="8" t="n">
        <v>12.8</v>
      </c>
      <c r="E259" s="8" t="n">
        <v>5.4</v>
      </c>
      <c r="F259" s="8" t="n">
        <v>17.7</v>
      </c>
      <c r="G259" s="8" t="n">
        <v>2143.9</v>
      </c>
      <c r="H259" s="8" t="n">
        <f aca="false">H258+D259</f>
        <v>139.3</v>
      </c>
      <c r="I259" s="8" t="n">
        <v>0</v>
      </c>
      <c r="J259" s="8" t="n">
        <v>0</v>
      </c>
      <c r="K259" s="8" t="n">
        <v>417.3</v>
      </c>
      <c r="L259" s="8" t="n">
        <v>3.2</v>
      </c>
      <c r="M259" s="8" t="n">
        <v>325</v>
      </c>
      <c r="N259" s="13" t="n">
        <v>-3.2</v>
      </c>
      <c r="O259" s="8" t="n">
        <f aca="false">O258+N259</f>
        <v>137.2</v>
      </c>
      <c r="P259" s="8" t="n">
        <v>254</v>
      </c>
      <c r="Q259" s="8" t="n">
        <v>1.15</v>
      </c>
      <c r="R259" s="14" t="n">
        <f aca="false">Q259*L259</f>
        <v>3.68</v>
      </c>
      <c r="S259" s="14" t="n">
        <f aca="false">J259-R259</f>
        <v>-3.68</v>
      </c>
      <c r="T259" s="14" t="n">
        <f aca="false">MIN(189.6,(T258+S259))</f>
        <v>106.000833333333</v>
      </c>
      <c r="U259" s="14" t="n">
        <f aca="false">MAX(T250:T273)</f>
        <v>131.700833333333</v>
      </c>
      <c r="V259" s="8" t="n">
        <v>2049.6</v>
      </c>
      <c r="W259" s="8" t="n">
        <v>160.125</v>
      </c>
      <c r="X259" s="8" t="n">
        <v>180165.8</v>
      </c>
      <c r="Y259" s="8" t="n">
        <f aca="false">Y258+V259</f>
        <v>16508.8</v>
      </c>
      <c r="AA259" s="8" t="n">
        <v>15.2320087057244</v>
      </c>
    </row>
    <row r="260" s="8" customFormat="true" ht="15" hidden="false" customHeight="false" outlineLevel="0" collapsed="false">
      <c r="A260" s="61"/>
      <c r="B260" s="10"/>
      <c r="C260" s="11" t="n">
        <v>42138</v>
      </c>
      <c r="D260" s="8" t="n">
        <v>10.5</v>
      </c>
      <c r="E260" s="8" t="n">
        <v>9.8</v>
      </c>
      <c r="F260" s="8" t="n">
        <v>14</v>
      </c>
      <c r="G260" s="8" t="n">
        <v>2154.4</v>
      </c>
      <c r="H260" s="8" t="n">
        <f aca="false">H259+D260</f>
        <v>149.8</v>
      </c>
      <c r="I260" s="62" t="s">
        <v>41</v>
      </c>
      <c r="J260" s="8" t="n">
        <v>9.3</v>
      </c>
      <c r="K260" s="8" t="n">
        <v>426.6</v>
      </c>
      <c r="L260" s="8" t="n">
        <v>1.7</v>
      </c>
      <c r="M260" s="8" t="n">
        <v>326.7</v>
      </c>
      <c r="N260" s="8" t="n">
        <v>7.6</v>
      </c>
      <c r="O260" s="8" t="n">
        <f aca="false">O259+N260</f>
        <v>144.8</v>
      </c>
      <c r="P260" s="8" t="n">
        <v>255</v>
      </c>
      <c r="Q260" s="8" t="n">
        <v>1.15</v>
      </c>
      <c r="R260" s="14" t="n">
        <f aca="false">Q260*L260</f>
        <v>1.955</v>
      </c>
      <c r="S260" s="14" t="n">
        <f aca="false">J260-R260</f>
        <v>7.345</v>
      </c>
      <c r="T260" s="14" t="n">
        <f aca="false">MIN(189.6,(T259+S260))</f>
        <v>113.345833333333</v>
      </c>
      <c r="U260" s="62" t="s">
        <v>42</v>
      </c>
      <c r="V260" s="8" t="n">
        <v>990.3</v>
      </c>
      <c r="W260" s="8" t="n">
        <v>94.3142857142857</v>
      </c>
      <c r="X260" s="8" t="n">
        <v>181156.1</v>
      </c>
      <c r="Y260" s="8" t="n">
        <f aca="false">Y259+V260</f>
        <v>17499.1</v>
      </c>
      <c r="AA260" s="8" t="n">
        <v>15.2797887440146</v>
      </c>
    </row>
    <row r="261" s="8" customFormat="true" ht="15" hidden="false" customHeight="false" outlineLevel="0" collapsed="false">
      <c r="A261" s="61"/>
      <c r="B261" s="10"/>
      <c r="C261" s="11" t="n">
        <v>42139</v>
      </c>
      <c r="D261" s="8" t="n">
        <v>9.5</v>
      </c>
      <c r="E261" s="8" t="n">
        <v>5.2</v>
      </c>
      <c r="F261" s="8" t="n">
        <v>13.1</v>
      </c>
      <c r="G261" s="8" t="n">
        <v>2163.9</v>
      </c>
      <c r="H261" s="8" t="n">
        <f aca="false">H260+D261</f>
        <v>159.3</v>
      </c>
      <c r="I261" s="8" t="n">
        <v>0</v>
      </c>
      <c r="J261" s="8" t="n">
        <v>0.2</v>
      </c>
      <c r="K261" s="8" t="n">
        <v>426.8</v>
      </c>
      <c r="L261" s="8" t="n">
        <v>1.7</v>
      </c>
      <c r="M261" s="8" t="n">
        <v>328.4</v>
      </c>
      <c r="N261" s="13" t="n">
        <v>-1.5</v>
      </c>
      <c r="O261" s="8" t="n">
        <f aca="false">O260+N261</f>
        <v>143.3</v>
      </c>
      <c r="P261" s="8" t="n">
        <v>256</v>
      </c>
      <c r="Q261" s="8" t="n">
        <v>1.15</v>
      </c>
      <c r="R261" s="14" t="n">
        <f aca="false">Q261*L261</f>
        <v>1.955</v>
      </c>
      <c r="S261" s="14" t="n">
        <f aca="false">J261-R261</f>
        <v>-1.755</v>
      </c>
      <c r="T261" s="14" t="n">
        <f aca="false">MIN(189.6,(T260+S261))</f>
        <v>111.590833333333</v>
      </c>
      <c r="U261" s="16" t="n">
        <f aca="false">AVERAGE(T250:T273)</f>
        <v>108.5625</v>
      </c>
      <c r="V261" s="8" t="n">
        <v>1252.4</v>
      </c>
      <c r="W261" s="8" t="n">
        <v>131.831578947368</v>
      </c>
      <c r="X261" s="8" t="n">
        <v>182408.5</v>
      </c>
      <c r="Y261" s="8" t="n">
        <f aca="false">Y260+V261</f>
        <v>18751.5</v>
      </c>
      <c r="AA261" s="8" t="n">
        <v>15.3268443231302</v>
      </c>
    </row>
    <row r="262" s="8" customFormat="true" ht="15" hidden="false" customHeight="false" outlineLevel="0" collapsed="false">
      <c r="A262" s="61"/>
      <c r="B262" s="10"/>
      <c r="C262" s="11" t="n">
        <v>42140</v>
      </c>
      <c r="D262" s="8" t="n">
        <v>10.5</v>
      </c>
      <c r="E262" s="8" t="n">
        <v>5.4</v>
      </c>
      <c r="F262" s="8" t="n">
        <v>14.2</v>
      </c>
      <c r="G262" s="8" t="n">
        <v>2174.4</v>
      </c>
      <c r="H262" s="8" t="n">
        <f aca="false">H261+D262</f>
        <v>169.8</v>
      </c>
      <c r="I262" s="62" t="s">
        <v>43</v>
      </c>
      <c r="J262" s="8" t="n">
        <v>0</v>
      </c>
      <c r="K262" s="8" t="n">
        <v>426.8</v>
      </c>
      <c r="L262" s="8" t="n">
        <v>1.3</v>
      </c>
      <c r="M262" s="8" t="n">
        <v>329.7</v>
      </c>
      <c r="N262" s="13" t="n">
        <v>-1.3</v>
      </c>
      <c r="O262" s="8" t="n">
        <f aca="false">O261+N262</f>
        <v>142</v>
      </c>
      <c r="P262" s="8" t="n">
        <v>257</v>
      </c>
      <c r="Q262" s="8" t="n">
        <v>1.15</v>
      </c>
      <c r="R262" s="14" t="n">
        <f aca="false">Q262*L262</f>
        <v>1.495</v>
      </c>
      <c r="S262" s="14" t="n">
        <f aca="false">J262-R262</f>
        <v>-1.495</v>
      </c>
      <c r="T262" s="14" t="n">
        <f aca="false">MIN(189.6,(T261+S262))</f>
        <v>110.095833333333</v>
      </c>
      <c r="V262" s="8" t="n">
        <v>1101.4</v>
      </c>
      <c r="W262" s="8" t="n">
        <v>104.895238095238</v>
      </c>
      <c r="X262" s="8" t="n">
        <v>183509.9</v>
      </c>
      <c r="Y262" s="8" t="n">
        <f aca="false">Y261+V262</f>
        <v>19852.9</v>
      </c>
      <c r="AA262" s="8" t="n">
        <v>15.3731492575923</v>
      </c>
    </row>
    <row r="263" s="8" customFormat="true" ht="15" hidden="false" customHeight="false" outlineLevel="0" collapsed="false">
      <c r="A263" s="61"/>
      <c r="B263" s="10"/>
      <c r="C263" s="11" t="n">
        <v>42141</v>
      </c>
      <c r="D263" s="8" t="n">
        <v>11.1</v>
      </c>
      <c r="E263" s="8" t="n">
        <v>6</v>
      </c>
      <c r="F263" s="8" t="n">
        <v>16.6</v>
      </c>
      <c r="G263" s="8" t="n">
        <v>2185.5</v>
      </c>
      <c r="H263" s="8" t="n">
        <f aca="false">H262+D263</f>
        <v>180.9</v>
      </c>
      <c r="I263" s="8" t="n">
        <v>303.1</v>
      </c>
      <c r="J263" s="8" t="n">
        <v>0</v>
      </c>
      <c r="K263" s="8" t="n">
        <v>426.8</v>
      </c>
      <c r="L263" s="8" t="n">
        <v>3.1</v>
      </c>
      <c r="M263" s="8" t="n">
        <v>332.8</v>
      </c>
      <c r="N263" s="13" t="n">
        <v>-3.1</v>
      </c>
      <c r="O263" s="8" t="n">
        <f aca="false">O262+N263</f>
        <v>138.9</v>
      </c>
      <c r="P263" s="8" t="n">
        <v>258</v>
      </c>
      <c r="Q263" s="8" t="n">
        <v>1.15</v>
      </c>
      <c r="R263" s="14" t="n">
        <f aca="false">Q263*L263</f>
        <v>3.565</v>
      </c>
      <c r="S263" s="14" t="n">
        <f aca="false">J263-R263</f>
        <v>-3.565</v>
      </c>
      <c r="T263" s="14" t="n">
        <f aca="false">MIN(189.6,(T262+S263))</f>
        <v>106.530833333333</v>
      </c>
      <c r="U263" s="8" t="n">
        <f aca="false">(U261*100)/189.6</f>
        <v>57.2587025316455</v>
      </c>
      <c r="V263" s="8" t="n">
        <v>2059</v>
      </c>
      <c r="W263" s="8" t="n">
        <v>185.495495495496</v>
      </c>
      <c r="X263" s="8" t="n">
        <v>185568.9</v>
      </c>
      <c r="Y263" s="8" t="n">
        <f aca="false">Y262+V263</f>
        <v>21911.9</v>
      </c>
      <c r="AA263" s="8" t="n">
        <v>15.4186769553468</v>
      </c>
    </row>
    <row r="264" s="8" customFormat="true" ht="15" hidden="false" customHeight="false" outlineLevel="0" collapsed="false">
      <c r="A264" s="61"/>
      <c r="B264" s="10"/>
      <c r="C264" s="11" t="n">
        <v>42142</v>
      </c>
      <c r="D264" s="8" t="n">
        <v>10.6</v>
      </c>
      <c r="E264" s="8" t="n">
        <v>5.8</v>
      </c>
      <c r="F264" s="8" t="n">
        <v>17.3</v>
      </c>
      <c r="G264" s="8" t="n">
        <v>2196.1</v>
      </c>
      <c r="H264" s="8" t="n">
        <f aca="false">H263+D264</f>
        <v>191.5</v>
      </c>
      <c r="J264" s="8" t="n">
        <v>2.7</v>
      </c>
      <c r="K264" s="8" t="n">
        <v>429.5</v>
      </c>
      <c r="L264" s="8" t="n">
        <v>2</v>
      </c>
      <c r="M264" s="8" t="n">
        <v>334.8</v>
      </c>
      <c r="N264" s="8" t="n">
        <v>0.7</v>
      </c>
      <c r="O264" s="8" t="n">
        <f aca="false">O263+N264</f>
        <v>139.6</v>
      </c>
      <c r="P264" s="8" t="n">
        <v>259</v>
      </c>
      <c r="Q264" s="8" t="n">
        <v>1.15</v>
      </c>
      <c r="R264" s="14" t="n">
        <f aca="false">Q264*L264</f>
        <v>2.3</v>
      </c>
      <c r="S264" s="14" t="n">
        <f aca="false">J264-R264</f>
        <v>0.4</v>
      </c>
      <c r="T264" s="14" t="n">
        <f aca="false">MIN(189.6,(T263+S264))</f>
        <v>106.930833333333</v>
      </c>
      <c r="V264" s="8" t="n">
        <v>990.3</v>
      </c>
      <c r="W264" s="8" t="n">
        <v>93.4245283018868</v>
      </c>
      <c r="X264" s="8" t="n">
        <v>186559.2</v>
      </c>
      <c r="Y264" s="8" t="n">
        <f aca="false">Y263+V264</f>
        <v>22902.2</v>
      </c>
      <c r="AA264" s="8" t="n">
        <v>15.4634004508182</v>
      </c>
    </row>
    <row r="265" s="48" customFormat="true" ht="15" hidden="false" customHeight="false" outlineLevel="0" collapsed="false">
      <c r="A265" s="61"/>
      <c r="B265" s="47"/>
      <c r="C265" s="63" t="n">
        <v>42143</v>
      </c>
      <c r="D265" s="48" t="n">
        <v>9.2</v>
      </c>
      <c r="E265" s="48" t="n">
        <v>6.9</v>
      </c>
      <c r="F265" s="48" t="n">
        <v>11.5</v>
      </c>
      <c r="G265" s="48" t="n">
        <v>2205.3</v>
      </c>
      <c r="H265" s="48" t="n">
        <f aca="false">H264+D265</f>
        <v>200.7</v>
      </c>
      <c r="J265" s="48" t="n">
        <v>2.9</v>
      </c>
      <c r="K265" s="48" t="n">
        <v>432.4</v>
      </c>
      <c r="L265" s="48" t="n">
        <v>2.9</v>
      </c>
      <c r="M265" s="48" t="n">
        <v>337.7</v>
      </c>
      <c r="N265" s="48" t="n">
        <v>0</v>
      </c>
      <c r="O265" s="48" t="n">
        <f aca="false">O264+N265</f>
        <v>139.6</v>
      </c>
      <c r="P265" s="48" t="n">
        <v>260</v>
      </c>
      <c r="Q265" s="8" t="n">
        <v>1.15</v>
      </c>
      <c r="R265" s="49" t="n">
        <f aca="false">Q265*L265</f>
        <v>3.335</v>
      </c>
      <c r="S265" s="49" t="n">
        <f aca="false">J265-R265</f>
        <v>-0.435</v>
      </c>
      <c r="T265" s="14" t="n">
        <f aca="false">MIN(189.6,(T264+S265))</f>
        <v>106.495833333333</v>
      </c>
      <c r="V265" s="48" t="n">
        <v>2379.1</v>
      </c>
      <c r="W265" s="48" t="n">
        <v>258.597826086957</v>
      </c>
      <c r="X265" s="48" t="n">
        <v>188938.3</v>
      </c>
      <c r="Y265" s="8" t="n">
        <f aca="false">Y264+V265</f>
        <v>25281.3</v>
      </c>
      <c r="AA265" s="8" t="n">
        <v>15.5072924411982</v>
      </c>
    </row>
    <row r="266" s="8" customFormat="true" ht="15" hidden="false" customHeight="true" outlineLevel="0" collapsed="false">
      <c r="A266" s="61"/>
      <c r="B266" s="10"/>
      <c r="C266" s="11" t="n">
        <v>42144</v>
      </c>
      <c r="D266" s="8" t="n">
        <v>9.6</v>
      </c>
      <c r="E266" s="8" t="n">
        <v>5.4</v>
      </c>
      <c r="F266" s="8" t="n">
        <v>13.5</v>
      </c>
      <c r="G266" s="8" t="n">
        <v>2214.9</v>
      </c>
      <c r="H266" s="8" t="n">
        <f aca="false">H265+D266</f>
        <v>210.3</v>
      </c>
      <c r="J266" s="8" t="n">
        <v>0.2</v>
      </c>
      <c r="K266" s="8" t="n">
        <v>432.6</v>
      </c>
      <c r="L266" s="8" t="n">
        <v>2.6</v>
      </c>
      <c r="M266" s="8" t="n">
        <v>340.3</v>
      </c>
      <c r="N266" s="13" t="n">
        <v>-2.4</v>
      </c>
      <c r="O266" s="8" t="n">
        <f aca="false">O265+N266</f>
        <v>137.2</v>
      </c>
      <c r="P266" s="8" t="n">
        <v>261</v>
      </c>
      <c r="Q266" s="8" t="n">
        <v>1.15</v>
      </c>
      <c r="R266" s="14" t="n">
        <f aca="false">Q266*L266</f>
        <v>2.99</v>
      </c>
      <c r="S266" s="14" t="n">
        <f aca="false">J266-R266</f>
        <v>-2.79</v>
      </c>
      <c r="T266" s="14" t="n">
        <f aca="false">MIN(189.6,(T265+S266))</f>
        <v>103.705833333333</v>
      </c>
      <c r="U266" s="50"/>
      <c r="V266" s="8" t="n">
        <v>1869.1</v>
      </c>
      <c r="W266" s="8" t="n">
        <v>194.697916666667</v>
      </c>
      <c r="X266" s="8" t="n">
        <v>190807.4</v>
      </c>
      <c r="Y266" s="8" t="n">
        <f aca="false">Y265+V266</f>
        <v>27150.4</v>
      </c>
      <c r="AA266" s="8" t="n">
        <v>15.5503253260155</v>
      </c>
    </row>
    <row r="267" s="8" customFormat="true" ht="15" hidden="false" customHeight="false" outlineLevel="0" collapsed="false">
      <c r="A267" s="61"/>
      <c r="B267" s="10"/>
      <c r="C267" s="11" t="n">
        <v>42145</v>
      </c>
      <c r="D267" s="8" t="n">
        <v>11.6</v>
      </c>
      <c r="E267" s="8" t="n">
        <v>6.5</v>
      </c>
      <c r="F267" s="8" t="n">
        <v>16.6</v>
      </c>
      <c r="G267" s="8" t="n">
        <v>2226.5</v>
      </c>
      <c r="H267" s="8" t="n">
        <f aca="false">H266+D267</f>
        <v>221.9</v>
      </c>
      <c r="J267" s="8" t="n">
        <v>0</v>
      </c>
      <c r="K267" s="8" t="n">
        <v>432.6</v>
      </c>
      <c r="L267" s="8" t="n">
        <v>3</v>
      </c>
      <c r="M267" s="8" t="n">
        <v>343.3</v>
      </c>
      <c r="N267" s="13" t="n">
        <v>-3</v>
      </c>
      <c r="O267" s="8" t="n">
        <f aca="false">O266+N267</f>
        <v>134.2</v>
      </c>
      <c r="P267" s="8" t="n">
        <v>262</v>
      </c>
      <c r="Q267" s="8" t="n">
        <v>1.15</v>
      </c>
      <c r="R267" s="14" t="n">
        <f aca="false">Q267*L267</f>
        <v>3.45</v>
      </c>
      <c r="S267" s="14" t="n">
        <f aca="false">J267-R267</f>
        <v>-3.45</v>
      </c>
      <c r="T267" s="14" t="n">
        <f aca="false">MIN(189.6,(T266+S267))</f>
        <v>100.255833333333</v>
      </c>
      <c r="V267" s="8" t="n">
        <v>1903.2</v>
      </c>
      <c r="W267" s="8" t="n">
        <v>164.068965517241</v>
      </c>
      <c r="X267" s="8" t="n">
        <v>192710.6</v>
      </c>
      <c r="Y267" s="8" t="n">
        <f aca="false">Y266+V267</f>
        <v>29053.6</v>
      </c>
      <c r="AA267" s="8" t="n">
        <v>15.5924712500165</v>
      </c>
    </row>
    <row r="268" s="8" customFormat="true" ht="15" hidden="false" customHeight="false" outlineLevel="0" collapsed="false">
      <c r="A268" s="61"/>
      <c r="B268" s="10"/>
      <c r="C268" s="11" t="n">
        <v>42146</v>
      </c>
      <c r="D268" s="8" t="n">
        <v>12.9</v>
      </c>
      <c r="E268" s="8" t="n">
        <v>6.2</v>
      </c>
      <c r="F268" s="8" t="n">
        <v>17.4</v>
      </c>
      <c r="G268" s="8" t="n">
        <v>2239.4</v>
      </c>
      <c r="H268" s="8" t="n">
        <f aca="false">H267+D268</f>
        <v>234.8</v>
      </c>
      <c r="J268" s="8" t="n">
        <v>0</v>
      </c>
      <c r="K268" s="8" t="n">
        <v>432.6</v>
      </c>
      <c r="L268" s="8" t="n">
        <v>2.6</v>
      </c>
      <c r="M268" s="8" t="n">
        <v>345.9</v>
      </c>
      <c r="N268" s="13" t="n">
        <v>-2.6</v>
      </c>
      <c r="O268" s="8" t="n">
        <f aca="false">O267+N268</f>
        <v>131.6</v>
      </c>
      <c r="P268" s="8" t="n">
        <v>263</v>
      </c>
      <c r="Q268" s="8" t="n">
        <v>1.15</v>
      </c>
      <c r="R268" s="14" t="n">
        <f aca="false">Q268*L268</f>
        <v>2.99</v>
      </c>
      <c r="S268" s="14" t="n">
        <f aca="false">J268-R268</f>
        <v>-2.99</v>
      </c>
      <c r="T268" s="14" t="n">
        <f aca="false">MIN(189.6,(T267+S268))</f>
        <v>97.2658333333332</v>
      </c>
      <c r="V268" s="8" t="n">
        <v>1773.9</v>
      </c>
      <c r="W268" s="8" t="n">
        <v>137.511627906977</v>
      </c>
      <c r="X268" s="8" t="n">
        <v>194484.5</v>
      </c>
      <c r="Y268" s="8" t="n">
        <f aca="false">Y267+V268</f>
        <v>30827.5</v>
      </c>
      <c r="AA268" s="8" t="n">
        <v>15.6337021493682</v>
      </c>
    </row>
    <row r="269" s="8" customFormat="true" ht="15" hidden="false" customHeight="false" outlineLevel="0" collapsed="false">
      <c r="A269" s="61"/>
      <c r="B269" s="10"/>
      <c r="C269" s="11" t="n">
        <v>42147</v>
      </c>
      <c r="D269" s="8" t="n">
        <v>14.1</v>
      </c>
      <c r="E269" s="8" t="n">
        <v>11.2</v>
      </c>
      <c r="F269" s="8" t="n">
        <v>18.5</v>
      </c>
      <c r="G269" s="8" t="n">
        <v>2253.5</v>
      </c>
      <c r="H269" s="8" t="n">
        <f aca="false">H268+D269</f>
        <v>248.9</v>
      </c>
      <c r="J269" s="8" t="n">
        <v>0</v>
      </c>
      <c r="K269" s="8" t="n">
        <v>432.6</v>
      </c>
      <c r="L269" s="8" t="n">
        <v>2.4</v>
      </c>
      <c r="M269" s="8" t="n">
        <v>348.3</v>
      </c>
      <c r="N269" s="13" t="n">
        <v>-2.4</v>
      </c>
      <c r="O269" s="8" t="n">
        <f aca="false">O268+N269</f>
        <v>129.2</v>
      </c>
      <c r="P269" s="8" t="n">
        <v>264</v>
      </c>
      <c r="Q269" s="8" t="n">
        <v>1.15</v>
      </c>
      <c r="R269" s="14" t="n">
        <f aca="false">Q269*L269</f>
        <v>2.76</v>
      </c>
      <c r="S269" s="14" t="n">
        <f aca="false">J269-R269</f>
        <v>-2.76</v>
      </c>
      <c r="T269" s="14" t="n">
        <f aca="false">MIN(189.6,(T268+S269))</f>
        <v>94.5058333333332</v>
      </c>
      <c r="V269" s="8" t="n">
        <v>1409.5</v>
      </c>
      <c r="W269" s="8" t="n">
        <v>99.9645390070922</v>
      </c>
      <c r="X269" s="8" t="n">
        <v>195894</v>
      </c>
      <c r="Y269" s="8" t="n">
        <f aca="false">Y268+V269</f>
        <v>32237</v>
      </c>
      <c r="AA269" s="8" t="n">
        <v>15.6739898011683</v>
      </c>
    </row>
    <row r="270" s="8" customFormat="true" ht="15" hidden="false" customHeight="false" outlineLevel="0" collapsed="false">
      <c r="A270" s="61"/>
      <c r="B270" s="10"/>
      <c r="C270" s="11" t="n">
        <v>42148</v>
      </c>
      <c r="D270" s="8" t="n">
        <v>14.1</v>
      </c>
      <c r="E270" s="8" t="n">
        <v>8.5</v>
      </c>
      <c r="F270" s="8" t="n">
        <v>18.6</v>
      </c>
      <c r="G270" s="8" t="n">
        <v>2267.6</v>
      </c>
      <c r="H270" s="8" t="n">
        <f aca="false">H269+D270</f>
        <v>263</v>
      </c>
      <c r="J270" s="8" t="n">
        <v>0.5</v>
      </c>
      <c r="K270" s="8" t="n">
        <v>433.1</v>
      </c>
      <c r="L270" s="8" t="n">
        <v>3.7</v>
      </c>
      <c r="M270" s="8" t="n">
        <v>352</v>
      </c>
      <c r="N270" s="13" t="n">
        <v>-3.2</v>
      </c>
      <c r="O270" s="8" t="n">
        <f aca="false">O269+N270</f>
        <v>126</v>
      </c>
      <c r="P270" s="8" t="n">
        <v>265</v>
      </c>
      <c r="Q270" s="8" t="n">
        <v>1.15</v>
      </c>
      <c r="R270" s="14" t="n">
        <f aca="false">Q270*L270</f>
        <v>4.255</v>
      </c>
      <c r="S270" s="14" t="n">
        <f aca="false">J270-R270</f>
        <v>-3.755</v>
      </c>
      <c r="T270" s="14" t="n">
        <f aca="false">MIN(189.6,(T269+S270))</f>
        <v>90.7508333333332</v>
      </c>
      <c r="V270" s="8" t="n">
        <v>2369.6</v>
      </c>
      <c r="W270" s="8" t="n">
        <v>168.056737588652</v>
      </c>
      <c r="X270" s="8" t="n">
        <v>198263.6</v>
      </c>
      <c r="Y270" s="8" t="n">
        <f aca="false">Y269+V270</f>
        <v>34606.6</v>
      </c>
      <c r="AA270" s="8" t="n">
        <v>15.7133058762291</v>
      </c>
    </row>
    <row r="271" s="8" customFormat="true" ht="15" hidden="false" customHeight="false" outlineLevel="0" collapsed="false">
      <c r="A271" s="61"/>
      <c r="B271" s="10"/>
      <c r="C271" s="11" t="n">
        <v>42149</v>
      </c>
      <c r="D271" s="8" t="n">
        <v>13.4</v>
      </c>
      <c r="E271" s="8" t="n">
        <v>11.9</v>
      </c>
      <c r="F271" s="8" t="n">
        <v>16.4</v>
      </c>
      <c r="G271" s="8" t="n">
        <v>2281</v>
      </c>
      <c r="H271" s="8" t="n">
        <f aca="false">H270+D271</f>
        <v>276.4</v>
      </c>
      <c r="J271" s="8" t="n">
        <v>0</v>
      </c>
      <c r="K271" s="8" t="n">
        <v>433.1</v>
      </c>
      <c r="L271" s="8" t="n">
        <v>2.5</v>
      </c>
      <c r="M271" s="8" t="n">
        <v>354.5</v>
      </c>
      <c r="N271" s="13" t="n">
        <v>-2.5</v>
      </c>
      <c r="O271" s="8" t="n">
        <f aca="false">O270+N271</f>
        <v>123.5</v>
      </c>
      <c r="P271" s="8" t="n">
        <v>266</v>
      </c>
      <c r="Q271" s="8" t="n">
        <v>1.15</v>
      </c>
      <c r="R271" s="14" t="n">
        <f aca="false">Q271*L271</f>
        <v>2.875</v>
      </c>
      <c r="S271" s="14" t="n">
        <f aca="false">J271-R271</f>
        <v>-2.875</v>
      </c>
      <c r="T271" s="14" t="n">
        <f aca="false">MIN(189.6,(T270+S271))</f>
        <v>87.8758333333332</v>
      </c>
      <c r="V271" s="8" t="n">
        <v>1329.6</v>
      </c>
      <c r="W271" s="8" t="n">
        <v>99.2238805970149</v>
      </c>
      <c r="X271" s="8" t="n">
        <v>199593.2</v>
      </c>
      <c r="Y271" s="8" t="n">
        <f aca="false">Y270+V271</f>
        <v>35936.2</v>
      </c>
      <c r="AA271" s="8" t="n">
        <v>15.7516219950701</v>
      </c>
    </row>
    <row r="272" s="8" customFormat="true" ht="15" hidden="false" customHeight="false" outlineLevel="0" collapsed="false">
      <c r="A272" s="61"/>
      <c r="B272" s="10"/>
      <c r="C272" s="11" t="n">
        <v>42150</v>
      </c>
      <c r="D272" s="8" t="n">
        <v>12.8</v>
      </c>
      <c r="E272" s="8" t="n">
        <v>10</v>
      </c>
      <c r="F272" s="8" t="n">
        <v>16.3</v>
      </c>
      <c r="G272" s="8" t="n">
        <v>2293.8</v>
      </c>
      <c r="H272" s="8" t="n">
        <f aca="false">H271+D272</f>
        <v>289.2</v>
      </c>
      <c r="J272" s="8" t="n">
        <v>0</v>
      </c>
      <c r="K272" s="8" t="n">
        <v>433.1</v>
      </c>
      <c r="L272" s="8" t="n">
        <v>3</v>
      </c>
      <c r="M272" s="8" t="n">
        <v>357.5</v>
      </c>
      <c r="N272" s="13" t="n">
        <v>-3</v>
      </c>
      <c r="O272" s="8" t="n">
        <f aca="false">O271+N272</f>
        <v>120.5</v>
      </c>
      <c r="P272" s="8" t="n">
        <v>267</v>
      </c>
      <c r="Q272" s="8" t="n">
        <v>1.15</v>
      </c>
      <c r="R272" s="14" t="n">
        <f aca="false">Q272*L272</f>
        <v>3.45</v>
      </c>
      <c r="S272" s="14" t="n">
        <f aca="false">J272-R272</f>
        <v>-3.45</v>
      </c>
      <c r="T272" s="14" t="n">
        <f aca="false">MIN(189.6,(T271+S272))</f>
        <v>84.4258333333332</v>
      </c>
      <c r="V272" s="8" t="n">
        <v>1835.7</v>
      </c>
      <c r="W272" s="8" t="n">
        <v>143.4140625</v>
      </c>
      <c r="X272" s="8" t="n">
        <v>201428.9</v>
      </c>
      <c r="Y272" s="8" t="n">
        <f aca="false">Y271+V272</f>
        <v>37771.9</v>
      </c>
      <c r="AA272" s="8" t="n">
        <v>15.7889097870295</v>
      </c>
    </row>
    <row r="273" s="42" customFormat="true" ht="15" hidden="false" customHeight="false" outlineLevel="0" collapsed="false">
      <c r="A273" s="61"/>
      <c r="B273" s="51" t="n">
        <v>300</v>
      </c>
      <c r="C273" s="52" t="n">
        <v>42151</v>
      </c>
      <c r="D273" s="42" t="n">
        <v>13.9</v>
      </c>
      <c r="E273" s="42" t="n">
        <v>8</v>
      </c>
      <c r="F273" s="42" t="n">
        <v>18.6</v>
      </c>
      <c r="G273" s="42" t="n">
        <v>2307.7</v>
      </c>
      <c r="H273" s="42" t="n">
        <f aca="false">H272+D273</f>
        <v>303.1</v>
      </c>
      <c r="J273" s="42" t="n">
        <v>0</v>
      </c>
      <c r="K273" s="42" t="n">
        <v>433.1</v>
      </c>
      <c r="L273" s="42" t="n">
        <v>3.4</v>
      </c>
      <c r="M273" s="42" t="n">
        <v>360.9</v>
      </c>
      <c r="N273" s="54" t="n">
        <v>-3.4</v>
      </c>
      <c r="O273" s="42" t="n">
        <f aca="false">O272+N273</f>
        <v>117.1</v>
      </c>
      <c r="P273" s="42" t="n">
        <v>268</v>
      </c>
      <c r="Q273" s="8" t="n">
        <v>1.15</v>
      </c>
      <c r="R273" s="43" t="n">
        <f aca="false">Q273*L273</f>
        <v>3.91</v>
      </c>
      <c r="S273" s="43" t="n">
        <f aca="false">J273-R273</f>
        <v>-3.91</v>
      </c>
      <c r="T273" s="14" t="n">
        <f aca="false">MIN(189.6,(T272+S273))</f>
        <v>80.5158333333332</v>
      </c>
      <c r="V273" s="42" t="n">
        <v>2124.9</v>
      </c>
      <c r="W273" s="42" t="n">
        <v>152.870503597122</v>
      </c>
      <c r="X273" s="42" t="n">
        <v>203553.8</v>
      </c>
      <c r="Y273" s="8" t="n">
        <f aca="false">Y272+V273</f>
        <v>39896.8</v>
      </c>
      <c r="AA273" s="8" t="n">
        <v>15.825140952375</v>
      </c>
    </row>
    <row r="274" s="8" customFormat="true" ht="15" hidden="false" customHeight="false" outlineLevel="0" collapsed="false">
      <c r="A274" s="64" t="n">
        <v>600</v>
      </c>
      <c r="B274" s="10"/>
      <c r="C274" s="11" t="n">
        <v>42152</v>
      </c>
      <c r="D274" s="8" t="n">
        <v>12.6</v>
      </c>
      <c r="E274" s="8" t="n">
        <v>10.2</v>
      </c>
      <c r="F274" s="8" t="n">
        <v>15.1</v>
      </c>
      <c r="G274" s="8" t="n">
        <v>2320.3</v>
      </c>
      <c r="H274" s="8" t="n">
        <v>12.6</v>
      </c>
      <c r="I274" s="65" t="s">
        <v>28</v>
      </c>
      <c r="J274" s="8" t="n">
        <v>0</v>
      </c>
      <c r="K274" s="8" t="n">
        <v>433.1</v>
      </c>
      <c r="L274" s="8" t="n">
        <v>1.9</v>
      </c>
      <c r="M274" s="8" t="n">
        <v>362.8</v>
      </c>
      <c r="N274" s="13" t="n">
        <v>-1.9</v>
      </c>
      <c r="O274" s="8" t="n">
        <f aca="false">O273+N274</f>
        <v>115.2</v>
      </c>
      <c r="P274" s="8" t="n">
        <v>269</v>
      </c>
      <c r="Q274" s="16" t="n">
        <f aca="false">1.15+((P274-268)/61)*(0.35-1.15)</f>
        <v>1.13688524590164</v>
      </c>
      <c r="R274" s="14" t="n">
        <f aca="false">Q274*L274</f>
        <v>2.16008196721311</v>
      </c>
      <c r="S274" s="14" t="n">
        <f aca="false">J274-R274</f>
        <v>-2.16008196721311</v>
      </c>
      <c r="T274" s="14" t="n">
        <f aca="false">MIN(189.6,(T273+S274))</f>
        <v>78.3557513661201</v>
      </c>
      <c r="U274" s="65" t="s">
        <v>29</v>
      </c>
      <c r="V274" s="8" t="n">
        <v>1140.8</v>
      </c>
      <c r="W274" s="8" t="n">
        <v>90.5396825396825</v>
      </c>
      <c r="X274" s="8" t="n">
        <v>204694.6</v>
      </c>
      <c r="Y274" s="8" t="n">
        <v>1140.8</v>
      </c>
      <c r="Z274" s="65" t="s">
        <v>30</v>
      </c>
      <c r="AA274" s="8" t="n">
        <v>15.8602873272624</v>
      </c>
    </row>
    <row r="275" s="8" customFormat="true" ht="15" hidden="false" customHeight="false" outlineLevel="0" collapsed="false">
      <c r="A275" s="64"/>
      <c r="B275" s="10"/>
      <c r="C275" s="11" t="n">
        <v>42153</v>
      </c>
      <c r="D275" s="8" t="n">
        <v>11.4</v>
      </c>
      <c r="E275" s="8" t="n">
        <v>6.6</v>
      </c>
      <c r="F275" s="8" t="n">
        <v>14.4</v>
      </c>
      <c r="G275" s="8" t="n">
        <v>2331.7</v>
      </c>
      <c r="H275" s="8" t="n">
        <f aca="false">H274+D275</f>
        <v>24</v>
      </c>
      <c r="I275" s="8" t="n">
        <f aca="false">MIN(E274:E293)</f>
        <v>6</v>
      </c>
      <c r="J275" s="8" t="n">
        <v>1.6</v>
      </c>
      <c r="K275" s="8" t="n">
        <v>434.7</v>
      </c>
      <c r="L275" s="8" t="n">
        <v>1.8</v>
      </c>
      <c r="M275" s="8" t="n">
        <v>364.6</v>
      </c>
      <c r="N275" s="13" t="n">
        <v>-0.2</v>
      </c>
      <c r="O275" s="8" t="n">
        <f aca="false">O274+N275</f>
        <v>115</v>
      </c>
      <c r="P275" s="8" t="n">
        <v>270</v>
      </c>
      <c r="Q275" s="16" t="n">
        <f aca="false">1.15+((P275-268)/61)*(0.35-1.15)</f>
        <v>1.12377049180328</v>
      </c>
      <c r="R275" s="14" t="n">
        <f aca="false">Q275*L275</f>
        <v>2.0227868852459</v>
      </c>
      <c r="S275" s="14" t="n">
        <f aca="false">J275-R275</f>
        <v>-0.422786885245902</v>
      </c>
      <c r="T275" s="14" t="n">
        <f aca="false">MIN(189.6,(T274+S275))</f>
        <v>77.9329644808742</v>
      </c>
      <c r="U275" s="8" t="n">
        <v>18</v>
      </c>
      <c r="V275" s="8" t="n">
        <v>1064.5</v>
      </c>
      <c r="W275" s="8" t="n">
        <v>93.3771929824561</v>
      </c>
      <c r="X275" s="8" t="n">
        <v>205759.1</v>
      </c>
      <c r="Y275" s="8" t="n">
        <f aca="false">Y274+V275</f>
        <v>2205.3</v>
      </c>
      <c r="Z275" s="8" t="n">
        <v>39392.9</v>
      </c>
      <c r="AA275" s="8" t="n">
        <v>15.8943209513573</v>
      </c>
    </row>
    <row r="276" s="8" customFormat="true" ht="15" hidden="false" customHeight="false" outlineLevel="0" collapsed="false">
      <c r="A276" s="64"/>
      <c r="B276" s="10"/>
      <c r="C276" s="11" t="n">
        <v>42154</v>
      </c>
      <c r="D276" s="8" t="n">
        <v>12.1</v>
      </c>
      <c r="E276" s="8" t="n">
        <v>7.8</v>
      </c>
      <c r="F276" s="8" t="n">
        <v>15.6</v>
      </c>
      <c r="G276" s="8" t="n">
        <v>2343.8</v>
      </c>
      <c r="H276" s="8" t="n">
        <f aca="false">H275+D276</f>
        <v>36.1</v>
      </c>
      <c r="I276" s="65" t="s">
        <v>31</v>
      </c>
      <c r="J276" s="8" t="n">
        <v>0</v>
      </c>
      <c r="K276" s="8" t="n">
        <v>434.7</v>
      </c>
      <c r="L276" s="8" t="n">
        <v>2.8</v>
      </c>
      <c r="M276" s="8" t="n">
        <v>367.4</v>
      </c>
      <c r="N276" s="13" t="n">
        <v>-2.8</v>
      </c>
      <c r="O276" s="8" t="n">
        <f aca="false">O275+N276</f>
        <v>112.2</v>
      </c>
      <c r="P276" s="8" t="n">
        <v>271</v>
      </c>
      <c r="Q276" s="16" t="n">
        <f aca="false">1.15+((P276-268)/61)*(0.35-1.15)</f>
        <v>1.11065573770492</v>
      </c>
      <c r="R276" s="14" t="n">
        <f aca="false">Q276*L276</f>
        <v>3.10983606557377</v>
      </c>
      <c r="S276" s="14" t="n">
        <f aca="false">J276-R276</f>
        <v>-3.10983606557377</v>
      </c>
      <c r="T276" s="14" t="n">
        <f aca="false">MIN(189.6,(T275+S276))</f>
        <v>74.8231284153004</v>
      </c>
      <c r="U276" s="65" t="s">
        <v>32</v>
      </c>
      <c r="V276" s="8" t="n">
        <v>1749.1</v>
      </c>
      <c r="W276" s="8" t="n">
        <v>144.553719008264</v>
      </c>
      <c r="X276" s="8" t="n">
        <v>207508.2</v>
      </c>
      <c r="Y276" s="8" t="n">
        <f aca="false">Y275+V276</f>
        <v>3954.4</v>
      </c>
      <c r="Z276" s="65" t="s">
        <v>33</v>
      </c>
      <c r="AA276" s="8" t="n">
        <v>15.9272141379056</v>
      </c>
    </row>
    <row r="277" s="8" customFormat="true" ht="15" hidden="false" customHeight="false" outlineLevel="0" collapsed="false">
      <c r="A277" s="64"/>
      <c r="B277" s="10"/>
      <c r="C277" s="11" t="n">
        <v>42155</v>
      </c>
      <c r="D277" s="8" t="n">
        <v>13.1</v>
      </c>
      <c r="E277" s="8" t="n">
        <v>8.7</v>
      </c>
      <c r="F277" s="8" t="n">
        <v>15.4</v>
      </c>
      <c r="G277" s="8" t="n">
        <v>2356.9</v>
      </c>
      <c r="H277" s="8" t="n">
        <f aca="false">H276+D277</f>
        <v>49.2</v>
      </c>
      <c r="I277" s="8" t="n">
        <f aca="false">MAX(F274:F293)</f>
        <v>31.1</v>
      </c>
      <c r="J277" s="8" t="n">
        <v>6.7</v>
      </c>
      <c r="K277" s="8" t="n">
        <v>441.4</v>
      </c>
      <c r="L277" s="8" t="n">
        <v>1.2</v>
      </c>
      <c r="M277" s="8" t="n">
        <v>368.6</v>
      </c>
      <c r="N277" s="8" t="n">
        <v>5.5</v>
      </c>
      <c r="O277" s="8" t="n">
        <f aca="false">O276+N277</f>
        <v>117.7</v>
      </c>
      <c r="P277" s="8" t="n">
        <v>272</v>
      </c>
      <c r="Q277" s="16" t="n">
        <f aca="false">1.15+((P277-268)/61)*(0.35-1.15)</f>
        <v>1.09754098360656</v>
      </c>
      <c r="R277" s="14" t="n">
        <f aca="false">Q277*L277</f>
        <v>1.31704918032787</v>
      </c>
      <c r="S277" s="14" t="n">
        <f aca="false">J277-R277</f>
        <v>5.38295081967213</v>
      </c>
      <c r="T277" s="14" t="n">
        <f aca="false">MIN(189.6,(T276+S277))</f>
        <v>80.2060792349726</v>
      </c>
      <c r="U277" s="8" t="n">
        <v>0</v>
      </c>
      <c r="V277" s="8" t="n">
        <v>957.9</v>
      </c>
      <c r="W277" s="8" t="n">
        <v>73.1221374045802</v>
      </c>
      <c r="X277" s="8" t="n">
        <v>208466.1</v>
      </c>
      <c r="Y277" s="8" t="n">
        <f aca="false">Y276+V277</f>
        <v>4912.3</v>
      </c>
      <c r="Z277" s="16" t="n">
        <f aca="false">(Z275/100)/I287</f>
        <v>1.31091181364393</v>
      </c>
      <c r="AA277" s="8" t="n">
        <v>15.9589395459995</v>
      </c>
    </row>
    <row r="278" s="8" customFormat="true" ht="15" hidden="false" customHeight="false" outlineLevel="0" collapsed="false">
      <c r="A278" s="64"/>
      <c r="B278" s="10"/>
      <c r="C278" s="11" t="n">
        <v>42156</v>
      </c>
      <c r="D278" s="8" t="n">
        <v>11.9</v>
      </c>
      <c r="E278" s="8" t="n">
        <v>7.9</v>
      </c>
      <c r="F278" s="8" t="n">
        <v>14.7</v>
      </c>
      <c r="G278" s="8" t="n">
        <v>2368.8</v>
      </c>
      <c r="H278" s="8" t="n">
        <f aca="false">H277+D278</f>
        <v>61.1</v>
      </c>
      <c r="I278" s="65" t="s">
        <v>34</v>
      </c>
      <c r="J278" s="8" t="n">
        <v>0.1</v>
      </c>
      <c r="K278" s="8" t="n">
        <v>441.5</v>
      </c>
      <c r="L278" s="8" t="n">
        <v>3</v>
      </c>
      <c r="M278" s="8" t="n">
        <v>371.6</v>
      </c>
      <c r="N278" s="13" t="n">
        <v>-2.9</v>
      </c>
      <c r="O278" s="8" t="n">
        <f aca="false">O277+N278</f>
        <v>114.8</v>
      </c>
      <c r="P278" s="8" t="n">
        <v>273</v>
      </c>
      <c r="Q278" s="16" t="n">
        <f aca="false">1.15+((P278-268)/61)*(0.35-1.15)</f>
        <v>1.0844262295082</v>
      </c>
      <c r="R278" s="14" t="n">
        <f aca="false">Q278*L278</f>
        <v>3.25327868852459</v>
      </c>
      <c r="S278" s="14" t="n">
        <f aca="false">J278-R278</f>
        <v>-3.15327868852459</v>
      </c>
      <c r="T278" s="14" t="n">
        <f aca="false">MIN(189.6,(T277+S278))</f>
        <v>77.052800546448</v>
      </c>
      <c r="U278" s="65" t="s">
        <v>35</v>
      </c>
      <c r="V278" s="8" t="n">
        <v>1936.9</v>
      </c>
      <c r="W278" s="8" t="n">
        <v>162.764705882353</v>
      </c>
      <c r="X278" s="8" t="n">
        <v>210403</v>
      </c>
      <c r="Y278" s="8" t="n">
        <f aca="false">Y277+V278</f>
        <v>6849.2</v>
      </c>
      <c r="Z278" s="65" t="s">
        <v>36</v>
      </c>
      <c r="AA278" s="8" t="n">
        <v>15.9894702547585</v>
      </c>
    </row>
    <row r="279" s="8" customFormat="true" ht="15" hidden="false" customHeight="false" outlineLevel="0" collapsed="false">
      <c r="A279" s="64"/>
      <c r="B279" s="10"/>
      <c r="C279" s="11" t="n">
        <v>42157</v>
      </c>
      <c r="D279" s="8" t="n">
        <v>15.9</v>
      </c>
      <c r="E279" s="8" t="n">
        <v>11.8</v>
      </c>
      <c r="F279" s="8" t="n">
        <v>19.2</v>
      </c>
      <c r="G279" s="8" t="n">
        <v>2384.7</v>
      </c>
      <c r="H279" s="8" t="n">
        <f aca="false">H278+D279</f>
        <v>77</v>
      </c>
      <c r="I279" s="8" t="n">
        <f aca="false">AVERAGE(D274:D293)</f>
        <v>15.025</v>
      </c>
      <c r="J279" s="8" t="n">
        <v>0.3</v>
      </c>
      <c r="K279" s="8" t="n">
        <v>441.8</v>
      </c>
      <c r="L279" s="8" t="n">
        <v>2.3</v>
      </c>
      <c r="M279" s="8" t="n">
        <v>373.9</v>
      </c>
      <c r="N279" s="13" t="n">
        <v>-2</v>
      </c>
      <c r="O279" s="8" t="n">
        <f aca="false">O278+N279</f>
        <v>112.8</v>
      </c>
      <c r="P279" s="8" t="n">
        <v>274</v>
      </c>
      <c r="Q279" s="16" t="n">
        <f aca="false">1.15+((P279-268)/61)*(0.35-1.15)</f>
        <v>1.07131147540984</v>
      </c>
      <c r="R279" s="14" t="n">
        <f aca="false">Q279*L279</f>
        <v>2.46401639344262</v>
      </c>
      <c r="S279" s="14" t="n">
        <f aca="false">J279-R279</f>
        <v>-2.16401639344262</v>
      </c>
      <c r="T279" s="14" t="n">
        <f aca="false">MIN(189.6,(T278+S279))</f>
        <v>74.8887841530054</v>
      </c>
      <c r="U279" s="8" t="n">
        <v>5</v>
      </c>
      <c r="V279" s="15" t="n">
        <v>720.8</v>
      </c>
      <c r="W279" s="8" t="n">
        <v>45.3333333333333</v>
      </c>
      <c r="X279" s="8" t="n">
        <v>211123.8</v>
      </c>
      <c r="Y279" s="8" t="n">
        <f aca="false">Y278+V279</f>
        <v>7570</v>
      </c>
      <c r="Z279" s="8" t="n">
        <v>1</v>
      </c>
      <c r="AA279" s="8" t="n">
        <v>16.0187798391047</v>
      </c>
    </row>
    <row r="280" s="8" customFormat="true" ht="15" hidden="false" customHeight="false" outlineLevel="0" collapsed="false">
      <c r="A280" s="64"/>
      <c r="B280" s="10"/>
      <c r="C280" s="11" t="n">
        <v>42158</v>
      </c>
      <c r="D280" s="8" t="n">
        <v>14.5</v>
      </c>
      <c r="E280" s="8" t="n">
        <v>13.3</v>
      </c>
      <c r="F280" s="8" t="n">
        <v>17.9</v>
      </c>
      <c r="G280" s="8" t="n">
        <v>2399.2</v>
      </c>
      <c r="H280" s="8" t="n">
        <f aca="false">H279+D280</f>
        <v>91.5</v>
      </c>
      <c r="I280" s="65" t="s">
        <v>37</v>
      </c>
      <c r="J280" s="8" t="n">
        <v>0</v>
      </c>
      <c r="K280" s="8" t="n">
        <v>441.8</v>
      </c>
      <c r="L280" s="8" t="n">
        <v>3.7</v>
      </c>
      <c r="M280" s="8" t="n">
        <v>377.6</v>
      </c>
      <c r="N280" s="13" t="n">
        <v>-3.7</v>
      </c>
      <c r="O280" s="8" t="n">
        <f aca="false">O279+N280</f>
        <v>109.1</v>
      </c>
      <c r="P280" s="8" t="n">
        <v>275</v>
      </c>
      <c r="Q280" s="16" t="n">
        <f aca="false">1.15+((P280-268)/61)*(0.35-1.15)</f>
        <v>1.05819672131148</v>
      </c>
      <c r="R280" s="14" t="n">
        <f aca="false">Q280*L280</f>
        <v>3.91532786885246</v>
      </c>
      <c r="S280" s="14" t="n">
        <f aca="false">J280-R280</f>
        <v>-3.91532786885246</v>
      </c>
      <c r="T280" s="14" t="n">
        <f aca="false">MIN(189.6,(T279+S280))</f>
        <v>70.9734562841529</v>
      </c>
      <c r="U280" s="65" t="s">
        <v>38</v>
      </c>
      <c r="V280" s="8" t="n">
        <v>1705.7</v>
      </c>
      <c r="W280" s="8" t="n">
        <v>117.634482758621</v>
      </c>
      <c r="X280" s="8" t="n">
        <v>212829.5</v>
      </c>
      <c r="Y280" s="8" t="n">
        <f aca="false">Y279+V280</f>
        <v>9275.7</v>
      </c>
      <c r="AA280" s="8" t="n">
        <v>16.0468424467846</v>
      </c>
    </row>
    <row r="281" s="8" customFormat="true" ht="15" hidden="false" customHeight="false" outlineLevel="0" collapsed="false">
      <c r="A281" s="64"/>
      <c r="B281" s="10"/>
      <c r="C281" s="11" t="n">
        <v>42159</v>
      </c>
      <c r="D281" s="8" t="n">
        <v>16.8</v>
      </c>
      <c r="E281" s="8" t="n">
        <v>6.1</v>
      </c>
      <c r="F281" s="8" t="n">
        <v>23.7</v>
      </c>
      <c r="G281" s="8" t="n">
        <v>2416</v>
      </c>
      <c r="H281" s="8" t="n">
        <f aca="false">H280+D281</f>
        <v>108.3</v>
      </c>
      <c r="I281" s="8" t="n">
        <v>0</v>
      </c>
      <c r="J281" s="8" t="n">
        <v>0</v>
      </c>
      <c r="K281" s="8" t="n">
        <v>441.8</v>
      </c>
      <c r="L281" s="8" t="n">
        <v>4.9</v>
      </c>
      <c r="M281" s="8" t="n">
        <v>382.5</v>
      </c>
      <c r="N281" s="13" t="n">
        <v>-4.9</v>
      </c>
      <c r="O281" s="8" t="n">
        <f aca="false">O280+N281</f>
        <v>104.2</v>
      </c>
      <c r="P281" s="8" t="n">
        <v>276</v>
      </c>
      <c r="Q281" s="16" t="n">
        <f aca="false">1.15+((P281-268)/61)*(0.35-1.15)</f>
        <v>1.04508196721311</v>
      </c>
      <c r="R281" s="14" t="n">
        <f aca="false">Q281*L281</f>
        <v>5.12090163934426</v>
      </c>
      <c r="S281" s="14" t="n">
        <f aca="false">J281-R281</f>
        <v>-5.12090163934426</v>
      </c>
      <c r="T281" s="14" t="n">
        <f aca="false">MIN(189.6,(T280+S281))</f>
        <v>65.8525546448086</v>
      </c>
      <c r="U281" s="14" t="n">
        <f aca="false">MIN(T274:T293)</f>
        <v>50.2612431693988</v>
      </c>
      <c r="V281" s="8" t="n">
        <v>2951</v>
      </c>
      <c r="W281" s="8" t="n">
        <v>175.654761904762</v>
      </c>
      <c r="X281" s="8" t="n">
        <v>215780.5</v>
      </c>
      <c r="Y281" s="8" t="n">
        <f aca="false">Y280+V281</f>
        <v>12226.7</v>
      </c>
      <c r="AA281" s="8" t="n">
        <v>16.073632876256</v>
      </c>
    </row>
    <row r="282" s="8" customFormat="true" ht="15" hidden="false" customHeight="false" outlineLevel="0" collapsed="false">
      <c r="A282" s="64"/>
      <c r="B282" s="10"/>
      <c r="C282" s="11" t="n">
        <v>42160</v>
      </c>
      <c r="D282" s="8" t="n">
        <v>19.6</v>
      </c>
      <c r="E282" s="8" t="n">
        <v>14.1</v>
      </c>
      <c r="F282" s="17" t="n">
        <v>31.1</v>
      </c>
      <c r="G282" s="8" t="n">
        <v>2435.6</v>
      </c>
      <c r="H282" s="8" t="n">
        <f aca="false">H281+D282</f>
        <v>127.9</v>
      </c>
      <c r="I282" s="65" t="s">
        <v>39</v>
      </c>
      <c r="J282" s="8" t="n">
        <v>32.6</v>
      </c>
      <c r="K282" s="8" t="n">
        <v>474.4</v>
      </c>
      <c r="L282" s="8" t="n">
        <v>5.8</v>
      </c>
      <c r="M282" s="8" t="n">
        <v>388.3</v>
      </c>
      <c r="N282" s="8" t="n">
        <v>26.8</v>
      </c>
      <c r="O282" s="8" t="n">
        <f aca="false">O281+N282</f>
        <v>131</v>
      </c>
      <c r="P282" s="8" t="n">
        <v>277</v>
      </c>
      <c r="Q282" s="16" t="n">
        <f aca="false">1.15+((P282-268)/61)*(0.35-1.15)</f>
        <v>1.03196721311475</v>
      </c>
      <c r="R282" s="14" t="n">
        <f aca="false">Q282*L282</f>
        <v>5.98540983606557</v>
      </c>
      <c r="S282" s="14" t="n">
        <f aca="false">J282-R282</f>
        <v>26.6145901639344</v>
      </c>
      <c r="T282" s="14" t="n">
        <f aca="false">MIN(189.6,(T281+S282))</f>
        <v>92.4671448087431</v>
      </c>
      <c r="U282" s="65" t="s">
        <v>40</v>
      </c>
      <c r="V282" s="8" t="n">
        <v>2311.7</v>
      </c>
      <c r="W282" s="8" t="n">
        <v>117.94387755102</v>
      </c>
      <c r="X282" s="8" t="n">
        <v>218092.2</v>
      </c>
      <c r="Y282" s="8" t="n">
        <f aca="false">Y281+V282</f>
        <v>14538.4</v>
      </c>
      <c r="AA282" s="8" t="n">
        <v>16.0991266550297</v>
      </c>
    </row>
    <row r="283" s="8" customFormat="true" ht="15" hidden="false" customHeight="false" outlineLevel="0" collapsed="false">
      <c r="A283" s="64"/>
      <c r="B283" s="10"/>
      <c r="C283" s="11" t="n">
        <v>42161</v>
      </c>
      <c r="D283" s="8" t="n">
        <v>13.6</v>
      </c>
      <c r="E283" s="8" t="n">
        <v>11.7</v>
      </c>
      <c r="F283" s="8" t="n">
        <v>17.6</v>
      </c>
      <c r="G283" s="8" t="n">
        <v>2449.2</v>
      </c>
      <c r="H283" s="8" t="n">
        <f aca="false">H282+D283</f>
        <v>141.5</v>
      </c>
      <c r="I283" s="8" t="n">
        <v>2</v>
      </c>
      <c r="J283" s="8" t="n">
        <v>0</v>
      </c>
      <c r="K283" s="8" t="n">
        <v>474.4</v>
      </c>
      <c r="L283" s="8" t="n">
        <v>5.4</v>
      </c>
      <c r="M283" s="8" t="n">
        <v>393.7</v>
      </c>
      <c r="N283" s="13" t="n">
        <v>-5.4</v>
      </c>
      <c r="O283" s="8" t="n">
        <f aca="false">O282+N283</f>
        <v>125.6</v>
      </c>
      <c r="P283" s="8" t="n">
        <v>278</v>
      </c>
      <c r="Q283" s="16" t="n">
        <f aca="false">1.15+((P283-268)/61)*(0.35-1.15)</f>
        <v>1.01885245901639</v>
      </c>
      <c r="R283" s="14" t="n">
        <f aca="false">Q283*L283</f>
        <v>5.50180327868852</v>
      </c>
      <c r="S283" s="14" t="n">
        <f aca="false">J283-R283</f>
        <v>-5.50180327868852</v>
      </c>
      <c r="T283" s="14" t="n">
        <f aca="false">MIN(189.6,(T282+S283))</f>
        <v>86.9653415300545</v>
      </c>
      <c r="U283" s="14" t="n">
        <f aca="false">MAX(T274:T293)</f>
        <v>92.4671448087431</v>
      </c>
      <c r="V283" s="8" t="n">
        <v>3135.1</v>
      </c>
      <c r="W283" s="8" t="n">
        <v>230.522058823529</v>
      </c>
      <c r="X283" s="8" t="n">
        <v>221227.3</v>
      </c>
      <c r="Y283" s="8" t="n">
        <f aca="false">Y282+V283</f>
        <v>17673.5</v>
      </c>
      <c r="AA283" s="8" t="n">
        <v>16.1233001180291</v>
      </c>
    </row>
    <row r="284" s="8" customFormat="true" ht="15" hidden="false" customHeight="false" outlineLevel="0" collapsed="false">
      <c r="A284" s="64"/>
      <c r="B284" s="10"/>
      <c r="C284" s="11" t="n">
        <v>42162</v>
      </c>
      <c r="D284" s="8" t="n">
        <v>13.5</v>
      </c>
      <c r="E284" s="8" t="n">
        <v>6</v>
      </c>
      <c r="F284" s="8" t="n">
        <v>19.3</v>
      </c>
      <c r="G284" s="8" t="n">
        <v>2462.7</v>
      </c>
      <c r="H284" s="8" t="n">
        <f aca="false">H283+D284</f>
        <v>155</v>
      </c>
      <c r="I284" s="65" t="s">
        <v>41</v>
      </c>
      <c r="J284" s="8" t="n">
        <v>0</v>
      </c>
      <c r="K284" s="8" t="n">
        <v>474.4</v>
      </c>
      <c r="L284" s="8" t="n">
        <v>3.2</v>
      </c>
      <c r="M284" s="8" t="n">
        <v>396.9</v>
      </c>
      <c r="N284" s="13" t="n">
        <v>-3.2</v>
      </c>
      <c r="O284" s="8" t="n">
        <f aca="false">O283+N284</f>
        <v>122.4</v>
      </c>
      <c r="P284" s="8" t="n">
        <v>279</v>
      </c>
      <c r="Q284" s="16" t="n">
        <f aca="false">1.15+((P284-268)/61)*(0.35-1.15)</f>
        <v>1.00573770491803</v>
      </c>
      <c r="R284" s="14" t="n">
        <f aca="false">Q284*L284</f>
        <v>3.2183606557377</v>
      </c>
      <c r="S284" s="14" t="n">
        <f aca="false">J284-R284</f>
        <v>-3.2183606557377</v>
      </c>
      <c r="T284" s="14" t="n">
        <f aca="false">MIN(189.6,(T283+S284))</f>
        <v>83.7469808743168</v>
      </c>
      <c r="U284" s="65" t="s">
        <v>42</v>
      </c>
      <c r="V284" s="8" t="n">
        <v>2087.3</v>
      </c>
      <c r="W284" s="8" t="n">
        <v>154.614814814815</v>
      </c>
      <c r="X284" s="8" t="n">
        <v>223314.6</v>
      </c>
      <c r="Y284" s="8" t="n">
        <f aca="false">Y283+V284</f>
        <v>19760.8</v>
      </c>
      <c r="AA284" s="8" t="n">
        <v>16.1461304855085</v>
      </c>
    </row>
    <row r="285" s="8" customFormat="true" ht="15" hidden="false" customHeight="false" outlineLevel="0" collapsed="false">
      <c r="A285" s="64"/>
      <c r="B285" s="10"/>
      <c r="C285" s="11" t="n">
        <v>42163</v>
      </c>
      <c r="D285" s="8" t="n">
        <v>13.2</v>
      </c>
      <c r="E285" s="8" t="n">
        <v>9.1</v>
      </c>
      <c r="F285" s="8" t="n">
        <v>16.8</v>
      </c>
      <c r="G285" s="8" t="n">
        <v>2475.9</v>
      </c>
      <c r="H285" s="8" t="n">
        <f aca="false">H284+D285</f>
        <v>168.2</v>
      </c>
      <c r="I285" s="8" t="n">
        <v>0</v>
      </c>
      <c r="J285" s="8" t="n">
        <v>0</v>
      </c>
      <c r="K285" s="8" t="n">
        <v>474.4</v>
      </c>
      <c r="L285" s="8" t="n">
        <v>4.6</v>
      </c>
      <c r="M285" s="8" t="n">
        <v>401.5</v>
      </c>
      <c r="N285" s="13" t="n">
        <v>-4.6</v>
      </c>
      <c r="O285" s="8" t="n">
        <f aca="false">O284+N285</f>
        <v>117.8</v>
      </c>
      <c r="P285" s="8" t="n">
        <v>280</v>
      </c>
      <c r="Q285" s="16" t="n">
        <f aca="false">1.15+((P285-268)/61)*(0.35-1.15)</f>
        <v>0.992622950819672</v>
      </c>
      <c r="R285" s="14" t="n">
        <f aca="false">Q285*L285</f>
        <v>4.56606557377049</v>
      </c>
      <c r="S285" s="14" t="n">
        <f aca="false">J285-R285</f>
        <v>-4.56606557377049</v>
      </c>
      <c r="T285" s="14" t="n">
        <f aca="false">MIN(189.6,(T284+S285))</f>
        <v>79.1809153005463</v>
      </c>
      <c r="U285" s="16" t="n">
        <f aca="false">AVERAGE(T274:T293)</f>
        <v>71.7395054644808</v>
      </c>
      <c r="V285" s="8" t="n">
        <v>2964.5</v>
      </c>
      <c r="W285" s="8" t="n">
        <v>224.583333333333</v>
      </c>
      <c r="X285" s="8" t="n">
        <v>226279.1</v>
      </c>
      <c r="Y285" s="8" t="n">
        <f aca="false">Y284+V285</f>
        <v>22725.3</v>
      </c>
      <c r="AA285" s="8" t="n">
        <v>16.167595940049</v>
      </c>
    </row>
    <row r="286" s="8" customFormat="true" ht="15" hidden="false" customHeight="false" outlineLevel="0" collapsed="false">
      <c r="A286" s="64"/>
      <c r="B286" s="10"/>
      <c r="C286" s="11" t="n">
        <v>42164</v>
      </c>
      <c r="D286" s="8" t="n">
        <v>12.7</v>
      </c>
      <c r="E286" s="8" t="n">
        <v>9.6</v>
      </c>
      <c r="F286" s="8" t="n">
        <v>16.4</v>
      </c>
      <c r="G286" s="8" t="n">
        <v>2488.6</v>
      </c>
      <c r="H286" s="8" t="n">
        <f aca="false">H285+D286</f>
        <v>180.9</v>
      </c>
      <c r="I286" s="65" t="s">
        <v>43</v>
      </c>
      <c r="J286" s="8" t="n">
        <v>0</v>
      </c>
      <c r="K286" s="8" t="n">
        <v>474.4</v>
      </c>
      <c r="L286" s="8" t="n">
        <v>4.8</v>
      </c>
      <c r="M286" s="8" t="n">
        <v>406.3</v>
      </c>
      <c r="N286" s="13" t="n">
        <v>-4.8</v>
      </c>
      <c r="O286" s="8" t="n">
        <f aca="false">O285+N286</f>
        <v>113</v>
      </c>
      <c r="P286" s="8" t="n">
        <v>281</v>
      </c>
      <c r="Q286" s="16" t="n">
        <f aca="false">1.15+((P286-268)/61)*(0.35-1.15)</f>
        <v>0.979508196721311</v>
      </c>
      <c r="R286" s="14" t="n">
        <f aca="false">Q286*L286</f>
        <v>4.70163934426229</v>
      </c>
      <c r="S286" s="14" t="n">
        <f aca="false">J286-R286</f>
        <v>-4.70163934426229</v>
      </c>
      <c r="T286" s="14" t="n">
        <f aca="false">MIN(189.6,(T285+S286))</f>
        <v>74.479275956284</v>
      </c>
      <c r="U286" s="8" t="n">
        <f aca="false">(U285*100)/189.6</f>
        <v>37.837291911646</v>
      </c>
      <c r="V286" s="8" t="n">
        <v>3005.8</v>
      </c>
      <c r="W286" s="8" t="n">
        <v>236.677165354331</v>
      </c>
      <c r="X286" s="8" t="n">
        <v>229284.9</v>
      </c>
      <c r="Y286" s="8" t="n">
        <f aca="false">Y285+V286</f>
        <v>25731.1</v>
      </c>
      <c r="AA286" s="8" t="n">
        <v>16.1876757021374</v>
      </c>
    </row>
    <row r="287" s="8" customFormat="true" ht="15" hidden="false" customHeight="false" outlineLevel="0" collapsed="false">
      <c r="A287" s="64"/>
      <c r="B287" s="10"/>
      <c r="C287" s="11" t="n">
        <v>42165</v>
      </c>
      <c r="D287" s="8" t="n">
        <v>16.2</v>
      </c>
      <c r="E287" s="8" t="n">
        <v>9.3</v>
      </c>
      <c r="F287" s="8" t="n">
        <v>21.4</v>
      </c>
      <c r="G287" s="8" t="n">
        <v>2504.8</v>
      </c>
      <c r="H287" s="8" t="n">
        <f aca="false">H286+D287</f>
        <v>197.1</v>
      </c>
      <c r="I287" s="8" t="n">
        <v>300.5</v>
      </c>
      <c r="J287" s="8" t="n">
        <v>0</v>
      </c>
      <c r="K287" s="8" t="n">
        <v>474.4</v>
      </c>
      <c r="L287" s="8" t="n">
        <v>5.1</v>
      </c>
      <c r="M287" s="8" t="n">
        <v>411.4</v>
      </c>
      <c r="N287" s="13" t="n">
        <v>-5.1</v>
      </c>
      <c r="O287" s="8" t="n">
        <f aca="false">O286+N287</f>
        <v>107.9</v>
      </c>
      <c r="P287" s="8" t="n">
        <v>282</v>
      </c>
      <c r="Q287" s="16" t="n">
        <f aca="false">1.15+((P287-268)/61)*(0.35-1.15)</f>
        <v>0.966393442622951</v>
      </c>
      <c r="R287" s="14" t="n">
        <f aca="false">Q287*L287</f>
        <v>4.92860655737705</v>
      </c>
      <c r="S287" s="14" t="n">
        <f aca="false">J287-R287</f>
        <v>-4.92860655737705</v>
      </c>
      <c r="T287" s="14" t="n">
        <f aca="false">MIN(189.6,(T286+S287))</f>
        <v>69.550669398907</v>
      </c>
      <c r="V287" s="8" t="n">
        <v>2753.9</v>
      </c>
      <c r="W287" s="8" t="n">
        <v>169.993827160494</v>
      </c>
      <c r="X287" s="8" t="n">
        <v>232038.8</v>
      </c>
      <c r="Y287" s="8" t="n">
        <f aca="false">Y286+V287</f>
        <v>28485</v>
      </c>
      <c r="AA287" s="8" t="n">
        <v>16.2063501038219</v>
      </c>
    </row>
    <row r="288" s="48" customFormat="true" ht="15" hidden="false" customHeight="false" outlineLevel="0" collapsed="false">
      <c r="A288" s="64"/>
      <c r="B288" s="47"/>
      <c r="C288" s="11" t="n">
        <v>42166</v>
      </c>
      <c r="D288" s="48" t="n">
        <v>20.2</v>
      </c>
      <c r="E288" s="48" t="n">
        <v>15.1</v>
      </c>
      <c r="F288" s="48" t="n">
        <v>25.3</v>
      </c>
      <c r="G288" s="48" t="n">
        <v>2525</v>
      </c>
      <c r="H288" s="48" t="n">
        <f aca="false">H287+D288</f>
        <v>217.3</v>
      </c>
      <c r="J288" s="48" t="n">
        <v>1.1</v>
      </c>
      <c r="K288" s="48" t="n">
        <v>475.5</v>
      </c>
      <c r="L288" s="48" t="n">
        <v>5</v>
      </c>
      <c r="M288" s="48" t="n">
        <v>416.4</v>
      </c>
      <c r="N288" s="48" t="n">
        <v>-3.9</v>
      </c>
      <c r="O288" s="48" t="n">
        <f aca="false">O287+N288</f>
        <v>104</v>
      </c>
      <c r="P288" s="48" t="n">
        <v>283</v>
      </c>
      <c r="Q288" s="16" t="n">
        <f aca="false">1.15+((P288-268)/61)*(0.35-1.15)</f>
        <v>0.95327868852459</v>
      </c>
      <c r="R288" s="49" t="n">
        <f aca="false">Q288*L288</f>
        <v>4.76639344262295</v>
      </c>
      <c r="S288" s="49" t="n">
        <f aca="false">J288-R288</f>
        <v>-3.66639344262295</v>
      </c>
      <c r="T288" s="14" t="n">
        <f aca="false">MIN(189.6,(T287+S288))</f>
        <v>65.884275956284</v>
      </c>
      <c r="V288" s="48" t="n">
        <v>2398.9</v>
      </c>
      <c r="W288" s="48" t="n">
        <v>118.757425742574</v>
      </c>
      <c r="X288" s="48" t="n">
        <v>234437.7</v>
      </c>
      <c r="Y288" s="8" t="n">
        <f aca="false">Y287+V288</f>
        <v>30883.9</v>
      </c>
      <c r="AA288" s="8" t="n">
        <v>16.2236006599317</v>
      </c>
    </row>
    <row r="289" s="8" customFormat="true" ht="15" hidden="false" customHeight="true" outlineLevel="0" collapsed="false">
      <c r="A289" s="64"/>
      <c r="B289" s="10"/>
      <c r="C289" s="11" t="n">
        <v>42167</v>
      </c>
      <c r="D289" s="8" t="n">
        <v>21.2</v>
      </c>
      <c r="E289" s="8" t="n">
        <v>16.9</v>
      </c>
      <c r="F289" s="17" t="n">
        <v>26.7</v>
      </c>
      <c r="G289" s="8" t="n">
        <v>2546.2</v>
      </c>
      <c r="H289" s="8" t="n">
        <f aca="false">H288+D289</f>
        <v>238.5</v>
      </c>
      <c r="J289" s="8" t="n">
        <v>0</v>
      </c>
      <c r="K289" s="8" t="n">
        <v>475.5</v>
      </c>
      <c r="L289" s="8" t="n">
        <v>3.1</v>
      </c>
      <c r="M289" s="8" t="n">
        <v>419.5</v>
      </c>
      <c r="N289" s="13" t="n">
        <v>-3.1</v>
      </c>
      <c r="O289" s="8" t="n">
        <f aca="false">O288+N289</f>
        <v>100.9</v>
      </c>
      <c r="P289" s="8" t="n">
        <v>284</v>
      </c>
      <c r="Q289" s="16" t="n">
        <f aca="false">1.15+((P289-268)/61)*(0.35-1.15)</f>
        <v>0.940163934426229</v>
      </c>
      <c r="R289" s="14" t="n">
        <f aca="false">Q289*L289</f>
        <v>2.91450819672131</v>
      </c>
      <c r="S289" s="14" t="n">
        <f aca="false">J289-R289</f>
        <v>-2.91450819672131</v>
      </c>
      <c r="T289" s="14" t="n">
        <f aca="false">MIN(189.6,(T288+S289))</f>
        <v>62.9697677595627</v>
      </c>
      <c r="U289" s="50"/>
      <c r="V289" s="8" t="n">
        <v>1085.6</v>
      </c>
      <c r="W289" s="8" t="n">
        <v>51.2075471698113</v>
      </c>
      <c r="X289" s="8" t="n">
        <v>235523.3</v>
      </c>
      <c r="Y289" s="8" t="n">
        <f aca="false">Y288+V289</f>
        <v>31969.5</v>
      </c>
      <c r="AA289" s="8" t="n">
        <v>16.2394101363499</v>
      </c>
    </row>
    <row r="290" s="8" customFormat="true" ht="15" hidden="false" customHeight="false" outlineLevel="0" collapsed="false">
      <c r="A290" s="64"/>
      <c r="B290" s="10"/>
      <c r="C290" s="11" t="n">
        <v>42168</v>
      </c>
      <c r="D290" s="8" t="n">
        <v>17.1</v>
      </c>
      <c r="E290" s="8" t="n">
        <v>14.6</v>
      </c>
      <c r="F290" s="8" t="n">
        <v>21.6</v>
      </c>
      <c r="G290" s="8" t="n">
        <v>2563.3</v>
      </c>
      <c r="H290" s="8" t="n">
        <f aca="false">H289+D290</f>
        <v>255.6</v>
      </c>
      <c r="J290" s="8" t="n">
        <v>0</v>
      </c>
      <c r="K290" s="8" t="n">
        <v>475.5</v>
      </c>
      <c r="L290" s="8" t="n">
        <v>4.7</v>
      </c>
      <c r="M290" s="8" t="n">
        <v>424.2</v>
      </c>
      <c r="N290" s="13" t="n">
        <v>-4.7</v>
      </c>
      <c r="O290" s="8" t="n">
        <f aca="false">O289+N290</f>
        <v>96.2</v>
      </c>
      <c r="P290" s="8" t="n">
        <v>285</v>
      </c>
      <c r="Q290" s="16" t="n">
        <f aca="false">1.15+((P290-268)/61)*(0.35-1.15)</f>
        <v>0.927049180327869</v>
      </c>
      <c r="R290" s="14" t="n">
        <f aca="false">Q290*L290</f>
        <v>4.35713114754098</v>
      </c>
      <c r="S290" s="14" t="n">
        <f aca="false">J290-R290</f>
        <v>-4.35713114754098</v>
      </c>
      <c r="T290" s="14" t="n">
        <f aca="false">MIN(189.6,(T289+S290))</f>
        <v>58.6126366120217</v>
      </c>
      <c r="V290" s="8" t="n">
        <v>2298.3</v>
      </c>
      <c r="W290" s="8" t="n">
        <v>134.40350877193</v>
      </c>
      <c r="X290" s="8" t="n">
        <v>237821.6</v>
      </c>
      <c r="Y290" s="8" t="n">
        <f aca="false">Y289+V290</f>
        <v>34267.8</v>
      </c>
      <c r="AA290" s="8" t="n">
        <v>16.2537626148335</v>
      </c>
    </row>
    <row r="291" s="8" customFormat="true" ht="15" hidden="false" customHeight="false" outlineLevel="0" collapsed="false">
      <c r="A291" s="64"/>
      <c r="B291" s="10"/>
      <c r="C291" s="11" t="n">
        <v>42169</v>
      </c>
      <c r="D291" s="8" t="n">
        <v>15.8</v>
      </c>
      <c r="E291" s="8" t="n">
        <v>9.9</v>
      </c>
      <c r="F291" s="8" t="n">
        <v>20.6</v>
      </c>
      <c r="G291" s="8" t="n">
        <v>2579.1</v>
      </c>
      <c r="H291" s="8" t="n">
        <f aca="false">H290+D291</f>
        <v>271.4</v>
      </c>
      <c r="J291" s="8" t="n">
        <v>0</v>
      </c>
      <c r="K291" s="8" t="n">
        <v>475.5</v>
      </c>
      <c r="L291" s="8" t="n">
        <v>2.4</v>
      </c>
      <c r="M291" s="8" t="n">
        <v>426.6</v>
      </c>
      <c r="N291" s="13" t="n">
        <v>-2.4</v>
      </c>
      <c r="O291" s="8" t="n">
        <f aca="false">O290+N291</f>
        <v>93.8</v>
      </c>
      <c r="P291" s="8" t="n">
        <v>286</v>
      </c>
      <c r="Q291" s="16" t="n">
        <f aca="false">1.15+((P291-268)/61)*(0.35-1.15)</f>
        <v>0.913934426229508</v>
      </c>
      <c r="R291" s="14" t="n">
        <f aca="false">Q291*L291</f>
        <v>2.19344262295082</v>
      </c>
      <c r="S291" s="14" t="n">
        <f aca="false">J291-R291</f>
        <v>-2.19344262295082</v>
      </c>
      <c r="T291" s="14" t="n">
        <f aca="false">MIN(189.6,(T290+S291))</f>
        <v>56.4191939890709</v>
      </c>
      <c r="V291" s="8" t="n">
        <v>1279.4</v>
      </c>
      <c r="W291" s="8" t="n">
        <v>80.9746835443038</v>
      </c>
      <c r="X291" s="8" t="n">
        <v>239101</v>
      </c>
      <c r="Y291" s="8" t="n">
        <f aca="false">Y290+V291</f>
        <v>35547.2</v>
      </c>
      <c r="AA291" s="8" t="n">
        <v>16.2666435538859</v>
      </c>
    </row>
    <row r="292" s="8" customFormat="true" ht="15" hidden="false" customHeight="false" outlineLevel="0" collapsed="false">
      <c r="A292" s="64"/>
      <c r="B292" s="10"/>
      <c r="C292" s="11" t="n">
        <v>42170</v>
      </c>
      <c r="D292" s="8" t="n">
        <v>15</v>
      </c>
      <c r="E292" s="8" t="n">
        <v>13.4</v>
      </c>
      <c r="F292" s="8" t="n">
        <v>17.7</v>
      </c>
      <c r="G292" s="8" t="n">
        <v>2594.1</v>
      </c>
      <c r="H292" s="8" t="n">
        <f aca="false">H291+D292</f>
        <v>286.4</v>
      </c>
      <c r="J292" s="8" t="n">
        <v>0</v>
      </c>
      <c r="K292" s="8" t="n">
        <v>475.5</v>
      </c>
      <c r="L292" s="8" t="n">
        <v>2.5</v>
      </c>
      <c r="M292" s="8" t="n">
        <v>429.1</v>
      </c>
      <c r="N292" s="13" t="n">
        <v>-2.5</v>
      </c>
      <c r="O292" s="8" t="n">
        <f aca="false">O291+N292</f>
        <v>91.3</v>
      </c>
      <c r="P292" s="8" t="n">
        <v>287</v>
      </c>
      <c r="Q292" s="16" t="n">
        <f aca="false">1.15+((P292-268)/61)*(0.35-1.15)</f>
        <v>0.900819672131147</v>
      </c>
      <c r="R292" s="14" t="n">
        <f aca="false">Q292*L292</f>
        <v>2.25204918032787</v>
      </c>
      <c r="S292" s="14" t="n">
        <f aca="false">J292-R292</f>
        <v>-2.25204918032787</v>
      </c>
      <c r="T292" s="14" t="n">
        <f aca="false">MIN(189.6,(T291+S292))</f>
        <v>54.1671448087431</v>
      </c>
      <c r="V292" s="8" t="n">
        <v>1270.3</v>
      </c>
      <c r="W292" s="8" t="n">
        <v>84.6866666666667</v>
      </c>
      <c r="X292" s="8" t="n">
        <v>240371.3</v>
      </c>
      <c r="Y292" s="8" t="n">
        <f aca="false">Y291+V292</f>
        <v>36817.5</v>
      </c>
      <c r="AA292" s="8" t="n">
        <v>16.2780398452072</v>
      </c>
    </row>
    <row r="293" s="42" customFormat="true" ht="15" hidden="false" customHeight="false" outlineLevel="0" collapsed="false">
      <c r="A293" s="64"/>
      <c r="B293" s="51" t="n">
        <v>600</v>
      </c>
      <c r="C293" s="52" t="n">
        <v>42171</v>
      </c>
      <c r="D293" s="42" t="n">
        <v>14.1</v>
      </c>
      <c r="E293" s="42" t="n">
        <v>9.5</v>
      </c>
      <c r="F293" s="42" t="n">
        <v>18.6</v>
      </c>
      <c r="G293" s="42" t="n">
        <v>2608.2</v>
      </c>
      <c r="H293" s="42" t="n">
        <f aca="false">H292+D293</f>
        <v>300.5</v>
      </c>
      <c r="J293" s="42" t="n">
        <v>0</v>
      </c>
      <c r="K293" s="42" t="n">
        <v>475.5</v>
      </c>
      <c r="L293" s="42" t="n">
        <v>4.4</v>
      </c>
      <c r="M293" s="42" t="n">
        <v>433.5</v>
      </c>
      <c r="N293" s="54" t="n">
        <v>-4.4</v>
      </c>
      <c r="O293" s="42" t="n">
        <f aca="false">O292+N293</f>
        <v>86.9</v>
      </c>
      <c r="P293" s="42" t="n">
        <v>288</v>
      </c>
      <c r="Q293" s="16" t="n">
        <f aca="false">1.15+((P293-268)/61)*(0.35-1.15)</f>
        <v>0.887704918032787</v>
      </c>
      <c r="R293" s="43" t="n">
        <f aca="false">Q293*L293</f>
        <v>3.90590163934426</v>
      </c>
      <c r="S293" s="43" t="n">
        <f aca="false">J293-R293</f>
        <v>-3.90590163934426</v>
      </c>
      <c r="T293" s="14" t="n">
        <f aca="false">MIN(189.6,(T292+S293))</f>
        <v>50.2612431693988</v>
      </c>
      <c r="V293" s="42" t="n">
        <v>2575.4</v>
      </c>
      <c r="W293" s="42" t="n">
        <v>182.652482269504</v>
      </c>
      <c r="X293" s="42" t="n">
        <v>242946.7</v>
      </c>
      <c r="Y293" s="8" t="n">
        <f aca="false">Y292+V293</f>
        <v>39392.9</v>
      </c>
      <c r="AA293" s="8" t="n">
        <v>16.2879398652712</v>
      </c>
    </row>
    <row r="294" s="8" customFormat="true" ht="15" hidden="false" customHeight="false" outlineLevel="0" collapsed="false">
      <c r="A294" s="66" t="n">
        <v>1000</v>
      </c>
      <c r="B294" s="10"/>
      <c r="C294" s="11" t="n">
        <v>42172</v>
      </c>
      <c r="D294" s="8" t="n">
        <v>16.2</v>
      </c>
      <c r="E294" s="8" t="n">
        <v>8</v>
      </c>
      <c r="F294" s="8" t="n">
        <v>21.8</v>
      </c>
      <c r="G294" s="8" t="n">
        <v>2624.4</v>
      </c>
      <c r="H294" s="8" t="n">
        <v>16.2</v>
      </c>
      <c r="I294" s="67" t="s">
        <v>28</v>
      </c>
      <c r="J294" s="8" t="n">
        <v>0.1</v>
      </c>
      <c r="K294" s="8" t="n">
        <v>475.6</v>
      </c>
      <c r="L294" s="8" t="n">
        <v>3</v>
      </c>
      <c r="M294" s="8" t="n">
        <v>436.5</v>
      </c>
      <c r="N294" s="13" t="n">
        <v>-2.9</v>
      </c>
      <c r="O294" s="8" t="n">
        <f aca="false">O293+N294</f>
        <v>84</v>
      </c>
      <c r="P294" s="8" t="n">
        <v>289</v>
      </c>
      <c r="Q294" s="16" t="n">
        <f aca="false">1.15+((P294-268)/61)*(0.35-1.15)</f>
        <v>0.874590163934426</v>
      </c>
      <c r="R294" s="14" t="n">
        <f aca="false">Q294*L294</f>
        <v>2.62377049180328</v>
      </c>
      <c r="S294" s="14" t="n">
        <f aca="false">J294-R294</f>
        <v>-2.52377049180328</v>
      </c>
      <c r="T294" s="14" t="n">
        <f aca="false">MIN(189.6,(T293+S294))</f>
        <v>47.7374726775955</v>
      </c>
      <c r="U294" s="67" t="s">
        <v>29</v>
      </c>
      <c r="V294" s="8" t="n">
        <v>1680.6</v>
      </c>
      <c r="W294" s="8" t="n">
        <v>103.740740740741</v>
      </c>
      <c r="X294" s="8" t="n">
        <v>244627.3</v>
      </c>
      <c r="Y294" s="8" t="n">
        <v>1680.6</v>
      </c>
      <c r="Z294" s="67" t="s">
        <v>30</v>
      </c>
      <c r="AA294" s="8" t="n">
        <v>16.2963335216077</v>
      </c>
    </row>
    <row r="295" s="8" customFormat="true" ht="15" hidden="false" customHeight="false" outlineLevel="0" collapsed="false">
      <c r="A295" s="66"/>
      <c r="B295" s="10"/>
      <c r="C295" s="11" t="n">
        <v>42173</v>
      </c>
      <c r="D295" s="8" t="n">
        <v>15.1</v>
      </c>
      <c r="E295" s="8" t="n">
        <v>15.7</v>
      </c>
      <c r="F295" s="8" t="n">
        <v>17.3</v>
      </c>
      <c r="G295" s="8" t="n">
        <v>2639.5</v>
      </c>
      <c r="H295" s="8" t="n">
        <f aca="false">H294+D295</f>
        <v>31.3</v>
      </c>
      <c r="I295" s="8" t="n">
        <f aca="false">MIN(E294:E316)</f>
        <v>7.9</v>
      </c>
      <c r="J295" s="8" t="n">
        <v>1.9</v>
      </c>
      <c r="K295" s="8" t="n">
        <v>477.5</v>
      </c>
      <c r="L295" s="8" t="n">
        <v>1.9</v>
      </c>
      <c r="M295" s="8" t="n">
        <v>438.4</v>
      </c>
      <c r="N295" s="8" t="n">
        <v>0</v>
      </c>
      <c r="O295" s="8" t="n">
        <f aca="false">O294+N295</f>
        <v>84</v>
      </c>
      <c r="P295" s="8" t="n">
        <v>290</v>
      </c>
      <c r="Q295" s="16" t="n">
        <f aca="false">1.15+((P295-268)/61)*(0.35-1.15)</f>
        <v>0.861475409836066</v>
      </c>
      <c r="R295" s="14" t="n">
        <f aca="false">Q295*L295</f>
        <v>1.63680327868852</v>
      </c>
      <c r="S295" s="14" t="n">
        <f aca="false">J295-R295</f>
        <v>0.263196721311475</v>
      </c>
      <c r="T295" s="14" t="n">
        <f aca="false">MIN(189.6,(T294+S295))</f>
        <v>48.000669398907</v>
      </c>
      <c r="U295" s="8" t="n">
        <v>18</v>
      </c>
      <c r="V295" s="15" t="n">
        <v>774.6</v>
      </c>
      <c r="W295" s="8" t="n">
        <v>51.2980132450331</v>
      </c>
      <c r="X295" s="8" t="n">
        <v>245401.9</v>
      </c>
      <c r="Y295" s="8" t="n">
        <f aca="false">Y294+V295</f>
        <v>2455.2</v>
      </c>
      <c r="Z295" s="8" t="n">
        <v>44237.2</v>
      </c>
      <c r="AA295" s="8" t="n">
        <v>16.3032122934073</v>
      </c>
    </row>
    <row r="296" s="8" customFormat="true" ht="15" hidden="false" customHeight="false" outlineLevel="0" collapsed="false">
      <c r="A296" s="66"/>
      <c r="B296" s="10"/>
      <c r="C296" s="11" t="n">
        <v>42174</v>
      </c>
      <c r="D296" s="8" t="n">
        <v>14.5</v>
      </c>
      <c r="E296" s="8" t="n">
        <v>8.8</v>
      </c>
      <c r="F296" s="8" t="n">
        <v>18.7</v>
      </c>
      <c r="G296" s="8" t="n">
        <v>2654</v>
      </c>
      <c r="H296" s="8" t="n">
        <f aca="false">H295+D296</f>
        <v>45.8</v>
      </c>
      <c r="I296" s="67" t="s">
        <v>31</v>
      </c>
      <c r="J296" s="8" t="n">
        <v>0</v>
      </c>
      <c r="K296" s="8" t="n">
        <v>477.5</v>
      </c>
      <c r="L296" s="8" t="n">
        <v>2.8</v>
      </c>
      <c r="M296" s="8" t="n">
        <v>441.2</v>
      </c>
      <c r="N296" s="13" t="n">
        <v>-2.8</v>
      </c>
      <c r="O296" s="8" t="n">
        <f aca="false">O295+N296</f>
        <v>81.2</v>
      </c>
      <c r="P296" s="8" t="n">
        <v>291</v>
      </c>
      <c r="Q296" s="16" t="n">
        <f aca="false">1.15+((P296-268)/61)*(0.35-1.15)</f>
        <v>0.848360655737705</v>
      </c>
      <c r="R296" s="14" t="n">
        <f aca="false">Q296*L296</f>
        <v>2.37540983606557</v>
      </c>
      <c r="S296" s="14" t="n">
        <f aca="false">J296-R296</f>
        <v>-2.37540983606557</v>
      </c>
      <c r="T296" s="14" t="n">
        <f aca="false">MIN(189.6,(T295+S296))</f>
        <v>45.6252595628414</v>
      </c>
      <c r="U296" s="67" t="s">
        <v>32</v>
      </c>
      <c r="V296" s="8" t="n">
        <v>1830.6</v>
      </c>
      <c r="W296" s="8" t="n">
        <v>126.248275862069</v>
      </c>
      <c r="X296" s="8" t="n">
        <v>247232.5</v>
      </c>
      <c r="Y296" s="8" t="n">
        <f aca="false">Y295+V296</f>
        <v>4285.8</v>
      </c>
      <c r="Z296" s="67" t="s">
        <v>33</v>
      </c>
      <c r="AA296" s="8" t="n">
        <v>16.3085692661064</v>
      </c>
    </row>
    <row r="297" s="8" customFormat="true" ht="15" hidden="false" customHeight="false" outlineLevel="0" collapsed="false">
      <c r="A297" s="66"/>
      <c r="B297" s="10"/>
      <c r="C297" s="11" t="n">
        <v>42175</v>
      </c>
      <c r="D297" s="8" t="n">
        <v>15.4</v>
      </c>
      <c r="E297" s="8" t="n">
        <v>10.9</v>
      </c>
      <c r="F297" s="8" t="n">
        <v>17.7</v>
      </c>
      <c r="G297" s="8" t="n">
        <v>2669.4</v>
      </c>
      <c r="H297" s="8" t="n">
        <f aca="false">H296+D297</f>
        <v>61.2</v>
      </c>
      <c r="I297" s="8" t="n">
        <f aca="false">MAX(F294:F316)</f>
        <v>33.4</v>
      </c>
      <c r="J297" s="8" t="n">
        <v>0.8</v>
      </c>
      <c r="K297" s="8" t="n">
        <v>478.3</v>
      </c>
      <c r="L297" s="8" t="n">
        <v>1.7</v>
      </c>
      <c r="M297" s="8" t="n">
        <v>442.9</v>
      </c>
      <c r="N297" s="13" t="n">
        <v>-0.9</v>
      </c>
      <c r="O297" s="8" t="n">
        <f aca="false">O296+N297</f>
        <v>80.3</v>
      </c>
      <c r="P297" s="8" t="n">
        <v>292</v>
      </c>
      <c r="Q297" s="16" t="n">
        <f aca="false">1.15+((P297-268)/61)*(0.35-1.15)</f>
        <v>0.835245901639344</v>
      </c>
      <c r="R297" s="14" t="n">
        <f aca="false">Q297*L297</f>
        <v>1.41991803278689</v>
      </c>
      <c r="S297" s="14" t="n">
        <f aca="false">J297-R297</f>
        <v>-0.619918032786885</v>
      </c>
      <c r="T297" s="14" t="n">
        <f aca="false">MIN(189.6,(T296+S297))</f>
        <v>45.0053415300545</v>
      </c>
      <c r="U297" s="8" t="n">
        <v>0</v>
      </c>
      <c r="V297" s="8" t="n">
        <v>1086.3</v>
      </c>
      <c r="W297" s="8" t="n">
        <v>70.538961038961</v>
      </c>
      <c r="X297" s="8" t="n">
        <v>248318.8</v>
      </c>
      <c r="Y297" s="8" t="n">
        <f aca="false">Y296+V297</f>
        <v>5372.1</v>
      </c>
      <c r="Z297" s="16" t="n">
        <f aca="false">(Z295/100)/I307</f>
        <v>1.06672775500362</v>
      </c>
      <c r="AA297" s="8" t="n">
        <v>16.3123991596558</v>
      </c>
    </row>
    <row r="298" s="8" customFormat="true" ht="15" hidden="false" customHeight="false" outlineLevel="0" collapsed="false">
      <c r="A298" s="66"/>
      <c r="B298" s="10"/>
      <c r="C298" s="11" t="n">
        <v>42176</v>
      </c>
      <c r="D298" s="8" t="n">
        <v>16.1</v>
      </c>
      <c r="E298" s="8" t="n">
        <v>14.1</v>
      </c>
      <c r="F298" s="8" t="n">
        <v>18.9</v>
      </c>
      <c r="G298" s="8" t="n">
        <v>2685.5</v>
      </c>
      <c r="H298" s="8" t="n">
        <f aca="false">H297+D298</f>
        <v>77.3</v>
      </c>
      <c r="I298" s="67" t="s">
        <v>34</v>
      </c>
      <c r="J298" s="8" t="n">
        <v>0.7</v>
      </c>
      <c r="K298" s="8" t="n">
        <v>479</v>
      </c>
      <c r="L298" s="8" t="n">
        <v>2.7</v>
      </c>
      <c r="M298" s="8" t="n">
        <v>445.6</v>
      </c>
      <c r="N298" s="13" t="n">
        <v>-2</v>
      </c>
      <c r="O298" s="8" t="n">
        <f aca="false">O297+N298</f>
        <v>78.3</v>
      </c>
      <c r="P298" s="8" t="n">
        <v>293</v>
      </c>
      <c r="Q298" s="16" t="n">
        <f aca="false">1.15+((P298-268)/61)*(0.35-1.15)</f>
        <v>0.822131147540984</v>
      </c>
      <c r="R298" s="14" t="n">
        <f aca="false">Q298*L298</f>
        <v>2.21975409836066</v>
      </c>
      <c r="S298" s="14" t="n">
        <f aca="false">J298-R298</f>
        <v>-1.51975409836066</v>
      </c>
      <c r="T298" s="14" t="n">
        <f aca="false">MIN(189.6,(T297+S298))</f>
        <v>43.4855874316939</v>
      </c>
      <c r="U298" s="67" t="s">
        <v>35</v>
      </c>
      <c r="V298" s="8" t="n">
        <v>1383.9</v>
      </c>
      <c r="W298" s="8" t="n">
        <v>85.9565217391304</v>
      </c>
      <c r="X298" s="8" t="n">
        <v>249702.7</v>
      </c>
      <c r="Y298" s="8" t="n">
        <f aca="false">Y297+V298</f>
        <v>6756</v>
      </c>
      <c r="Z298" s="67" t="s">
        <v>36</v>
      </c>
      <c r="AA298" s="8" t="n">
        <v>16.3146983502313</v>
      </c>
    </row>
    <row r="299" s="8" customFormat="true" ht="15" hidden="false" customHeight="false" outlineLevel="0" collapsed="false">
      <c r="A299" s="66"/>
      <c r="B299" s="10"/>
      <c r="C299" s="11" t="n">
        <v>42177</v>
      </c>
      <c r="D299" s="8" t="n">
        <v>12.5</v>
      </c>
      <c r="E299" s="8" t="n">
        <v>11.2</v>
      </c>
      <c r="F299" s="8" t="n">
        <v>14</v>
      </c>
      <c r="G299" s="8" t="n">
        <v>2698</v>
      </c>
      <c r="H299" s="8" t="n">
        <f aca="false">H298+D299</f>
        <v>89.8</v>
      </c>
      <c r="I299" s="14" t="n">
        <f aca="false">AVERAGE(D294:D316)</f>
        <v>18.0304347826087</v>
      </c>
      <c r="J299" s="8" t="n">
        <v>16.6</v>
      </c>
      <c r="K299" s="8" t="n">
        <v>495.6</v>
      </c>
      <c r="L299" s="8" t="n">
        <v>1.2</v>
      </c>
      <c r="M299" s="8" t="n">
        <v>446.8</v>
      </c>
      <c r="N299" s="8" t="n">
        <v>15.4</v>
      </c>
      <c r="O299" s="8" t="n">
        <f aca="false">O298+N299</f>
        <v>93.7</v>
      </c>
      <c r="P299" s="8" t="n">
        <v>294</v>
      </c>
      <c r="Q299" s="16" t="n">
        <f aca="false">1.15+((P299-268)/61)*(0.35-1.15)</f>
        <v>0.809016393442623</v>
      </c>
      <c r="R299" s="14" t="n">
        <f aca="false">Q299*L299</f>
        <v>0.970819672131147</v>
      </c>
      <c r="S299" s="14" t="n">
        <f aca="false">J299-R299</f>
        <v>15.6291803278689</v>
      </c>
      <c r="T299" s="14" t="n">
        <f aca="false">MIN(189.6,(T298+S299))</f>
        <v>59.1147677595627</v>
      </c>
      <c r="U299" s="8" t="n">
        <v>23</v>
      </c>
      <c r="V299" s="15" t="n">
        <v>671</v>
      </c>
      <c r="W299" s="8" t="n">
        <v>53.68</v>
      </c>
      <c r="X299" s="8" t="n">
        <v>250373.7</v>
      </c>
      <c r="Y299" s="8" t="n">
        <f aca="false">Y298+V299</f>
        <v>7427</v>
      </c>
      <c r="Z299" s="8" t="n">
        <v>2</v>
      </c>
      <c r="AA299" s="8" t="n">
        <v>16.315464885196</v>
      </c>
    </row>
    <row r="300" s="8" customFormat="true" ht="15" hidden="false" customHeight="false" outlineLevel="0" collapsed="false">
      <c r="A300" s="66"/>
      <c r="B300" s="10"/>
      <c r="C300" s="11" t="n">
        <v>42178</v>
      </c>
      <c r="D300" s="8" t="n">
        <v>12.9</v>
      </c>
      <c r="E300" s="8" t="n">
        <v>9.9</v>
      </c>
      <c r="F300" s="8" t="n">
        <v>15.8</v>
      </c>
      <c r="G300" s="8" t="n">
        <v>2710.9</v>
      </c>
      <c r="H300" s="8" t="n">
        <f aca="false">H299+D300</f>
        <v>102.7</v>
      </c>
      <c r="I300" s="67" t="s">
        <v>37</v>
      </c>
      <c r="J300" s="8" t="n">
        <v>0</v>
      </c>
      <c r="K300" s="8" t="n">
        <v>495.6</v>
      </c>
      <c r="L300" s="8" t="n">
        <v>2.8</v>
      </c>
      <c r="M300" s="8" t="n">
        <v>449.6</v>
      </c>
      <c r="N300" s="13" t="n">
        <v>-2.8</v>
      </c>
      <c r="O300" s="8" t="n">
        <f aca="false">O299+N300</f>
        <v>90.9</v>
      </c>
      <c r="P300" s="8" t="n">
        <v>295</v>
      </c>
      <c r="Q300" s="16" t="n">
        <f aca="false">1.15+((P300-268)/61)*(0.35-1.15)</f>
        <v>0.795901639344262</v>
      </c>
      <c r="R300" s="14" t="n">
        <f aca="false">Q300*L300</f>
        <v>2.22852459016393</v>
      </c>
      <c r="S300" s="14" t="n">
        <f aca="false">J300-R300</f>
        <v>-2.22852459016393</v>
      </c>
      <c r="T300" s="14" t="n">
        <f aca="false">MIN(189.6,(T299+S300))</f>
        <v>56.8862431693988</v>
      </c>
      <c r="U300" s="67" t="s">
        <v>38</v>
      </c>
      <c r="V300" s="8" t="n">
        <v>1906.9</v>
      </c>
      <c r="W300" s="8" t="n">
        <v>147.821705426357</v>
      </c>
      <c r="X300" s="8" t="n">
        <v>252280.6</v>
      </c>
      <c r="Y300" s="8" t="n">
        <f aca="false">Y299+V300</f>
        <v>9333.9</v>
      </c>
      <c r="AA300" s="8" t="n">
        <v>16.3146984911828</v>
      </c>
    </row>
    <row r="301" s="8" customFormat="true" ht="15" hidden="false" customHeight="false" outlineLevel="0" collapsed="false">
      <c r="A301" s="66"/>
      <c r="B301" s="10"/>
      <c r="C301" s="11" t="n">
        <v>42179</v>
      </c>
      <c r="D301" s="8" t="n">
        <v>15.6</v>
      </c>
      <c r="E301" s="8" t="n">
        <v>7.9</v>
      </c>
      <c r="F301" s="8" t="n">
        <v>21.1</v>
      </c>
      <c r="G301" s="8" t="n">
        <v>2726.5</v>
      </c>
      <c r="H301" s="8" t="n">
        <f aca="false">H300+D301</f>
        <v>118.3</v>
      </c>
      <c r="I301" s="8" t="n">
        <v>0</v>
      </c>
      <c r="J301" s="8" t="n">
        <v>0</v>
      </c>
      <c r="K301" s="8" t="n">
        <v>495.6</v>
      </c>
      <c r="L301" s="8" t="n">
        <v>2.4</v>
      </c>
      <c r="M301" s="8" t="n">
        <v>452</v>
      </c>
      <c r="N301" s="13" t="n">
        <v>-2.4</v>
      </c>
      <c r="O301" s="8" t="n">
        <f aca="false">O300+N301</f>
        <v>88.5</v>
      </c>
      <c r="P301" s="8" t="n">
        <v>296</v>
      </c>
      <c r="Q301" s="16" t="n">
        <f aca="false">1.15+((P301-268)/61)*(0.35-1.15)</f>
        <v>0.782786885245902</v>
      </c>
      <c r="R301" s="14" t="n">
        <f aca="false">Q301*L301</f>
        <v>1.87868852459016</v>
      </c>
      <c r="S301" s="14" t="n">
        <f aca="false">J301-R301</f>
        <v>-1.87868852459016</v>
      </c>
      <c r="T301" s="14" t="n">
        <f aca="false">MIN(189.6,(T300+S301))</f>
        <v>55.0075546448086</v>
      </c>
      <c r="U301" s="14" t="n">
        <f aca="false">MIN(T294:T316)</f>
        <v>17.3372267759562</v>
      </c>
      <c r="V301" s="8" t="n">
        <v>1513.8</v>
      </c>
      <c r="W301" s="8" t="n">
        <v>97.0384615384615</v>
      </c>
      <c r="X301" s="8" t="n">
        <v>253794.4</v>
      </c>
      <c r="Y301" s="8" t="n">
        <f aca="false">Y300+V301</f>
        <v>10847.7</v>
      </c>
      <c r="AA301" s="8" t="n">
        <v>16.3124005752277</v>
      </c>
    </row>
    <row r="302" s="8" customFormat="true" ht="15" hidden="false" customHeight="false" outlineLevel="0" collapsed="false">
      <c r="A302" s="66"/>
      <c r="B302" s="10"/>
      <c r="C302" s="11" t="n">
        <v>42180</v>
      </c>
      <c r="D302" s="8" t="n">
        <v>19.5</v>
      </c>
      <c r="E302" s="8" t="n">
        <v>13.2</v>
      </c>
      <c r="F302" s="17" t="n">
        <v>25.4</v>
      </c>
      <c r="G302" s="8" t="n">
        <v>2746</v>
      </c>
      <c r="H302" s="8" t="n">
        <f aca="false">H301+D302</f>
        <v>137.8</v>
      </c>
      <c r="I302" s="67" t="s">
        <v>39</v>
      </c>
      <c r="J302" s="8" t="n">
        <v>0</v>
      </c>
      <c r="K302" s="8" t="n">
        <v>495.6</v>
      </c>
      <c r="L302" s="8" t="n">
        <v>4.1</v>
      </c>
      <c r="M302" s="8" t="n">
        <v>456.1</v>
      </c>
      <c r="N302" s="13" t="n">
        <v>-4.1</v>
      </c>
      <c r="O302" s="8" t="n">
        <f aca="false">O301+N302</f>
        <v>84.4</v>
      </c>
      <c r="P302" s="8" t="n">
        <v>297</v>
      </c>
      <c r="Q302" s="16" t="n">
        <f aca="false">1.15+((P302-268)/61)*(0.35-1.15)</f>
        <v>0.769672131147541</v>
      </c>
      <c r="R302" s="14" t="n">
        <f aca="false">Q302*L302</f>
        <v>3.15565573770492</v>
      </c>
      <c r="S302" s="14" t="n">
        <f aca="false">J302-R302</f>
        <v>-3.15565573770492</v>
      </c>
      <c r="T302" s="14" t="n">
        <f aca="false">MIN(189.6,(T301+S302))</f>
        <v>51.8518989071037</v>
      </c>
      <c r="U302" s="67" t="s">
        <v>40</v>
      </c>
      <c r="V302" s="8" t="n">
        <v>2193.2</v>
      </c>
      <c r="W302" s="8" t="n">
        <v>112.471794871795</v>
      </c>
      <c r="X302" s="8" t="n">
        <v>255987.6</v>
      </c>
      <c r="Y302" s="8" t="n">
        <f aca="false">Y301+V302</f>
        <v>13040.9</v>
      </c>
      <c r="AA302" s="8" t="n">
        <v>16.3085742189409</v>
      </c>
    </row>
    <row r="303" s="8" customFormat="true" ht="15" hidden="false" customHeight="false" outlineLevel="0" collapsed="false">
      <c r="A303" s="66"/>
      <c r="B303" s="10"/>
      <c r="C303" s="11" t="n">
        <v>42181</v>
      </c>
      <c r="D303" s="8" t="n">
        <v>20.5</v>
      </c>
      <c r="E303" s="8" t="n">
        <v>14</v>
      </c>
      <c r="F303" s="17" t="n">
        <v>27</v>
      </c>
      <c r="G303" s="8" t="n">
        <v>2766.5</v>
      </c>
      <c r="H303" s="8" t="n">
        <f aca="false">H302+D303</f>
        <v>158.3</v>
      </c>
      <c r="I303" s="8" t="n">
        <v>7</v>
      </c>
      <c r="J303" s="8" t="n">
        <v>0</v>
      </c>
      <c r="K303" s="8" t="n">
        <v>495.6</v>
      </c>
      <c r="L303" s="8" t="n">
        <v>3.8</v>
      </c>
      <c r="M303" s="8" t="n">
        <v>459.9</v>
      </c>
      <c r="N303" s="13" t="n">
        <v>-3.8</v>
      </c>
      <c r="O303" s="8" t="n">
        <f aca="false">O302+N303</f>
        <v>80.6</v>
      </c>
      <c r="P303" s="8" t="n">
        <v>298</v>
      </c>
      <c r="Q303" s="16" t="n">
        <f aca="false">1.15+((P303-268)/61)*(0.35-1.15)</f>
        <v>0.75655737704918</v>
      </c>
      <c r="R303" s="14" t="n">
        <f aca="false">Q303*L303</f>
        <v>2.87491803278689</v>
      </c>
      <c r="S303" s="14" t="n">
        <f aca="false">J303-R303</f>
        <v>-2.87491803278689</v>
      </c>
      <c r="T303" s="14" t="n">
        <f aca="false">MIN(189.6,(T302+S303))</f>
        <v>48.9769808743168</v>
      </c>
      <c r="U303" s="14" t="n">
        <f aca="false">MAX(T294:T316)</f>
        <v>59.1147677595627</v>
      </c>
      <c r="V303" s="8" t="n">
        <v>1815.9</v>
      </c>
      <c r="W303" s="8" t="n">
        <v>88.5804878048781</v>
      </c>
      <c r="X303" s="8" t="n">
        <v>257803.5</v>
      </c>
      <c r="Y303" s="8" t="n">
        <f aca="false">Y302+V303</f>
        <v>14856.8</v>
      </c>
      <c r="AA303" s="8" t="n">
        <v>16.3032241657692</v>
      </c>
    </row>
    <row r="304" s="8" customFormat="true" ht="15" hidden="false" customHeight="false" outlineLevel="0" collapsed="false">
      <c r="A304" s="66"/>
      <c r="B304" s="10"/>
      <c r="C304" s="11" t="n">
        <v>42182</v>
      </c>
      <c r="D304" s="8" t="n">
        <v>17.2</v>
      </c>
      <c r="E304" s="8" t="n">
        <v>15.5</v>
      </c>
      <c r="F304" s="8" t="n">
        <v>20.7</v>
      </c>
      <c r="G304" s="8" t="n">
        <v>2783.7</v>
      </c>
      <c r="H304" s="8" t="n">
        <f aca="false">H303+D304</f>
        <v>175.5</v>
      </c>
      <c r="I304" s="67" t="s">
        <v>41</v>
      </c>
      <c r="J304" s="8" t="n">
        <v>0</v>
      </c>
      <c r="K304" s="8" t="n">
        <v>495.6</v>
      </c>
      <c r="L304" s="8" t="n">
        <v>5.4</v>
      </c>
      <c r="M304" s="8" t="n">
        <v>465.3</v>
      </c>
      <c r="N304" s="13" t="n">
        <v>-5.4</v>
      </c>
      <c r="O304" s="8" t="n">
        <f aca="false">O303+N304</f>
        <v>75.2</v>
      </c>
      <c r="P304" s="8" t="n">
        <v>299</v>
      </c>
      <c r="Q304" s="16" t="n">
        <f aca="false">1.15+((P304-268)/61)*(0.35-1.15)</f>
        <v>0.74344262295082</v>
      </c>
      <c r="R304" s="14" t="n">
        <f aca="false">Q304*L304</f>
        <v>4.01459016393443</v>
      </c>
      <c r="S304" s="14" t="n">
        <f aca="false">J304-R304</f>
        <v>-4.01459016393443</v>
      </c>
      <c r="T304" s="14" t="n">
        <f aca="false">MIN(189.6,(T303+S304))</f>
        <v>44.9623907103824</v>
      </c>
      <c r="U304" s="67" t="s">
        <v>42</v>
      </c>
      <c r="V304" s="8" t="n">
        <v>2757.4</v>
      </c>
      <c r="W304" s="8" t="n">
        <v>160.313953488372</v>
      </c>
      <c r="X304" s="8" t="n">
        <v>260560.9</v>
      </c>
      <c r="Y304" s="8" t="n">
        <f aca="false">Y303+V304</f>
        <v>17614.2</v>
      </c>
      <c r="AA304" s="8" t="n">
        <v>16.2963568014584</v>
      </c>
    </row>
    <row r="305" s="8" customFormat="true" ht="15" hidden="false" customHeight="false" outlineLevel="0" collapsed="false">
      <c r="A305" s="66"/>
      <c r="B305" s="10"/>
      <c r="C305" s="11" t="n">
        <v>42183</v>
      </c>
      <c r="D305" s="8" t="n">
        <v>18.4</v>
      </c>
      <c r="E305" s="8" t="n">
        <v>10.4</v>
      </c>
      <c r="F305" s="8" t="n">
        <v>24.5</v>
      </c>
      <c r="G305" s="8" t="n">
        <v>2802.1</v>
      </c>
      <c r="H305" s="8" t="n">
        <f aca="false">H304+D305</f>
        <v>193.9</v>
      </c>
      <c r="I305" s="8" t="n">
        <v>0</v>
      </c>
      <c r="J305" s="8" t="n">
        <v>0</v>
      </c>
      <c r="K305" s="8" t="n">
        <v>495.6</v>
      </c>
      <c r="L305" s="8" t="n">
        <v>4.4</v>
      </c>
      <c r="M305" s="8" t="n">
        <v>469.7</v>
      </c>
      <c r="N305" s="13" t="n">
        <v>-4.4</v>
      </c>
      <c r="O305" s="8" t="n">
        <f aca="false">O304+N305</f>
        <v>70.8</v>
      </c>
      <c r="P305" s="8" t="n">
        <v>300</v>
      </c>
      <c r="Q305" s="16" t="n">
        <f aca="false">1.15+((P305-268)/61)*(0.35-1.15)</f>
        <v>0.730327868852459</v>
      </c>
      <c r="R305" s="14" t="n">
        <f aca="false">Q305*L305</f>
        <v>3.21344262295082</v>
      </c>
      <c r="S305" s="14" t="n">
        <f aca="false">J305-R305</f>
        <v>-3.21344262295082</v>
      </c>
      <c r="T305" s="14" t="n">
        <f aca="false">MIN(189.6,(T304+S305))</f>
        <v>41.7489480874316</v>
      </c>
      <c r="U305" s="16" t="n">
        <f aca="false">AVERAGE(T294:T316)</f>
        <v>37.3132959135185</v>
      </c>
      <c r="V305" s="8" t="n">
        <v>2417.6</v>
      </c>
      <c r="W305" s="8" t="n">
        <v>131.391304347826</v>
      </c>
      <c r="X305" s="8" t="n">
        <v>262978.5</v>
      </c>
      <c r="Y305" s="8" t="n">
        <f aca="false">Y304+V305</f>
        <v>20031.8</v>
      </c>
      <c r="AA305" s="8" t="n">
        <v>16.2879801278877</v>
      </c>
    </row>
    <row r="306" s="8" customFormat="true" ht="15" hidden="false" customHeight="false" outlineLevel="0" collapsed="false">
      <c r="A306" s="66"/>
      <c r="B306" s="10"/>
      <c r="C306" s="11" t="n">
        <v>42184</v>
      </c>
      <c r="D306" s="8" t="n">
        <v>18.9</v>
      </c>
      <c r="E306" s="8" t="n">
        <v>14.6</v>
      </c>
      <c r="F306" s="8" t="n">
        <v>23.7</v>
      </c>
      <c r="G306" s="8" t="n">
        <v>2821</v>
      </c>
      <c r="H306" s="8" t="n">
        <f aca="false">H305+D306</f>
        <v>212.8</v>
      </c>
      <c r="I306" s="67" t="s">
        <v>43</v>
      </c>
      <c r="J306" s="8" t="n">
        <v>0</v>
      </c>
      <c r="K306" s="8" t="n">
        <v>495.6</v>
      </c>
      <c r="L306" s="8" t="n">
        <v>5.3</v>
      </c>
      <c r="M306" s="8" t="n">
        <v>475</v>
      </c>
      <c r="N306" s="13" t="n">
        <v>-5.3</v>
      </c>
      <c r="O306" s="8" t="n">
        <f aca="false">O305+N306</f>
        <v>65.5</v>
      </c>
      <c r="P306" s="8" t="n">
        <v>301</v>
      </c>
      <c r="Q306" s="16" t="n">
        <f aca="false">1.15+((P306-268)/61)*(0.35-1.15)</f>
        <v>0.717213114754098</v>
      </c>
      <c r="R306" s="14" t="n">
        <f aca="false">Q306*L306</f>
        <v>3.80122950819672</v>
      </c>
      <c r="S306" s="14" t="n">
        <f aca="false">J306-R306</f>
        <v>-3.80122950819672</v>
      </c>
      <c r="T306" s="14" t="n">
        <f aca="false">MIN(189.6,(T305+S306))</f>
        <v>37.9477185792349</v>
      </c>
      <c r="U306" s="8" t="n">
        <f aca="false">(U305*100)/189.6</f>
        <v>19.680008393206</v>
      </c>
      <c r="V306" s="8" t="n">
        <v>2792</v>
      </c>
      <c r="W306" s="8" t="n">
        <v>147.724867724868</v>
      </c>
      <c r="X306" s="8" t="n">
        <v>265770.5</v>
      </c>
      <c r="Y306" s="8" t="n">
        <f aca="false">Y305+V306</f>
        <v>22823.8</v>
      </c>
      <c r="AA306" s="8" t="n">
        <v>16.2781037304994</v>
      </c>
    </row>
    <row r="307" s="8" customFormat="true" ht="15" hidden="false" customHeight="false" outlineLevel="0" collapsed="false">
      <c r="A307" s="66"/>
      <c r="B307" s="10"/>
      <c r="C307" s="11" t="n">
        <v>42185</v>
      </c>
      <c r="D307" s="8" t="n">
        <v>21.7</v>
      </c>
      <c r="E307" s="8" t="n">
        <v>12.6</v>
      </c>
      <c r="F307" s="17" t="n">
        <v>29.4</v>
      </c>
      <c r="G307" s="8" t="n">
        <v>2842.7</v>
      </c>
      <c r="H307" s="8" t="n">
        <f aca="false">H306+D307</f>
        <v>234.5</v>
      </c>
      <c r="I307" s="8" t="n">
        <v>414.7</v>
      </c>
      <c r="J307" s="8" t="n">
        <v>0</v>
      </c>
      <c r="K307" s="8" t="n">
        <v>495.6</v>
      </c>
      <c r="L307" s="8" t="n">
        <v>6.8</v>
      </c>
      <c r="M307" s="8" t="n">
        <v>481.8</v>
      </c>
      <c r="N307" s="13" t="n">
        <v>-6.8</v>
      </c>
      <c r="O307" s="8" t="n">
        <f aca="false">O306+N307</f>
        <v>58.7</v>
      </c>
      <c r="P307" s="8" t="n">
        <v>302</v>
      </c>
      <c r="Q307" s="16" t="n">
        <f aca="false">1.15+((P307-268)/61)*(0.35-1.15)</f>
        <v>0.704098360655738</v>
      </c>
      <c r="R307" s="14" t="n">
        <f aca="false">Q307*L307</f>
        <v>4.78786885245902</v>
      </c>
      <c r="S307" s="14" t="n">
        <f aca="false">J307-R307</f>
        <v>-4.78786885245902</v>
      </c>
      <c r="T307" s="14" t="n">
        <f aca="false">MIN(189.6,(T306+S307))</f>
        <v>33.1598497267758</v>
      </c>
      <c r="V307" s="8" t="n">
        <v>3105.8</v>
      </c>
      <c r="W307" s="8" t="n">
        <v>143.124423963134</v>
      </c>
      <c r="X307" s="8" t="n">
        <v>268876.3</v>
      </c>
      <c r="Y307" s="8" t="n">
        <f aca="false">Y306+V307</f>
        <v>25929.6</v>
      </c>
      <c r="AA307" s="8" t="n">
        <v>16.266738739605</v>
      </c>
    </row>
    <row r="308" s="8" customFormat="true" ht="15" hidden="false" customHeight="false" outlineLevel="0" collapsed="false">
      <c r="A308" s="66"/>
      <c r="B308" s="10"/>
      <c r="C308" s="11" t="n">
        <v>42186</v>
      </c>
      <c r="D308" s="8" t="n">
        <v>25.8</v>
      </c>
      <c r="E308" s="8" t="n">
        <v>14.9</v>
      </c>
      <c r="F308" s="17" t="n">
        <v>33.4</v>
      </c>
      <c r="G308" s="8" t="n">
        <v>2868.5</v>
      </c>
      <c r="H308" s="8" t="n">
        <f aca="false">H307+D308</f>
        <v>260.3</v>
      </c>
      <c r="J308" s="8" t="n">
        <v>0</v>
      </c>
      <c r="K308" s="8" t="n">
        <v>495.6</v>
      </c>
      <c r="L308" s="8" t="n">
        <v>6.9</v>
      </c>
      <c r="M308" s="8" t="n">
        <v>488.7</v>
      </c>
      <c r="N308" s="13" t="n">
        <v>-6.9</v>
      </c>
      <c r="O308" s="8" t="n">
        <f aca="false">O307+N308</f>
        <v>51.8</v>
      </c>
      <c r="P308" s="8" t="n">
        <v>303</v>
      </c>
      <c r="Q308" s="16" t="n">
        <f aca="false">1.15+((P308-268)/61)*(0.35-1.15)</f>
        <v>0.690983606557377</v>
      </c>
      <c r="R308" s="14" t="n">
        <f aca="false">Q308*L308</f>
        <v>4.7677868852459</v>
      </c>
      <c r="S308" s="14" t="n">
        <f aca="false">J308-R308</f>
        <v>-4.7677868852459</v>
      </c>
      <c r="T308" s="14" t="n">
        <f aca="false">MIN(189.6,(T307+S308))</f>
        <v>28.3920628415299</v>
      </c>
      <c r="V308" s="8" t="n">
        <v>2972</v>
      </c>
      <c r="W308" s="8" t="n">
        <v>115.193798449612</v>
      </c>
      <c r="X308" s="8" t="n">
        <v>271848.3</v>
      </c>
      <c r="Y308" s="8" t="n">
        <f aca="false">Y307+V308</f>
        <v>28901.6</v>
      </c>
      <c r="AA308" s="8" t="n">
        <v>16.2538977858922</v>
      </c>
    </row>
    <row r="309" s="8" customFormat="true" ht="15" hidden="false" customHeight="false" outlineLevel="0" collapsed="false">
      <c r="A309" s="66"/>
      <c r="B309" s="10"/>
      <c r="C309" s="11" t="n">
        <v>42187</v>
      </c>
      <c r="D309" s="8" t="n">
        <v>22</v>
      </c>
      <c r="E309" s="8" t="n">
        <v>18.6</v>
      </c>
      <c r="F309" s="17" t="n">
        <v>26.4</v>
      </c>
      <c r="G309" s="8" t="n">
        <v>2890.5</v>
      </c>
      <c r="H309" s="8" t="n">
        <f aca="false">H308+D309</f>
        <v>282.3</v>
      </c>
      <c r="J309" s="8" t="n">
        <v>4.2</v>
      </c>
      <c r="K309" s="8" t="n">
        <v>499.8</v>
      </c>
      <c r="L309" s="8" t="n">
        <v>5.4</v>
      </c>
      <c r="M309" s="8" t="n">
        <v>494.1</v>
      </c>
      <c r="N309" s="13" t="n">
        <v>-1.2</v>
      </c>
      <c r="O309" s="8" t="n">
        <f aca="false">O308+N309</f>
        <v>50.6</v>
      </c>
      <c r="P309" s="8" t="n">
        <v>304</v>
      </c>
      <c r="Q309" s="16" t="n">
        <f aca="false">1.15+((P309-268)/61)*(0.35-1.15)</f>
        <v>0.677868852459016</v>
      </c>
      <c r="R309" s="14" t="n">
        <f aca="false">Q309*L309</f>
        <v>3.66049180327869</v>
      </c>
      <c r="S309" s="14" t="n">
        <f aca="false">J309-R309</f>
        <v>0.539508196721311</v>
      </c>
      <c r="T309" s="14" t="n">
        <f aca="false">MIN(189.6,(T308+S309))</f>
        <v>28.9315710382513</v>
      </c>
      <c r="V309" s="8" t="n">
        <v>2555.5</v>
      </c>
      <c r="W309" s="8" t="n">
        <v>116.159090909091</v>
      </c>
      <c r="X309" s="8" t="n">
        <v>274403.8</v>
      </c>
      <c r="Y309" s="8" t="n">
        <f aca="false">Y308+V309</f>
        <v>31457.1</v>
      </c>
      <c r="AA309" s="8" t="n">
        <v>16.2395949505057</v>
      </c>
    </row>
    <row r="310" s="8" customFormat="true" ht="15" hidden="false" customHeight="false" outlineLevel="0" collapsed="false">
      <c r="A310" s="66"/>
      <c r="B310" s="10"/>
      <c r="C310" s="11" t="n">
        <v>42188</v>
      </c>
      <c r="D310" s="8" t="n">
        <v>23.9</v>
      </c>
      <c r="E310" s="8" t="n">
        <v>16.6</v>
      </c>
      <c r="F310" s="17" t="n">
        <v>30.4</v>
      </c>
      <c r="G310" s="8" t="n">
        <v>2914.4</v>
      </c>
      <c r="H310" s="8" t="n">
        <f aca="false">H309+D310</f>
        <v>306.2</v>
      </c>
      <c r="J310" s="8" t="n">
        <v>0</v>
      </c>
      <c r="K310" s="8" t="n">
        <v>499.8</v>
      </c>
      <c r="L310" s="8" t="n">
        <v>6</v>
      </c>
      <c r="M310" s="8" t="n">
        <v>500.1</v>
      </c>
      <c r="N310" s="13" t="n">
        <v>-6</v>
      </c>
      <c r="O310" s="8" t="n">
        <f aca="false">O309+N310</f>
        <v>44.6</v>
      </c>
      <c r="P310" s="8" t="n">
        <v>305</v>
      </c>
      <c r="Q310" s="16" t="n">
        <f aca="false">1.15+((P310-268)/61)*(0.35-1.15)</f>
        <v>0.664754098360656</v>
      </c>
      <c r="R310" s="14" t="n">
        <f aca="false">Q310*L310</f>
        <v>3.98852459016393</v>
      </c>
      <c r="S310" s="14" t="n">
        <f aca="false">J310-R310</f>
        <v>-3.98852459016393</v>
      </c>
      <c r="T310" s="14" t="n">
        <f aca="false">MIN(189.6,(T309+S310))</f>
        <v>24.9430464480873</v>
      </c>
      <c r="V310" s="8" t="n">
        <v>2798.2</v>
      </c>
      <c r="W310" s="8" t="n">
        <v>117.07949790795</v>
      </c>
      <c r="X310" s="8" t="n">
        <v>277202</v>
      </c>
      <c r="Y310" s="8" t="n">
        <f aca="false">Y309+V310</f>
        <v>34255.3</v>
      </c>
      <c r="AA310" s="8" t="n">
        <v>16.2238457101089</v>
      </c>
    </row>
    <row r="311" s="48" customFormat="true" ht="15" hidden="false" customHeight="false" outlineLevel="0" collapsed="false">
      <c r="A311" s="66"/>
      <c r="B311" s="47"/>
      <c r="C311" s="11" t="n">
        <v>42189</v>
      </c>
      <c r="D311" s="48" t="n">
        <v>23.3</v>
      </c>
      <c r="E311" s="48" t="n">
        <v>22.1</v>
      </c>
      <c r="F311" s="48" t="n">
        <v>26.2</v>
      </c>
      <c r="G311" s="48" t="n">
        <v>2937.7</v>
      </c>
      <c r="H311" s="48" t="n">
        <f aca="false">H310+D311</f>
        <v>329.5</v>
      </c>
      <c r="J311" s="48" t="n">
        <v>0</v>
      </c>
      <c r="K311" s="48" t="n">
        <v>499.8</v>
      </c>
      <c r="L311" s="48" t="n">
        <v>4.1</v>
      </c>
      <c r="M311" s="48" t="n">
        <v>504.2</v>
      </c>
      <c r="N311" s="48" t="n">
        <v>-4.1</v>
      </c>
      <c r="O311" s="48" t="n">
        <f aca="false">O310+N311</f>
        <v>40.5</v>
      </c>
      <c r="P311" s="48" t="n">
        <v>306</v>
      </c>
      <c r="Q311" s="16" t="n">
        <f aca="false">1.15+((P311-268)/61)*(0.35-1.15)</f>
        <v>0.651639344262295</v>
      </c>
      <c r="R311" s="49" t="n">
        <f aca="false">Q311*L311</f>
        <v>2.67172131147541</v>
      </c>
      <c r="S311" s="49" t="n">
        <f aca="false">J311-R311</f>
        <v>-2.67172131147541</v>
      </c>
      <c r="T311" s="14" t="n">
        <f aca="false">MIN(189.6,(T310+S311))</f>
        <v>22.2713251366119</v>
      </c>
      <c r="V311" s="48" t="n">
        <v>1741.8</v>
      </c>
      <c r="W311" s="48" t="n">
        <v>74.755364806867</v>
      </c>
      <c r="X311" s="48" t="n">
        <v>278943.8</v>
      </c>
      <c r="Y311" s="8" t="n">
        <f aca="false">Y310+V311</f>
        <v>35997.1</v>
      </c>
      <c r="AA311" s="8" t="n">
        <v>16.2066668773704</v>
      </c>
    </row>
    <row r="312" s="8" customFormat="true" ht="15" hidden="false" customHeight="false" outlineLevel="0" collapsed="false">
      <c r="A312" s="66"/>
      <c r="B312" s="68"/>
      <c r="C312" s="11" t="n">
        <v>42190</v>
      </c>
      <c r="D312" s="8" t="n">
        <v>17.4</v>
      </c>
      <c r="E312" s="8" t="n">
        <v>16.5</v>
      </c>
      <c r="F312" s="8" t="n">
        <v>19.3</v>
      </c>
      <c r="G312" s="8" t="n">
        <v>2955.1</v>
      </c>
      <c r="H312" s="8" t="n">
        <f aca="false">H311+D312</f>
        <v>346.9</v>
      </c>
      <c r="J312" s="8" t="n">
        <v>0</v>
      </c>
      <c r="K312" s="8" t="n">
        <v>499.8</v>
      </c>
      <c r="L312" s="8" t="n">
        <v>3.1</v>
      </c>
      <c r="M312" s="8" t="n">
        <v>507.3</v>
      </c>
      <c r="N312" s="13" t="n">
        <v>-3.1</v>
      </c>
      <c r="O312" s="8" t="n">
        <f aca="false">O311+N312</f>
        <v>37.4</v>
      </c>
      <c r="P312" s="8" t="n">
        <v>307</v>
      </c>
      <c r="Q312" s="16" t="n">
        <f aca="false">1.15+((P312-268)/61)*(0.35-1.15)</f>
        <v>0.638524590163934</v>
      </c>
      <c r="R312" s="14" t="n">
        <f aca="false">Q312*L312</f>
        <v>1.9794262295082</v>
      </c>
      <c r="S312" s="14" t="n">
        <f aca="false">J312-R312</f>
        <v>-1.9794262295082</v>
      </c>
      <c r="T312" s="14" t="n">
        <f aca="false">MIN(189.6,(T311+S312))</f>
        <v>20.2918989071037</v>
      </c>
      <c r="V312" s="8" t="n">
        <v>1513.7</v>
      </c>
      <c r="W312" s="8" t="n">
        <v>86.9942528735632</v>
      </c>
      <c r="X312" s="8" t="n">
        <v>280457.5</v>
      </c>
      <c r="Y312" s="8" t="n">
        <f aca="false">Y311+V312</f>
        <v>37510.8</v>
      </c>
      <c r="AA312" s="8" t="n">
        <v>16.188076537342</v>
      </c>
    </row>
    <row r="313" s="8" customFormat="true" ht="15" hidden="false" customHeight="false" outlineLevel="0" collapsed="false">
      <c r="A313" s="66"/>
      <c r="B313" s="68"/>
      <c r="C313" s="11" t="n">
        <v>42191</v>
      </c>
      <c r="D313" s="8" t="n">
        <v>19.9</v>
      </c>
      <c r="E313" s="8" t="n">
        <v>11.2</v>
      </c>
      <c r="F313" s="17" t="n">
        <v>27.3</v>
      </c>
      <c r="G313" s="8" t="n">
        <v>2975</v>
      </c>
      <c r="H313" s="8" t="n">
        <f aca="false">H312+D313</f>
        <v>366.8</v>
      </c>
      <c r="J313" s="8" t="n">
        <v>0</v>
      </c>
      <c r="K313" s="8" t="n">
        <v>499.8</v>
      </c>
      <c r="L313" s="8" t="n">
        <v>4.7</v>
      </c>
      <c r="M313" s="8" t="n">
        <v>512</v>
      </c>
      <c r="N313" s="13" t="n">
        <v>-4.7</v>
      </c>
      <c r="O313" s="8" t="n">
        <f aca="false">O312+N313</f>
        <v>32.7</v>
      </c>
      <c r="P313" s="8" t="n">
        <v>308</v>
      </c>
      <c r="Q313" s="16" t="n">
        <f aca="false">1.15+((P313-268)/61)*(0.35-1.15)</f>
        <v>0.625409836065574</v>
      </c>
      <c r="R313" s="14" t="n">
        <f aca="false">Q313*L313</f>
        <v>2.9394262295082</v>
      </c>
      <c r="S313" s="14" t="n">
        <f aca="false">J313-R313</f>
        <v>-2.9394262295082</v>
      </c>
      <c r="T313" s="14" t="n">
        <f aca="false">MIN(189.6,(T312+S313))</f>
        <v>17.3524726775955</v>
      </c>
      <c r="V313" s="8" t="n">
        <v>2306.4</v>
      </c>
      <c r="W313" s="8" t="n">
        <v>115.899497487437</v>
      </c>
      <c r="X313" s="8" t="n">
        <v>282763.9</v>
      </c>
      <c r="Y313" s="8" t="n">
        <f aca="false">Y312+V313</f>
        <v>39817.2</v>
      </c>
      <c r="AA313" s="8" t="n">
        <v>16.1680939802181</v>
      </c>
    </row>
    <row r="314" s="8" customFormat="true" ht="15" hidden="false" customHeight="false" outlineLevel="0" collapsed="false">
      <c r="A314" s="66"/>
      <c r="B314" s="68"/>
      <c r="C314" s="11" t="n">
        <v>42192</v>
      </c>
      <c r="D314" s="8" t="n">
        <v>17.3</v>
      </c>
      <c r="E314" s="8" t="n">
        <v>14.3</v>
      </c>
      <c r="F314" s="8" t="n">
        <v>22.7</v>
      </c>
      <c r="G314" s="8" t="n">
        <v>2992.3</v>
      </c>
      <c r="H314" s="8" t="n">
        <f aca="false">H313+D314</f>
        <v>384.1</v>
      </c>
      <c r="J314" s="8" t="n">
        <v>3.8</v>
      </c>
      <c r="K314" s="8" t="n">
        <v>503.6</v>
      </c>
      <c r="L314" s="8" t="n">
        <v>2.9</v>
      </c>
      <c r="M314" s="8" t="n">
        <v>514.9</v>
      </c>
      <c r="N314" s="8" t="n">
        <v>0.9</v>
      </c>
      <c r="O314" s="8" t="n">
        <f aca="false">O313+N314</f>
        <v>33.6</v>
      </c>
      <c r="P314" s="8" t="n">
        <v>309</v>
      </c>
      <c r="Q314" s="16" t="n">
        <f aca="false">1.15+((P314-268)/61)*(0.35-1.15)</f>
        <v>0.612295081967213</v>
      </c>
      <c r="R314" s="14" t="n">
        <f aca="false">Q314*L314</f>
        <v>1.77565573770492</v>
      </c>
      <c r="S314" s="14" t="n">
        <f aca="false">J314-R314</f>
        <v>2.02434426229508</v>
      </c>
      <c r="T314" s="14" t="n">
        <f aca="false">MIN(189.6,(T313+S314))</f>
        <v>19.3768169398906</v>
      </c>
      <c r="V314" s="8" t="n">
        <v>1209.2</v>
      </c>
      <c r="W314" s="8" t="n">
        <v>69.8959537572254</v>
      </c>
      <c r="X314" s="8" t="n">
        <v>283973.1</v>
      </c>
      <c r="Y314" s="8" t="n">
        <f aca="false">Y313+V314</f>
        <v>41026.4</v>
      </c>
      <c r="AA314" s="8" t="n">
        <v>16.1467396309795</v>
      </c>
    </row>
    <row r="315" s="8" customFormat="true" ht="15" hidden="false" customHeight="false" outlineLevel="0" collapsed="false">
      <c r="A315" s="66"/>
      <c r="B315" s="68"/>
      <c r="C315" s="11" t="n">
        <v>42193</v>
      </c>
      <c r="D315" s="8" t="n">
        <v>15.3</v>
      </c>
      <c r="E315" s="8" t="n">
        <v>12.2</v>
      </c>
      <c r="F315" s="8" t="n">
        <v>17.9</v>
      </c>
      <c r="G315" s="8" t="n">
        <v>3007.6</v>
      </c>
      <c r="H315" s="8" t="n">
        <f aca="false">H314+D315</f>
        <v>399.4</v>
      </c>
      <c r="J315" s="8" t="n">
        <v>1.8</v>
      </c>
      <c r="K315" s="8" t="n">
        <v>505.4</v>
      </c>
      <c r="L315" s="8" t="n">
        <v>2.3</v>
      </c>
      <c r="M315" s="8" t="n">
        <v>517.2</v>
      </c>
      <c r="N315" s="13" t="n">
        <v>-0.5</v>
      </c>
      <c r="O315" s="8" t="n">
        <f aca="false">O314+N315</f>
        <v>33.1</v>
      </c>
      <c r="P315" s="8" t="n">
        <v>310</v>
      </c>
      <c r="Q315" s="16" t="n">
        <f aca="false">1.15+((P315-268)/61)*(0.35-1.15)</f>
        <v>0.599180327868852</v>
      </c>
      <c r="R315" s="14" t="n">
        <f aca="false">Q315*L315</f>
        <v>1.37811475409836</v>
      </c>
      <c r="S315" s="14" t="n">
        <f aca="false">J315-R315</f>
        <v>0.42188524590164</v>
      </c>
      <c r="T315" s="14" t="n">
        <f aca="false">MIN(189.6,(T314+S315))</f>
        <v>19.7987021857922</v>
      </c>
      <c r="V315" s="8" t="n">
        <v>1092.1</v>
      </c>
      <c r="W315" s="8" t="n">
        <v>71.3790849673203</v>
      </c>
      <c r="X315" s="8" t="n">
        <v>285065.2</v>
      </c>
      <c r="Y315" s="8" t="n">
        <f aca="false">Y314+V315</f>
        <v>42118.5</v>
      </c>
      <c r="AA315" s="8" t="n">
        <v>16.1240349764324</v>
      </c>
    </row>
    <row r="316" s="42" customFormat="true" ht="15" hidden="false" customHeight="false" outlineLevel="0" collapsed="false">
      <c r="A316" s="66"/>
      <c r="B316" s="51" t="n">
        <v>1000</v>
      </c>
      <c r="C316" s="52" t="n">
        <v>42194</v>
      </c>
      <c r="D316" s="42" t="n">
        <v>15.3</v>
      </c>
      <c r="E316" s="42" t="n">
        <v>13.4</v>
      </c>
      <c r="F316" s="42" t="n">
        <v>18.9</v>
      </c>
      <c r="G316" s="42" t="n">
        <v>3022.9</v>
      </c>
      <c r="H316" s="42" t="n">
        <f aca="false">H315+D316</f>
        <v>414.7</v>
      </c>
      <c r="J316" s="42" t="n">
        <v>0</v>
      </c>
      <c r="K316" s="42" t="n">
        <v>505.4</v>
      </c>
      <c r="L316" s="42" t="n">
        <v>4.2</v>
      </c>
      <c r="M316" s="42" t="n">
        <v>521.4</v>
      </c>
      <c r="N316" s="54" t="n">
        <v>-4.2</v>
      </c>
      <c r="O316" s="42" t="n">
        <f aca="false">O315+N316</f>
        <v>28.9</v>
      </c>
      <c r="P316" s="42" t="n">
        <v>311</v>
      </c>
      <c r="Q316" s="16" t="n">
        <f aca="false">1.15+((P316-268)/61)*(0.35-1.15)</f>
        <v>0.586065573770492</v>
      </c>
      <c r="R316" s="43" t="n">
        <f aca="false">Q316*L316</f>
        <v>2.46147540983607</v>
      </c>
      <c r="S316" s="43" t="n">
        <f aca="false">J316-R316</f>
        <v>-2.46147540983607</v>
      </c>
      <c r="T316" s="14" t="n">
        <f aca="false">MIN(189.6,(T315+S316))</f>
        <v>17.3372267759562</v>
      </c>
      <c r="V316" s="42" t="n">
        <v>2118.7</v>
      </c>
      <c r="W316" s="42" t="n">
        <v>138.477124183007</v>
      </c>
      <c r="X316" s="42" t="n">
        <v>287183.9</v>
      </c>
      <c r="Y316" s="8" t="n">
        <f aca="false">Y315+V316</f>
        <v>44237.2</v>
      </c>
      <c r="AA316" s="8" t="n">
        <v>16.100002490156</v>
      </c>
    </row>
    <row r="317" customFormat="false" ht="15" hidden="false" customHeight="true" outlineLevel="0" collapsed="false">
      <c r="A317" s="0" t="s">
        <v>57</v>
      </c>
      <c r="B317" s="0" t="s">
        <v>57</v>
      </c>
      <c r="C317" s="0" t="s">
        <v>57</v>
      </c>
      <c r="D317" s="0" t="s">
        <v>57</v>
      </c>
      <c r="E317" s="0" t="s">
        <v>57</v>
      </c>
      <c r="F317" s="0" t="s">
        <v>57</v>
      </c>
      <c r="G317" s="0" t="s">
        <v>57</v>
      </c>
      <c r="H317" s="0" t="s">
        <v>57</v>
      </c>
      <c r="I317" s="0" t="s">
        <v>57</v>
      </c>
      <c r="J317" s="0" t="s">
        <v>57</v>
      </c>
      <c r="K317" s="0" t="s">
        <v>57</v>
      </c>
    </row>
  </sheetData>
  <mergeCells count="13">
    <mergeCell ref="D1:I2"/>
    <mergeCell ref="J1:U2"/>
    <mergeCell ref="V1:Z2"/>
    <mergeCell ref="P3:T3"/>
    <mergeCell ref="G4:H4"/>
    <mergeCell ref="X4:Y4"/>
    <mergeCell ref="A5:Z5"/>
    <mergeCell ref="A6:A94"/>
    <mergeCell ref="A95:A192"/>
    <mergeCell ref="A193:A228"/>
    <mergeCell ref="A250:A273"/>
    <mergeCell ref="A274:A293"/>
    <mergeCell ref="A294:A316"/>
  </mergeCells>
  <conditionalFormatting sqref="T5:T316">
    <cfRule type="cellIs" priority="2" operator="equal" aboveAverage="0" equalAverage="0" bottom="0" percent="0" rank="0" text="" dxfId="0">
      <formula>0</formula>
    </cfRule>
    <cfRule type="cellIs" priority="3" operator="lessThanOrEqual" aboveAverage="0" equalAverage="0" bottom="0" percent="0" rank="0" text="" dxfId="1">
      <formula>63.2</formula>
    </cfRule>
  </conditionalFormatting>
  <conditionalFormatting sqref="S6:S316">
    <cfRule type="cellIs" priority="4" operator="lessThanOrEqual" aboveAverage="0" equalAverage="0" bottom="0" percent="0" rank="0" text="" dxfId="2">
      <formula>0</formula>
    </cfRule>
  </conditionalFormatting>
  <conditionalFormatting sqref="T1:T4">
    <cfRule type="cellIs" priority="5" operator="equal" aboveAverage="0" equalAverage="0" bottom="0" percent="0" rank="0" text="" dxfId="3">
      <formula>0</formula>
    </cfRule>
    <cfRule type="cellIs" priority="6" operator="lessThanOrEqual" aboveAverage="0" equalAverage="0" bottom="0" percent="0" rank="0" text="" dxfId="4">
      <formula>63.2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AB316"/>
  <sheetViews>
    <sheetView showFormulas="false" showGridLines="true" showRowColHeaders="true" showZeros="true" rightToLeft="false" tabSelected="false" showOutlineSymbols="true" defaultGridColor="true" view="normal" topLeftCell="A166" colorId="64" zoomScale="70" zoomScaleNormal="70" zoomScalePageLayoutView="100" workbookViewId="0">
      <selection pane="topLeft" activeCell="AB189" activeCellId="0" sqref="AB189"/>
    </sheetView>
  </sheetViews>
  <sheetFormatPr defaultColWidth="10.54296875" defaultRowHeight="15" customHeight="true" zeroHeight="false" outlineLevelRow="0" outlineLevelCol="0"/>
  <sheetData>
    <row r="1" customFormat="false" ht="15" hidden="false" customHeight="false" outlineLevel="0" collapsed="false">
      <c r="B1" s="1"/>
      <c r="D1" s="2" t="s">
        <v>0</v>
      </c>
      <c r="E1" s="2"/>
      <c r="F1" s="2"/>
      <c r="G1" s="2"/>
      <c r="H1" s="2"/>
      <c r="I1" s="2"/>
      <c r="J1" s="2" t="s">
        <v>1</v>
      </c>
      <c r="K1" s="2"/>
      <c r="L1" s="2"/>
      <c r="M1" s="2"/>
      <c r="N1" s="2"/>
      <c r="O1" s="2"/>
      <c r="P1" s="2"/>
      <c r="Q1" s="2"/>
      <c r="R1" s="2"/>
      <c r="S1" s="2"/>
      <c r="T1" s="2"/>
      <c r="U1" s="2"/>
      <c r="V1" s="2" t="s">
        <v>2</v>
      </c>
      <c r="W1" s="2"/>
      <c r="X1" s="2"/>
      <c r="Y1" s="2"/>
      <c r="Z1" s="2"/>
    </row>
    <row r="2" customFormat="false" ht="15" hidden="false" customHeight="false" outlineLevel="0" collapsed="false">
      <c r="B2" s="1"/>
      <c r="C2" s="3"/>
      <c r="D2" s="2"/>
      <c r="E2" s="2"/>
      <c r="F2" s="2"/>
      <c r="G2" s="2"/>
      <c r="H2" s="2"/>
      <c r="I2" s="2"/>
      <c r="J2" s="2"/>
      <c r="K2" s="2"/>
      <c r="L2" s="2"/>
      <c r="M2" s="2"/>
      <c r="N2" s="2"/>
      <c r="O2" s="2"/>
      <c r="P2" s="2"/>
      <c r="Q2" s="2"/>
      <c r="R2" s="2"/>
      <c r="S2" s="2"/>
      <c r="T2" s="2"/>
      <c r="U2" s="2"/>
      <c r="V2" s="2"/>
      <c r="W2" s="2"/>
      <c r="X2" s="2"/>
      <c r="Y2" s="2"/>
      <c r="Z2" s="2"/>
    </row>
    <row r="3" customFormat="false" ht="15" hidden="false" customHeight="false" outlineLevel="0" collapsed="false">
      <c r="B3" s="1"/>
      <c r="C3" s="3"/>
      <c r="D3" s="4"/>
      <c r="E3" s="4"/>
      <c r="F3" s="4"/>
      <c r="G3" s="4"/>
      <c r="H3" s="4"/>
      <c r="I3" s="4"/>
      <c r="J3" s="4"/>
      <c r="K3" s="4"/>
      <c r="L3" s="4"/>
      <c r="M3" s="4"/>
      <c r="N3" s="4"/>
      <c r="O3" s="4"/>
      <c r="P3" s="2" t="s">
        <v>3</v>
      </c>
      <c r="Q3" s="2"/>
      <c r="R3" s="2"/>
      <c r="S3" s="2"/>
      <c r="T3" s="2"/>
      <c r="U3" s="4"/>
      <c r="V3" s="4"/>
      <c r="W3" s="4"/>
      <c r="X3" s="4"/>
      <c r="Y3" s="4"/>
      <c r="Z3" s="4"/>
    </row>
    <row r="4" customFormat="false" ht="15" hidden="false" customHeight="false" outlineLevel="0" collapsed="false">
      <c r="A4" s="1" t="s">
        <v>4</v>
      </c>
      <c r="B4" s="1" t="n">
        <v>5</v>
      </c>
      <c r="C4" s="1" t="s">
        <v>5</v>
      </c>
      <c r="D4" s="1" t="s">
        <v>6</v>
      </c>
      <c r="E4" s="1" t="s">
        <v>7</v>
      </c>
      <c r="F4" s="1" t="s">
        <v>8</v>
      </c>
      <c r="G4" s="5" t="s">
        <v>9</v>
      </c>
      <c r="H4" s="5"/>
      <c r="I4" s="1" t="s">
        <v>10</v>
      </c>
      <c r="J4" s="1" t="s">
        <v>58</v>
      </c>
      <c r="K4" s="1" t="s">
        <v>12</v>
      </c>
      <c r="L4" s="1" t="s">
        <v>13</v>
      </c>
      <c r="M4" s="1" t="s">
        <v>14</v>
      </c>
      <c r="N4" s="1" t="s">
        <v>15</v>
      </c>
      <c r="O4" s="1" t="s">
        <v>59</v>
      </c>
      <c r="P4" s="1" t="s">
        <v>17</v>
      </c>
      <c r="Q4" s="1" t="s">
        <v>18</v>
      </c>
      <c r="R4" s="1" t="s">
        <v>19</v>
      </c>
      <c r="S4" s="1" t="s">
        <v>20</v>
      </c>
      <c r="T4" s="6" t="s">
        <v>21</v>
      </c>
      <c r="U4" s="1" t="s">
        <v>10</v>
      </c>
      <c r="V4" s="1" t="s">
        <v>22</v>
      </c>
      <c r="W4" s="1" t="s">
        <v>23</v>
      </c>
      <c r="X4" s="5" t="s">
        <v>24</v>
      </c>
      <c r="Y4" s="5"/>
      <c r="Z4" s="1" t="s">
        <v>10</v>
      </c>
    </row>
    <row r="5" s="8" customFormat="true" ht="15" hidden="false" customHeight="false" outlineLevel="0" collapsed="false">
      <c r="A5" s="7" t="s">
        <v>26</v>
      </c>
      <c r="B5" s="7"/>
      <c r="C5" s="7"/>
      <c r="D5" s="7"/>
      <c r="E5" s="7"/>
      <c r="F5" s="7"/>
      <c r="G5" s="7"/>
      <c r="H5" s="7"/>
      <c r="I5" s="7"/>
      <c r="J5" s="7"/>
      <c r="K5" s="7"/>
      <c r="L5" s="7"/>
      <c r="M5" s="7"/>
      <c r="N5" s="7"/>
      <c r="O5" s="7"/>
      <c r="P5" s="7"/>
      <c r="Q5" s="7"/>
      <c r="R5" s="7"/>
      <c r="S5" s="7"/>
      <c r="T5" s="7"/>
      <c r="U5" s="7"/>
      <c r="V5" s="7"/>
      <c r="W5" s="7"/>
      <c r="X5" s="7"/>
      <c r="Y5" s="7"/>
      <c r="Z5" s="7"/>
    </row>
    <row r="6" s="8" customFormat="true" ht="15" hidden="false" customHeight="false" outlineLevel="0" collapsed="false">
      <c r="A6" s="9" t="s">
        <v>27</v>
      </c>
      <c r="B6" s="10"/>
      <c r="C6" s="11" t="n">
        <v>41884</v>
      </c>
      <c r="D6" s="8" t="n">
        <v>16.9</v>
      </c>
      <c r="E6" s="8" t="n">
        <v>14.3</v>
      </c>
      <c r="F6" s="8" t="n">
        <v>19.6</v>
      </c>
      <c r="G6" s="8" t="n">
        <v>16.9</v>
      </c>
      <c r="I6" s="12" t="s">
        <v>28</v>
      </c>
      <c r="J6" s="8" t="n">
        <v>0.5</v>
      </c>
      <c r="K6" s="8" t="n">
        <v>0.5</v>
      </c>
      <c r="L6" s="8" t="n">
        <v>1.3</v>
      </c>
      <c r="M6" s="8" t="n">
        <v>1.3</v>
      </c>
      <c r="N6" s="13" t="n">
        <v>-0.8</v>
      </c>
      <c r="O6" s="8" t="n">
        <v>44.1</v>
      </c>
      <c r="P6" s="8" t="n">
        <v>1</v>
      </c>
      <c r="Q6" s="8" t="n">
        <v>0.35</v>
      </c>
      <c r="R6" s="14" t="n">
        <f aca="false">Q6*L6</f>
        <v>0.455</v>
      </c>
      <c r="S6" s="14" t="n">
        <f aca="false">J6-R6</f>
        <v>0.045</v>
      </c>
      <c r="T6" s="14" t="n">
        <v>44.9</v>
      </c>
      <c r="U6" s="12" t="s">
        <v>29</v>
      </c>
      <c r="V6" s="15" t="n">
        <v>680.3</v>
      </c>
      <c r="W6" s="8" t="n">
        <v>40.2544378698225</v>
      </c>
      <c r="X6" s="8" t="n">
        <v>680.3</v>
      </c>
      <c r="Z6" s="12" t="s">
        <v>30</v>
      </c>
      <c r="AA6" s="8" t="n">
        <v>13.4834625961457</v>
      </c>
    </row>
    <row r="7" s="8" customFormat="true" ht="15" hidden="false" customHeight="false" outlineLevel="0" collapsed="false">
      <c r="A7" s="9"/>
      <c r="B7" s="10"/>
      <c r="C7" s="11" t="n">
        <v>41885</v>
      </c>
      <c r="D7" s="8" t="n">
        <v>16.1</v>
      </c>
      <c r="E7" s="8" t="n">
        <v>11.7</v>
      </c>
      <c r="F7" s="8" t="n">
        <v>20.1</v>
      </c>
      <c r="G7" s="8" t="n">
        <v>33</v>
      </c>
      <c r="I7" s="8" t="n">
        <v>3.4</v>
      </c>
      <c r="J7" s="8" t="n">
        <v>0.1</v>
      </c>
      <c r="K7" s="8" t="n">
        <v>0.6</v>
      </c>
      <c r="L7" s="8" t="n">
        <v>2.9</v>
      </c>
      <c r="M7" s="8" t="n">
        <v>4.2</v>
      </c>
      <c r="N7" s="13" t="n">
        <v>-2.8</v>
      </c>
      <c r="O7" s="8" t="n">
        <f aca="false">O6+N7</f>
        <v>41.3</v>
      </c>
      <c r="P7" s="8" t="n">
        <v>2</v>
      </c>
      <c r="Q7" s="8" t="n">
        <v>0.35</v>
      </c>
      <c r="R7" s="14" t="n">
        <f aca="false">Q7*L7</f>
        <v>1.015</v>
      </c>
      <c r="S7" s="14" t="n">
        <f aca="false">J7-R7</f>
        <v>-0.915</v>
      </c>
      <c r="T7" s="14" t="n">
        <f aca="false">MIN(189.6,(T6+S7))</f>
        <v>43.985</v>
      </c>
      <c r="U7" s="8" t="n">
        <v>62</v>
      </c>
      <c r="V7" s="8" t="n">
        <v>1658.5</v>
      </c>
      <c r="W7" s="8" t="n">
        <v>103.012422360248</v>
      </c>
      <c r="X7" s="8" t="n">
        <v>2338.8</v>
      </c>
      <c r="Z7" s="8" t="n">
        <v>59277.7</v>
      </c>
      <c r="AA7" s="8" t="n">
        <v>13.4238979567242</v>
      </c>
    </row>
    <row r="8" s="8" customFormat="true" ht="15" hidden="false" customHeight="false" outlineLevel="0" collapsed="false">
      <c r="A8" s="9"/>
      <c r="B8" s="10"/>
      <c r="C8" s="11" t="n">
        <v>41886</v>
      </c>
      <c r="D8" s="8" t="n">
        <v>16.7</v>
      </c>
      <c r="E8" s="8" t="n">
        <v>11.9</v>
      </c>
      <c r="F8" s="8" t="n">
        <v>20.7</v>
      </c>
      <c r="G8" s="8" t="n">
        <v>49.7</v>
      </c>
      <c r="I8" s="12" t="s">
        <v>31</v>
      </c>
      <c r="J8" s="8" t="n">
        <v>0</v>
      </c>
      <c r="K8" s="8" t="n">
        <v>0.6</v>
      </c>
      <c r="L8" s="8" t="n">
        <v>1.9</v>
      </c>
      <c r="M8" s="8" t="n">
        <v>6.1</v>
      </c>
      <c r="N8" s="13" t="n">
        <v>-1.9</v>
      </c>
      <c r="O8" s="8" t="n">
        <f aca="false">O7+N8</f>
        <v>39.4</v>
      </c>
      <c r="P8" s="8" t="n">
        <v>3</v>
      </c>
      <c r="Q8" s="8" t="n">
        <v>0.35</v>
      </c>
      <c r="R8" s="14" t="n">
        <f aca="false">Q8*L8</f>
        <v>0.665</v>
      </c>
      <c r="S8" s="14" t="n">
        <f aca="false">J8-R8</f>
        <v>-0.665</v>
      </c>
      <c r="T8" s="14" t="n">
        <f aca="false">MIN(189.6,(T7+S8))</f>
        <v>43.32</v>
      </c>
      <c r="U8" s="12" t="s">
        <v>32</v>
      </c>
      <c r="V8" s="8" t="n">
        <v>1232</v>
      </c>
      <c r="W8" s="8" t="n">
        <v>73.7724550898204</v>
      </c>
      <c r="X8" s="8" t="n">
        <v>3570.8</v>
      </c>
      <c r="Z8" s="12" t="s">
        <v>33</v>
      </c>
      <c r="AA8" s="8" t="n">
        <v>13.3641879000176</v>
      </c>
    </row>
    <row r="9" s="8" customFormat="true" ht="15" hidden="false" customHeight="false" outlineLevel="0" collapsed="false">
      <c r="A9" s="9"/>
      <c r="B9" s="10"/>
      <c r="C9" s="11" t="n">
        <v>41887</v>
      </c>
      <c r="D9" s="8" t="n">
        <v>17.9</v>
      </c>
      <c r="E9" s="8" t="n">
        <v>14.2</v>
      </c>
      <c r="F9" s="8" t="n">
        <v>22.2</v>
      </c>
      <c r="G9" s="8" t="n">
        <v>67.6</v>
      </c>
      <c r="I9" s="8" t="n">
        <v>25.7</v>
      </c>
      <c r="J9" s="8" t="n">
        <v>0</v>
      </c>
      <c r="K9" s="8" t="n">
        <v>0.6</v>
      </c>
      <c r="L9" s="8" t="n">
        <v>2.8</v>
      </c>
      <c r="M9" s="8" t="n">
        <v>8.9</v>
      </c>
      <c r="N9" s="13" t="n">
        <v>-2.8</v>
      </c>
      <c r="O9" s="8" t="n">
        <f aca="false">O8+N9</f>
        <v>36.6</v>
      </c>
      <c r="P9" s="8" t="n">
        <v>4</v>
      </c>
      <c r="Q9" s="8" t="n">
        <v>0.35</v>
      </c>
      <c r="R9" s="14" t="n">
        <f aca="false">Q9*L9</f>
        <v>0.98</v>
      </c>
      <c r="S9" s="14" t="n">
        <f aca="false">J9-R9</f>
        <v>-0.98</v>
      </c>
      <c r="T9" s="14" t="n">
        <f aca="false">MIN(189.6,(T8+S9))</f>
        <v>42.34</v>
      </c>
      <c r="U9" s="8" t="n">
        <v>0</v>
      </c>
      <c r="V9" s="8" t="n">
        <v>1426.4</v>
      </c>
      <c r="W9" s="8" t="n">
        <v>79.6871508379888</v>
      </c>
      <c r="X9" s="8" t="n">
        <v>4997.2</v>
      </c>
      <c r="Z9" s="16" t="n">
        <f aca="false">(Z7/100)/I19</f>
        <v>0.532976982557094</v>
      </c>
      <c r="AA9" s="8" t="n">
        <v>13.3043407395317</v>
      </c>
    </row>
    <row r="10" s="8" customFormat="true" ht="15" hidden="false" customHeight="false" outlineLevel="0" collapsed="false">
      <c r="A10" s="9"/>
      <c r="B10" s="10"/>
      <c r="C10" s="11" t="n">
        <v>41888</v>
      </c>
      <c r="D10" s="8" t="n">
        <v>18.1</v>
      </c>
      <c r="E10" s="8" t="n">
        <v>16.7</v>
      </c>
      <c r="F10" s="8" t="n">
        <v>21.2</v>
      </c>
      <c r="G10" s="8" t="n">
        <v>85.7</v>
      </c>
      <c r="I10" s="12" t="s">
        <v>34</v>
      </c>
      <c r="J10" s="8" t="n">
        <v>0.2</v>
      </c>
      <c r="K10" s="8" t="n">
        <v>0.8</v>
      </c>
      <c r="L10" s="8" t="n">
        <v>2.1</v>
      </c>
      <c r="M10" s="8" t="n">
        <v>11</v>
      </c>
      <c r="N10" s="13" t="n">
        <v>-1.9</v>
      </c>
      <c r="O10" s="8" t="n">
        <f aca="false">O9+N10</f>
        <v>34.7</v>
      </c>
      <c r="P10" s="8" t="n">
        <v>5</v>
      </c>
      <c r="Q10" s="8" t="n">
        <v>0.35</v>
      </c>
      <c r="R10" s="14" t="n">
        <f aca="false">Q10*L10</f>
        <v>0.735</v>
      </c>
      <c r="S10" s="14" t="n">
        <f aca="false">J10-R10</f>
        <v>-0.535</v>
      </c>
      <c r="T10" s="14" t="n">
        <f aca="false">MIN(189.6,(T9+S10))</f>
        <v>41.805</v>
      </c>
      <c r="U10" s="12" t="s">
        <v>35</v>
      </c>
      <c r="V10" s="8" t="n">
        <v>1042.4</v>
      </c>
      <c r="W10" s="8" t="n">
        <v>57.5911602209945</v>
      </c>
      <c r="X10" s="8" t="n">
        <v>6039.6</v>
      </c>
      <c r="Z10" s="12" t="s">
        <v>36</v>
      </c>
      <c r="AA10" s="8" t="n">
        <v>13.2443644788464</v>
      </c>
    </row>
    <row r="11" s="8" customFormat="true" ht="15" hidden="false" customHeight="false" outlineLevel="0" collapsed="false">
      <c r="A11" s="9"/>
      <c r="B11" s="10"/>
      <c r="C11" s="11" t="n">
        <v>41889</v>
      </c>
      <c r="D11" s="8" t="n">
        <v>17.1</v>
      </c>
      <c r="E11" s="8" t="n">
        <v>13</v>
      </c>
      <c r="F11" s="8" t="n">
        <v>22</v>
      </c>
      <c r="G11" s="8" t="n">
        <v>102.8</v>
      </c>
      <c r="I11" s="14" t="n">
        <v>12.4966292134831</v>
      </c>
      <c r="J11" s="8" t="n">
        <v>0.2</v>
      </c>
      <c r="K11" s="8" t="n">
        <v>1</v>
      </c>
      <c r="L11" s="8" t="n">
        <v>1.8</v>
      </c>
      <c r="M11" s="8" t="n">
        <v>12.8</v>
      </c>
      <c r="N11" s="13" t="n">
        <v>-1.6</v>
      </c>
      <c r="O11" s="8" t="n">
        <f aca="false">O10+N11</f>
        <v>33.1</v>
      </c>
      <c r="P11" s="8" t="n">
        <v>6</v>
      </c>
      <c r="Q11" s="8" t="n">
        <v>0.35</v>
      </c>
      <c r="R11" s="14" t="n">
        <f aca="false">Q11*L11</f>
        <v>0.63</v>
      </c>
      <c r="S11" s="14" t="n">
        <f aca="false">J11-R11</f>
        <v>-0.43</v>
      </c>
      <c r="T11" s="14" t="n">
        <f aca="false">MIN(189.6,(T10+S11))</f>
        <v>41.375</v>
      </c>
      <c r="U11" s="8" t="n">
        <v>36</v>
      </c>
      <c r="V11" s="15" t="n">
        <v>878.2</v>
      </c>
      <c r="W11" s="8" t="n">
        <v>51.3567251461988</v>
      </c>
      <c r="X11" s="8" t="n">
        <v>6917.8</v>
      </c>
      <c r="Z11" s="8" t="n">
        <v>64</v>
      </c>
      <c r="AA11" s="8" t="n">
        <v>13.1842668281984</v>
      </c>
    </row>
    <row r="12" s="8" customFormat="true" ht="15" hidden="false" customHeight="false" outlineLevel="0" collapsed="false">
      <c r="A12" s="9"/>
      <c r="B12" s="10"/>
      <c r="C12" s="11" t="n">
        <v>41890</v>
      </c>
      <c r="D12" s="8" t="n">
        <v>16.4</v>
      </c>
      <c r="E12" s="8" t="n">
        <v>13.1</v>
      </c>
      <c r="F12" s="8" t="n">
        <v>21.2</v>
      </c>
      <c r="G12" s="8" t="n">
        <v>119.2</v>
      </c>
      <c r="I12" s="12" t="s">
        <v>37</v>
      </c>
      <c r="J12" s="8" t="n">
        <v>0</v>
      </c>
      <c r="K12" s="8" t="n">
        <v>1</v>
      </c>
      <c r="L12" s="8" t="n">
        <v>3.3</v>
      </c>
      <c r="M12" s="8" t="n">
        <v>16.1</v>
      </c>
      <c r="N12" s="13" t="n">
        <v>-3.3</v>
      </c>
      <c r="O12" s="8" t="n">
        <f aca="false">O11+N12</f>
        <v>29.8</v>
      </c>
      <c r="P12" s="8" t="n">
        <v>7</v>
      </c>
      <c r="Q12" s="8" t="n">
        <v>0.35</v>
      </c>
      <c r="R12" s="14" t="n">
        <f aca="false">Q12*L12</f>
        <v>1.155</v>
      </c>
      <c r="S12" s="14" t="n">
        <f aca="false">J12-R12</f>
        <v>-1.155</v>
      </c>
      <c r="T12" s="14" t="n">
        <f aca="false">MIN(189.6,(T11+S12))</f>
        <v>40.22</v>
      </c>
      <c r="U12" s="12" t="s">
        <v>38</v>
      </c>
      <c r="V12" s="8" t="n">
        <v>1750.8</v>
      </c>
      <c r="W12" s="8" t="n">
        <v>106.756097560976</v>
      </c>
      <c r="X12" s="8" t="n">
        <v>8668.6</v>
      </c>
      <c r="AA12" s="8" t="n">
        <v>13.1240552211427</v>
      </c>
    </row>
    <row r="13" s="8" customFormat="true" ht="15" hidden="false" customHeight="false" outlineLevel="0" collapsed="false">
      <c r="A13" s="9"/>
      <c r="B13" s="10"/>
      <c r="C13" s="11" t="n">
        <v>41891</v>
      </c>
      <c r="D13" s="8" t="n">
        <v>14.8</v>
      </c>
      <c r="E13" s="8" t="n">
        <v>10.6</v>
      </c>
      <c r="F13" s="8" t="n">
        <v>19.4</v>
      </c>
      <c r="G13" s="8" t="n">
        <v>134</v>
      </c>
      <c r="I13" s="8" t="n">
        <v>0</v>
      </c>
      <c r="J13" s="8" t="n">
        <v>0</v>
      </c>
      <c r="K13" s="8" t="n">
        <v>1</v>
      </c>
      <c r="L13" s="8" t="n">
        <v>3</v>
      </c>
      <c r="M13" s="8" t="n">
        <v>19.1</v>
      </c>
      <c r="N13" s="13" t="n">
        <v>-3</v>
      </c>
      <c r="O13" s="8" t="n">
        <f aca="false">O12+N13</f>
        <v>26.8</v>
      </c>
      <c r="P13" s="8" t="n">
        <v>8</v>
      </c>
      <c r="Q13" s="8" t="n">
        <v>0.35</v>
      </c>
      <c r="R13" s="14" t="n">
        <f aca="false">Q13*L13</f>
        <v>1.05</v>
      </c>
      <c r="S13" s="14" t="n">
        <f aca="false">J13-R13</f>
        <v>-1.05</v>
      </c>
      <c r="T13" s="14" t="n">
        <f aca="false">MIN(189.6,(T12+S13))</f>
        <v>39.17</v>
      </c>
      <c r="U13" s="14" t="n">
        <f aca="false">MIN(T6:T94)</f>
        <v>32.2535</v>
      </c>
      <c r="V13" s="8" t="n">
        <v>1647.3</v>
      </c>
      <c r="W13" s="8" t="n">
        <v>111.304054054054</v>
      </c>
      <c r="X13" s="8" t="n">
        <v>10315.9</v>
      </c>
      <c r="AA13" s="8" t="n">
        <v>13.0637368312795</v>
      </c>
    </row>
    <row r="14" s="8" customFormat="true" ht="15" hidden="false" customHeight="false" outlineLevel="0" collapsed="false">
      <c r="A14" s="9"/>
      <c r="B14" s="10"/>
      <c r="C14" s="11" t="n">
        <v>41892</v>
      </c>
      <c r="D14" s="8" t="n">
        <v>14.1</v>
      </c>
      <c r="E14" s="8" t="n">
        <v>11.8</v>
      </c>
      <c r="F14" s="8" t="n">
        <v>18.7</v>
      </c>
      <c r="G14" s="8" t="n">
        <v>148.1</v>
      </c>
      <c r="I14" s="12" t="s">
        <v>39</v>
      </c>
      <c r="J14" s="8" t="n">
        <v>0</v>
      </c>
      <c r="K14" s="8" t="n">
        <v>1</v>
      </c>
      <c r="L14" s="8" t="n">
        <v>2.6</v>
      </c>
      <c r="M14" s="8" t="n">
        <v>21.7</v>
      </c>
      <c r="N14" s="13" t="n">
        <v>-2.6</v>
      </c>
      <c r="O14" s="8" t="n">
        <f aca="false">O13+N14</f>
        <v>24.2</v>
      </c>
      <c r="P14" s="8" t="n">
        <v>9</v>
      </c>
      <c r="Q14" s="8" t="n">
        <v>0.35</v>
      </c>
      <c r="R14" s="14" t="n">
        <f aca="false">Q14*L14</f>
        <v>0.91</v>
      </c>
      <c r="S14" s="14" t="n">
        <f aca="false">J14-R14</f>
        <v>-0.91</v>
      </c>
      <c r="T14" s="14" t="n">
        <f aca="false">MIN(189.6,(T13+S14))</f>
        <v>38.26</v>
      </c>
      <c r="U14" s="12" t="s">
        <v>40</v>
      </c>
      <c r="V14" s="8" t="n">
        <v>985.4</v>
      </c>
      <c r="W14" s="8" t="n">
        <v>69.886524822695</v>
      </c>
      <c r="X14" s="8" t="n">
        <v>11301.3</v>
      </c>
      <c r="AA14" s="8" t="n">
        <v>13.0033185890361</v>
      </c>
    </row>
    <row r="15" s="8" customFormat="true" ht="15" hidden="false" customHeight="false" outlineLevel="0" collapsed="false">
      <c r="A15" s="9"/>
      <c r="B15" s="10"/>
      <c r="C15" s="11" t="n">
        <v>41893</v>
      </c>
      <c r="D15" s="8" t="n">
        <v>14</v>
      </c>
      <c r="E15" s="8" t="n">
        <v>8.7</v>
      </c>
      <c r="F15" s="8" t="n">
        <v>19.2</v>
      </c>
      <c r="G15" s="8" t="n">
        <v>162.1</v>
      </c>
      <c r="I15" s="8" t="n">
        <v>2</v>
      </c>
      <c r="J15" s="8" t="n">
        <v>0.2</v>
      </c>
      <c r="K15" s="8" t="n">
        <v>1.2</v>
      </c>
      <c r="L15" s="8" t="n">
        <v>2.2</v>
      </c>
      <c r="M15" s="8" t="n">
        <v>23.9</v>
      </c>
      <c r="N15" s="13" t="n">
        <v>-2</v>
      </c>
      <c r="O15" s="8" t="n">
        <f aca="false">O14+N15</f>
        <v>22.2</v>
      </c>
      <c r="P15" s="8" t="n">
        <v>10</v>
      </c>
      <c r="Q15" s="8" t="n">
        <f aca="false">0.35+((P15-9)/80)*(1-0.35)</f>
        <v>0.358125</v>
      </c>
      <c r="R15" s="14" t="n">
        <f aca="false">Q15*L15</f>
        <v>0.787875</v>
      </c>
      <c r="S15" s="14" t="n">
        <f aca="false">J15-R15</f>
        <v>-0.587875</v>
      </c>
      <c r="T15" s="14" t="n">
        <f aca="false">MIN(189.6,(T14+S15))</f>
        <v>37.672125</v>
      </c>
      <c r="U15" s="14" t="n">
        <f aca="false">MAX(T7:T94)</f>
        <v>129.082875</v>
      </c>
      <c r="V15" s="8" t="n">
        <v>1040</v>
      </c>
      <c r="W15" s="8" t="n">
        <v>74.2857142857143</v>
      </c>
      <c r="X15" s="8" t="n">
        <v>12341.3</v>
      </c>
      <c r="AA15" s="8" t="n">
        <v>12.9428071984942</v>
      </c>
    </row>
    <row r="16" s="8" customFormat="true" ht="15" hidden="false" customHeight="false" outlineLevel="0" collapsed="false">
      <c r="A16" s="9"/>
      <c r="B16" s="10"/>
      <c r="C16" s="11" t="n">
        <v>41894</v>
      </c>
      <c r="D16" s="8" t="n">
        <v>14.9</v>
      </c>
      <c r="E16" s="8" t="n">
        <v>9.6</v>
      </c>
      <c r="F16" s="8" t="n">
        <v>19.9</v>
      </c>
      <c r="G16" s="8" t="n">
        <v>177</v>
      </c>
      <c r="I16" s="12" t="s">
        <v>41</v>
      </c>
      <c r="J16" s="8" t="n">
        <v>0.1</v>
      </c>
      <c r="K16" s="8" t="n">
        <v>1.3</v>
      </c>
      <c r="L16" s="8" t="n">
        <v>3.2</v>
      </c>
      <c r="M16" s="8" t="n">
        <v>27.1</v>
      </c>
      <c r="N16" s="13" t="n">
        <v>-3.1</v>
      </c>
      <c r="O16" s="8" t="n">
        <f aca="false">O15+N16</f>
        <v>19.1</v>
      </c>
      <c r="P16" s="8" t="n">
        <v>11</v>
      </c>
      <c r="Q16" s="8" t="n">
        <f aca="false">0.35+((P16-9)/80)*(1-0.35)</f>
        <v>0.36625</v>
      </c>
      <c r="R16" s="14" t="n">
        <f aca="false">Q16*L16</f>
        <v>1.172</v>
      </c>
      <c r="S16" s="14" t="n">
        <f aca="false">J16-R16</f>
        <v>-1.072</v>
      </c>
      <c r="T16" s="14" t="n">
        <f aca="false">MIN(189.6,(T15+S16))</f>
        <v>36.600125</v>
      </c>
      <c r="U16" s="12" t="s">
        <v>42</v>
      </c>
      <c r="V16" s="8" t="n">
        <v>1705.5</v>
      </c>
      <c r="W16" s="8" t="n">
        <v>114.463087248322</v>
      </c>
      <c r="X16" s="8" t="n">
        <v>14046.8</v>
      </c>
      <c r="AA16" s="8" t="n">
        <v>12.8822091542565</v>
      </c>
    </row>
    <row r="17" s="8" customFormat="true" ht="15" hidden="false" customHeight="false" outlineLevel="0" collapsed="false">
      <c r="A17" s="9"/>
      <c r="B17" s="10"/>
      <c r="C17" s="11" t="n">
        <v>41895</v>
      </c>
      <c r="D17" s="8" t="n">
        <v>15.4</v>
      </c>
      <c r="E17" s="8" t="n">
        <v>12</v>
      </c>
      <c r="F17" s="8" t="n">
        <v>19.1</v>
      </c>
      <c r="G17" s="8" t="n">
        <v>192.4</v>
      </c>
      <c r="I17" s="8" t="n">
        <v>4</v>
      </c>
      <c r="J17" s="8" t="n">
        <v>0.1</v>
      </c>
      <c r="K17" s="8" t="n">
        <v>1.4</v>
      </c>
      <c r="L17" s="8" t="n">
        <v>2.9</v>
      </c>
      <c r="M17" s="8" t="n">
        <v>30</v>
      </c>
      <c r="N17" s="13" t="n">
        <v>-2.8</v>
      </c>
      <c r="O17" s="8" t="n">
        <f aca="false">O16+N17</f>
        <v>16.3</v>
      </c>
      <c r="P17" s="8" t="n">
        <v>12</v>
      </c>
      <c r="Q17" s="8" t="n">
        <f aca="false">0.35+((P17-9)/80)*(1-0.35)</f>
        <v>0.374375</v>
      </c>
      <c r="R17" s="14" t="n">
        <f aca="false">Q17*L17</f>
        <v>1.0856875</v>
      </c>
      <c r="S17" s="14" t="n">
        <f aca="false">J17-R17</f>
        <v>-0.9856875</v>
      </c>
      <c r="T17" s="14" t="n">
        <f aca="false">MIN(189.6,(T16+S17))</f>
        <v>35.6144375</v>
      </c>
      <c r="U17" s="14" t="n">
        <f aca="false">AVERAGE(T6:T94)</f>
        <v>78.7678876404494</v>
      </c>
      <c r="V17" s="8" t="n">
        <v>1564.2</v>
      </c>
      <c r="W17" s="8" t="n">
        <v>101.571428571429</v>
      </c>
      <c r="X17" s="8" t="n">
        <v>15611</v>
      </c>
      <c r="AA17" s="8" t="n">
        <v>12.8215307583491</v>
      </c>
    </row>
    <row r="18" s="8" customFormat="true" ht="15" hidden="false" customHeight="false" outlineLevel="0" collapsed="false">
      <c r="A18" s="9"/>
      <c r="B18" s="10"/>
      <c r="C18" s="11" t="n">
        <v>41896</v>
      </c>
      <c r="D18" s="8" t="n">
        <v>15.1</v>
      </c>
      <c r="E18" s="8" t="n">
        <v>12.4</v>
      </c>
      <c r="F18" s="8" t="n">
        <v>17.9</v>
      </c>
      <c r="G18" s="8" t="n">
        <v>207.5</v>
      </c>
      <c r="I18" s="12" t="s">
        <v>43</v>
      </c>
      <c r="J18" s="8" t="n">
        <v>0</v>
      </c>
      <c r="K18" s="8" t="n">
        <v>1.4</v>
      </c>
      <c r="L18" s="8" t="n">
        <v>1.7</v>
      </c>
      <c r="M18" s="8" t="n">
        <v>31.7</v>
      </c>
      <c r="N18" s="13" t="n">
        <v>-1.7</v>
      </c>
      <c r="O18" s="8" t="n">
        <f aca="false">O17+N18</f>
        <v>14.6</v>
      </c>
      <c r="P18" s="8" t="n">
        <v>13</v>
      </c>
      <c r="Q18" s="8" t="n">
        <f aca="false">0.35+((P18-9)/80)*(1-0.35)</f>
        <v>0.3825</v>
      </c>
      <c r="R18" s="14" t="n">
        <f aca="false">Q18*L18</f>
        <v>0.65025</v>
      </c>
      <c r="S18" s="14" t="n">
        <f aca="false">J18-R18</f>
        <v>-0.65025</v>
      </c>
      <c r="T18" s="14" t="n">
        <f aca="false">MIN(189.6,(T17+S18))</f>
        <v>34.9641875</v>
      </c>
      <c r="V18" s="15" t="n">
        <v>778.1</v>
      </c>
      <c r="W18" s="8" t="n">
        <v>51.5298013245033</v>
      </c>
      <c r="X18" s="8" t="n">
        <v>16389.1</v>
      </c>
      <c r="AA18" s="8" t="n">
        <v>12.7607781371563</v>
      </c>
    </row>
    <row r="19" s="8" customFormat="true" ht="15" hidden="false" customHeight="false" outlineLevel="0" collapsed="false">
      <c r="A19" s="9"/>
      <c r="B19" s="10"/>
      <c r="C19" s="11" t="n">
        <v>41897</v>
      </c>
      <c r="D19" s="8" t="n">
        <v>16</v>
      </c>
      <c r="E19" s="8" t="n">
        <v>10.3</v>
      </c>
      <c r="F19" s="8" t="n">
        <v>22.3</v>
      </c>
      <c r="G19" s="8" t="n">
        <v>223.5</v>
      </c>
      <c r="I19" s="8" t="n">
        <v>1112.2</v>
      </c>
      <c r="J19" s="8" t="n">
        <v>0</v>
      </c>
      <c r="K19" s="8" t="n">
        <v>1.4</v>
      </c>
      <c r="L19" s="8" t="n">
        <v>2</v>
      </c>
      <c r="M19" s="8" t="n">
        <v>33.7</v>
      </c>
      <c r="N19" s="13" t="n">
        <v>-2</v>
      </c>
      <c r="O19" s="8" t="n">
        <f aca="false">O18+N19</f>
        <v>12.6</v>
      </c>
      <c r="P19" s="8" t="n">
        <v>14</v>
      </c>
      <c r="Q19" s="8" t="n">
        <f aca="false">0.35+((P19-9)/80)*(1-0.35)</f>
        <v>0.390625</v>
      </c>
      <c r="R19" s="14" t="n">
        <f aca="false">Q19*L19</f>
        <v>0.78125</v>
      </c>
      <c r="S19" s="14" t="n">
        <f aca="false">J19-R19</f>
        <v>-0.78125</v>
      </c>
      <c r="T19" s="14" t="n">
        <f aca="false">MIN(189.6,(T18+S19))</f>
        <v>34.1829375</v>
      </c>
      <c r="U19" s="8" t="n">
        <f aca="false">(U17*100)/189.6</f>
        <v>41.544244536102</v>
      </c>
      <c r="V19" s="8" t="n">
        <v>1005.4</v>
      </c>
      <c r="W19" s="8" t="n">
        <v>62.8375</v>
      </c>
      <c r="X19" s="8" t="n">
        <v>17394.5</v>
      </c>
      <c r="AA19" s="8" t="n">
        <v>12.6999572583863</v>
      </c>
    </row>
    <row r="20" s="8" customFormat="true" ht="15" hidden="false" customHeight="false" outlineLevel="0" collapsed="false">
      <c r="A20" s="9"/>
      <c r="B20" s="10"/>
      <c r="C20" s="11" t="n">
        <v>41898</v>
      </c>
      <c r="D20" s="8" t="n">
        <v>17</v>
      </c>
      <c r="E20" s="8" t="n">
        <v>10</v>
      </c>
      <c r="F20" s="8" t="n">
        <v>23.5</v>
      </c>
      <c r="G20" s="8" t="n">
        <v>240.5</v>
      </c>
      <c r="J20" s="8" t="n">
        <v>0</v>
      </c>
      <c r="K20" s="8" t="n">
        <v>1.4</v>
      </c>
      <c r="L20" s="8" t="n">
        <v>2.9</v>
      </c>
      <c r="M20" s="8" t="n">
        <v>36.6</v>
      </c>
      <c r="N20" s="13" t="n">
        <v>-2.9</v>
      </c>
      <c r="O20" s="8" t="n">
        <f aca="false">O19+N20</f>
        <v>9.70000000000001</v>
      </c>
      <c r="P20" s="8" t="n">
        <v>15</v>
      </c>
      <c r="Q20" s="8" t="n">
        <f aca="false">0.35+((P20-9)/80)*(1-0.35)</f>
        <v>0.39875</v>
      </c>
      <c r="R20" s="14" t="n">
        <f aca="false">Q20*L20</f>
        <v>1.156375</v>
      </c>
      <c r="S20" s="14" t="n">
        <f aca="false">J20-R20</f>
        <v>-1.156375</v>
      </c>
      <c r="T20" s="14" t="n">
        <f aca="false">MIN(189.6,(T19+S20))</f>
        <v>33.0265625</v>
      </c>
      <c r="V20" s="8" t="n">
        <v>1584.4</v>
      </c>
      <c r="W20" s="8" t="n">
        <v>93.2</v>
      </c>
      <c r="X20" s="8" t="n">
        <v>18978.9</v>
      </c>
      <c r="AA20" s="8" t="n">
        <v>12.6390739480711</v>
      </c>
    </row>
    <row r="21" s="8" customFormat="true" ht="15" hidden="false" customHeight="false" outlineLevel="0" collapsed="false">
      <c r="A21" s="9"/>
      <c r="B21" s="10"/>
      <c r="C21" s="11" t="n">
        <v>41899</v>
      </c>
      <c r="D21" s="8" t="n">
        <v>19.1</v>
      </c>
      <c r="E21" s="8" t="n">
        <v>14.2</v>
      </c>
      <c r="F21" s="8" t="n">
        <v>24.2</v>
      </c>
      <c r="G21" s="8" t="n">
        <v>259.6</v>
      </c>
      <c r="J21" s="8" t="n">
        <v>0</v>
      </c>
      <c r="K21" s="8" t="n">
        <v>1.4</v>
      </c>
      <c r="L21" s="8" t="n">
        <v>1.9</v>
      </c>
      <c r="M21" s="8" t="n">
        <v>38.5</v>
      </c>
      <c r="N21" s="13" t="n">
        <v>-1.9</v>
      </c>
      <c r="O21" s="8" t="n">
        <f aca="false">O20+N21</f>
        <v>7.8</v>
      </c>
      <c r="P21" s="8" t="n">
        <v>16</v>
      </c>
      <c r="Q21" s="8" t="n">
        <f aca="false">0.35+((P21-9)/80)*(1-0.35)</f>
        <v>0.406875</v>
      </c>
      <c r="R21" s="14" t="n">
        <f aca="false">Q21*L21</f>
        <v>0.7730625</v>
      </c>
      <c r="S21" s="14" t="n">
        <f aca="false">J21-R21</f>
        <v>-0.7730625</v>
      </c>
      <c r="T21" s="14" t="n">
        <f aca="false">MIN(189.6,(T20+S21))</f>
        <v>32.2535</v>
      </c>
      <c r="V21" s="15" t="n">
        <v>688.2</v>
      </c>
      <c r="W21" s="8" t="n">
        <v>36.0314136125654</v>
      </c>
      <c r="X21" s="8" t="n">
        <v>19667.1</v>
      </c>
      <c r="AA21" s="8" t="n">
        <v>12.5781339075999</v>
      </c>
    </row>
    <row r="22" s="8" customFormat="true" ht="15" hidden="false" customHeight="false" outlineLevel="0" collapsed="false">
      <c r="A22" s="9"/>
      <c r="B22" s="10"/>
      <c r="C22" s="11" t="n">
        <v>41900</v>
      </c>
      <c r="D22" s="8" t="n">
        <v>18.7</v>
      </c>
      <c r="E22" s="8" t="n">
        <v>15.9</v>
      </c>
      <c r="F22" s="8" t="n">
        <v>24.8</v>
      </c>
      <c r="G22" s="8" t="n">
        <v>278.3</v>
      </c>
      <c r="J22" s="8" t="n">
        <v>7.2</v>
      </c>
      <c r="K22" s="8" t="n">
        <v>8.6</v>
      </c>
      <c r="L22" s="8" t="n">
        <v>2.8</v>
      </c>
      <c r="M22" s="8" t="n">
        <v>41.3</v>
      </c>
      <c r="N22" s="8" t="n">
        <v>4.4</v>
      </c>
      <c r="O22" s="8" t="n">
        <f aca="false">O21+N22</f>
        <v>12.2</v>
      </c>
      <c r="P22" s="8" t="n">
        <v>17</v>
      </c>
      <c r="Q22" s="8" t="n">
        <f aca="false">0.35+((P22-9)/80)*(1-0.35)</f>
        <v>0.415</v>
      </c>
      <c r="R22" s="14" t="n">
        <f aca="false">Q22*L22</f>
        <v>1.162</v>
      </c>
      <c r="S22" s="14" t="n">
        <f aca="false">J22-R22</f>
        <v>6.038</v>
      </c>
      <c r="T22" s="14" t="n">
        <f aca="false">MIN(189.6,(T21+S22))</f>
        <v>38.2915</v>
      </c>
      <c r="V22" s="8" t="n">
        <v>1236.5</v>
      </c>
      <c r="W22" s="8" t="n">
        <v>66.1229946524064</v>
      </c>
      <c r="X22" s="8" t="n">
        <v>20903.6</v>
      </c>
      <c r="AA22" s="8" t="n">
        <v>12.5171427307916</v>
      </c>
    </row>
    <row r="23" s="8" customFormat="true" ht="15" hidden="false" customHeight="false" outlineLevel="0" collapsed="false">
      <c r="A23" s="9"/>
      <c r="B23" s="10"/>
      <c r="C23" s="11" t="n">
        <v>41901</v>
      </c>
      <c r="D23" s="8" t="n">
        <v>19.3</v>
      </c>
      <c r="E23" s="8" t="n">
        <v>14</v>
      </c>
      <c r="F23" s="17" t="n">
        <v>25.5</v>
      </c>
      <c r="G23" s="8" t="n">
        <v>297.6</v>
      </c>
      <c r="J23" s="8" t="n">
        <v>0</v>
      </c>
      <c r="K23" s="8" t="n">
        <v>8.6</v>
      </c>
      <c r="L23" s="8" t="n">
        <v>3</v>
      </c>
      <c r="M23" s="8" t="n">
        <v>44.3</v>
      </c>
      <c r="N23" s="13" t="n">
        <v>-3</v>
      </c>
      <c r="O23" s="8" t="n">
        <f aca="false">O22+N23</f>
        <v>9.20000000000001</v>
      </c>
      <c r="P23" s="8" t="n">
        <v>18</v>
      </c>
      <c r="Q23" s="8" t="n">
        <f aca="false">0.35+((P23-9)/80)*(1-0.35)</f>
        <v>0.423125</v>
      </c>
      <c r="R23" s="14" t="n">
        <f aca="false">Q23*L23</f>
        <v>1.269375</v>
      </c>
      <c r="S23" s="14" t="n">
        <f aca="false">J23-R23</f>
        <v>-1.269375</v>
      </c>
      <c r="T23" s="14" t="n">
        <f aca="false">MIN(189.6,(T22+S23))</f>
        <v>37.022125</v>
      </c>
      <c r="V23" s="8" t="n">
        <v>1378.3</v>
      </c>
      <c r="W23" s="8" t="n">
        <v>71.4145077720207</v>
      </c>
      <c r="X23" s="8" t="n">
        <v>22281.9</v>
      </c>
      <c r="AA23" s="8" t="n">
        <v>12.4561059210099</v>
      </c>
    </row>
    <row r="24" s="8" customFormat="true" ht="15" hidden="false" customHeight="false" outlineLevel="0" collapsed="false">
      <c r="A24" s="9"/>
      <c r="B24" s="10"/>
      <c r="C24" s="11" t="n">
        <v>41902</v>
      </c>
      <c r="D24" s="8" t="n">
        <v>18.4</v>
      </c>
      <c r="E24" s="8" t="n">
        <v>14.6</v>
      </c>
      <c r="F24" s="17" t="n">
        <v>25.7</v>
      </c>
      <c r="G24" s="8" t="n">
        <v>316</v>
      </c>
      <c r="J24" s="8" t="n">
        <v>11.3</v>
      </c>
      <c r="K24" s="8" t="n">
        <v>19.9</v>
      </c>
      <c r="L24" s="8" t="n">
        <v>1.8</v>
      </c>
      <c r="M24" s="8" t="n">
        <v>46.1</v>
      </c>
      <c r="N24" s="8" t="n">
        <v>9.5</v>
      </c>
      <c r="O24" s="8" t="n">
        <f aca="false">O23+N24</f>
        <v>18.7</v>
      </c>
      <c r="P24" s="8" t="n">
        <v>19</v>
      </c>
      <c r="Q24" s="8" t="n">
        <f aca="false">0.35+((P24-9)/80)*(1-0.35)</f>
        <v>0.43125</v>
      </c>
      <c r="R24" s="14" t="n">
        <f aca="false">Q24*L24</f>
        <v>0.77625</v>
      </c>
      <c r="S24" s="14" t="n">
        <f aca="false">J24-R24</f>
        <v>10.52375</v>
      </c>
      <c r="T24" s="14" t="n">
        <f aca="false">MIN(189.6,(T23+S24))</f>
        <v>47.545875</v>
      </c>
      <c r="V24" s="15" t="n">
        <v>598.2</v>
      </c>
      <c r="W24" s="8" t="n">
        <v>32.5108695652174</v>
      </c>
      <c r="X24" s="8" t="n">
        <v>22880.1</v>
      </c>
      <c r="AA24" s="8" t="n">
        <v>12.3950289083268</v>
      </c>
    </row>
    <row r="25" s="8" customFormat="true" ht="15" hidden="false" customHeight="false" outlineLevel="0" collapsed="false">
      <c r="A25" s="9"/>
      <c r="B25" s="10"/>
      <c r="C25" s="11" t="n">
        <v>41903</v>
      </c>
      <c r="D25" s="8" t="n">
        <v>15.1</v>
      </c>
      <c r="E25" s="8" t="n">
        <v>14.1</v>
      </c>
      <c r="F25" s="8" t="n">
        <v>17.2</v>
      </c>
      <c r="G25" s="8" t="n">
        <v>331.1</v>
      </c>
      <c r="J25" s="8" t="n">
        <v>0.1</v>
      </c>
      <c r="K25" s="8" t="n">
        <v>20</v>
      </c>
      <c r="L25" s="8" t="n">
        <v>2.2</v>
      </c>
      <c r="M25" s="8" t="n">
        <v>48.3</v>
      </c>
      <c r="N25" s="13" t="n">
        <v>-2.1</v>
      </c>
      <c r="O25" s="8" t="n">
        <f aca="false">O24+N25</f>
        <v>16.6</v>
      </c>
      <c r="P25" s="8" t="n">
        <v>20</v>
      </c>
      <c r="Q25" s="8" t="n">
        <f aca="false">0.35+((P25-9)/80)*(1-0.35)</f>
        <v>0.439375</v>
      </c>
      <c r="R25" s="14" t="n">
        <f aca="false">Q25*L25</f>
        <v>0.966625</v>
      </c>
      <c r="S25" s="14" t="n">
        <f aca="false">J25-R25</f>
        <v>-0.866625</v>
      </c>
      <c r="T25" s="14" t="n">
        <f aca="false">MIN(189.6,(T24+S25))</f>
        <v>46.67925</v>
      </c>
      <c r="V25" s="8" t="n">
        <v>1249.8</v>
      </c>
      <c r="W25" s="8" t="n">
        <v>82.7682119205298</v>
      </c>
      <c r="X25" s="8" t="n">
        <v>24129.9</v>
      </c>
      <c r="AA25" s="8" t="n">
        <v>12.3339170667409</v>
      </c>
    </row>
    <row r="26" s="8" customFormat="true" ht="15" hidden="false" customHeight="false" outlineLevel="0" collapsed="false">
      <c r="A26" s="9"/>
      <c r="B26" s="10"/>
      <c r="C26" s="11" t="n">
        <v>41904</v>
      </c>
      <c r="D26" s="8" t="n">
        <v>12.1</v>
      </c>
      <c r="E26" s="8" t="n">
        <v>8.9</v>
      </c>
      <c r="F26" s="8" t="n">
        <v>16.3</v>
      </c>
      <c r="G26" s="8" t="n">
        <v>343.2</v>
      </c>
      <c r="J26" s="8" t="n">
        <v>0</v>
      </c>
      <c r="K26" s="8" t="n">
        <v>20</v>
      </c>
      <c r="L26" s="8" t="n">
        <v>2</v>
      </c>
      <c r="M26" s="8" t="n">
        <v>50.3</v>
      </c>
      <c r="N26" s="13" t="n">
        <v>-2</v>
      </c>
      <c r="O26" s="8" t="n">
        <f aca="false">O25+N26</f>
        <v>14.6</v>
      </c>
      <c r="P26" s="8" t="n">
        <v>21</v>
      </c>
      <c r="Q26" s="8" t="n">
        <f aca="false">0.35+((P26-9)/80)*(1-0.35)</f>
        <v>0.4475</v>
      </c>
      <c r="R26" s="14" t="n">
        <f aca="false">Q26*L26</f>
        <v>0.895</v>
      </c>
      <c r="S26" s="14" t="n">
        <f aca="false">J26-R26</f>
        <v>-0.895</v>
      </c>
      <c r="T26" s="14" t="n">
        <f aca="false">MIN(189.6,(T25+S26))</f>
        <v>45.78425</v>
      </c>
      <c r="V26" s="8" t="n">
        <v>1039.1</v>
      </c>
      <c r="W26" s="8" t="n">
        <v>85.8760330578512</v>
      </c>
      <c r="X26" s="8" t="n">
        <v>25169</v>
      </c>
      <c r="AA26" s="8" t="n">
        <v>12.2727757314573</v>
      </c>
    </row>
    <row r="27" s="8" customFormat="true" ht="15" hidden="false" customHeight="false" outlineLevel="0" collapsed="false">
      <c r="A27" s="9"/>
      <c r="B27" s="10"/>
      <c r="C27" s="11" t="n">
        <v>41905</v>
      </c>
      <c r="D27" s="8" t="n">
        <v>10.9</v>
      </c>
      <c r="E27" s="8" t="n">
        <v>5.8</v>
      </c>
      <c r="F27" s="8" t="n">
        <v>16.6</v>
      </c>
      <c r="G27" s="8" t="n">
        <v>354.1</v>
      </c>
      <c r="J27" s="8" t="n">
        <v>0</v>
      </c>
      <c r="K27" s="8" t="n">
        <v>20</v>
      </c>
      <c r="L27" s="8" t="n">
        <v>1.7</v>
      </c>
      <c r="M27" s="8" t="n">
        <v>52</v>
      </c>
      <c r="N27" s="13" t="n">
        <v>-1.7</v>
      </c>
      <c r="O27" s="8" t="n">
        <f aca="false">O26+N27</f>
        <v>12.9</v>
      </c>
      <c r="P27" s="8" t="n">
        <v>22</v>
      </c>
      <c r="Q27" s="8" t="n">
        <f aca="false">0.35+((P27-9)/80)*(1-0.35)</f>
        <v>0.455625</v>
      </c>
      <c r="R27" s="14" t="n">
        <f aca="false">Q27*L27</f>
        <v>0.7745625</v>
      </c>
      <c r="S27" s="14" t="n">
        <f aca="false">J27-R27</f>
        <v>-0.7745625</v>
      </c>
      <c r="T27" s="14" t="n">
        <f aca="false">MIN(189.6,(T26+S27))</f>
        <v>45.0096875</v>
      </c>
      <c r="V27" s="8" t="n">
        <v>1042</v>
      </c>
      <c r="W27" s="8" t="n">
        <v>95.5963302752294</v>
      </c>
      <c r="X27" s="8" t="n">
        <v>26211</v>
      </c>
      <c r="AA27" s="8" t="n">
        <v>12.2116102162378</v>
      </c>
    </row>
    <row r="28" s="8" customFormat="true" ht="15" hidden="false" customHeight="false" outlineLevel="0" collapsed="false">
      <c r="A28" s="9"/>
      <c r="B28" s="10"/>
      <c r="C28" s="11" t="n">
        <v>41906</v>
      </c>
      <c r="D28" s="8" t="n">
        <v>11.5</v>
      </c>
      <c r="E28" s="8" t="n">
        <v>7.7</v>
      </c>
      <c r="F28" s="8" t="n">
        <v>16.3</v>
      </c>
      <c r="G28" s="8" t="n">
        <v>365.6</v>
      </c>
      <c r="J28" s="8" t="n">
        <v>5.8</v>
      </c>
      <c r="K28" s="8" t="n">
        <v>25.8</v>
      </c>
      <c r="L28" s="8" t="n">
        <v>1.3</v>
      </c>
      <c r="M28" s="8" t="n">
        <v>53.3</v>
      </c>
      <c r="N28" s="8" t="n">
        <v>4.5</v>
      </c>
      <c r="O28" s="8" t="n">
        <f aca="false">O27+N28</f>
        <v>17.4</v>
      </c>
      <c r="P28" s="8" t="n">
        <v>23</v>
      </c>
      <c r="Q28" s="8" t="n">
        <f aca="false">0.35+((P28-9)/80)*(1-0.35)</f>
        <v>0.46375</v>
      </c>
      <c r="R28" s="14" t="n">
        <f aca="false">Q28*L28</f>
        <v>0.602875</v>
      </c>
      <c r="S28" s="14" t="n">
        <f aca="false">J28-R28</f>
        <v>5.197125</v>
      </c>
      <c r="T28" s="14" t="n">
        <f aca="false">MIN(189.6,(T27+S28))</f>
        <v>50.2068125</v>
      </c>
      <c r="V28" s="15" t="n">
        <v>669.6</v>
      </c>
      <c r="W28" s="8" t="n">
        <v>58.2260869565217</v>
      </c>
      <c r="X28" s="8" t="n">
        <v>26880.6</v>
      </c>
      <c r="AA28" s="8" t="n">
        <v>12.1504258308271</v>
      </c>
    </row>
    <row r="29" s="8" customFormat="true" ht="15" hidden="false" customHeight="false" outlineLevel="0" collapsed="false">
      <c r="A29" s="9"/>
      <c r="B29" s="10"/>
      <c r="C29" s="11" t="n">
        <v>41907</v>
      </c>
      <c r="D29" s="8" t="n">
        <v>11.2</v>
      </c>
      <c r="E29" s="8" t="n">
        <v>6.6</v>
      </c>
      <c r="F29" s="8" t="n">
        <v>16.6</v>
      </c>
      <c r="G29" s="8" t="n">
        <v>376.8</v>
      </c>
      <c r="J29" s="8" t="n">
        <v>0</v>
      </c>
      <c r="K29" s="8" t="n">
        <v>25.8</v>
      </c>
      <c r="L29" s="8" t="n">
        <v>2.1</v>
      </c>
      <c r="M29" s="8" t="n">
        <v>55.4</v>
      </c>
      <c r="N29" s="13" t="n">
        <v>-2.1</v>
      </c>
      <c r="O29" s="8" t="n">
        <f aca="false">O28+N29</f>
        <v>15.3</v>
      </c>
      <c r="P29" s="8" t="n">
        <v>24</v>
      </c>
      <c r="Q29" s="8" t="n">
        <f aca="false">0.35+((P29-9)/80)*(1-0.35)</f>
        <v>0.471875</v>
      </c>
      <c r="R29" s="14" t="n">
        <f aca="false">Q29*L29</f>
        <v>0.9909375</v>
      </c>
      <c r="S29" s="14" t="n">
        <f aca="false">J29-R29</f>
        <v>-0.9909375</v>
      </c>
      <c r="T29" s="14" t="n">
        <f aca="false">MIN(189.6,(T28+S29))</f>
        <v>49.215875</v>
      </c>
      <c r="V29" s="8" t="n">
        <v>1119.8</v>
      </c>
      <c r="W29" s="8" t="n">
        <v>99.9821428571429</v>
      </c>
      <c r="X29" s="8" t="n">
        <v>28000.4</v>
      </c>
      <c r="AA29" s="8" t="n">
        <v>12.0892278984656</v>
      </c>
    </row>
    <row r="30" s="8" customFormat="true" ht="15" hidden="false" customHeight="false" outlineLevel="0" collapsed="false">
      <c r="A30" s="9"/>
      <c r="B30" s="10"/>
      <c r="C30" s="11" t="n">
        <v>41908</v>
      </c>
      <c r="D30" s="8" t="n">
        <v>14.2</v>
      </c>
      <c r="E30" s="8" t="n">
        <v>8.5</v>
      </c>
      <c r="F30" s="8" t="n">
        <v>19.9</v>
      </c>
      <c r="G30" s="8" t="n">
        <v>391</v>
      </c>
      <c r="J30" s="8" t="n">
        <v>0</v>
      </c>
      <c r="K30" s="8" t="n">
        <v>25.8</v>
      </c>
      <c r="L30" s="8" t="n">
        <v>2.1</v>
      </c>
      <c r="M30" s="8" t="n">
        <v>57.5</v>
      </c>
      <c r="N30" s="13" t="n">
        <v>-2.1</v>
      </c>
      <c r="O30" s="8" t="n">
        <f aca="false">O29+N30</f>
        <v>13.2</v>
      </c>
      <c r="P30" s="8" t="n">
        <v>25</v>
      </c>
      <c r="Q30" s="8" t="n">
        <f aca="false">0.35+((P30-9)/80)*(1-0.35)</f>
        <v>0.48</v>
      </c>
      <c r="R30" s="14" t="n">
        <f aca="false">Q30*L30</f>
        <v>1.008</v>
      </c>
      <c r="S30" s="14" t="n">
        <f aca="false">J30-R30</f>
        <v>-1.008</v>
      </c>
      <c r="T30" s="14" t="n">
        <f aca="false">MIN(189.6,(T29+S30))</f>
        <v>48.207875</v>
      </c>
      <c r="V30" s="8" t="n">
        <v>1039</v>
      </c>
      <c r="W30" s="8" t="n">
        <v>73.169014084507</v>
      </c>
      <c r="X30" s="8" t="n">
        <v>29039.4</v>
      </c>
      <c r="AA30" s="8" t="n">
        <v>12.0280217734959</v>
      </c>
    </row>
    <row r="31" s="8" customFormat="true" ht="15" hidden="false" customHeight="false" outlineLevel="0" collapsed="false">
      <c r="A31" s="9"/>
      <c r="B31" s="10"/>
      <c r="C31" s="11" t="n">
        <v>41909</v>
      </c>
      <c r="D31" s="8" t="n">
        <v>16.9</v>
      </c>
      <c r="E31" s="8" t="n">
        <v>14.4</v>
      </c>
      <c r="F31" s="8" t="n">
        <v>21.4</v>
      </c>
      <c r="G31" s="8" t="n">
        <v>407.9</v>
      </c>
      <c r="J31" s="8" t="n">
        <v>0</v>
      </c>
      <c r="K31" s="8" t="n">
        <v>25.8</v>
      </c>
      <c r="L31" s="8" t="n">
        <v>2.1</v>
      </c>
      <c r="M31" s="8" t="n">
        <v>59.6</v>
      </c>
      <c r="N31" s="13" t="n">
        <v>-2.1</v>
      </c>
      <c r="O31" s="8" t="n">
        <f aca="false">O30+N31</f>
        <v>11.1</v>
      </c>
      <c r="P31" s="8" t="n">
        <v>26</v>
      </c>
      <c r="Q31" s="8" t="n">
        <f aca="false">0.35+((P31-9)/80)*(1-0.35)</f>
        <v>0.488125</v>
      </c>
      <c r="R31" s="14" t="n">
        <f aca="false">Q31*L31</f>
        <v>1.0250625</v>
      </c>
      <c r="S31" s="14" t="n">
        <f aca="false">J31-R31</f>
        <v>-1.0250625</v>
      </c>
      <c r="T31" s="14" t="n">
        <f aca="false">MIN(189.6,(T30+S31))</f>
        <v>47.1828125</v>
      </c>
      <c r="V31" s="8" t="n">
        <v>930.3</v>
      </c>
      <c r="W31" s="8" t="n">
        <v>55.0473372781065</v>
      </c>
      <c r="X31" s="8" t="n">
        <v>29969.7</v>
      </c>
      <c r="AA31" s="8" t="n">
        <v>11.9668128590714</v>
      </c>
    </row>
    <row r="32" s="8" customFormat="true" ht="15" hidden="false" customHeight="false" outlineLevel="0" collapsed="false">
      <c r="A32" s="9"/>
      <c r="B32" s="10"/>
      <c r="C32" s="11" t="n">
        <v>41910</v>
      </c>
      <c r="D32" s="8" t="n">
        <v>16</v>
      </c>
      <c r="E32" s="8" t="n">
        <v>11.2</v>
      </c>
      <c r="F32" s="8" t="n">
        <v>20.9</v>
      </c>
      <c r="G32" s="8" t="n">
        <v>423.9</v>
      </c>
      <c r="J32" s="8" t="n">
        <v>0</v>
      </c>
      <c r="K32" s="8" t="n">
        <v>25.8</v>
      </c>
      <c r="L32" s="8" t="n">
        <v>2.1</v>
      </c>
      <c r="M32" s="8" t="n">
        <v>61.7</v>
      </c>
      <c r="N32" s="13" t="n">
        <v>-2.1</v>
      </c>
      <c r="O32" s="8" t="n">
        <f aca="false">O31+N32</f>
        <v>9</v>
      </c>
      <c r="P32" s="8" t="n">
        <v>27</v>
      </c>
      <c r="Q32" s="8" t="n">
        <f aca="false">0.35+((P32-9)/80)*(1-0.35)</f>
        <v>0.49625</v>
      </c>
      <c r="R32" s="14" t="n">
        <f aca="false">Q32*L32</f>
        <v>1.042125</v>
      </c>
      <c r="S32" s="14" t="n">
        <f aca="false">J32-R32</f>
        <v>-1.042125</v>
      </c>
      <c r="T32" s="14" t="n">
        <f aca="false">MIN(189.6,(T31+S32))</f>
        <v>46.1406875</v>
      </c>
      <c r="V32" s="8" t="n">
        <v>1186.9</v>
      </c>
      <c r="W32" s="8" t="n">
        <v>74.18125</v>
      </c>
      <c r="X32" s="8" t="n">
        <v>31156.6</v>
      </c>
      <c r="AA32" s="8" t="n">
        <v>11.9056066249754</v>
      </c>
    </row>
    <row r="33" s="8" customFormat="true" ht="15" hidden="false" customHeight="false" outlineLevel="0" collapsed="false">
      <c r="A33" s="9"/>
      <c r="B33" s="10"/>
      <c r="C33" s="11" t="n">
        <v>41911</v>
      </c>
      <c r="D33" s="8" t="n">
        <v>17</v>
      </c>
      <c r="E33" s="8" t="n">
        <v>14.5</v>
      </c>
      <c r="F33" s="8" t="n">
        <v>20.4</v>
      </c>
      <c r="G33" s="8" t="n">
        <v>440.9</v>
      </c>
      <c r="J33" s="8" t="n">
        <v>5.4</v>
      </c>
      <c r="K33" s="8" t="n">
        <v>31.2</v>
      </c>
      <c r="L33" s="8" t="n">
        <v>1.3</v>
      </c>
      <c r="M33" s="8" t="n">
        <v>63</v>
      </c>
      <c r="N33" s="8" t="n">
        <v>4.1</v>
      </c>
      <c r="O33" s="8" t="n">
        <f aca="false">O32+N33</f>
        <v>13.1</v>
      </c>
      <c r="P33" s="8" t="n">
        <v>28</v>
      </c>
      <c r="Q33" s="8" t="n">
        <f aca="false">0.35+((P33-9)/80)*(1-0.35)</f>
        <v>0.504375</v>
      </c>
      <c r="R33" s="14" t="n">
        <f aca="false">Q33*L33</f>
        <v>0.6556875</v>
      </c>
      <c r="S33" s="14" t="n">
        <f aca="false">J33-R33</f>
        <v>4.7443125</v>
      </c>
      <c r="T33" s="14" t="n">
        <f aca="false">MIN(189.6,(T32+S33))</f>
        <v>50.885</v>
      </c>
      <c r="V33" s="15" t="n">
        <v>607.1</v>
      </c>
      <c r="W33" s="8" t="n">
        <v>35.7117647058824</v>
      </c>
      <c r="X33" s="8" t="n">
        <v>31763.7</v>
      </c>
      <c r="AA33" s="8" t="n">
        <v>11.8444086255583</v>
      </c>
    </row>
    <row r="34" s="8" customFormat="true" ht="15" hidden="false" customHeight="false" outlineLevel="0" collapsed="false">
      <c r="A34" s="9"/>
      <c r="B34" s="10"/>
      <c r="C34" s="11" t="n">
        <v>41912</v>
      </c>
      <c r="D34" s="8" t="n">
        <v>15.9</v>
      </c>
      <c r="E34" s="8" t="n">
        <v>12.6</v>
      </c>
      <c r="F34" s="8" t="n">
        <v>20.9</v>
      </c>
      <c r="G34" s="8" t="n">
        <v>456.8</v>
      </c>
      <c r="J34" s="8" t="n">
        <v>0.1</v>
      </c>
      <c r="K34" s="8" t="n">
        <v>31.3</v>
      </c>
      <c r="L34" s="8" t="n">
        <v>2.2</v>
      </c>
      <c r="M34" s="8" t="n">
        <v>65.2</v>
      </c>
      <c r="N34" s="13" t="n">
        <v>-2.1</v>
      </c>
      <c r="O34" s="8" t="n">
        <f aca="false">O33+N34</f>
        <v>11</v>
      </c>
      <c r="P34" s="8" t="n">
        <v>29</v>
      </c>
      <c r="Q34" s="8" t="n">
        <f aca="false">0.35+((P34-9)/80)*(1-0.35)</f>
        <v>0.5125</v>
      </c>
      <c r="R34" s="14" t="n">
        <f aca="false">Q34*L34</f>
        <v>1.1275</v>
      </c>
      <c r="S34" s="14" t="n">
        <f aca="false">J34-R34</f>
        <v>-1.0275</v>
      </c>
      <c r="T34" s="14" t="n">
        <f aca="false">MIN(189.6,(T33+S34))</f>
        <v>49.8575</v>
      </c>
      <c r="V34" s="8" t="n">
        <v>1072.6</v>
      </c>
      <c r="W34" s="8" t="n">
        <v>67.4591194968553</v>
      </c>
      <c r="X34" s="8" t="n">
        <v>32836.3</v>
      </c>
      <c r="AA34" s="8" t="n">
        <v>11.7832245178004</v>
      </c>
    </row>
    <row r="35" s="8" customFormat="true" ht="15" hidden="false" customHeight="false" outlineLevel="0" collapsed="false">
      <c r="A35" s="9"/>
      <c r="B35" s="10"/>
      <c r="C35" s="11" t="n">
        <v>41913</v>
      </c>
      <c r="D35" s="8" t="n">
        <v>16</v>
      </c>
      <c r="E35" s="8" t="n">
        <v>10.9</v>
      </c>
      <c r="F35" s="8" t="n">
        <v>21.9</v>
      </c>
      <c r="G35" s="8" t="n">
        <v>472.8</v>
      </c>
      <c r="J35" s="8" t="n">
        <v>0.2</v>
      </c>
      <c r="K35" s="8" t="n">
        <v>31.5</v>
      </c>
      <c r="L35" s="8" t="n">
        <v>2.3</v>
      </c>
      <c r="M35" s="8" t="n">
        <v>67.5</v>
      </c>
      <c r="N35" s="13" t="n">
        <v>-2.1</v>
      </c>
      <c r="O35" s="8" t="n">
        <f aca="false">O34+N35</f>
        <v>8.90000000000001</v>
      </c>
      <c r="P35" s="8" t="n">
        <v>30</v>
      </c>
      <c r="Q35" s="8" t="n">
        <f aca="false">0.35+((P35-9)/80)*(1-0.35)</f>
        <v>0.520625</v>
      </c>
      <c r="R35" s="14" t="n">
        <f aca="false">Q35*L35</f>
        <v>1.1974375</v>
      </c>
      <c r="S35" s="14" t="n">
        <f aca="false">J35-R35</f>
        <v>-0.9974375</v>
      </c>
      <c r="T35" s="14" t="n">
        <f aca="false">MIN(189.6,(T34+S35))</f>
        <v>48.8600625</v>
      </c>
      <c r="V35" s="8" t="n">
        <v>1157.3</v>
      </c>
      <c r="W35" s="8" t="n">
        <v>72.33125</v>
      </c>
      <c r="X35" s="8" t="n">
        <v>33993.6</v>
      </c>
      <c r="AA35" s="8" t="n">
        <v>11.7220600795062</v>
      </c>
    </row>
    <row r="36" s="8" customFormat="true" ht="15" hidden="false" customHeight="false" outlineLevel="0" collapsed="false">
      <c r="A36" s="9"/>
      <c r="B36" s="10"/>
      <c r="C36" s="11" t="n">
        <v>41914</v>
      </c>
      <c r="D36" s="8" t="n">
        <v>15.8</v>
      </c>
      <c r="E36" s="8" t="n">
        <v>14.7</v>
      </c>
      <c r="F36" s="8" t="n">
        <v>18.7</v>
      </c>
      <c r="G36" s="8" t="n">
        <v>488.6</v>
      </c>
      <c r="J36" s="8" t="n">
        <v>0.1</v>
      </c>
      <c r="K36" s="8" t="n">
        <v>31.6</v>
      </c>
      <c r="L36" s="8" t="n">
        <v>0.9</v>
      </c>
      <c r="M36" s="8" t="n">
        <v>68.4</v>
      </c>
      <c r="N36" s="13" t="n">
        <v>-0.8</v>
      </c>
      <c r="O36" s="8" t="n">
        <f aca="false">O35+N36</f>
        <v>8.10000000000001</v>
      </c>
      <c r="P36" s="8" t="n">
        <v>31</v>
      </c>
      <c r="Q36" s="8" t="n">
        <f aca="false">0.35+((P36-9)/80)*(1-0.35)</f>
        <v>0.52875</v>
      </c>
      <c r="R36" s="14" t="n">
        <f aca="false">Q36*L36</f>
        <v>0.475875</v>
      </c>
      <c r="S36" s="14" t="n">
        <f aca="false">J36-R36</f>
        <v>-0.375875</v>
      </c>
      <c r="T36" s="14" t="n">
        <f aca="false">MIN(189.6,(T35+S36))</f>
        <v>48.4841875</v>
      </c>
      <c r="V36" s="15" t="n">
        <v>390.3</v>
      </c>
      <c r="W36" s="8" t="n">
        <v>24.7025316455696</v>
      </c>
      <c r="X36" s="8" t="n">
        <v>34383.9</v>
      </c>
      <c r="AA36" s="8" t="n">
        <v>11.6609212276372</v>
      </c>
    </row>
    <row r="37" s="8" customFormat="true" ht="15" hidden="false" customHeight="false" outlineLevel="0" collapsed="false">
      <c r="A37" s="9"/>
      <c r="B37" s="10"/>
      <c r="C37" s="11" t="n">
        <v>41915</v>
      </c>
      <c r="D37" s="8" t="n">
        <v>15.2</v>
      </c>
      <c r="E37" s="8" t="n">
        <v>9.4</v>
      </c>
      <c r="F37" s="8" t="n">
        <v>22</v>
      </c>
      <c r="G37" s="8" t="n">
        <v>503.8</v>
      </c>
      <c r="J37" s="8" t="n">
        <v>0</v>
      </c>
      <c r="K37" s="8" t="n">
        <v>31.6</v>
      </c>
      <c r="L37" s="8" t="n">
        <v>1.7</v>
      </c>
      <c r="M37" s="8" t="n">
        <v>70.1</v>
      </c>
      <c r="N37" s="13" t="n">
        <v>-1.7</v>
      </c>
      <c r="O37" s="8" t="n">
        <f aca="false">O36+N37</f>
        <v>6.40000000000001</v>
      </c>
      <c r="P37" s="8" t="n">
        <v>32</v>
      </c>
      <c r="Q37" s="8" t="n">
        <f aca="false">0.35+((P37-9)/80)*(1-0.35)</f>
        <v>0.536875</v>
      </c>
      <c r="R37" s="14" t="n">
        <f aca="false">Q37*L37</f>
        <v>0.9126875</v>
      </c>
      <c r="S37" s="14" t="n">
        <f aca="false">J37-R37</f>
        <v>-0.9126875</v>
      </c>
      <c r="T37" s="14" t="n">
        <f aca="false">MIN(189.6,(T36+S37))</f>
        <v>47.5715</v>
      </c>
      <c r="V37" s="15" t="n">
        <v>865.6</v>
      </c>
      <c r="W37" s="8" t="n">
        <v>56.9473684210526</v>
      </c>
      <c r="X37" s="8" t="n">
        <v>35249.5</v>
      </c>
      <c r="AA37" s="8" t="n">
        <v>11.5998140367872</v>
      </c>
    </row>
    <row r="38" s="8" customFormat="true" ht="15" hidden="false" customHeight="false" outlineLevel="0" collapsed="false">
      <c r="A38" s="9"/>
      <c r="B38" s="10"/>
      <c r="C38" s="11" t="n">
        <v>41916</v>
      </c>
      <c r="D38" s="8" t="n">
        <v>13.8</v>
      </c>
      <c r="E38" s="8" t="n">
        <v>9.3</v>
      </c>
      <c r="F38" s="8" t="n">
        <v>21</v>
      </c>
      <c r="G38" s="8" t="n">
        <v>517.6</v>
      </c>
      <c r="J38" s="8" t="n">
        <v>6</v>
      </c>
      <c r="K38" s="8" t="n">
        <v>37.6</v>
      </c>
      <c r="L38" s="8" t="n">
        <v>1.9</v>
      </c>
      <c r="M38" s="8" t="n">
        <v>72</v>
      </c>
      <c r="N38" s="8" t="n">
        <v>4.1</v>
      </c>
      <c r="O38" s="8" t="n">
        <f aca="false">O37+N38</f>
        <v>10.5</v>
      </c>
      <c r="P38" s="8" t="n">
        <v>33</v>
      </c>
      <c r="Q38" s="8" t="n">
        <f aca="false">0.35+((P38-9)/80)*(1-0.35)</f>
        <v>0.545</v>
      </c>
      <c r="R38" s="14" t="n">
        <f aca="false">Q38*L38</f>
        <v>1.0355</v>
      </c>
      <c r="S38" s="14" t="n">
        <f aca="false">J38-R38</f>
        <v>4.9645</v>
      </c>
      <c r="T38" s="14" t="n">
        <f aca="false">MIN(189.6,(T37+S38))</f>
        <v>52.536</v>
      </c>
      <c r="V38" s="15" t="n">
        <v>636.7</v>
      </c>
      <c r="W38" s="8" t="n">
        <v>46.1376811594203</v>
      </c>
      <c r="X38" s="8" t="n">
        <v>35886.2</v>
      </c>
      <c r="AA38" s="8" t="n">
        <v>11.5387447578035</v>
      </c>
    </row>
    <row r="39" s="8" customFormat="true" ht="15" hidden="false" customHeight="false" outlineLevel="0" collapsed="false">
      <c r="A39" s="9"/>
      <c r="B39" s="10"/>
      <c r="C39" s="11" t="n">
        <v>41917</v>
      </c>
      <c r="D39" s="8" t="n">
        <v>12.1</v>
      </c>
      <c r="E39" s="8" t="n">
        <v>9.7</v>
      </c>
      <c r="F39" s="8" t="n">
        <v>14.8</v>
      </c>
      <c r="G39" s="8" t="n">
        <v>529.7</v>
      </c>
      <c r="J39" s="8" t="n">
        <v>0</v>
      </c>
      <c r="K39" s="8" t="n">
        <v>37.6</v>
      </c>
      <c r="L39" s="8" t="n">
        <v>1.8</v>
      </c>
      <c r="M39" s="8" t="n">
        <v>73.8</v>
      </c>
      <c r="N39" s="13" t="n">
        <v>-1.8</v>
      </c>
      <c r="O39" s="8" t="n">
        <f aca="false">O38+N39</f>
        <v>8.7</v>
      </c>
      <c r="P39" s="8" t="n">
        <v>34</v>
      </c>
      <c r="Q39" s="8" t="n">
        <f aca="false">0.35+((P39-9)/80)*(1-0.35)</f>
        <v>0.553125</v>
      </c>
      <c r="R39" s="14" t="n">
        <f aca="false">Q39*L39</f>
        <v>0.995625</v>
      </c>
      <c r="S39" s="14" t="n">
        <f aca="false">J39-R39</f>
        <v>-0.995625</v>
      </c>
      <c r="T39" s="14" t="n">
        <f aca="false">MIN(189.6,(T38+S39))</f>
        <v>51.540375</v>
      </c>
      <c r="V39" s="15" t="n">
        <v>865.6</v>
      </c>
      <c r="W39" s="8" t="n">
        <v>71.5371900826446</v>
      </c>
      <c r="X39" s="8" t="n">
        <v>36751.8</v>
      </c>
      <c r="AA39" s="8" t="n">
        <v>11.477719836557</v>
      </c>
    </row>
    <row r="40" s="8" customFormat="true" ht="15" hidden="false" customHeight="false" outlineLevel="0" collapsed="false">
      <c r="A40" s="9"/>
      <c r="B40" s="10"/>
      <c r="C40" s="11" t="n">
        <v>41918</v>
      </c>
      <c r="D40" s="8" t="n">
        <v>11.1</v>
      </c>
      <c r="E40" s="8" t="n">
        <v>7.8</v>
      </c>
      <c r="F40" s="8" t="n">
        <v>13.6</v>
      </c>
      <c r="G40" s="8" t="n">
        <v>540.8</v>
      </c>
      <c r="J40" s="8" t="n">
        <v>4.7</v>
      </c>
      <c r="K40" s="8" t="n">
        <v>42.3</v>
      </c>
      <c r="L40" s="8" t="n">
        <v>0.9</v>
      </c>
      <c r="M40" s="8" t="n">
        <v>74.7</v>
      </c>
      <c r="N40" s="8" t="n">
        <v>3.8</v>
      </c>
      <c r="O40" s="8" t="n">
        <f aca="false">O39+N40</f>
        <v>12.5</v>
      </c>
      <c r="P40" s="8" t="n">
        <v>35</v>
      </c>
      <c r="Q40" s="8" t="n">
        <f aca="false">0.35+((P40-9)/80)*(1-0.35)</f>
        <v>0.56125</v>
      </c>
      <c r="R40" s="14" t="n">
        <f aca="false">Q40*L40</f>
        <v>0.505125</v>
      </c>
      <c r="S40" s="14" t="n">
        <f aca="false">J40-R40</f>
        <v>4.194875</v>
      </c>
      <c r="T40" s="14" t="n">
        <f aca="false">MIN(189.6,(T39+S40))</f>
        <v>55.73525</v>
      </c>
      <c r="V40" s="15" t="n">
        <v>622.3</v>
      </c>
      <c r="W40" s="8" t="n">
        <v>56.0630630630631</v>
      </c>
      <c r="X40" s="8" t="n">
        <v>37374.1</v>
      </c>
      <c r="AA40" s="8" t="n">
        <v>11.4167459328616</v>
      </c>
    </row>
    <row r="41" s="8" customFormat="true" ht="15" hidden="false" customHeight="false" outlineLevel="0" collapsed="false">
      <c r="A41" s="9"/>
      <c r="B41" s="10"/>
      <c r="C41" s="11" t="n">
        <v>41919</v>
      </c>
      <c r="D41" s="8" t="n">
        <v>11.7</v>
      </c>
      <c r="E41" s="8" t="n">
        <v>10.3</v>
      </c>
      <c r="F41" s="8" t="n">
        <v>13.9</v>
      </c>
      <c r="G41" s="8" t="n">
        <v>552.5</v>
      </c>
      <c r="J41" s="8" t="n">
        <v>1.3</v>
      </c>
      <c r="K41" s="8" t="n">
        <v>43.6</v>
      </c>
      <c r="L41" s="8" t="n">
        <v>1.5</v>
      </c>
      <c r="M41" s="8" t="n">
        <v>76.2</v>
      </c>
      <c r="N41" s="13" t="n">
        <v>-0.2</v>
      </c>
      <c r="O41" s="8" t="n">
        <f aca="false">O40+N41</f>
        <v>12.3</v>
      </c>
      <c r="P41" s="8" t="n">
        <v>36</v>
      </c>
      <c r="Q41" s="8" t="n">
        <f aca="false">0.35+((P41-9)/80)*(1-0.35)</f>
        <v>0.569375</v>
      </c>
      <c r="R41" s="14" t="n">
        <f aca="false">Q41*L41</f>
        <v>0.8540625</v>
      </c>
      <c r="S41" s="14" t="n">
        <f aca="false">J41-R41</f>
        <v>0.4459375</v>
      </c>
      <c r="T41" s="14" t="n">
        <f aca="false">MIN(189.6,(T40+S41))</f>
        <v>56.1811875</v>
      </c>
      <c r="V41" s="15" t="n">
        <v>825.7</v>
      </c>
      <c r="W41" s="8" t="n">
        <v>70.5726495726496</v>
      </c>
      <c r="X41" s="8" t="n">
        <v>38199.8</v>
      </c>
      <c r="AA41" s="8" t="n">
        <v>11.3558299395414</v>
      </c>
    </row>
    <row r="42" s="8" customFormat="true" ht="15" hidden="false" customHeight="false" outlineLevel="0" collapsed="false">
      <c r="A42" s="9"/>
      <c r="B42" s="10"/>
      <c r="C42" s="11" t="n">
        <v>41920</v>
      </c>
      <c r="D42" s="8" t="n">
        <v>13.8</v>
      </c>
      <c r="E42" s="8" t="n">
        <v>9.1</v>
      </c>
      <c r="F42" s="8" t="n">
        <v>16.3</v>
      </c>
      <c r="G42" s="8" t="n">
        <v>566.3</v>
      </c>
      <c r="J42" s="8" t="n">
        <v>8.8</v>
      </c>
      <c r="K42" s="8" t="n">
        <v>52.4</v>
      </c>
      <c r="L42" s="8" t="n">
        <v>0.4</v>
      </c>
      <c r="M42" s="8" t="n">
        <v>76.6</v>
      </c>
      <c r="N42" s="8" t="n">
        <v>8.4</v>
      </c>
      <c r="O42" s="8" t="n">
        <f aca="false">O41+N42</f>
        <v>20.7</v>
      </c>
      <c r="P42" s="8" t="n">
        <v>37</v>
      </c>
      <c r="Q42" s="8" t="n">
        <f aca="false">0.35+((P42-9)/80)*(1-0.35)</f>
        <v>0.5775</v>
      </c>
      <c r="R42" s="14" t="n">
        <f aca="false">Q42*L42</f>
        <v>0.231</v>
      </c>
      <c r="S42" s="14" t="n">
        <f aca="false">J42-R42</f>
        <v>8.569</v>
      </c>
      <c r="T42" s="14" t="n">
        <f aca="false">MIN(189.6,(T41+S42))</f>
        <v>64.7501875</v>
      </c>
      <c r="V42" s="15" t="n">
        <v>279.7</v>
      </c>
      <c r="W42" s="8" t="n">
        <v>20.268115942029</v>
      </c>
      <c r="X42" s="8" t="n">
        <v>38479.5</v>
      </c>
      <c r="AA42" s="8" t="n">
        <v>11.2949790016434</v>
      </c>
    </row>
    <row r="43" s="8" customFormat="true" ht="15" hidden="false" customHeight="false" outlineLevel="0" collapsed="false">
      <c r="A43" s="9"/>
      <c r="B43" s="10"/>
      <c r="C43" s="11" t="n">
        <v>41921</v>
      </c>
      <c r="D43" s="8" t="n">
        <v>14.8</v>
      </c>
      <c r="E43" s="8" t="n">
        <v>13.1</v>
      </c>
      <c r="F43" s="8" t="n">
        <v>17.6</v>
      </c>
      <c r="G43" s="8" t="n">
        <v>581.1</v>
      </c>
      <c r="J43" s="8" t="n">
        <v>0.9</v>
      </c>
      <c r="K43" s="8" t="n">
        <v>53.3</v>
      </c>
      <c r="L43" s="8" t="n">
        <v>1.7</v>
      </c>
      <c r="M43" s="8" t="n">
        <v>78.3</v>
      </c>
      <c r="N43" s="13" t="n">
        <v>-0.8</v>
      </c>
      <c r="O43" s="8" t="n">
        <f aca="false">O42+N43</f>
        <v>19.9</v>
      </c>
      <c r="P43" s="8" t="n">
        <v>38</v>
      </c>
      <c r="Q43" s="8" t="n">
        <f aca="false">0.35+((P43-9)/80)*(1-0.35)</f>
        <v>0.585625</v>
      </c>
      <c r="R43" s="14" t="n">
        <f aca="false">Q43*L43</f>
        <v>0.9955625</v>
      </c>
      <c r="S43" s="14" t="n">
        <f aca="false">J43-R43</f>
        <v>-0.0955624999999999</v>
      </c>
      <c r="T43" s="14" t="n">
        <f aca="false">MIN(189.6,(T42+S43))</f>
        <v>64.654625</v>
      </c>
      <c r="V43" s="15" t="n">
        <v>640.5</v>
      </c>
      <c r="W43" s="8" t="n">
        <v>43.277027027027</v>
      </c>
      <c r="X43" s="8" t="n">
        <v>39120</v>
      </c>
      <c r="AA43" s="8" t="n">
        <v>11.2342005357897</v>
      </c>
    </row>
    <row r="44" s="8" customFormat="true" ht="15" hidden="false" customHeight="false" outlineLevel="0" collapsed="false">
      <c r="A44" s="9"/>
      <c r="B44" s="10"/>
      <c r="C44" s="11" t="n">
        <v>41922</v>
      </c>
      <c r="D44" s="8" t="n">
        <v>12.8</v>
      </c>
      <c r="E44" s="8" t="n">
        <v>10.7</v>
      </c>
      <c r="F44" s="8" t="n">
        <v>16.5</v>
      </c>
      <c r="G44" s="8" t="n">
        <v>593.9</v>
      </c>
      <c r="J44" s="8" t="n">
        <v>2.2</v>
      </c>
      <c r="K44" s="8" t="n">
        <v>55.5</v>
      </c>
      <c r="L44" s="8" t="n">
        <v>1.7</v>
      </c>
      <c r="M44" s="8" t="n">
        <v>80</v>
      </c>
      <c r="N44" s="8" t="n">
        <v>0.5</v>
      </c>
      <c r="O44" s="8" t="n">
        <f aca="false">O43+N44</f>
        <v>20.4</v>
      </c>
      <c r="P44" s="8" t="n">
        <v>39</v>
      </c>
      <c r="Q44" s="8" t="n">
        <f aca="false">0.35+((P44-9)/80)*(1-0.35)</f>
        <v>0.59375</v>
      </c>
      <c r="R44" s="14" t="n">
        <f aca="false">Q44*L44</f>
        <v>1.009375</v>
      </c>
      <c r="S44" s="14" t="n">
        <f aca="false">J44-R44</f>
        <v>1.190625</v>
      </c>
      <c r="T44" s="14" t="n">
        <f aca="false">MIN(189.6,(T43+S44))</f>
        <v>65.84525</v>
      </c>
      <c r="V44" s="15" t="n">
        <v>807.5</v>
      </c>
      <c r="W44" s="8" t="n">
        <v>63.0859375</v>
      </c>
      <c r="X44" s="8" t="n">
        <v>39927.5</v>
      </c>
      <c r="AA44" s="8" t="n">
        <v>11.173502249662</v>
      </c>
    </row>
    <row r="45" s="8" customFormat="true" ht="15" hidden="false" customHeight="false" outlineLevel="0" collapsed="false">
      <c r="A45" s="9"/>
      <c r="B45" s="10"/>
      <c r="C45" s="11" t="n">
        <v>41923</v>
      </c>
      <c r="D45" s="8" t="n">
        <v>12.5</v>
      </c>
      <c r="E45" s="8" t="n">
        <v>10</v>
      </c>
      <c r="F45" s="8" t="n">
        <v>16.4</v>
      </c>
      <c r="G45" s="8" t="n">
        <v>606.4</v>
      </c>
      <c r="J45" s="8" t="n">
        <v>9.6</v>
      </c>
      <c r="K45" s="8" t="n">
        <v>65.1</v>
      </c>
      <c r="L45" s="8" t="n">
        <v>1.2</v>
      </c>
      <c r="M45" s="8" t="n">
        <v>81.2</v>
      </c>
      <c r="N45" s="8" t="n">
        <v>8.4</v>
      </c>
      <c r="O45" s="8" t="n">
        <f aca="false">O44+N45</f>
        <v>28.8</v>
      </c>
      <c r="P45" s="8" t="n">
        <v>40</v>
      </c>
      <c r="Q45" s="8" t="n">
        <f aca="false">0.35+((P45-9)/80)*(1-0.35)</f>
        <v>0.601875</v>
      </c>
      <c r="R45" s="14" t="n">
        <f aca="false">Q45*L45</f>
        <v>0.72225</v>
      </c>
      <c r="S45" s="14" t="n">
        <f aca="false">J45-R45</f>
        <v>8.87775</v>
      </c>
      <c r="T45" s="14" t="n">
        <f aca="false">MIN(189.6,(T44+S45))</f>
        <v>74.723</v>
      </c>
      <c r="V45" s="15" t="n">
        <v>564.9</v>
      </c>
      <c r="W45" s="8" t="n">
        <v>45.192</v>
      </c>
      <c r="X45" s="8" t="n">
        <v>40492.4</v>
      </c>
      <c r="AA45" s="8" t="n">
        <v>11.1128921616082</v>
      </c>
    </row>
    <row r="46" s="8" customFormat="true" ht="15" hidden="false" customHeight="false" outlineLevel="0" collapsed="false">
      <c r="A46" s="9"/>
      <c r="B46" s="10"/>
      <c r="C46" s="11" t="n">
        <v>41924</v>
      </c>
      <c r="D46" s="8" t="n">
        <v>12.2</v>
      </c>
      <c r="E46" s="8" t="n">
        <v>8.6</v>
      </c>
      <c r="F46" s="8" t="n">
        <v>14.7</v>
      </c>
      <c r="G46" s="8" t="n">
        <v>618.6</v>
      </c>
      <c r="J46" s="8" t="n">
        <v>3.2</v>
      </c>
      <c r="K46" s="8" t="n">
        <v>68.3</v>
      </c>
      <c r="L46" s="8" t="n">
        <v>0.7</v>
      </c>
      <c r="M46" s="8" t="n">
        <v>81.9</v>
      </c>
      <c r="N46" s="8" t="n">
        <v>2.5</v>
      </c>
      <c r="O46" s="8" t="n">
        <f aca="false">O45+N46</f>
        <v>31.3</v>
      </c>
      <c r="P46" s="8" t="n">
        <v>41</v>
      </c>
      <c r="Q46" s="8" t="n">
        <f aca="false">0.35+((P46-9)/80)*(1-0.35)</f>
        <v>0.61</v>
      </c>
      <c r="R46" s="14" t="n">
        <f aca="false">Q46*L46</f>
        <v>0.427</v>
      </c>
      <c r="S46" s="14" t="n">
        <f aca="false">J46-R46</f>
        <v>2.773</v>
      </c>
      <c r="T46" s="14" t="n">
        <f aca="false">MIN(189.6,(T45+S46))</f>
        <v>77.496</v>
      </c>
      <c r="V46" s="15" t="n">
        <v>349.8</v>
      </c>
      <c r="W46" s="8" t="n">
        <v>28.672131147541</v>
      </c>
      <c r="X46" s="8" t="n">
        <v>40842.2</v>
      </c>
      <c r="AA46" s="8" t="n">
        <v>11.0523786203561</v>
      </c>
    </row>
    <row r="47" s="8" customFormat="true" ht="15" hidden="false" customHeight="false" outlineLevel="0" collapsed="false">
      <c r="A47" s="9"/>
      <c r="B47" s="10"/>
      <c r="C47" s="11" t="n">
        <v>41925</v>
      </c>
      <c r="D47" s="8" t="n">
        <v>13.6</v>
      </c>
      <c r="E47" s="8" t="n">
        <v>12.6</v>
      </c>
      <c r="F47" s="8" t="n">
        <v>15.8</v>
      </c>
      <c r="G47" s="8" t="n">
        <v>632.2</v>
      </c>
      <c r="J47" s="8" t="n">
        <v>0</v>
      </c>
      <c r="K47" s="8" t="n">
        <v>68.3</v>
      </c>
      <c r="L47" s="8" t="n">
        <v>1.6</v>
      </c>
      <c r="M47" s="8" t="n">
        <v>83.5</v>
      </c>
      <c r="N47" s="13" t="n">
        <v>-1.6</v>
      </c>
      <c r="O47" s="8" t="n">
        <f aca="false">O46+N47</f>
        <v>29.7</v>
      </c>
      <c r="P47" s="8" t="n">
        <v>42</v>
      </c>
      <c r="Q47" s="8" t="n">
        <f aca="false">0.35+((P47-9)/80)*(1-0.35)</f>
        <v>0.618125</v>
      </c>
      <c r="R47" s="14" t="n">
        <f aca="false">Q47*L47</f>
        <v>0.989</v>
      </c>
      <c r="S47" s="14" t="n">
        <f aca="false">J47-R47</f>
        <v>-0.989</v>
      </c>
      <c r="T47" s="14" t="n">
        <f aca="false">MIN(189.6,(T46+S47))</f>
        <v>76.507</v>
      </c>
      <c r="V47" s="15" t="n">
        <v>503.1</v>
      </c>
      <c r="W47" s="8" t="n">
        <v>36.9926470588235</v>
      </c>
      <c r="X47" s="8" t="n">
        <v>41345.3</v>
      </c>
      <c r="AA47" s="8" t="n">
        <v>10.9919703248208</v>
      </c>
    </row>
    <row r="48" s="8" customFormat="true" ht="15" hidden="false" customHeight="false" outlineLevel="0" collapsed="false">
      <c r="A48" s="9"/>
      <c r="B48" s="10"/>
      <c r="C48" s="11" t="n">
        <v>41926</v>
      </c>
      <c r="D48" s="8" t="n">
        <v>11.5</v>
      </c>
      <c r="E48" s="8" t="n">
        <v>9.1</v>
      </c>
      <c r="F48" s="8" t="n">
        <v>16</v>
      </c>
      <c r="G48" s="8" t="n">
        <v>643.7</v>
      </c>
      <c r="J48" s="8" t="n">
        <v>0.1</v>
      </c>
      <c r="K48" s="8" t="n">
        <v>68.4</v>
      </c>
      <c r="L48" s="8" t="n">
        <v>1.7</v>
      </c>
      <c r="M48" s="8" t="n">
        <v>85.2</v>
      </c>
      <c r="N48" s="13" t="n">
        <v>-1.6</v>
      </c>
      <c r="O48" s="8" t="n">
        <f aca="false">O47+N48</f>
        <v>28.1</v>
      </c>
      <c r="P48" s="8" t="n">
        <v>43</v>
      </c>
      <c r="Q48" s="8" t="n">
        <f aca="false">0.35+((P48-9)/80)*(1-0.35)</f>
        <v>0.62625</v>
      </c>
      <c r="R48" s="14" t="n">
        <f aca="false">Q48*L48</f>
        <v>1.064625</v>
      </c>
      <c r="S48" s="14" t="n">
        <f aca="false">J48-R48</f>
        <v>-0.964625</v>
      </c>
      <c r="T48" s="14" t="n">
        <f aca="false">MIN(189.6,(T47+S48))</f>
        <v>75.542375</v>
      </c>
      <c r="V48" s="15" t="n">
        <v>710.6</v>
      </c>
      <c r="W48" s="8" t="n">
        <v>61.7913043478261</v>
      </c>
      <c r="X48" s="8" t="n">
        <v>42055.9</v>
      </c>
      <c r="AA48" s="8" t="n">
        <v>10.9316763439821</v>
      </c>
    </row>
    <row r="49" s="8" customFormat="true" ht="15" hidden="false" customHeight="false" outlineLevel="0" collapsed="false">
      <c r="A49" s="9"/>
      <c r="B49" s="10"/>
      <c r="C49" s="11" t="n">
        <v>41927</v>
      </c>
      <c r="D49" s="8" t="n">
        <v>11.7</v>
      </c>
      <c r="E49" s="8" t="n">
        <v>8.1</v>
      </c>
      <c r="F49" s="8" t="n">
        <v>14</v>
      </c>
      <c r="G49" s="8" t="n">
        <v>655.4</v>
      </c>
      <c r="J49" s="8" t="n">
        <v>2.4</v>
      </c>
      <c r="K49" s="8" t="n">
        <v>70.8</v>
      </c>
      <c r="L49" s="8" t="n">
        <v>0.2</v>
      </c>
      <c r="M49" s="8" t="n">
        <v>85.4</v>
      </c>
      <c r="N49" s="8" t="n">
        <v>2.2</v>
      </c>
      <c r="O49" s="8" t="n">
        <f aca="false">O48+N49</f>
        <v>30.3</v>
      </c>
      <c r="P49" s="8" t="n">
        <v>44</v>
      </c>
      <c r="Q49" s="8" t="n">
        <f aca="false">0.35+((P49-9)/80)*(1-0.35)</f>
        <v>0.634375</v>
      </c>
      <c r="R49" s="14" t="n">
        <f aca="false">Q49*L49</f>
        <v>0.126875</v>
      </c>
      <c r="S49" s="14" t="n">
        <f aca="false">J49-R49</f>
        <v>2.273125</v>
      </c>
      <c r="T49" s="14" t="n">
        <f aca="false">MIN(189.6,(T48+S49))</f>
        <v>77.8155</v>
      </c>
      <c r="V49" s="15" t="n">
        <v>248.2</v>
      </c>
      <c r="W49" s="8" t="n">
        <v>21.2136752136752</v>
      </c>
      <c r="X49" s="8" t="n">
        <v>42304.1</v>
      </c>
      <c r="AA49" s="8" t="n">
        <v>10.8715061368113</v>
      </c>
    </row>
    <row r="50" s="8" customFormat="true" ht="15" hidden="false" customHeight="false" outlineLevel="0" collapsed="false">
      <c r="A50" s="9"/>
      <c r="B50" s="10"/>
      <c r="C50" s="11" t="n">
        <v>41928</v>
      </c>
      <c r="D50" s="8" t="n">
        <v>15.3</v>
      </c>
      <c r="E50" s="8" t="n">
        <v>13.6</v>
      </c>
      <c r="F50" s="8" t="n">
        <v>17.6</v>
      </c>
      <c r="G50" s="8" t="n">
        <v>670.7</v>
      </c>
      <c r="J50" s="8" t="n">
        <v>12.3</v>
      </c>
      <c r="K50" s="8" t="n">
        <v>83.1</v>
      </c>
      <c r="L50" s="8" t="n">
        <v>1.3</v>
      </c>
      <c r="M50" s="8" t="n">
        <v>86.7</v>
      </c>
      <c r="N50" s="8" t="n">
        <v>11</v>
      </c>
      <c r="O50" s="8" t="n">
        <f aca="false">O49+N50</f>
        <v>41.3</v>
      </c>
      <c r="P50" s="8" t="n">
        <v>45</v>
      </c>
      <c r="Q50" s="8" t="n">
        <f aca="false">0.35+((P50-9)/80)*(1-0.35)</f>
        <v>0.6425</v>
      </c>
      <c r="R50" s="14" t="n">
        <f aca="false">Q50*L50</f>
        <v>0.83525</v>
      </c>
      <c r="S50" s="14" t="n">
        <f aca="false">J50-R50</f>
        <v>11.46475</v>
      </c>
      <c r="T50" s="14" t="n">
        <f aca="false">MIN(189.6,(T49+S50))</f>
        <v>89.28025</v>
      </c>
      <c r="V50" s="15" t="n">
        <v>592.2</v>
      </c>
      <c r="W50" s="8" t="n">
        <v>38.7058823529412</v>
      </c>
      <c r="X50" s="8" t="n">
        <v>42896.3</v>
      </c>
      <c r="AA50" s="8" t="n">
        <v>10.811469572217</v>
      </c>
    </row>
    <row r="51" s="8" customFormat="true" ht="15" hidden="false" customHeight="false" outlineLevel="0" collapsed="false">
      <c r="A51" s="9"/>
      <c r="B51" s="10"/>
      <c r="C51" s="11" t="n">
        <v>41929</v>
      </c>
      <c r="D51" s="8" t="n">
        <v>14.7</v>
      </c>
      <c r="E51" s="8" t="n">
        <v>12.6</v>
      </c>
      <c r="F51" s="8" t="n">
        <v>17</v>
      </c>
      <c r="G51" s="8" t="n">
        <v>685.4</v>
      </c>
      <c r="J51" s="8" t="n">
        <v>0</v>
      </c>
      <c r="K51" s="8" t="n">
        <v>83.1</v>
      </c>
      <c r="L51" s="8" t="n">
        <v>0.8</v>
      </c>
      <c r="M51" s="8" t="n">
        <v>87.5</v>
      </c>
      <c r="N51" s="13" t="n">
        <v>-0.8</v>
      </c>
      <c r="O51" s="8" t="n">
        <f aca="false">O50+N51</f>
        <v>40.5</v>
      </c>
      <c r="P51" s="8" t="n">
        <v>46</v>
      </c>
      <c r="Q51" s="8" t="n">
        <f aca="false">0.35+((P51-9)/80)*(1-0.35)</f>
        <v>0.650625</v>
      </c>
      <c r="R51" s="14" t="n">
        <f aca="false">Q51*L51</f>
        <v>0.5205</v>
      </c>
      <c r="S51" s="14" t="n">
        <f aca="false">J51-R51</f>
        <v>-0.5205</v>
      </c>
      <c r="T51" s="14" t="n">
        <f aca="false">MIN(189.6,(T50+S51))</f>
        <v>88.75975</v>
      </c>
      <c r="V51" s="15" t="n">
        <v>384.8</v>
      </c>
      <c r="W51" s="8" t="n">
        <v>26.1768707482993</v>
      </c>
      <c r="X51" s="8" t="n">
        <v>43281.1</v>
      </c>
      <c r="AA51" s="8" t="n">
        <v>10.7515769489798</v>
      </c>
    </row>
    <row r="52" s="8" customFormat="true" ht="15" hidden="false" customHeight="false" outlineLevel="0" collapsed="false">
      <c r="A52" s="9"/>
      <c r="B52" s="10"/>
      <c r="C52" s="11" t="n">
        <v>41930</v>
      </c>
      <c r="D52" s="8" t="n">
        <v>17.3</v>
      </c>
      <c r="E52" s="8" t="n">
        <v>13.9</v>
      </c>
      <c r="F52" s="8" t="n">
        <v>21.8</v>
      </c>
      <c r="G52" s="8" t="n">
        <v>702.7</v>
      </c>
      <c r="J52" s="8" t="n">
        <v>0.1</v>
      </c>
      <c r="K52" s="8" t="n">
        <v>83.2</v>
      </c>
      <c r="L52" s="8" t="n">
        <v>2.2</v>
      </c>
      <c r="M52" s="8" t="n">
        <v>89.7</v>
      </c>
      <c r="N52" s="13" t="n">
        <v>-2.1</v>
      </c>
      <c r="O52" s="8" t="n">
        <f aca="false">O51+N52</f>
        <v>38.4</v>
      </c>
      <c r="P52" s="8" t="n">
        <v>47</v>
      </c>
      <c r="Q52" s="8" t="n">
        <f aca="false">0.35+((P52-9)/80)*(1-0.35)</f>
        <v>0.65875</v>
      </c>
      <c r="R52" s="14" t="n">
        <f aca="false">Q52*L52</f>
        <v>1.44925</v>
      </c>
      <c r="S52" s="14" t="n">
        <f aca="false">J52-R52</f>
        <v>-1.34925</v>
      </c>
      <c r="T52" s="14" t="n">
        <f aca="false">MIN(189.6,(T51+S52))</f>
        <v>87.4105</v>
      </c>
      <c r="V52" s="8" t="n">
        <v>1055.6</v>
      </c>
      <c r="W52" s="8" t="n">
        <v>61.0173410404624</v>
      </c>
      <c r="X52" s="8" t="n">
        <v>44336.7</v>
      </c>
      <c r="AA52" s="8" t="n">
        <v>10.691839015637</v>
      </c>
    </row>
    <row r="53" s="8" customFormat="true" ht="15" hidden="false" customHeight="false" outlineLevel="0" collapsed="false">
      <c r="A53" s="9"/>
      <c r="B53" s="10"/>
      <c r="C53" s="11" t="n">
        <v>41931</v>
      </c>
      <c r="D53" s="8" t="n">
        <v>16.2</v>
      </c>
      <c r="E53" s="8" t="n">
        <v>13.6</v>
      </c>
      <c r="F53" s="8" t="n">
        <v>22.2</v>
      </c>
      <c r="G53" s="8" t="n">
        <v>718.9</v>
      </c>
      <c r="J53" s="8" t="n">
        <v>0.4</v>
      </c>
      <c r="K53" s="8" t="n">
        <v>83.6</v>
      </c>
      <c r="L53" s="8" t="n">
        <v>2.4</v>
      </c>
      <c r="M53" s="8" t="n">
        <v>92.1</v>
      </c>
      <c r="N53" s="13" t="n">
        <v>-2</v>
      </c>
      <c r="O53" s="8" t="n">
        <f aca="false">O52+N53</f>
        <v>36.4</v>
      </c>
      <c r="P53" s="8" t="n">
        <v>48</v>
      </c>
      <c r="Q53" s="8" t="n">
        <f aca="false">0.35+((P53-9)/80)*(1-0.35)</f>
        <v>0.666875</v>
      </c>
      <c r="R53" s="14" t="n">
        <f aca="false">Q53*L53</f>
        <v>1.6005</v>
      </c>
      <c r="S53" s="14" t="n">
        <f aca="false">J53-R53</f>
        <v>-1.2005</v>
      </c>
      <c r="T53" s="14" t="n">
        <f aca="false">MIN(189.6,(T52+S53))</f>
        <v>86.21</v>
      </c>
      <c r="V53" s="8" t="n">
        <v>994.8</v>
      </c>
      <c r="W53" s="8" t="n">
        <v>61.4074074074074</v>
      </c>
      <c r="X53" s="8" t="n">
        <v>45331.5</v>
      </c>
      <c r="AA53" s="8" t="n">
        <v>10.6322669902773</v>
      </c>
    </row>
    <row r="54" s="8" customFormat="true" ht="15" hidden="false" customHeight="false" outlineLevel="0" collapsed="false">
      <c r="A54" s="9"/>
      <c r="B54" s="10"/>
      <c r="C54" s="11" t="n">
        <v>41932</v>
      </c>
      <c r="D54" s="8" t="n">
        <v>12.5</v>
      </c>
      <c r="E54" s="8" t="n">
        <v>11.5</v>
      </c>
      <c r="F54" s="8" t="n">
        <v>15.6</v>
      </c>
      <c r="G54" s="8" t="n">
        <v>731.4</v>
      </c>
      <c r="J54" s="8" t="n">
        <v>0</v>
      </c>
      <c r="K54" s="8" t="n">
        <v>83.6</v>
      </c>
      <c r="L54" s="8" t="n">
        <v>1.2</v>
      </c>
      <c r="M54" s="8" t="n">
        <v>93.3</v>
      </c>
      <c r="N54" s="13" t="n">
        <v>-1.2</v>
      </c>
      <c r="O54" s="8" t="n">
        <f aca="false">O53+N54</f>
        <v>35.2</v>
      </c>
      <c r="P54" s="8" t="n">
        <v>49</v>
      </c>
      <c r="Q54" s="8" t="n">
        <f aca="false">0.35+((P54-9)/80)*(1-0.35)</f>
        <v>0.675</v>
      </c>
      <c r="R54" s="14" t="n">
        <f aca="false">Q54*L54</f>
        <v>0.81</v>
      </c>
      <c r="S54" s="14" t="n">
        <f aca="false">J54-R54</f>
        <v>-0.81</v>
      </c>
      <c r="T54" s="14" t="n">
        <f aca="false">MIN(189.6,(T53+S54))</f>
        <v>85.4</v>
      </c>
      <c r="V54" s="15" t="n">
        <v>498</v>
      </c>
      <c r="W54" s="8" t="n">
        <v>39.84</v>
      </c>
      <c r="X54" s="8" t="n">
        <v>45829.5</v>
      </c>
      <c r="AA54" s="8" t="n">
        <v>10.5728725801969</v>
      </c>
    </row>
    <row r="55" s="8" customFormat="true" ht="15" hidden="false" customHeight="false" outlineLevel="0" collapsed="false">
      <c r="A55" s="9"/>
      <c r="B55" s="10"/>
      <c r="C55" s="11" t="n">
        <v>41933</v>
      </c>
      <c r="D55" s="8" t="n">
        <v>11.2</v>
      </c>
      <c r="E55" s="8" t="n">
        <v>10.6</v>
      </c>
      <c r="F55" s="8" t="n">
        <v>13.1</v>
      </c>
      <c r="G55" s="8" t="n">
        <v>742.6</v>
      </c>
      <c r="J55" s="8" t="n">
        <v>5.8</v>
      </c>
      <c r="K55" s="8" t="n">
        <v>89.4</v>
      </c>
      <c r="L55" s="8" t="n">
        <v>1.4</v>
      </c>
      <c r="M55" s="8" t="n">
        <v>94.7</v>
      </c>
      <c r="N55" s="8" t="n">
        <v>4.4</v>
      </c>
      <c r="O55" s="8" t="n">
        <f aca="false">O54+N55</f>
        <v>39.6</v>
      </c>
      <c r="P55" s="8" t="n">
        <v>50</v>
      </c>
      <c r="Q55" s="8" t="n">
        <f aca="false">0.35+((P55-9)/80)*(1-0.35)</f>
        <v>0.683125</v>
      </c>
      <c r="R55" s="14" t="n">
        <f aca="false">Q55*L55</f>
        <v>0.956375</v>
      </c>
      <c r="S55" s="14" t="n">
        <f aca="false">J55-R55</f>
        <v>4.843625</v>
      </c>
      <c r="T55" s="14" t="n">
        <f aca="false">MIN(189.6,(T54+S55))</f>
        <v>90.243625</v>
      </c>
      <c r="V55" s="15" t="n">
        <v>278.1</v>
      </c>
      <c r="W55" s="8" t="n">
        <v>24.8303571428571</v>
      </c>
      <c r="X55" s="8" t="n">
        <v>46107.6</v>
      </c>
      <c r="AA55" s="8" t="n">
        <v>10.5136680013647</v>
      </c>
    </row>
    <row r="56" s="8" customFormat="true" ht="15" hidden="false" customHeight="false" outlineLevel="0" collapsed="false">
      <c r="A56" s="9"/>
      <c r="B56" s="10"/>
      <c r="C56" s="11" t="n">
        <v>41934</v>
      </c>
      <c r="D56" s="8" t="n">
        <v>8.9</v>
      </c>
      <c r="E56" s="8" t="n">
        <v>6.2</v>
      </c>
      <c r="F56" s="8" t="n">
        <v>12.6</v>
      </c>
      <c r="G56" s="8" t="n">
        <v>751.5</v>
      </c>
      <c r="J56" s="8" t="n">
        <v>0</v>
      </c>
      <c r="K56" s="8" t="n">
        <v>89.4</v>
      </c>
      <c r="L56" s="8" t="n">
        <v>1.4</v>
      </c>
      <c r="M56" s="8" t="n">
        <v>96.1</v>
      </c>
      <c r="N56" s="13" t="n">
        <v>-1.4</v>
      </c>
      <c r="O56" s="8" t="n">
        <f aca="false">O55+N56</f>
        <v>38.2</v>
      </c>
      <c r="P56" s="8" t="n">
        <v>51</v>
      </c>
      <c r="Q56" s="8" t="n">
        <f aca="false">0.35+((P56-9)/80)*(1-0.35)</f>
        <v>0.69125</v>
      </c>
      <c r="R56" s="14" t="n">
        <f aca="false">Q56*L56</f>
        <v>0.96775</v>
      </c>
      <c r="S56" s="14" t="n">
        <f aca="false">J56-R56</f>
        <v>-0.96775</v>
      </c>
      <c r="T56" s="14" t="n">
        <f aca="false">MIN(189.6,(T55+S56))</f>
        <v>89.275875</v>
      </c>
      <c r="V56" s="15" t="n">
        <v>486.9</v>
      </c>
      <c r="W56" s="8" t="n">
        <v>54.7078651685393</v>
      </c>
      <c r="X56" s="8" t="n">
        <v>46594.5</v>
      </c>
      <c r="AA56" s="8" t="n">
        <v>10.4546659976386</v>
      </c>
    </row>
    <row r="57" s="8" customFormat="true" ht="15" hidden="false" customHeight="false" outlineLevel="0" collapsed="false">
      <c r="A57" s="9"/>
      <c r="B57" s="10"/>
      <c r="C57" s="11" t="n">
        <v>41935</v>
      </c>
      <c r="D57" s="8" t="n">
        <v>11.5</v>
      </c>
      <c r="E57" s="8" t="n">
        <v>8</v>
      </c>
      <c r="F57" s="8" t="n">
        <v>13.9</v>
      </c>
      <c r="G57" s="8" t="n">
        <v>763</v>
      </c>
      <c r="J57" s="8" t="n">
        <v>0.1</v>
      </c>
      <c r="K57" s="8" t="n">
        <v>89.5</v>
      </c>
      <c r="L57" s="8" t="n">
        <v>0.7</v>
      </c>
      <c r="M57" s="8" t="n">
        <v>96.8</v>
      </c>
      <c r="N57" s="13" t="n">
        <v>-0.6</v>
      </c>
      <c r="O57" s="8" t="n">
        <f aca="false">O56+N57</f>
        <v>37.6</v>
      </c>
      <c r="P57" s="8" t="n">
        <v>52</v>
      </c>
      <c r="Q57" s="8" t="n">
        <f aca="false">0.35+((P57-9)/80)*(1-0.35)</f>
        <v>0.699375</v>
      </c>
      <c r="R57" s="14" t="n">
        <f aca="false">Q57*L57</f>
        <v>0.4895625</v>
      </c>
      <c r="S57" s="14" t="n">
        <f aca="false">J57-R57</f>
        <v>-0.3895625</v>
      </c>
      <c r="T57" s="14" t="n">
        <f aca="false">MIN(189.6,(T56+S57))</f>
        <v>88.8863125</v>
      </c>
      <c r="V57" s="15" t="n">
        <v>208.9</v>
      </c>
      <c r="W57" s="8" t="n">
        <v>18.1652173913044</v>
      </c>
      <c r="X57" s="8" t="n">
        <v>46803.4</v>
      </c>
      <c r="AA57" s="8" t="n">
        <v>10.3958798596663</v>
      </c>
    </row>
    <row r="58" s="8" customFormat="true" ht="15" hidden="false" customHeight="false" outlineLevel="0" collapsed="false">
      <c r="A58" s="9"/>
      <c r="B58" s="10"/>
      <c r="C58" s="11" t="n">
        <v>41936</v>
      </c>
      <c r="D58" s="8" t="n">
        <v>11.6</v>
      </c>
      <c r="E58" s="8" t="n">
        <v>10.6</v>
      </c>
      <c r="F58" s="8" t="n">
        <v>12.9</v>
      </c>
      <c r="G58" s="8" t="n">
        <v>774.6</v>
      </c>
      <c r="J58" s="8" t="n">
        <v>4.7</v>
      </c>
      <c r="K58" s="8" t="n">
        <v>94.2</v>
      </c>
      <c r="L58" s="8" t="n">
        <v>0.7</v>
      </c>
      <c r="M58" s="8" t="n">
        <v>97.5</v>
      </c>
      <c r="N58" s="8" t="n">
        <v>4</v>
      </c>
      <c r="O58" s="8" t="n">
        <f aca="false">O57+N58</f>
        <v>41.6</v>
      </c>
      <c r="P58" s="8" t="n">
        <v>53</v>
      </c>
      <c r="Q58" s="8" t="n">
        <f aca="false">0.35+((P58-9)/80)*(1-0.35)</f>
        <v>0.7075</v>
      </c>
      <c r="R58" s="14" t="n">
        <f aca="false">Q58*L58</f>
        <v>0.49525</v>
      </c>
      <c r="S58" s="14" t="n">
        <f aca="false">J58-R58</f>
        <v>4.20475</v>
      </c>
      <c r="T58" s="14" t="n">
        <f aca="false">MIN(189.6,(T57+S58))</f>
        <v>93.0910625</v>
      </c>
      <c r="V58" s="15" t="n">
        <v>185</v>
      </c>
      <c r="W58" s="8" t="n">
        <v>15.948275862069</v>
      </c>
      <c r="X58" s="8" t="n">
        <v>46988.4</v>
      </c>
      <c r="AA58" s="8" t="n">
        <v>10.3373234434006</v>
      </c>
    </row>
    <row r="59" s="8" customFormat="true" ht="15" hidden="false" customHeight="false" outlineLevel="0" collapsed="false">
      <c r="A59" s="9"/>
      <c r="B59" s="10"/>
      <c r="C59" s="11" t="n">
        <v>41937</v>
      </c>
      <c r="D59" s="8" t="n">
        <v>12.3</v>
      </c>
      <c r="E59" s="8" t="n">
        <v>11.6</v>
      </c>
      <c r="F59" s="8" t="n">
        <v>15</v>
      </c>
      <c r="G59" s="8" t="n">
        <v>786.9</v>
      </c>
      <c r="J59" s="8" t="n">
        <v>0.8</v>
      </c>
      <c r="K59" s="8" t="n">
        <v>95</v>
      </c>
      <c r="L59" s="8" t="n">
        <v>1.1</v>
      </c>
      <c r="M59" s="8" t="n">
        <v>98.6</v>
      </c>
      <c r="N59" s="13" t="n">
        <v>-0.3</v>
      </c>
      <c r="O59" s="8" t="n">
        <f aca="false">O58+N59</f>
        <v>41.3</v>
      </c>
      <c r="P59" s="8" t="n">
        <v>54</v>
      </c>
      <c r="Q59" s="8" t="n">
        <f aca="false">0.35+((P59-9)/80)*(1-0.35)</f>
        <v>0.715625</v>
      </c>
      <c r="R59" s="14" t="n">
        <f aca="false">Q59*L59</f>
        <v>0.7871875</v>
      </c>
      <c r="S59" s="14" t="n">
        <f aca="false">J59-R59</f>
        <v>0.0128125</v>
      </c>
      <c r="T59" s="14" t="n">
        <f aca="false">MIN(189.6,(T58+S59))</f>
        <v>93.103875</v>
      </c>
      <c r="V59" s="15" t="n">
        <v>398.1</v>
      </c>
      <c r="W59" s="8" t="n">
        <v>32.3658536585366</v>
      </c>
      <c r="X59" s="8" t="n">
        <v>47386.5</v>
      </c>
      <c r="AA59" s="8" t="n">
        <v>10.2790111881509</v>
      </c>
    </row>
    <row r="60" s="8" customFormat="true" ht="15" hidden="false" customHeight="false" outlineLevel="0" collapsed="false">
      <c r="A60" s="9"/>
      <c r="B60" s="10"/>
      <c r="C60" s="11" t="n">
        <v>41938</v>
      </c>
      <c r="D60" s="8" t="n">
        <v>11.5</v>
      </c>
      <c r="E60" s="8" t="n">
        <v>10</v>
      </c>
      <c r="F60" s="8" t="n">
        <v>14.8</v>
      </c>
      <c r="G60" s="8" t="n">
        <v>798.4</v>
      </c>
      <c r="J60" s="8" t="n">
        <v>0.3</v>
      </c>
      <c r="K60" s="8" t="n">
        <v>95.3</v>
      </c>
      <c r="L60" s="8" t="n">
        <v>0.8</v>
      </c>
      <c r="M60" s="8" t="n">
        <v>99.4</v>
      </c>
      <c r="N60" s="13" t="n">
        <v>-0.5</v>
      </c>
      <c r="O60" s="8" t="n">
        <f aca="false">O59+N60</f>
        <v>40.8</v>
      </c>
      <c r="P60" s="8" t="n">
        <v>55</v>
      </c>
      <c r="Q60" s="8" t="n">
        <f aca="false">0.35+((P60-9)/80)*(1-0.35)</f>
        <v>0.72375</v>
      </c>
      <c r="R60" s="14" t="n">
        <f aca="false">Q60*L60</f>
        <v>0.579</v>
      </c>
      <c r="S60" s="14" t="n">
        <f aca="false">J60-R60</f>
        <v>-0.279</v>
      </c>
      <c r="T60" s="14" t="n">
        <f aca="false">MIN(189.6,(T59+S60))</f>
        <v>92.824875</v>
      </c>
      <c r="V60" s="15" t="n">
        <v>263.8</v>
      </c>
      <c r="W60" s="8" t="n">
        <v>22.9391304347826</v>
      </c>
      <c r="X60" s="8" t="n">
        <v>47650.3</v>
      </c>
      <c r="AA60" s="8" t="n">
        <v>10.2209581340834</v>
      </c>
    </row>
    <row r="61" s="8" customFormat="true" ht="15" hidden="false" customHeight="false" outlineLevel="0" collapsed="false">
      <c r="A61" s="9"/>
      <c r="B61" s="10"/>
      <c r="C61" s="11" t="n">
        <v>41939</v>
      </c>
      <c r="D61" s="8" t="n">
        <v>10.3</v>
      </c>
      <c r="E61" s="8" t="n">
        <v>6.9</v>
      </c>
      <c r="F61" s="8" t="n">
        <v>13.5</v>
      </c>
      <c r="G61" s="8" t="n">
        <v>808.7</v>
      </c>
      <c r="J61" s="8" t="n">
        <v>0.3</v>
      </c>
      <c r="K61" s="8" t="n">
        <v>95.6</v>
      </c>
      <c r="L61" s="8" t="n">
        <v>0.6</v>
      </c>
      <c r="M61" s="8" t="n">
        <v>100</v>
      </c>
      <c r="N61" s="13" t="n">
        <v>-0.3</v>
      </c>
      <c r="O61" s="8" t="n">
        <f aca="false">O60+N61</f>
        <v>40.5</v>
      </c>
      <c r="P61" s="8" t="n">
        <v>56</v>
      </c>
      <c r="Q61" s="8" t="n">
        <f aca="false">0.35+((P61-9)/80)*(1-0.35)</f>
        <v>0.731875</v>
      </c>
      <c r="R61" s="14" t="n">
        <f aca="false">Q61*L61</f>
        <v>0.439125</v>
      </c>
      <c r="S61" s="14" t="n">
        <f aca="false">J61-R61</f>
        <v>-0.139125</v>
      </c>
      <c r="T61" s="14" t="n">
        <f aca="false">MIN(189.6,(T60+S61))</f>
        <v>92.68575</v>
      </c>
      <c r="V61" s="15" t="n">
        <v>358.7</v>
      </c>
      <c r="W61" s="8" t="n">
        <v>34.8252427184466</v>
      </c>
      <c r="X61" s="8" t="n">
        <v>48009</v>
      </c>
      <c r="AA61" s="8" t="n">
        <v>10.1631799390808</v>
      </c>
    </row>
    <row r="62" s="8" customFormat="true" ht="15" hidden="false" customHeight="false" outlineLevel="0" collapsed="false">
      <c r="A62" s="9"/>
      <c r="B62" s="10"/>
      <c r="C62" s="11" t="n">
        <v>41940</v>
      </c>
      <c r="D62" s="8" t="n">
        <v>9.5</v>
      </c>
      <c r="E62" s="8" t="n">
        <v>8.9</v>
      </c>
      <c r="F62" s="8" t="n">
        <v>10.4</v>
      </c>
      <c r="G62" s="8" t="n">
        <v>818.2</v>
      </c>
      <c r="J62" s="8" t="n">
        <v>0</v>
      </c>
      <c r="K62" s="8" t="n">
        <v>95.6</v>
      </c>
      <c r="L62" s="8" t="n">
        <v>0.4</v>
      </c>
      <c r="M62" s="8" t="n">
        <v>100.4</v>
      </c>
      <c r="N62" s="13" t="n">
        <v>-0.4</v>
      </c>
      <c r="O62" s="8" t="n">
        <f aca="false">O61+N62</f>
        <v>40.1</v>
      </c>
      <c r="P62" s="8" t="n">
        <v>57</v>
      </c>
      <c r="Q62" s="8" t="n">
        <f aca="false">0.35+((P62-9)/80)*(1-0.35)</f>
        <v>0.74</v>
      </c>
      <c r="R62" s="14" t="n">
        <f aca="false">Q62*L62</f>
        <v>0.296</v>
      </c>
      <c r="S62" s="14" t="n">
        <f aca="false">J62-R62</f>
        <v>-0.296</v>
      </c>
      <c r="T62" s="14" t="n">
        <f aca="false">MIN(189.6,(T61+S62))</f>
        <v>92.38975</v>
      </c>
      <c r="V62" s="15" t="n">
        <v>202.5</v>
      </c>
      <c r="W62" s="8" t="n">
        <v>21.3157894736842</v>
      </c>
      <c r="X62" s="8" t="n">
        <v>48211.5</v>
      </c>
      <c r="AA62" s="8" t="n">
        <v>10.1056928948582</v>
      </c>
    </row>
    <row r="63" s="8" customFormat="true" ht="15" hidden="false" customHeight="false" outlineLevel="0" collapsed="false">
      <c r="A63" s="9"/>
      <c r="B63" s="10"/>
      <c r="C63" s="11" t="n">
        <v>41941</v>
      </c>
      <c r="D63" s="8" t="n">
        <v>11.2</v>
      </c>
      <c r="E63" s="8" t="n">
        <v>9.6</v>
      </c>
      <c r="F63" s="8" t="n">
        <v>12.4</v>
      </c>
      <c r="G63" s="8" t="n">
        <v>829.4</v>
      </c>
      <c r="J63" s="8" t="n">
        <v>0.4</v>
      </c>
      <c r="K63" s="8" t="n">
        <v>96</v>
      </c>
      <c r="L63" s="8" t="n">
        <v>0.4</v>
      </c>
      <c r="M63" s="8" t="n">
        <v>100.8</v>
      </c>
      <c r="N63" s="8" t="n">
        <v>0</v>
      </c>
      <c r="O63" s="8" t="n">
        <f aca="false">O62+N63</f>
        <v>40.1</v>
      </c>
      <c r="P63" s="8" t="n">
        <v>58</v>
      </c>
      <c r="Q63" s="8" t="n">
        <f aca="false">0.35+((P63-9)/80)*(1-0.35)</f>
        <v>0.748125</v>
      </c>
      <c r="R63" s="14" t="n">
        <f aca="false">Q63*L63</f>
        <v>0.29925</v>
      </c>
      <c r="S63" s="14" t="n">
        <f aca="false">J63-R63</f>
        <v>0.10075</v>
      </c>
      <c r="T63" s="14" t="n">
        <f aca="false">MIN(189.6,(T62+S63))</f>
        <v>92.4905</v>
      </c>
      <c r="V63" s="15" t="n">
        <v>270.7</v>
      </c>
      <c r="W63" s="8" t="n">
        <v>24.1696428571429</v>
      </c>
      <c r="X63" s="8" t="n">
        <v>48482.2</v>
      </c>
      <c r="AA63" s="8" t="n">
        <v>10.0485139422284</v>
      </c>
    </row>
    <row r="64" s="8" customFormat="true" ht="15" hidden="false" customHeight="false" outlineLevel="0" collapsed="false">
      <c r="A64" s="9"/>
      <c r="B64" s="10"/>
      <c r="C64" s="11" t="n">
        <v>41942</v>
      </c>
      <c r="D64" s="8" t="n">
        <v>12.9</v>
      </c>
      <c r="E64" s="8" t="n">
        <v>10.1</v>
      </c>
      <c r="F64" s="8" t="n">
        <v>16.4</v>
      </c>
      <c r="G64" s="8" t="n">
        <v>842.3</v>
      </c>
      <c r="J64" s="8" t="n">
        <v>0.1</v>
      </c>
      <c r="K64" s="8" t="n">
        <v>96.1</v>
      </c>
      <c r="L64" s="8" t="n">
        <v>0.6</v>
      </c>
      <c r="M64" s="8" t="n">
        <v>101.4</v>
      </c>
      <c r="N64" s="13" t="n">
        <v>-0.5</v>
      </c>
      <c r="O64" s="8" t="n">
        <f aca="false">O63+N64</f>
        <v>39.6</v>
      </c>
      <c r="P64" s="8" t="n">
        <v>59</v>
      </c>
      <c r="Q64" s="8" t="n">
        <f aca="false">0.35+((P64-9)/80)*(1-0.35)</f>
        <v>0.75625</v>
      </c>
      <c r="R64" s="14" t="n">
        <f aca="false">Q64*L64</f>
        <v>0.45375</v>
      </c>
      <c r="S64" s="14" t="n">
        <f aca="false">J64-R64</f>
        <v>-0.35375</v>
      </c>
      <c r="T64" s="14" t="n">
        <f aca="false">MIN(189.6,(T63+S64))</f>
        <v>92.13675</v>
      </c>
      <c r="V64" s="15" t="n">
        <v>205.6</v>
      </c>
      <c r="W64" s="8" t="n">
        <v>15.937984496124</v>
      </c>
      <c r="X64" s="8" t="n">
        <v>48687.8</v>
      </c>
      <c r="AA64" s="8" t="n">
        <v>9.99166068540131</v>
      </c>
    </row>
    <row r="65" s="8" customFormat="true" ht="15" hidden="false" customHeight="false" outlineLevel="0" collapsed="false">
      <c r="A65" s="9"/>
      <c r="B65" s="10"/>
      <c r="C65" s="11" t="n">
        <v>41943</v>
      </c>
      <c r="D65" s="8" t="n">
        <v>13.4</v>
      </c>
      <c r="E65" s="8" t="n">
        <v>9.8</v>
      </c>
      <c r="F65" s="8" t="n">
        <v>18.7</v>
      </c>
      <c r="G65" s="8" t="n">
        <v>855.7</v>
      </c>
      <c r="J65" s="8" t="n">
        <v>0.1</v>
      </c>
      <c r="K65" s="8" t="n">
        <v>96.2</v>
      </c>
      <c r="L65" s="8" t="n">
        <v>1.7</v>
      </c>
      <c r="M65" s="8" t="n">
        <v>103.1</v>
      </c>
      <c r="N65" s="13" t="n">
        <v>-1.6</v>
      </c>
      <c r="O65" s="8" t="n">
        <f aca="false">O64+N65</f>
        <v>38</v>
      </c>
      <c r="P65" s="8" t="n">
        <v>60</v>
      </c>
      <c r="Q65" s="8" t="n">
        <f aca="false">0.35+((P65-9)/80)*(1-0.35)</f>
        <v>0.764375</v>
      </c>
      <c r="R65" s="14" t="n">
        <f aca="false">Q65*L65</f>
        <v>1.2994375</v>
      </c>
      <c r="S65" s="14" t="n">
        <f aca="false">J65-R65</f>
        <v>-1.1994375</v>
      </c>
      <c r="T65" s="14" t="n">
        <f aca="false">MIN(189.6,(T64+S65))</f>
        <v>90.9373125</v>
      </c>
      <c r="V65" s="15" t="n">
        <v>769.4</v>
      </c>
      <c r="W65" s="8" t="n">
        <v>57.4179104477612</v>
      </c>
      <c r="X65" s="8" t="n">
        <v>49457.2</v>
      </c>
      <c r="AA65" s="8" t="n">
        <v>9.93515140519334</v>
      </c>
    </row>
    <row r="66" s="8" customFormat="true" ht="15" hidden="false" customHeight="false" outlineLevel="0" collapsed="false">
      <c r="A66" s="9"/>
      <c r="B66" s="10"/>
      <c r="C66" s="11" t="n">
        <v>41944</v>
      </c>
      <c r="D66" s="8" t="n">
        <v>14</v>
      </c>
      <c r="E66" s="8" t="n">
        <v>9.7</v>
      </c>
      <c r="F66" s="8" t="n">
        <v>18.6</v>
      </c>
      <c r="G66" s="8" t="n">
        <v>869.7</v>
      </c>
      <c r="J66" s="8" t="n">
        <v>0.1</v>
      </c>
      <c r="K66" s="8" t="n">
        <v>96.3</v>
      </c>
      <c r="L66" s="8" t="n">
        <v>1.4</v>
      </c>
      <c r="M66" s="8" t="n">
        <v>104.5</v>
      </c>
      <c r="N66" s="13" t="n">
        <v>-1.3</v>
      </c>
      <c r="O66" s="8" t="n">
        <f aca="false">O65+N66</f>
        <v>36.7</v>
      </c>
      <c r="P66" s="8" t="n">
        <v>61</v>
      </c>
      <c r="Q66" s="8" t="n">
        <f aca="false">0.35+((P66-9)/80)*(1-0.35)</f>
        <v>0.7725</v>
      </c>
      <c r="R66" s="14" t="n">
        <f aca="false">Q66*L66</f>
        <v>1.0815</v>
      </c>
      <c r="S66" s="14" t="n">
        <f aca="false">J66-R66</f>
        <v>-0.9815</v>
      </c>
      <c r="T66" s="14" t="n">
        <f aca="false">MIN(189.6,(T65+S66))</f>
        <v>89.9558125</v>
      </c>
      <c r="V66" s="15" t="n">
        <v>791.4</v>
      </c>
      <c r="W66" s="8" t="n">
        <v>56.5285714285714</v>
      </c>
      <c r="X66" s="8" t="n">
        <v>50248.6</v>
      </c>
      <c r="AA66" s="8" t="n">
        <v>9.87900507101492</v>
      </c>
    </row>
    <row r="67" s="8" customFormat="true" ht="15" hidden="false" customHeight="false" outlineLevel="0" collapsed="false">
      <c r="A67" s="9"/>
      <c r="B67" s="10"/>
      <c r="C67" s="11" t="n">
        <v>41945</v>
      </c>
      <c r="D67" s="8" t="n">
        <v>13.7</v>
      </c>
      <c r="E67" s="8" t="n">
        <v>11.2</v>
      </c>
      <c r="F67" s="8" t="n">
        <v>16</v>
      </c>
      <c r="G67" s="8" t="n">
        <v>883.4</v>
      </c>
      <c r="J67" s="8" t="n">
        <v>2.9</v>
      </c>
      <c r="K67" s="8" t="n">
        <v>99.2</v>
      </c>
      <c r="L67" s="8" t="n">
        <v>1</v>
      </c>
      <c r="M67" s="8" t="n">
        <v>105.5</v>
      </c>
      <c r="N67" s="8" t="n">
        <v>1.9</v>
      </c>
      <c r="O67" s="8" t="n">
        <f aca="false">O66+N67</f>
        <v>38.6</v>
      </c>
      <c r="P67" s="8" t="n">
        <v>62</v>
      </c>
      <c r="Q67" s="8" t="n">
        <f aca="false">0.35+((P67-9)/80)*(1-0.35)</f>
        <v>0.780625</v>
      </c>
      <c r="R67" s="14" t="n">
        <f aca="false">Q67*L67</f>
        <v>0.780625</v>
      </c>
      <c r="S67" s="14" t="n">
        <f aca="false">J67-R67</f>
        <v>2.119375</v>
      </c>
      <c r="T67" s="14" t="n">
        <f aca="false">MIN(189.6,(T66+S67))</f>
        <v>92.0751875</v>
      </c>
      <c r="V67" s="15" t="n">
        <v>277.6</v>
      </c>
      <c r="W67" s="8" t="n">
        <v>20.2627737226277</v>
      </c>
      <c r="X67" s="8" t="n">
        <v>50526.2</v>
      </c>
      <c r="AA67" s="8" t="n">
        <v>9.82324135149748</v>
      </c>
    </row>
    <row r="68" s="8" customFormat="true" ht="15" hidden="false" customHeight="false" outlineLevel="0" collapsed="false">
      <c r="A68" s="9"/>
      <c r="B68" s="10"/>
      <c r="C68" s="11" t="n">
        <v>41946</v>
      </c>
      <c r="D68" s="8" t="n">
        <v>11.9</v>
      </c>
      <c r="E68" s="8" t="n">
        <v>10.5</v>
      </c>
      <c r="F68" s="8" t="n">
        <v>14.3</v>
      </c>
      <c r="G68" s="8" t="n">
        <v>895.3</v>
      </c>
      <c r="J68" s="8" t="n">
        <v>20.1</v>
      </c>
      <c r="K68" s="8" t="n">
        <v>119.3</v>
      </c>
      <c r="L68" s="8" t="n">
        <v>1.3</v>
      </c>
      <c r="M68" s="8" t="n">
        <v>106.8</v>
      </c>
      <c r="N68" s="8" t="n">
        <v>18.8</v>
      </c>
      <c r="O68" s="8" t="n">
        <f aca="false">O67+N68</f>
        <v>57.4</v>
      </c>
      <c r="P68" s="8" t="n">
        <v>63</v>
      </c>
      <c r="Q68" s="8" t="n">
        <f aca="false">0.35+((P68-9)/80)*(1-0.35)</f>
        <v>0.78875</v>
      </c>
      <c r="R68" s="14" t="n">
        <f aca="false">Q68*L68</f>
        <v>1.025375</v>
      </c>
      <c r="S68" s="14" t="n">
        <f aca="false">J68-R68</f>
        <v>19.074625</v>
      </c>
      <c r="T68" s="14" t="n">
        <f aca="false">MIN(189.6,(T67+S68))</f>
        <v>111.1498125</v>
      </c>
      <c r="V68" s="15" t="n">
        <v>147.5</v>
      </c>
      <c r="W68" s="8" t="n">
        <v>12.3949579831933</v>
      </c>
      <c r="X68" s="8" t="n">
        <v>50673.7</v>
      </c>
      <c r="AA68" s="8" t="n">
        <v>9.76788062361241</v>
      </c>
    </row>
    <row r="69" s="8" customFormat="true" ht="15" hidden="false" customHeight="false" outlineLevel="0" collapsed="false">
      <c r="A69" s="9"/>
      <c r="B69" s="10"/>
      <c r="C69" s="11" t="n">
        <v>41947</v>
      </c>
      <c r="D69" s="8" t="n">
        <v>8.1</v>
      </c>
      <c r="E69" s="8" t="n">
        <v>7.4</v>
      </c>
      <c r="F69" s="8" t="n">
        <v>9.7</v>
      </c>
      <c r="G69" s="8" t="n">
        <v>903.4</v>
      </c>
      <c r="J69" s="8" t="n">
        <v>0.3</v>
      </c>
      <c r="K69" s="8" t="n">
        <v>119.6</v>
      </c>
      <c r="L69" s="8" t="n">
        <v>0.7</v>
      </c>
      <c r="M69" s="8" t="n">
        <v>107.5</v>
      </c>
      <c r="N69" s="13" t="n">
        <v>-0.4</v>
      </c>
      <c r="O69" s="8" t="n">
        <f aca="false">O68+N69</f>
        <v>57</v>
      </c>
      <c r="P69" s="8" t="n">
        <v>64</v>
      </c>
      <c r="Q69" s="8" t="n">
        <f aca="false">0.35+((P69-9)/80)*(1-0.35)</f>
        <v>0.796875</v>
      </c>
      <c r="R69" s="14" t="n">
        <f aca="false">Q69*L69</f>
        <v>0.5578125</v>
      </c>
      <c r="S69" s="14" t="n">
        <f aca="false">J69-R69</f>
        <v>-0.2578125</v>
      </c>
      <c r="T69" s="14" t="n">
        <f aca="false">MIN(189.6,(T68+S69))</f>
        <v>110.892</v>
      </c>
      <c r="V69" s="15" t="n">
        <v>475.5</v>
      </c>
      <c r="W69" s="8" t="n">
        <v>58.7037037037037</v>
      </c>
      <c r="X69" s="8" t="n">
        <v>51149.2</v>
      </c>
      <c r="AA69" s="8" t="n">
        <v>9.71294398012771</v>
      </c>
    </row>
    <row r="70" s="8" customFormat="true" ht="15" hidden="false" customHeight="false" outlineLevel="0" collapsed="false">
      <c r="A70" s="9"/>
      <c r="B70" s="10"/>
      <c r="C70" s="11" t="n">
        <v>41948</v>
      </c>
      <c r="D70" s="8" t="n">
        <v>6.7</v>
      </c>
      <c r="E70" s="18" t="n">
        <v>4.6</v>
      </c>
      <c r="F70" s="8" t="n">
        <v>9</v>
      </c>
      <c r="G70" s="8" t="n">
        <v>910.1</v>
      </c>
      <c r="J70" s="8" t="n">
        <v>0.2</v>
      </c>
      <c r="K70" s="8" t="n">
        <v>119.8</v>
      </c>
      <c r="L70" s="8" t="n">
        <v>0.6</v>
      </c>
      <c r="M70" s="8" t="n">
        <v>108.1</v>
      </c>
      <c r="N70" s="13" t="n">
        <v>-0.4</v>
      </c>
      <c r="O70" s="8" t="n">
        <f aca="false">O69+N70</f>
        <v>56.6</v>
      </c>
      <c r="P70" s="8" t="n">
        <v>65</v>
      </c>
      <c r="Q70" s="8" t="n">
        <f aca="false">0.35+((P70-9)/80)*(1-0.35)</f>
        <v>0.805</v>
      </c>
      <c r="R70" s="14" t="n">
        <f aca="false">Q70*L70</f>
        <v>0.483</v>
      </c>
      <c r="S70" s="14" t="n">
        <f aca="false">J70-R70</f>
        <v>-0.283</v>
      </c>
      <c r="T70" s="14" t="n">
        <f aca="false">MIN(189.6,(T69+S70))</f>
        <v>110.609</v>
      </c>
      <c r="V70" s="15" t="n">
        <v>267.5</v>
      </c>
      <c r="W70" s="8" t="n">
        <v>39.9253731343284</v>
      </c>
      <c r="X70" s="8" t="n">
        <v>51416.7</v>
      </c>
      <c r="AA70" s="8" t="n">
        <v>9.65845323524096</v>
      </c>
    </row>
    <row r="71" s="8" customFormat="true" ht="15" hidden="false" customHeight="false" outlineLevel="0" collapsed="false">
      <c r="A71" s="9"/>
      <c r="B71" s="10"/>
      <c r="C71" s="11" t="n">
        <v>41949</v>
      </c>
      <c r="D71" s="8" t="n">
        <v>7</v>
      </c>
      <c r="E71" s="18" t="n">
        <v>3.4</v>
      </c>
      <c r="F71" s="8" t="n">
        <v>10.9</v>
      </c>
      <c r="G71" s="8" t="n">
        <v>917.1</v>
      </c>
      <c r="J71" s="8" t="n">
        <v>0.3</v>
      </c>
      <c r="K71" s="8" t="n">
        <v>120.1</v>
      </c>
      <c r="L71" s="8" t="n">
        <v>0.8</v>
      </c>
      <c r="M71" s="8" t="n">
        <v>108.9</v>
      </c>
      <c r="N71" s="13" t="n">
        <v>-0.5</v>
      </c>
      <c r="O71" s="8" t="n">
        <f aca="false">O70+N71</f>
        <v>56.1</v>
      </c>
      <c r="P71" s="8" t="n">
        <v>66</v>
      </c>
      <c r="Q71" s="8" t="n">
        <f aca="false">0.35+((P71-9)/80)*(1-0.35)</f>
        <v>0.813125</v>
      </c>
      <c r="R71" s="14" t="n">
        <f aca="false">Q71*L71</f>
        <v>0.6505</v>
      </c>
      <c r="S71" s="14" t="n">
        <f aca="false">J71-R71</f>
        <v>-0.3505</v>
      </c>
      <c r="T71" s="14" t="n">
        <f aca="false">MIN(189.6,(T70+S71))</f>
        <v>110.2585</v>
      </c>
      <c r="V71" s="15" t="n">
        <v>504.8</v>
      </c>
      <c r="W71" s="8" t="n">
        <v>72.1142857142857</v>
      </c>
      <c r="X71" s="8" t="n">
        <v>51921.5</v>
      </c>
      <c r="AA71" s="8" t="n">
        <v>9.60443092822046</v>
      </c>
    </row>
    <row r="72" s="8" customFormat="true" ht="15" hidden="false" customHeight="false" outlineLevel="0" collapsed="false">
      <c r="A72" s="9"/>
      <c r="B72" s="10"/>
      <c r="C72" s="11" t="n">
        <v>41950</v>
      </c>
      <c r="D72" s="8" t="n">
        <v>9.5</v>
      </c>
      <c r="E72" s="8" t="n">
        <v>6.9</v>
      </c>
      <c r="F72" s="8" t="n">
        <v>11.8</v>
      </c>
      <c r="G72" s="8" t="n">
        <v>926.6</v>
      </c>
      <c r="J72" s="8" t="n">
        <v>3.4</v>
      </c>
      <c r="K72" s="8" t="n">
        <v>123.5</v>
      </c>
      <c r="L72" s="8" t="n">
        <v>1.1</v>
      </c>
      <c r="M72" s="8" t="n">
        <v>110</v>
      </c>
      <c r="N72" s="8" t="n">
        <v>2.3</v>
      </c>
      <c r="O72" s="8" t="n">
        <f aca="false">O71+N72</f>
        <v>58.4</v>
      </c>
      <c r="P72" s="8" t="n">
        <v>67</v>
      </c>
      <c r="Q72" s="8" t="n">
        <f aca="false">0.35+((P72-9)/80)*(1-0.35)</f>
        <v>0.82125</v>
      </c>
      <c r="R72" s="14" t="n">
        <f aca="false">Q72*L72</f>
        <v>0.903375</v>
      </c>
      <c r="S72" s="14" t="n">
        <f aca="false">J72-R72</f>
        <v>2.496625</v>
      </c>
      <c r="T72" s="14" t="n">
        <f aca="false">MIN(189.6,(T71+S72))</f>
        <v>112.755125</v>
      </c>
      <c r="V72" s="15" t="n">
        <v>379.9</v>
      </c>
      <c r="W72" s="8" t="n">
        <v>39.9894736842105</v>
      </c>
      <c r="X72" s="8" t="n">
        <v>52301.4</v>
      </c>
      <c r="AA72" s="8" t="n">
        <v>9.55090032488063</v>
      </c>
    </row>
    <row r="73" s="8" customFormat="true" ht="15" hidden="false" customHeight="false" outlineLevel="0" collapsed="false">
      <c r="A73" s="9"/>
      <c r="B73" s="10"/>
      <c r="C73" s="11" t="n">
        <v>41951</v>
      </c>
      <c r="D73" s="8" t="n">
        <v>9.6</v>
      </c>
      <c r="E73" s="8" t="n">
        <v>6.9</v>
      </c>
      <c r="F73" s="8" t="n">
        <v>11.7</v>
      </c>
      <c r="G73" s="8" t="n">
        <v>936.2</v>
      </c>
      <c r="J73" s="8" t="n">
        <v>0</v>
      </c>
      <c r="K73" s="8" t="n">
        <v>123.5</v>
      </c>
      <c r="L73" s="8" t="n">
        <v>0.7</v>
      </c>
      <c r="M73" s="8" t="n">
        <v>110.7</v>
      </c>
      <c r="N73" s="13" t="n">
        <v>-0.7</v>
      </c>
      <c r="O73" s="8" t="n">
        <f aca="false">O72+N73</f>
        <v>57.7</v>
      </c>
      <c r="P73" s="8" t="n">
        <v>68</v>
      </c>
      <c r="Q73" s="8" t="n">
        <f aca="false">0.35+((P73-9)/80)*(1-0.35)</f>
        <v>0.829375</v>
      </c>
      <c r="R73" s="14" t="n">
        <f aca="false">Q73*L73</f>
        <v>0.5805625</v>
      </c>
      <c r="S73" s="14" t="n">
        <f aca="false">J73-R73</f>
        <v>-0.5805625</v>
      </c>
      <c r="T73" s="14" t="n">
        <f aca="false">MIN(189.6,(T72+S73))</f>
        <v>112.1745625</v>
      </c>
      <c r="V73" s="15" t="n">
        <v>419.9</v>
      </c>
      <c r="W73" s="8" t="n">
        <v>43.7395833333333</v>
      </c>
      <c r="X73" s="8" t="n">
        <v>52721.3</v>
      </c>
      <c r="AA73" s="8" t="n">
        <v>9.49788541671261</v>
      </c>
    </row>
    <row r="74" s="8" customFormat="true" ht="15" hidden="false" customHeight="false" outlineLevel="0" collapsed="false">
      <c r="A74" s="9"/>
      <c r="B74" s="10"/>
      <c r="C74" s="11" t="n">
        <v>41952</v>
      </c>
      <c r="D74" s="8" t="n">
        <v>9.4</v>
      </c>
      <c r="E74" s="8" t="n">
        <v>8.7</v>
      </c>
      <c r="F74" s="8" t="n">
        <v>11.1</v>
      </c>
      <c r="G74" s="8" t="n">
        <v>945.6</v>
      </c>
      <c r="J74" s="8" t="n">
        <v>0.2</v>
      </c>
      <c r="K74" s="8" t="n">
        <v>123.7</v>
      </c>
      <c r="L74" s="8" t="n">
        <v>0.7</v>
      </c>
      <c r="M74" s="8" t="n">
        <v>111.4</v>
      </c>
      <c r="N74" s="13" t="n">
        <v>-0.5</v>
      </c>
      <c r="O74" s="8" t="n">
        <f aca="false">O73+N74</f>
        <v>57.2</v>
      </c>
      <c r="P74" s="8" t="n">
        <v>69</v>
      </c>
      <c r="Q74" s="8" t="n">
        <f aca="false">0.35+((P74-9)/80)*(1-0.35)</f>
        <v>0.8375</v>
      </c>
      <c r="R74" s="14" t="n">
        <f aca="false">Q74*L74</f>
        <v>0.58625</v>
      </c>
      <c r="S74" s="14" t="n">
        <f aca="false">J74-R74</f>
        <v>-0.38625</v>
      </c>
      <c r="T74" s="14" t="n">
        <f aca="false">MIN(189.6,(T73+S74))</f>
        <v>111.7883125</v>
      </c>
      <c r="V74" s="15" t="n">
        <v>272.4</v>
      </c>
      <c r="W74" s="8" t="n">
        <v>28.9787234042553</v>
      </c>
      <c r="X74" s="8" t="n">
        <v>52993.7</v>
      </c>
      <c r="AA74" s="8" t="n">
        <v>9.44541091748669</v>
      </c>
    </row>
    <row r="75" s="8" customFormat="true" ht="15" hidden="false" customHeight="false" outlineLevel="0" collapsed="false">
      <c r="A75" s="9"/>
      <c r="B75" s="10"/>
      <c r="C75" s="11" t="n">
        <v>41953</v>
      </c>
      <c r="D75" s="8" t="n">
        <v>7.4</v>
      </c>
      <c r="E75" s="8" t="n">
        <v>4.9</v>
      </c>
      <c r="F75" s="8" t="n">
        <v>10.4</v>
      </c>
      <c r="G75" s="8" t="n">
        <v>953</v>
      </c>
      <c r="J75" s="8" t="n">
        <v>0.2</v>
      </c>
      <c r="K75" s="8" t="n">
        <v>123.9</v>
      </c>
      <c r="L75" s="8" t="n">
        <v>0.8</v>
      </c>
      <c r="M75" s="8" t="n">
        <v>112.2</v>
      </c>
      <c r="N75" s="13" t="n">
        <v>-0.6</v>
      </c>
      <c r="O75" s="8" t="n">
        <f aca="false">O74+N75</f>
        <v>56.6</v>
      </c>
      <c r="P75" s="8" t="n">
        <v>70</v>
      </c>
      <c r="Q75" s="8" t="n">
        <f aca="false">0.35+((P75-9)/80)*(1-0.35)</f>
        <v>0.845625</v>
      </c>
      <c r="R75" s="14" t="n">
        <f aca="false">Q75*L75</f>
        <v>0.6765</v>
      </c>
      <c r="S75" s="14" t="n">
        <f aca="false">J75-R75</f>
        <v>-0.4765</v>
      </c>
      <c r="T75" s="14" t="n">
        <f aca="false">MIN(189.6,(T74+S75))</f>
        <v>111.3118125</v>
      </c>
      <c r="V75" s="15" t="n">
        <v>508.6</v>
      </c>
      <c r="W75" s="8" t="n">
        <v>68.7297297297297</v>
      </c>
      <c r="X75" s="8" t="n">
        <v>53502.3</v>
      </c>
      <c r="AA75" s="8" t="n">
        <v>9.39350225713998</v>
      </c>
    </row>
    <row r="76" s="8" customFormat="true" ht="15" hidden="false" customHeight="false" outlineLevel="0" collapsed="false">
      <c r="A76" s="9"/>
      <c r="B76" s="10"/>
      <c r="C76" s="11" t="n">
        <v>41954</v>
      </c>
      <c r="D76" s="8" t="n">
        <v>9.6</v>
      </c>
      <c r="E76" s="8" t="n">
        <v>5.2</v>
      </c>
      <c r="F76" s="8" t="n">
        <v>12.9</v>
      </c>
      <c r="G76" s="8" t="n">
        <v>962.6</v>
      </c>
      <c r="J76" s="8" t="n">
        <v>0.2</v>
      </c>
      <c r="K76" s="8" t="n">
        <v>124.1</v>
      </c>
      <c r="L76" s="8" t="n">
        <v>0.8</v>
      </c>
      <c r="M76" s="8" t="n">
        <v>113</v>
      </c>
      <c r="N76" s="13" t="n">
        <v>-0.6</v>
      </c>
      <c r="O76" s="8" t="n">
        <f aca="false">O75+N76</f>
        <v>56</v>
      </c>
      <c r="P76" s="8" t="n">
        <v>71</v>
      </c>
      <c r="Q76" s="8" t="n">
        <f aca="false">0.35+((P76-9)/80)*(1-0.35)</f>
        <v>0.85375</v>
      </c>
      <c r="R76" s="14" t="n">
        <f aca="false">Q76*L76</f>
        <v>0.683</v>
      </c>
      <c r="S76" s="14" t="n">
        <f aca="false">J76-R76</f>
        <v>-0.483</v>
      </c>
      <c r="T76" s="14" t="n">
        <f aca="false">MIN(189.6,(T75+S76))</f>
        <v>110.8288125</v>
      </c>
      <c r="V76" s="15" t="n">
        <v>561.8</v>
      </c>
      <c r="W76" s="8" t="n">
        <v>58.5208333333333</v>
      </c>
      <c r="X76" s="8" t="n">
        <v>54064.1</v>
      </c>
      <c r="AA76" s="8" t="n">
        <v>9.34218557276114</v>
      </c>
    </row>
    <row r="77" s="8" customFormat="true" ht="15" hidden="false" customHeight="false" outlineLevel="0" collapsed="false">
      <c r="A77" s="9"/>
      <c r="B77" s="10"/>
      <c r="C77" s="11" t="n">
        <v>41955</v>
      </c>
      <c r="D77" s="8" t="n">
        <v>9.7</v>
      </c>
      <c r="E77" s="8" t="n">
        <v>7.4</v>
      </c>
      <c r="F77" s="8" t="n">
        <v>13.5</v>
      </c>
      <c r="G77" s="8" t="n">
        <v>972.3</v>
      </c>
      <c r="J77" s="8" t="n">
        <v>0.1</v>
      </c>
      <c r="K77" s="8" t="n">
        <v>124.2</v>
      </c>
      <c r="L77" s="8" t="n">
        <v>1.1</v>
      </c>
      <c r="M77" s="8" t="n">
        <v>114.1</v>
      </c>
      <c r="N77" s="13" t="n">
        <v>-1</v>
      </c>
      <c r="O77" s="8" t="n">
        <f aca="false">O76+N77</f>
        <v>55</v>
      </c>
      <c r="P77" s="8" t="n">
        <v>72</v>
      </c>
      <c r="Q77" s="8" t="n">
        <f aca="false">0.35+((P77-9)/80)*(1-0.35)</f>
        <v>0.861875</v>
      </c>
      <c r="R77" s="14" t="n">
        <f aca="false">Q77*L77</f>
        <v>0.9480625</v>
      </c>
      <c r="S77" s="14" t="n">
        <f aca="false">J77-R77</f>
        <v>-0.8480625</v>
      </c>
      <c r="T77" s="14" t="n">
        <f aca="false">MIN(189.6,(T76+S77))</f>
        <v>109.98075</v>
      </c>
      <c r="V77" s="15" t="n">
        <v>598.3</v>
      </c>
      <c r="W77" s="8" t="n">
        <v>61.680412371134</v>
      </c>
      <c r="X77" s="8" t="n">
        <v>54662.4</v>
      </c>
      <c r="AA77" s="8" t="n">
        <v>9.29148769648325</v>
      </c>
    </row>
    <row r="78" s="8" customFormat="true" ht="15" hidden="false" customHeight="false" outlineLevel="0" collapsed="false">
      <c r="A78" s="9"/>
      <c r="B78" s="10"/>
      <c r="C78" s="11" t="n">
        <v>41956</v>
      </c>
      <c r="D78" s="8" t="n">
        <v>8.3</v>
      </c>
      <c r="E78" s="8" t="n">
        <v>5.4</v>
      </c>
      <c r="F78" s="8" t="n">
        <v>11</v>
      </c>
      <c r="G78" s="8" t="n">
        <v>980.6</v>
      </c>
      <c r="J78" s="8" t="n">
        <v>0</v>
      </c>
      <c r="K78" s="8" t="n">
        <v>124.2</v>
      </c>
      <c r="L78" s="8" t="n">
        <v>0.5</v>
      </c>
      <c r="M78" s="8" t="n">
        <v>114.6</v>
      </c>
      <c r="N78" s="13" t="n">
        <v>-0.5</v>
      </c>
      <c r="O78" s="8" t="n">
        <f aca="false">O77+N78</f>
        <v>54.5</v>
      </c>
      <c r="P78" s="8" t="n">
        <v>73</v>
      </c>
      <c r="Q78" s="8" t="n">
        <f aca="false">0.35+((P78-9)/80)*(1-0.35)</f>
        <v>0.87</v>
      </c>
      <c r="R78" s="14" t="n">
        <f aca="false">Q78*L78</f>
        <v>0.435</v>
      </c>
      <c r="S78" s="14" t="n">
        <f aca="false">J78-R78</f>
        <v>-0.435</v>
      </c>
      <c r="T78" s="14" t="n">
        <f aca="false">MIN(189.6,(T77+S78))</f>
        <v>109.54575</v>
      </c>
      <c r="V78" s="15" t="n">
        <v>265.3</v>
      </c>
      <c r="W78" s="8" t="n">
        <v>31.9638554216867</v>
      </c>
      <c r="X78" s="8" t="n">
        <v>54927.7</v>
      </c>
      <c r="AA78" s="8" t="n">
        <v>9.2414361400975</v>
      </c>
    </row>
    <row r="79" s="8" customFormat="true" ht="15" hidden="false" customHeight="false" outlineLevel="0" collapsed="false">
      <c r="A79" s="9"/>
      <c r="B79" s="10"/>
      <c r="C79" s="11" t="n">
        <v>41957</v>
      </c>
      <c r="D79" s="8" t="n">
        <v>9.1</v>
      </c>
      <c r="E79" s="8" t="n">
        <v>7.5</v>
      </c>
      <c r="F79" s="8" t="n">
        <v>10</v>
      </c>
      <c r="G79" s="8" t="n">
        <v>989.7</v>
      </c>
      <c r="J79" s="8" t="n">
        <v>10.8</v>
      </c>
      <c r="K79" s="8" t="n">
        <v>135</v>
      </c>
      <c r="L79" s="8" t="n">
        <v>0.4</v>
      </c>
      <c r="M79" s="8" t="n">
        <v>115</v>
      </c>
      <c r="N79" s="8" t="n">
        <v>10.4</v>
      </c>
      <c r="O79" s="8" t="n">
        <f aca="false">O78+N79</f>
        <v>64.9</v>
      </c>
      <c r="P79" s="8" t="n">
        <v>74</v>
      </c>
      <c r="Q79" s="8" t="n">
        <f aca="false">0.35+((P79-9)/80)*(1-0.35)</f>
        <v>0.878125</v>
      </c>
      <c r="R79" s="14" t="n">
        <f aca="false">Q79*L79</f>
        <v>0.35125</v>
      </c>
      <c r="S79" s="14" t="n">
        <f aca="false">J79-R79</f>
        <v>10.44875</v>
      </c>
      <c r="T79" s="14" t="n">
        <f aca="false">MIN(189.6,(T78+S79))</f>
        <v>119.9945</v>
      </c>
      <c r="V79" s="15" t="n">
        <v>118.6</v>
      </c>
      <c r="W79" s="8" t="n">
        <v>13.032967032967</v>
      </c>
      <c r="X79" s="8" t="n">
        <v>55046.3</v>
      </c>
      <c r="AA79" s="8" t="n">
        <v>9.19205907620333</v>
      </c>
    </row>
    <row r="80" s="8" customFormat="true" ht="15" hidden="false" customHeight="false" outlineLevel="0" collapsed="false">
      <c r="A80" s="9"/>
      <c r="B80" s="10"/>
      <c r="C80" s="11" t="n">
        <v>41958</v>
      </c>
      <c r="D80" s="8" t="n">
        <v>9.5</v>
      </c>
      <c r="E80" s="8" t="n">
        <v>9.1</v>
      </c>
      <c r="F80" s="8" t="n">
        <v>11.4</v>
      </c>
      <c r="G80" s="8" t="n">
        <v>999.2</v>
      </c>
      <c r="J80" s="8" t="n">
        <v>3.5</v>
      </c>
      <c r="K80" s="8" t="n">
        <v>138.5</v>
      </c>
      <c r="L80" s="8" t="n">
        <v>0.4</v>
      </c>
      <c r="M80" s="8" t="n">
        <v>115.4</v>
      </c>
      <c r="N80" s="8" t="n">
        <v>3.1</v>
      </c>
      <c r="O80" s="8" t="n">
        <f aca="false">O79+N80</f>
        <v>68</v>
      </c>
      <c r="P80" s="8" t="n">
        <v>75</v>
      </c>
      <c r="Q80" s="8" t="n">
        <f aca="false">0.35+((P80-9)/80)*(1-0.35)</f>
        <v>0.88625</v>
      </c>
      <c r="R80" s="14" t="n">
        <f aca="false">Q80*L80</f>
        <v>0.3545</v>
      </c>
      <c r="S80" s="14" t="n">
        <f aca="false">J80-R80</f>
        <v>3.1455</v>
      </c>
      <c r="T80" s="14" t="n">
        <f aca="false">MIN(189.6,(T79+S80))</f>
        <v>123.14</v>
      </c>
      <c r="V80" s="15" t="n">
        <v>127.3</v>
      </c>
      <c r="W80" s="8" t="n">
        <v>13.4</v>
      </c>
      <c r="X80" s="8" t="n">
        <v>55173.6</v>
      </c>
      <c r="AA80" s="8" t="n">
        <v>9.14338531571597</v>
      </c>
    </row>
    <row r="81" s="8" customFormat="true" ht="15" hidden="false" customHeight="false" outlineLevel="0" collapsed="false">
      <c r="A81" s="9"/>
      <c r="B81" s="10"/>
      <c r="C81" s="11" t="n">
        <v>41959</v>
      </c>
      <c r="D81" s="8" t="n">
        <v>8.4</v>
      </c>
      <c r="E81" s="8" t="n">
        <v>6.8</v>
      </c>
      <c r="F81" s="8" t="n">
        <v>10.1</v>
      </c>
      <c r="G81" s="8" t="n">
        <v>1007.6</v>
      </c>
      <c r="J81" s="8" t="n">
        <v>1.2</v>
      </c>
      <c r="K81" s="8" t="n">
        <v>139.7</v>
      </c>
      <c r="L81" s="8" t="n">
        <v>0.3</v>
      </c>
      <c r="M81" s="8" t="n">
        <v>115.7</v>
      </c>
      <c r="N81" s="8" t="n">
        <v>0.9</v>
      </c>
      <c r="O81" s="8" t="n">
        <f aca="false">O80+N81</f>
        <v>68.9</v>
      </c>
      <c r="P81" s="8" t="n">
        <v>76</v>
      </c>
      <c r="Q81" s="8" t="n">
        <f aca="false">0.35+((P81-9)/80)*(1-0.35)</f>
        <v>0.894375</v>
      </c>
      <c r="R81" s="14" t="n">
        <f aca="false">Q81*L81</f>
        <v>0.2683125</v>
      </c>
      <c r="S81" s="14" t="n">
        <f aca="false">J81-R81</f>
        <v>0.9316875</v>
      </c>
      <c r="T81" s="14" t="n">
        <f aca="false">MIN(189.6,(T80+S81))</f>
        <v>124.0716875</v>
      </c>
      <c r="V81" s="15" t="n">
        <v>182.7</v>
      </c>
      <c r="W81" s="8" t="n">
        <v>21.75</v>
      </c>
      <c r="X81" s="8" t="n">
        <v>55356.3</v>
      </c>
      <c r="AA81" s="8" t="n">
        <v>9.0954442815599</v>
      </c>
    </row>
    <row r="82" s="8" customFormat="true" ht="15" hidden="false" customHeight="false" outlineLevel="0" collapsed="false">
      <c r="A82" s="9"/>
      <c r="B82" s="10"/>
      <c r="C82" s="11" t="n">
        <v>41960</v>
      </c>
      <c r="D82" s="8" t="n">
        <v>8.3</v>
      </c>
      <c r="E82" s="8" t="n">
        <v>7.5</v>
      </c>
      <c r="F82" s="8" t="n">
        <v>9.4</v>
      </c>
      <c r="G82" s="8" t="n">
        <v>1015.9</v>
      </c>
      <c r="J82" s="8" t="n">
        <v>1.6</v>
      </c>
      <c r="K82" s="8" t="n">
        <v>141.3</v>
      </c>
      <c r="L82" s="8" t="n">
        <v>0.4</v>
      </c>
      <c r="M82" s="8" t="n">
        <v>116.1</v>
      </c>
      <c r="N82" s="8" t="n">
        <v>1.2</v>
      </c>
      <c r="O82" s="8" t="n">
        <f aca="false">O81+N82</f>
        <v>70.1</v>
      </c>
      <c r="P82" s="8" t="n">
        <v>77</v>
      </c>
      <c r="Q82" s="8" t="n">
        <f aca="false">0.35+((P82-9)/80)*(1-0.35)</f>
        <v>0.9025</v>
      </c>
      <c r="R82" s="14" t="n">
        <f aca="false">Q82*L82</f>
        <v>0.361</v>
      </c>
      <c r="S82" s="14" t="n">
        <f aca="false">J82-R82</f>
        <v>1.239</v>
      </c>
      <c r="T82" s="14" t="n">
        <f aca="false">MIN(189.6,(T81+S82))</f>
        <v>125.3106875</v>
      </c>
      <c r="V82" s="15" t="n">
        <v>196</v>
      </c>
      <c r="W82" s="8" t="n">
        <v>23.6144578313253</v>
      </c>
      <c r="X82" s="8" t="n">
        <v>55552.3</v>
      </c>
      <c r="AA82" s="8" t="n">
        <v>9.04826597838681</v>
      </c>
    </row>
    <row r="83" s="8" customFormat="true" ht="15" hidden="false" customHeight="false" outlineLevel="0" collapsed="false">
      <c r="A83" s="9"/>
      <c r="B83" s="10"/>
      <c r="C83" s="11" t="n">
        <v>41961</v>
      </c>
      <c r="D83" s="8" t="n">
        <v>8</v>
      </c>
      <c r="E83" s="8" t="n">
        <v>7.3</v>
      </c>
      <c r="F83" s="8" t="n">
        <v>10.5</v>
      </c>
      <c r="G83" s="8" t="n">
        <v>1023.9</v>
      </c>
      <c r="J83" s="8" t="n">
        <v>0.1</v>
      </c>
      <c r="K83" s="8" t="n">
        <v>141.4</v>
      </c>
      <c r="L83" s="8" t="n">
        <v>0.8</v>
      </c>
      <c r="M83" s="8" t="n">
        <v>116.9</v>
      </c>
      <c r="N83" s="13" t="n">
        <v>-0.7</v>
      </c>
      <c r="O83" s="8" t="n">
        <f aca="false">O82+N83</f>
        <v>69.4</v>
      </c>
      <c r="P83" s="8" t="n">
        <v>78</v>
      </c>
      <c r="Q83" s="8" t="n">
        <f aca="false">0.35+((P83-9)/80)*(1-0.35)</f>
        <v>0.910625</v>
      </c>
      <c r="R83" s="14" t="n">
        <f aca="false">Q83*L83</f>
        <v>0.7285</v>
      </c>
      <c r="S83" s="14" t="n">
        <f aca="false">J83-R83</f>
        <v>-0.6285</v>
      </c>
      <c r="T83" s="14" t="n">
        <f aca="false">MIN(189.6,(T82+S83))</f>
        <v>124.6821875</v>
      </c>
      <c r="V83" s="15" t="n">
        <v>389.8</v>
      </c>
      <c r="W83" s="8" t="n">
        <v>48.725</v>
      </c>
      <c r="X83" s="8" t="n">
        <v>55942.1</v>
      </c>
      <c r="AA83" s="8" t="n">
        <v>9.00188095816921</v>
      </c>
    </row>
    <row r="84" s="8" customFormat="true" ht="15" hidden="false" customHeight="false" outlineLevel="0" collapsed="false">
      <c r="A84" s="9"/>
      <c r="B84" s="10"/>
      <c r="C84" s="11" t="n">
        <v>41962</v>
      </c>
      <c r="D84" s="8" t="n">
        <v>6.6</v>
      </c>
      <c r="E84" s="8" t="n">
        <v>5.8</v>
      </c>
      <c r="F84" s="8" t="n">
        <v>7.2</v>
      </c>
      <c r="G84" s="8" t="n">
        <v>1030.5</v>
      </c>
      <c r="J84" s="8" t="n">
        <v>0.2</v>
      </c>
      <c r="K84" s="8" t="n">
        <v>141.6</v>
      </c>
      <c r="L84" s="8" t="n">
        <v>0.3</v>
      </c>
      <c r="M84" s="8" t="n">
        <v>117.2</v>
      </c>
      <c r="N84" s="13" t="n">
        <v>-0.1</v>
      </c>
      <c r="O84" s="8" t="n">
        <f aca="false">O83+N84</f>
        <v>69.3</v>
      </c>
      <c r="P84" s="8" t="n">
        <v>79</v>
      </c>
      <c r="Q84" s="8" t="n">
        <f aca="false">0.35+((P84-9)/80)*(1-0.35)</f>
        <v>0.91875</v>
      </c>
      <c r="R84" s="14" t="n">
        <f aca="false">Q84*L84</f>
        <v>0.275625</v>
      </c>
      <c r="S84" s="14" t="n">
        <f aca="false">J84-R84</f>
        <v>-0.0756249999999999</v>
      </c>
      <c r="T84" s="14" t="n">
        <f aca="false">MIN(189.6,(T83+S84))</f>
        <v>124.6065625</v>
      </c>
      <c r="V84" s="15" t="n">
        <v>217.9</v>
      </c>
      <c r="W84" s="8" t="n">
        <v>33.0151515151515</v>
      </c>
      <c r="X84" s="8" t="n">
        <v>56160</v>
      </c>
      <c r="AA84" s="19" t="n">
        <v>8.95632028153667</v>
      </c>
    </row>
    <row r="85" s="8" customFormat="true" ht="15" hidden="false" customHeight="false" outlineLevel="0" collapsed="false">
      <c r="A85" s="9"/>
      <c r="B85" s="10"/>
      <c r="C85" s="11" t="n">
        <v>41963</v>
      </c>
      <c r="D85" s="8" t="n">
        <v>6.6</v>
      </c>
      <c r="E85" s="8" t="n">
        <v>6.3</v>
      </c>
      <c r="F85" s="8" t="n">
        <v>7.2</v>
      </c>
      <c r="G85" s="8" t="n">
        <v>1037.1</v>
      </c>
      <c r="J85" s="8" t="n">
        <v>0</v>
      </c>
      <c r="K85" s="8" t="n">
        <v>141.6</v>
      </c>
      <c r="L85" s="8" t="n">
        <v>0.4</v>
      </c>
      <c r="M85" s="8" t="n">
        <v>117.6</v>
      </c>
      <c r="N85" s="13" t="n">
        <v>-0.4</v>
      </c>
      <c r="O85" s="8" t="n">
        <f aca="false">O84+N85</f>
        <v>68.9</v>
      </c>
      <c r="P85" s="8" t="n">
        <v>80</v>
      </c>
      <c r="Q85" s="8" t="n">
        <f aca="false">0.35+((P85-9)/80)*(1-0.35)</f>
        <v>0.926875</v>
      </c>
      <c r="R85" s="14" t="n">
        <f aca="false">Q85*L85</f>
        <v>0.37075</v>
      </c>
      <c r="S85" s="14" t="n">
        <f aca="false">J85-R85</f>
        <v>-0.37075</v>
      </c>
      <c r="T85" s="14" t="n">
        <f aca="false">MIN(189.6,(T84+S85))</f>
        <v>124.2358125</v>
      </c>
      <c r="V85" s="15" t="n">
        <v>349.1</v>
      </c>
      <c r="W85" s="8" t="n">
        <v>52.8939393939394</v>
      </c>
      <c r="X85" s="8" t="n">
        <v>56509.1</v>
      </c>
      <c r="AA85" s="19" t="n">
        <v>8.91161547474022</v>
      </c>
    </row>
    <row r="86" s="8" customFormat="true" ht="15" hidden="false" customHeight="false" outlineLevel="0" collapsed="false">
      <c r="A86" s="9"/>
      <c r="B86" s="10"/>
      <c r="C86" s="11" t="n">
        <v>41964</v>
      </c>
      <c r="D86" s="8" t="n">
        <v>6.6</v>
      </c>
      <c r="E86" s="18" t="n">
        <v>4.3</v>
      </c>
      <c r="F86" s="8" t="n">
        <v>8.2</v>
      </c>
      <c r="G86" s="8" t="n">
        <v>1043.7</v>
      </c>
      <c r="J86" s="8" t="n">
        <v>0.1</v>
      </c>
      <c r="K86" s="8" t="n">
        <v>141.7</v>
      </c>
      <c r="L86" s="8" t="n">
        <v>0.4</v>
      </c>
      <c r="M86" s="8" t="n">
        <v>118</v>
      </c>
      <c r="N86" s="13" t="n">
        <v>-0.3</v>
      </c>
      <c r="O86" s="8" t="n">
        <f aca="false">O85+N86</f>
        <v>68.6</v>
      </c>
      <c r="P86" s="8" t="n">
        <v>81</v>
      </c>
      <c r="Q86" s="8" t="n">
        <f aca="false">0.35+((P86-9)/80)*(1-0.35)</f>
        <v>0.935</v>
      </c>
      <c r="R86" s="14" t="n">
        <f aca="false">Q86*L86</f>
        <v>0.374</v>
      </c>
      <c r="S86" s="14" t="n">
        <f aca="false">J86-R86</f>
        <v>-0.274</v>
      </c>
      <c r="T86" s="14" t="n">
        <f aca="false">MIN(189.6,(T85+S86))</f>
        <v>123.9618125</v>
      </c>
      <c r="V86" s="15" t="n">
        <v>395</v>
      </c>
      <c r="W86" s="8" t="n">
        <v>59.8484848484849</v>
      </c>
      <c r="X86" s="8" t="n">
        <v>56904.1</v>
      </c>
      <c r="AA86" s="19" t="n">
        <v>8.86779848215216</v>
      </c>
    </row>
    <row r="87" s="8" customFormat="true" ht="15" hidden="false" customHeight="false" outlineLevel="0" collapsed="false">
      <c r="A87" s="9"/>
      <c r="B87" s="10"/>
      <c r="C87" s="11" t="n">
        <v>41965</v>
      </c>
      <c r="D87" s="8" t="n">
        <v>9.4</v>
      </c>
      <c r="E87" s="8" t="n">
        <v>6</v>
      </c>
      <c r="F87" s="8" t="n">
        <v>12.4</v>
      </c>
      <c r="G87" s="8" t="n">
        <v>1053.1</v>
      </c>
      <c r="J87" s="8" t="n">
        <v>0.7</v>
      </c>
      <c r="K87" s="8" t="n">
        <v>142.4</v>
      </c>
      <c r="L87" s="8" t="n">
        <v>0.6</v>
      </c>
      <c r="M87" s="8" t="n">
        <v>118.6</v>
      </c>
      <c r="N87" s="8" t="n">
        <v>0.1</v>
      </c>
      <c r="O87" s="8" t="n">
        <f aca="false">O86+N87</f>
        <v>68.7</v>
      </c>
      <c r="P87" s="8" t="n">
        <v>82</v>
      </c>
      <c r="Q87" s="8" t="n">
        <f aca="false">0.35+((P87-9)/80)*(1-0.35)</f>
        <v>0.943125</v>
      </c>
      <c r="R87" s="14" t="n">
        <f aca="false">Q87*L87</f>
        <v>0.565875</v>
      </c>
      <c r="S87" s="14" t="n">
        <f aca="false">J87-R87</f>
        <v>0.134125</v>
      </c>
      <c r="T87" s="14" t="n">
        <f aca="false">MIN(189.6,(T86+S87))</f>
        <v>124.0959375</v>
      </c>
      <c r="V87" s="15" t="n">
        <v>362.3</v>
      </c>
      <c r="W87" s="8" t="n">
        <v>38.5425531914894</v>
      </c>
      <c r="X87" s="8" t="n">
        <v>57266.4</v>
      </c>
      <c r="AA87" s="19" t="n">
        <v>8.82490161423389</v>
      </c>
    </row>
    <row r="88" s="8" customFormat="true" ht="15" hidden="false" customHeight="false" outlineLevel="0" collapsed="false">
      <c r="A88" s="9"/>
      <c r="B88" s="10"/>
      <c r="C88" s="11" t="n">
        <v>41966</v>
      </c>
      <c r="D88" s="8" t="n">
        <v>10.8</v>
      </c>
      <c r="E88" s="8" t="n">
        <v>7.8</v>
      </c>
      <c r="F88" s="8" t="n">
        <v>13.7</v>
      </c>
      <c r="G88" s="8" t="n">
        <v>1063.9</v>
      </c>
      <c r="J88" s="8" t="n">
        <v>0.3</v>
      </c>
      <c r="K88" s="8" t="n">
        <v>142.7</v>
      </c>
      <c r="L88" s="8" t="n">
        <v>0.7</v>
      </c>
      <c r="M88" s="8" t="n">
        <v>119.3</v>
      </c>
      <c r="N88" s="13" t="n">
        <v>-0.4</v>
      </c>
      <c r="O88" s="8" t="n">
        <f aca="false">O87+N88</f>
        <v>68.3</v>
      </c>
      <c r="P88" s="8" t="n">
        <v>83</v>
      </c>
      <c r="Q88" s="8" t="n">
        <f aca="false">0.35+((P88-9)/80)*(1-0.35)</f>
        <v>0.95125</v>
      </c>
      <c r="R88" s="14" t="n">
        <f aca="false">Q88*L88</f>
        <v>0.665875</v>
      </c>
      <c r="S88" s="14" t="n">
        <f aca="false">J88-R88</f>
        <v>-0.365875</v>
      </c>
      <c r="T88" s="14" t="n">
        <f aca="false">MIN(189.6,(T87+S88))</f>
        <v>123.7300625</v>
      </c>
      <c r="V88" s="15" t="n">
        <v>449.2</v>
      </c>
      <c r="W88" s="8" t="n">
        <v>41.5925925925926</v>
      </c>
      <c r="X88" s="8" t="n">
        <v>57715.6</v>
      </c>
      <c r="AA88" s="19" t="n">
        <v>8.78295749093237</v>
      </c>
    </row>
    <row r="89" s="8" customFormat="true" ht="15" hidden="false" customHeight="false" outlineLevel="0" collapsed="false">
      <c r="A89" s="9"/>
      <c r="B89" s="10"/>
      <c r="C89" s="11" t="n">
        <v>41967</v>
      </c>
      <c r="D89" s="8" t="n">
        <v>8.2</v>
      </c>
      <c r="E89" s="8" t="n">
        <v>6.9</v>
      </c>
      <c r="F89" s="8" t="n">
        <v>10.3</v>
      </c>
      <c r="G89" s="8" t="n">
        <v>1072.1</v>
      </c>
      <c r="J89" s="8" t="n">
        <v>0</v>
      </c>
      <c r="K89" s="8" t="n">
        <v>142.7</v>
      </c>
      <c r="L89" s="8" t="n">
        <v>0.8</v>
      </c>
      <c r="M89" s="8" t="n">
        <v>120.1</v>
      </c>
      <c r="N89" s="13" t="n">
        <v>-0.8</v>
      </c>
      <c r="O89" s="8" t="n">
        <f aca="false">O88+N89</f>
        <v>67.5</v>
      </c>
      <c r="P89" s="8" t="n">
        <v>84</v>
      </c>
      <c r="Q89" s="8" t="n">
        <f aca="false">0.35+((P89-9)/80)*(1-0.35)</f>
        <v>0.959375</v>
      </c>
      <c r="R89" s="14" t="n">
        <f aca="false">Q89*L89</f>
        <v>0.7675</v>
      </c>
      <c r="S89" s="14" t="n">
        <f aca="false">J89-R89</f>
        <v>-0.7675</v>
      </c>
      <c r="T89" s="14" t="n">
        <f aca="false">MIN(189.6,(T88+S89))</f>
        <v>122.9625625</v>
      </c>
      <c r="V89" s="15" t="n">
        <v>478.7</v>
      </c>
      <c r="W89" s="8" t="n">
        <v>58.3780487804878</v>
      </c>
      <c r="X89" s="8" t="n">
        <v>58194.3</v>
      </c>
      <c r="AA89" s="19" t="n">
        <v>8.74199898049803</v>
      </c>
    </row>
    <row r="90" s="8" customFormat="true" ht="15" hidden="false" customHeight="false" outlineLevel="0" collapsed="false">
      <c r="A90" s="9"/>
      <c r="B90" s="10"/>
      <c r="C90" s="11" t="n">
        <v>41968</v>
      </c>
      <c r="D90" s="8" t="n">
        <v>7.4</v>
      </c>
      <c r="E90" s="8" t="n">
        <v>5.6</v>
      </c>
      <c r="F90" s="8" t="n">
        <v>8.8</v>
      </c>
      <c r="G90" s="8" t="n">
        <v>1079.5</v>
      </c>
      <c r="J90" s="8" t="n">
        <v>4.8</v>
      </c>
      <c r="K90" s="8" t="n">
        <v>147.5</v>
      </c>
      <c r="L90" s="8" t="n">
        <v>0.4</v>
      </c>
      <c r="M90" s="8" t="n">
        <v>120.5</v>
      </c>
      <c r="N90" s="8" t="n">
        <v>4.4</v>
      </c>
      <c r="O90" s="8" t="n">
        <f aca="false">O89+N90</f>
        <v>71.9</v>
      </c>
      <c r="P90" s="8" t="n">
        <v>85</v>
      </c>
      <c r="Q90" s="8" t="n">
        <f aca="false">0.35+((P90-9)/80)*(1-0.35)</f>
        <v>0.9675</v>
      </c>
      <c r="R90" s="14" t="n">
        <f aca="false">Q90*L90</f>
        <v>0.387</v>
      </c>
      <c r="S90" s="14" t="n">
        <f aca="false">J90-R90</f>
        <v>4.413</v>
      </c>
      <c r="T90" s="14" t="n">
        <f aca="false">MIN(189.6,(T89+S90))</f>
        <v>127.3755625</v>
      </c>
      <c r="V90" s="15" t="n">
        <v>214.1</v>
      </c>
      <c r="W90" s="8" t="n">
        <v>28.9324324324324</v>
      </c>
      <c r="X90" s="8" t="n">
        <v>58408.4</v>
      </c>
      <c r="AA90" s="19" t="n">
        <v>8.70205913375169</v>
      </c>
    </row>
    <row r="91" s="8" customFormat="true" ht="15" hidden="false" customHeight="false" outlineLevel="0" collapsed="false">
      <c r="A91" s="9"/>
      <c r="B91" s="10"/>
      <c r="C91" s="11" t="n">
        <v>41969</v>
      </c>
      <c r="D91" s="8" t="n">
        <v>9</v>
      </c>
      <c r="E91" s="8" t="n">
        <v>7.5</v>
      </c>
      <c r="F91" s="8" t="n">
        <v>10.2</v>
      </c>
      <c r="G91" s="8" t="n">
        <v>1088.5</v>
      </c>
      <c r="J91" s="8" t="n">
        <v>2</v>
      </c>
      <c r="K91" s="8" t="n">
        <v>149.5</v>
      </c>
      <c r="L91" s="8" t="n">
        <v>0.3</v>
      </c>
      <c r="M91" s="8" t="n">
        <v>120.8</v>
      </c>
      <c r="N91" s="8" t="n">
        <v>1.7</v>
      </c>
      <c r="O91" s="8" t="n">
        <f aca="false">O90+N91</f>
        <v>73.6</v>
      </c>
      <c r="P91" s="8" t="n">
        <v>86</v>
      </c>
      <c r="Q91" s="8" t="n">
        <f aca="false">0.35+((P91-9)/80)*(1-0.35)</f>
        <v>0.975625</v>
      </c>
      <c r="R91" s="14" t="n">
        <f aca="false">Q91*L91</f>
        <v>0.2926875</v>
      </c>
      <c r="S91" s="14" t="n">
        <f aca="false">J91-R91</f>
        <v>1.7073125</v>
      </c>
      <c r="T91" s="14" t="n">
        <f aca="false">MIN(189.6,(T90+S91))</f>
        <v>129.082875</v>
      </c>
      <c r="V91" s="15" t="n">
        <v>142.7</v>
      </c>
      <c r="W91" s="8" t="n">
        <v>15.8555555555556</v>
      </c>
      <c r="X91" s="8" t="n">
        <v>58551.1</v>
      </c>
      <c r="AA91" s="19" t="n">
        <v>8.66317111386645</v>
      </c>
    </row>
    <row r="92" s="8" customFormat="true" ht="15" hidden="false" customHeight="false" outlineLevel="0" collapsed="false">
      <c r="A92" s="9"/>
      <c r="B92" s="10"/>
      <c r="C92" s="11" t="n">
        <v>41970</v>
      </c>
      <c r="D92" s="8" t="n">
        <v>9.5</v>
      </c>
      <c r="E92" s="8" t="n">
        <v>8.9</v>
      </c>
      <c r="F92" s="8" t="n">
        <v>10.2</v>
      </c>
      <c r="G92" s="8" t="n">
        <v>1098</v>
      </c>
      <c r="J92" s="8" t="n">
        <v>0.2</v>
      </c>
      <c r="K92" s="8" t="n">
        <v>149.7</v>
      </c>
      <c r="L92" s="8" t="n">
        <v>0.4</v>
      </c>
      <c r="M92" s="8" t="n">
        <v>121.2</v>
      </c>
      <c r="N92" s="13" t="n">
        <v>-0.2</v>
      </c>
      <c r="O92" s="8" t="n">
        <f aca="false">O91+N92</f>
        <v>73.4</v>
      </c>
      <c r="P92" s="8" t="n">
        <v>87</v>
      </c>
      <c r="Q92" s="8" t="n">
        <f aca="false">0.35+((P92-9)/80)*(1-0.35)</f>
        <v>0.98375</v>
      </c>
      <c r="R92" s="14" t="n">
        <f aca="false">Q92*L92</f>
        <v>0.3935</v>
      </c>
      <c r="S92" s="14" t="n">
        <f aca="false">J92-R92</f>
        <v>-0.1935</v>
      </c>
      <c r="T92" s="14" t="n">
        <f aca="false">MIN(189.6,(T91+S92))</f>
        <v>128.889375</v>
      </c>
      <c r="V92" s="15" t="n">
        <v>176.4</v>
      </c>
      <c r="W92" s="8" t="n">
        <v>18.5684210526316</v>
      </c>
      <c r="X92" s="8" t="n">
        <v>58727.5</v>
      </c>
      <c r="AA92" s="19" t="n">
        <v>8.62536812177169</v>
      </c>
    </row>
    <row r="93" s="8" customFormat="true" ht="15" hidden="false" customHeight="false" outlineLevel="0" collapsed="false">
      <c r="A93" s="9"/>
      <c r="B93" s="10"/>
      <c r="C93" s="11" t="n">
        <v>41971</v>
      </c>
      <c r="D93" s="8" t="n">
        <v>9</v>
      </c>
      <c r="E93" s="8" t="n">
        <v>7.6</v>
      </c>
      <c r="F93" s="8" t="n">
        <v>11.2</v>
      </c>
      <c r="G93" s="8" t="n">
        <v>1107</v>
      </c>
      <c r="J93" s="8" t="n">
        <v>0</v>
      </c>
      <c r="K93" s="8" t="n">
        <v>149.7</v>
      </c>
      <c r="L93" s="8" t="n">
        <v>0.7</v>
      </c>
      <c r="M93" s="8" t="n">
        <v>121.9</v>
      </c>
      <c r="N93" s="13" t="n">
        <v>-0.7</v>
      </c>
      <c r="O93" s="8" t="n">
        <f aca="false">O92+N93</f>
        <v>72.7</v>
      </c>
      <c r="P93" s="8" t="n">
        <v>88</v>
      </c>
      <c r="Q93" s="8" t="n">
        <f aca="false">0.35+((P93-9)/80)*(1-0.35)</f>
        <v>0.991875</v>
      </c>
      <c r="R93" s="14" t="n">
        <f aca="false">Q93*L93</f>
        <v>0.6943125</v>
      </c>
      <c r="S93" s="14" t="n">
        <f aca="false">J93-R93</f>
        <v>-0.6943125</v>
      </c>
      <c r="T93" s="14" t="n">
        <f aca="false">MIN(189.6,(T92+S93))</f>
        <v>128.1950625</v>
      </c>
      <c r="V93" s="15" t="n">
        <v>201.6</v>
      </c>
      <c r="W93" s="8" t="n">
        <v>22.4</v>
      </c>
      <c r="X93" s="8" t="n">
        <v>58929.1</v>
      </c>
      <c r="AA93" s="19" t="n">
        <v>8.58868331733055</v>
      </c>
    </row>
    <row r="94" s="8" customFormat="true" ht="15" hidden="false" customHeight="false" outlineLevel="0" collapsed="false">
      <c r="A94" s="9"/>
      <c r="B94" s="10"/>
      <c r="C94" s="39" t="n">
        <v>41972</v>
      </c>
      <c r="D94" s="40" t="n">
        <v>5.2</v>
      </c>
      <c r="E94" s="40" t="n">
        <v>3.6</v>
      </c>
      <c r="F94" s="40" t="n">
        <v>7.6</v>
      </c>
      <c r="G94" s="40" t="n">
        <v>1112.2</v>
      </c>
      <c r="H94" s="40"/>
      <c r="I94" s="40"/>
      <c r="J94" s="40" t="n">
        <v>0.1</v>
      </c>
      <c r="K94" s="40" t="n">
        <v>149.8</v>
      </c>
      <c r="L94" s="40" t="n">
        <v>0.7</v>
      </c>
      <c r="M94" s="40" t="n">
        <v>122.6</v>
      </c>
      <c r="N94" s="40" t="n">
        <v>-0.6</v>
      </c>
      <c r="O94" s="42" t="n">
        <f aca="false">O93+N94</f>
        <v>72.1</v>
      </c>
      <c r="P94" s="42" t="n">
        <v>89</v>
      </c>
      <c r="Q94" s="8" t="n">
        <f aca="false">0.35+((P94-9)/80)*(1-0.35)</f>
        <v>1</v>
      </c>
      <c r="R94" s="43" t="n">
        <f aca="false">Q94*L94</f>
        <v>0.7</v>
      </c>
      <c r="S94" s="43" t="n">
        <f aca="false">J94-R94</f>
        <v>-0.6</v>
      </c>
      <c r="T94" s="14" t="n">
        <f aca="false">MIN(189.6,(T93+S94))</f>
        <v>127.5950625</v>
      </c>
      <c r="U94" s="42"/>
      <c r="V94" s="40" t="n">
        <v>348.6</v>
      </c>
      <c r="W94" s="40" t="n">
        <v>67.0384615384616</v>
      </c>
      <c r="X94" s="40" t="n">
        <v>59277.7</v>
      </c>
      <c r="Y94" s="40"/>
      <c r="Z94" s="40"/>
      <c r="AA94" s="19" t="n">
        <v>8.55314973648841</v>
      </c>
    </row>
    <row r="95" s="8" customFormat="true" ht="15" hidden="false" customHeight="false" outlineLevel="0" collapsed="false">
      <c r="A95" s="27" t="s">
        <v>44</v>
      </c>
      <c r="B95" s="28"/>
      <c r="C95" s="11" t="n">
        <v>41973</v>
      </c>
      <c r="D95" s="18" t="n">
        <v>4.6</v>
      </c>
      <c r="E95" s="18" t="n">
        <v>3.2</v>
      </c>
      <c r="F95" s="8" t="n">
        <v>7.3</v>
      </c>
      <c r="G95" s="8" t="n">
        <v>1116.8</v>
      </c>
      <c r="H95" s="8" t="n">
        <v>4.6</v>
      </c>
      <c r="I95" s="29" t="s">
        <v>28</v>
      </c>
      <c r="J95" s="8" t="n">
        <v>0.8</v>
      </c>
      <c r="K95" s="8" t="n">
        <v>150.6</v>
      </c>
      <c r="L95" s="8" t="n">
        <v>0.4</v>
      </c>
      <c r="M95" s="8" t="n">
        <v>123</v>
      </c>
      <c r="N95" s="8" t="n">
        <v>0.4</v>
      </c>
      <c r="O95" s="8" t="n">
        <f aca="false">O94+N95</f>
        <v>72.5</v>
      </c>
      <c r="P95" s="8" t="n">
        <v>90</v>
      </c>
      <c r="Q95" s="8" t="n">
        <v>1</v>
      </c>
      <c r="R95" s="14" t="n">
        <f aca="false">Q95*L95</f>
        <v>0.4</v>
      </c>
      <c r="S95" s="14" t="n">
        <f aca="false">J95-R95</f>
        <v>0.4</v>
      </c>
      <c r="T95" s="14" t="n">
        <f aca="false">MIN(189.6,(T94+S95))</f>
        <v>127.9950625</v>
      </c>
      <c r="U95" s="29" t="s">
        <v>29</v>
      </c>
      <c r="V95" s="15" t="n">
        <v>213.6</v>
      </c>
      <c r="W95" s="8" t="n">
        <v>46.4347826086957</v>
      </c>
      <c r="X95" s="8" t="n">
        <v>59491.3</v>
      </c>
      <c r="Y95" s="8" t="n">
        <f aca="false">V95</f>
        <v>213.6</v>
      </c>
      <c r="Z95" s="29" t="s">
        <v>30</v>
      </c>
      <c r="AA95" s="19" t="n">
        <v>8.51880020463869</v>
      </c>
    </row>
    <row r="96" s="8" customFormat="true" ht="15" hidden="false" customHeight="false" outlineLevel="0" collapsed="false">
      <c r="A96" s="27"/>
      <c r="B96" s="28"/>
      <c r="C96" s="11" t="n">
        <v>41974</v>
      </c>
      <c r="D96" s="18" t="n">
        <v>3.2</v>
      </c>
      <c r="E96" s="18" t="n">
        <v>2.7</v>
      </c>
      <c r="F96" s="18" t="n">
        <v>2.9</v>
      </c>
      <c r="G96" s="8" t="n">
        <v>1120</v>
      </c>
      <c r="H96" s="8" t="n">
        <f aca="false">H95+D96</f>
        <v>7.8</v>
      </c>
      <c r="I96" s="8" t="n">
        <v>-3.8</v>
      </c>
      <c r="J96" s="8" t="n">
        <v>0.2</v>
      </c>
      <c r="K96" s="8" t="n">
        <v>150.8</v>
      </c>
      <c r="L96" s="8" t="n">
        <v>0.3</v>
      </c>
      <c r="M96" s="8" t="n">
        <v>123.3</v>
      </c>
      <c r="N96" s="13" t="n">
        <v>-0.1</v>
      </c>
      <c r="O96" s="8" t="n">
        <f aca="false">O95+N96</f>
        <v>72.4</v>
      </c>
      <c r="P96" s="8" t="n">
        <v>91</v>
      </c>
      <c r="Q96" s="8" t="n">
        <v>1</v>
      </c>
      <c r="R96" s="14" t="n">
        <f aca="false">Q96*L96</f>
        <v>0.3</v>
      </c>
      <c r="S96" s="14" t="n">
        <f aca="false">J96-R96</f>
        <v>-0.1</v>
      </c>
      <c r="T96" s="14" t="n">
        <f aca="false">MIN(189.6,(T95+S96))</f>
        <v>127.8950625</v>
      </c>
      <c r="U96" s="8" t="n">
        <v>50</v>
      </c>
      <c r="V96" s="15" t="n">
        <v>224.4</v>
      </c>
      <c r="W96" s="8" t="n">
        <v>70.125</v>
      </c>
      <c r="X96" s="8" t="n">
        <v>59715.7</v>
      </c>
      <c r="Y96" s="8" t="n">
        <f aca="false">Y95+V96</f>
        <v>438</v>
      </c>
      <c r="Z96" s="8" t="n">
        <v>32664</v>
      </c>
      <c r="AA96" s="19" t="n">
        <v>8.48566724650208</v>
      </c>
    </row>
    <row r="97" s="8" customFormat="true" ht="15" hidden="false" customHeight="false" outlineLevel="0" collapsed="false">
      <c r="A97" s="27"/>
      <c r="B97" s="28"/>
      <c r="C97" s="11" t="n">
        <v>41975</v>
      </c>
      <c r="D97" s="18" t="n">
        <v>2.3</v>
      </c>
      <c r="E97" s="18" t="n">
        <v>1.7</v>
      </c>
      <c r="F97" s="18" t="n">
        <v>3.1</v>
      </c>
      <c r="G97" s="8" t="n">
        <v>1122.3</v>
      </c>
      <c r="H97" s="8" t="n">
        <f aca="false">H96+D97</f>
        <v>10.1</v>
      </c>
      <c r="I97" s="29" t="s">
        <v>31</v>
      </c>
      <c r="J97" s="8" t="n">
        <v>1.4</v>
      </c>
      <c r="K97" s="8" t="n">
        <v>152.2</v>
      </c>
      <c r="L97" s="8" t="n">
        <v>0.3</v>
      </c>
      <c r="M97" s="8" t="n">
        <v>123.6</v>
      </c>
      <c r="N97" s="8" t="n">
        <v>1.1</v>
      </c>
      <c r="O97" s="8" t="n">
        <f aca="false">O96+N97</f>
        <v>73.5</v>
      </c>
      <c r="P97" s="8" t="n">
        <v>92</v>
      </c>
      <c r="Q97" s="8" t="n">
        <v>1</v>
      </c>
      <c r="R97" s="14" t="n">
        <f aca="false">Q97*L97</f>
        <v>0.3</v>
      </c>
      <c r="S97" s="14" t="n">
        <f aca="false">J97-R97</f>
        <v>1.1</v>
      </c>
      <c r="T97" s="14" t="n">
        <f aca="false">MIN(189.6,(T96+S97))</f>
        <v>128.9950625</v>
      </c>
      <c r="U97" s="29" t="s">
        <v>32</v>
      </c>
      <c r="V97" s="15" t="n">
        <v>164.1</v>
      </c>
      <c r="W97" s="8" t="n">
        <v>71.3478260869565</v>
      </c>
      <c r="X97" s="8" t="n">
        <v>59879.8</v>
      </c>
      <c r="Y97" s="8" t="n">
        <f aca="false">Y96+V97</f>
        <v>602.1</v>
      </c>
      <c r="Z97" s="29" t="s">
        <v>33</v>
      </c>
      <c r="AA97" s="19" t="n">
        <v>8.45378299286625</v>
      </c>
    </row>
    <row r="98" s="8" customFormat="true" ht="15" hidden="false" customHeight="false" outlineLevel="0" collapsed="false">
      <c r="A98" s="27"/>
      <c r="B98" s="28"/>
      <c r="C98" s="11" t="n">
        <v>41976</v>
      </c>
      <c r="D98" s="18" t="n">
        <v>1.3</v>
      </c>
      <c r="E98" s="18" t="n">
        <v>0.5</v>
      </c>
      <c r="F98" s="18" t="n">
        <v>2.1</v>
      </c>
      <c r="G98" s="8" t="n">
        <v>1123.6</v>
      </c>
      <c r="H98" s="8" t="n">
        <f aca="false">H97+D98</f>
        <v>11.4</v>
      </c>
      <c r="I98" s="8" t="n">
        <v>14.5</v>
      </c>
      <c r="J98" s="8" t="n">
        <v>0</v>
      </c>
      <c r="K98" s="8" t="n">
        <v>152.2</v>
      </c>
      <c r="L98" s="8" t="n">
        <v>0.5</v>
      </c>
      <c r="M98" s="8" t="n">
        <v>124.1</v>
      </c>
      <c r="N98" s="13" t="n">
        <v>-0.5</v>
      </c>
      <c r="O98" s="8" t="n">
        <f aca="false">O97+N98</f>
        <v>73</v>
      </c>
      <c r="P98" s="8" t="n">
        <v>93</v>
      </c>
      <c r="Q98" s="8" t="n">
        <v>1</v>
      </c>
      <c r="R98" s="14" t="n">
        <f aca="false">Q98*L98</f>
        <v>0.5</v>
      </c>
      <c r="S98" s="14" t="n">
        <f aca="false">J98-R98</f>
        <v>-0.5</v>
      </c>
      <c r="T98" s="14" t="n">
        <f aca="false">MIN(189.6,(T97+S98))</f>
        <v>128.4950625</v>
      </c>
      <c r="U98" s="8" t="n">
        <v>0</v>
      </c>
      <c r="V98" s="15" t="n">
        <v>379.3</v>
      </c>
      <c r="W98" s="8" t="n">
        <v>291.769230769231</v>
      </c>
      <c r="X98" s="8" t="n">
        <v>60259.1</v>
      </c>
      <c r="Y98" s="8" t="n">
        <f aca="false">Y97+V98</f>
        <v>981.4</v>
      </c>
      <c r="Z98" s="16" t="n">
        <f aca="false">(Z96/100)/I108</f>
        <v>0.833477928042868</v>
      </c>
      <c r="AA98" s="19" t="n">
        <v>8.42317908458435</v>
      </c>
    </row>
    <row r="99" s="8" customFormat="true" ht="15" hidden="false" customHeight="false" outlineLevel="0" collapsed="false">
      <c r="A99" s="27"/>
      <c r="B99" s="28"/>
      <c r="C99" s="11" t="n">
        <v>41977</v>
      </c>
      <c r="D99" s="18" t="n">
        <v>1.6</v>
      </c>
      <c r="E99" s="18" t="n">
        <v>0.4</v>
      </c>
      <c r="F99" s="18" t="n">
        <v>3.3</v>
      </c>
      <c r="G99" s="8" t="n">
        <v>1125.2</v>
      </c>
      <c r="H99" s="8" t="n">
        <f aca="false">H98+D99</f>
        <v>13</v>
      </c>
      <c r="I99" s="29" t="s">
        <v>34</v>
      </c>
      <c r="J99" s="8" t="n">
        <v>0.5</v>
      </c>
      <c r="K99" s="8" t="n">
        <v>152.7</v>
      </c>
      <c r="L99" s="8" t="n">
        <v>0.3</v>
      </c>
      <c r="M99" s="8" t="n">
        <v>124.4</v>
      </c>
      <c r="N99" s="8" t="n">
        <v>0.2</v>
      </c>
      <c r="O99" s="8" t="n">
        <f aca="false">O98+N99</f>
        <v>73.2</v>
      </c>
      <c r="P99" s="8" t="n">
        <v>94</v>
      </c>
      <c r="Q99" s="8" t="n">
        <v>1</v>
      </c>
      <c r="R99" s="14" t="n">
        <f aca="false">Q99*L99</f>
        <v>0.3</v>
      </c>
      <c r="S99" s="14" t="n">
        <f aca="false">J99-R99</f>
        <v>0.2</v>
      </c>
      <c r="T99" s="14" t="n">
        <f aca="false">MIN(189.6,(T98+S99))</f>
        <v>128.6950625</v>
      </c>
      <c r="U99" s="29" t="s">
        <v>35</v>
      </c>
      <c r="V99" s="15" t="n">
        <v>246.1</v>
      </c>
      <c r="W99" s="8" t="n">
        <v>153.8125</v>
      </c>
      <c r="X99" s="8" t="n">
        <v>60505.2</v>
      </c>
      <c r="Y99" s="8" t="n">
        <f aca="false">Y98+V99</f>
        <v>1227.5</v>
      </c>
      <c r="Z99" s="29" t="s">
        <v>36</v>
      </c>
      <c r="AA99" s="19" t="n">
        <v>8.39388657428115</v>
      </c>
    </row>
    <row r="100" s="8" customFormat="true" ht="15" hidden="false" customHeight="false" outlineLevel="0" collapsed="false">
      <c r="A100" s="27"/>
      <c r="B100" s="28"/>
      <c r="C100" s="11" t="n">
        <v>41978</v>
      </c>
      <c r="D100" s="18" t="n">
        <v>3.8</v>
      </c>
      <c r="E100" s="18" t="n">
        <v>2.4</v>
      </c>
      <c r="F100" s="18" t="n">
        <v>4.3</v>
      </c>
      <c r="G100" s="8" t="n">
        <v>1129</v>
      </c>
      <c r="H100" s="8" t="n">
        <f aca="false">H99+D100</f>
        <v>16.8</v>
      </c>
      <c r="I100" s="14" t="n">
        <v>3.94285714285714</v>
      </c>
      <c r="J100" s="8" t="n">
        <v>0.7</v>
      </c>
      <c r="K100" s="8" t="n">
        <v>153.4</v>
      </c>
      <c r="L100" s="8" t="n">
        <v>0.3</v>
      </c>
      <c r="M100" s="8" t="n">
        <v>124.7</v>
      </c>
      <c r="N100" s="8" t="n">
        <v>0.4</v>
      </c>
      <c r="O100" s="8" t="n">
        <f aca="false">O99+N100</f>
        <v>73.6</v>
      </c>
      <c r="P100" s="8" t="n">
        <v>95</v>
      </c>
      <c r="Q100" s="8" t="n">
        <v>1</v>
      </c>
      <c r="R100" s="14" t="n">
        <f aca="false">Q100*L100</f>
        <v>0.3</v>
      </c>
      <c r="S100" s="14" t="n">
        <f aca="false">J100-R100</f>
        <v>0.4</v>
      </c>
      <c r="T100" s="14" t="n">
        <f aca="false">MIN(189.6,(T99+S100))</f>
        <v>129.0950625</v>
      </c>
      <c r="U100" s="8" t="n">
        <v>0</v>
      </c>
      <c r="V100" s="15" t="n">
        <v>284.4</v>
      </c>
      <c r="W100" s="8" t="n">
        <v>74.8421052631579</v>
      </c>
      <c r="X100" s="8" t="n">
        <v>60789.6</v>
      </c>
      <c r="Y100" s="8" t="n">
        <f aca="false">Y99+V100</f>
        <v>1511.9</v>
      </c>
      <c r="Z100" s="8" t="n">
        <v>95</v>
      </c>
      <c r="AA100" s="19" t="n">
        <v>8.36593582626487</v>
      </c>
    </row>
    <row r="101" s="8" customFormat="true" ht="15" hidden="false" customHeight="false" outlineLevel="0" collapsed="false">
      <c r="A101" s="27"/>
      <c r="B101" s="28"/>
      <c r="C101" s="11" t="n">
        <v>41979</v>
      </c>
      <c r="D101" s="18" t="n">
        <v>2.8</v>
      </c>
      <c r="E101" s="18" t="n">
        <v>1</v>
      </c>
      <c r="F101" s="8" t="n">
        <v>5.9</v>
      </c>
      <c r="G101" s="8" t="n">
        <v>1131.8</v>
      </c>
      <c r="H101" s="8" t="n">
        <f aca="false">H100+D101</f>
        <v>19.6</v>
      </c>
      <c r="I101" s="29" t="s">
        <v>37</v>
      </c>
      <c r="J101" s="8" t="n">
        <v>0</v>
      </c>
      <c r="K101" s="8" t="n">
        <v>153.4</v>
      </c>
      <c r="L101" s="8" t="n">
        <v>0.5</v>
      </c>
      <c r="M101" s="8" t="n">
        <v>125.2</v>
      </c>
      <c r="N101" s="13" t="n">
        <v>-0.5</v>
      </c>
      <c r="O101" s="8" t="n">
        <f aca="false">O100+N101</f>
        <v>73.1</v>
      </c>
      <c r="P101" s="8" t="n">
        <v>96</v>
      </c>
      <c r="Q101" s="8" t="n">
        <v>1</v>
      </c>
      <c r="R101" s="14" t="n">
        <f aca="false">Q101*L101</f>
        <v>0.5</v>
      </c>
      <c r="S101" s="14" t="n">
        <f aca="false">J101-R101</f>
        <v>-0.5</v>
      </c>
      <c r="T101" s="14" t="n">
        <f aca="false">MIN(189.6,(T100+S101))</f>
        <v>128.5950625</v>
      </c>
      <c r="U101" s="29" t="s">
        <v>38</v>
      </c>
      <c r="V101" s="15" t="n">
        <v>228.3</v>
      </c>
      <c r="W101" s="8" t="n">
        <v>81.5357142857143</v>
      </c>
      <c r="X101" s="8" t="n">
        <v>61017.9</v>
      </c>
      <c r="Y101" s="8" t="n">
        <f aca="false">Y100+V101</f>
        <v>1740.2</v>
      </c>
      <c r="AA101" s="19" t="n">
        <v>8.33935641519034</v>
      </c>
    </row>
    <row r="102" s="8" customFormat="true" ht="15" hidden="false" customHeight="false" outlineLevel="0" collapsed="false">
      <c r="A102" s="27"/>
      <c r="B102" s="28"/>
      <c r="C102" s="11" t="n">
        <v>41980</v>
      </c>
      <c r="D102" s="18" t="n">
        <v>2.2</v>
      </c>
      <c r="E102" s="30" t="n">
        <v>-0.7</v>
      </c>
      <c r="F102" s="8" t="n">
        <v>5.8</v>
      </c>
      <c r="G102" s="8" t="n">
        <v>1134</v>
      </c>
      <c r="H102" s="8" t="n">
        <f aca="false">H101+D102</f>
        <v>21.8</v>
      </c>
      <c r="I102" s="8" t="n">
        <v>28</v>
      </c>
      <c r="J102" s="8" t="n">
        <v>1.6</v>
      </c>
      <c r="K102" s="8" t="n">
        <v>155</v>
      </c>
      <c r="L102" s="8" t="n">
        <v>0.3</v>
      </c>
      <c r="M102" s="8" t="n">
        <v>125.5</v>
      </c>
      <c r="N102" s="8" t="n">
        <v>1.3</v>
      </c>
      <c r="O102" s="8" t="n">
        <f aca="false">O101+N102</f>
        <v>74.4</v>
      </c>
      <c r="P102" s="8" t="n">
        <v>97</v>
      </c>
      <c r="Q102" s="8" t="n">
        <v>1</v>
      </c>
      <c r="R102" s="14" t="n">
        <f aca="false">Q102*L102</f>
        <v>0.3</v>
      </c>
      <c r="S102" s="14" t="n">
        <f aca="false">J102-R102</f>
        <v>1.3</v>
      </c>
      <c r="T102" s="14" t="n">
        <f aca="false">MIN(189.6,(T101+S102))</f>
        <v>129.8950625</v>
      </c>
      <c r="U102" s="14" t="n">
        <f aca="false">MIN(T95:T192)</f>
        <v>127.8950625</v>
      </c>
      <c r="V102" s="15" t="n">
        <v>116.4</v>
      </c>
      <c r="W102" s="8" t="n">
        <v>52.9090909090909</v>
      </c>
      <c r="X102" s="8" t="n">
        <v>61134.3</v>
      </c>
      <c r="Y102" s="8" t="n">
        <f aca="false">Y101+V102</f>
        <v>1856.6</v>
      </c>
      <c r="AA102" s="19" t="n">
        <v>8.31417702406231</v>
      </c>
    </row>
    <row r="103" s="8" customFormat="true" ht="15" hidden="false" customHeight="false" outlineLevel="0" collapsed="false">
      <c r="A103" s="27"/>
      <c r="B103" s="28"/>
      <c r="C103" s="11" t="n">
        <v>41981</v>
      </c>
      <c r="D103" s="18" t="n">
        <v>2</v>
      </c>
      <c r="E103" s="18" t="n">
        <v>1</v>
      </c>
      <c r="F103" s="18" t="n">
        <v>3.6</v>
      </c>
      <c r="G103" s="8" t="n">
        <v>1136</v>
      </c>
      <c r="H103" s="8" t="n">
        <f aca="false">H102+D103</f>
        <v>23.8</v>
      </c>
      <c r="I103" s="29" t="s">
        <v>39</v>
      </c>
      <c r="J103" s="8" t="n">
        <v>5</v>
      </c>
      <c r="K103" s="8" t="n">
        <v>160</v>
      </c>
      <c r="L103" s="8" t="n">
        <v>0.3</v>
      </c>
      <c r="M103" s="8" t="n">
        <v>125.8</v>
      </c>
      <c r="N103" s="8" t="n">
        <v>4.7</v>
      </c>
      <c r="O103" s="8" t="n">
        <f aca="false">O102+N103</f>
        <v>79.1</v>
      </c>
      <c r="P103" s="8" t="n">
        <v>98</v>
      </c>
      <c r="Q103" s="8" t="n">
        <v>1</v>
      </c>
      <c r="R103" s="14" t="n">
        <f aca="false">Q103*L103</f>
        <v>0.3</v>
      </c>
      <c r="S103" s="14" t="n">
        <f aca="false">J103-R103</f>
        <v>4.7</v>
      </c>
      <c r="T103" s="14" t="n">
        <f aca="false">MIN(189.6,(T102+S103))</f>
        <v>134.5950625</v>
      </c>
      <c r="U103" s="29" t="s">
        <v>40</v>
      </c>
      <c r="V103" s="31" t="n">
        <v>77.3</v>
      </c>
      <c r="W103" s="8" t="n">
        <v>38.65</v>
      </c>
      <c r="X103" s="8" t="n">
        <v>61211.6</v>
      </c>
      <c r="Y103" s="8" t="n">
        <f aca="false">Y102+V103</f>
        <v>1933.9</v>
      </c>
      <c r="AA103" s="19" t="n">
        <v>8.2904253422086</v>
      </c>
    </row>
    <row r="104" s="8" customFormat="true" ht="15" hidden="false" customHeight="false" outlineLevel="0" collapsed="false">
      <c r="A104" s="27"/>
      <c r="B104" s="28"/>
      <c r="C104" s="11" t="n">
        <v>41982</v>
      </c>
      <c r="D104" s="18" t="n">
        <v>2.9</v>
      </c>
      <c r="E104" s="18" t="n">
        <v>0.7</v>
      </c>
      <c r="F104" s="8" t="n">
        <v>6.6</v>
      </c>
      <c r="G104" s="8" t="n">
        <v>1138.9</v>
      </c>
      <c r="H104" s="8" t="n">
        <f aca="false">H103+D104</f>
        <v>26.7</v>
      </c>
      <c r="I104" s="8" t="n">
        <v>0</v>
      </c>
      <c r="J104" s="8" t="n">
        <v>2</v>
      </c>
      <c r="K104" s="8" t="n">
        <v>162</v>
      </c>
      <c r="L104" s="8" t="n">
        <v>0.6</v>
      </c>
      <c r="M104" s="8" t="n">
        <v>126.4</v>
      </c>
      <c r="N104" s="8" t="n">
        <v>1.4</v>
      </c>
      <c r="O104" s="8" t="n">
        <f aca="false">O103+N104</f>
        <v>80.5</v>
      </c>
      <c r="P104" s="8" t="n">
        <v>99</v>
      </c>
      <c r="Q104" s="8" t="n">
        <v>1</v>
      </c>
      <c r="R104" s="14" t="n">
        <f aca="false">Q104*L104</f>
        <v>0.6</v>
      </c>
      <c r="S104" s="14" t="n">
        <f aca="false">J104-R104</f>
        <v>1.4</v>
      </c>
      <c r="T104" s="14" t="n">
        <f aca="false">MIN(189.6,(T103+S104))</f>
        <v>135.9950625</v>
      </c>
      <c r="U104" s="14" t="n">
        <f aca="false">MAX(T95:T192)</f>
        <v>189.6</v>
      </c>
      <c r="V104" s="15" t="n">
        <v>335.5</v>
      </c>
      <c r="W104" s="8" t="n">
        <v>115.689655172414</v>
      </c>
      <c r="X104" s="8" t="n">
        <v>61547.1</v>
      </c>
      <c r="Y104" s="8" t="n">
        <f aca="false">Y103+V104</f>
        <v>2269.4</v>
      </c>
      <c r="AA104" s="19" t="n">
        <v>8.26812796388679</v>
      </c>
    </row>
    <row r="105" s="8" customFormat="true" ht="15" hidden="false" customHeight="false" outlineLevel="0" collapsed="false">
      <c r="A105" s="27"/>
      <c r="B105" s="10"/>
      <c r="C105" s="11" t="n">
        <v>41983</v>
      </c>
      <c r="D105" s="8" t="n">
        <v>6.8</v>
      </c>
      <c r="E105" s="18" t="n">
        <v>3.3</v>
      </c>
      <c r="F105" s="8" t="n">
        <v>9</v>
      </c>
      <c r="G105" s="8" t="n">
        <v>1145.7</v>
      </c>
      <c r="H105" s="8" t="n">
        <f aca="false">H104+D105</f>
        <v>33.5</v>
      </c>
      <c r="I105" s="29" t="s">
        <v>41</v>
      </c>
      <c r="J105" s="8" t="n">
        <v>3</v>
      </c>
      <c r="K105" s="8" t="n">
        <v>165</v>
      </c>
      <c r="L105" s="8" t="n">
        <v>0.4</v>
      </c>
      <c r="M105" s="8" t="n">
        <v>126.8</v>
      </c>
      <c r="N105" s="8" t="n">
        <v>2.6</v>
      </c>
      <c r="O105" s="8" t="n">
        <f aca="false">O104+N105</f>
        <v>83.1</v>
      </c>
      <c r="P105" s="8" t="n">
        <v>100</v>
      </c>
      <c r="Q105" s="8" t="n">
        <v>1</v>
      </c>
      <c r="R105" s="14" t="n">
        <f aca="false">Q105*L105</f>
        <v>0.4</v>
      </c>
      <c r="S105" s="14" t="n">
        <f aca="false">J105-R105</f>
        <v>2.6</v>
      </c>
      <c r="T105" s="14" t="n">
        <f aca="false">MIN(189.6,(T104+S105))</f>
        <v>138.5950625</v>
      </c>
      <c r="U105" s="29" t="s">
        <v>42</v>
      </c>
      <c r="V105" s="15" t="n">
        <v>149</v>
      </c>
      <c r="W105" s="8" t="n">
        <v>21.9117647058824</v>
      </c>
      <c r="X105" s="8" t="n">
        <v>61696.1</v>
      </c>
      <c r="Y105" s="8" t="n">
        <f aca="false">Y104+V105</f>
        <v>2418.4</v>
      </c>
      <c r="AA105" s="19" t="n">
        <v>8.24731028821774</v>
      </c>
    </row>
    <row r="106" s="8" customFormat="true" ht="15" hidden="false" customHeight="false" outlineLevel="0" collapsed="false">
      <c r="A106" s="27"/>
      <c r="B106" s="10"/>
      <c r="C106" s="11" t="n">
        <v>41984</v>
      </c>
      <c r="D106" s="8" t="n">
        <v>7.1</v>
      </c>
      <c r="E106" s="8" t="n">
        <v>5.7</v>
      </c>
      <c r="F106" s="8" t="n">
        <v>8.5</v>
      </c>
      <c r="G106" s="8" t="n">
        <v>1152.8</v>
      </c>
      <c r="H106" s="8" t="n">
        <f aca="false">H105+D106</f>
        <v>40.6</v>
      </c>
      <c r="I106" s="8" t="n">
        <v>57</v>
      </c>
      <c r="J106" s="8" t="n">
        <v>7.3</v>
      </c>
      <c r="K106" s="8" t="n">
        <v>172.3</v>
      </c>
      <c r="L106" s="8" t="n">
        <v>0.7</v>
      </c>
      <c r="M106" s="8" t="n">
        <v>127.5</v>
      </c>
      <c r="N106" s="8" t="n">
        <v>6.6</v>
      </c>
      <c r="O106" s="8" t="n">
        <f aca="false">O105+N106</f>
        <v>89.7</v>
      </c>
      <c r="P106" s="8" t="n">
        <v>101</v>
      </c>
      <c r="Q106" s="8" t="n">
        <v>1</v>
      </c>
      <c r="R106" s="14" t="n">
        <f aca="false">Q106*L106</f>
        <v>0.7</v>
      </c>
      <c r="S106" s="14" t="n">
        <f aca="false">J106-R106</f>
        <v>6.6</v>
      </c>
      <c r="T106" s="14" t="n">
        <f aca="false">MIN(189.6,(T105+S106))</f>
        <v>145.1950625</v>
      </c>
      <c r="U106" s="14" t="n">
        <f aca="false">AVERAGE(T95:T192)</f>
        <v>179.099660076531</v>
      </c>
      <c r="V106" s="15" t="n">
        <v>115.2</v>
      </c>
      <c r="W106" s="8" t="n">
        <v>16.2253521126761</v>
      </c>
      <c r="X106" s="8" t="n">
        <v>61811.3</v>
      </c>
      <c r="Y106" s="8" t="n">
        <f aca="false">Y105+V106</f>
        <v>2533.6</v>
      </c>
      <c r="AA106" s="19" t="n">
        <v>8.22799642116085</v>
      </c>
    </row>
    <row r="107" s="8" customFormat="true" ht="15" hidden="false" customHeight="false" outlineLevel="0" collapsed="false">
      <c r="A107" s="27"/>
      <c r="B107" s="10"/>
      <c r="C107" s="11" t="n">
        <v>41985</v>
      </c>
      <c r="D107" s="8" t="n">
        <v>8.3</v>
      </c>
      <c r="E107" s="8" t="n">
        <v>7.4</v>
      </c>
      <c r="F107" s="8" t="n">
        <v>9.6</v>
      </c>
      <c r="G107" s="8" t="n">
        <v>1161.1</v>
      </c>
      <c r="H107" s="8" t="n">
        <f aca="false">H106+D107</f>
        <v>48.9</v>
      </c>
      <c r="I107" s="29" t="s">
        <v>43</v>
      </c>
      <c r="J107" s="8" t="n">
        <v>16.8</v>
      </c>
      <c r="K107" s="8" t="n">
        <v>189.1</v>
      </c>
      <c r="L107" s="8" t="n">
        <v>0.7</v>
      </c>
      <c r="M107" s="8" t="n">
        <v>128.2</v>
      </c>
      <c r="N107" s="8" t="n">
        <v>16.1</v>
      </c>
      <c r="O107" s="8" t="n">
        <f aca="false">O106+N107</f>
        <v>105.8</v>
      </c>
      <c r="P107" s="8" t="n">
        <v>102</v>
      </c>
      <c r="Q107" s="8" t="n">
        <v>1</v>
      </c>
      <c r="R107" s="14" t="n">
        <f aca="false">Q107*L107</f>
        <v>0.7</v>
      </c>
      <c r="S107" s="14" t="n">
        <f aca="false">J107-R107</f>
        <v>16.1</v>
      </c>
      <c r="T107" s="14" t="n">
        <f aca="false">MIN(189.6,(T106+S107))</f>
        <v>161.2950625</v>
      </c>
      <c r="U107" s="29" t="s">
        <v>45</v>
      </c>
      <c r="V107" s="31" t="n">
        <v>65.5</v>
      </c>
      <c r="W107" s="8" t="n">
        <v>7.89156626506024</v>
      </c>
      <c r="X107" s="8" t="n">
        <v>61876.8</v>
      </c>
      <c r="Y107" s="8" t="n">
        <f aca="false">Y106+V107</f>
        <v>2599.1</v>
      </c>
      <c r="AA107" s="19" t="n">
        <v>8.21020908026093</v>
      </c>
    </row>
    <row r="108" s="8" customFormat="true" ht="15" hidden="false" customHeight="false" outlineLevel="0" collapsed="false">
      <c r="A108" s="27"/>
      <c r="B108" s="28"/>
      <c r="C108" s="11" t="n">
        <v>41986</v>
      </c>
      <c r="D108" s="18" t="n">
        <v>3.1</v>
      </c>
      <c r="E108" s="18" t="n">
        <v>2.8</v>
      </c>
      <c r="F108" s="18" t="n">
        <v>3.9</v>
      </c>
      <c r="G108" s="8" t="n">
        <v>1164.2</v>
      </c>
      <c r="H108" s="8" t="n">
        <f aca="false">H107+D108</f>
        <v>52</v>
      </c>
      <c r="I108" s="18" t="n">
        <v>391.9</v>
      </c>
      <c r="J108" s="8" t="n">
        <v>2.1</v>
      </c>
      <c r="K108" s="8" t="n">
        <v>191.2</v>
      </c>
      <c r="L108" s="8" t="n">
        <v>0.1</v>
      </c>
      <c r="M108" s="8" t="n">
        <v>128.3</v>
      </c>
      <c r="N108" s="8" t="n">
        <v>2</v>
      </c>
      <c r="O108" s="8" t="n">
        <f aca="false">O107+N108</f>
        <v>107.8</v>
      </c>
      <c r="P108" s="8" t="n">
        <v>103</v>
      </c>
      <c r="Q108" s="8" t="n">
        <v>1</v>
      </c>
      <c r="R108" s="14" t="n">
        <f aca="false">Q108*L108</f>
        <v>0.1</v>
      </c>
      <c r="S108" s="14" t="n">
        <f aca="false">J108-R108</f>
        <v>2</v>
      </c>
      <c r="T108" s="14" t="n">
        <f aca="false">MIN(189.6,(T107+S108))</f>
        <v>163.2950625</v>
      </c>
      <c r="U108" s="8" t="n">
        <v>36</v>
      </c>
      <c r="V108" s="31" t="n">
        <v>79.1</v>
      </c>
      <c r="W108" s="8" t="n">
        <v>25.5161290322581</v>
      </c>
      <c r="X108" s="8" t="n">
        <v>61955.9</v>
      </c>
      <c r="Y108" s="8" t="n">
        <f aca="false">Y107+V108</f>
        <v>2678.2</v>
      </c>
      <c r="AA108" s="19" t="n">
        <v>8.19396950290205</v>
      </c>
    </row>
    <row r="109" s="8" customFormat="true" ht="15" hidden="false" customHeight="false" outlineLevel="0" collapsed="false">
      <c r="A109" s="27"/>
      <c r="B109" s="28"/>
      <c r="C109" s="11" t="n">
        <v>41987</v>
      </c>
      <c r="D109" s="18" t="n">
        <v>0.3</v>
      </c>
      <c r="E109" s="30" t="n">
        <v>-0.9</v>
      </c>
      <c r="F109" s="18" t="n">
        <v>3.1</v>
      </c>
      <c r="G109" s="8" t="n">
        <v>1164.5</v>
      </c>
      <c r="H109" s="8" t="n">
        <f aca="false">H108+D109</f>
        <v>52.3</v>
      </c>
      <c r="J109" s="8" t="n">
        <v>0.3</v>
      </c>
      <c r="K109" s="8" t="n">
        <v>191.5</v>
      </c>
      <c r="L109" s="8" t="n">
        <v>0.3</v>
      </c>
      <c r="M109" s="8" t="n">
        <v>128.6</v>
      </c>
      <c r="N109" s="8" t="n">
        <v>0</v>
      </c>
      <c r="O109" s="8" t="n">
        <f aca="false">O108+N109</f>
        <v>107.8</v>
      </c>
      <c r="P109" s="8" t="n">
        <v>104</v>
      </c>
      <c r="Q109" s="8" t="n">
        <v>1</v>
      </c>
      <c r="R109" s="14" t="n">
        <f aca="false">Q109*L109</f>
        <v>0.3</v>
      </c>
      <c r="S109" s="14" t="n">
        <f aca="false">J109-R109</f>
        <v>0</v>
      </c>
      <c r="T109" s="14" t="n">
        <f aca="false">MIN(189.6,(T108+S109))</f>
        <v>163.2950625</v>
      </c>
      <c r="V109" s="15" t="n">
        <v>148.6</v>
      </c>
      <c r="W109" s="8" t="n">
        <v>495.333333333333</v>
      </c>
      <c r="X109" s="8" t="n">
        <v>62104.5</v>
      </c>
      <c r="Y109" s="8" t="n">
        <f aca="false">Y108+V109</f>
        <v>2826.8</v>
      </c>
      <c r="AA109" s="19" t="n">
        <v>8.17929735880139</v>
      </c>
    </row>
    <row r="110" s="8" customFormat="true" ht="15" hidden="false" customHeight="false" outlineLevel="0" collapsed="false">
      <c r="A110" s="27"/>
      <c r="B110" s="28"/>
      <c r="C110" s="11" t="n">
        <v>41988</v>
      </c>
      <c r="D110" s="18" t="n">
        <v>4.6</v>
      </c>
      <c r="E110" s="18" t="n">
        <v>1.3</v>
      </c>
      <c r="F110" s="8" t="n">
        <v>6</v>
      </c>
      <c r="G110" s="8" t="n">
        <v>1169.1</v>
      </c>
      <c r="H110" s="8" t="n">
        <f aca="false">H109+D110</f>
        <v>56.9</v>
      </c>
      <c r="J110" s="8" t="n">
        <v>1.4</v>
      </c>
      <c r="K110" s="8" t="n">
        <v>192.9</v>
      </c>
      <c r="L110" s="8" t="n">
        <v>0.1</v>
      </c>
      <c r="M110" s="8" t="n">
        <v>128.7</v>
      </c>
      <c r="N110" s="8" t="n">
        <v>1.3</v>
      </c>
      <c r="O110" s="8" t="n">
        <f aca="false">O109+N110</f>
        <v>109.1</v>
      </c>
      <c r="P110" s="8" t="n">
        <v>105</v>
      </c>
      <c r="Q110" s="8" t="n">
        <v>1</v>
      </c>
      <c r="R110" s="14" t="n">
        <f aca="false">Q110*L110</f>
        <v>0.1</v>
      </c>
      <c r="S110" s="14" t="n">
        <f aca="false">J110-R110</f>
        <v>1.3</v>
      </c>
      <c r="T110" s="14" t="n">
        <f aca="false">MIN(189.6,(T109+S110))</f>
        <v>164.5950625</v>
      </c>
      <c r="U110" s="8" t="n">
        <f aca="false">(U106*100)/189.6</f>
        <v>94.4618460319255</v>
      </c>
      <c r="V110" s="31" t="n">
        <v>68.3</v>
      </c>
      <c r="W110" s="8" t="n">
        <v>14.8478260869565</v>
      </c>
      <c r="X110" s="8" t="n">
        <v>62172.8</v>
      </c>
      <c r="Y110" s="8" t="n">
        <f aca="false">Y109+V110</f>
        <v>2895.1</v>
      </c>
      <c r="AA110" s="19" t="n">
        <v>8.16621066746338</v>
      </c>
    </row>
    <row r="111" s="8" customFormat="true" ht="15" hidden="false" customHeight="false" outlineLevel="0" collapsed="false">
      <c r="A111" s="27"/>
      <c r="B111" s="10"/>
      <c r="C111" s="11" t="n">
        <v>41989</v>
      </c>
      <c r="D111" s="8" t="n">
        <v>5.9</v>
      </c>
      <c r="E111" s="18" t="n">
        <v>4.8</v>
      </c>
      <c r="F111" s="8" t="n">
        <v>8.1</v>
      </c>
      <c r="G111" s="8" t="n">
        <v>1175</v>
      </c>
      <c r="H111" s="8" t="n">
        <f aca="false">H110+D111</f>
        <v>62.8</v>
      </c>
      <c r="J111" s="8" t="n">
        <v>6.7</v>
      </c>
      <c r="K111" s="8" t="n">
        <v>199.6</v>
      </c>
      <c r="L111" s="8" t="n">
        <v>0.5</v>
      </c>
      <c r="M111" s="8" t="n">
        <v>129.2</v>
      </c>
      <c r="N111" s="8" t="n">
        <v>6.2</v>
      </c>
      <c r="O111" s="8" t="n">
        <f aca="false">O110+N111</f>
        <v>115.3</v>
      </c>
      <c r="P111" s="8" t="n">
        <v>106</v>
      </c>
      <c r="Q111" s="8" t="n">
        <v>1</v>
      </c>
      <c r="R111" s="14" t="n">
        <f aca="false">Q111*L111</f>
        <v>0.5</v>
      </c>
      <c r="S111" s="14" t="n">
        <f aca="false">J111-R111</f>
        <v>6.2</v>
      </c>
      <c r="T111" s="14" t="n">
        <f aca="false">MIN(189.6,(T110+S111))</f>
        <v>170.7950625</v>
      </c>
      <c r="V111" s="15" t="n">
        <v>292.9</v>
      </c>
      <c r="W111" s="8" t="n">
        <v>49.6440677966102</v>
      </c>
      <c r="X111" s="8" t="n">
        <v>62465.7</v>
      </c>
      <c r="Y111" s="8" t="n">
        <f aca="false">Y110+V111</f>
        <v>3188</v>
      </c>
      <c r="AA111" s="19" t="n">
        <v>8.15472572129291</v>
      </c>
    </row>
    <row r="112" s="8" customFormat="true" ht="15" hidden="false" customHeight="false" outlineLevel="0" collapsed="false">
      <c r="A112" s="27"/>
      <c r="B112" s="10"/>
      <c r="C112" s="11" t="n">
        <v>41990</v>
      </c>
      <c r="D112" s="8" t="n">
        <v>8.9</v>
      </c>
      <c r="E112" s="18" t="n">
        <v>4.1</v>
      </c>
      <c r="F112" s="8" t="n">
        <v>11.6</v>
      </c>
      <c r="G112" s="8" t="n">
        <v>1183.9</v>
      </c>
      <c r="H112" s="8" t="n">
        <f aca="false">H111+D112</f>
        <v>71.7</v>
      </c>
      <c r="J112" s="8" t="n">
        <v>5.9</v>
      </c>
      <c r="K112" s="8" t="n">
        <v>205.5</v>
      </c>
      <c r="L112" s="8" t="n">
        <v>0.1</v>
      </c>
      <c r="M112" s="8" t="n">
        <v>129.3</v>
      </c>
      <c r="N112" s="8" t="n">
        <v>5.8</v>
      </c>
      <c r="O112" s="8" t="n">
        <f aca="false">O111+N112</f>
        <v>121.1</v>
      </c>
      <c r="P112" s="8" t="n">
        <v>107</v>
      </c>
      <c r="Q112" s="8" t="n">
        <v>1</v>
      </c>
      <c r="R112" s="14" t="n">
        <f aca="false">Q112*L112</f>
        <v>0.1</v>
      </c>
      <c r="S112" s="14" t="n">
        <f aca="false">J112-R112</f>
        <v>5.8</v>
      </c>
      <c r="T112" s="14" t="n">
        <f aca="false">MIN(189.6,(T111+S112))</f>
        <v>176.5950625</v>
      </c>
      <c r="V112" s="31" t="n">
        <v>75.2</v>
      </c>
      <c r="W112" s="8" t="n">
        <v>8.44943820224719</v>
      </c>
      <c r="X112" s="8" t="n">
        <v>62540.9</v>
      </c>
      <c r="Y112" s="8" t="n">
        <f aca="false">Y111+V112</f>
        <v>3263.2</v>
      </c>
      <c r="AA112" s="19" t="n">
        <v>8.14485701503406</v>
      </c>
    </row>
    <row r="113" s="8" customFormat="true" ht="15" hidden="false" customHeight="false" outlineLevel="0" collapsed="false">
      <c r="A113" s="27"/>
      <c r="B113" s="10"/>
      <c r="C113" s="11" t="n">
        <v>41991</v>
      </c>
      <c r="D113" s="8" t="n">
        <v>11.9</v>
      </c>
      <c r="E113" s="8" t="n">
        <v>10.6</v>
      </c>
      <c r="F113" s="8" t="n">
        <v>13</v>
      </c>
      <c r="G113" s="8" t="n">
        <v>1195.8</v>
      </c>
      <c r="H113" s="8" t="n">
        <f aca="false">H112+D113</f>
        <v>83.6</v>
      </c>
      <c r="J113" s="8" t="n">
        <v>0.6</v>
      </c>
      <c r="K113" s="8" t="n">
        <v>206.1</v>
      </c>
      <c r="L113" s="8" t="n">
        <v>0.5</v>
      </c>
      <c r="M113" s="8" t="n">
        <v>129.8</v>
      </c>
      <c r="N113" s="8" t="n">
        <v>0.1</v>
      </c>
      <c r="O113" s="8" t="n">
        <f aca="false">O112+N113</f>
        <v>121.2</v>
      </c>
      <c r="P113" s="8" t="n">
        <v>108</v>
      </c>
      <c r="Q113" s="8" t="n">
        <v>1</v>
      </c>
      <c r="R113" s="14" t="n">
        <f aca="false">Q113*L113</f>
        <v>0.5</v>
      </c>
      <c r="S113" s="14" t="n">
        <f aca="false">J113-R113</f>
        <v>0.1</v>
      </c>
      <c r="T113" s="14" t="n">
        <f aca="false">MIN(189.6,(T112+S113))</f>
        <v>176.6950625</v>
      </c>
      <c r="V113" s="31" t="n">
        <v>98.1</v>
      </c>
      <c r="W113" s="8" t="n">
        <v>8.2436974789916</v>
      </c>
      <c r="X113" s="8" t="n">
        <v>62639</v>
      </c>
      <c r="Y113" s="8" t="n">
        <f aca="false">Y112+V113</f>
        <v>3361.3</v>
      </c>
      <c r="AA113" s="19" t="n">
        <v>8.13661718215996</v>
      </c>
    </row>
    <row r="114" s="8" customFormat="true" ht="15" hidden="false" customHeight="false" outlineLevel="0" collapsed="false">
      <c r="A114" s="27"/>
      <c r="B114" s="10"/>
      <c r="C114" s="11" t="n">
        <v>41992</v>
      </c>
      <c r="D114" s="8" t="n">
        <v>9.3</v>
      </c>
      <c r="E114" s="8" t="n">
        <v>7.3</v>
      </c>
      <c r="F114" s="8" t="n">
        <v>11.5</v>
      </c>
      <c r="G114" s="8" t="n">
        <v>1205.1</v>
      </c>
      <c r="H114" s="8" t="n">
        <f aca="false">H113+D114</f>
        <v>92.9</v>
      </c>
      <c r="J114" s="8" t="n">
        <v>4.8</v>
      </c>
      <c r="K114" s="8" t="n">
        <v>210.9</v>
      </c>
      <c r="L114" s="8" t="n">
        <v>0.6</v>
      </c>
      <c r="M114" s="8" t="n">
        <v>130.4</v>
      </c>
      <c r="N114" s="8" t="n">
        <v>4.2</v>
      </c>
      <c r="O114" s="8" t="n">
        <f aca="false">O113+N114</f>
        <v>125.4</v>
      </c>
      <c r="P114" s="8" t="n">
        <v>109</v>
      </c>
      <c r="Q114" s="8" t="n">
        <v>1</v>
      </c>
      <c r="R114" s="14" t="n">
        <f aca="false">Q114*L114</f>
        <v>0.6</v>
      </c>
      <c r="S114" s="14" t="n">
        <f aca="false">J114-R114</f>
        <v>4.2</v>
      </c>
      <c r="T114" s="14" t="n">
        <f aca="false">MIN(189.6,(T113+S114))</f>
        <v>180.8950625</v>
      </c>
      <c r="V114" s="31" t="n">
        <v>85.9</v>
      </c>
      <c r="W114" s="8" t="n">
        <v>9.23655913978495</v>
      </c>
      <c r="X114" s="8" t="n">
        <v>62724.9</v>
      </c>
      <c r="Y114" s="8" t="n">
        <f aca="false">Y113+V114</f>
        <v>3447.2</v>
      </c>
      <c r="AA114" s="19" t="n">
        <v>8.13001693878818</v>
      </c>
    </row>
    <row r="115" s="8" customFormat="true" ht="15" hidden="false" customHeight="false" outlineLevel="0" collapsed="false">
      <c r="A115" s="27"/>
      <c r="B115" s="10"/>
      <c r="C115" s="11" t="n">
        <v>41993</v>
      </c>
      <c r="D115" s="8" t="n">
        <v>6</v>
      </c>
      <c r="E115" s="18" t="n">
        <v>4.3</v>
      </c>
      <c r="F115" s="8" t="n">
        <v>8.3</v>
      </c>
      <c r="G115" s="8" t="n">
        <v>1211.1</v>
      </c>
      <c r="H115" s="8" t="n">
        <f aca="false">H114+D115</f>
        <v>98.9</v>
      </c>
      <c r="J115" s="8" t="n">
        <v>0.4</v>
      </c>
      <c r="K115" s="8" t="n">
        <v>211.3</v>
      </c>
      <c r="L115" s="8" t="n">
        <v>0.7</v>
      </c>
      <c r="M115" s="8" t="n">
        <v>131.1</v>
      </c>
      <c r="N115" s="13" t="n">
        <v>-0.3</v>
      </c>
      <c r="O115" s="8" t="n">
        <f aca="false">O114+N115</f>
        <v>125.1</v>
      </c>
      <c r="P115" s="8" t="n">
        <v>110</v>
      </c>
      <c r="Q115" s="8" t="n">
        <v>1</v>
      </c>
      <c r="R115" s="14" t="n">
        <f aca="false">Q115*L115</f>
        <v>0.7</v>
      </c>
      <c r="S115" s="14" t="n">
        <f aca="false">J115-R115</f>
        <v>-0.3</v>
      </c>
      <c r="T115" s="14" t="n">
        <f aca="false">MIN(189.6,(T114+S115))</f>
        <v>180.5950625</v>
      </c>
      <c r="V115" s="15" t="n">
        <v>120.1</v>
      </c>
      <c r="W115" s="8" t="n">
        <v>20.0166666666667</v>
      </c>
      <c r="X115" s="8" t="n">
        <v>62845</v>
      </c>
      <c r="Y115" s="8" t="n">
        <f aca="false">Y114+V115</f>
        <v>3567.3</v>
      </c>
      <c r="AA115" s="19" t="n">
        <v>8.12506503563669</v>
      </c>
    </row>
    <row r="116" s="8" customFormat="true" ht="15" hidden="false" customHeight="false" outlineLevel="0" collapsed="false">
      <c r="A116" s="27"/>
      <c r="B116" s="10"/>
      <c r="C116" s="11" t="n">
        <v>41994</v>
      </c>
      <c r="D116" s="8" t="n">
        <v>6.3</v>
      </c>
      <c r="E116" s="18" t="n">
        <v>2.9</v>
      </c>
      <c r="F116" s="8" t="n">
        <v>8.3</v>
      </c>
      <c r="G116" s="8" t="n">
        <v>1217.4</v>
      </c>
      <c r="H116" s="8" t="n">
        <f aca="false">H115+D116</f>
        <v>105.2</v>
      </c>
      <c r="J116" s="8" t="n">
        <v>0</v>
      </c>
      <c r="K116" s="8" t="n">
        <v>211.3</v>
      </c>
      <c r="L116" s="8" t="n">
        <v>0.5</v>
      </c>
      <c r="M116" s="8" t="n">
        <v>131.6</v>
      </c>
      <c r="N116" s="13" t="n">
        <v>-0.5</v>
      </c>
      <c r="O116" s="8" t="n">
        <f aca="false">O115+N116</f>
        <v>124.6</v>
      </c>
      <c r="P116" s="8" t="n">
        <v>111</v>
      </c>
      <c r="Q116" s="8" t="n">
        <v>1</v>
      </c>
      <c r="R116" s="14" t="n">
        <f aca="false">Q116*L116</f>
        <v>0.5</v>
      </c>
      <c r="S116" s="14" t="n">
        <f aca="false">J116-R116</f>
        <v>-0.5</v>
      </c>
      <c r="T116" s="14" t="n">
        <f aca="false">MIN(189.6,(T115+S116))</f>
        <v>180.0950625</v>
      </c>
      <c r="V116" s="15" t="n">
        <v>121.5</v>
      </c>
      <c r="W116" s="8" t="n">
        <v>19.2857142857143</v>
      </c>
      <c r="X116" s="8" t="n">
        <v>62966.5</v>
      </c>
      <c r="Y116" s="8" t="n">
        <f aca="false">Y115+V116</f>
        <v>3688.8</v>
      </c>
      <c r="AA116" s="19" t="n">
        <v>8.12176821846773</v>
      </c>
    </row>
    <row r="117" s="8" customFormat="true" ht="15" hidden="false" customHeight="false" outlineLevel="0" collapsed="false">
      <c r="A117" s="27"/>
      <c r="B117" s="10"/>
      <c r="C117" s="11" t="n">
        <v>41995</v>
      </c>
      <c r="D117" s="8" t="n">
        <v>9.7</v>
      </c>
      <c r="E117" s="8" t="n">
        <v>7.5</v>
      </c>
      <c r="F117" s="8" t="n">
        <v>10.6</v>
      </c>
      <c r="G117" s="8" t="n">
        <v>1227.1</v>
      </c>
      <c r="H117" s="8" t="n">
        <f aca="false">H116+D117</f>
        <v>114.9</v>
      </c>
      <c r="J117" s="8" t="n">
        <v>0</v>
      </c>
      <c r="K117" s="8" t="n">
        <v>211.3</v>
      </c>
      <c r="L117" s="8" t="n">
        <v>0.6</v>
      </c>
      <c r="M117" s="8" t="n">
        <v>132.2</v>
      </c>
      <c r="N117" s="13" t="n">
        <v>-0.6</v>
      </c>
      <c r="O117" s="8" t="n">
        <f aca="false">O116+N117</f>
        <v>124</v>
      </c>
      <c r="P117" s="8" t="n">
        <v>112</v>
      </c>
      <c r="Q117" s="8" t="n">
        <v>1</v>
      </c>
      <c r="R117" s="14" t="n">
        <f aca="false">Q117*L117</f>
        <v>0.6</v>
      </c>
      <c r="S117" s="14" t="n">
        <f aca="false">J117-R117</f>
        <v>-0.6</v>
      </c>
      <c r="T117" s="14" t="n">
        <f aca="false">MIN(189.6,(T116+S117))</f>
        <v>179.4950625</v>
      </c>
      <c r="V117" s="31" t="n">
        <v>79.5</v>
      </c>
      <c r="W117" s="8" t="n">
        <v>8.1958762886598</v>
      </c>
      <c r="X117" s="8" t="n">
        <v>63046</v>
      </c>
      <c r="Y117" s="8" t="n">
        <f aca="false">Y116+V117</f>
        <v>3768.3</v>
      </c>
      <c r="AA117" s="19" t="n">
        <v>8.12013119739199</v>
      </c>
    </row>
    <row r="118" s="8" customFormat="true" ht="15" hidden="false" customHeight="false" outlineLevel="0" collapsed="false">
      <c r="A118" s="27"/>
      <c r="B118" s="10"/>
      <c r="C118" s="11" t="n">
        <v>41996</v>
      </c>
      <c r="D118" s="8" t="n">
        <v>9.7</v>
      </c>
      <c r="E118" s="8" t="n">
        <v>9.2</v>
      </c>
      <c r="F118" s="8" t="n">
        <v>10.6</v>
      </c>
      <c r="G118" s="8" t="n">
        <v>1236.8</v>
      </c>
      <c r="H118" s="8" t="n">
        <f aca="false">H117+D118</f>
        <v>124.6</v>
      </c>
      <c r="J118" s="8" t="n">
        <v>0</v>
      </c>
      <c r="K118" s="8" t="n">
        <v>211.3</v>
      </c>
      <c r="L118" s="8" t="n">
        <v>0.8</v>
      </c>
      <c r="M118" s="8" t="n">
        <v>133</v>
      </c>
      <c r="N118" s="13" t="n">
        <v>-0.8</v>
      </c>
      <c r="O118" s="8" t="n">
        <f aca="false">O117+N118</f>
        <v>123.2</v>
      </c>
      <c r="P118" s="8" t="n">
        <v>113</v>
      </c>
      <c r="Q118" s="8" t="n">
        <v>1</v>
      </c>
      <c r="R118" s="14" t="n">
        <f aca="false">Q118*L118</f>
        <v>0.8</v>
      </c>
      <c r="S118" s="14" t="n">
        <f aca="false">J118-R118</f>
        <v>-0.8</v>
      </c>
      <c r="T118" s="14" t="n">
        <f aca="false">MIN(189.6,(T117+S118))</f>
        <v>178.6950625</v>
      </c>
      <c r="V118" s="15" t="n">
        <v>127.2</v>
      </c>
      <c r="W118" s="8" t="n">
        <v>13.1134020618557</v>
      </c>
      <c r="X118" s="8" t="n">
        <v>63173.2</v>
      </c>
      <c r="Y118" s="8" t="n">
        <f aca="false">Y117+V118</f>
        <v>3895.5</v>
      </c>
      <c r="AA118" s="19" t="n">
        <v>8.12015662532492</v>
      </c>
    </row>
    <row r="119" s="8" customFormat="true" ht="15" hidden="false" customHeight="false" outlineLevel="0" collapsed="false">
      <c r="A119" s="27"/>
      <c r="B119" s="10"/>
      <c r="C119" s="11" t="n">
        <v>41997</v>
      </c>
      <c r="D119" s="8" t="n">
        <v>8.1</v>
      </c>
      <c r="E119" s="8" t="n">
        <v>7.7</v>
      </c>
      <c r="F119" s="8" t="n">
        <v>10.3</v>
      </c>
      <c r="G119" s="8" t="n">
        <v>1244.9</v>
      </c>
      <c r="H119" s="8" t="n">
        <f aca="false">H118+D119</f>
        <v>132.7</v>
      </c>
      <c r="J119" s="8" t="n">
        <v>1.2</v>
      </c>
      <c r="K119" s="8" t="n">
        <v>212.5</v>
      </c>
      <c r="L119" s="8" t="n">
        <v>1.1</v>
      </c>
      <c r="M119" s="8" t="n">
        <v>134.1</v>
      </c>
      <c r="N119" s="8" t="n">
        <v>0.0999999999999999</v>
      </c>
      <c r="O119" s="8" t="n">
        <f aca="false">O118+N119</f>
        <v>123.3</v>
      </c>
      <c r="P119" s="8" t="n">
        <v>114</v>
      </c>
      <c r="Q119" s="8" t="n">
        <v>1</v>
      </c>
      <c r="R119" s="14" t="n">
        <f aca="false">Q119*L119</f>
        <v>1.1</v>
      </c>
      <c r="S119" s="14" t="n">
        <f aca="false">J119-R119</f>
        <v>0.0999999999999999</v>
      </c>
      <c r="T119" s="14" t="n">
        <f aca="false">MIN(189.6,(T118+S119))</f>
        <v>178.7950625</v>
      </c>
      <c r="V119" s="15" t="n">
        <v>122.8</v>
      </c>
      <c r="W119" s="8" t="n">
        <v>15.1604938271605</v>
      </c>
      <c r="X119" s="8" t="n">
        <v>63296</v>
      </c>
      <c r="Y119" s="8" t="n">
        <f aca="false">Y118+V119</f>
        <v>4018.3</v>
      </c>
      <c r="AA119" s="19" t="n">
        <v>8.12184508580092</v>
      </c>
    </row>
    <row r="120" s="8" customFormat="true" ht="15" hidden="false" customHeight="false" outlineLevel="0" collapsed="false">
      <c r="A120" s="27"/>
      <c r="B120" s="28"/>
      <c r="C120" s="11" t="n">
        <v>41998</v>
      </c>
      <c r="D120" s="18" t="n">
        <v>4.3</v>
      </c>
      <c r="E120" s="18" t="n">
        <v>3.4</v>
      </c>
      <c r="F120" s="8" t="n">
        <v>7.5</v>
      </c>
      <c r="G120" s="8" t="n">
        <v>1249.2</v>
      </c>
      <c r="H120" s="8" t="n">
        <f aca="false">H119+D120</f>
        <v>137</v>
      </c>
      <c r="J120" s="8" t="n">
        <v>0</v>
      </c>
      <c r="K120" s="8" t="n">
        <v>212.5</v>
      </c>
      <c r="L120" s="8" t="n">
        <v>0.9</v>
      </c>
      <c r="M120" s="8" t="n">
        <v>135</v>
      </c>
      <c r="N120" s="13" t="n">
        <v>-0.9</v>
      </c>
      <c r="O120" s="8" t="n">
        <f aca="false">O119+N120</f>
        <v>122.4</v>
      </c>
      <c r="P120" s="8" t="n">
        <v>115</v>
      </c>
      <c r="Q120" s="8" t="n">
        <v>1</v>
      </c>
      <c r="R120" s="14" t="n">
        <f aca="false">Q120*L120</f>
        <v>0.9</v>
      </c>
      <c r="S120" s="14" t="n">
        <f aca="false">J120-R120</f>
        <v>-0.9</v>
      </c>
      <c r="T120" s="14" t="n">
        <f aca="false">MIN(189.6,(T119+S120))</f>
        <v>177.8950625</v>
      </c>
      <c r="V120" s="15" t="n">
        <v>394.2</v>
      </c>
      <c r="W120" s="8" t="n">
        <v>91.6744186046512</v>
      </c>
      <c r="X120" s="8" t="n">
        <v>63690.2</v>
      </c>
      <c r="Y120" s="8" t="n">
        <f aca="false">Y119+V120</f>
        <v>4412.5</v>
      </c>
      <c r="AA120" s="19" t="n">
        <v>8.12519509026255</v>
      </c>
    </row>
    <row r="121" s="8" customFormat="true" ht="15" hidden="false" customHeight="false" outlineLevel="0" collapsed="false">
      <c r="A121" s="27"/>
      <c r="B121" s="28"/>
      <c r="C121" s="11" t="n">
        <v>41999</v>
      </c>
      <c r="D121" s="18" t="n">
        <v>2.4</v>
      </c>
      <c r="E121" s="18" t="n">
        <v>0.3</v>
      </c>
      <c r="F121" s="18" t="n">
        <v>3.8</v>
      </c>
      <c r="G121" s="8" t="n">
        <v>1251.6</v>
      </c>
      <c r="H121" s="8" t="n">
        <f aca="false">H120+D121</f>
        <v>139.4</v>
      </c>
      <c r="J121" s="8" t="n">
        <v>11</v>
      </c>
      <c r="K121" s="8" t="n">
        <v>223.5</v>
      </c>
      <c r="L121" s="8" t="n">
        <v>0.3</v>
      </c>
      <c r="M121" s="8" t="n">
        <v>135.3</v>
      </c>
      <c r="N121" s="8" t="n">
        <v>10.7</v>
      </c>
      <c r="O121" s="8" t="n">
        <f aca="false">O120+N121</f>
        <v>133.1</v>
      </c>
      <c r="P121" s="8" t="n">
        <v>116</v>
      </c>
      <c r="Q121" s="8" t="n">
        <v>1</v>
      </c>
      <c r="R121" s="14" t="n">
        <f aca="false">Q121*L121</f>
        <v>0.3</v>
      </c>
      <c r="S121" s="14" t="n">
        <f aca="false">J121-R121</f>
        <v>10.7</v>
      </c>
      <c r="T121" s="14" t="n">
        <f aca="false">MIN(189.6,(T120+S121))</f>
        <v>188.5950625</v>
      </c>
      <c r="V121" s="15" t="n">
        <v>247.4</v>
      </c>
      <c r="W121" s="8" t="n">
        <v>103.083333333333</v>
      </c>
      <c r="X121" s="8" t="n">
        <v>63937.6</v>
      </c>
      <c r="Y121" s="8" t="n">
        <f aca="false">Y120+V121</f>
        <v>4659.9</v>
      </c>
      <c r="AA121" s="19" t="n">
        <v>8.13020308485049</v>
      </c>
    </row>
    <row r="122" s="8" customFormat="true" ht="15" hidden="false" customHeight="false" outlineLevel="0" collapsed="false">
      <c r="A122" s="27"/>
      <c r="B122" s="28"/>
      <c r="C122" s="11" t="n">
        <v>42000</v>
      </c>
      <c r="D122" s="18" t="n">
        <v>3</v>
      </c>
      <c r="E122" s="18" t="n">
        <v>2.3</v>
      </c>
      <c r="F122" s="18" t="n">
        <v>4.3</v>
      </c>
      <c r="G122" s="8" t="n">
        <v>1254.6</v>
      </c>
      <c r="H122" s="8" t="n">
        <f aca="false">H121+D122</f>
        <v>142.4</v>
      </c>
      <c r="J122" s="8" t="n">
        <v>2.2</v>
      </c>
      <c r="K122" s="8" t="n">
        <v>225.7</v>
      </c>
      <c r="L122" s="8" t="n">
        <v>0.6</v>
      </c>
      <c r="M122" s="8" t="n">
        <v>135.9</v>
      </c>
      <c r="N122" s="8" t="n">
        <v>1.6</v>
      </c>
      <c r="O122" s="8" t="n">
        <f aca="false">O121+N122</f>
        <v>134.7</v>
      </c>
      <c r="P122" s="8" t="n">
        <v>117</v>
      </c>
      <c r="Q122" s="8" t="n">
        <v>1</v>
      </c>
      <c r="R122" s="14" t="n">
        <f aca="false">Q122*L122</f>
        <v>0.6</v>
      </c>
      <c r="S122" s="14" t="n">
        <f aca="false">J122-R122</f>
        <v>1.6</v>
      </c>
      <c r="T122" s="14" t="n">
        <f aca="false">MIN(189.6,(T121+S122))</f>
        <v>189.6</v>
      </c>
      <c r="V122" s="31" t="n">
        <v>81</v>
      </c>
      <c r="W122" s="8" t="n">
        <v>27</v>
      </c>
      <c r="X122" s="8" t="n">
        <v>64018.6</v>
      </c>
      <c r="Y122" s="8" t="n">
        <f aca="false">Y121+V122</f>
        <v>4740.9</v>
      </c>
      <c r="AA122" s="19" t="n">
        <v>8.13686346662892</v>
      </c>
    </row>
    <row r="123" s="8" customFormat="true" ht="15" hidden="false" customHeight="false" outlineLevel="0" collapsed="false">
      <c r="A123" s="27"/>
      <c r="B123" s="28"/>
      <c r="C123" s="11" t="n">
        <v>42001</v>
      </c>
      <c r="D123" s="30" t="n">
        <v>-1.7</v>
      </c>
      <c r="E123" s="30" t="n">
        <v>-2</v>
      </c>
      <c r="F123" s="30" t="n">
        <v>-1.3</v>
      </c>
      <c r="G123" s="8" t="n">
        <v>1254.6</v>
      </c>
      <c r="H123" s="8" t="n">
        <v>142.4</v>
      </c>
      <c r="J123" s="8" t="n">
        <v>0</v>
      </c>
      <c r="K123" s="8" t="n">
        <v>225.7</v>
      </c>
      <c r="L123" s="8" t="n">
        <v>0.7</v>
      </c>
      <c r="M123" s="8" t="n">
        <v>136.6</v>
      </c>
      <c r="N123" s="13" t="n">
        <v>-0.7</v>
      </c>
      <c r="O123" s="8" t="n">
        <f aca="false">O122+N123</f>
        <v>134</v>
      </c>
      <c r="P123" s="8" t="n">
        <v>118</v>
      </c>
      <c r="Q123" s="8" t="n">
        <v>1</v>
      </c>
      <c r="R123" s="14" t="n">
        <f aca="false">Q123*L123</f>
        <v>0.7</v>
      </c>
      <c r="S123" s="14" t="n">
        <f aca="false">J123-R123</f>
        <v>-0.7</v>
      </c>
      <c r="T123" s="14" t="n">
        <f aca="false">MIN(189.6,(T122+S123))</f>
        <v>188.9</v>
      </c>
      <c r="V123" s="15" t="n">
        <v>561.5</v>
      </c>
      <c r="W123" s="8" t="n">
        <v>-330.294117647059</v>
      </c>
      <c r="X123" s="8" t="n">
        <v>64580.1</v>
      </c>
      <c r="Y123" s="8" t="n">
        <f aca="false">Y122+V123</f>
        <v>5302.4</v>
      </c>
      <c r="AA123" s="19" t="n">
        <v>8.14516860909032</v>
      </c>
    </row>
    <row r="124" s="8" customFormat="true" ht="15" hidden="false" customHeight="false" outlineLevel="0" collapsed="false">
      <c r="A124" s="27"/>
      <c r="B124" s="28"/>
      <c r="C124" s="11" t="n">
        <v>42002</v>
      </c>
      <c r="D124" s="18" t="n">
        <v>0.4</v>
      </c>
      <c r="E124" s="30" t="n">
        <v>-3.8</v>
      </c>
      <c r="F124" s="18" t="n">
        <v>2.6</v>
      </c>
      <c r="G124" s="8" t="n">
        <v>1255</v>
      </c>
      <c r="H124" s="8" t="n">
        <f aca="false">H123+D124</f>
        <v>142.8</v>
      </c>
      <c r="J124" s="8" t="n">
        <v>0</v>
      </c>
      <c r="K124" s="8" t="n">
        <v>225.7</v>
      </c>
      <c r="L124" s="8" t="n">
        <v>0.2</v>
      </c>
      <c r="M124" s="8" t="n">
        <v>136.8</v>
      </c>
      <c r="N124" s="13" t="n">
        <v>-0.2</v>
      </c>
      <c r="O124" s="8" t="n">
        <f aca="false">O123+N124</f>
        <v>133.8</v>
      </c>
      <c r="P124" s="8" t="n">
        <v>119</v>
      </c>
      <c r="Q124" s="8" t="n">
        <v>1</v>
      </c>
      <c r="R124" s="14" t="n">
        <f aca="false">Q124*L124</f>
        <v>0.2</v>
      </c>
      <c r="S124" s="14" t="n">
        <f aca="false">J124-R124</f>
        <v>-0.2</v>
      </c>
      <c r="T124" s="14" t="n">
        <f aca="false">MIN(189.6,(T123+S124))</f>
        <v>188.7</v>
      </c>
      <c r="V124" s="15" t="n">
        <v>286.7</v>
      </c>
      <c r="W124" s="8" t="n">
        <v>716.75</v>
      </c>
      <c r="X124" s="8" t="n">
        <v>64866.8</v>
      </c>
      <c r="Y124" s="8" t="n">
        <f aca="false">Y123+V124</f>
        <v>5589.1</v>
      </c>
      <c r="AA124" s="19" t="n">
        <v>8.15510889669624</v>
      </c>
    </row>
    <row r="125" s="8" customFormat="true" ht="15" hidden="false" customHeight="false" outlineLevel="0" collapsed="false">
      <c r="A125" s="27"/>
      <c r="B125" s="28"/>
      <c r="C125" s="11" t="n">
        <v>42003</v>
      </c>
      <c r="D125" s="18" t="n">
        <v>1.7</v>
      </c>
      <c r="E125" s="30" t="n">
        <v>-0.2</v>
      </c>
      <c r="F125" s="18" t="n">
        <v>2.7</v>
      </c>
      <c r="G125" s="8" t="n">
        <v>1256.7</v>
      </c>
      <c r="H125" s="8" t="n">
        <f aca="false">H124+D125</f>
        <v>144.5</v>
      </c>
      <c r="J125" s="8" t="n">
        <v>0.1</v>
      </c>
      <c r="K125" s="8" t="n">
        <v>225.8</v>
      </c>
      <c r="L125" s="8" t="n">
        <v>0.2</v>
      </c>
      <c r="M125" s="8" t="n">
        <v>137</v>
      </c>
      <c r="N125" s="13" t="n">
        <v>-0.1</v>
      </c>
      <c r="O125" s="8" t="n">
        <f aca="false">O124+N125</f>
        <v>133.7</v>
      </c>
      <c r="P125" s="8" t="n">
        <v>120</v>
      </c>
      <c r="Q125" s="8" t="n">
        <v>1</v>
      </c>
      <c r="R125" s="14" t="n">
        <f aca="false">Q125*L125</f>
        <v>0.2</v>
      </c>
      <c r="S125" s="14" t="n">
        <f aca="false">J125-R125</f>
        <v>-0.1</v>
      </c>
      <c r="T125" s="14" t="n">
        <f aca="false">MIN(189.6,(T124+S125))</f>
        <v>188.6</v>
      </c>
      <c r="V125" s="15" t="n">
        <v>191.4</v>
      </c>
      <c r="W125" s="8" t="n">
        <v>112.588235294118</v>
      </c>
      <c r="X125" s="8" t="n">
        <v>65058.2</v>
      </c>
      <c r="Y125" s="8" t="n">
        <f aca="false">Y124+V125</f>
        <v>5780.5</v>
      </c>
      <c r="AA125" s="19" t="n">
        <v>8.16667276812664</v>
      </c>
    </row>
    <row r="126" s="8" customFormat="true" ht="15" hidden="false" customHeight="false" outlineLevel="0" collapsed="false">
      <c r="A126" s="27"/>
      <c r="B126" s="28"/>
      <c r="C126" s="11" t="n">
        <v>42004</v>
      </c>
      <c r="D126" s="18" t="n">
        <v>2</v>
      </c>
      <c r="E126" s="18" t="n">
        <v>1.4</v>
      </c>
      <c r="F126" s="18" t="n">
        <v>4.3</v>
      </c>
      <c r="G126" s="8" t="n">
        <v>1258.7</v>
      </c>
      <c r="H126" s="8" t="n">
        <f aca="false">H125+D126</f>
        <v>146.5</v>
      </c>
      <c r="J126" s="8" t="n">
        <v>0</v>
      </c>
      <c r="K126" s="8" t="n">
        <v>225.8</v>
      </c>
      <c r="L126" s="8" t="n">
        <v>0.6</v>
      </c>
      <c r="M126" s="8" t="n">
        <v>137.6</v>
      </c>
      <c r="N126" s="13" t="n">
        <v>-0.6</v>
      </c>
      <c r="O126" s="8" t="n">
        <f aca="false">O125+N126</f>
        <v>133.1</v>
      </c>
      <c r="P126" s="8" t="n">
        <v>121</v>
      </c>
      <c r="Q126" s="8" t="n">
        <v>1</v>
      </c>
      <c r="R126" s="14" t="n">
        <f aca="false">Q126*L126</f>
        <v>0.6</v>
      </c>
      <c r="S126" s="14" t="n">
        <f aca="false">J126-R126</f>
        <v>-0.6</v>
      </c>
      <c r="T126" s="14" t="n">
        <f aca="false">MIN(189.6,(T125+S126))</f>
        <v>188</v>
      </c>
      <c r="V126" s="15" t="n">
        <v>288.1</v>
      </c>
      <c r="W126" s="8" t="n">
        <v>144.05</v>
      </c>
      <c r="X126" s="8" t="n">
        <v>65346.3</v>
      </c>
      <c r="Y126" s="8" t="n">
        <f aca="false">Y125+V126</f>
        <v>6068.6</v>
      </c>
      <c r="AA126" s="19" t="n">
        <v>8.17984676783238</v>
      </c>
    </row>
    <row r="127" s="8" customFormat="true" ht="15" hidden="false" customHeight="false" outlineLevel="0" collapsed="false">
      <c r="A127" s="27"/>
      <c r="B127" s="28"/>
      <c r="C127" s="11" t="n">
        <v>42005</v>
      </c>
      <c r="D127" s="18" t="n">
        <v>1.3</v>
      </c>
      <c r="E127" s="30" t="n">
        <v>-1.2</v>
      </c>
      <c r="F127" s="8" t="n">
        <v>6.6</v>
      </c>
      <c r="G127" s="8" t="n">
        <v>1260</v>
      </c>
      <c r="H127" s="8" t="n">
        <f aca="false">H126+D127</f>
        <v>147.8</v>
      </c>
      <c r="J127" s="8" t="n">
        <v>0.9</v>
      </c>
      <c r="K127" s="8" t="n">
        <v>226.7</v>
      </c>
      <c r="L127" s="8" t="n">
        <v>0.8</v>
      </c>
      <c r="M127" s="8" t="n">
        <v>138.4</v>
      </c>
      <c r="N127" s="8" t="n">
        <v>0.1</v>
      </c>
      <c r="O127" s="8" t="n">
        <f aca="false">O126+N127</f>
        <v>133.2</v>
      </c>
      <c r="P127" s="8" t="n">
        <v>122</v>
      </c>
      <c r="Q127" s="8" t="n">
        <v>1</v>
      </c>
      <c r="R127" s="14" t="n">
        <f aca="false">Q127*L127</f>
        <v>0.8</v>
      </c>
      <c r="S127" s="14" t="n">
        <f aca="false">J127-R127</f>
        <v>0.1</v>
      </c>
      <c r="T127" s="14" t="n">
        <f aca="false">MIN(189.6,(T126+S127))</f>
        <v>188.1</v>
      </c>
      <c r="V127" s="15" t="n">
        <v>369</v>
      </c>
      <c r="W127" s="8" t="n">
        <v>283.846153846154</v>
      </c>
      <c r="X127" s="8" t="n">
        <v>65715.3</v>
      </c>
      <c r="Y127" s="8" t="n">
        <f aca="false">Y126+V127</f>
        <v>6437.6</v>
      </c>
      <c r="AA127" s="19" t="n">
        <v>8.19937833706376</v>
      </c>
    </row>
    <row r="128" s="8" customFormat="true" ht="15" hidden="false" customHeight="false" outlineLevel="0" collapsed="false">
      <c r="A128" s="27"/>
      <c r="B128" s="10"/>
      <c r="C128" s="11" t="n">
        <v>42006</v>
      </c>
      <c r="D128" s="8" t="n">
        <v>5.6</v>
      </c>
      <c r="E128" s="18" t="n">
        <v>2</v>
      </c>
      <c r="F128" s="8" t="n">
        <v>10</v>
      </c>
      <c r="G128" s="8" t="n">
        <v>1265.6</v>
      </c>
      <c r="H128" s="8" t="n">
        <f aca="false">H127+D128</f>
        <v>153.4</v>
      </c>
      <c r="J128" s="8" t="n">
        <v>0.3</v>
      </c>
      <c r="K128" s="8" t="n">
        <v>227</v>
      </c>
      <c r="L128" s="8" t="n">
        <v>0.7</v>
      </c>
      <c r="M128" s="8" t="n">
        <v>139.1</v>
      </c>
      <c r="N128" s="13" t="n">
        <v>-0.4</v>
      </c>
      <c r="O128" s="8" t="n">
        <f aca="false">O127+N128</f>
        <v>132.8</v>
      </c>
      <c r="P128" s="8" t="n">
        <v>123</v>
      </c>
      <c r="Q128" s="8" t="n">
        <v>1</v>
      </c>
      <c r="R128" s="14" t="n">
        <f aca="false">Q128*L128</f>
        <v>0.7</v>
      </c>
      <c r="S128" s="14" t="n">
        <f aca="false">J128-R128</f>
        <v>-0.4</v>
      </c>
      <c r="T128" s="14" t="n">
        <f aca="false">MIN(189.6,(T127+S128))</f>
        <v>187.7</v>
      </c>
      <c r="V128" s="15" t="n">
        <v>280.9</v>
      </c>
      <c r="W128" s="8" t="n">
        <v>50.1607142857143</v>
      </c>
      <c r="X128" s="8" t="n">
        <v>65996.2</v>
      </c>
      <c r="Y128" s="8" t="n">
        <f aca="false">Y127+V128</f>
        <v>6718.5</v>
      </c>
      <c r="AA128" s="19" t="n">
        <v>8.21619700554713</v>
      </c>
    </row>
    <row r="129" s="8" customFormat="true" ht="15" hidden="false" customHeight="false" outlineLevel="0" collapsed="false">
      <c r="A129" s="27"/>
      <c r="B129" s="10"/>
      <c r="C129" s="11" t="n">
        <v>42007</v>
      </c>
      <c r="D129" s="8" t="n">
        <v>5.4</v>
      </c>
      <c r="E129" s="18" t="n">
        <v>0.8</v>
      </c>
      <c r="F129" s="8" t="n">
        <v>11.7</v>
      </c>
      <c r="G129" s="8" t="n">
        <v>1271</v>
      </c>
      <c r="H129" s="8" t="n">
        <f aca="false">H128+D129</f>
        <v>158.8</v>
      </c>
      <c r="J129" s="8" t="n">
        <v>10.1</v>
      </c>
      <c r="K129" s="8" t="n">
        <v>237.1</v>
      </c>
      <c r="L129" s="8" t="n">
        <v>0.5</v>
      </c>
      <c r="M129" s="8" t="n">
        <v>139.6</v>
      </c>
      <c r="N129" s="8" t="n">
        <v>9.6</v>
      </c>
      <c r="O129" s="8" t="n">
        <f aca="false">O128+N129</f>
        <v>142.4</v>
      </c>
      <c r="P129" s="8" t="n">
        <v>124</v>
      </c>
      <c r="Q129" s="8" t="n">
        <v>1</v>
      </c>
      <c r="R129" s="14" t="n">
        <f aca="false">Q129*L129</f>
        <v>0.5</v>
      </c>
      <c r="S129" s="14" t="n">
        <f aca="false">J129-R129</f>
        <v>9.6</v>
      </c>
      <c r="T129" s="14" t="n">
        <f aca="false">MIN(189.6,(T128+S129))</f>
        <v>189.6</v>
      </c>
      <c r="V129" s="31" t="n">
        <v>62.8</v>
      </c>
      <c r="W129" s="8" t="n">
        <v>11.6296296296296</v>
      </c>
      <c r="X129" s="8" t="n">
        <v>66059</v>
      </c>
      <c r="Y129" s="8" t="n">
        <f aca="false">Y128+V129</f>
        <v>6781.3</v>
      </c>
      <c r="AA129" s="19" t="n">
        <v>8.23456872557595</v>
      </c>
    </row>
    <row r="130" s="8" customFormat="true" ht="15" hidden="false" customHeight="false" outlineLevel="0" collapsed="false">
      <c r="A130" s="27"/>
      <c r="B130" s="28"/>
      <c r="C130" s="11" t="n">
        <v>42008</v>
      </c>
      <c r="D130" s="18" t="n">
        <v>2.7</v>
      </c>
      <c r="E130" s="18" t="n">
        <v>1.3</v>
      </c>
      <c r="F130" s="8" t="n">
        <v>5.9</v>
      </c>
      <c r="G130" s="8" t="n">
        <v>1273.7</v>
      </c>
      <c r="H130" s="8" t="n">
        <f aca="false">H129+D130</f>
        <v>161.5</v>
      </c>
      <c r="J130" s="8" t="n">
        <v>0</v>
      </c>
      <c r="K130" s="8" t="n">
        <v>237.1</v>
      </c>
      <c r="L130" s="8" t="n">
        <v>0.5</v>
      </c>
      <c r="M130" s="8" t="n">
        <v>140.1</v>
      </c>
      <c r="N130" s="13" t="n">
        <v>-0.5</v>
      </c>
      <c r="O130" s="8" t="n">
        <f aca="false">O129+N130</f>
        <v>141.9</v>
      </c>
      <c r="P130" s="8" t="n">
        <v>125</v>
      </c>
      <c r="Q130" s="8" t="n">
        <v>1</v>
      </c>
      <c r="R130" s="14" t="n">
        <f aca="false">Q130*L130</f>
        <v>0.5</v>
      </c>
      <c r="S130" s="14" t="n">
        <f aca="false">J130-R130</f>
        <v>-0.5</v>
      </c>
      <c r="T130" s="14" t="n">
        <f aca="false">MIN(189.6,(T129+S130))</f>
        <v>189.1</v>
      </c>
      <c r="V130" s="15" t="n">
        <v>386</v>
      </c>
      <c r="W130" s="8" t="n">
        <v>142.962962962963</v>
      </c>
      <c r="X130" s="8" t="n">
        <v>66445</v>
      </c>
      <c r="Y130" s="8" t="n">
        <f aca="false">Y129+V130</f>
        <v>7167.3</v>
      </c>
      <c r="AA130" s="19" t="n">
        <v>8.25447265766023</v>
      </c>
    </row>
    <row r="131" s="8" customFormat="true" ht="15" hidden="false" customHeight="false" outlineLevel="0" collapsed="false">
      <c r="A131" s="27"/>
      <c r="B131" s="28"/>
      <c r="C131" s="11" t="n">
        <v>42009</v>
      </c>
      <c r="D131" s="30" t="n">
        <v>-0.7</v>
      </c>
      <c r="E131" s="30" t="n">
        <v>-0.7</v>
      </c>
      <c r="F131" s="30" t="n">
        <v>-0.4</v>
      </c>
      <c r="G131" s="8" t="n">
        <v>1273.7</v>
      </c>
      <c r="H131" s="8" t="n">
        <v>161.5</v>
      </c>
      <c r="J131" s="8" t="n">
        <v>0.1</v>
      </c>
      <c r="K131" s="8" t="n">
        <v>237.2</v>
      </c>
      <c r="L131" s="8" t="n">
        <v>0.3</v>
      </c>
      <c r="M131" s="8" t="n">
        <v>140.4</v>
      </c>
      <c r="N131" s="13" t="n">
        <v>-0.2</v>
      </c>
      <c r="O131" s="8" t="n">
        <f aca="false">O130+N131</f>
        <v>141.7</v>
      </c>
      <c r="P131" s="8" t="n">
        <v>126</v>
      </c>
      <c r="Q131" s="8" t="n">
        <v>1</v>
      </c>
      <c r="R131" s="14" t="n">
        <f aca="false">Q131*L131</f>
        <v>0.3</v>
      </c>
      <c r="S131" s="14" t="n">
        <f aca="false">J131-R131</f>
        <v>-0.2</v>
      </c>
      <c r="T131" s="14" t="n">
        <f aca="false">MIN(189.6,(T130+S131))</f>
        <v>188.9</v>
      </c>
      <c r="V131" s="15" t="n">
        <v>235.3</v>
      </c>
      <c r="W131" s="8" t="n">
        <v>-336.142857142857</v>
      </c>
      <c r="X131" s="8" t="n">
        <v>66680.3</v>
      </c>
      <c r="Y131" s="8" t="n">
        <f aca="false">Y130+V131</f>
        <v>7402.6</v>
      </c>
      <c r="AA131" s="19" t="n">
        <v>8.27588645810926</v>
      </c>
    </row>
    <row r="132" s="8" customFormat="true" ht="15" hidden="false" customHeight="false" outlineLevel="0" collapsed="false">
      <c r="A132" s="27"/>
      <c r="B132" s="28"/>
      <c r="C132" s="11" t="n">
        <v>42010</v>
      </c>
      <c r="D132" s="18" t="n">
        <v>0.6</v>
      </c>
      <c r="E132" s="30" t="n">
        <v>-1.7</v>
      </c>
      <c r="F132" s="18" t="n">
        <v>2.6</v>
      </c>
      <c r="G132" s="8" t="n">
        <v>1274.3</v>
      </c>
      <c r="H132" s="8" t="n">
        <f aca="false">H131+D132</f>
        <v>162.1</v>
      </c>
      <c r="J132" s="8" t="n">
        <v>0.1</v>
      </c>
      <c r="K132" s="8" t="n">
        <v>237.3</v>
      </c>
      <c r="L132" s="8" t="n">
        <v>0.2</v>
      </c>
      <c r="M132" s="8" t="n">
        <v>140.6</v>
      </c>
      <c r="N132" s="13" t="n">
        <v>-0.1</v>
      </c>
      <c r="O132" s="8" t="n">
        <f aca="false">O131+N132</f>
        <v>141.6</v>
      </c>
      <c r="P132" s="8" t="n">
        <v>127</v>
      </c>
      <c r="Q132" s="8" t="n">
        <v>1</v>
      </c>
      <c r="R132" s="14" t="n">
        <f aca="false">Q132*L132</f>
        <v>0.2</v>
      </c>
      <c r="S132" s="14" t="n">
        <f aca="false">J132-R132</f>
        <v>-0.1</v>
      </c>
      <c r="T132" s="14" t="n">
        <f aca="false">MIN(189.6,(T131+S132))</f>
        <v>188.8</v>
      </c>
      <c r="V132" s="15" t="n">
        <v>208.1</v>
      </c>
      <c r="W132" s="8" t="n">
        <v>346.833333333333</v>
      </c>
      <c r="X132" s="8" t="n">
        <v>66888.4</v>
      </c>
      <c r="Y132" s="8" t="n">
        <f aca="false">Y131+V132</f>
        <v>7610.7</v>
      </c>
      <c r="AA132" s="19" t="n">
        <v>8.29878636969683</v>
      </c>
    </row>
    <row r="133" s="8" customFormat="true" ht="15" hidden="false" customHeight="false" outlineLevel="0" collapsed="false">
      <c r="A133" s="27"/>
      <c r="B133" s="28"/>
      <c r="C133" s="11" t="n">
        <v>42011</v>
      </c>
      <c r="D133" s="18" t="n">
        <v>1.7</v>
      </c>
      <c r="E133" s="30" t="n">
        <v>-0.1</v>
      </c>
      <c r="F133" s="8" t="n">
        <v>7.1</v>
      </c>
      <c r="G133" s="8" t="n">
        <v>1276</v>
      </c>
      <c r="H133" s="8" t="n">
        <f aca="false">H132+D133</f>
        <v>163.8</v>
      </c>
      <c r="J133" s="8" t="n">
        <v>2.5</v>
      </c>
      <c r="K133" s="8" t="n">
        <v>239.8</v>
      </c>
      <c r="L133" s="8" t="n">
        <v>0.7</v>
      </c>
      <c r="M133" s="8" t="n">
        <v>141.3</v>
      </c>
      <c r="N133" s="8" t="n">
        <v>1.8</v>
      </c>
      <c r="O133" s="8" t="n">
        <f aca="false">O132+N133</f>
        <v>143.4</v>
      </c>
      <c r="P133" s="8" t="n">
        <v>128</v>
      </c>
      <c r="Q133" s="8" t="n">
        <v>1</v>
      </c>
      <c r="R133" s="14" t="n">
        <f aca="false">Q133*L133</f>
        <v>0.7</v>
      </c>
      <c r="S133" s="14" t="n">
        <f aca="false">J133-R133</f>
        <v>1.8</v>
      </c>
      <c r="T133" s="14" t="n">
        <f aca="false">MIN(189.6,(T132+S133))</f>
        <v>189.6</v>
      </c>
      <c r="V133" s="15" t="n">
        <v>165.7</v>
      </c>
      <c r="W133" s="8" t="n">
        <v>97.4705882352941</v>
      </c>
      <c r="X133" s="8" t="n">
        <v>67054.1</v>
      </c>
      <c r="Y133" s="8" t="n">
        <f aca="false">Y132+V133</f>
        <v>7776.4</v>
      </c>
      <c r="AA133" s="19" t="n">
        <v>8.32314731603099</v>
      </c>
    </row>
    <row r="134" s="8" customFormat="true" ht="15" hidden="false" customHeight="false" outlineLevel="0" collapsed="false">
      <c r="A134" s="27"/>
      <c r="B134" s="10"/>
      <c r="C134" s="11" t="n">
        <v>42012</v>
      </c>
      <c r="D134" s="8" t="n">
        <v>7.1</v>
      </c>
      <c r="E134" s="18" t="n">
        <v>3.2</v>
      </c>
      <c r="F134" s="8" t="n">
        <v>9.1</v>
      </c>
      <c r="G134" s="8" t="n">
        <v>1283.1</v>
      </c>
      <c r="H134" s="8" t="n">
        <f aca="false">H133+D134</f>
        <v>170.9</v>
      </c>
      <c r="J134" s="8" t="n">
        <v>7.3</v>
      </c>
      <c r="K134" s="8" t="n">
        <v>247.1</v>
      </c>
      <c r="L134" s="8" t="n">
        <v>0.1</v>
      </c>
      <c r="M134" s="8" t="n">
        <v>141.4</v>
      </c>
      <c r="N134" s="8" t="n">
        <v>7.2</v>
      </c>
      <c r="O134" s="8" t="n">
        <f aca="false">O133+N134</f>
        <v>150.6</v>
      </c>
      <c r="P134" s="8" t="n">
        <v>129</v>
      </c>
      <c r="Q134" s="8" t="n">
        <v>1</v>
      </c>
      <c r="R134" s="14" t="n">
        <f aca="false">Q134*L134</f>
        <v>0.1</v>
      </c>
      <c r="S134" s="14" t="n">
        <f aca="false">J134-R134</f>
        <v>7.2</v>
      </c>
      <c r="T134" s="14" t="n">
        <f aca="false">MIN(189.6,(T133+S134))</f>
        <v>189.6</v>
      </c>
      <c r="V134" s="15" t="n">
        <v>94.9</v>
      </c>
      <c r="W134" s="8" t="n">
        <v>13.3661971830986</v>
      </c>
      <c r="X134" s="8" t="n">
        <v>67149</v>
      </c>
      <c r="Y134" s="8" t="n">
        <f aca="false">Y133+V134</f>
        <v>7871.3</v>
      </c>
      <c r="AA134" s="19" t="n">
        <v>8.3489429988931</v>
      </c>
    </row>
    <row r="135" s="8" customFormat="true" ht="15" hidden="false" customHeight="false" outlineLevel="0" collapsed="false">
      <c r="A135" s="27"/>
      <c r="B135" s="10"/>
      <c r="C135" s="11" t="n">
        <v>42013</v>
      </c>
      <c r="D135" s="8" t="n">
        <v>10.5</v>
      </c>
      <c r="E135" s="8" t="n">
        <v>6.4</v>
      </c>
      <c r="F135" s="8" t="n">
        <v>14.5</v>
      </c>
      <c r="G135" s="8" t="n">
        <v>1293.6</v>
      </c>
      <c r="H135" s="8" t="n">
        <f aca="false">H134+D135</f>
        <v>181.4</v>
      </c>
      <c r="J135" s="8" t="n">
        <v>0.8</v>
      </c>
      <c r="K135" s="8" t="n">
        <v>247.9</v>
      </c>
      <c r="L135" s="8" t="n">
        <v>0.8</v>
      </c>
      <c r="M135" s="8" t="n">
        <v>142.2</v>
      </c>
      <c r="N135" s="8" t="n">
        <v>0</v>
      </c>
      <c r="O135" s="8" t="n">
        <f aca="false">O134+N135</f>
        <v>150.6</v>
      </c>
      <c r="P135" s="8" t="n">
        <v>130</v>
      </c>
      <c r="Q135" s="8" t="n">
        <v>1</v>
      </c>
      <c r="R135" s="14" t="n">
        <f aca="false">Q135*L135</f>
        <v>0.8</v>
      </c>
      <c r="S135" s="14" t="n">
        <f aca="false">J135-R135</f>
        <v>0</v>
      </c>
      <c r="T135" s="14" t="n">
        <f aca="false">MIN(189.6,(T134+S135))</f>
        <v>189.6</v>
      </c>
      <c r="V135" s="15" t="n">
        <v>106.2</v>
      </c>
      <c r="W135" s="8" t="n">
        <v>10.1142857142857</v>
      </c>
      <c r="X135" s="8" t="n">
        <v>67255.2</v>
      </c>
      <c r="Y135" s="8" t="n">
        <f aca="false">Y134+V135</f>
        <v>7977.5</v>
      </c>
      <c r="AA135" s="19" t="n">
        <v>8.37614599781441</v>
      </c>
    </row>
    <row r="136" s="8" customFormat="true" ht="15" hidden="false" customHeight="false" outlineLevel="0" collapsed="false">
      <c r="A136" s="27"/>
      <c r="B136" s="10"/>
      <c r="C136" s="11" t="n">
        <v>42014</v>
      </c>
      <c r="D136" s="8" t="n">
        <v>10.5</v>
      </c>
      <c r="E136" s="8" t="n">
        <v>8.4</v>
      </c>
      <c r="F136" s="8" t="n">
        <v>12.7</v>
      </c>
      <c r="G136" s="8" t="n">
        <v>1304.1</v>
      </c>
      <c r="H136" s="8" t="n">
        <f aca="false">H135+D136</f>
        <v>191.9</v>
      </c>
      <c r="J136" s="8" t="n">
        <v>2.2</v>
      </c>
      <c r="K136" s="8" t="n">
        <v>250.1</v>
      </c>
      <c r="L136" s="8" t="n">
        <v>1.1</v>
      </c>
      <c r="M136" s="8" t="n">
        <v>143.3</v>
      </c>
      <c r="N136" s="8" t="n">
        <v>1.1</v>
      </c>
      <c r="O136" s="8" t="n">
        <f aca="false">O135+N136</f>
        <v>151.7</v>
      </c>
      <c r="P136" s="8" t="n">
        <v>131</v>
      </c>
      <c r="Q136" s="8" t="n">
        <v>1</v>
      </c>
      <c r="R136" s="14" t="n">
        <f aca="false">Q136*L136</f>
        <v>1.1</v>
      </c>
      <c r="S136" s="14" t="n">
        <f aca="false">J136-R136</f>
        <v>1.1</v>
      </c>
      <c r="T136" s="14" t="n">
        <f aca="false">MIN(189.6,(T135+S136))</f>
        <v>189.6</v>
      </c>
      <c r="V136" s="15" t="n">
        <v>249.2</v>
      </c>
      <c r="W136" s="8" t="n">
        <v>23.7333333333333</v>
      </c>
      <c r="X136" s="8" t="n">
        <v>67504.4</v>
      </c>
      <c r="Y136" s="8" t="n">
        <f aca="false">Y135+V136</f>
        <v>8226.7</v>
      </c>
      <c r="AA136" s="19" t="n">
        <v>8.40472787117078</v>
      </c>
    </row>
    <row r="137" s="8" customFormat="true" ht="15" hidden="false" customHeight="false" outlineLevel="0" collapsed="false">
      <c r="A137" s="27"/>
      <c r="B137" s="10"/>
      <c r="C137" s="11" t="n">
        <v>42015</v>
      </c>
      <c r="D137" s="8" t="n">
        <v>5.7</v>
      </c>
      <c r="E137" s="18" t="n">
        <v>3.7</v>
      </c>
      <c r="F137" s="8" t="n">
        <v>7.5</v>
      </c>
      <c r="G137" s="8" t="n">
        <v>1309.8</v>
      </c>
      <c r="H137" s="8" t="n">
        <f aca="false">H136+D137</f>
        <v>197.6</v>
      </c>
      <c r="J137" s="8" t="n">
        <v>0</v>
      </c>
      <c r="K137" s="8" t="n">
        <v>250.1</v>
      </c>
      <c r="L137" s="8" t="n">
        <v>1.3</v>
      </c>
      <c r="M137" s="8" t="n">
        <v>144.6</v>
      </c>
      <c r="N137" s="13" t="n">
        <v>-1.3</v>
      </c>
      <c r="O137" s="8" t="n">
        <f aca="false">O136+N137</f>
        <v>150.4</v>
      </c>
      <c r="P137" s="8" t="n">
        <v>132</v>
      </c>
      <c r="Q137" s="8" t="n">
        <v>1</v>
      </c>
      <c r="R137" s="14" t="n">
        <f aca="false">Q137*L137</f>
        <v>1.3</v>
      </c>
      <c r="S137" s="14" t="n">
        <f aca="false">J137-R137</f>
        <v>-1.3</v>
      </c>
      <c r="T137" s="14" t="n">
        <f aca="false">MIN(189.6,(T136+S137))</f>
        <v>188.3</v>
      </c>
      <c r="V137" s="15" t="n">
        <v>507</v>
      </c>
      <c r="W137" s="8" t="n">
        <v>88.9473684210526</v>
      </c>
      <c r="X137" s="8" t="n">
        <v>68011.4</v>
      </c>
      <c r="Y137" s="8" t="n">
        <f aca="false">Y136+V137</f>
        <v>8733.7</v>
      </c>
      <c r="AA137" s="19" t="n">
        <v>8.43465925809618</v>
      </c>
    </row>
    <row r="138" s="8" customFormat="true" ht="15" hidden="false" customHeight="false" outlineLevel="0" collapsed="false">
      <c r="A138" s="27"/>
      <c r="B138" s="10"/>
      <c r="C138" s="11" t="n">
        <v>42016</v>
      </c>
      <c r="D138" s="8" t="n">
        <v>7.9</v>
      </c>
      <c r="E138" s="8" t="n">
        <v>6.2</v>
      </c>
      <c r="F138" s="8" t="n">
        <v>9.3</v>
      </c>
      <c r="G138" s="8" t="n">
        <v>1317.7</v>
      </c>
      <c r="H138" s="8" t="n">
        <f aca="false">H137+D138</f>
        <v>205.5</v>
      </c>
      <c r="J138" s="8" t="n">
        <v>0</v>
      </c>
      <c r="K138" s="8" t="n">
        <v>250.1</v>
      </c>
      <c r="L138" s="8" t="n">
        <v>1.2</v>
      </c>
      <c r="M138" s="8" t="n">
        <v>145.8</v>
      </c>
      <c r="N138" s="13" t="n">
        <v>-1.2</v>
      </c>
      <c r="O138" s="8" t="n">
        <f aca="false">O137+N138</f>
        <v>149.2</v>
      </c>
      <c r="P138" s="8" t="n">
        <v>133</v>
      </c>
      <c r="Q138" s="8" t="n">
        <v>1</v>
      </c>
      <c r="R138" s="14" t="n">
        <f aca="false">Q138*L138</f>
        <v>1.2</v>
      </c>
      <c r="S138" s="14" t="n">
        <f aca="false">J138-R138</f>
        <v>-1.2</v>
      </c>
      <c r="T138" s="14" t="n">
        <f aca="false">MIN(189.6,(T137+S138))</f>
        <v>187.1</v>
      </c>
      <c r="V138" s="15" t="n">
        <v>109.3</v>
      </c>
      <c r="W138" s="8" t="n">
        <v>13.8354430379747</v>
      </c>
      <c r="X138" s="8" t="n">
        <v>68120.7</v>
      </c>
      <c r="Y138" s="8" t="n">
        <f aca="false">Y137+V138</f>
        <v>8843</v>
      </c>
      <c r="AA138" s="19" t="n">
        <v>8.46590998054281</v>
      </c>
    </row>
    <row r="139" s="8" customFormat="true" ht="15" hidden="false" customHeight="false" outlineLevel="0" collapsed="false">
      <c r="A139" s="27"/>
      <c r="B139" s="10"/>
      <c r="C139" s="11" t="n">
        <v>42017</v>
      </c>
      <c r="D139" s="8" t="n">
        <v>8.1</v>
      </c>
      <c r="E139" s="8" t="n">
        <v>7</v>
      </c>
      <c r="F139" s="8" t="n">
        <v>9.5</v>
      </c>
      <c r="G139" s="8" t="n">
        <v>1325.8</v>
      </c>
      <c r="H139" s="8" t="n">
        <f aca="false">H138+D139</f>
        <v>213.6</v>
      </c>
      <c r="J139" s="8" t="n">
        <v>2.3</v>
      </c>
      <c r="K139" s="8" t="n">
        <v>252.4</v>
      </c>
      <c r="L139" s="8" t="n">
        <v>0.8</v>
      </c>
      <c r="M139" s="8" t="n">
        <v>146.6</v>
      </c>
      <c r="N139" s="8" t="n">
        <v>1.5</v>
      </c>
      <c r="O139" s="8" t="n">
        <f aca="false">O138+N139</f>
        <v>150.7</v>
      </c>
      <c r="P139" s="8" t="n">
        <v>134</v>
      </c>
      <c r="Q139" s="8" t="n">
        <v>1</v>
      </c>
      <c r="R139" s="14" t="n">
        <f aca="false">Q139*L139</f>
        <v>0.8</v>
      </c>
      <c r="S139" s="14" t="n">
        <f aca="false">J139-R139</f>
        <v>1.5</v>
      </c>
      <c r="T139" s="14" t="n">
        <f aca="false">MIN(189.6,(T138+S139))</f>
        <v>188.6</v>
      </c>
      <c r="V139" s="15" t="n">
        <v>136.5</v>
      </c>
      <c r="W139" s="8" t="n">
        <v>16.8518518518519</v>
      </c>
      <c r="X139" s="8" t="n">
        <v>68257.2</v>
      </c>
      <c r="Y139" s="8" t="n">
        <f aca="false">Y138+V139</f>
        <v>8979.5</v>
      </c>
      <c r="AA139" s="19" t="n">
        <v>8.49844914484888</v>
      </c>
    </row>
    <row r="140" s="8" customFormat="true" ht="15" hidden="false" customHeight="false" outlineLevel="0" collapsed="false">
      <c r="A140" s="27"/>
      <c r="B140" s="28"/>
      <c r="C140" s="11" t="n">
        <v>42018</v>
      </c>
      <c r="D140" s="18" t="n">
        <v>4.6</v>
      </c>
      <c r="E140" s="18" t="n">
        <v>3.5</v>
      </c>
      <c r="F140" s="8" t="n">
        <v>9.2</v>
      </c>
      <c r="G140" s="8" t="n">
        <v>1330.4</v>
      </c>
      <c r="H140" s="8" t="n">
        <f aca="false">H139+D140</f>
        <v>218.2</v>
      </c>
      <c r="J140" s="8" t="n">
        <v>7.4</v>
      </c>
      <c r="K140" s="8" t="n">
        <v>259.8</v>
      </c>
      <c r="L140" s="8" t="n">
        <v>1.2</v>
      </c>
      <c r="M140" s="8" t="n">
        <v>147.8</v>
      </c>
      <c r="N140" s="8" t="n">
        <v>6.2</v>
      </c>
      <c r="O140" s="8" t="n">
        <f aca="false">O139+N140</f>
        <v>156.9</v>
      </c>
      <c r="P140" s="8" t="n">
        <v>135</v>
      </c>
      <c r="Q140" s="8" t="n">
        <v>1</v>
      </c>
      <c r="R140" s="14" t="n">
        <f aca="false">Q140*L140</f>
        <v>1.2</v>
      </c>
      <c r="S140" s="14" t="n">
        <f aca="false">J140-R140</f>
        <v>6.2</v>
      </c>
      <c r="T140" s="14" t="n">
        <f aca="false">MIN(189.6,(T139+S140))</f>
        <v>189.6</v>
      </c>
      <c r="V140" s="15" t="n">
        <v>280.3</v>
      </c>
      <c r="W140" s="8" t="n">
        <v>60.9347826086957</v>
      </c>
      <c r="X140" s="8" t="n">
        <v>68537.5</v>
      </c>
      <c r="Y140" s="8" t="n">
        <f aca="false">Y139+V140</f>
        <v>9259.8</v>
      </c>
      <c r="AA140" s="19" t="n">
        <v>8.53224524221389</v>
      </c>
    </row>
    <row r="141" s="8" customFormat="true" ht="15" hidden="false" customHeight="false" outlineLevel="0" collapsed="false">
      <c r="A141" s="27"/>
      <c r="B141" s="10"/>
      <c r="C141" s="11" t="n">
        <v>42019</v>
      </c>
      <c r="D141" s="8" t="n">
        <v>8.1</v>
      </c>
      <c r="E141" s="18" t="n">
        <v>4.6</v>
      </c>
      <c r="F141" s="8" t="n">
        <v>9.8</v>
      </c>
      <c r="G141" s="8" t="n">
        <v>1338.5</v>
      </c>
      <c r="H141" s="8" t="n">
        <f aca="false">H140+D141</f>
        <v>226.3</v>
      </c>
      <c r="J141" s="8" t="n">
        <v>2</v>
      </c>
      <c r="K141" s="8" t="n">
        <v>261.8</v>
      </c>
      <c r="L141" s="8" t="n">
        <v>0.7</v>
      </c>
      <c r="M141" s="8" t="n">
        <v>148.5</v>
      </c>
      <c r="N141" s="8" t="n">
        <v>1.3</v>
      </c>
      <c r="O141" s="8" t="n">
        <f aca="false">O140+N141</f>
        <v>158.2</v>
      </c>
      <c r="P141" s="8" t="n">
        <v>136</v>
      </c>
      <c r="Q141" s="8" t="n">
        <v>1</v>
      </c>
      <c r="R141" s="14" t="n">
        <f aca="false">Q141*L141</f>
        <v>0.7</v>
      </c>
      <c r="S141" s="14" t="n">
        <f aca="false">J141-R141</f>
        <v>1.3</v>
      </c>
      <c r="T141" s="14" t="n">
        <f aca="false">MIN(189.6,(T140+S141))</f>
        <v>189.6</v>
      </c>
      <c r="V141" s="15" t="n">
        <v>120.2</v>
      </c>
      <c r="W141" s="8" t="n">
        <v>14.8395061728395</v>
      </c>
      <c r="X141" s="8" t="n">
        <v>68657.7</v>
      </c>
      <c r="Y141" s="8" t="n">
        <f aca="false">Y140+V141</f>
        <v>9380</v>
      </c>
      <c r="AA141" s="19" t="n">
        <v>8.56726624752367</v>
      </c>
    </row>
    <row r="142" s="8" customFormat="true" ht="15" hidden="false" customHeight="false" outlineLevel="0" collapsed="false">
      <c r="A142" s="27"/>
      <c r="B142" s="28"/>
      <c r="C142" s="11" t="n">
        <v>42020</v>
      </c>
      <c r="D142" s="18" t="n">
        <v>4.6</v>
      </c>
      <c r="E142" s="18" t="n">
        <v>3.8</v>
      </c>
      <c r="F142" s="8" t="n">
        <v>6.8</v>
      </c>
      <c r="G142" s="8" t="n">
        <v>1343.1</v>
      </c>
      <c r="H142" s="8" t="n">
        <f aca="false">H141+D142</f>
        <v>230.9</v>
      </c>
      <c r="J142" s="8" t="n">
        <v>2.4</v>
      </c>
      <c r="K142" s="8" t="n">
        <v>264.2</v>
      </c>
      <c r="L142" s="8" t="n">
        <v>0.6</v>
      </c>
      <c r="M142" s="8" t="n">
        <v>149.1</v>
      </c>
      <c r="N142" s="8" t="n">
        <v>1.8</v>
      </c>
      <c r="O142" s="8" t="n">
        <f aca="false">O141+N142</f>
        <v>160</v>
      </c>
      <c r="P142" s="8" t="n">
        <v>137</v>
      </c>
      <c r="Q142" s="8" t="n">
        <v>1</v>
      </c>
      <c r="R142" s="14" t="n">
        <f aca="false">Q142*L142</f>
        <v>0.6</v>
      </c>
      <c r="S142" s="14" t="n">
        <f aca="false">J142-R142</f>
        <v>1.8</v>
      </c>
      <c r="T142" s="14" t="n">
        <f aca="false">MIN(189.6,(T141+S142))</f>
        <v>189.6</v>
      </c>
      <c r="V142" s="15" t="n">
        <v>259.7</v>
      </c>
      <c r="W142" s="8" t="n">
        <v>56.4565217391304</v>
      </c>
      <c r="X142" s="8" t="n">
        <v>68917.4</v>
      </c>
      <c r="Y142" s="8" t="n">
        <f aca="false">Y141+V142</f>
        <v>9639.7</v>
      </c>
      <c r="AA142" s="19" t="n">
        <v>8.60347971601435</v>
      </c>
    </row>
    <row r="143" s="8" customFormat="true" ht="15" hidden="false" customHeight="false" outlineLevel="0" collapsed="false">
      <c r="A143" s="27"/>
      <c r="B143" s="28"/>
      <c r="C143" s="11" t="n">
        <v>42021</v>
      </c>
      <c r="D143" s="18" t="n">
        <v>2.1</v>
      </c>
      <c r="E143" s="18" t="n">
        <v>0</v>
      </c>
      <c r="F143" s="8" t="n">
        <v>5.1</v>
      </c>
      <c r="G143" s="8" t="n">
        <v>1345.2</v>
      </c>
      <c r="H143" s="8" t="n">
        <f aca="false">H142+D143</f>
        <v>233</v>
      </c>
      <c r="J143" s="8" t="n">
        <v>0</v>
      </c>
      <c r="K143" s="8" t="n">
        <v>264.2</v>
      </c>
      <c r="L143" s="8" t="n">
        <v>0.7</v>
      </c>
      <c r="M143" s="8" t="n">
        <v>149.8</v>
      </c>
      <c r="N143" s="13" t="n">
        <v>-0.7</v>
      </c>
      <c r="O143" s="8" t="n">
        <f aca="false">O142+N143</f>
        <v>159.3</v>
      </c>
      <c r="P143" s="8" t="n">
        <v>138</v>
      </c>
      <c r="Q143" s="8" t="n">
        <v>1</v>
      </c>
      <c r="R143" s="14" t="n">
        <f aca="false">Q143*L143</f>
        <v>0.7</v>
      </c>
      <c r="S143" s="14" t="n">
        <f aca="false">J143-R143</f>
        <v>-0.7</v>
      </c>
      <c r="T143" s="14" t="n">
        <f aca="false">MIN(189.6,(T142+S143))</f>
        <v>188.9</v>
      </c>
      <c r="V143" s="15" t="n">
        <v>603.7</v>
      </c>
      <c r="W143" s="8" t="n">
        <v>287.476190476191</v>
      </c>
      <c r="X143" s="8" t="n">
        <v>69521.1</v>
      </c>
      <c r="Y143" s="8" t="n">
        <f aca="false">Y142+V143</f>
        <v>10243.4</v>
      </c>
      <c r="AA143" s="19" t="n">
        <v>8.64085287731244</v>
      </c>
    </row>
    <row r="144" s="8" customFormat="true" ht="15" hidden="false" customHeight="false" outlineLevel="0" collapsed="false">
      <c r="A144" s="27"/>
      <c r="B144" s="28"/>
      <c r="C144" s="11" t="n">
        <v>42022</v>
      </c>
      <c r="D144" s="18" t="n">
        <v>2.7</v>
      </c>
      <c r="E144" s="18" t="n">
        <v>1.6</v>
      </c>
      <c r="F144" s="18" t="n">
        <v>3.8</v>
      </c>
      <c r="G144" s="8" t="n">
        <v>1347.9</v>
      </c>
      <c r="H144" s="8" t="n">
        <f aca="false">H143+D144</f>
        <v>235.7</v>
      </c>
      <c r="J144" s="8" t="n">
        <v>3.2</v>
      </c>
      <c r="K144" s="8" t="n">
        <v>267.4</v>
      </c>
      <c r="L144" s="8" t="n">
        <v>0.3</v>
      </c>
      <c r="M144" s="8" t="n">
        <v>150.1</v>
      </c>
      <c r="N144" s="8" t="n">
        <v>2.9</v>
      </c>
      <c r="O144" s="8" t="n">
        <f aca="false">O143+N144</f>
        <v>162.2</v>
      </c>
      <c r="P144" s="8" t="n">
        <v>139</v>
      </c>
      <c r="Q144" s="8" t="n">
        <v>1</v>
      </c>
      <c r="R144" s="14" t="n">
        <f aca="false">Q144*L144</f>
        <v>0.3</v>
      </c>
      <c r="S144" s="14" t="n">
        <f aca="false">J144-R144</f>
        <v>2.9</v>
      </c>
      <c r="T144" s="14" t="n">
        <f aca="false">MIN(189.6,(T143+S144))</f>
        <v>189.6</v>
      </c>
      <c r="V144" s="15" t="n">
        <v>105.9</v>
      </c>
      <c r="W144" s="8" t="n">
        <v>39.2222222222222</v>
      </c>
      <c r="X144" s="8" t="n">
        <v>69627</v>
      </c>
      <c r="Y144" s="8" t="n">
        <f aca="false">Y143+V144</f>
        <v>10349.3</v>
      </c>
      <c r="AA144" s="19" t="n">
        <v>8.67935272643905</v>
      </c>
    </row>
    <row r="145" s="8" customFormat="true" ht="15" hidden="false" customHeight="false" outlineLevel="0" collapsed="false">
      <c r="A145" s="27"/>
      <c r="B145" s="28"/>
      <c r="C145" s="11" t="n">
        <v>42023</v>
      </c>
      <c r="D145" s="18" t="n">
        <v>1.6</v>
      </c>
      <c r="E145" s="18" t="n">
        <v>0.7</v>
      </c>
      <c r="F145" s="18" t="n">
        <v>2.4</v>
      </c>
      <c r="G145" s="8" t="n">
        <v>1349.5</v>
      </c>
      <c r="H145" s="8" t="n">
        <f aca="false">H144+D145</f>
        <v>237.3</v>
      </c>
      <c r="J145" s="8" t="n">
        <v>0.2</v>
      </c>
      <c r="K145" s="8" t="n">
        <v>267.6</v>
      </c>
      <c r="L145" s="8" t="n">
        <v>0.3</v>
      </c>
      <c r="M145" s="8" t="n">
        <v>150.4</v>
      </c>
      <c r="N145" s="13" t="n">
        <v>-0.1</v>
      </c>
      <c r="O145" s="8" t="n">
        <f aca="false">O144+N145</f>
        <v>162.1</v>
      </c>
      <c r="P145" s="8" t="n">
        <v>140</v>
      </c>
      <c r="Q145" s="8" t="n">
        <v>1</v>
      </c>
      <c r="R145" s="14" t="n">
        <f aca="false">Q145*L145</f>
        <v>0.3</v>
      </c>
      <c r="S145" s="14" t="n">
        <f aca="false">J145-R145</f>
        <v>-0.1</v>
      </c>
      <c r="T145" s="14" t="n">
        <f aca="false">MIN(189.6,(T144+S145))</f>
        <v>189.5</v>
      </c>
      <c r="V145" s="15" t="n">
        <v>170.4</v>
      </c>
      <c r="W145" s="8" t="n">
        <v>106.5</v>
      </c>
      <c r="X145" s="8" t="n">
        <v>69797.4</v>
      </c>
      <c r="Y145" s="8" t="n">
        <f aca="false">Y144+V145</f>
        <v>10519.7</v>
      </c>
      <c r="AA145" s="19" t="n">
        <v>8.71894611141681</v>
      </c>
    </row>
    <row r="146" s="8" customFormat="true" ht="15" hidden="false" customHeight="false" outlineLevel="0" collapsed="false">
      <c r="A146" s="27"/>
      <c r="B146" s="28"/>
      <c r="C146" s="11" t="n">
        <v>42024</v>
      </c>
      <c r="D146" s="30" t="n">
        <v>-0.7</v>
      </c>
      <c r="E146" s="30" t="n">
        <v>-1.4</v>
      </c>
      <c r="F146" s="30" t="n">
        <v>-0.4</v>
      </c>
      <c r="G146" s="8" t="n">
        <v>1349.5</v>
      </c>
      <c r="H146" s="8" t="n">
        <v>237.3</v>
      </c>
      <c r="J146" s="8" t="n">
        <v>0</v>
      </c>
      <c r="K146" s="8" t="n">
        <v>267.6</v>
      </c>
      <c r="L146" s="8" t="n">
        <v>0.2</v>
      </c>
      <c r="M146" s="8" t="n">
        <v>150.6</v>
      </c>
      <c r="N146" s="13" t="n">
        <v>-0.2</v>
      </c>
      <c r="O146" s="8" t="n">
        <f aca="false">O145+N146</f>
        <v>161.9</v>
      </c>
      <c r="P146" s="8" t="n">
        <v>141</v>
      </c>
      <c r="Q146" s="8" t="n">
        <v>1</v>
      </c>
      <c r="R146" s="14" t="n">
        <f aca="false">Q146*L146</f>
        <v>0.2</v>
      </c>
      <c r="S146" s="14" t="n">
        <f aca="false">J146-R146</f>
        <v>-0.2</v>
      </c>
      <c r="T146" s="14" t="n">
        <f aca="false">MIN(189.6,(T145+S146))</f>
        <v>189.3</v>
      </c>
      <c r="V146" s="15" t="n">
        <v>212</v>
      </c>
      <c r="W146" s="8" t="n">
        <v>-302.857142857143</v>
      </c>
      <c r="X146" s="8" t="n">
        <v>70009.4</v>
      </c>
      <c r="Y146" s="8" t="n">
        <f aca="false">Y145+V146</f>
        <v>10731.7</v>
      </c>
      <c r="AA146" s="19" t="n">
        <v>8.75959981716926</v>
      </c>
    </row>
    <row r="147" s="8" customFormat="true" ht="15" hidden="false" customHeight="false" outlineLevel="0" collapsed="false">
      <c r="A147" s="27"/>
      <c r="B147" s="28"/>
      <c r="C147" s="11" t="n">
        <v>42025</v>
      </c>
      <c r="D147" s="30" t="n">
        <v>-0.1</v>
      </c>
      <c r="E147" s="30" t="n">
        <v>-0.7</v>
      </c>
      <c r="F147" s="18" t="n">
        <v>1</v>
      </c>
      <c r="G147" s="8" t="n">
        <v>1349.5</v>
      </c>
      <c r="H147" s="8" t="n">
        <v>237.3</v>
      </c>
      <c r="J147" s="8" t="n">
        <v>0</v>
      </c>
      <c r="K147" s="8" t="n">
        <v>267.6</v>
      </c>
      <c r="L147" s="8" t="n">
        <v>0.3</v>
      </c>
      <c r="M147" s="8" t="n">
        <v>150.9</v>
      </c>
      <c r="N147" s="13" t="n">
        <v>-0.3</v>
      </c>
      <c r="O147" s="8" t="n">
        <f aca="false">O146+N147</f>
        <v>161.6</v>
      </c>
      <c r="P147" s="8" t="n">
        <v>142</v>
      </c>
      <c r="Q147" s="8" t="n">
        <v>1</v>
      </c>
      <c r="R147" s="14" t="n">
        <f aca="false">Q147*L147</f>
        <v>0.3</v>
      </c>
      <c r="S147" s="14" t="n">
        <f aca="false">J147-R147</f>
        <v>-0.3</v>
      </c>
      <c r="T147" s="14" t="n">
        <f aca="false">MIN(189.6,(T146+S147))</f>
        <v>189</v>
      </c>
      <c r="V147" s="15" t="n">
        <v>157.9</v>
      </c>
      <c r="W147" s="8" t="n">
        <v>-1579</v>
      </c>
      <c r="X147" s="8" t="n">
        <v>70167.3</v>
      </c>
      <c r="Y147" s="8" t="n">
        <f aca="false">Y146+V147</f>
        <v>10889.6</v>
      </c>
      <c r="AA147" s="19" t="n">
        <v>8.80128064545252</v>
      </c>
    </row>
    <row r="148" s="8" customFormat="true" ht="15" hidden="false" customHeight="false" outlineLevel="0" collapsed="false">
      <c r="A148" s="27"/>
      <c r="B148" s="28"/>
      <c r="C148" s="11" t="n">
        <v>42026</v>
      </c>
      <c r="D148" s="30" t="n">
        <v>-0.8</v>
      </c>
      <c r="E148" s="30" t="n">
        <v>-2.3</v>
      </c>
      <c r="F148" s="18" t="n">
        <v>0.8</v>
      </c>
      <c r="G148" s="8" t="n">
        <v>1349.5</v>
      </c>
      <c r="H148" s="8" t="n">
        <v>237.3</v>
      </c>
      <c r="J148" s="8" t="n">
        <v>0</v>
      </c>
      <c r="K148" s="8" t="n">
        <v>267.6</v>
      </c>
      <c r="L148" s="8" t="n">
        <v>0.4</v>
      </c>
      <c r="M148" s="8" t="n">
        <v>151.3</v>
      </c>
      <c r="N148" s="13" t="n">
        <v>-0.4</v>
      </c>
      <c r="O148" s="8" t="n">
        <f aca="false">O147+N148</f>
        <v>161.2</v>
      </c>
      <c r="P148" s="8" t="n">
        <v>143</v>
      </c>
      <c r="Q148" s="8" t="n">
        <v>1</v>
      </c>
      <c r="R148" s="14" t="n">
        <f aca="false">Q148*L148</f>
        <v>0.4</v>
      </c>
      <c r="S148" s="14" t="n">
        <f aca="false">J148-R148</f>
        <v>-0.4</v>
      </c>
      <c r="T148" s="14" t="n">
        <f aca="false">MIN(189.6,(T147+S148))</f>
        <v>188.6</v>
      </c>
      <c r="V148" s="15" t="n">
        <v>423.8</v>
      </c>
      <c r="W148" s="8" t="n">
        <v>-529.75</v>
      </c>
      <c r="X148" s="8" t="n">
        <v>70591.1</v>
      </c>
      <c r="Y148" s="8" t="n">
        <f aca="false">Y147+V148</f>
        <v>11313.4</v>
      </c>
      <c r="AA148" s="19" t="n">
        <v>8.843955490608</v>
      </c>
    </row>
    <row r="149" s="8" customFormat="true" ht="15" hidden="false" customHeight="false" outlineLevel="0" collapsed="false">
      <c r="A149" s="27"/>
      <c r="B149" s="28"/>
      <c r="C149" s="11" t="n">
        <v>42027</v>
      </c>
      <c r="D149" s="30" t="n">
        <v>-0.3</v>
      </c>
      <c r="E149" s="30" t="n">
        <v>-1.1</v>
      </c>
      <c r="F149" s="18" t="n">
        <v>1</v>
      </c>
      <c r="G149" s="8" t="n">
        <v>1349.5</v>
      </c>
      <c r="H149" s="8" t="n">
        <v>237.3</v>
      </c>
      <c r="J149" s="8" t="n">
        <v>1.9</v>
      </c>
      <c r="K149" s="8" t="n">
        <v>269.5</v>
      </c>
      <c r="L149" s="8" t="n">
        <v>0.6</v>
      </c>
      <c r="M149" s="8" t="n">
        <v>151.9</v>
      </c>
      <c r="N149" s="8" t="n">
        <v>1.3</v>
      </c>
      <c r="O149" s="8" t="n">
        <f aca="false">O148+N149</f>
        <v>162.5</v>
      </c>
      <c r="P149" s="8" t="n">
        <v>144</v>
      </c>
      <c r="Q149" s="8" t="n">
        <v>1</v>
      </c>
      <c r="R149" s="14" t="n">
        <f aca="false">Q149*L149</f>
        <v>0.6</v>
      </c>
      <c r="S149" s="14" t="n">
        <f aca="false">J149-R149</f>
        <v>1.3</v>
      </c>
      <c r="T149" s="14" t="n">
        <f aca="false">MIN(189.6,(T148+S149))</f>
        <v>189.6</v>
      </c>
      <c r="V149" s="15" t="n">
        <v>555.5</v>
      </c>
      <c r="W149" s="8" t="n">
        <v>-1851.66666666667</v>
      </c>
      <c r="X149" s="8" t="n">
        <v>71146.6</v>
      </c>
      <c r="Y149" s="8" t="n">
        <f aca="false">Y148+V149</f>
        <v>11868.9</v>
      </c>
      <c r="AA149" s="19" t="n">
        <v>8.88759141097181</v>
      </c>
    </row>
    <row r="150" s="8" customFormat="true" ht="15" hidden="false" customHeight="false" outlineLevel="0" collapsed="false">
      <c r="A150" s="27"/>
      <c r="B150" s="28"/>
      <c r="C150" s="11" t="n">
        <v>42028</v>
      </c>
      <c r="D150" s="18" t="n">
        <v>1.7</v>
      </c>
      <c r="E150" s="30" t="n">
        <v>-1.2</v>
      </c>
      <c r="F150" s="8" t="n">
        <v>5.1</v>
      </c>
      <c r="G150" s="8" t="n">
        <v>1351.2</v>
      </c>
      <c r="H150" s="8" t="n">
        <f aca="false">H149+D150</f>
        <v>239</v>
      </c>
      <c r="J150" s="8" t="n">
        <v>0.6</v>
      </c>
      <c r="K150" s="8" t="n">
        <v>270.1</v>
      </c>
      <c r="L150" s="8" t="n">
        <v>0.7</v>
      </c>
      <c r="M150" s="8" t="n">
        <v>152.6</v>
      </c>
      <c r="N150" s="13" t="n">
        <v>-0.1</v>
      </c>
      <c r="O150" s="8" t="n">
        <f aca="false">O149+N150</f>
        <v>162.4</v>
      </c>
      <c r="P150" s="8" t="n">
        <v>145</v>
      </c>
      <c r="Q150" s="8" t="n">
        <v>1</v>
      </c>
      <c r="R150" s="14" t="n">
        <f aca="false">Q150*L150</f>
        <v>0.7</v>
      </c>
      <c r="S150" s="14" t="n">
        <f aca="false">J150-R150</f>
        <v>-0.1</v>
      </c>
      <c r="T150" s="14" t="n">
        <f aca="false">MIN(189.6,(T149+S150))</f>
        <v>189.5</v>
      </c>
      <c r="V150" s="15" t="n">
        <v>418.6</v>
      </c>
      <c r="W150" s="8" t="n">
        <v>246.235294117647</v>
      </c>
      <c r="X150" s="8" t="n">
        <v>71565.2</v>
      </c>
      <c r="Y150" s="8" t="n">
        <f aca="false">Y149+V150</f>
        <v>12287.5</v>
      </c>
      <c r="AA150" s="19" t="n">
        <v>8.93215569582119</v>
      </c>
    </row>
    <row r="151" s="8" customFormat="true" ht="15" hidden="false" customHeight="false" outlineLevel="0" collapsed="false">
      <c r="A151" s="27"/>
      <c r="B151" s="28"/>
      <c r="C151" s="11" t="n">
        <v>42029</v>
      </c>
      <c r="D151" s="18" t="n">
        <v>2.6</v>
      </c>
      <c r="E151" s="18" t="n">
        <v>0.2</v>
      </c>
      <c r="F151" s="8" t="n">
        <v>5.8</v>
      </c>
      <c r="G151" s="8" t="n">
        <v>1353.8</v>
      </c>
      <c r="H151" s="8" t="n">
        <f aca="false">H150+D151</f>
        <v>241.6</v>
      </c>
      <c r="J151" s="8" t="n">
        <v>0.7</v>
      </c>
      <c r="K151" s="8" t="n">
        <v>270.8</v>
      </c>
      <c r="L151" s="8" t="n">
        <v>0.4</v>
      </c>
      <c r="M151" s="8" t="n">
        <v>153</v>
      </c>
      <c r="N151" s="8" t="n">
        <v>0.3</v>
      </c>
      <c r="O151" s="8" t="n">
        <f aca="false">O150+N151</f>
        <v>162.7</v>
      </c>
      <c r="P151" s="8" t="n">
        <v>146</v>
      </c>
      <c r="Q151" s="8" t="n">
        <v>1</v>
      </c>
      <c r="R151" s="14" t="n">
        <f aca="false">Q151*L151</f>
        <v>0.4</v>
      </c>
      <c r="S151" s="14" t="n">
        <f aca="false">J151-R151</f>
        <v>0.3</v>
      </c>
      <c r="T151" s="14" t="n">
        <f aca="false">MIN(189.6,(T150+S151))</f>
        <v>189.6</v>
      </c>
      <c r="V151" s="15" t="n">
        <v>154.2</v>
      </c>
      <c r="W151" s="8" t="n">
        <v>59.3076923076923</v>
      </c>
      <c r="X151" s="8" t="n">
        <v>71719.4</v>
      </c>
      <c r="Y151" s="8" t="n">
        <f aca="false">Y150+V151</f>
        <v>12441.7</v>
      </c>
      <c r="AA151" s="19" t="n">
        <v>8.9776159277803</v>
      </c>
    </row>
    <row r="152" s="8" customFormat="true" ht="15" hidden="false" customHeight="false" outlineLevel="0" collapsed="false">
      <c r="A152" s="27"/>
      <c r="B152" s="10"/>
      <c r="C152" s="11" t="n">
        <v>42030</v>
      </c>
      <c r="D152" s="8" t="n">
        <v>6.3</v>
      </c>
      <c r="E152" s="18" t="n">
        <v>4.2</v>
      </c>
      <c r="F152" s="8" t="n">
        <v>8.4</v>
      </c>
      <c r="G152" s="8" t="n">
        <v>1360.1</v>
      </c>
      <c r="H152" s="8" t="n">
        <f aca="false">H151+D152</f>
        <v>247.9</v>
      </c>
      <c r="J152" s="8" t="n">
        <v>1.4</v>
      </c>
      <c r="K152" s="8" t="n">
        <v>272.2</v>
      </c>
      <c r="L152" s="8" t="n">
        <v>0.3</v>
      </c>
      <c r="M152" s="8" t="n">
        <v>153.3</v>
      </c>
      <c r="N152" s="8" t="n">
        <v>1.1</v>
      </c>
      <c r="O152" s="8" t="n">
        <f aca="false">O151+N152</f>
        <v>163.8</v>
      </c>
      <c r="P152" s="8" t="n">
        <v>147</v>
      </c>
      <c r="Q152" s="8" t="n">
        <v>1</v>
      </c>
      <c r="R152" s="14" t="n">
        <f aca="false">Q152*L152</f>
        <v>0.3</v>
      </c>
      <c r="S152" s="14" t="n">
        <f aca="false">J152-R152</f>
        <v>1.1</v>
      </c>
      <c r="T152" s="14" t="n">
        <f aca="false">MIN(189.6,(T151+S152))</f>
        <v>189.6</v>
      </c>
      <c r="V152" s="15" t="n">
        <v>144.7</v>
      </c>
      <c r="W152" s="8" t="n">
        <v>22.968253968254</v>
      </c>
      <c r="X152" s="8" t="n">
        <v>71864.1</v>
      </c>
      <c r="Y152" s="8" t="n">
        <f aca="false">Y151+V152</f>
        <v>12586.4</v>
      </c>
      <c r="AA152" s="8" t="n">
        <v>9.02394004064672</v>
      </c>
    </row>
    <row r="153" s="8" customFormat="true" ht="15" hidden="false" customHeight="false" outlineLevel="0" collapsed="false">
      <c r="A153" s="27"/>
      <c r="B153" s="10"/>
      <c r="C153" s="11" t="n">
        <v>42031</v>
      </c>
      <c r="D153" s="18" t="n">
        <v>3.9</v>
      </c>
      <c r="E153" s="18" t="n">
        <v>0.9</v>
      </c>
      <c r="F153" s="8" t="n">
        <v>5.8</v>
      </c>
      <c r="G153" s="8" t="n">
        <v>1364</v>
      </c>
      <c r="H153" s="8" t="n">
        <f aca="false">H152+D153</f>
        <v>251.8</v>
      </c>
      <c r="J153" s="8" t="n">
        <v>0</v>
      </c>
      <c r="K153" s="8" t="n">
        <v>272.2</v>
      </c>
      <c r="L153" s="8" t="n">
        <v>0.4</v>
      </c>
      <c r="M153" s="8" t="n">
        <v>153.7</v>
      </c>
      <c r="N153" s="13" t="n">
        <v>-0.4</v>
      </c>
      <c r="O153" s="8" t="n">
        <f aca="false">O152+N153</f>
        <v>163.4</v>
      </c>
      <c r="P153" s="8" t="n">
        <v>148</v>
      </c>
      <c r="Q153" s="8" t="n">
        <v>1</v>
      </c>
      <c r="R153" s="14" t="n">
        <f aca="false">Q153*L153</f>
        <v>0.4</v>
      </c>
      <c r="S153" s="14" t="n">
        <f aca="false">J153-R153</f>
        <v>-0.4</v>
      </c>
      <c r="T153" s="14" t="n">
        <f aca="false">MIN(189.6,(T152+S153))</f>
        <v>189.2</v>
      </c>
      <c r="V153" s="15" t="n">
        <v>279</v>
      </c>
      <c r="W153" s="8" t="n">
        <v>71.5384615384615</v>
      </c>
      <c r="X153" s="8" t="n">
        <v>72143.1</v>
      </c>
      <c r="Y153" s="8" t="n">
        <f aca="false">Y152+V153</f>
        <v>12865.4</v>
      </c>
      <c r="AA153" s="8" t="n">
        <v>9.07109637263594</v>
      </c>
    </row>
    <row r="154" s="8" customFormat="true" ht="15" hidden="false" customHeight="false" outlineLevel="0" collapsed="false">
      <c r="A154" s="27"/>
      <c r="B154" s="10" t="n">
        <v>8</v>
      </c>
      <c r="C154" s="11" t="n">
        <v>42032</v>
      </c>
      <c r="D154" s="8" t="n">
        <v>5.2</v>
      </c>
      <c r="E154" s="18" t="n">
        <v>4.8</v>
      </c>
      <c r="F154" s="8" t="n">
        <v>6.4</v>
      </c>
      <c r="G154" s="8" t="n">
        <v>1369.2</v>
      </c>
      <c r="H154" s="8" t="n">
        <f aca="false">H153+D154</f>
        <v>257</v>
      </c>
      <c r="J154" s="8" t="n">
        <v>3.1</v>
      </c>
      <c r="K154" s="8" t="n">
        <v>275.3</v>
      </c>
      <c r="L154" s="8" t="n">
        <v>0.8</v>
      </c>
      <c r="M154" s="8" t="n">
        <v>154.5</v>
      </c>
      <c r="N154" s="8" t="n">
        <v>2.3</v>
      </c>
      <c r="O154" s="8" t="n">
        <f aca="false">O153+N154</f>
        <v>165.7</v>
      </c>
      <c r="P154" s="8" t="n">
        <v>149</v>
      </c>
      <c r="Q154" s="8" t="n">
        <v>1</v>
      </c>
      <c r="R154" s="14" t="n">
        <f aca="false">Q154*L154</f>
        <v>0.8</v>
      </c>
      <c r="S154" s="14" t="n">
        <f aca="false">J154-R154</f>
        <v>2.3</v>
      </c>
      <c r="T154" s="14" t="n">
        <f aca="false">MIN(189.6,(T153+S154))</f>
        <v>189.6</v>
      </c>
      <c r="V154" s="15" t="n">
        <v>186.9</v>
      </c>
      <c r="W154" s="8" t="n">
        <v>35.9423076923077</v>
      </c>
      <c r="X154" s="8" t="n">
        <v>72330</v>
      </c>
      <c r="Y154" s="8" t="n">
        <f aca="false">Y153+V154</f>
        <v>13052.3</v>
      </c>
      <c r="AA154" s="8" t="n">
        <v>9.1190537150738</v>
      </c>
    </row>
    <row r="155" s="8" customFormat="true" ht="15" hidden="false" customHeight="false" outlineLevel="0" collapsed="false">
      <c r="A155" s="27"/>
      <c r="B155" s="10"/>
      <c r="C155" s="11" t="n">
        <v>42033</v>
      </c>
      <c r="D155" s="18" t="n">
        <v>3</v>
      </c>
      <c r="E155" s="18" t="n">
        <v>2.5</v>
      </c>
      <c r="F155" s="18" t="n">
        <v>4.4</v>
      </c>
      <c r="G155" s="8" t="n">
        <v>1372.2</v>
      </c>
      <c r="H155" s="8" t="n">
        <f aca="false">H154+D155</f>
        <v>260</v>
      </c>
      <c r="J155" s="8" t="n">
        <v>6.1</v>
      </c>
      <c r="K155" s="8" t="n">
        <v>281.4</v>
      </c>
      <c r="L155" s="8" t="n">
        <v>0.6</v>
      </c>
      <c r="M155" s="8" t="n">
        <v>155.1</v>
      </c>
      <c r="N155" s="8" t="n">
        <v>5.5</v>
      </c>
      <c r="O155" s="8" t="n">
        <f aca="false">O154+N155</f>
        <v>171.2</v>
      </c>
      <c r="P155" s="8" t="n">
        <v>150</v>
      </c>
      <c r="Q155" s="8" t="n">
        <v>1</v>
      </c>
      <c r="R155" s="14" t="n">
        <f aca="false">Q155*L155</f>
        <v>0.6</v>
      </c>
      <c r="S155" s="14" t="n">
        <f aca="false">J155-R155</f>
        <v>5.5</v>
      </c>
      <c r="T155" s="14" t="n">
        <f aca="false">MIN(189.6,(T154+S155))</f>
        <v>189.6</v>
      </c>
      <c r="V155" s="15" t="n">
        <v>150.6</v>
      </c>
      <c r="W155" s="8" t="n">
        <v>50.2</v>
      </c>
      <c r="X155" s="8" t="n">
        <v>72480.6</v>
      </c>
      <c r="Y155" s="8" t="n">
        <f aca="false">Y154+V155</f>
        <v>13202.9</v>
      </c>
      <c r="AA155" s="8" t="n">
        <v>9.16778135659601</v>
      </c>
    </row>
    <row r="156" s="8" customFormat="true" ht="15" hidden="false" customHeight="false" outlineLevel="0" collapsed="false">
      <c r="A156" s="27"/>
      <c r="B156" s="10"/>
      <c r="C156" s="11" t="n">
        <v>42034</v>
      </c>
      <c r="D156" s="18" t="n">
        <v>1.4</v>
      </c>
      <c r="E156" s="18" t="n">
        <v>0.6</v>
      </c>
      <c r="F156" s="18" t="n">
        <v>2</v>
      </c>
      <c r="G156" s="8" t="n">
        <v>1373.6</v>
      </c>
      <c r="H156" s="8" t="n">
        <f aca="false">H155+D156</f>
        <v>261.4</v>
      </c>
      <c r="J156" s="8" t="n">
        <v>2.9</v>
      </c>
      <c r="K156" s="8" t="n">
        <v>284.3</v>
      </c>
      <c r="L156" s="8" t="n">
        <v>0.3</v>
      </c>
      <c r="M156" s="8" t="n">
        <v>155.4</v>
      </c>
      <c r="N156" s="8" t="n">
        <v>2.6</v>
      </c>
      <c r="O156" s="8" t="n">
        <f aca="false">O155+N156</f>
        <v>173.8</v>
      </c>
      <c r="P156" s="8" t="n">
        <v>151</v>
      </c>
      <c r="Q156" s="8" t="n">
        <v>1</v>
      </c>
      <c r="R156" s="14" t="n">
        <f aca="false">Q156*L156</f>
        <v>0.3</v>
      </c>
      <c r="S156" s="14" t="n">
        <f aca="false">J156-R156</f>
        <v>2.6</v>
      </c>
      <c r="T156" s="14" t="n">
        <f aca="false">MIN(189.6,(T155+S156))</f>
        <v>189.6</v>
      </c>
      <c r="V156" s="15" t="n">
        <v>203.8</v>
      </c>
      <c r="W156" s="8" t="n">
        <v>145.571428571429</v>
      </c>
      <c r="X156" s="8" t="n">
        <v>72684.4</v>
      </c>
      <c r="Y156" s="8" t="n">
        <f aca="false">Y155+V156</f>
        <v>13406.7</v>
      </c>
      <c r="AA156" s="8" t="n">
        <v>9.21724912294005</v>
      </c>
    </row>
    <row r="157" s="8" customFormat="true" ht="15" hidden="false" customHeight="false" outlineLevel="0" collapsed="false">
      <c r="A157" s="27"/>
      <c r="B157" s="10"/>
      <c r="C157" s="11" t="n">
        <v>42035</v>
      </c>
      <c r="D157" s="18" t="n">
        <v>1.7</v>
      </c>
      <c r="E157" s="18" t="n">
        <v>0.1</v>
      </c>
      <c r="F157" s="18" t="n">
        <v>3.1</v>
      </c>
      <c r="G157" s="8" t="n">
        <v>1375.3</v>
      </c>
      <c r="H157" s="8" t="n">
        <f aca="false">H156+D157</f>
        <v>263.1</v>
      </c>
      <c r="J157" s="8" t="n">
        <v>1.3</v>
      </c>
      <c r="K157" s="8" t="n">
        <v>285.6</v>
      </c>
      <c r="L157" s="8" t="n">
        <v>0.2</v>
      </c>
      <c r="M157" s="8" t="n">
        <v>155.6</v>
      </c>
      <c r="N157" s="8" t="n">
        <v>1.1</v>
      </c>
      <c r="O157" s="8" t="n">
        <f aca="false">O156+N157</f>
        <v>174.9</v>
      </c>
      <c r="P157" s="8" t="n">
        <v>152</v>
      </c>
      <c r="Q157" s="8" t="n">
        <v>1</v>
      </c>
      <c r="R157" s="14" t="n">
        <f aca="false">Q157*L157</f>
        <v>0.2</v>
      </c>
      <c r="S157" s="14" t="n">
        <f aca="false">J157-R157</f>
        <v>1.1</v>
      </c>
      <c r="T157" s="14" t="n">
        <f aca="false">MIN(189.6,(T156+S157))</f>
        <v>189.6</v>
      </c>
      <c r="V157" s="15" t="n">
        <v>125</v>
      </c>
      <c r="W157" s="8" t="n">
        <v>73.5294117647059</v>
      </c>
      <c r="X157" s="8" t="n">
        <v>72809.4</v>
      </c>
      <c r="Y157" s="8" t="n">
        <f aca="false">Y156+V157</f>
        <v>13531.7</v>
      </c>
      <c r="AA157" s="8" t="n">
        <v>9.2674274124374</v>
      </c>
    </row>
    <row r="158" s="8" customFormat="true" ht="15" hidden="false" customHeight="false" outlineLevel="0" collapsed="false">
      <c r="A158" s="27"/>
      <c r="B158" s="10"/>
      <c r="C158" s="11" t="n">
        <v>42036</v>
      </c>
      <c r="D158" s="18" t="n">
        <v>3</v>
      </c>
      <c r="E158" s="18" t="n">
        <v>1.9</v>
      </c>
      <c r="F158" s="18" t="n">
        <v>3.9</v>
      </c>
      <c r="G158" s="8" t="n">
        <v>1378.3</v>
      </c>
      <c r="H158" s="8" t="n">
        <f aca="false">H157+D158</f>
        <v>266.1</v>
      </c>
      <c r="J158" s="8" t="n">
        <v>0.8</v>
      </c>
      <c r="K158" s="8" t="n">
        <v>286.4</v>
      </c>
      <c r="L158" s="8" t="n">
        <v>0.6</v>
      </c>
      <c r="M158" s="8" t="n">
        <v>156.2</v>
      </c>
      <c r="N158" s="8" t="n">
        <v>0.2</v>
      </c>
      <c r="O158" s="8" t="n">
        <f aca="false">O157+N158</f>
        <v>175.1</v>
      </c>
      <c r="P158" s="8" t="n">
        <v>153</v>
      </c>
      <c r="Q158" s="8" t="n">
        <v>1</v>
      </c>
      <c r="R158" s="14" t="n">
        <f aca="false">Q158*L158</f>
        <v>0.6</v>
      </c>
      <c r="S158" s="14" t="n">
        <f aca="false">J158-R158</f>
        <v>0.2</v>
      </c>
      <c r="T158" s="14" t="n">
        <f aca="false">MIN(189.6,(T157+S158))</f>
        <v>189.6</v>
      </c>
      <c r="V158" s="15" t="n">
        <v>173.5</v>
      </c>
      <c r="W158" s="8" t="n">
        <v>57.8333333333333</v>
      </c>
      <c r="X158" s="8" t="n">
        <v>72982.9</v>
      </c>
      <c r="Y158" s="8" t="n">
        <f aca="false">Y157+V158</f>
        <v>13705.2</v>
      </c>
      <c r="AA158" s="8" t="n">
        <v>9.31828722733351</v>
      </c>
    </row>
    <row r="159" s="8" customFormat="true" ht="15" hidden="false" customHeight="false" outlineLevel="0" collapsed="false">
      <c r="A159" s="27"/>
      <c r="B159" s="10"/>
      <c r="C159" s="11" t="n">
        <v>42037</v>
      </c>
      <c r="D159" s="18" t="n">
        <v>1.2</v>
      </c>
      <c r="E159" s="18" t="n">
        <v>0.7</v>
      </c>
      <c r="F159" s="18" t="n">
        <v>2.9</v>
      </c>
      <c r="G159" s="8" t="n">
        <v>1379.5</v>
      </c>
      <c r="H159" s="8" t="n">
        <f aca="false">H158+D159</f>
        <v>267.3</v>
      </c>
      <c r="J159" s="8" t="n">
        <v>0</v>
      </c>
      <c r="K159" s="8" t="n">
        <v>286.4</v>
      </c>
      <c r="L159" s="8" t="n">
        <v>0.8</v>
      </c>
      <c r="M159" s="8" t="n">
        <v>157</v>
      </c>
      <c r="N159" s="13" t="n">
        <v>-0.8</v>
      </c>
      <c r="O159" s="8" t="n">
        <f aca="false">O158+N159</f>
        <v>174.3</v>
      </c>
      <c r="P159" s="8" t="n">
        <v>154</v>
      </c>
      <c r="Q159" s="8" t="n">
        <v>1</v>
      </c>
      <c r="R159" s="14" t="n">
        <f aca="false">Q159*L159</f>
        <v>0.8</v>
      </c>
      <c r="S159" s="14" t="n">
        <f aca="false">J159-R159</f>
        <v>-0.8</v>
      </c>
      <c r="T159" s="14" t="n">
        <f aca="false">MIN(189.6,(T158+S159))</f>
        <v>188.8</v>
      </c>
      <c r="V159" s="15" t="n">
        <v>647.6</v>
      </c>
      <c r="W159" s="8" t="n">
        <v>539.666666666667</v>
      </c>
      <c r="X159" s="8" t="n">
        <v>73630.5</v>
      </c>
      <c r="Y159" s="8" t="n">
        <f aca="false">Y158+V159</f>
        <v>14352.8</v>
      </c>
      <c r="AA159" s="8" t="n">
        <v>9.36980020107949</v>
      </c>
    </row>
    <row r="160" s="8" customFormat="true" ht="15" hidden="false" customHeight="false" outlineLevel="0" collapsed="false">
      <c r="A160" s="27"/>
      <c r="B160" s="10"/>
      <c r="C160" s="11" t="n">
        <v>42038</v>
      </c>
      <c r="D160" s="18" t="n">
        <v>0.5</v>
      </c>
      <c r="E160" s="30" t="n">
        <v>-1.1</v>
      </c>
      <c r="F160" s="18" t="n">
        <v>2.2</v>
      </c>
      <c r="G160" s="8" t="n">
        <v>1380</v>
      </c>
      <c r="H160" s="8" t="n">
        <f aca="false">H159+D160</f>
        <v>267.8</v>
      </c>
      <c r="J160" s="8" t="n">
        <v>0</v>
      </c>
      <c r="K160" s="8" t="n">
        <v>286.4</v>
      </c>
      <c r="L160" s="8" t="n">
        <v>0.3</v>
      </c>
      <c r="M160" s="8" t="n">
        <v>157.3</v>
      </c>
      <c r="N160" s="13" t="n">
        <v>-0.3</v>
      </c>
      <c r="O160" s="8" t="n">
        <f aca="false">O159+N160</f>
        <v>174</v>
      </c>
      <c r="P160" s="8" t="n">
        <v>155</v>
      </c>
      <c r="Q160" s="8" t="n">
        <v>1</v>
      </c>
      <c r="R160" s="14" t="n">
        <f aca="false">Q160*L160</f>
        <v>0.3</v>
      </c>
      <c r="S160" s="14" t="n">
        <f aca="false">J160-R160</f>
        <v>-0.3</v>
      </c>
      <c r="T160" s="14" t="n">
        <f aca="false">MIN(189.6,(T159+S160))</f>
        <v>188.5</v>
      </c>
      <c r="V160" s="15" t="n">
        <v>449.9</v>
      </c>
      <c r="W160" s="8" t="n">
        <v>899.8</v>
      </c>
      <c r="X160" s="8" t="n">
        <v>74080.4</v>
      </c>
      <c r="Y160" s="8" t="n">
        <f aca="false">Y159+V160</f>
        <v>14802.7</v>
      </c>
      <c r="AA160" s="8" t="n">
        <v>9.42193862175289</v>
      </c>
    </row>
    <row r="161" s="8" customFormat="true" ht="15" hidden="false" customHeight="false" outlineLevel="0" collapsed="false">
      <c r="A161" s="27"/>
      <c r="B161" s="10" t="n">
        <v>9</v>
      </c>
      <c r="C161" s="11" t="n">
        <v>42039</v>
      </c>
      <c r="D161" s="18" t="n">
        <v>1.2</v>
      </c>
      <c r="E161" s="30" t="n">
        <v>-1</v>
      </c>
      <c r="F161" s="18" t="n">
        <v>3.1</v>
      </c>
      <c r="G161" s="8" t="n">
        <v>1381.2</v>
      </c>
      <c r="H161" s="8" t="n">
        <f aca="false">H160+D161</f>
        <v>269</v>
      </c>
      <c r="J161" s="8" t="n">
        <v>0</v>
      </c>
      <c r="K161" s="8" t="n">
        <v>286.4</v>
      </c>
      <c r="L161" s="8" t="n">
        <v>0.8</v>
      </c>
      <c r="M161" s="8" t="n">
        <v>158.1</v>
      </c>
      <c r="N161" s="13" t="n">
        <v>-0.8</v>
      </c>
      <c r="O161" s="8" t="n">
        <f aca="false">O160+N161</f>
        <v>173.2</v>
      </c>
      <c r="P161" s="8" t="n">
        <v>156</v>
      </c>
      <c r="Q161" s="8" t="n">
        <v>1</v>
      </c>
      <c r="R161" s="14" t="n">
        <f aca="false">Q161*L161</f>
        <v>0.8</v>
      </c>
      <c r="S161" s="14" t="n">
        <f aca="false">J161-R161</f>
        <v>-0.8</v>
      </c>
      <c r="T161" s="14" t="n">
        <f aca="false">MIN(189.6,(T160+S161))</f>
        <v>187.7</v>
      </c>
      <c r="V161" s="15" t="n">
        <v>853.6</v>
      </c>
      <c r="W161" s="8" t="n">
        <v>711.333333333333</v>
      </c>
      <c r="X161" s="8" t="n">
        <v>74934</v>
      </c>
      <c r="Y161" s="8" t="n">
        <f aca="false">Y160+V161</f>
        <v>15656.3</v>
      </c>
      <c r="AA161" s="8" t="n">
        <v>9.47467545177604</v>
      </c>
    </row>
    <row r="162" s="8" customFormat="true" ht="15" hidden="false" customHeight="false" outlineLevel="0" collapsed="false">
      <c r="A162" s="27"/>
      <c r="B162" s="10"/>
      <c r="C162" s="11" t="n">
        <v>42040</v>
      </c>
      <c r="D162" s="30" t="n">
        <v>-0.1</v>
      </c>
      <c r="E162" s="30" t="n">
        <v>-0.8</v>
      </c>
      <c r="F162" s="18" t="n">
        <v>0.9</v>
      </c>
      <c r="G162" s="8" t="n">
        <v>1381.2</v>
      </c>
      <c r="H162" s="8" t="n">
        <v>269</v>
      </c>
      <c r="J162" s="8" t="n">
        <v>0</v>
      </c>
      <c r="K162" s="8" t="n">
        <v>286.4</v>
      </c>
      <c r="L162" s="8" t="n">
        <v>0.5</v>
      </c>
      <c r="M162" s="8" t="n">
        <v>158.6</v>
      </c>
      <c r="N162" s="13" t="n">
        <v>-0.5</v>
      </c>
      <c r="O162" s="8" t="n">
        <f aca="false">O161+N162</f>
        <v>172.7</v>
      </c>
      <c r="P162" s="8" t="n">
        <v>157</v>
      </c>
      <c r="Q162" s="8" t="n">
        <v>1</v>
      </c>
      <c r="R162" s="14" t="n">
        <f aca="false">Q162*L162</f>
        <v>0.5</v>
      </c>
      <c r="S162" s="14" t="n">
        <f aca="false">J162-R162</f>
        <v>-0.5</v>
      </c>
      <c r="T162" s="14" t="n">
        <f aca="false">MIN(189.6,(T161+S162))</f>
        <v>187.2</v>
      </c>
      <c r="V162" s="15" t="n">
        <v>331.2</v>
      </c>
      <c r="W162" s="8" t="n">
        <v>-3312</v>
      </c>
      <c r="X162" s="8" t="n">
        <v>75265.2</v>
      </c>
      <c r="Y162" s="8" t="n">
        <f aca="false">Y161+V162</f>
        <v>15987.5</v>
      </c>
      <c r="AA162" s="8" t="n">
        <v>9.52798434410822</v>
      </c>
    </row>
    <row r="163" s="8" customFormat="true" ht="15" hidden="false" customHeight="false" outlineLevel="0" collapsed="false">
      <c r="A163" s="27"/>
      <c r="B163" s="10"/>
      <c r="C163" s="11" t="n">
        <v>42041</v>
      </c>
      <c r="D163" s="30" t="n">
        <v>-0.7</v>
      </c>
      <c r="E163" s="30" t="n">
        <v>-1.4</v>
      </c>
      <c r="F163" s="18" t="n">
        <v>0.4</v>
      </c>
      <c r="G163" s="8" t="n">
        <v>1381.2</v>
      </c>
      <c r="H163" s="8" t="n">
        <v>269</v>
      </c>
      <c r="J163" s="8" t="n">
        <v>0</v>
      </c>
      <c r="K163" s="8" t="n">
        <v>286.4</v>
      </c>
      <c r="L163" s="8" t="n">
        <v>1.1</v>
      </c>
      <c r="M163" s="8" t="n">
        <v>159.7</v>
      </c>
      <c r="N163" s="13" t="n">
        <v>-1.1</v>
      </c>
      <c r="O163" s="8" t="n">
        <f aca="false">O162+N163</f>
        <v>171.6</v>
      </c>
      <c r="P163" s="8" t="n">
        <v>158</v>
      </c>
      <c r="Q163" s="8" t="n">
        <v>1</v>
      </c>
      <c r="R163" s="14" t="n">
        <f aca="false">Q163*L163</f>
        <v>1.1</v>
      </c>
      <c r="S163" s="14" t="n">
        <f aca="false">J163-R163</f>
        <v>-1.1</v>
      </c>
      <c r="T163" s="14" t="n">
        <f aca="false">MIN(189.6,(T162+S163))</f>
        <v>186.1</v>
      </c>
      <c r="V163" s="15" t="n">
        <v>387</v>
      </c>
      <c r="W163" s="8" t="n">
        <v>-552.857142857143</v>
      </c>
      <c r="X163" s="8" t="n">
        <v>75652.2</v>
      </c>
      <c r="Y163" s="8" t="n">
        <f aca="false">Y162+V163</f>
        <v>16374.5</v>
      </c>
      <c r="AA163" s="8" t="n">
        <v>9.58183965509436</v>
      </c>
    </row>
    <row r="164" s="8" customFormat="true" ht="15" hidden="false" customHeight="false" outlineLevel="0" collapsed="false">
      <c r="A164" s="27"/>
      <c r="B164" s="10"/>
      <c r="C164" s="11" t="n">
        <v>42042</v>
      </c>
      <c r="D164" s="18" t="n">
        <v>1.1</v>
      </c>
      <c r="E164" s="30" t="n">
        <v>-2.6</v>
      </c>
      <c r="F164" s="18" t="n">
        <v>3.7</v>
      </c>
      <c r="G164" s="8" t="n">
        <v>1382.3</v>
      </c>
      <c r="H164" s="8" t="n">
        <f aca="false">H163+D164</f>
        <v>270.1</v>
      </c>
      <c r="J164" s="8" t="n">
        <v>0</v>
      </c>
      <c r="K164" s="8" t="n">
        <v>286.4</v>
      </c>
      <c r="L164" s="8" t="n">
        <v>0.9</v>
      </c>
      <c r="M164" s="8" t="n">
        <v>160.6</v>
      </c>
      <c r="N164" s="13" t="n">
        <v>-0.9</v>
      </c>
      <c r="O164" s="8" t="n">
        <f aca="false">O163+N164</f>
        <v>170.7</v>
      </c>
      <c r="P164" s="8" t="n">
        <v>159</v>
      </c>
      <c r="Q164" s="8" t="n">
        <v>1</v>
      </c>
      <c r="R164" s="14" t="n">
        <f aca="false">Q164*L164</f>
        <v>0.9</v>
      </c>
      <c r="S164" s="14" t="n">
        <f aca="false">J164-R164</f>
        <v>-0.9</v>
      </c>
      <c r="T164" s="14" t="n">
        <f aca="false">MIN(189.6,(T163+S164))</f>
        <v>185.2</v>
      </c>
      <c r="V164" s="15" t="n">
        <v>790.3</v>
      </c>
      <c r="W164" s="8" t="n">
        <v>718.454545454545</v>
      </c>
      <c r="X164" s="8" t="n">
        <v>76442.5</v>
      </c>
      <c r="Y164" s="8" t="n">
        <f aca="false">Y163+V164</f>
        <v>17164.8</v>
      </c>
      <c r="AA164" s="8" t="n">
        <v>9.63621645415633</v>
      </c>
    </row>
    <row r="165" s="8" customFormat="true" ht="15" hidden="false" customHeight="false" outlineLevel="0" collapsed="false">
      <c r="A165" s="27"/>
      <c r="B165" s="10"/>
      <c r="C165" s="11" t="n">
        <v>42043</v>
      </c>
      <c r="D165" s="18" t="n">
        <v>3.6</v>
      </c>
      <c r="E165" s="18" t="n">
        <v>2.8</v>
      </c>
      <c r="F165" s="8" t="n">
        <v>5.5</v>
      </c>
      <c r="G165" s="8" t="n">
        <v>1385.9</v>
      </c>
      <c r="H165" s="8" t="n">
        <f aca="false">H164+D165</f>
        <v>273.7</v>
      </c>
      <c r="J165" s="8" t="n">
        <v>0</v>
      </c>
      <c r="K165" s="8" t="n">
        <v>286.4</v>
      </c>
      <c r="L165" s="8" t="n">
        <v>0.9</v>
      </c>
      <c r="M165" s="8" t="n">
        <v>161.5</v>
      </c>
      <c r="N165" s="13" t="n">
        <v>-0.9</v>
      </c>
      <c r="O165" s="8" t="n">
        <f aca="false">O164+N165</f>
        <v>169.8</v>
      </c>
      <c r="P165" s="8" t="n">
        <v>160</v>
      </c>
      <c r="Q165" s="8" t="n">
        <v>1</v>
      </c>
      <c r="R165" s="14" t="n">
        <f aca="false">Q165*L165</f>
        <v>0.9</v>
      </c>
      <c r="S165" s="14" t="n">
        <f aca="false">J165-R165</f>
        <v>-0.9</v>
      </c>
      <c r="T165" s="14" t="n">
        <f aca="false">MIN(189.6,(T164+S165))</f>
        <v>184.3</v>
      </c>
      <c r="V165" s="15" t="n">
        <v>469.9</v>
      </c>
      <c r="W165" s="8" t="n">
        <v>130.527777777778</v>
      </c>
      <c r="X165" s="8" t="n">
        <v>76912.4</v>
      </c>
      <c r="Y165" s="8" t="n">
        <f aca="false">Y164+V165</f>
        <v>17634.7</v>
      </c>
      <c r="AA165" s="8" t="n">
        <v>9.69109053051493</v>
      </c>
    </row>
    <row r="166" s="8" customFormat="true" ht="15" hidden="false" customHeight="false" outlineLevel="0" collapsed="false">
      <c r="A166" s="27"/>
      <c r="B166" s="10"/>
      <c r="C166" s="11" t="n">
        <v>42044</v>
      </c>
      <c r="D166" s="18" t="n">
        <v>1</v>
      </c>
      <c r="E166" s="30" t="n">
        <v>-0.4</v>
      </c>
      <c r="F166" s="18" t="n">
        <v>2.4</v>
      </c>
      <c r="G166" s="8" t="n">
        <v>1386.9</v>
      </c>
      <c r="H166" s="8" t="n">
        <f aca="false">H165+D166</f>
        <v>274.7</v>
      </c>
      <c r="J166" s="8" t="n">
        <v>0.2</v>
      </c>
      <c r="K166" s="8" t="n">
        <v>286.6</v>
      </c>
      <c r="L166" s="8" t="n">
        <v>0.4</v>
      </c>
      <c r="M166" s="8" t="n">
        <v>161.9</v>
      </c>
      <c r="N166" s="13" t="n">
        <v>-0.2</v>
      </c>
      <c r="O166" s="8" t="n">
        <f aca="false">O165+N166</f>
        <v>169.6</v>
      </c>
      <c r="P166" s="8" t="n">
        <v>161</v>
      </c>
      <c r="Q166" s="8" t="n">
        <v>1</v>
      </c>
      <c r="R166" s="14" t="n">
        <f aca="false">Q166*L166</f>
        <v>0.4</v>
      </c>
      <c r="S166" s="14" t="n">
        <f aca="false">J166-R166</f>
        <v>-0.2</v>
      </c>
      <c r="T166" s="14" t="n">
        <f aca="false">MIN(189.6,(T165+S166))</f>
        <v>184.1</v>
      </c>
      <c r="V166" s="15" t="n">
        <v>295.3</v>
      </c>
      <c r="W166" s="8" t="n">
        <v>295.3</v>
      </c>
      <c r="X166" s="8" t="n">
        <v>77207.7</v>
      </c>
      <c r="Y166" s="8" t="n">
        <f aca="false">Y165+V166</f>
        <v>17930</v>
      </c>
      <c r="AA166" s="8" t="n">
        <v>9.74643839713075</v>
      </c>
    </row>
    <row r="167" s="8" customFormat="true" ht="15" hidden="false" customHeight="false" outlineLevel="0" collapsed="false">
      <c r="A167" s="27"/>
      <c r="B167" s="10"/>
      <c r="C167" s="11" t="n">
        <v>42045</v>
      </c>
      <c r="D167" s="18" t="n">
        <v>3.5</v>
      </c>
      <c r="E167" s="18" t="n">
        <v>1.3</v>
      </c>
      <c r="F167" s="8" t="n">
        <v>5.3</v>
      </c>
      <c r="G167" s="8" t="n">
        <v>1390.4</v>
      </c>
      <c r="H167" s="8" t="n">
        <f aca="false">H166+D167</f>
        <v>278.2</v>
      </c>
      <c r="J167" s="8" t="n">
        <v>0</v>
      </c>
      <c r="K167" s="8" t="n">
        <v>286.6</v>
      </c>
      <c r="L167" s="8" t="n">
        <v>0.5</v>
      </c>
      <c r="M167" s="8" t="n">
        <v>162.4</v>
      </c>
      <c r="N167" s="13" t="n">
        <v>-0.5</v>
      </c>
      <c r="O167" s="8" t="n">
        <f aca="false">O166+N167</f>
        <v>169.1</v>
      </c>
      <c r="P167" s="8" t="n">
        <v>162</v>
      </c>
      <c r="Q167" s="8" t="n">
        <v>1</v>
      </c>
      <c r="R167" s="14" t="n">
        <f aca="false">Q167*L167</f>
        <v>0.5</v>
      </c>
      <c r="S167" s="14" t="n">
        <f aca="false">J167-R167</f>
        <v>-0.5</v>
      </c>
      <c r="T167" s="14" t="n">
        <f aca="false">MIN(189.6,(T166+S167))</f>
        <v>183.6</v>
      </c>
      <c r="V167" s="15" t="n">
        <v>401</v>
      </c>
      <c r="W167" s="8" t="n">
        <v>114.571428571429</v>
      </c>
      <c r="X167" s="8" t="n">
        <v>77608.7</v>
      </c>
      <c r="Y167" s="8" t="n">
        <f aca="false">Y166+V167</f>
        <v>18331</v>
      </c>
      <c r="AA167" s="8" t="n">
        <v>9.80223729205065</v>
      </c>
    </row>
    <row r="168" s="8" customFormat="true" ht="15" hidden="false" customHeight="false" outlineLevel="0" collapsed="false">
      <c r="A168" s="27"/>
      <c r="B168" s="10" t="n">
        <v>10</v>
      </c>
      <c r="C168" s="11" t="n">
        <v>42046</v>
      </c>
      <c r="D168" s="18" t="n">
        <v>3</v>
      </c>
      <c r="E168" s="18" t="n">
        <v>2.8</v>
      </c>
      <c r="F168" s="18" t="n">
        <v>4.3</v>
      </c>
      <c r="G168" s="8" t="n">
        <v>1393.4</v>
      </c>
      <c r="H168" s="8" t="n">
        <f aca="false">H167+D168</f>
        <v>281.2</v>
      </c>
      <c r="J168" s="8" t="n">
        <v>0</v>
      </c>
      <c r="K168" s="8" t="n">
        <v>286.6</v>
      </c>
      <c r="L168" s="8" t="n">
        <v>0.8</v>
      </c>
      <c r="M168" s="8" t="n">
        <v>163.2</v>
      </c>
      <c r="N168" s="13" t="n">
        <v>-0.8</v>
      </c>
      <c r="O168" s="8" t="n">
        <f aca="false">O167+N168</f>
        <v>168.3</v>
      </c>
      <c r="P168" s="8" t="n">
        <v>163</v>
      </c>
      <c r="Q168" s="8" t="n">
        <v>1</v>
      </c>
      <c r="R168" s="14" t="n">
        <f aca="false">Q168*L168</f>
        <v>0.8</v>
      </c>
      <c r="S168" s="14" t="n">
        <f aca="false">J168-R168</f>
        <v>-0.8</v>
      </c>
      <c r="T168" s="14" t="n">
        <f aca="false">MIN(189.6,(T167+S168))</f>
        <v>182.8</v>
      </c>
      <c r="V168" s="15" t="n">
        <v>523.5</v>
      </c>
      <c r="W168" s="8" t="n">
        <v>174.5</v>
      </c>
      <c r="X168" s="8" t="n">
        <v>78132.2</v>
      </c>
      <c r="Y168" s="8" t="n">
        <f aca="false">Y167+V168</f>
        <v>18854.5</v>
      </c>
      <c r="AA168" s="8" t="n">
        <v>9.85846517734382</v>
      </c>
    </row>
    <row r="169" s="8" customFormat="true" ht="15" hidden="false" customHeight="false" outlineLevel="0" collapsed="false">
      <c r="A169" s="27"/>
      <c r="B169" s="10"/>
      <c r="C169" s="11" t="n">
        <v>42047</v>
      </c>
      <c r="D169" s="30" t="n">
        <v>-0.4</v>
      </c>
      <c r="E169" s="30" t="n">
        <v>-1.3</v>
      </c>
      <c r="F169" s="18" t="n">
        <v>1</v>
      </c>
      <c r="G169" s="8" t="n">
        <v>1393.4</v>
      </c>
      <c r="H169" s="8" t="n">
        <v>281.2</v>
      </c>
      <c r="J169" s="8" t="n">
        <v>0</v>
      </c>
      <c r="K169" s="8" t="n">
        <v>286.6</v>
      </c>
      <c r="L169" s="8" t="n">
        <v>0.4</v>
      </c>
      <c r="M169" s="8" t="n">
        <v>163.6</v>
      </c>
      <c r="N169" s="13" t="n">
        <v>-0.4</v>
      </c>
      <c r="O169" s="8" t="n">
        <f aca="false">O168+N169</f>
        <v>167.9</v>
      </c>
      <c r="P169" s="8" t="n">
        <v>164</v>
      </c>
      <c r="Q169" s="8" t="n">
        <v>1</v>
      </c>
      <c r="R169" s="14" t="n">
        <f aca="false">Q169*L169</f>
        <v>0.4</v>
      </c>
      <c r="S169" s="14" t="n">
        <f aca="false">J169-R169</f>
        <v>-0.4</v>
      </c>
      <c r="T169" s="14" t="n">
        <f aca="false">MIN(189.6,(T168+S169))</f>
        <v>182.4</v>
      </c>
      <c r="V169" s="15" t="n">
        <v>399</v>
      </c>
      <c r="W169" s="8" t="n">
        <v>-997.5</v>
      </c>
      <c r="X169" s="8" t="n">
        <v>78531.2</v>
      </c>
      <c r="Y169" s="8" t="n">
        <f aca="false">Y168+V169</f>
        <v>19253.5</v>
      </c>
      <c r="AA169" s="8" t="n">
        <v>9.9151007358076</v>
      </c>
    </row>
    <row r="170" s="8" customFormat="true" ht="15" hidden="false" customHeight="false" outlineLevel="0" collapsed="false">
      <c r="A170" s="27"/>
      <c r="B170" s="10"/>
      <c r="C170" s="11" t="n">
        <v>42048</v>
      </c>
      <c r="D170" s="8" t="n">
        <v>5.4</v>
      </c>
      <c r="E170" s="30" t="n">
        <v>-1.4</v>
      </c>
      <c r="F170" s="8" t="n">
        <v>9.4</v>
      </c>
      <c r="G170" s="8" t="n">
        <v>1398.8</v>
      </c>
      <c r="H170" s="8" t="n">
        <f aca="false">H169+D170</f>
        <v>286.6</v>
      </c>
      <c r="J170" s="8" t="n">
        <v>2.1</v>
      </c>
      <c r="K170" s="8" t="n">
        <v>288.7</v>
      </c>
      <c r="L170" s="8" t="n">
        <v>0.4</v>
      </c>
      <c r="M170" s="8" t="n">
        <v>164</v>
      </c>
      <c r="N170" s="8" t="n">
        <v>1.7</v>
      </c>
      <c r="O170" s="8" t="n">
        <f aca="false">O169+N170</f>
        <v>169.6</v>
      </c>
      <c r="P170" s="8" t="n">
        <v>165</v>
      </c>
      <c r="Q170" s="8" t="n">
        <v>1</v>
      </c>
      <c r="R170" s="14" t="n">
        <f aca="false">Q170*L170</f>
        <v>0.4</v>
      </c>
      <c r="S170" s="14" t="n">
        <f aca="false">J170-R170</f>
        <v>1.7</v>
      </c>
      <c r="T170" s="14" t="n">
        <f aca="false">MIN(189.6,(T169+S170))</f>
        <v>184.1</v>
      </c>
      <c r="V170" s="15" t="n">
        <v>471.8</v>
      </c>
      <c r="W170" s="8" t="n">
        <v>87.3703703703704</v>
      </c>
      <c r="X170" s="8" t="n">
        <v>79003</v>
      </c>
      <c r="Y170" s="8" t="n">
        <f aca="false">Y169+V170</f>
        <v>19725.3</v>
      </c>
      <c r="AA170" s="8" t="n">
        <v>9.97212336561814</v>
      </c>
    </row>
    <row r="171" s="8" customFormat="true" ht="15" hidden="false" customHeight="false" outlineLevel="0" collapsed="false">
      <c r="A171" s="27"/>
      <c r="B171" s="10"/>
      <c r="C171" s="11" t="n">
        <v>42049</v>
      </c>
      <c r="D171" s="8" t="n">
        <v>6.1</v>
      </c>
      <c r="E171" s="18" t="n">
        <v>4.8</v>
      </c>
      <c r="F171" s="8" t="n">
        <v>7.9</v>
      </c>
      <c r="G171" s="8" t="n">
        <v>1404.9</v>
      </c>
      <c r="H171" s="8" t="n">
        <f aca="false">H170+D171</f>
        <v>292.7</v>
      </c>
      <c r="J171" s="8" t="n">
        <v>1.8</v>
      </c>
      <c r="K171" s="8" t="n">
        <v>290.5</v>
      </c>
      <c r="L171" s="8" t="n">
        <v>0.5</v>
      </c>
      <c r="M171" s="8" t="n">
        <v>164.5</v>
      </c>
      <c r="N171" s="8" t="n">
        <v>1.3</v>
      </c>
      <c r="O171" s="8" t="n">
        <f aca="false">O170+N171</f>
        <v>170.9</v>
      </c>
      <c r="P171" s="8" t="n">
        <v>166</v>
      </c>
      <c r="Q171" s="8" t="n">
        <v>1</v>
      </c>
      <c r="R171" s="14" t="n">
        <f aca="false">Q171*L171</f>
        <v>0.5</v>
      </c>
      <c r="S171" s="14" t="n">
        <f aca="false">J171-R171</f>
        <v>1.3</v>
      </c>
      <c r="T171" s="14" t="n">
        <f aca="false">MIN(189.6,(T170+S171))</f>
        <v>185.4</v>
      </c>
      <c r="V171" s="15" t="n">
        <v>136.5</v>
      </c>
      <c r="W171" s="8" t="n">
        <v>22.3770491803279</v>
      </c>
      <c r="X171" s="8" t="n">
        <v>79139.5</v>
      </c>
      <c r="Y171" s="8" t="n">
        <f aca="false">Y170+V171</f>
        <v>19861.8</v>
      </c>
      <c r="AA171" s="8" t="n">
        <v>10.0295131730956</v>
      </c>
    </row>
    <row r="172" s="8" customFormat="true" ht="15" hidden="false" customHeight="false" outlineLevel="0" collapsed="false">
      <c r="A172" s="27"/>
      <c r="B172" s="10"/>
      <c r="C172" s="11" t="n">
        <v>42050</v>
      </c>
      <c r="D172" s="8" t="n">
        <v>5.5</v>
      </c>
      <c r="E172" s="18" t="n">
        <v>3.7</v>
      </c>
      <c r="F172" s="8" t="n">
        <v>8.2</v>
      </c>
      <c r="G172" s="8" t="n">
        <v>1410.4</v>
      </c>
      <c r="H172" s="8" t="n">
        <f aca="false">H171+D172</f>
        <v>298.2</v>
      </c>
      <c r="J172" s="8" t="n">
        <v>0.2</v>
      </c>
      <c r="K172" s="8" t="n">
        <v>290.7</v>
      </c>
      <c r="L172" s="8" t="n">
        <v>0.8</v>
      </c>
      <c r="M172" s="8" t="n">
        <v>165.3</v>
      </c>
      <c r="N172" s="13" t="n">
        <v>-0.6</v>
      </c>
      <c r="O172" s="8" t="n">
        <f aca="false">O171+N172</f>
        <v>170.3</v>
      </c>
      <c r="P172" s="8" t="n">
        <v>167</v>
      </c>
      <c r="Q172" s="8" t="n">
        <v>1</v>
      </c>
      <c r="R172" s="14" t="n">
        <f aca="false">Q172*L172</f>
        <v>0.8</v>
      </c>
      <c r="S172" s="14" t="n">
        <f aca="false">J172-R172</f>
        <v>-0.6</v>
      </c>
      <c r="T172" s="14" t="n">
        <f aca="false">MIN(189.6,(T171+S172))</f>
        <v>184.8</v>
      </c>
      <c r="V172" s="15" t="n">
        <v>595.8</v>
      </c>
      <c r="W172" s="8" t="n">
        <v>108.327272727273</v>
      </c>
      <c r="X172" s="8" t="n">
        <v>79735.3</v>
      </c>
      <c r="Y172" s="8" t="n">
        <f aca="false">Y171+V172</f>
        <v>20457.6</v>
      </c>
      <c r="AA172" s="8" t="n">
        <v>10.0872509637468</v>
      </c>
    </row>
    <row r="173" s="8" customFormat="true" ht="15" hidden="false" customHeight="false" outlineLevel="0" collapsed="false">
      <c r="A173" s="27"/>
      <c r="B173" s="10"/>
      <c r="C173" s="11" t="n">
        <v>42051</v>
      </c>
      <c r="D173" s="18" t="n">
        <v>3</v>
      </c>
      <c r="E173" s="30" t="n">
        <v>-0.6</v>
      </c>
      <c r="F173" s="8" t="n">
        <v>5.1</v>
      </c>
      <c r="G173" s="8" t="n">
        <v>1413.4</v>
      </c>
      <c r="H173" s="8" t="n">
        <f aca="false">H172+D173</f>
        <v>301.2</v>
      </c>
      <c r="J173" s="8" t="n">
        <v>0</v>
      </c>
      <c r="K173" s="8" t="n">
        <v>290.7</v>
      </c>
      <c r="L173" s="8" t="n">
        <v>0.3</v>
      </c>
      <c r="M173" s="8" t="n">
        <v>165.6</v>
      </c>
      <c r="N173" s="13" t="n">
        <v>-0.3</v>
      </c>
      <c r="O173" s="8" t="n">
        <f aca="false">O172+N173</f>
        <v>170</v>
      </c>
      <c r="P173" s="8" t="n">
        <v>168</v>
      </c>
      <c r="Q173" s="8" t="n">
        <v>1</v>
      </c>
      <c r="R173" s="14" t="n">
        <f aca="false">Q173*L173</f>
        <v>0.3</v>
      </c>
      <c r="S173" s="14" t="n">
        <f aca="false">J173-R173</f>
        <v>-0.3</v>
      </c>
      <c r="T173" s="14" t="n">
        <f aca="false">MIN(189.6,(T172+S173))</f>
        <v>184.5</v>
      </c>
      <c r="V173" s="15" t="n">
        <v>320.5</v>
      </c>
      <c r="W173" s="8" t="n">
        <v>106.833333333333</v>
      </c>
      <c r="X173" s="8" t="n">
        <v>80055.8</v>
      </c>
      <c r="Y173" s="8" t="n">
        <f aca="false">Y172+V173</f>
        <v>20778.1</v>
      </c>
      <c r="AA173" s="8" t="n">
        <v>10.1453182317421</v>
      </c>
    </row>
    <row r="174" s="8" customFormat="true" ht="15" hidden="false" customHeight="false" outlineLevel="0" collapsed="false">
      <c r="A174" s="27"/>
      <c r="B174" s="10"/>
      <c r="C174" s="11" t="n">
        <v>42052</v>
      </c>
      <c r="D174" s="18" t="n">
        <v>4.3</v>
      </c>
      <c r="E174" s="18" t="n">
        <v>3.9</v>
      </c>
      <c r="F174" s="8" t="n">
        <v>5.9</v>
      </c>
      <c r="G174" s="8" t="n">
        <v>1417.7</v>
      </c>
      <c r="H174" s="8" t="n">
        <f aca="false">H173+D174</f>
        <v>305.5</v>
      </c>
      <c r="J174" s="8" t="n">
        <v>0.3</v>
      </c>
      <c r="K174" s="8" t="n">
        <v>291</v>
      </c>
      <c r="L174" s="8" t="n">
        <v>0.6</v>
      </c>
      <c r="M174" s="8" t="n">
        <v>166.2</v>
      </c>
      <c r="N174" s="13" t="n">
        <v>-0.3</v>
      </c>
      <c r="O174" s="8" t="n">
        <f aca="false">O173+N174</f>
        <v>169.7</v>
      </c>
      <c r="P174" s="8" t="n">
        <v>169</v>
      </c>
      <c r="Q174" s="8" t="n">
        <v>1</v>
      </c>
      <c r="R174" s="14" t="n">
        <f aca="false">Q174*L174</f>
        <v>0.6</v>
      </c>
      <c r="S174" s="14" t="n">
        <f aca="false">J174-R174</f>
        <v>-0.3</v>
      </c>
      <c r="T174" s="14" t="n">
        <f aca="false">MIN(189.6,(T173+S174))</f>
        <v>184.2</v>
      </c>
      <c r="V174" s="15" t="n">
        <v>409.3</v>
      </c>
      <c r="W174" s="8" t="n">
        <v>95.1860465116279</v>
      </c>
      <c r="X174" s="8" t="n">
        <v>80465.1</v>
      </c>
      <c r="Y174" s="8" t="n">
        <f aca="false">Y173+V174</f>
        <v>21187.4</v>
      </c>
      <c r="AA174" s="8" t="n">
        <v>10.2036971479745</v>
      </c>
    </row>
    <row r="175" s="8" customFormat="true" ht="15" hidden="false" customHeight="false" outlineLevel="0" collapsed="false">
      <c r="A175" s="27"/>
      <c r="B175" s="10"/>
      <c r="C175" s="11" t="n">
        <v>42053</v>
      </c>
      <c r="D175" s="18" t="n">
        <v>0.6</v>
      </c>
      <c r="E175" s="30" t="n">
        <v>-1.6</v>
      </c>
      <c r="F175" s="18" t="n">
        <v>2.8</v>
      </c>
      <c r="G175" s="8" t="n">
        <v>1418.3</v>
      </c>
      <c r="H175" s="8" t="n">
        <f aca="false">H174+D175</f>
        <v>306.1</v>
      </c>
      <c r="J175" s="8" t="n">
        <v>0</v>
      </c>
      <c r="K175" s="8" t="n">
        <v>291</v>
      </c>
      <c r="L175" s="8" t="n">
        <v>0.5</v>
      </c>
      <c r="M175" s="8" t="n">
        <v>166.7</v>
      </c>
      <c r="N175" s="13" t="n">
        <v>-0.5</v>
      </c>
      <c r="O175" s="8" t="n">
        <f aca="false">O174+N175</f>
        <v>169.2</v>
      </c>
      <c r="P175" s="8" t="n">
        <v>170</v>
      </c>
      <c r="Q175" s="8" t="n">
        <v>1</v>
      </c>
      <c r="R175" s="14" t="n">
        <f aca="false">Q175*L175</f>
        <v>0.5</v>
      </c>
      <c r="S175" s="14" t="n">
        <f aca="false">J175-R175</f>
        <v>-0.5</v>
      </c>
      <c r="T175" s="14" t="n">
        <f aca="false">MIN(189.6,(T174+S175))</f>
        <v>183.7</v>
      </c>
      <c r="V175" s="15" t="n">
        <v>401.3</v>
      </c>
      <c r="W175" s="8" t="n">
        <v>668.833333333333</v>
      </c>
      <c r="X175" s="8" t="n">
        <v>80866.4</v>
      </c>
      <c r="Y175" s="8" t="n">
        <f aca="false">Y174+V175</f>
        <v>21588.7</v>
      </c>
      <c r="AA175" s="8" t="n">
        <v>10.2623705468442</v>
      </c>
    </row>
    <row r="176" s="8" customFormat="true" ht="15" hidden="false" customHeight="false" outlineLevel="0" collapsed="false">
      <c r="A176" s="27"/>
      <c r="B176" s="10"/>
      <c r="C176" s="11" t="n">
        <v>42054</v>
      </c>
      <c r="D176" s="18" t="n">
        <v>3</v>
      </c>
      <c r="E176" s="18" t="n">
        <v>0.4</v>
      </c>
      <c r="F176" s="8" t="n">
        <v>4.9</v>
      </c>
      <c r="G176" s="8" t="n">
        <v>1421.3</v>
      </c>
      <c r="H176" s="8" t="n">
        <f aca="false">H175+D176</f>
        <v>309.1</v>
      </c>
      <c r="J176" s="8" t="n">
        <v>2.5</v>
      </c>
      <c r="K176" s="8" t="n">
        <v>293.5</v>
      </c>
      <c r="L176" s="8" t="n">
        <v>0.6</v>
      </c>
      <c r="M176" s="8" t="n">
        <v>167.3</v>
      </c>
      <c r="N176" s="8" t="n">
        <v>1.9</v>
      </c>
      <c r="O176" s="8" t="n">
        <f aca="false">O175+N176</f>
        <v>171.1</v>
      </c>
      <c r="P176" s="8" t="n">
        <v>171</v>
      </c>
      <c r="Q176" s="8" t="n">
        <v>1</v>
      </c>
      <c r="R176" s="14" t="n">
        <f aca="false">Q176*L176</f>
        <v>0.6</v>
      </c>
      <c r="S176" s="14" t="n">
        <f aca="false">J176-R176</f>
        <v>1.9</v>
      </c>
      <c r="T176" s="14" t="n">
        <f aca="false">MIN(189.6,(T175+S176))</f>
        <v>185.6</v>
      </c>
      <c r="V176" s="15" t="n">
        <v>623.3</v>
      </c>
      <c r="W176" s="8" t="n">
        <v>207.766666666667</v>
      </c>
      <c r="X176" s="8" t="n">
        <v>81489.7</v>
      </c>
      <c r="Y176" s="8" t="n">
        <f aca="false">Y175+V176</f>
        <v>22212</v>
      </c>
      <c r="AA176" s="8" t="n">
        <v>10.3213219118997</v>
      </c>
    </row>
    <row r="177" s="8" customFormat="true" ht="15" hidden="false" customHeight="false" outlineLevel="0" collapsed="false">
      <c r="A177" s="27"/>
      <c r="B177" s="10"/>
      <c r="C177" s="11" t="n">
        <v>42055</v>
      </c>
      <c r="D177" s="8" t="n">
        <v>5.8</v>
      </c>
      <c r="E177" s="18" t="n">
        <v>4.2</v>
      </c>
      <c r="F177" s="8" t="n">
        <v>7.3</v>
      </c>
      <c r="G177" s="8" t="n">
        <v>1427.1</v>
      </c>
      <c r="H177" s="8" t="n">
        <f aca="false">H176+D177</f>
        <v>314.9</v>
      </c>
      <c r="J177" s="8" t="n">
        <v>11.5</v>
      </c>
      <c r="K177" s="8" t="n">
        <v>305</v>
      </c>
      <c r="L177" s="8" t="n">
        <v>0.6</v>
      </c>
      <c r="M177" s="8" t="n">
        <v>167.9</v>
      </c>
      <c r="N177" s="8" t="n">
        <v>10.9</v>
      </c>
      <c r="O177" s="8" t="n">
        <f aca="false">O176+N177</f>
        <v>182</v>
      </c>
      <c r="P177" s="8" t="n">
        <v>172</v>
      </c>
      <c r="Q177" s="8" t="n">
        <v>1</v>
      </c>
      <c r="R177" s="14" t="n">
        <f aca="false">Q177*L177</f>
        <v>0.6</v>
      </c>
      <c r="S177" s="14" t="n">
        <f aca="false">J177-R177</f>
        <v>10.9</v>
      </c>
      <c r="T177" s="14" t="n">
        <f aca="false">MIN(189.6,(T176+S177))</f>
        <v>189.6</v>
      </c>
      <c r="V177" s="15" t="n">
        <v>182</v>
      </c>
      <c r="W177" s="8" t="n">
        <v>31.3793103448276</v>
      </c>
      <c r="X177" s="8" t="n">
        <v>81671.7</v>
      </c>
      <c r="Y177" s="8" t="n">
        <f aca="false">Y176+V177</f>
        <v>22394</v>
      </c>
      <c r="AA177" s="8" t="n">
        <v>10.3805353604641</v>
      </c>
    </row>
    <row r="178" s="8" customFormat="true" ht="15" hidden="false" customHeight="false" outlineLevel="0" collapsed="false">
      <c r="A178" s="27"/>
      <c r="B178" s="10"/>
      <c r="C178" s="11" t="n">
        <v>42056</v>
      </c>
      <c r="D178" s="18" t="n">
        <v>2.7</v>
      </c>
      <c r="E178" s="18" t="n">
        <v>2.1</v>
      </c>
      <c r="F178" s="18" t="n">
        <v>3.7</v>
      </c>
      <c r="G178" s="8" t="n">
        <v>1429.8</v>
      </c>
      <c r="H178" s="8" t="n">
        <f aca="false">H177+D178</f>
        <v>317.6</v>
      </c>
      <c r="J178" s="8" t="n">
        <v>1.8</v>
      </c>
      <c r="K178" s="8" t="n">
        <v>306.8</v>
      </c>
      <c r="L178" s="8" t="n">
        <v>0.4</v>
      </c>
      <c r="M178" s="8" t="n">
        <v>168.3</v>
      </c>
      <c r="N178" s="8" t="n">
        <v>1.4</v>
      </c>
      <c r="O178" s="8" t="n">
        <f aca="false">O177+N178</f>
        <v>183.4</v>
      </c>
      <c r="P178" s="8" t="n">
        <v>173</v>
      </c>
      <c r="Q178" s="8" t="n">
        <v>1</v>
      </c>
      <c r="R178" s="14" t="n">
        <f aca="false">Q178*L178</f>
        <v>0.4</v>
      </c>
      <c r="S178" s="14" t="n">
        <f aca="false">J178-R178</f>
        <v>1.4</v>
      </c>
      <c r="T178" s="14" t="n">
        <f aca="false">MIN(189.6,(T177+S178))</f>
        <v>189.6</v>
      </c>
      <c r="V178" s="15" t="n">
        <v>282.3</v>
      </c>
      <c r="W178" s="8" t="n">
        <v>104.555555555556</v>
      </c>
      <c r="X178" s="8" t="n">
        <v>81954</v>
      </c>
      <c r="Y178" s="8" t="n">
        <f aca="false">Y177+V178</f>
        <v>22676.3</v>
      </c>
      <c r="AA178" s="8" t="n">
        <v>10.4399956273618</v>
      </c>
    </row>
    <row r="179" s="8" customFormat="true" ht="15" hidden="false" customHeight="false" outlineLevel="0" collapsed="false">
      <c r="A179" s="27"/>
      <c r="B179" s="10"/>
      <c r="C179" s="11" t="n">
        <v>42057</v>
      </c>
      <c r="D179" s="18" t="n">
        <v>3.6</v>
      </c>
      <c r="E179" s="30" t="n">
        <v>-0.7</v>
      </c>
      <c r="F179" s="8" t="n">
        <v>6.5</v>
      </c>
      <c r="G179" s="8" t="n">
        <v>1433.4</v>
      </c>
      <c r="H179" s="8" t="n">
        <f aca="false">H178+D179</f>
        <v>321.2</v>
      </c>
      <c r="J179" s="8" t="n">
        <v>8.8</v>
      </c>
      <c r="K179" s="8" t="n">
        <v>315.6</v>
      </c>
      <c r="L179" s="8" t="n">
        <v>0.7</v>
      </c>
      <c r="M179" s="8" t="n">
        <v>169</v>
      </c>
      <c r="N179" s="8" t="n">
        <v>8.1</v>
      </c>
      <c r="O179" s="8" t="n">
        <f aca="false">O178+N179</f>
        <v>191.5</v>
      </c>
      <c r="P179" s="8" t="n">
        <v>174</v>
      </c>
      <c r="Q179" s="8" t="n">
        <v>1</v>
      </c>
      <c r="R179" s="14" t="n">
        <f aca="false">Q179*L179</f>
        <v>0.7</v>
      </c>
      <c r="S179" s="14" t="n">
        <f aca="false">J179-R179</f>
        <v>8.1</v>
      </c>
      <c r="T179" s="14" t="n">
        <f aca="false">MIN(189.6,(T178+S179))</f>
        <v>189.6</v>
      </c>
      <c r="V179" s="15" t="n">
        <v>617.9</v>
      </c>
      <c r="W179" s="8" t="n">
        <v>171.638888888889</v>
      </c>
      <c r="X179" s="8" t="n">
        <v>82571.9</v>
      </c>
      <c r="Y179" s="8" t="n">
        <f aca="false">Y178+V179</f>
        <v>23294.2</v>
      </c>
      <c r="AA179" s="8" t="n">
        <v>10.4996880478584</v>
      </c>
    </row>
    <row r="180" s="8" customFormat="true" ht="15" hidden="false" customHeight="false" outlineLevel="0" collapsed="false">
      <c r="A180" s="27"/>
      <c r="B180" s="10"/>
      <c r="C180" s="11" t="n">
        <v>42058</v>
      </c>
      <c r="D180" s="8" t="n">
        <v>5.9</v>
      </c>
      <c r="E180" s="18" t="n">
        <v>3.9</v>
      </c>
      <c r="F180" s="8" t="n">
        <v>9.8</v>
      </c>
      <c r="G180" s="8" t="n">
        <v>1439.3</v>
      </c>
      <c r="H180" s="8" t="n">
        <f aca="false">H179+D180</f>
        <v>327.1</v>
      </c>
      <c r="J180" s="8" t="n">
        <v>0.3</v>
      </c>
      <c r="K180" s="8" t="n">
        <v>315.9</v>
      </c>
      <c r="L180" s="8" t="n">
        <v>1.4</v>
      </c>
      <c r="M180" s="8" t="n">
        <v>170.4</v>
      </c>
      <c r="N180" s="13" t="n">
        <v>-1.1</v>
      </c>
      <c r="O180" s="8" t="n">
        <f aca="false">O179+N180</f>
        <v>190.4</v>
      </c>
      <c r="P180" s="8" t="n">
        <v>175</v>
      </c>
      <c r="Q180" s="8" t="n">
        <v>1</v>
      </c>
      <c r="R180" s="14" t="n">
        <f aca="false">Q180*L180</f>
        <v>1.4</v>
      </c>
      <c r="S180" s="14" t="n">
        <f aca="false">J180-R180</f>
        <v>-1.1</v>
      </c>
      <c r="T180" s="14" t="n">
        <f aca="false">MIN(189.6,(T179+S180))</f>
        <v>188.5</v>
      </c>
      <c r="V180" s="15" t="n">
        <v>709.9</v>
      </c>
      <c r="W180" s="8" t="n">
        <v>120.322033898305</v>
      </c>
      <c r="X180" s="8" t="n">
        <v>83281.8</v>
      </c>
      <c r="Y180" s="8" t="n">
        <f aca="false">Y179+V180</f>
        <v>24004.1</v>
      </c>
      <c r="AA180" s="8" t="n">
        <v>10.5595985399135</v>
      </c>
    </row>
    <row r="181" s="8" customFormat="true" ht="15" hidden="false" customHeight="false" outlineLevel="0" collapsed="false">
      <c r="A181" s="27"/>
      <c r="B181" s="10"/>
      <c r="C181" s="11" t="n">
        <v>42059</v>
      </c>
      <c r="D181" s="18" t="n">
        <v>4.9</v>
      </c>
      <c r="E181" s="18" t="n">
        <v>2.3</v>
      </c>
      <c r="F181" s="8" t="n">
        <v>8.5</v>
      </c>
      <c r="G181" s="8" t="n">
        <v>1444.2</v>
      </c>
      <c r="H181" s="8" t="n">
        <f aca="false">H180+D181</f>
        <v>332</v>
      </c>
      <c r="J181" s="8" t="n">
        <v>1.2</v>
      </c>
      <c r="K181" s="8" t="n">
        <v>317.1</v>
      </c>
      <c r="L181" s="8" t="n">
        <v>1.2</v>
      </c>
      <c r="M181" s="8" t="n">
        <v>171.6</v>
      </c>
      <c r="N181" s="8" t="n">
        <v>0</v>
      </c>
      <c r="O181" s="8" t="n">
        <f aca="false">O180+N181</f>
        <v>190.4</v>
      </c>
      <c r="P181" s="8" t="n">
        <v>176</v>
      </c>
      <c r="Q181" s="8" t="n">
        <v>1</v>
      </c>
      <c r="R181" s="14" t="n">
        <f aca="false">Q181*L181</f>
        <v>1.2</v>
      </c>
      <c r="S181" s="14" t="n">
        <f aca="false">J181-R181</f>
        <v>0</v>
      </c>
      <c r="T181" s="14" t="n">
        <f aca="false">MIN(189.6,(T180+S181))</f>
        <v>188.5</v>
      </c>
      <c r="V181" s="15" t="n">
        <v>732.6</v>
      </c>
      <c r="W181" s="8" t="n">
        <v>149.510204081633</v>
      </c>
      <c r="X181" s="8" t="n">
        <v>84014.4</v>
      </c>
      <c r="Y181" s="8" t="n">
        <f aca="false">Y180+V181</f>
        <v>24736.7</v>
      </c>
      <c r="AA181" s="8" t="n">
        <v>10.6197135858434</v>
      </c>
    </row>
    <row r="182" s="8" customFormat="true" ht="15" hidden="false" customHeight="false" outlineLevel="0" collapsed="false">
      <c r="A182" s="27"/>
      <c r="B182" s="10"/>
      <c r="C182" s="11" t="n">
        <v>42060</v>
      </c>
      <c r="D182" s="8" t="n">
        <v>5.3</v>
      </c>
      <c r="E182" s="18" t="n">
        <v>1.9</v>
      </c>
      <c r="F182" s="8" t="n">
        <v>7.4</v>
      </c>
      <c r="G182" s="8" t="n">
        <v>1449.5</v>
      </c>
      <c r="H182" s="8" t="n">
        <f aca="false">H181+D182</f>
        <v>337.3</v>
      </c>
      <c r="J182" s="8" t="n">
        <v>2.1</v>
      </c>
      <c r="K182" s="8" t="n">
        <v>319.2</v>
      </c>
      <c r="L182" s="8" t="n">
        <v>0.2</v>
      </c>
      <c r="M182" s="8" t="n">
        <v>171.8</v>
      </c>
      <c r="N182" s="8" t="n">
        <v>1.9</v>
      </c>
      <c r="O182" s="8" t="n">
        <f aca="false">O181+N182</f>
        <v>192.3</v>
      </c>
      <c r="P182" s="8" t="n">
        <v>177</v>
      </c>
      <c r="Q182" s="8" t="n">
        <v>1</v>
      </c>
      <c r="R182" s="14" t="n">
        <f aca="false">Q182*L182</f>
        <v>0.2</v>
      </c>
      <c r="S182" s="14" t="n">
        <f aca="false">J182-R182</f>
        <v>1.9</v>
      </c>
      <c r="T182" s="14" t="n">
        <f aca="false">MIN(189.6,(T181+S182))</f>
        <v>189.6</v>
      </c>
      <c r="V182" s="15" t="n">
        <v>194</v>
      </c>
      <c r="W182" s="8" t="n">
        <v>36.6037735849057</v>
      </c>
      <c r="X182" s="8" t="n">
        <v>84208.4</v>
      </c>
      <c r="Y182" s="8" t="n">
        <f aca="false">Y181+V182</f>
        <v>24930.7</v>
      </c>
      <c r="AA182" s="8" t="n">
        <v>10.6800202134794</v>
      </c>
    </row>
    <row r="183" s="8" customFormat="true" ht="15" hidden="false" customHeight="false" outlineLevel="0" collapsed="false">
      <c r="A183" s="27"/>
      <c r="B183" s="10"/>
      <c r="C183" s="11" t="n">
        <v>42061</v>
      </c>
      <c r="D183" s="8" t="n">
        <v>7.6</v>
      </c>
      <c r="E183" s="8" t="n">
        <v>5.4</v>
      </c>
      <c r="F183" s="8" t="n">
        <v>9.8</v>
      </c>
      <c r="G183" s="8" t="n">
        <v>1457.1</v>
      </c>
      <c r="H183" s="8" t="n">
        <f aca="false">H182+D183</f>
        <v>344.9</v>
      </c>
      <c r="J183" s="8" t="n">
        <v>9.7</v>
      </c>
      <c r="K183" s="8" t="n">
        <v>328.9</v>
      </c>
      <c r="L183" s="8" t="n">
        <v>0.3</v>
      </c>
      <c r="M183" s="8" t="n">
        <v>172.1</v>
      </c>
      <c r="N183" s="8" t="n">
        <v>9.4</v>
      </c>
      <c r="O183" s="8" t="n">
        <f aca="false">O182+N183</f>
        <v>201.7</v>
      </c>
      <c r="P183" s="8" t="n">
        <v>178</v>
      </c>
      <c r="Q183" s="8" t="n">
        <v>1</v>
      </c>
      <c r="R183" s="14" t="n">
        <f aca="false">Q183*L183</f>
        <v>0.3</v>
      </c>
      <c r="S183" s="14" t="n">
        <f aca="false">J183-R183</f>
        <v>9.4</v>
      </c>
      <c r="T183" s="14" t="n">
        <f aca="false">MIN(189.6,(T182+S183))</f>
        <v>189.6</v>
      </c>
      <c r="V183" s="15" t="n">
        <v>207.8</v>
      </c>
      <c r="W183" s="8" t="n">
        <v>27.3421052631579</v>
      </c>
      <c r="X183" s="8" t="n">
        <v>84416.2</v>
      </c>
      <c r="Y183" s="8" t="n">
        <f aca="false">Y182+V183</f>
        <v>25138.5</v>
      </c>
      <c r="AA183" s="8" t="n">
        <v>10.7405059769033</v>
      </c>
    </row>
    <row r="184" s="8" customFormat="true" ht="15" hidden="false" customHeight="false" outlineLevel="0" collapsed="false">
      <c r="A184" s="27"/>
      <c r="B184" s="10"/>
      <c r="C184" s="11" t="n">
        <v>42062</v>
      </c>
      <c r="D184" s="18" t="n">
        <v>4</v>
      </c>
      <c r="E184" s="18" t="n">
        <v>2.1</v>
      </c>
      <c r="F184" s="8" t="n">
        <v>6.9</v>
      </c>
      <c r="G184" s="8" t="n">
        <v>1461.1</v>
      </c>
      <c r="H184" s="8" t="n">
        <f aca="false">H183+D184</f>
        <v>348.9</v>
      </c>
      <c r="J184" s="8" t="n">
        <v>0</v>
      </c>
      <c r="K184" s="8" t="n">
        <v>328.9</v>
      </c>
      <c r="L184" s="8" t="n">
        <v>1.2</v>
      </c>
      <c r="M184" s="8" t="n">
        <v>173.3</v>
      </c>
      <c r="N184" s="13" t="n">
        <v>-1.2</v>
      </c>
      <c r="O184" s="8" t="n">
        <f aca="false">O183+N184</f>
        <v>200.5</v>
      </c>
      <c r="P184" s="8" t="n">
        <v>179</v>
      </c>
      <c r="Q184" s="8" t="n">
        <v>1</v>
      </c>
      <c r="R184" s="14" t="n">
        <f aca="false">Q184*L184</f>
        <v>1.2</v>
      </c>
      <c r="S184" s="14" t="n">
        <f aca="false">J184-R184</f>
        <v>-1.2</v>
      </c>
      <c r="T184" s="14" t="n">
        <f aca="false">MIN(189.6,(T183+S184))</f>
        <v>188.4</v>
      </c>
      <c r="V184" s="15" t="n">
        <v>885</v>
      </c>
      <c r="W184" s="8" t="n">
        <v>221.25</v>
      </c>
      <c r="X184" s="8" t="n">
        <v>85301.2</v>
      </c>
      <c r="Y184" s="8" t="n">
        <f aca="false">Y183+V184</f>
        <v>26023.5</v>
      </c>
      <c r="AA184" s="8" t="n">
        <v>10.8011589368326</v>
      </c>
    </row>
    <row r="185" s="8" customFormat="true" ht="15" hidden="false" customHeight="false" outlineLevel="0" collapsed="false">
      <c r="A185" s="27"/>
      <c r="B185" s="10"/>
      <c r="C185" s="11" t="n">
        <v>42063</v>
      </c>
      <c r="D185" s="8" t="n">
        <v>5.2</v>
      </c>
      <c r="E185" s="30" t="n">
        <v>-0.3</v>
      </c>
      <c r="F185" s="8" t="n">
        <v>9.3</v>
      </c>
      <c r="G185" s="8" t="n">
        <v>1466.3</v>
      </c>
      <c r="H185" s="8" t="n">
        <f aca="false">H184+D185</f>
        <v>354.1</v>
      </c>
      <c r="J185" s="8" t="n">
        <v>3.6</v>
      </c>
      <c r="K185" s="8" t="n">
        <v>332.5</v>
      </c>
      <c r="L185" s="8" t="n">
        <v>0.8</v>
      </c>
      <c r="M185" s="8" t="n">
        <v>174.1</v>
      </c>
      <c r="N185" s="8" t="n">
        <v>2.8</v>
      </c>
      <c r="O185" s="8" t="n">
        <f aca="false">O184+N185</f>
        <v>203.3</v>
      </c>
      <c r="P185" s="8" t="n">
        <v>180</v>
      </c>
      <c r="Q185" s="8" t="n">
        <v>1</v>
      </c>
      <c r="R185" s="14" t="n">
        <f aca="false">Q185*L185</f>
        <v>0.8</v>
      </c>
      <c r="S185" s="14" t="n">
        <f aca="false">J185-R185</f>
        <v>2.8</v>
      </c>
      <c r="T185" s="14" t="n">
        <f aca="false">MIN(189.6,(T184+S185))</f>
        <v>189.6</v>
      </c>
      <c r="V185" s="15" t="n">
        <v>555.6</v>
      </c>
      <c r="W185" s="8" t="n">
        <v>106.846153846154</v>
      </c>
      <c r="X185" s="8" t="n">
        <v>85856.8</v>
      </c>
      <c r="Y185" s="8" t="n">
        <f aca="false">Y184+V185</f>
        <v>26579.1</v>
      </c>
      <c r="AA185" s="8" t="n">
        <v>10.8619676407228</v>
      </c>
    </row>
    <row r="186" s="8" customFormat="true" ht="15" hidden="false" customHeight="false" outlineLevel="0" collapsed="false">
      <c r="A186" s="27"/>
      <c r="B186" s="10"/>
      <c r="C186" s="11" t="n">
        <v>42064</v>
      </c>
      <c r="D186" s="8" t="n">
        <v>9.1</v>
      </c>
      <c r="E186" s="8" t="n">
        <v>7</v>
      </c>
      <c r="F186" s="8" t="n">
        <v>11</v>
      </c>
      <c r="G186" s="8" t="n">
        <v>1475.4</v>
      </c>
      <c r="H186" s="8" t="n">
        <f aca="false">H185+D186</f>
        <v>363.2</v>
      </c>
      <c r="J186" s="8" t="n">
        <v>0.3</v>
      </c>
      <c r="K186" s="8" t="n">
        <v>332.8</v>
      </c>
      <c r="L186" s="8" t="n">
        <v>1.6</v>
      </c>
      <c r="M186" s="8" t="n">
        <v>175.7</v>
      </c>
      <c r="N186" s="13" t="n">
        <v>-1.3</v>
      </c>
      <c r="O186" s="8" t="n">
        <f aca="false">O185+N186</f>
        <v>202</v>
      </c>
      <c r="P186" s="8" t="n">
        <v>181</v>
      </c>
      <c r="Q186" s="8" t="n">
        <v>1</v>
      </c>
      <c r="R186" s="14" t="n">
        <f aca="false">Q186*L186</f>
        <v>1.6</v>
      </c>
      <c r="S186" s="14" t="n">
        <f aca="false">J186-R186</f>
        <v>-1.3</v>
      </c>
      <c r="T186" s="14" t="n">
        <f aca="false">MIN(189.6,(T185+S186))</f>
        <v>188.3</v>
      </c>
      <c r="V186" s="15" t="n">
        <v>777.1</v>
      </c>
      <c r="W186" s="8" t="n">
        <v>85.3956043956044</v>
      </c>
      <c r="X186" s="8" t="n">
        <v>86633.9</v>
      </c>
      <c r="Y186" s="8" t="n">
        <f aca="false">Y185+V186</f>
        <v>27356.2</v>
      </c>
      <c r="AA186" s="8" t="n">
        <v>10.9229211026463</v>
      </c>
    </row>
    <row r="187" s="8" customFormat="true" ht="15" hidden="false" customHeight="false" outlineLevel="0" collapsed="false">
      <c r="A187" s="27"/>
      <c r="B187" s="10"/>
      <c r="C187" s="11" t="n">
        <v>42065</v>
      </c>
      <c r="D187" s="8" t="n">
        <v>5.6</v>
      </c>
      <c r="E187" s="18" t="n">
        <v>4.8</v>
      </c>
      <c r="F187" s="8" t="n">
        <v>7.3</v>
      </c>
      <c r="G187" s="8" t="n">
        <v>1481</v>
      </c>
      <c r="H187" s="8" t="n">
        <f aca="false">H186+D187</f>
        <v>368.8</v>
      </c>
      <c r="J187" s="8" t="n">
        <v>1.6</v>
      </c>
      <c r="K187" s="8" t="n">
        <v>334.4</v>
      </c>
      <c r="L187" s="8" t="n">
        <v>1.5</v>
      </c>
      <c r="M187" s="8" t="n">
        <v>177.2</v>
      </c>
      <c r="N187" s="8" t="n">
        <v>0.1</v>
      </c>
      <c r="O187" s="8" t="n">
        <f aca="false">O186+N187</f>
        <v>202.1</v>
      </c>
      <c r="P187" s="8" t="n">
        <v>182</v>
      </c>
      <c r="Q187" s="8" t="n">
        <v>1</v>
      </c>
      <c r="R187" s="14" t="n">
        <f aca="false">Q187*L187</f>
        <v>1.5</v>
      </c>
      <c r="S187" s="14" t="n">
        <f aca="false">J187-R187</f>
        <v>0.1</v>
      </c>
      <c r="T187" s="14" t="n">
        <f aca="false">MIN(189.6,(T186+S187))</f>
        <v>188.4</v>
      </c>
      <c r="V187" s="8" t="n">
        <v>964.7</v>
      </c>
      <c r="W187" s="8" t="n">
        <v>172.267857142857</v>
      </c>
      <c r="X187" s="8" t="n">
        <v>87598.6</v>
      </c>
      <c r="Y187" s="8" t="n">
        <f aca="false">Y186+V187</f>
        <v>28320.9</v>
      </c>
      <c r="AA187" s="8" t="n">
        <v>10.9840087830034</v>
      </c>
    </row>
    <row r="188" s="8" customFormat="true" ht="15" hidden="false" customHeight="false" outlineLevel="0" collapsed="false">
      <c r="A188" s="27"/>
      <c r="B188" s="10"/>
      <c r="C188" s="11" t="n">
        <v>42066</v>
      </c>
      <c r="D188" s="18" t="n">
        <v>4.4</v>
      </c>
      <c r="E188" s="18" t="n">
        <v>1.5</v>
      </c>
      <c r="F188" s="8" t="n">
        <v>7.9</v>
      </c>
      <c r="G188" s="8" t="n">
        <v>1485.4</v>
      </c>
      <c r="H188" s="8" t="n">
        <f aca="false">H187+D188</f>
        <v>373.2</v>
      </c>
      <c r="J188" s="32" t="n">
        <v>1.9</v>
      </c>
      <c r="K188" s="8" t="n">
        <v>336.3</v>
      </c>
      <c r="L188" s="8" t="n">
        <v>0.9</v>
      </c>
      <c r="M188" s="8" t="n">
        <v>178.1</v>
      </c>
      <c r="N188" s="8" t="n">
        <v>1</v>
      </c>
      <c r="O188" s="8" t="n">
        <f aca="false">O187+N188</f>
        <v>203.1</v>
      </c>
      <c r="P188" s="8" t="n">
        <v>183</v>
      </c>
      <c r="Q188" s="8" t="n">
        <v>1</v>
      </c>
      <c r="R188" s="14" t="n">
        <f aca="false">Q188*L188</f>
        <v>0.9</v>
      </c>
      <c r="S188" s="14" t="n">
        <f aca="false">J188-R188</f>
        <v>1</v>
      </c>
      <c r="T188" s="14" t="n">
        <f aca="false">MIN(189.6,(T187+S188))</f>
        <v>189.4</v>
      </c>
      <c r="V188" s="15" t="n">
        <v>390.3</v>
      </c>
      <c r="W188" s="8" t="n">
        <v>88.7045454545455</v>
      </c>
      <c r="X188" s="8" t="n">
        <v>87988.9</v>
      </c>
      <c r="Y188" s="8" t="n">
        <f aca="false">Y187+V188</f>
        <v>28711.2</v>
      </c>
      <c r="AA188" s="8" t="n">
        <v>11.0452205681135</v>
      </c>
      <c r="AB188" s="33" t="s">
        <v>60</v>
      </c>
    </row>
    <row r="189" s="8" customFormat="true" ht="15" hidden="false" customHeight="false" outlineLevel="0" collapsed="false">
      <c r="A189" s="27"/>
      <c r="B189" s="10"/>
      <c r="C189" s="11" t="n">
        <v>42067</v>
      </c>
      <c r="D189" s="18" t="n">
        <v>4.1</v>
      </c>
      <c r="E189" s="18" t="n">
        <v>0.7</v>
      </c>
      <c r="F189" s="8" t="n">
        <v>7.3</v>
      </c>
      <c r="G189" s="8" t="n">
        <v>1489.5</v>
      </c>
      <c r="H189" s="8" t="n">
        <f aca="false">H188+D189</f>
        <v>377.3</v>
      </c>
      <c r="J189" s="32" t="n">
        <v>0.4</v>
      </c>
      <c r="K189" s="8" t="n">
        <v>336.7</v>
      </c>
      <c r="L189" s="8" t="n">
        <v>1.4</v>
      </c>
      <c r="M189" s="8" t="n">
        <v>179.5</v>
      </c>
      <c r="N189" s="13" t="n">
        <v>-1</v>
      </c>
      <c r="O189" s="8" t="n">
        <f aca="false">O188+N189</f>
        <v>202.1</v>
      </c>
      <c r="P189" s="8" t="n">
        <v>184</v>
      </c>
      <c r="Q189" s="8" t="n">
        <v>1</v>
      </c>
      <c r="R189" s="14" t="n">
        <f aca="false">Q189*L189</f>
        <v>1.4</v>
      </c>
      <c r="S189" s="14" t="n">
        <f aca="false">J189-R189</f>
        <v>-1</v>
      </c>
      <c r="T189" s="14" t="n">
        <f aca="false">MIN(189.6,(T188+S189))</f>
        <v>188.4</v>
      </c>
      <c r="V189" s="8" t="n">
        <v>1253.7</v>
      </c>
      <c r="W189" s="8" t="n">
        <v>305.780487804878</v>
      </c>
      <c r="X189" s="8" t="n">
        <v>89242.6</v>
      </c>
      <c r="Y189" s="8" t="n">
        <f aca="false">Y188+V189</f>
        <v>29964.9</v>
      </c>
      <c r="AA189" s="8" t="n">
        <v>11.1065467497302</v>
      </c>
      <c r="AB189" s="16" t="n">
        <f aca="false">AVERAGE(T195:T208)</f>
        <v>171.568693877551</v>
      </c>
    </row>
    <row r="190" s="8" customFormat="true" ht="15" hidden="false" customHeight="false" outlineLevel="0" collapsed="false">
      <c r="A190" s="27"/>
      <c r="B190" s="10"/>
      <c r="C190" s="11" t="n">
        <v>42068</v>
      </c>
      <c r="D190" s="18" t="n">
        <v>4.1</v>
      </c>
      <c r="E190" s="30" t="n">
        <v>-0.4</v>
      </c>
      <c r="F190" s="8" t="n">
        <v>8.8</v>
      </c>
      <c r="G190" s="8" t="n">
        <v>1493.6</v>
      </c>
      <c r="H190" s="8" t="n">
        <f aca="false">H189+D190</f>
        <v>381.4</v>
      </c>
      <c r="J190" s="32" t="n">
        <v>0.1</v>
      </c>
      <c r="K190" s="8" t="n">
        <v>336.8</v>
      </c>
      <c r="L190" s="8" t="n">
        <v>1.4</v>
      </c>
      <c r="M190" s="8" t="n">
        <v>180.9</v>
      </c>
      <c r="N190" s="13" t="n">
        <v>-1.3</v>
      </c>
      <c r="O190" s="8" t="n">
        <f aca="false">O189+N190</f>
        <v>200.8</v>
      </c>
      <c r="P190" s="8" t="n">
        <v>185</v>
      </c>
      <c r="Q190" s="8" t="n">
        <v>1</v>
      </c>
      <c r="R190" s="14" t="n">
        <f aca="false">Q190*L190</f>
        <v>1.4</v>
      </c>
      <c r="S190" s="14" t="n">
        <f aca="false">J190-R190</f>
        <v>-1.3</v>
      </c>
      <c r="T190" s="14" t="n">
        <f aca="false">MIN(189.6,(T189+S190))</f>
        <v>187.1</v>
      </c>
      <c r="V190" s="8" t="n">
        <v>1093.3</v>
      </c>
      <c r="W190" s="8" t="n">
        <v>266.658536585366</v>
      </c>
      <c r="X190" s="8" t="n">
        <v>90335.9</v>
      </c>
      <c r="Y190" s="8" t="n">
        <f aca="false">Y189+V190</f>
        <v>31058.2</v>
      </c>
      <c r="AA190" s="8" t="n">
        <v>11.1679780045177</v>
      </c>
      <c r="AB190" s="33" t="s">
        <v>47</v>
      </c>
    </row>
    <row r="191" s="8" customFormat="true" ht="15" hidden="false" customHeight="false" outlineLevel="0" collapsed="false">
      <c r="A191" s="27"/>
      <c r="B191" s="10"/>
      <c r="C191" s="11" t="n">
        <v>42069</v>
      </c>
      <c r="D191" s="18" t="n">
        <v>4.5</v>
      </c>
      <c r="E191" s="30" t="n">
        <v>-0.2</v>
      </c>
      <c r="F191" s="8" t="n">
        <v>9.5</v>
      </c>
      <c r="G191" s="8" t="n">
        <v>1498.1</v>
      </c>
      <c r="H191" s="8" t="n">
        <f aca="false">H190+D191</f>
        <v>385.9</v>
      </c>
      <c r="J191" s="32" t="n">
        <v>0.1</v>
      </c>
      <c r="K191" s="8" t="n">
        <v>336.9</v>
      </c>
      <c r="L191" s="8" t="n">
        <v>1.1</v>
      </c>
      <c r="M191" s="8" t="n">
        <v>182</v>
      </c>
      <c r="N191" s="13" t="n">
        <v>-1</v>
      </c>
      <c r="O191" s="8" t="n">
        <f aca="false">O190+N191</f>
        <v>199.8</v>
      </c>
      <c r="P191" s="8" t="n">
        <v>186</v>
      </c>
      <c r="Q191" s="8" t="n">
        <v>1</v>
      </c>
      <c r="R191" s="14" t="n">
        <f aca="false">Q191*L191</f>
        <v>1.1</v>
      </c>
      <c r="S191" s="14" t="n">
        <f aca="false">J191-R191</f>
        <v>-1</v>
      </c>
      <c r="T191" s="14" t="n">
        <f aca="false">MIN(189.6,(T190+S191))</f>
        <v>186.1</v>
      </c>
      <c r="V191" s="15" t="n">
        <v>778.2</v>
      </c>
      <c r="W191" s="8" t="n">
        <v>172.933333333333</v>
      </c>
      <c r="X191" s="8" t="n">
        <v>91114.1</v>
      </c>
      <c r="Y191" s="8" t="n">
        <f aca="false">Y190+V191</f>
        <v>31836.4</v>
      </c>
      <c r="AA191" s="8" t="n">
        <v>11.2295053735237</v>
      </c>
      <c r="AB191" s="8" t="n">
        <v>2</v>
      </c>
    </row>
    <row r="192" s="23" customFormat="true" ht="15" hidden="false" customHeight="false" outlineLevel="0" collapsed="false">
      <c r="A192" s="27"/>
      <c r="B192" s="20"/>
      <c r="C192" s="21" t="n">
        <v>42070</v>
      </c>
      <c r="D192" s="22" t="n">
        <v>6</v>
      </c>
      <c r="E192" s="22" t="n">
        <v>0.6</v>
      </c>
      <c r="F192" s="22" t="n">
        <v>10.1</v>
      </c>
      <c r="G192" s="22" t="n">
        <v>1504.1</v>
      </c>
      <c r="H192" s="23" t="n">
        <f aca="false">H191+D192</f>
        <v>391.9</v>
      </c>
      <c r="I192" s="22"/>
      <c r="J192" s="69" t="n">
        <v>0</v>
      </c>
      <c r="K192" s="22" t="n">
        <v>336.9</v>
      </c>
      <c r="L192" s="22" t="n">
        <v>1.3</v>
      </c>
      <c r="M192" s="22" t="n">
        <v>183.3</v>
      </c>
      <c r="N192" s="22" t="n">
        <v>-1.3</v>
      </c>
      <c r="O192" s="22" t="n">
        <f aca="false">O191+N192</f>
        <v>198.5</v>
      </c>
      <c r="P192" s="22" t="n">
        <v>187</v>
      </c>
      <c r="Q192" s="22" t="n">
        <v>1</v>
      </c>
      <c r="R192" s="24" t="n">
        <f aca="false">Q192*L192</f>
        <v>1.3</v>
      </c>
      <c r="S192" s="24" t="n">
        <f aca="false">J192-R192</f>
        <v>-1.3</v>
      </c>
      <c r="T192" s="25" t="n">
        <f aca="false">MIN(189.6,(T191+S192))</f>
        <v>184.8</v>
      </c>
      <c r="U192" s="22"/>
      <c r="V192" s="22" t="n">
        <v>827.6</v>
      </c>
      <c r="W192" s="22" t="n">
        <v>137.933333333333</v>
      </c>
      <c r="X192" s="22" t="n">
        <v>91941.7</v>
      </c>
      <c r="Y192" s="23" t="n">
        <f aca="false">Y191+V192</f>
        <v>32664</v>
      </c>
      <c r="Z192" s="22"/>
      <c r="AA192" s="23" t="n">
        <v>11.2911202416762</v>
      </c>
      <c r="AB192" s="23" t="s">
        <v>48</v>
      </c>
    </row>
    <row r="193" s="8" customFormat="true" ht="15" hidden="false" customHeight="true" outlineLevel="0" collapsed="false">
      <c r="A193" s="44" t="s">
        <v>52</v>
      </c>
      <c r="B193" s="10"/>
      <c r="C193" s="11" t="n">
        <v>42071</v>
      </c>
      <c r="D193" s="8" t="n">
        <v>8.4</v>
      </c>
      <c r="E193" s="18" t="n">
        <v>1</v>
      </c>
      <c r="F193" s="8" t="n">
        <v>14.6</v>
      </c>
      <c r="G193" s="8" t="n">
        <v>1512.5</v>
      </c>
      <c r="H193" s="8" t="n">
        <v>8.4</v>
      </c>
      <c r="I193" s="45" t="s">
        <v>28</v>
      </c>
      <c r="J193" s="32" t="n">
        <v>0</v>
      </c>
      <c r="K193" s="8" t="n">
        <v>336.9</v>
      </c>
      <c r="L193" s="8" t="n">
        <v>1.9</v>
      </c>
      <c r="M193" s="8" t="n">
        <v>185.2</v>
      </c>
      <c r="N193" s="13" t="n">
        <v>-1.9</v>
      </c>
      <c r="O193" s="8" t="n">
        <f aca="false">O192+N193</f>
        <v>196.6</v>
      </c>
      <c r="P193" s="8" t="n">
        <v>188</v>
      </c>
      <c r="Q193" s="16" t="n">
        <f aca="false">1+((P193-187)/35)*(1.15-1)</f>
        <v>1.00428571428571</v>
      </c>
      <c r="R193" s="14" t="n">
        <f aca="false">Q193*L193</f>
        <v>1.90814285714286</v>
      </c>
      <c r="S193" s="14" t="n">
        <f aca="false">J193-R193</f>
        <v>-1.90814285714286</v>
      </c>
      <c r="T193" s="14" t="n">
        <f aca="false">MIN(189.6,(T192+S193))</f>
        <v>182.891857142857</v>
      </c>
      <c r="U193" s="45" t="s">
        <v>29</v>
      </c>
      <c r="V193" s="8" t="n">
        <v>1330.3</v>
      </c>
      <c r="W193" s="8" t="n">
        <v>158.369047619048</v>
      </c>
      <c r="X193" s="8" t="n">
        <v>93272</v>
      </c>
      <c r="Y193" s="8" t="n">
        <v>1330.3</v>
      </c>
      <c r="Z193" s="45" t="s">
        <v>30</v>
      </c>
      <c r="AA193" s="8" t="n">
        <v>11.3528143173298</v>
      </c>
      <c r="AB193" s="8" t="n">
        <v>8</v>
      </c>
    </row>
    <row r="194" s="8" customFormat="true" ht="15" hidden="false" customHeight="false" outlineLevel="0" collapsed="false">
      <c r="A194" s="44"/>
      <c r="B194" s="10"/>
      <c r="C194" s="11" t="n">
        <v>42072</v>
      </c>
      <c r="D194" s="8" t="n">
        <v>8.7</v>
      </c>
      <c r="E194" s="8" t="n">
        <v>7.7</v>
      </c>
      <c r="F194" s="8" t="n">
        <v>10</v>
      </c>
      <c r="G194" s="8" t="n">
        <v>1521.2</v>
      </c>
      <c r="H194" s="8" t="n">
        <f aca="false">H193+D194</f>
        <v>17.1</v>
      </c>
      <c r="I194" s="8" t="n">
        <v>-2.5</v>
      </c>
      <c r="J194" s="32" t="n">
        <v>0.3</v>
      </c>
      <c r="K194" s="8" t="n">
        <v>337.2</v>
      </c>
      <c r="L194" s="8" t="n">
        <v>0.8</v>
      </c>
      <c r="M194" s="8" t="n">
        <v>186</v>
      </c>
      <c r="N194" s="13" t="n">
        <v>-0.5</v>
      </c>
      <c r="O194" s="8" t="n">
        <f aca="false">O193+N194</f>
        <v>196.1</v>
      </c>
      <c r="P194" s="8" t="n">
        <v>189</v>
      </c>
      <c r="Q194" s="16" t="n">
        <f aca="false">1+((P194-187)/35)*(1.15-1)</f>
        <v>1.00857142857143</v>
      </c>
      <c r="R194" s="14" t="n">
        <f aca="false">Q194*L194</f>
        <v>0.806857142857143</v>
      </c>
      <c r="S194" s="14" t="n">
        <f aca="false">J194-R194</f>
        <v>-0.506857142857143</v>
      </c>
      <c r="T194" s="14" t="n">
        <f aca="false">MIN(189.6,(T193+S194))</f>
        <v>182.385</v>
      </c>
      <c r="U194" s="8" t="n">
        <v>29</v>
      </c>
      <c r="V194" s="15" t="n">
        <v>606.7</v>
      </c>
      <c r="W194" s="8" t="n">
        <v>69.7356321839081</v>
      </c>
      <c r="X194" s="8" t="n">
        <v>93878.7</v>
      </c>
      <c r="Y194" s="8" t="n">
        <f aca="false">Y193+V194</f>
        <v>1937</v>
      </c>
      <c r="Z194" s="8" t="n">
        <v>37212.7</v>
      </c>
      <c r="AA194" s="8" t="n">
        <v>11.4145796118836</v>
      </c>
      <c r="AB194" s="33" t="s">
        <v>49</v>
      </c>
    </row>
    <row r="195" s="8" customFormat="true" ht="15" hidden="false" customHeight="false" outlineLevel="0" collapsed="false">
      <c r="A195" s="44"/>
      <c r="B195" s="10"/>
      <c r="C195" s="11" t="n">
        <v>42073</v>
      </c>
      <c r="D195" s="8" t="n">
        <v>8.7</v>
      </c>
      <c r="E195" s="8" t="n">
        <v>7.5</v>
      </c>
      <c r="F195" s="8" t="n">
        <v>11.5</v>
      </c>
      <c r="G195" s="8" t="n">
        <v>1529.9</v>
      </c>
      <c r="H195" s="8" t="n">
        <f aca="false">H194+D195</f>
        <v>25.8</v>
      </c>
      <c r="I195" s="45" t="s">
        <v>31</v>
      </c>
      <c r="J195" s="32" t="n">
        <v>0.1</v>
      </c>
      <c r="K195" s="8" t="n">
        <v>337.3</v>
      </c>
      <c r="L195" s="8" t="n">
        <v>1.5</v>
      </c>
      <c r="M195" s="8" t="n">
        <v>187.5</v>
      </c>
      <c r="N195" s="13" t="n">
        <v>-1.4</v>
      </c>
      <c r="O195" s="8" t="n">
        <f aca="false">O194+N195</f>
        <v>194.7</v>
      </c>
      <c r="P195" s="8" t="n">
        <v>190</v>
      </c>
      <c r="Q195" s="16" t="n">
        <f aca="false">1+((P195-187)/35)*(1.15-1)</f>
        <v>1.01285714285714</v>
      </c>
      <c r="R195" s="14" t="n">
        <f aca="false">Q195*L195</f>
        <v>1.51928571428571</v>
      </c>
      <c r="S195" s="14" t="n">
        <f aca="false">J195-R195</f>
        <v>-1.41928571428571</v>
      </c>
      <c r="T195" s="34" t="n">
        <f aca="false">MIN(189.6,(T194+S195))</f>
        <v>180.965714285714</v>
      </c>
      <c r="U195" s="45" t="s">
        <v>32</v>
      </c>
      <c r="V195" s="8" t="n">
        <v>1010.4</v>
      </c>
      <c r="W195" s="8" t="n">
        <v>116.137931034483</v>
      </c>
      <c r="X195" s="8" t="n">
        <v>94889.1</v>
      </c>
      <c r="Y195" s="8" t="n">
        <f aca="false">Y194+V195</f>
        <v>2947.4</v>
      </c>
      <c r="Z195" s="45" t="s">
        <v>33</v>
      </c>
      <c r="AA195" s="8" t="n">
        <v>11.4764084194862</v>
      </c>
      <c r="AB195" s="8" t="n">
        <v>0</v>
      </c>
    </row>
    <row r="196" s="8" customFormat="true" ht="15" hidden="false" customHeight="false" outlineLevel="0" collapsed="false">
      <c r="A196" s="44"/>
      <c r="B196" s="10"/>
      <c r="C196" s="11" t="n">
        <v>42074</v>
      </c>
      <c r="D196" s="8" t="n">
        <v>6</v>
      </c>
      <c r="E196" s="18" t="n">
        <v>2.2</v>
      </c>
      <c r="F196" s="8" t="n">
        <v>10.5</v>
      </c>
      <c r="G196" s="8" t="n">
        <v>1535.9</v>
      </c>
      <c r="H196" s="8" t="n">
        <f aca="false">H195+D196</f>
        <v>31.8</v>
      </c>
      <c r="I196" s="8" t="n">
        <f aca="false">MAX(F193:F227)</f>
        <v>20.6</v>
      </c>
      <c r="J196" s="32" t="n">
        <v>0</v>
      </c>
      <c r="K196" s="8" t="n">
        <v>337.3</v>
      </c>
      <c r="L196" s="8" t="n">
        <v>1</v>
      </c>
      <c r="M196" s="8" t="n">
        <v>188.5</v>
      </c>
      <c r="N196" s="13" t="n">
        <v>-1</v>
      </c>
      <c r="O196" s="8" t="n">
        <f aca="false">O195+N196</f>
        <v>193.7</v>
      </c>
      <c r="P196" s="8" t="n">
        <v>191</v>
      </c>
      <c r="Q196" s="16" t="n">
        <f aca="false">1+((P196-187)/35)*(1.15-1)</f>
        <v>1.01714285714286</v>
      </c>
      <c r="R196" s="14" t="n">
        <f aca="false">Q196*L196</f>
        <v>1.01714285714286</v>
      </c>
      <c r="S196" s="14" t="n">
        <f aca="false">J196-R196</f>
        <v>-1.01714285714286</v>
      </c>
      <c r="T196" s="34" t="n">
        <f aca="false">MIN(189.6,(T195+S196))</f>
        <v>179.948571428571</v>
      </c>
      <c r="U196" s="8" t="n">
        <v>0</v>
      </c>
      <c r="V196" s="15" t="n">
        <v>619.2</v>
      </c>
      <c r="W196" s="8" t="n">
        <v>103.2</v>
      </c>
      <c r="X196" s="8" t="n">
        <v>95508.3</v>
      </c>
      <c r="Y196" s="8" t="n">
        <f aca="false">Y195+V196</f>
        <v>3566.6</v>
      </c>
      <c r="Z196" s="16" t="n">
        <f aca="false">(Z194/100)/I206</f>
        <v>1.48198725607328</v>
      </c>
      <c r="AA196" s="8" t="n">
        <v>11.5382932968443</v>
      </c>
      <c r="AB196" s="33" t="s">
        <v>50</v>
      </c>
    </row>
    <row r="197" s="8" customFormat="true" ht="15" hidden="false" customHeight="false" outlineLevel="0" collapsed="false">
      <c r="A197" s="44"/>
      <c r="B197" s="10"/>
      <c r="C197" s="11" t="n">
        <v>42075</v>
      </c>
      <c r="D197" s="8" t="n">
        <v>6</v>
      </c>
      <c r="E197" s="30" t="n">
        <v>-0.3</v>
      </c>
      <c r="F197" s="8" t="n">
        <v>11.6</v>
      </c>
      <c r="G197" s="8" t="n">
        <v>1541.9</v>
      </c>
      <c r="H197" s="8" t="n">
        <f aca="false">H196+D197</f>
        <v>37.8</v>
      </c>
      <c r="I197" s="45" t="s">
        <v>34</v>
      </c>
      <c r="J197" s="32" t="n">
        <v>0</v>
      </c>
      <c r="K197" s="8" t="n">
        <v>337.3</v>
      </c>
      <c r="L197" s="8" t="n">
        <v>2.2</v>
      </c>
      <c r="M197" s="8" t="n">
        <v>190.7</v>
      </c>
      <c r="N197" s="13" t="n">
        <v>-2.2</v>
      </c>
      <c r="O197" s="8" t="n">
        <f aca="false">O196+N197</f>
        <v>191.5</v>
      </c>
      <c r="P197" s="8" t="n">
        <v>192</v>
      </c>
      <c r="Q197" s="16" t="n">
        <f aca="false">1+((P197-187)/35)*(1.15-1)</f>
        <v>1.02142857142857</v>
      </c>
      <c r="R197" s="14" t="n">
        <f aca="false">Q197*L197</f>
        <v>2.24714285714286</v>
      </c>
      <c r="S197" s="14" t="n">
        <f aca="false">J197-R197</f>
        <v>-2.24714285714286</v>
      </c>
      <c r="T197" s="34" t="n">
        <f aca="false">MIN(189.6,(T196+S197))</f>
        <v>177.701428571429</v>
      </c>
      <c r="U197" s="45" t="s">
        <v>35</v>
      </c>
      <c r="V197" s="8" t="n">
        <v>1502.7</v>
      </c>
      <c r="W197" s="8" t="n">
        <v>250.45</v>
      </c>
      <c r="X197" s="8" t="n">
        <v>97011</v>
      </c>
      <c r="Y197" s="8" t="n">
        <f aca="false">Y196+V197</f>
        <v>5069.3</v>
      </c>
      <c r="Z197" s="45" t="s">
        <v>36</v>
      </c>
      <c r="AA197" s="8" t="n">
        <v>11.6002270431453</v>
      </c>
      <c r="AB197" s="8" t="n">
        <f aca="false">SUM(J199:J208)</f>
        <v>0.6</v>
      </c>
    </row>
    <row r="198" s="37" customFormat="true" ht="15" hidden="false" customHeight="false" outlineLevel="0" collapsed="false">
      <c r="A198" s="44"/>
      <c r="B198" s="35" t="s">
        <v>51</v>
      </c>
      <c r="C198" s="36" t="n">
        <v>42076</v>
      </c>
      <c r="D198" s="37" t="n">
        <v>5.1</v>
      </c>
      <c r="E198" s="37" t="n">
        <v>-0.1</v>
      </c>
      <c r="F198" s="37" t="n">
        <v>9.4</v>
      </c>
      <c r="G198" s="37" t="n">
        <v>1547</v>
      </c>
      <c r="H198" s="37" t="n">
        <f aca="false">H197+D198</f>
        <v>42.9</v>
      </c>
      <c r="I198" s="38" t="n">
        <f aca="false">AVERAGE(D193:D227)</f>
        <v>7.17428571428572</v>
      </c>
      <c r="J198" s="37" t="n">
        <v>0</v>
      </c>
      <c r="K198" s="37" t="n">
        <v>337.3</v>
      </c>
      <c r="L198" s="37" t="n">
        <v>1.5</v>
      </c>
      <c r="M198" s="37" t="n">
        <v>192.2</v>
      </c>
      <c r="N198" s="37" t="n">
        <v>-1.5</v>
      </c>
      <c r="O198" s="37" t="n">
        <f aca="false">O197+N198</f>
        <v>190</v>
      </c>
      <c r="P198" s="37" t="n">
        <v>193</v>
      </c>
      <c r="Q198" s="46" t="n">
        <f aca="false">1+((P198-187)/35)*(1.15-1)</f>
        <v>1.02571428571429</v>
      </c>
      <c r="R198" s="38" t="n">
        <f aca="false">Q198*L198</f>
        <v>1.53857142857143</v>
      </c>
      <c r="S198" s="38" t="n">
        <f aca="false">J198-R198</f>
        <v>-1.53857142857143</v>
      </c>
      <c r="T198" s="38" t="n">
        <f aca="false">MIN(189.6,(T197+S198))</f>
        <v>176.162857142857</v>
      </c>
      <c r="U198" s="37" t="n">
        <v>0</v>
      </c>
      <c r="V198" s="37" t="n">
        <v>1200</v>
      </c>
      <c r="W198" s="37" t="n">
        <v>235.294117647059</v>
      </c>
      <c r="X198" s="37" t="n">
        <v>98211</v>
      </c>
      <c r="Y198" s="37" t="n">
        <f aca="false">Y197+V198</f>
        <v>6269.3</v>
      </c>
      <c r="Z198" s="37" t="n">
        <v>14</v>
      </c>
      <c r="AA198" s="37" t="n">
        <v>11.6622026801018</v>
      </c>
    </row>
    <row r="199" s="8" customFormat="true" ht="15" hidden="false" customHeight="false" outlineLevel="0" collapsed="false">
      <c r="A199" s="44"/>
      <c r="B199" s="10"/>
      <c r="C199" s="11" t="n">
        <v>42077</v>
      </c>
      <c r="D199" s="8" t="n">
        <v>5.3</v>
      </c>
      <c r="E199" s="18" t="n">
        <v>2.7</v>
      </c>
      <c r="F199" s="8" t="n">
        <v>7.8</v>
      </c>
      <c r="G199" s="8" t="n">
        <v>1552.3</v>
      </c>
      <c r="H199" s="8" t="n">
        <f aca="false">H198+D199</f>
        <v>48.2</v>
      </c>
      <c r="I199" s="45" t="s">
        <v>37</v>
      </c>
      <c r="J199" s="32" t="n">
        <v>0.1</v>
      </c>
      <c r="K199" s="8" t="n">
        <v>337.4</v>
      </c>
      <c r="L199" s="8" t="n">
        <v>1.7</v>
      </c>
      <c r="M199" s="8" t="n">
        <v>193.9</v>
      </c>
      <c r="N199" s="13" t="n">
        <v>-1.6</v>
      </c>
      <c r="O199" s="8" t="n">
        <f aca="false">O198+N199</f>
        <v>188.4</v>
      </c>
      <c r="P199" s="8" t="n">
        <v>194</v>
      </c>
      <c r="Q199" s="16" t="n">
        <f aca="false">1+((P199-187)/35)*(1.15-1)</f>
        <v>1.03</v>
      </c>
      <c r="R199" s="14" t="n">
        <f aca="false">Q199*L199</f>
        <v>1.751</v>
      </c>
      <c r="S199" s="14" t="n">
        <f aca="false">J199-R199</f>
        <v>-1.651</v>
      </c>
      <c r="T199" s="34" t="n">
        <f aca="false">MIN(189.6,(T198+S199))</f>
        <v>174.511857142857</v>
      </c>
      <c r="U199" s="45" t="s">
        <v>38</v>
      </c>
      <c r="V199" s="8" t="n">
        <v>1286.8</v>
      </c>
      <c r="W199" s="8" t="n">
        <v>242.792452830189</v>
      </c>
      <c r="X199" s="8" t="n">
        <v>99497.8</v>
      </c>
      <c r="Y199" s="8" t="n">
        <f aca="false">Y198+V199</f>
        <v>7556.1</v>
      </c>
      <c r="AA199" s="8" t="n">
        <v>11.7242134321258</v>
      </c>
    </row>
    <row r="200" s="8" customFormat="true" ht="15" hidden="false" customHeight="false" outlineLevel="0" collapsed="false">
      <c r="A200" s="44"/>
      <c r="B200" s="10"/>
      <c r="C200" s="11" t="n">
        <v>42078</v>
      </c>
      <c r="D200" s="18" t="n">
        <v>4.6</v>
      </c>
      <c r="E200" s="18" t="n">
        <v>3.7</v>
      </c>
      <c r="F200" s="8" t="n">
        <v>5.9</v>
      </c>
      <c r="G200" s="8" t="n">
        <v>1556.9</v>
      </c>
      <c r="H200" s="8" t="n">
        <f aca="false">H199+D200</f>
        <v>52.8</v>
      </c>
      <c r="I200" s="8" t="n">
        <v>5</v>
      </c>
      <c r="J200" s="32" t="n">
        <v>0.5</v>
      </c>
      <c r="K200" s="8" t="n">
        <v>337.9</v>
      </c>
      <c r="L200" s="8" t="n">
        <v>0.5</v>
      </c>
      <c r="M200" s="8" t="n">
        <v>194.4</v>
      </c>
      <c r="N200" s="8" t="n">
        <v>0</v>
      </c>
      <c r="O200" s="8" t="n">
        <f aca="false">O199+N200</f>
        <v>188.4</v>
      </c>
      <c r="P200" s="8" t="n">
        <v>195</v>
      </c>
      <c r="Q200" s="16" t="n">
        <f aca="false">1+((P200-187)/35)*(1.15-1)</f>
        <v>1.03428571428571</v>
      </c>
      <c r="R200" s="14" t="n">
        <f aca="false">Q200*L200</f>
        <v>0.517142857142857</v>
      </c>
      <c r="S200" s="14" t="n">
        <f aca="false">J200-R200</f>
        <v>-0.0171428571428571</v>
      </c>
      <c r="T200" s="34" t="n">
        <f aca="false">MIN(189.6,(T199+S200))</f>
        <v>174.494714285714</v>
      </c>
      <c r="U200" s="14" t="n">
        <f aca="false">MIN(T193:T227)</f>
        <v>156.915714285714</v>
      </c>
      <c r="V200" s="15" t="n">
        <v>358.4</v>
      </c>
      <c r="W200" s="8" t="n">
        <v>77.9130434782609</v>
      </c>
      <c r="X200" s="8" t="n">
        <v>99856.2</v>
      </c>
      <c r="Y200" s="8" t="n">
        <f aca="false">Y199+V200</f>
        <v>7914.5</v>
      </c>
      <c r="AA200" s="8" t="n">
        <v>11.7862527066358</v>
      </c>
    </row>
    <row r="201" s="8" customFormat="true" ht="15" hidden="false" customHeight="false" outlineLevel="0" collapsed="false">
      <c r="A201" s="44"/>
      <c r="B201" s="10"/>
      <c r="C201" s="11" t="n">
        <v>42079</v>
      </c>
      <c r="D201" s="8" t="n">
        <v>5.1</v>
      </c>
      <c r="E201" s="30" t="n">
        <v>-0.3</v>
      </c>
      <c r="F201" s="8" t="n">
        <v>8.9</v>
      </c>
      <c r="G201" s="8" t="n">
        <v>1562</v>
      </c>
      <c r="H201" s="8" t="n">
        <f aca="false">H200+D201</f>
        <v>57.9</v>
      </c>
      <c r="I201" s="45" t="s">
        <v>39</v>
      </c>
      <c r="J201" s="32" t="n">
        <v>0</v>
      </c>
      <c r="K201" s="8" t="n">
        <v>337.9</v>
      </c>
      <c r="L201" s="8" t="n">
        <v>1</v>
      </c>
      <c r="M201" s="8" t="n">
        <v>195.4</v>
      </c>
      <c r="N201" s="13" t="n">
        <v>-1</v>
      </c>
      <c r="O201" s="8" t="n">
        <f aca="false">O200+N201</f>
        <v>187.4</v>
      </c>
      <c r="P201" s="8" t="n">
        <v>196</v>
      </c>
      <c r="Q201" s="16" t="n">
        <f aca="false">1+((P201-187)/35)*(1.15-1)</f>
        <v>1.03857142857143</v>
      </c>
      <c r="R201" s="14" t="n">
        <f aca="false">Q201*L201</f>
        <v>1.03857142857143</v>
      </c>
      <c r="S201" s="14" t="n">
        <f aca="false">J201-R201</f>
        <v>-1.03857142857143</v>
      </c>
      <c r="T201" s="34" t="n">
        <f aca="false">MIN(189.6,(T200+S201))</f>
        <v>173.456142857143</v>
      </c>
      <c r="U201" s="45" t="s">
        <v>40</v>
      </c>
      <c r="V201" s="8" t="n">
        <v>1016.6</v>
      </c>
      <c r="W201" s="8" t="n">
        <v>199.333333333333</v>
      </c>
      <c r="X201" s="8" t="n">
        <v>100872.8</v>
      </c>
      <c r="Y201" s="8" t="n">
        <f aca="false">Y200+V201</f>
        <v>8931.1</v>
      </c>
      <c r="AA201" s="8" t="n">
        <v>11.8483140744981</v>
      </c>
    </row>
    <row r="202" s="8" customFormat="true" ht="15" hidden="false" customHeight="false" outlineLevel="0" collapsed="false">
      <c r="A202" s="44"/>
      <c r="B202" s="10"/>
      <c r="C202" s="11" t="n">
        <v>42080</v>
      </c>
      <c r="D202" s="8" t="n">
        <v>8.1</v>
      </c>
      <c r="E202" s="18" t="n">
        <v>1.1</v>
      </c>
      <c r="F202" s="8" t="n">
        <v>14.1</v>
      </c>
      <c r="G202" s="8" t="n">
        <v>1570.1</v>
      </c>
      <c r="H202" s="8" t="n">
        <f aca="false">H201+D202</f>
        <v>66</v>
      </c>
      <c r="I202" s="8" t="n">
        <v>0</v>
      </c>
      <c r="J202" s="32" t="n">
        <v>0</v>
      </c>
      <c r="K202" s="8" t="n">
        <v>337.9</v>
      </c>
      <c r="L202" s="8" t="n">
        <v>2.1</v>
      </c>
      <c r="M202" s="8" t="n">
        <v>197.5</v>
      </c>
      <c r="N202" s="13" t="n">
        <v>-2.1</v>
      </c>
      <c r="O202" s="8" t="n">
        <f aca="false">O201+N202</f>
        <v>185.3</v>
      </c>
      <c r="P202" s="8" t="n">
        <v>197</v>
      </c>
      <c r="Q202" s="16" t="n">
        <f aca="false">1+((P202-187)/35)*(1.15-1)</f>
        <v>1.04285714285714</v>
      </c>
      <c r="R202" s="14" t="n">
        <f aca="false">Q202*L202</f>
        <v>2.19</v>
      </c>
      <c r="S202" s="14" t="n">
        <f aca="false">J202-R202</f>
        <v>-2.19</v>
      </c>
      <c r="T202" s="34" t="n">
        <f aca="false">MIN(189.6,(T201+S202))</f>
        <v>171.266142857143</v>
      </c>
      <c r="U202" s="14" t="n">
        <f aca="false">MAX(T193:T227)</f>
        <v>182.891857142857</v>
      </c>
      <c r="V202" s="8" t="n">
        <v>1471.5</v>
      </c>
      <c r="W202" s="8" t="n">
        <v>181.666666666667</v>
      </c>
      <c r="X202" s="8" t="n">
        <v>102344.3</v>
      </c>
      <c r="Y202" s="8" t="n">
        <f aca="false">Y201+V202</f>
        <v>10402.6</v>
      </c>
      <c r="AA202" s="8" t="n">
        <v>11.9103912506042</v>
      </c>
    </row>
    <row r="203" s="8" customFormat="true" ht="15" hidden="false" customHeight="false" outlineLevel="0" collapsed="false">
      <c r="A203" s="44"/>
      <c r="B203" s="10"/>
      <c r="C203" s="11" t="n">
        <v>42081</v>
      </c>
      <c r="D203" s="8" t="n">
        <v>7.5</v>
      </c>
      <c r="E203" s="18" t="n">
        <v>4.6</v>
      </c>
      <c r="F203" s="8" t="n">
        <v>11.4</v>
      </c>
      <c r="G203" s="8" t="n">
        <v>1577.6</v>
      </c>
      <c r="H203" s="8" t="n">
        <f aca="false">H202+D203</f>
        <v>73.5</v>
      </c>
      <c r="I203" s="45" t="s">
        <v>41</v>
      </c>
      <c r="J203" s="32" t="n">
        <v>0</v>
      </c>
      <c r="K203" s="8" t="n">
        <v>337.9</v>
      </c>
      <c r="L203" s="8" t="n">
        <v>1.9</v>
      </c>
      <c r="M203" s="8" t="n">
        <v>199.4</v>
      </c>
      <c r="N203" s="13" t="n">
        <v>-1.9</v>
      </c>
      <c r="O203" s="8" t="n">
        <f aca="false">O202+N203</f>
        <v>183.4</v>
      </c>
      <c r="P203" s="8" t="n">
        <v>198</v>
      </c>
      <c r="Q203" s="16" t="n">
        <f aca="false">1+((P203-187)/35)*(1.15-1)</f>
        <v>1.04714285714286</v>
      </c>
      <c r="R203" s="14" t="n">
        <f aca="false">Q203*L203</f>
        <v>1.98957142857143</v>
      </c>
      <c r="S203" s="14" t="n">
        <f aca="false">J203-R203</f>
        <v>-1.98957142857143</v>
      </c>
      <c r="T203" s="34" t="n">
        <f aca="false">MIN(189.6,(T202+S203))</f>
        <v>169.276571428571</v>
      </c>
      <c r="U203" s="45" t="s">
        <v>42</v>
      </c>
      <c r="V203" s="8" t="n">
        <v>1217</v>
      </c>
      <c r="W203" s="8" t="n">
        <v>162.266666666667</v>
      </c>
      <c r="X203" s="8" t="n">
        <v>103561.3</v>
      </c>
      <c r="Y203" s="8" t="n">
        <f aca="false">Y202+V203</f>
        <v>11619.6</v>
      </c>
      <c r="AA203" s="8" t="n">
        <v>11.9724780745811</v>
      </c>
    </row>
    <row r="204" s="8" customFormat="true" ht="15" hidden="false" customHeight="false" outlineLevel="0" collapsed="false">
      <c r="A204" s="44"/>
      <c r="B204" s="10"/>
      <c r="C204" s="11" t="n">
        <v>42082</v>
      </c>
      <c r="D204" s="8" t="n">
        <v>6.5</v>
      </c>
      <c r="E204" s="8" t="n">
        <v>5.5</v>
      </c>
      <c r="F204" s="8" t="n">
        <v>7.5</v>
      </c>
      <c r="G204" s="8" t="n">
        <v>1584.1</v>
      </c>
      <c r="H204" s="8" t="n">
        <f aca="false">H203+D204</f>
        <v>80</v>
      </c>
      <c r="I204" s="8" t="n">
        <v>18</v>
      </c>
      <c r="J204" s="32" t="n">
        <v>0</v>
      </c>
      <c r="K204" s="8" t="n">
        <v>337.9</v>
      </c>
      <c r="L204" s="8" t="n">
        <v>1.1</v>
      </c>
      <c r="M204" s="8" t="n">
        <v>200.5</v>
      </c>
      <c r="N204" s="13" t="n">
        <v>-1.1</v>
      </c>
      <c r="O204" s="8" t="n">
        <f aca="false">O203+N204</f>
        <v>182.3</v>
      </c>
      <c r="P204" s="8" t="n">
        <v>199</v>
      </c>
      <c r="Q204" s="16" t="n">
        <f aca="false">1+((P204-187)/35)*(1.15-1)</f>
        <v>1.05142857142857</v>
      </c>
      <c r="R204" s="14" t="n">
        <f aca="false">Q204*L204</f>
        <v>1.15657142857143</v>
      </c>
      <c r="S204" s="14" t="n">
        <f aca="false">J204-R204</f>
        <v>-1.15657142857143</v>
      </c>
      <c r="T204" s="34" t="n">
        <f aca="false">MIN(189.6,(T203+S204))</f>
        <v>168.12</v>
      </c>
      <c r="U204" s="14" t="n">
        <f aca="false">AVERAGE(T193:T227)</f>
        <v>170.42452244898</v>
      </c>
      <c r="V204" s="15" t="n">
        <v>689.3</v>
      </c>
      <c r="W204" s="8" t="n">
        <v>106.046153846154</v>
      </c>
      <c r="X204" s="8" t="n">
        <v>104250.6</v>
      </c>
      <c r="Y204" s="8" t="n">
        <f aca="false">Y203+V204</f>
        <v>12308.9</v>
      </c>
      <c r="AA204" s="8" t="n">
        <v>12.0345684916335</v>
      </c>
    </row>
    <row r="205" s="8" customFormat="true" ht="15" hidden="false" customHeight="false" outlineLevel="0" collapsed="false">
      <c r="A205" s="44"/>
      <c r="B205" s="10"/>
      <c r="C205" s="11" t="n">
        <v>42083</v>
      </c>
      <c r="D205" s="8" t="n">
        <v>6.7</v>
      </c>
      <c r="E205" s="8" t="n">
        <v>6.2</v>
      </c>
      <c r="F205" s="8" t="n">
        <v>8.4</v>
      </c>
      <c r="G205" s="8" t="n">
        <v>1590.8</v>
      </c>
      <c r="H205" s="8" t="n">
        <f aca="false">H204+D205</f>
        <v>86.7</v>
      </c>
      <c r="I205" s="45" t="s">
        <v>43</v>
      </c>
      <c r="J205" s="32" t="n">
        <v>0</v>
      </c>
      <c r="K205" s="8" t="n">
        <v>337.9</v>
      </c>
      <c r="L205" s="8" t="n">
        <v>2</v>
      </c>
      <c r="M205" s="8" t="n">
        <v>202.5</v>
      </c>
      <c r="N205" s="13" t="n">
        <v>-2</v>
      </c>
      <c r="O205" s="8" t="n">
        <f aca="false">O204+N205</f>
        <v>180.3</v>
      </c>
      <c r="P205" s="8" t="n">
        <v>200</v>
      </c>
      <c r="Q205" s="16" t="n">
        <f aca="false">1+((P205-187)/35)*(1.15-1)</f>
        <v>1.05571428571429</v>
      </c>
      <c r="R205" s="14" t="n">
        <f aca="false">Q205*L205</f>
        <v>2.11142857142857</v>
      </c>
      <c r="S205" s="14" t="n">
        <f aca="false">J205-R205</f>
        <v>-2.11142857142857</v>
      </c>
      <c r="T205" s="34" t="n">
        <f aca="false">MIN(189.6,(T204+S205))</f>
        <v>166.008571428571</v>
      </c>
      <c r="U205" s="8" t="n">
        <f aca="false">(U204*100)/189.6</f>
        <v>89.8863515026263</v>
      </c>
      <c r="V205" s="8" t="n">
        <v>1582.8</v>
      </c>
      <c r="W205" s="8" t="n">
        <v>236.238805970149</v>
      </c>
      <c r="X205" s="8" t="n">
        <v>105833.4</v>
      </c>
      <c r="Y205" s="8" t="n">
        <f aca="false">Y204+V205</f>
        <v>13891.7</v>
      </c>
      <c r="AA205" s="8" t="n">
        <v>12.0966565335137</v>
      </c>
    </row>
    <row r="206" s="8" customFormat="true" ht="15" hidden="false" customHeight="false" outlineLevel="0" collapsed="false">
      <c r="A206" s="44"/>
      <c r="B206" s="10"/>
      <c r="C206" s="11" t="n">
        <v>42084</v>
      </c>
      <c r="D206" s="8" t="n">
        <v>5.3</v>
      </c>
      <c r="E206" s="18" t="n">
        <v>2.2</v>
      </c>
      <c r="F206" s="8" t="n">
        <v>7.9</v>
      </c>
      <c r="G206" s="8" t="n">
        <v>1596.1</v>
      </c>
      <c r="H206" s="8" t="n">
        <f aca="false">H205+D206</f>
        <v>92</v>
      </c>
      <c r="I206" s="8" t="n">
        <v>251.1</v>
      </c>
      <c r="J206" s="32" t="n">
        <v>0</v>
      </c>
      <c r="K206" s="8" t="n">
        <v>337.9</v>
      </c>
      <c r="L206" s="8" t="n">
        <v>0.9</v>
      </c>
      <c r="M206" s="8" t="n">
        <v>203.4</v>
      </c>
      <c r="N206" s="13" t="n">
        <v>-0.9</v>
      </c>
      <c r="O206" s="8" t="n">
        <f aca="false">O205+N206</f>
        <v>179.4</v>
      </c>
      <c r="P206" s="8" t="n">
        <v>201</v>
      </c>
      <c r="Q206" s="16" t="n">
        <f aca="false">1+((P206-187)/35)*(1.15-1)</f>
        <v>1.06</v>
      </c>
      <c r="R206" s="14" t="n">
        <f aca="false">Q206*L206</f>
        <v>0.954</v>
      </c>
      <c r="S206" s="14" t="n">
        <f aca="false">J206-R206</f>
        <v>-0.954</v>
      </c>
      <c r="T206" s="34" t="n">
        <f aca="false">MIN(189.6,(T205+S206))</f>
        <v>165.054571428571</v>
      </c>
      <c r="V206" s="15" t="n">
        <v>612.8</v>
      </c>
      <c r="W206" s="8" t="n">
        <v>115.622641509434</v>
      </c>
      <c r="X206" s="8" t="n">
        <v>106446.2</v>
      </c>
      <c r="Y206" s="8" t="n">
        <f aca="false">Y205+V206</f>
        <v>14504.5</v>
      </c>
      <c r="AA206" s="8" t="n">
        <v>12.1587362996137</v>
      </c>
    </row>
    <row r="207" s="8" customFormat="true" ht="15" hidden="false" customHeight="false" outlineLevel="0" collapsed="false">
      <c r="A207" s="44"/>
      <c r="B207" s="10"/>
      <c r="C207" s="11" t="n">
        <v>42085</v>
      </c>
      <c r="D207" s="8" t="n">
        <v>5.4</v>
      </c>
      <c r="E207" s="18" t="n">
        <v>4.7</v>
      </c>
      <c r="F207" s="8" t="n">
        <v>8.1</v>
      </c>
      <c r="G207" s="8" t="n">
        <v>1601.5</v>
      </c>
      <c r="H207" s="8" t="n">
        <f aca="false">H206+D207</f>
        <v>97.4</v>
      </c>
      <c r="J207" s="32" t="n">
        <v>0</v>
      </c>
      <c r="K207" s="8" t="n">
        <v>337.9</v>
      </c>
      <c r="L207" s="8" t="n">
        <v>1.7</v>
      </c>
      <c r="M207" s="8" t="n">
        <v>205.1</v>
      </c>
      <c r="N207" s="13" t="n">
        <v>-1.7</v>
      </c>
      <c r="O207" s="8" t="n">
        <f aca="false">O206+N207</f>
        <v>177.7</v>
      </c>
      <c r="P207" s="8" t="n">
        <v>202</v>
      </c>
      <c r="Q207" s="16" t="n">
        <f aca="false">1+((P207-187)/35)*(1.15-1)</f>
        <v>1.06428571428571</v>
      </c>
      <c r="R207" s="14" t="n">
        <f aca="false">Q207*L207</f>
        <v>1.80928571428571</v>
      </c>
      <c r="S207" s="14" t="n">
        <f aca="false">J207-R207</f>
        <v>-1.80928571428571</v>
      </c>
      <c r="T207" s="34" t="n">
        <f aca="false">MIN(189.6,(T206+S207))</f>
        <v>163.245285714286</v>
      </c>
      <c r="V207" s="8" t="n">
        <v>951.6</v>
      </c>
      <c r="W207" s="8" t="n">
        <v>176.222222222222</v>
      </c>
      <c r="X207" s="8" t="n">
        <v>107397.8</v>
      </c>
      <c r="Y207" s="8" t="n">
        <f aca="false">Y206+V207</f>
        <v>15456.1</v>
      </c>
      <c r="AA207" s="8" t="n">
        <v>12.2208019381753</v>
      </c>
    </row>
    <row r="208" s="8" customFormat="true" ht="15" hidden="false" customHeight="false" outlineLevel="0" collapsed="false">
      <c r="A208" s="44"/>
      <c r="B208" s="10"/>
      <c r="C208" s="11" t="n">
        <v>42086</v>
      </c>
      <c r="D208" s="18" t="n">
        <v>4</v>
      </c>
      <c r="E208" s="30" t="n">
        <v>-2.5</v>
      </c>
      <c r="F208" s="8" t="n">
        <v>10.1</v>
      </c>
      <c r="G208" s="8" t="n">
        <v>1605.5</v>
      </c>
      <c r="H208" s="8" t="n">
        <f aca="false">H207+D208</f>
        <v>101.4</v>
      </c>
      <c r="J208" s="32" t="n">
        <v>0</v>
      </c>
      <c r="K208" s="8" t="n">
        <v>337.9</v>
      </c>
      <c r="L208" s="8" t="n">
        <v>1.4</v>
      </c>
      <c r="M208" s="8" t="n">
        <v>206.5</v>
      </c>
      <c r="N208" s="13" t="n">
        <v>-1.4</v>
      </c>
      <c r="O208" s="8" t="n">
        <f aca="false">O207+N208</f>
        <v>176.3</v>
      </c>
      <c r="P208" s="8" t="n">
        <v>203</v>
      </c>
      <c r="Q208" s="16" t="n">
        <f aca="false">1+((P208-187)/35)*(1.15-1)</f>
        <v>1.06857142857143</v>
      </c>
      <c r="R208" s="14" t="n">
        <f aca="false">Q208*L208</f>
        <v>1.496</v>
      </c>
      <c r="S208" s="14" t="n">
        <f aca="false">J208-R208</f>
        <v>-1.496</v>
      </c>
      <c r="T208" s="34" t="n">
        <f aca="false">MIN(189.6,(T207+S208))</f>
        <v>161.749285714286</v>
      </c>
      <c r="V208" s="8" t="n">
        <v>1125.8</v>
      </c>
      <c r="W208" s="8" t="n">
        <v>281.45</v>
      </c>
      <c r="X208" s="8" t="n">
        <v>108523.6</v>
      </c>
      <c r="Y208" s="8" t="n">
        <f aca="false">Y207+V208</f>
        <v>16581.9</v>
      </c>
      <c r="AA208" s="8" t="n">
        <v>12.2828476276119</v>
      </c>
    </row>
    <row r="209" s="8" customFormat="true" ht="15" hidden="false" customHeight="false" outlineLevel="0" collapsed="false">
      <c r="A209" s="44"/>
      <c r="B209" s="10"/>
      <c r="C209" s="11" t="n">
        <v>42087</v>
      </c>
      <c r="D209" s="18" t="n">
        <v>4.8</v>
      </c>
      <c r="E209" s="18" t="n">
        <v>0.1</v>
      </c>
      <c r="F209" s="8" t="n">
        <v>9.3</v>
      </c>
      <c r="G209" s="8" t="n">
        <v>1610.3</v>
      </c>
      <c r="H209" s="8" t="n">
        <f aca="false">H208+D209</f>
        <v>106.2</v>
      </c>
      <c r="J209" s="8" t="n">
        <v>6.8</v>
      </c>
      <c r="K209" s="8" t="n">
        <v>344.7</v>
      </c>
      <c r="L209" s="8" t="n">
        <v>1</v>
      </c>
      <c r="M209" s="8" t="n">
        <v>207.5</v>
      </c>
      <c r="N209" s="8" t="n">
        <v>5.8</v>
      </c>
      <c r="O209" s="8" t="n">
        <f aca="false">O208+N209</f>
        <v>182.1</v>
      </c>
      <c r="P209" s="8" t="n">
        <v>204</v>
      </c>
      <c r="Q209" s="16" t="n">
        <f aca="false">1+((P209-187)/35)*(1.15-1)</f>
        <v>1.07285714285714</v>
      </c>
      <c r="R209" s="14" t="n">
        <f aca="false">Q209*L209</f>
        <v>1.07285714285714</v>
      </c>
      <c r="S209" s="14" t="n">
        <f aca="false">J209-R209</f>
        <v>5.72714285714286</v>
      </c>
      <c r="T209" s="14" t="n">
        <f aca="false">MIN(189.6,(T208+S209))</f>
        <v>167.476428571429</v>
      </c>
      <c r="V209" s="15" t="n">
        <v>781.8</v>
      </c>
      <c r="W209" s="8" t="n">
        <v>162.875</v>
      </c>
      <c r="X209" s="8" t="n">
        <v>109305.4</v>
      </c>
      <c r="Y209" s="8" t="n">
        <f aca="false">Y208+V209</f>
        <v>17363.7</v>
      </c>
      <c r="AA209" s="8" t="n">
        <v>12.3448675579349</v>
      </c>
    </row>
    <row r="210" s="8" customFormat="true" ht="15" hidden="false" customHeight="false" outlineLevel="0" collapsed="false">
      <c r="A210" s="44"/>
      <c r="B210" s="10"/>
      <c r="C210" s="11" t="n">
        <v>42088</v>
      </c>
      <c r="D210" s="18" t="n">
        <v>4.7</v>
      </c>
      <c r="E210" s="18" t="n">
        <v>3.6</v>
      </c>
      <c r="F210" s="8" t="n">
        <v>7.1</v>
      </c>
      <c r="G210" s="8" t="n">
        <v>1615</v>
      </c>
      <c r="H210" s="8" t="n">
        <f aca="false">H209+D210</f>
        <v>110.9</v>
      </c>
      <c r="J210" s="8" t="n">
        <v>0.5</v>
      </c>
      <c r="K210" s="8" t="n">
        <v>345.2</v>
      </c>
      <c r="L210" s="8" t="n">
        <v>1.1</v>
      </c>
      <c r="M210" s="8" t="n">
        <v>208.6</v>
      </c>
      <c r="N210" s="13" t="n">
        <v>-0.6</v>
      </c>
      <c r="O210" s="8" t="n">
        <f aca="false">O209+N210</f>
        <v>181.5</v>
      </c>
      <c r="P210" s="8" t="n">
        <v>205</v>
      </c>
      <c r="Q210" s="16" t="n">
        <f aca="false">1+((P210-187)/35)*(1.15-1)</f>
        <v>1.07714285714286</v>
      </c>
      <c r="R210" s="14" t="n">
        <f aca="false">Q210*L210</f>
        <v>1.18485714285714</v>
      </c>
      <c r="S210" s="14" t="n">
        <f aca="false">J210-R210</f>
        <v>-0.684857142857143</v>
      </c>
      <c r="T210" s="14" t="n">
        <f aca="false">MIN(189.6,(T209+S210))</f>
        <v>166.791571428571</v>
      </c>
      <c r="V210" s="15" t="n">
        <v>699.2</v>
      </c>
      <c r="W210" s="8" t="n">
        <v>148.765957446809</v>
      </c>
      <c r="X210" s="8" t="n">
        <v>110004.6</v>
      </c>
      <c r="Y210" s="8" t="n">
        <f aca="false">Y209+V210</f>
        <v>18062.9</v>
      </c>
      <c r="AA210" s="8" t="n">
        <v>12.4068559122797</v>
      </c>
    </row>
    <row r="211" s="8" customFormat="true" ht="15" hidden="false" customHeight="false" outlineLevel="0" collapsed="false">
      <c r="A211" s="44"/>
      <c r="B211" s="10"/>
      <c r="C211" s="11" t="n">
        <v>42089</v>
      </c>
      <c r="D211" s="18" t="n">
        <v>4.2</v>
      </c>
      <c r="E211" s="18" t="n">
        <v>0.1</v>
      </c>
      <c r="F211" s="8" t="n">
        <v>8.2</v>
      </c>
      <c r="G211" s="8" t="n">
        <v>1619.2</v>
      </c>
      <c r="H211" s="8" t="n">
        <f aca="false">H210+D211</f>
        <v>115.1</v>
      </c>
      <c r="J211" s="8" t="n">
        <v>3</v>
      </c>
      <c r="K211" s="8" t="n">
        <v>348.2</v>
      </c>
      <c r="L211" s="8" t="n">
        <v>0.6</v>
      </c>
      <c r="M211" s="8" t="n">
        <v>209.2</v>
      </c>
      <c r="N211" s="8" t="n">
        <v>2.4</v>
      </c>
      <c r="O211" s="8" t="n">
        <f aca="false">O210+N211</f>
        <v>183.9</v>
      </c>
      <c r="P211" s="8" t="n">
        <v>206</v>
      </c>
      <c r="Q211" s="16" t="n">
        <f aca="false">1+((P211-187)/35)*(1.15-1)</f>
        <v>1.08142857142857</v>
      </c>
      <c r="R211" s="14" t="n">
        <f aca="false">Q211*L211</f>
        <v>0.648857142857143</v>
      </c>
      <c r="S211" s="14" t="n">
        <f aca="false">J211-R211</f>
        <v>2.35114285714286</v>
      </c>
      <c r="T211" s="14" t="n">
        <f aca="false">MIN(189.6,(T210+S211))</f>
        <v>169.142714285714</v>
      </c>
      <c r="V211" s="15" t="n">
        <v>486.9</v>
      </c>
      <c r="W211" s="8" t="n">
        <v>115.928571428571</v>
      </c>
      <c r="X211" s="8" t="n">
        <v>110491.5</v>
      </c>
      <c r="Y211" s="8" t="n">
        <f aca="false">Y210+V211</f>
        <v>18549.8</v>
      </c>
      <c r="AA211" s="8" t="n">
        <v>12.4688068485226</v>
      </c>
    </row>
    <row r="212" s="8" customFormat="true" ht="15" hidden="false" customHeight="false" outlineLevel="0" collapsed="false">
      <c r="A212" s="44"/>
      <c r="B212" s="10"/>
      <c r="C212" s="11" t="n">
        <v>42090</v>
      </c>
      <c r="D212" s="8" t="n">
        <v>6</v>
      </c>
      <c r="E212" s="18" t="n">
        <v>1.9</v>
      </c>
      <c r="F212" s="8" t="n">
        <v>9.9</v>
      </c>
      <c r="G212" s="8" t="n">
        <v>1625.2</v>
      </c>
      <c r="H212" s="8" t="n">
        <f aca="false">H211+D212</f>
        <v>121.1</v>
      </c>
      <c r="J212" s="8" t="n">
        <v>0.6</v>
      </c>
      <c r="K212" s="8" t="n">
        <v>348.8</v>
      </c>
      <c r="L212" s="8" t="n">
        <v>1.4</v>
      </c>
      <c r="M212" s="8" t="n">
        <v>210.6</v>
      </c>
      <c r="N212" s="13" t="n">
        <v>-0.8</v>
      </c>
      <c r="O212" s="8" t="n">
        <f aca="false">O211+N212</f>
        <v>183.1</v>
      </c>
      <c r="P212" s="8" t="n">
        <v>207</v>
      </c>
      <c r="Q212" s="16" t="n">
        <f aca="false">1+((P212-187)/35)*(1.15-1)</f>
        <v>1.08571428571429</v>
      </c>
      <c r="R212" s="14" t="n">
        <f aca="false">Q212*L212</f>
        <v>1.52</v>
      </c>
      <c r="S212" s="14" t="n">
        <f aca="false">J212-R212</f>
        <v>-0.92</v>
      </c>
      <c r="T212" s="14" t="n">
        <f aca="false">MIN(189.6,(T211+S212))</f>
        <v>168.222714285714</v>
      </c>
      <c r="V212" s="8" t="n">
        <v>1002.4</v>
      </c>
      <c r="W212" s="8" t="n">
        <v>167.066666666667</v>
      </c>
      <c r="X212" s="8" t="n">
        <v>111493.9</v>
      </c>
      <c r="Y212" s="8" t="n">
        <f aca="false">Y211+V212</f>
        <v>19552.2</v>
      </c>
      <c r="AA212" s="8" t="n">
        <v>12.5307144809848</v>
      </c>
    </row>
    <row r="213" s="8" customFormat="true" ht="15" hidden="false" customHeight="false" outlineLevel="0" collapsed="false">
      <c r="A213" s="44"/>
      <c r="B213" s="10"/>
      <c r="C213" s="11" t="n">
        <v>42091</v>
      </c>
      <c r="D213" s="8" t="n">
        <v>10</v>
      </c>
      <c r="E213" s="18" t="n">
        <v>3.3</v>
      </c>
      <c r="F213" s="8" t="n">
        <v>13.8</v>
      </c>
      <c r="G213" s="8" t="n">
        <v>1635.2</v>
      </c>
      <c r="H213" s="8" t="n">
        <f aca="false">H212+D213</f>
        <v>131.1</v>
      </c>
      <c r="J213" s="8" t="n">
        <v>1.9</v>
      </c>
      <c r="K213" s="8" t="n">
        <v>350.7</v>
      </c>
      <c r="L213" s="8" t="n">
        <v>0.5</v>
      </c>
      <c r="M213" s="8" t="n">
        <v>211.1</v>
      </c>
      <c r="N213" s="8" t="n">
        <v>1.4</v>
      </c>
      <c r="O213" s="8" t="n">
        <f aca="false">O212+N213</f>
        <v>184.5</v>
      </c>
      <c r="P213" s="8" t="n">
        <v>208</v>
      </c>
      <c r="Q213" s="16" t="n">
        <f aca="false">1+((P213-187)/35)*(1.15-1)</f>
        <v>1.09</v>
      </c>
      <c r="R213" s="14" t="n">
        <f aca="false">Q213*L213</f>
        <v>0.545</v>
      </c>
      <c r="S213" s="14" t="n">
        <f aca="false">J213-R213</f>
        <v>1.355</v>
      </c>
      <c r="T213" s="14" t="n">
        <f aca="false">MIN(189.6,(T212+S213))</f>
        <v>169.577714285714</v>
      </c>
      <c r="V213" s="15" t="n">
        <v>474.8</v>
      </c>
      <c r="W213" s="8" t="n">
        <v>47.48</v>
      </c>
      <c r="X213" s="8" t="n">
        <v>111968.7</v>
      </c>
      <c r="Y213" s="8" t="n">
        <f aca="false">Y212+V213</f>
        <v>20027</v>
      </c>
      <c r="AA213" s="8" t="n">
        <v>12.5925728622148</v>
      </c>
    </row>
    <row r="214" s="8" customFormat="true" ht="15" hidden="false" customHeight="false" outlineLevel="0" collapsed="false">
      <c r="A214" s="44"/>
      <c r="B214" s="10"/>
      <c r="C214" s="11" t="n">
        <v>42092</v>
      </c>
      <c r="D214" s="8" t="n">
        <v>10.7</v>
      </c>
      <c r="E214" s="8" t="n">
        <v>9.3</v>
      </c>
      <c r="F214" s="8" t="n">
        <v>12.5</v>
      </c>
      <c r="G214" s="8" t="n">
        <v>1645.9</v>
      </c>
      <c r="H214" s="8" t="n">
        <f aca="false">H213+D214</f>
        <v>141.8</v>
      </c>
      <c r="J214" s="8" t="n">
        <v>4.1</v>
      </c>
      <c r="K214" s="8" t="n">
        <v>354.8</v>
      </c>
      <c r="L214" s="8" t="n">
        <v>1.1</v>
      </c>
      <c r="M214" s="8" t="n">
        <v>212.2</v>
      </c>
      <c r="N214" s="8" t="n">
        <v>3</v>
      </c>
      <c r="O214" s="8" t="n">
        <f aca="false">O213+N214</f>
        <v>187.5</v>
      </c>
      <c r="P214" s="8" t="n">
        <v>209</v>
      </c>
      <c r="Q214" s="16" t="n">
        <f aca="false">1+((P214-187)/35)*(1.15-1)</f>
        <v>1.09428571428571</v>
      </c>
      <c r="R214" s="14" t="n">
        <f aca="false">Q214*L214</f>
        <v>1.20371428571429</v>
      </c>
      <c r="S214" s="14" t="n">
        <f aca="false">J214-R214</f>
        <v>2.89628571428571</v>
      </c>
      <c r="T214" s="14" t="n">
        <f aca="false">MIN(189.6,(T213+S214))</f>
        <v>172.474</v>
      </c>
      <c r="V214" s="15" t="n">
        <v>353.6</v>
      </c>
      <c r="W214" s="8" t="n">
        <v>33.0467289719626</v>
      </c>
      <c r="X214" s="8" t="n">
        <v>112322.3</v>
      </c>
      <c r="Y214" s="8" t="n">
        <f aca="false">Y213+V214</f>
        <v>20380.6</v>
      </c>
      <c r="AA214" s="8" t="n">
        <v>12.6543759648451</v>
      </c>
    </row>
    <row r="215" s="8" customFormat="true" ht="15" hidden="false" customHeight="false" outlineLevel="0" collapsed="false">
      <c r="A215" s="44"/>
      <c r="B215" s="10"/>
      <c r="C215" s="11" t="n">
        <v>42093</v>
      </c>
      <c r="D215" s="8" t="n">
        <v>9.7</v>
      </c>
      <c r="E215" s="8" t="n">
        <v>8.3</v>
      </c>
      <c r="F215" s="8" t="n">
        <v>11.5</v>
      </c>
      <c r="G215" s="8" t="n">
        <v>1655.6</v>
      </c>
      <c r="H215" s="8" t="n">
        <f aca="false">H214+D215</f>
        <v>151.5</v>
      </c>
      <c r="J215" s="8" t="n">
        <v>1.7</v>
      </c>
      <c r="K215" s="8" t="n">
        <v>356.5</v>
      </c>
      <c r="L215" s="8" t="n">
        <v>1.9</v>
      </c>
      <c r="M215" s="8" t="n">
        <v>214.1</v>
      </c>
      <c r="N215" s="13" t="n">
        <v>-0.2</v>
      </c>
      <c r="O215" s="8" t="n">
        <f aca="false">O214+N215</f>
        <v>187.3</v>
      </c>
      <c r="P215" s="8" t="n">
        <v>210</v>
      </c>
      <c r="Q215" s="16" t="n">
        <f aca="false">1+((P215-187)/35)*(1.15-1)</f>
        <v>1.09857142857143</v>
      </c>
      <c r="R215" s="14" t="n">
        <f aca="false">Q215*L215</f>
        <v>2.08728571428571</v>
      </c>
      <c r="S215" s="14" t="n">
        <f aca="false">J215-R215</f>
        <v>-0.387285714285714</v>
      </c>
      <c r="T215" s="14" t="n">
        <f aca="false">MIN(189.6,(T214+S215))</f>
        <v>172.086714285714</v>
      </c>
      <c r="V215" s="15" t="n">
        <v>697.3</v>
      </c>
      <c r="W215" s="8" t="n">
        <v>71.8865979381443</v>
      </c>
      <c r="X215" s="8" t="n">
        <v>113019.6</v>
      </c>
      <c r="Y215" s="8" t="n">
        <f aca="false">Y214+V215</f>
        <v>21077.9</v>
      </c>
      <c r="AA215" s="8" t="n">
        <v>12.7161176635174</v>
      </c>
    </row>
    <row r="216" s="8" customFormat="true" ht="15" hidden="false" customHeight="false" outlineLevel="0" collapsed="false">
      <c r="A216" s="44"/>
      <c r="B216" s="10"/>
      <c r="C216" s="11" t="n">
        <v>42094</v>
      </c>
      <c r="D216" s="8" t="n">
        <v>10</v>
      </c>
      <c r="E216" s="8" t="n">
        <v>9</v>
      </c>
      <c r="F216" s="8" t="n">
        <v>11.5</v>
      </c>
      <c r="G216" s="8" t="n">
        <v>1665.6</v>
      </c>
      <c r="H216" s="8" t="n">
        <f aca="false">H215+D216</f>
        <v>161.5</v>
      </c>
      <c r="J216" s="8" t="n">
        <v>0.1</v>
      </c>
      <c r="K216" s="8" t="n">
        <v>356.6</v>
      </c>
      <c r="L216" s="8" t="n">
        <v>2.5</v>
      </c>
      <c r="M216" s="8" t="n">
        <v>216.6</v>
      </c>
      <c r="N216" s="13" t="n">
        <v>-2.4</v>
      </c>
      <c r="O216" s="8" t="n">
        <f aca="false">O215+N216</f>
        <v>184.9</v>
      </c>
      <c r="P216" s="8" t="n">
        <v>211</v>
      </c>
      <c r="Q216" s="16" t="n">
        <f aca="false">1+((P216-187)/35)*(1.15-1)</f>
        <v>1.10285714285714</v>
      </c>
      <c r="R216" s="14" t="n">
        <f aca="false">Q216*L216</f>
        <v>2.75714285714286</v>
      </c>
      <c r="S216" s="14" t="n">
        <f aca="false">J216-R216</f>
        <v>-2.65714285714286</v>
      </c>
      <c r="T216" s="14" t="n">
        <f aca="false">MIN(189.6,(T215+S216))</f>
        <v>169.429571428571</v>
      </c>
      <c r="V216" s="8" t="n">
        <v>1389.3</v>
      </c>
      <c r="W216" s="8" t="n">
        <v>138.93</v>
      </c>
      <c r="X216" s="8" t="n">
        <v>114408.9</v>
      </c>
      <c r="Y216" s="8" t="n">
        <f aca="false">Y215+V216</f>
        <v>22467.2</v>
      </c>
      <c r="AA216" s="8" t="n">
        <v>12.7777917168725</v>
      </c>
    </row>
    <row r="217" s="8" customFormat="true" ht="15" hidden="false" customHeight="false" outlineLevel="0" collapsed="false">
      <c r="A217" s="44"/>
      <c r="B217" s="10"/>
      <c r="C217" s="11" t="n">
        <v>42095</v>
      </c>
      <c r="D217" s="8" t="n">
        <v>7.3</v>
      </c>
      <c r="E217" s="18" t="n">
        <v>5</v>
      </c>
      <c r="F217" s="8" t="n">
        <v>9.6</v>
      </c>
      <c r="G217" s="8" t="n">
        <v>1672.9</v>
      </c>
      <c r="H217" s="8" t="n">
        <f aca="false">H216+D217</f>
        <v>168.8</v>
      </c>
      <c r="J217" s="8" t="n">
        <v>2.5</v>
      </c>
      <c r="K217" s="8" t="n">
        <v>359.1</v>
      </c>
      <c r="L217" s="8" t="n">
        <v>2.5</v>
      </c>
      <c r="M217" s="8" t="n">
        <v>219.1</v>
      </c>
      <c r="N217" s="8" t="n">
        <v>0</v>
      </c>
      <c r="O217" s="8" t="n">
        <f aca="false">O216+N217</f>
        <v>184.9</v>
      </c>
      <c r="P217" s="8" t="n">
        <v>212</v>
      </c>
      <c r="Q217" s="16" t="n">
        <f aca="false">1+((P217-187)/35)*(1.15-1)</f>
        <v>1.10714285714286</v>
      </c>
      <c r="R217" s="14" t="n">
        <f aca="false">Q217*L217</f>
        <v>2.76785714285714</v>
      </c>
      <c r="S217" s="14" t="n">
        <f aca="false">J217-R217</f>
        <v>-0.267857142857142</v>
      </c>
      <c r="T217" s="14" t="n">
        <f aca="false">MIN(189.6,(T216+S217))</f>
        <v>169.161714285714</v>
      </c>
      <c r="V217" s="8" t="n">
        <v>1361</v>
      </c>
      <c r="W217" s="8" t="n">
        <v>186.438356164384</v>
      </c>
      <c r="X217" s="8" t="n">
        <v>115769.9</v>
      </c>
      <c r="Y217" s="8" t="n">
        <f aca="false">Y216+V217</f>
        <v>23828.2</v>
      </c>
      <c r="AA217" s="8" t="n">
        <v>12.839391749601</v>
      </c>
    </row>
    <row r="218" s="8" customFormat="true" ht="15" hidden="false" customHeight="false" outlineLevel="0" collapsed="false">
      <c r="A218" s="44"/>
      <c r="B218" s="10"/>
      <c r="C218" s="11" t="n">
        <v>42096</v>
      </c>
      <c r="D218" s="8" t="n">
        <v>7.6</v>
      </c>
      <c r="E218" s="8" t="n">
        <v>6.7</v>
      </c>
      <c r="F218" s="8" t="n">
        <v>9</v>
      </c>
      <c r="G218" s="8" t="n">
        <v>1680.5</v>
      </c>
      <c r="H218" s="8" t="n">
        <f aca="false">H217+D218</f>
        <v>176.4</v>
      </c>
      <c r="J218" s="8" t="n">
        <v>2.6</v>
      </c>
      <c r="K218" s="8" t="n">
        <v>361.7</v>
      </c>
      <c r="L218" s="8" t="n">
        <v>1.4</v>
      </c>
      <c r="M218" s="8" t="n">
        <v>220.5</v>
      </c>
      <c r="N218" s="8" t="n">
        <v>1.2</v>
      </c>
      <c r="O218" s="8" t="n">
        <f aca="false">O217+N218</f>
        <v>186.1</v>
      </c>
      <c r="P218" s="8" t="n">
        <v>213</v>
      </c>
      <c r="Q218" s="16" t="n">
        <f aca="false">1+((P218-187)/35)*(1.15-1)</f>
        <v>1.11142857142857</v>
      </c>
      <c r="R218" s="14" t="n">
        <f aca="false">Q218*L218</f>
        <v>1.556</v>
      </c>
      <c r="S218" s="14" t="n">
        <f aca="false">J218-R218</f>
        <v>1.044</v>
      </c>
      <c r="T218" s="14" t="n">
        <f aca="false">MIN(189.6,(T217+S218))</f>
        <v>170.205714285714</v>
      </c>
      <c r="V218" s="15" t="n">
        <v>893.3</v>
      </c>
      <c r="W218" s="8" t="n">
        <v>117.539473684211</v>
      </c>
      <c r="X218" s="8" t="n">
        <v>116663.2</v>
      </c>
      <c r="Y218" s="8" t="n">
        <f aca="false">Y217+V218</f>
        <v>24721.5</v>
      </c>
      <c r="AA218" s="8" t="n">
        <v>12.9009112345524</v>
      </c>
    </row>
    <row r="219" s="8" customFormat="true" ht="15" hidden="false" customHeight="false" outlineLevel="0" collapsed="false">
      <c r="A219" s="44"/>
      <c r="B219" s="10"/>
      <c r="C219" s="11" t="n">
        <v>42097</v>
      </c>
      <c r="D219" s="8" t="n">
        <v>7.4</v>
      </c>
      <c r="E219" s="18" t="n">
        <v>4.1</v>
      </c>
      <c r="F219" s="8" t="n">
        <v>9.1</v>
      </c>
      <c r="G219" s="8" t="n">
        <v>1687.9</v>
      </c>
      <c r="H219" s="8" t="n">
        <f aca="false">H218+D219</f>
        <v>183.8</v>
      </c>
      <c r="J219" s="8" t="n">
        <v>5.1</v>
      </c>
      <c r="K219" s="8" t="n">
        <v>366.8</v>
      </c>
      <c r="L219" s="8" t="n">
        <v>0.4</v>
      </c>
      <c r="M219" s="8" t="n">
        <v>220.9</v>
      </c>
      <c r="N219" s="8" t="n">
        <v>4.7</v>
      </c>
      <c r="O219" s="8" t="n">
        <f aca="false">O218+N219</f>
        <v>190.8</v>
      </c>
      <c r="P219" s="8" t="n">
        <v>214</v>
      </c>
      <c r="Q219" s="16" t="n">
        <f aca="false">1+((P219-187)/35)*(1.15-1)</f>
        <v>1.11571428571429</v>
      </c>
      <c r="R219" s="14" t="n">
        <f aca="false">Q219*L219</f>
        <v>0.446285714285714</v>
      </c>
      <c r="S219" s="14" t="n">
        <f aca="false">J219-R219</f>
        <v>4.65371428571429</v>
      </c>
      <c r="T219" s="14" t="n">
        <f aca="false">MIN(189.6,(T218+S219))</f>
        <v>174.859428571429</v>
      </c>
      <c r="V219" s="15" t="n">
        <v>349.1</v>
      </c>
      <c r="W219" s="8" t="n">
        <v>47.1756756756757</v>
      </c>
      <c r="X219" s="8" t="n">
        <v>117012.3</v>
      </c>
      <c r="Y219" s="8" t="n">
        <f aca="false">Y218+V219</f>
        <v>25070.6</v>
      </c>
      <c r="AA219" s="8" t="n">
        <v>12.9623434749028</v>
      </c>
    </row>
    <row r="220" s="8" customFormat="true" ht="15" hidden="false" customHeight="false" outlineLevel="0" collapsed="false">
      <c r="A220" s="44"/>
      <c r="B220" s="10"/>
      <c r="C220" s="11" t="n">
        <v>42098</v>
      </c>
      <c r="D220" s="8" t="n">
        <v>6.6</v>
      </c>
      <c r="E220" s="8" t="n">
        <v>6.7</v>
      </c>
      <c r="F220" s="8" t="n">
        <v>7.6</v>
      </c>
      <c r="G220" s="8" t="n">
        <v>1694.5</v>
      </c>
      <c r="H220" s="8" t="n">
        <f aca="false">H219+D220</f>
        <v>190.4</v>
      </c>
      <c r="J220" s="8" t="n">
        <v>0.9</v>
      </c>
      <c r="K220" s="8" t="n">
        <v>367.7</v>
      </c>
      <c r="L220" s="8" t="n">
        <v>0.8</v>
      </c>
      <c r="M220" s="8" t="n">
        <v>221.7</v>
      </c>
      <c r="N220" s="8" t="n">
        <v>0.1</v>
      </c>
      <c r="O220" s="8" t="n">
        <f aca="false">O219+N220</f>
        <v>190.9</v>
      </c>
      <c r="P220" s="8" t="n">
        <v>215</v>
      </c>
      <c r="Q220" s="16" t="n">
        <f aca="false">1+((P220-187)/35)*(1.15-1)</f>
        <v>1.12</v>
      </c>
      <c r="R220" s="14" t="n">
        <f aca="false">Q220*L220</f>
        <v>0.896</v>
      </c>
      <c r="S220" s="14" t="n">
        <f aca="false">J220-R220</f>
        <v>0.00400000000000012</v>
      </c>
      <c r="T220" s="14" t="n">
        <f aca="false">MIN(189.6,(T219+S220))</f>
        <v>174.863428571429</v>
      </c>
      <c r="V220" s="15" t="n">
        <v>642.7</v>
      </c>
      <c r="W220" s="8" t="n">
        <v>97.3787878787879</v>
      </c>
      <c r="X220" s="8" t="n">
        <v>117655</v>
      </c>
      <c r="Y220" s="8" t="n">
        <f aca="false">Y219+V220</f>
        <v>25713.3</v>
      </c>
      <c r="AA220" s="8" t="n">
        <v>13.0236815863797</v>
      </c>
    </row>
    <row r="221" s="8" customFormat="true" ht="15" hidden="false" customHeight="false" outlineLevel="0" collapsed="false">
      <c r="A221" s="44"/>
      <c r="B221" s="10"/>
      <c r="C221" s="11" t="n">
        <v>42099</v>
      </c>
      <c r="D221" s="18" t="n">
        <v>5</v>
      </c>
      <c r="E221" s="18" t="n">
        <v>1.1</v>
      </c>
      <c r="F221" s="8" t="n">
        <v>8.7</v>
      </c>
      <c r="G221" s="8" t="n">
        <v>1699.5</v>
      </c>
      <c r="H221" s="8" t="n">
        <f aca="false">H220+D221</f>
        <v>195.4</v>
      </c>
      <c r="J221" s="8" t="n">
        <v>0</v>
      </c>
      <c r="K221" s="8" t="n">
        <v>367.7</v>
      </c>
      <c r="L221" s="8" t="n">
        <v>1.6</v>
      </c>
      <c r="M221" s="8" t="n">
        <v>223.3</v>
      </c>
      <c r="N221" s="13" t="n">
        <v>-1.6</v>
      </c>
      <c r="O221" s="8" t="n">
        <f aca="false">O220+N221</f>
        <v>189.3</v>
      </c>
      <c r="P221" s="8" t="n">
        <v>216</v>
      </c>
      <c r="Q221" s="16" t="n">
        <f aca="false">1+((P221-187)/35)*(1.15-1)</f>
        <v>1.12428571428571</v>
      </c>
      <c r="R221" s="14" t="n">
        <f aca="false">Q221*L221</f>
        <v>1.79885714285714</v>
      </c>
      <c r="S221" s="14" t="n">
        <f aca="false">J221-R221</f>
        <v>-1.79885714285714</v>
      </c>
      <c r="T221" s="14" t="n">
        <f aca="false">MIN(189.6,(T220+S221))</f>
        <v>173.064571428571</v>
      </c>
      <c r="V221" s="8" t="n">
        <v>1190.7</v>
      </c>
      <c r="W221" s="8" t="n">
        <v>238.14</v>
      </c>
      <c r="X221" s="8" t="n">
        <v>118845.7</v>
      </c>
      <c r="Y221" s="8" t="n">
        <f aca="false">Y220+V221</f>
        <v>26904</v>
      </c>
      <c r="AA221" s="8" t="n">
        <v>13.0849184795475</v>
      </c>
    </row>
    <row r="222" s="8" customFormat="true" ht="15" hidden="false" customHeight="false" outlineLevel="0" collapsed="false">
      <c r="A222" s="44"/>
      <c r="B222" s="10"/>
      <c r="C222" s="11" t="n">
        <v>42100</v>
      </c>
      <c r="D222" s="8" t="n">
        <v>5.9</v>
      </c>
      <c r="E222" s="30" t="n">
        <v>-0.4</v>
      </c>
      <c r="F222" s="8" t="n">
        <v>11.2</v>
      </c>
      <c r="G222" s="8" t="n">
        <v>1705.4</v>
      </c>
      <c r="H222" s="8" t="n">
        <f aca="false">H221+D222</f>
        <v>201.3</v>
      </c>
      <c r="J222" s="8" t="n">
        <v>0.1</v>
      </c>
      <c r="K222" s="8" t="n">
        <v>367.8</v>
      </c>
      <c r="L222" s="8" t="n">
        <v>2.1</v>
      </c>
      <c r="M222" s="8" t="n">
        <v>225.4</v>
      </c>
      <c r="N222" s="13" t="n">
        <v>-2</v>
      </c>
      <c r="O222" s="8" t="n">
        <f aca="false">O221+N222</f>
        <v>187.3</v>
      </c>
      <c r="P222" s="8" t="n">
        <v>217</v>
      </c>
      <c r="Q222" s="16" t="n">
        <f aca="false">1+((P222-187)/35)*(1.15-1)</f>
        <v>1.12857142857143</v>
      </c>
      <c r="R222" s="14" t="n">
        <f aca="false">Q222*L222</f>
        <v>2.37</v>
      </c>
      <c r="S222" s="14" t="n">
        <f aca="false">J222-R222</f>
        <v>-2.27</v>
      </c>
      <c r="T222" s="14" t="n">
        <f aca="false">MIN(189.6,(T221+S222))</f>
        <v>170.794571428571</v>
      </c>
      <c r="V222" s="8" t="n">
        <v>1867.1</v>
      </c>
      <c r="W222" s="8" t="n">
        <v>316.457627118644</v>
      </c>
      <c r="X222" s="8" t="n">
        <v>120712.8</v>
      </c>
      <c r="Y222" s="8" t="n">
        <f aca="false">Y221+V222</f>
        <v>28771.1</v>
      </c>
      <c r="AA222" s="8" t="n">
        <v>13.1460468421565</v>
      </c>
    </row>
    <row r="223" s="8" customFormat="true" ht="15" hidden="false" customHeight="false" outlineLevel="0" collapsed="false">
      <c r="A223" s="44"/>
      <c r="B223" s="10"/>
      <c r="C223" s="11" t="n">
        <v>42101</v>
      </c>
      <c r="D223" s="8" t="n">
        <v>7.3</v>
      </c>
      <c r="E223" s="18" t="n">
        <v>0.7</v>
      </c>
      <c r="F223" s="8" t="n">
        <v>12.8</v>
      </c>
      <c r="G223" s="8" t="n">
        <v>1712.7</v>
      </c>
      <c r="H223" s="8" t="n">
        <f aca="false">H222+D223</f>
        <v>208.6</v>
      </c>
      <c r="J223" s="8" t="n">
        <v>0</v>
      </c>
      <c r="K223" s="8" t="n">
        <v>367.8</v>
      </c>
      <c r="L223" s="8" t="n">
        <v>2.6</v>
      </c>
      <c r="M223" s="8" t="n">
        <v>228</v>
      </c>
      <c r="N223" s="13" t="n">
        <v>-2.6</v>
      </c>
      <c r="O223" s="8" t="n">
        <f aca="false">O222+N223</f>
        <v>184.7</v>
      </c>
      <c r="P223" s="8" t="n">
        <v>218</v>
      </c>
      <c r="Q223" s="16" t="n">
        <f aca="false">1+((P223-187)/35)*(1.15-1)</f>
        <v>1.13285714285714</v>
      </c>
      <c r="R223" s="14" t="n">
        <f aca="false">Q223*L223</f>
        <v>2.94542857142857</v>
      </c>
      <c r="S223" s="14" t="n">
        <f aca="false">J223-R223</f>
        <v>-2.94542857142857</v>
      </c>
      <c r="T223" s="14" t="n">
        <f aca="false">MIN(189.6,(T222+S223))</f>
        <v>167.849142857143</v>
      </c>
      <c r="V223" s="8" t="n">
        <v>1958</v>
      </c>
      <c r="W223" s="8" t="n">
        <v>268.219178082192</v>
      </c>
      <c r="X223" s="8" t="n">
        <v>122670.8</v>
      </c>
      <c r="Y223" s="8" t="n">
        <f aca="false">Y222+V223</f>
        <v>30729.1</v>
      </c>
      <c r="AA223" s="8" t="n">
        <v>13.2070591215617</v>
      </c>
    </row>
    <row r="224" s="48" customFormat="true" ht="15" hidden="false" customHeight="false" outlineLevel="0" collapsed="false">
      <c r="A224" s="44"/>
      <c r="B224" s="47"/>
      <c r="C224" s="11" t="n">
        <v>42102</v>
      </c>
      <c r="D224" s="48" t="n">
        <v>8.5</v>
      </c>
      <c r="E224" s="48" t="n">
        <v>1.8</v>
      </c>
      <c r="F224" s="48" t="n">
        <v>14</v>
      </c>
      <c r="G224" s="48" t="n">
        <v>1721.2</v>
      </c>
      <c r="H224" s="48" t="n">
        <f aca="false">H223+D224</f>
        <v>217.1</v>
      </c>
      <c r="J224" s="48" t="n">
        <v>0</v>
      </c>
      <c r="K224" s="48" t="n">
        <v>367.8</v>
      </c>
      <c r="L224" s="48" t="n">
        <v>2.5</v>
      </c>
      <c r="M224" s="48" t="n">
        <v>230.5</v>
      </c>
      <c r="N224" s="48" t="n">
        <v>-2.5</v>
      </c>
      <c r="O224" s="48" t="n">
        <f aca="false">O223+N224</f>
        <v>182.2</v>
      </c>
      <c r="P224" s="48" t="n">
        <v>219</v>
      </c>
      <c r="Q224" s="16" t="n">
        <f aca="false">1+((P224-187)/35)*(1.15-1)</f>
        <v>1.13714285714286</v>
      </c>
      <c r="R224" s="49" t="n">
        <f aca="false">Q224*L224</f>
        <v>2.84285714285714</v>
      </c>
      <c r="S224" s="49" t="n">
        <f aca="false">J224-R224</f>
        <v>-2.84285714285714</v>
      </c>
      <c r="T224" s="14" t="n">
        <f aca="false">MIN(189.6,(T223+S224))</f>
        <v>165.006285714286</v>
      </c>
      <c r="V224" s="48" t="n">
        <v>1788.1</v>
      </c>
      <c r="W224" s="48" t="n">
        <v>210.364705882353</v>
      </c>
      <c r="X224" s="48" t="n">
        <v>124458.9</v>
      </c>
      <c r="Y224" s="8" t="n">
        <f aca="false">Y223+V224</f>
        <v>32517.2</v>
      </c>
      <c r="AA224" s="8" t="n">
        <v>13.2679475072184</v>
      </c>
    </row>
    <row r="225" s="8" customFormat="true" ht="15" hidden="false" customHeight="true" outlineLevel="0" collapsed="false">
      <c r="A225" s="44"/>
      <c r="B225" s="10"/>
      <c r="C225" s="11" t="n">
        <v>42103</v>
      </c>
      <c r="D225" s="8" t="n">
        <v>10.5</v>
      </c>
      <c r="E225" s="8" t="n">
        <v>1.6</v>
      </c>
      <c r="F225" s="8" t="n">
        <v>17.6</v>
      </c>
      <c r="G225" s="8" t="n">
        <v>1731.7</v>
      </c>
      <c r="H225" s="8" t="n">
        <f aca="false">H224+D225</f>
        <v>227.6</v>
      </c>
      <c r="J225" s="8" t="n">
        <v>0</v>
      </c>
      <c r="K225" s="8" t="n">
        <v>367.8</v>
      </c>
      <c r="L225" s="8" t="n">
        <v>3</v>
      </c>
      <c r="M225" s="8" t="n">
        <v>233.5</v>
      </c>
      <c r="N225" s="8" t="n">
        <v>-3</v>
      </c>
      <c r="O225" s="8" t="n">
        <f aca="false">O224+N225</f>
        <v>179.2</v>
      </c>
      <c r="P225" s="8" t="n">
        <v>220</v>
      </c>
      <c r="Q225" s="16" t="n">
        <f aca="false">1+((P225-187)/35)*(1.15-1)</f>
        <v>1.14142857142857</v>
      </c>
      <c r="R225" s="14" t="n">
        <f aca="false">Q225*L225</f>
        <v>3.42428571428571</v>
      </c>
      <c r="S225" s="14" t="n">
        <f aca="false">J225-R225</f>
        <v>-3.42428571428571</v>
      </c>
      <c r="T225" s="14" t="n">
        <f aca="false">MIN(189.6,(T224+S225))</f>
        <v>161.582</v>
      </c>
      <c r="V225" s="8" t="n">
        <v>2001.4</v>
      </c>
      <c r="W225" s="8" t="n">
        <v>190.609523809524</v>
      </c>
      <c r="X225" s="8" t="n">
        <v>126460.3</v>
      </c>
      <c r="Y225" s="8" t="n">
        <f aca="false">Y224+V225</f>
        <v>34518.6</v>
      </c>
      <c r="AA225" s="8" t="n">
        <v>13.3287039132659</v>
      </c>
    </row>
    <row r="226" s="8" customFormat="true" ht="15" hidden="false" customHeight="false" outlineLevel="0" collapsed="false">
      <c r="A226" s="44"/>
      <c r="B226" s="10"/>
      <c r="C226" s="11" t="n">
        <v>42104</v>
      </c>
      <c r="D226" s="8" t="n">
        <v>12.8</v>
      </c>
      <c r="E226" s="18" t="n">
        <v>4</v>
      </c>
      <c r="F226" s="8" t="n">
        <v>20.6</v>
      </c>
      <c r="G226" s="8" t="n">
        <v>1744.5</v>
      </c>
      <c r="H226" s="8" t="n">
        <f aca="false">H225+D226</f>
        <v>240.4</v>
      </c>
      <c r="J226" s="8" t="n">
        <v>0.2</v>
      </c>
      <c r="K226" s="8" t="n">
        <v>368</v>
      </c>
      <c r="L226" s="8" t="n">
        <v>3.2</v>
      </c>
      <c r="M226" s="8" t="n">
        <v>236.7</v>
      </c>
      <c r="N226" s="13" t="n">
        <v>-3</v>
      </c>
      <c r="O226" s="8" t="n">
        <f aca="false">O225+N226</f>
        <v>176.2</v>
      </c>
      <c r="P226" s="8" t="n">
        <v>221</v>
      </c>
      <c r="Q226" s="16" t="n">
        <f aca="false">1+((P226-187)/35)*(1.15-1)</f>
        <v>1.14571428571429</v>
      </c>
      <c r="R226" s="14" t="n">
        <f aca="false">Q226*L226</f>
        <v>3.66628571428571</v>
      </c>
      <c r="S226" s="14" t="n">
        <f aca="false">J226-R226</f>
        <v>-3.46628571428571</v>
      </c>
      <c r="T226" s="14" t="n">
        <f aca="false">MIN(189.6,(T225+S226))</f>
        <v>158.115714285714</v>
      </c>
      <c r="U226" s="50"/>
      <c r="V226" s="8" t="n">
        <v>1788.1</v>
      </c>
      <c r="W226" s="8" t="n">
        <v>139.6953125</v>
      </c>
      <c r="X226" s="8" t="n">
        <v>128248.4</v>
      </c>
      <c r="Y226" s="8" t="n">
        <f aca="false">Y225+V226</f>
        <v>36306.7</v>
      </c>
      <c r="AA226" s="8" t="n">
        <v>13.3893199612104</v>
      </c>
    </row>
    <row r="227" s="22" customFormat="true" ht="15" hidden="false" customHeight="false" outlineLevel="0" collapsed="false">
      <c r="A227" s="44"/>
      <c r="B227" s="70"/>
      <c r="C227" s="71" t="n">
        <v>42105</v>
      </c>
      <c r="D227" s="22" t="n">
        <v>10.7</v>
      </c>
      <c r="E227" s="22" t="n">
        <v>11.2</v>
      </c>
      <c r="F227" s="22" t="n">
        <v>13.4</v>
      </c>
      <c r="G227" s="22" t="n">
        <v>1755.2</v>
      </c>
      <c r="H227" s="22" t="n">
        <f aca="false">H226+D227</f>
        <v>251.1</v>
      </c>
      <c r="J227" s="22" t="n">
        <v>1.1</v>
      </c>
      <c r="K227" s="22" t="n">
        <v>369.1</v>
      </c>
      <c r="L227" s="22" t="n">
        <v>2</v>
      </c>
      <c r="M227" s="22" t="n">
        <v>238.7</v>
      </c>
      <c r="N227" s="72" t="n">
        <v>-0.9</v>
      </c>
      <c r="O227" s="22" t="n">
        <f aca="false">O226+N227</f>
        <v>175.3</v>
      </c>
      <c r="P227" s="22" t="n">
        <v>222</v>
      </c>
      <c r="Q227" s="16" t="n">
        <f aca="false">1+((P227-187)/35)*(1.15-1)</f>
        <v>1.15</v>
      </c>
      <c r="R227" s="24" t="n">
        <f aca="false">Q227*L227</f>
        <v>2.3</v>
      </c>
      <c r="S227" s="24" t="n">
        <f aca="false">J227-R227</f>
        <v>-1.2</v>
      </c>
      <c r="T227" s="24" t="n">
        <f aca="false">MIN(189.6,(T226+S227))</f>
        <v>156.915714285714</v>
      </c>
      <c r="V227" s="22" t="n">
        <v>906</v>
      </c>
      <c r="W227" s="22" t="n">
        <v>84.6728971962617</v>
      </c>
      <c r="X227" s="22" t="n">
        <v>129154.4</v>
      </c>
      <c r="Y227" s="22" t="n">
        <f aca="false">Y226+V227</f>
        <v>37212.7</v>
      </c>
      <c r="AA227" s="22" t="n">
        <v>13.4497869627234</v>
      </c>
    </row>
    <row r="228" s="8" customFormat="true" ht="15" hidden="false" customHeight="false" outlineLevel="0" collapsed="false">
      <c r="A228" s="73" t="s">
        <v>54</v>
      </c>
      <c r="B228" s="68"/>
      <c r="C228" s="11" t="n">
        <v>42106</v>
      </c>
      <c r="D228" s="8" t="n">
        <v>9.6</v>
      </c>
      <c r="E228" s="18" t="n">
        <v>2.1</v>
      </c>
      <c r="F228" s="8" t="n">
        <v>16.1</v>
      </c>
      <c r="G228" s="8" t="n">
        <v>1764.8</v>
      </c>
      <c r="H228" s="8" t="n">
        <f aca="false">D228</f>
        <v>9.6</v>
      </c>
      <c r="J228" s="8" t="n">
        <v>0</v>
      </c>
      <c r="K228" s="8" t="n">
        <v>369.1</v>
      </c>
      <c r="L228" s="8" t="n">
        <v>1.9</v>
      </c>
      <c r="M228" s="8" t="n">
        <v>240.6</v>
      </c>
      <c r="N228" s="13" t="n">
        <v>-1.9</v>
      </c>
      <c r="O228" s="8" t="n">
        <f aca="false">O227+N228</f>
        <v>173.4</v>
      </c>
      <c r="P228" s="8" t="n">
        <v>223</v>
      </c>
      <c r="Q228" s="16" t="n">
        <v>1.15</v>
      </c>
      <c r="R228" s="14" t="n">
        <f aca="false">Q228*L228</f>
        <v>2.185</v>
      </c>
      <c r="S228" s="14" t="n">
        <f aca="false">J228-R228</f>
        <v>-2.185</v>
      </c>
      <c r="T228" s="14" t="n">
        <f aca="false">MIN(189.6,(T227+S228))</f>
        <v>154.730714285714</v>
      </c>
      <c r="V228" s="8" t="n">
        <v>1206.2</v>
      </c>
      <c r="W228" s="8" t="n">
        <v>125.645833333333</v>
      </c>
      <c r="X228" s="8" t="n">
        <v>130360.6</v>
      </c>
      <c r="Y228" s="8" t="n">
        <f aca="false">V228</f>
        <v>1206.2</v>
      </c>
      <c r="AA228" s="8" t="n">
        <v>13.5100959025732</v>
      </c>
    </row>
    <row r="229" s="8" customFormat="true" ht="15" hidden="false" customHeight="false" outlineLevel="0" collapsed="false">
      <c r="A229" s="55"/>
      <c r="C229" s="11" t="n">
        <v>42107</v>
      </c>
      <c r="D229" s="8" t="n">
        <v>11.2</v>
      </c>
      <c r="E229" s="8" t="n">
        <v>5.6</v>
      </c>
      <c r="F229" s="8" t="n">
        <v>15.8</v>
      </c>
      <c r="G229" s="8" t="n">
        <v>1776</v>
      </c>
      <c r="H229" s="8" t="n">
        <f aca="false">H228+D229</f>
        <v>20.8</v>
      </c>
      <c r="I229" s="56" t="s">
        <v>28</v>
      </c>
      <c r="J229" s="8" t="n">
        <v>0</v>
      </c>
      <c r="K229" s="8" t="n">
        <v>369.1</v>
      </c>
      <c r="L229" s="8" t="n">
        <v>1.9</v>
      </c>
      <c r="M229" s="8" t="n">
        <v>242.5</v>
      </c>
      <c r="N229" s="13" t="n">
        <v>-1.9</v>
      </c>
      <c r="O229" s="8" t="n">
        <f aca="false">O228+N229</f>
        <v>171.5</v>
      </c>
      <c r="P229" s="8" t="n">
        <v>224</v>
      </c>
      <c r="Q229" s="8" t="n">
        <v>1.15</v>
      </c>
      <c r="R229" s="14" t="n">
        <f aca="false">Q229*L229</f>
        <v>2.185</v>
      </c>
      <c r="S229" s="14" t="n">
        <f aca="false">J229-R229</f>
        <v>-2.185</v>
      </c>
      <c r="T229" s="14" t="n">
        <f aca="false">MIN(189.6,(T228+S229))</f>
        <v>152.545714285714</v>
      </c>
      <c r="U229" s="56" t="s">
        <v>29</v>
      </c>
      <c r="V229" s="8" t="n">
        <v>1380.2</v>
      </c>
      <c r="W229" s="8" t="n">
        <v>123.232142857143</v>
      </c>
      <c r="X229" s="8" t="n">
        <v>131740.8</v>
      </c>
      <c r="Y229" s="8" t="n">
        <f aca="false">Y228+V229</f>
        <v>2586.4</v>
      </c>
      <c r="Z229" s="56" t="s">
        <v>30</v>
      </c>
      <c r="AA229" s="8" t="n">
        <v>13.5702374217108</v>
      </c>
    </row>
    <row r="230" s="8" customFormat="true" ht="15" hidden="false" customHeight="false" outlineLevel="0" collapsed="false">
      <c r="A230" s="55" t="s">
        <v>55</v>
      </c>
      <c r="C230" s="11" t="n">
        <v>42108</v>
      </c>
      <c r="D230" s="8" t="n">
        <v>14.7</v>
      </c>
      <c r="E230" s="8" t="n">
        <v>7.6</v>
      </c>
      <c r="F230" s="8" t="n">
        <v>22</v>
      </c>
      <c r="G230" s="8" t="n">
        <v>1790.7</v>
      </c>
      <c r="H230" s="8" t="n">
        <f aca="false">H229+D230</f>
        <v>35.5</v>
      </c>
      <c r="I230" s="8" t="n">
        <f aca="false">MIN(E228:E248)</f>
        <v>2.1</v>
      </c>
      <c r="J230" s="8" t="n">
        <v>0</v>
      </c>
      <c r="K230" s="8" t="n">
        <v>369.1</v>
      </c>
      <c r="L230" s="8" t="n">
        <v>4.2</v>
      </c>
      <c r="M230" s="8" t="n">
        <v>246.7</v>
      </c>
      <c r="N230" s="13" t="n">
        <v>-4.2</v>
      </c>
      <c r="O230" s="8" t="n">
        <f aca="false">O229+N230</f>
        <v>167.3</v>
      </c>
      <c r="P230" s="8" t="n">
        <v>225</v>
      </c>
      <c r="Q230" s="8" t="n">
        <v>1.15</v>
      </c>
      <c r="R230" s="14" t="n">
        <f aca="false">Q230*L230</f>
        <v>4.83</v>
      </c>
      <c r="S230" s="14" t="n">
        <f aca="false">J230-R230</f>
        <v>-4.83</v>
      </c>
      <c r="T230" s="14" t="n">
        <f aca="false">MIN(189.6,(T229+S230))</f>
        <v>147.715714285714</v>
      </c>
      <c r="U230" s="8" t="n">
        <v>17</v>
      </c>
      <c r="V230" s="8" t="n">
        <v>2241.5</v>
      </c>
      <c r="W230" s="8" t="n">
        <v>152.482993197279</v>
      </c>
      <c r="X230" s="8" t="n">
        <v>133982.3</v>
      </c>
      <c r="Y230" s="8" t="n">
        <f aca="false">Y229+V230</f>
        <v>4827.9</v>
      </c>
      <c r="Z230" s="8" t="n">
        <v>33754.2</v>
      </c>
      <c r="AA230" s="8" t="n">
        <v>13.630201800534</v>
      </c>
    </row>
    <row r="231" s="8" customFormat="true" ht="15" hidden="false" customHeight="false" outlineLevel="0" collapsed="false">
      <c r="A231" s="55"/>
      <c r="C231" s="11" t="n">
        <v>42109</v>
      </c>
      <c r="D231" s="8" t="n">
        <v>15.8</v>
      </c>
      <c r="E231" s="8" t="n">
        <v>8.3</v>
      </c>
      <c r="F231" s="8" t="n">
        <v>24.4</v>
      </c>
      <c r="G231" s="8" t="n">
        <v>1806.5</v>
      </c>
      <c r="H231" s="8" t="n">
        <f aca="false">H230+D231</f>
        <v>51.3</v>
      </c>
      <c r="I231" s="56" t="s">
        <v>31</v>
      </c>
      <c r="J231" s="8" t="n">
        <v>0</v>
      </c>
      <c r="K231" s="8" t="n">
        <v>369.1</v>
      </c>
      <c r="L231" s="8" t="n">
        <v>4.1</v>
      </c>
      <c r="M231" s="8" t="n">
        <v>250.8</v>
      </c>
      <c r="N231" s="13" t="n">
        <v>-4.1</v>
      </c>
      <c r="O231" s="8" t="n">
        <f aca="false">O230+N231</f>
        <v>163.2</v>
      </c>
      <c r="P231" s="8" t="n">
        <v>226</v>
      </c>
      <c r="Q231" s="8" t="n">
        <v>1.15</v>
      </c>
      <c r="R231" s="14" t="n">
        <f aca="false">Q231*L231</f>
        <v>4.715</v>
      </c>
      <c r="S231" s="14" t="n">
        <f aca="false">J231-R231</f>
        <v>-4.715</v>
      </c>
      <c r="T231" s="14" t="n">
        <f aca="false">MIN(189.6,(T230+S231))</f>
        <v>143.000714285714</v>
      </c>
      <c r="U231" s="56" t="s">
        <v>32</v>
      </c>
      <c r="V231" s="8" t="n">
        <v>2019.9</v>
      </c>
      <c r="W231" s="8" t="n">
        <v>127.841772151899</v>
      </c>
      <c r="X231" s="8" t="n">
        <v>136002.2</v>
      </c>
      <c r="Y231" s="8" t="n">
        <f aca="false">Y230+V231</f>
        <v>6847.8</v>
      </c>
      <c r="Z231" s="56" t="s">
        <v>33</v>
      </c>
      <c r="AA231" s="8" t="n">
        <v>13.6899789423581</v>
      </c>
    </row>
    <row r="232" s="8" customFormat="true" ht="15" hidden="false" customHeight="false" outlineLevel="0" collapsed="false">
      <c r="A232" s="55"/>
      <c r="C232" s="11" t="n">
        <v>42110</v>
      </c>
      <c r="D232" s="8" t="n">
        <v>14.3</v>
      </c>
      <c r="E232" s="8" t="n">
        <v>8</v>
      </c>
      <c r="F232" s="8" t="n">
        <v>19.7</v>
      </c>
      <c r="G232" s="8" t="n">
        <v>1820.8</v>
      </c>
      <c r="H232" s="8" t="n">
        <f aca="false">H231+D232</f>
        <v>65.6</v>
      </c>
      <c r="I232" s="8" t="n">
        <f aca="false">MAX(F228:F248)</f>
        <v>24.4</v>
      </c>
      <c r="J232" s="8" t="n">
        <v>0</v>
      </c>
      <c r="K232" s="8" t="n">
        <v>369.1</v>
      </c>
      <c r="L232" s="8" t="n">
        <v>2.1</v>
      </c>
      <c r="M232" s="8" t="n">
        <v>252.9</v>
      </c>
      <c r="N232" s="13" t="n">
        <v>-2.1</v>
      </c>
      <c r="O232" s="8" t="n">
        <f aca="false">O231+N232</f>
        <v>161.1</v>
      </c>
      <c r="P232" s="8" t="n">
        <v>227</v>
      </c>
      <c r="Q232" s="8" t="n">
        <v>1.15</v>
      </c>
      <c r="R232" s="14" t="n">
        <f aca="false">Q232*L232</f>
        <v>2.415</v>
      </c>
      <c r="S232" s="14" t="n">
        <f aca="false">J232-R232</f>
        <v>-2.415</v>
      </c>
      <c r="T232" s="14" t="n">
        <f aca="false">MIN(189.6,(T231+S232))</f>
        <v>140.585714285714</v>
      </c>
      <c r="U232" s="8" t="n">
        <v>0</v>
      </c>
      <c r="V232" s="8" t="n">
        <v>1330.4</v>
      </c>
      <c r="W232" s="8" t="n">
        <v>93.034965034965</v>
      </c>
      <c r="X232" s="8" t="n">
        <v>137332.6</v>
      </c>
      <c r="Y232" s="8" t="n">
        <f aca="false">Y231+V232</f>
        <v>8178.2</v>
      </c>
      <c r="Z232" s="16" t="n">
        <f aca="false">(Z230/100)/I242</f>
        <v>1.43573798383667</v>
      </c>
      <c r="AA232" s="8" t="n">
        <v>13.7495583571237</v>
      </c>
    </row>
    <row r="233" s="8" customFormat="true" ht="15" hidden="false" customHeight="false" outlineLevel="0" collapsed="false">
      <c r="A233" s="55"/>
      <c r="C233" s="11" t="n">
        <v>42111</v>
      </c>
      <c r="D233" s="8" t="n">
        <v>11.3</v>
      </c>
      <c r="E233" s="8" t="n">
        <v>9.1</v>
      </c>
      <c r="F233" s="8" t="n">
        <v>13.5</v>
      </c>
      <c r="G233" s="8" t="n">
        <v>1832.1</v>
      </c>
      <c r="H233" s="8" t="n">
        <f aca="false">H232+D233</f>
        <v>76.9</v>
      </c>
      <c r="I233" s="56" t="s">
        <v>34</v>
      </c>
      <c r="J233" s="8" t="n">
        <v>0</v>
      </c>
      <c r="K233" s="8" t="n">
        <v>369.1</v>
      </c>
      <c r="L233" s="8" t="n">
        <v>2.3</v>
      </c>
      <c r="M233" s="8" t="n">
        <v>255.2</v>
      </c>
      <c r="N233" s="13" t="n">
        <v>-2.3</v>
      </c>
      <c r="O233" s="8" t="n">
        <f aca="false">O232+N233</f>
        <v>158.8</v>
      </c>
      <c r="P233" s="8" t="n">
        <v>228</v>
      </c>
      <c r="Q233" s="8" t="n">
        <v>1.15</v>
      </c>
      <c r="R233" s="14" t="n">
        <f aca="false">Q233*L233</f>
        <v>2.645</v>
      </c>
      <c r="S233" s="14" t="n">
        <f aca="false">J233-R233</f>
        <v>-2.645</v>
      </c>
      <c r="T233" s="14" t="n">
        <f aca="false">MIN(189.6,(T232+S233))</f>
        <v>137.940714285714</v>
      </c>
      <c r="U233" s="56" t="s">
        <v>35</v>
      </c>
      <c r="V233" s="15" t="n">
        <v>889</v>
      </c>
      <c r="W233" s="8" t="n">
        <v>78.6725663716814</v>
      </c>
      <c r="X233" s="8" t="n">
        <v>138221.6</v>
      </c>
      <c r="Y233" s="8" t="n">
        <f aca="false">Y232+V233</f>
        <v>9067.2</v>
      </c>
      <c r="Z233" s="56" t="s">
        <v>36</v>
      </c>
      <c r="AA233" s="8" t="n">
        <v>13.8089291453783</v>
      </c>
    </row>
    <row r="234" s="8" customFormat="true" ht="15" hidden="false" customHeight="false" outlineLevel="0" collapsed="false">
      <c r="A234" s="55"/>
      <c r="C234" s="11" t="n">
        <v>42112</v>
      </c>
      <c r="D234" s="8" t="n">
        <v>10</v>
      </c>
      <c r="E234" s="8" t="n">
        <v>5.7</v>
      </c>
      <c r="F234" s="8" t="n">
        <v>14.5</v>
      </c>
      <c r="G234" s="8" t="n">
        <v>1842.1</v>
      </c>
      <c r="H234" s="8" t="n">
        <f aca="false">H233+D234</f>
        <v>86.9</v>
      </c>
      <c r="I234" s="14" t="n">
        <f aca="false">AVERAGE(D228:D248)</f>
        <v>11.1952380952381</v>
      </c>
      <c r="J234" s="8" t="n">
        <v>0</v>
      </c>
      <c r="K234" s="8" t="n">
        <v>369.1</v>
      </c>
      <c r="L234" s="8" t="n">
        <v>3.9</v>
      </c>
      <c r="M234" s="8" t="n">
        <v>259.1</v>
      </c>
      <c r="N234" s="13" t="n">
        <v>-3.9</v>
      </c>
      <c r="O234" s="8" t="n">
        <f aca="false">O233+N234</f>
        <v>154.9</v>
      </c>
      <c r="P234" s="8" t="n">
        <v>229</v>
      </c>
      <c r="Q234" s="8" t="n">
        <v>1.15</v>
      </c>
      <c r="R234" s="14" t="n">
        <f aca="false">Q234*L234</f>
        <v>4.485</v>
      </c>
      <c r="S234" s="14" t="n">
        <f aca="false">J234-R234</f>
        <v>-4.485</v>
      </c>
      <c r="T234" s="14" t="n">
        <f aca="false">MIN(189.6,(T233+S234))</f>
        <v>133.455714285714</v>
      </c>
      <c r="U234" s="8" t="n">
        <v>0</v>
      </c>
      <c r="V234" s="8" t="n">
        <v>2363.1</v>
      </c>
      <c r="W234" s="8" t="n">
        <v>236.31</v>
      </c>
      <c r="X234" s="8" t="n">
        <v>140584.7</v>
      </c>
      <c r="Y234" s="8" t="n">
        <f aca="false">Y233+V234</f>
        <v>11430.3</v>
      </c>
      <c r="Z234" s="8" t="n">
        <v>5</v>
      </c>
      <c r="AA234" s="8" t="n">
        <v>13.868079982568</v>
      </c>
    </row>
    <row r="235" s="8" customFormat="true" ht="15" hidden="false" customHeight="false" outlineLevel="0" collapsed="false">
      <c r="A235" s="55"/>
      <c r="C235" s="11" t="n">
        <v>42113</v>
      </c>
      <c r="D235" s="8" t="n">
        <v>9.5</v>
      </c>
      <c r="E235" s="18" t="n">
        <v>5</v>
      </c>
      <c r="F235" s="8" t="n">
        <v>13.9</v>
      </c>
      <c r="G235" s="8" t="n">
        <v>1851.6</v>
      </c>
      <c r="H235" s="8" t="n">
        <f aca="false">H234+D235</f>
        <v>96.4</v>
      </c>
      <c r="I235" s="56" t="s">
        <v>37</v>
      </c>
      <c r="J235" s="8" t="n">
        <v>0</v>
      </c>
      <c r="K235" s="8" t="n">
        <v>369.1</v>
      </c>
      <c r="L235" s="8" t="n">
        <v>3.4</v>
      </c>
      <c r="M235" s="8" t="n">
        <v>262.5</v>
      </c>
      <c r="N235" s="13" t="n">
        <v>-3.4</v>
      </c>
      <c r="O235" s="8" t="n">
        <f aca="false">O234+N235</f>
        <v>151.5</v>
      </c>
      <c r="P235" s="8" t="n">
        <v>230</v>
      </c>
      <c r="Q235" s="8" t="n">
        <v>1.15</v>
      </c>
      <c r="R235" s="14" t="n">
        <f aca="false">Q235*L235</f>
        <v>3.91</v>
      </c>
      <c r="S235" s="14" t="n">
        <f aca="false">J235-R235</f>
        <v>-3.91</v>
      </c>
      <c r="T235" s="14" t="n">
        <f aca="false">MIN(189.6,(T234+S235))</f>
        <v>129.545714285714</v>
      </c>
      <c r="U235" s="56" t="s">
        <v>38</v>
      </c>
      <c r="V235" s="8" t="n">
        <v>2319.8</v>
      </c>
      <c r="W235" s="8" t="n">
        <v>244.189473684211</v>
      </c>
      <c r="X235" s="8" t="n">
        <v>142904.5</v>
      </c>
      <c r="Y235" s="8" t="n">
        <f aca="false">Y234+V235</f>
        <v>13750.1</v>
      </c>
      <c r="AA235" s="8" t="n">
        <v>13.9269991036858</v>
      </c>
    </row>
    <row r="236" s="8" customFormat="true" ht="15" hidden="false" customHeight="false" outlineLevel="0" collapsed="false">
      <c r="A236" s="55"/>
      <c r="C236" s="11" t="n">
        <v>42114</v>
      </c>
      <c r="D236" s="8" t="n">
        <v>11.9</v>
      </c>
      <c r="E236" s="18" t="n">
        <v>4.8</v>
      </c>
      <c r="F236" s="8" t="n">
        <v>19</v>
      </c>
      <c r="G236" s="8" t="n">
        <v>1863.5</v>
      </c>
      <c r="H236" s="8" t="n">
        <f aca="false">H235+D236</f>
        <v>108.3</v>
      </c>
      <c r="I236" s="8" t="n">
        <v>0</v>
      </c>
      <c r="J236" s="8" t="n">
        <v>0</v>
      </c>
      <c r="K236" s="8" t="n">
        <v>369.1</v>
      </c>
      <c r="L236" s="8" t="n">
        <v>3.9</v>
      </c>
      <c r="M236" s="8" t="n">
        <v>266.4</v>
      </c>
      <c r="N236" s="13" t="n">
        <v>-3.9</v>
      </c>
      <c r="O236" s="8" t="n">
        <f aca="false">O235+N236</f>
        <v>147.6</v>
      </c>
      <c r="P236" s="8" t="n">
        <v>231</v>
      </c>
      <c r="Q236" s="8" t="n">
        <v>1.15</v>
      </c>
      <c r="R236" s="14" t="n">
        <f aca="false">Q236*L236</f>
        <v>4.485</v>
      </c>
      <c r="S236" s="14" t="n">
        <f aca="false">J236-R236</f>
        <v>-4.485</v>
      </c>
      <c r="T236" s="14" t="n">
        <f aca="false">MIN(189.6,(T235+S236))</f>
        <v>125.060714285714</v>
      </c>
      <c r="U236" s="14" t="n">
        <f aca="false">MIN(T228:T248)</f>
        <v>108.120714285714</v>
      </c>
      <c r="V236" s="8" t="n">
        <v>2217.5</v>
      </c>
      <c r="W236" s="8" t="n">
        <v>186.344537815126</v>
      </c>
      <c r="X236" s="8" t="n">
        <v>145122</v>
      </c>
      <c r="Y236" s="8" t="n">
        <f aca="false">Y235+V236</f>
        <v>15967.6</v>
      </c>
      <c r="AA236" s="8" t="n">
        <v>13.9856742883214</v>
      </c>
    </row>
    <row r="237" s="8" customFormat="true" ht="15" hidden="false" customHeight="false" outlineLevel="0" collapsed="false">
      <c r="A237" s="55"/>
      <c r="C237" s="11" t="n">
        <v>42115</v>
      </c>
      <c r="D237" s="8" t="n">
        <v>12.5</v>
      </c>
      <c r="E237" s="8" t="n">
        <v>6.8</v>
      </c>
      <c r="F237" s="8" t="n">
        <v>19.1</v>
      </c>
      <c r="G237" s="8" t="n">
        <v>1876</v>
      </c>
      <c r="H237" s="8" t="n">
        <f aca="false">H236+D237</f>
        <v>120.8</v>
      </c>
      <c r="I237" s="56" t="s">
        <v>39</v>
      </c>
      <c r="J237" s="8" t="n">
        <v>0</v>
      </c>
      <c r="K237" s="8" t="n">
        <v>369.1</v>
      </c>
      <c r="L237" s="8" t="n">
        <v>4</v>
      </c>
      <c r="M237" s="8" t="n">
        <v>270.4</v>
      </c>
      <c r="N237" s="13" t="n">
        <v>-4</v>
      </c>
      <c r="O237" s="8" t="n">
        <f aca="false">O236+N237</f>
        <v>143.6</v>
      </c>
      <c r="P237" s="8" t="n">
        <v>232</v>
      </c>
      <c r="Q237" s="8" t="n">
        <v>1.15</v>
      </c>
      <c r="R237" s="14" t="n">
        <f aca="false">Q237*L237</f>
        <v>4.6</v>
      </c>
      <c r="S237" s="14" t="n">
        <f aca="false">J237-R237</f>
        <v>-4.6</v>
      </c>
      <c r="T237" s="14" t="n">
        <f aca="false">MIN(189.6,(T236+S237))</f>
        <v>120.460714285714</v>
      </c>
      <c r="U237" s="56" t="s">
        <v>40</v>
      </c>
      <c r="V237" s="8" t="n">
        <v>2240.5</v>
      </c>
      <c r="W237" s="8" t="n">
        <v>179.24</v>
      </c>
      <c r="X237" s="8" t="n">
        <v>147362.5</v>
      </c>
      <c r="Y237" s="8" t="n">
        <f aca="false">Y236+V237</f>
        <v>18208.1</v>
      </c>
      <c r="AA237" s="8" t="n">
        <v>14.0440928461666</v>
      </c>
    </row>
    <row r="238" s="8" customFormat="true" ht="15" hidden="false" customHeight="false" outlineLevel="0" collapsed="false">
      <c r="A238" s="57"/>
      <c r="C238" s="11" t="n">
        <v>42116</v>
      </c>
      <c r="D238" s="8" t="n">
        <v>10.1</v>
      </c>
      <c r="E238" s="8" t="n">
        <v>5.8</v>
      </c>
      <c r="F238" s="8" t="n">
        <v>15.7</v>
      </c>
      <c r="G238" s="8" t="n">
        <v>1886.1</v>
      </c>
      <c r="H238" s="8" t="n">
        <f aca="false">H237+D238</f>
        <v>130.9</v>
      </c>
      <c r="I238" s="8" t="n">
        <v>0</v>
      </c>
      <c r="J238" s="8" t="n">
        <v>0</v>
      </c>
      <c r="K238" s="8" t="n">
        <v>369.1</v>
      </c>
      <c r="L238" s="8" t="n">
        <v>3.8</v>
      </c>
      <c r="M238" s="8" t="n">
        <v>274.2</v>
      </c>
      <c r="N238" s="13" t="n">
        <v>-3.8</v>
      </c>
      <c r="O238" s="8" t="n">
        <f aca="false">O237+N238</f>
        <v>139.8</v>
      </c>
      <c r="P238" s="8" t="n">
        <v>233</v>
      </c>
      <c r="Q238" s="8" t="n">
        <v>1.15</v>
      </c>
      <c r="R238" s="14" t="n">
        <f aca="false">Q238*L238</f>
        <v>4.37</v>
      </c>
      <c r="S238" s="14" t="n">
        <f aca="false">J238-R238</f>
        <v>-4.37</v>
      </c>
      <c r="T238" s="14" t="n">
        <f aca="false">MIN(189.6,(T237+S238))</f>
        <v>116.090714285714</v>
      </c>
      <c r="U238" s="14" t="n">
        <f aca="false">MAX(T228:T248)</f>
        <v>154.730714285714</v>
      </c>
      <c r="V238" s="8" t="n">
        <v>2348.4</v>
      </c>
      <c r="W238" s="8" t="n">
        <v>232.514851485149</v>
      </c>
      <c r="X238" s="8" t="n">
        <v>149710.9</v>
      </c>
      <c r="Y238" s="8" t="n">
        <f aca="false">Y237+V238</f>
        <v>20556.5</v>
      </c>
      <c r="AA238" s="8" t="n">
        <v>14.1022416030313</v>
      </c>
    </row>
    <row r="239" s="48" customFormat="true" ht="15" hidden="false" customHeight="false" outlineLevel="0" collapsed="false">
      <c r="A239" s="55"/>
      <c r="C239" s="11" t="n">
        <v>42117</v>
      </c>
      <c r="D239" s="48" t="n">
        <v>11.3</v>
      </c>
      <c r="E239" s="48" t="n">
        <v>5.6</v>
      </c>
      <c r="F239" s="48" t="n">
        <v>17.1</v>
      </c>
      <c r="G239" s="48" t="n">
        <v>1897.4</v>
      </c>
      <c r="H239" s="48" t="n">
        <f aca="false">H238+D239</f>
        <v>142.2</v>
      </c>
      <c r="I239" s="56" t="s">
        <v>41</v>
      </c>
      <c r="J239" s="48" t="n">
        <v>0</v>
      </c>
      <c r="K239" s="48" t="n">
        <v>369.1</v>
      </c>
      <c r="L239" s="48" t="n">
        <v>3.7</v>
      </c>
      <c r="M239" s="48" t="n">
        <v>277.9</v>
      </c>
      <c r="N239" s="48" t="n">
        <v>-3.7</v>
      </c>
      <c r="O239" s="48" t="n">
        <f aca="false">O238+N239</f>
        <v>136.1</v>
      </c>
      <c r="P239" s="48" t="n">
        <v>234</v>
      </c>
      <c r="Q239" s="8" t="n">
        <v>1.15</v>
      </c>
      <c r="R239" s="49" t="n">
        <f aca="false">Q239*L239</f>
        <v>4.255</v>
      </c>
      <c r="S239" s="49" t="n">
        <f aca="false">J239-R239</f>
        <v>-4.255</v>
      </c>
      <c r="T239" s="14" t="n">
        <f aca="false">MIN(189.6,(T238+S239))</f>
        <v>111.835714285714</v>
      </c>
      <c r="U239" s="56" t="s">
        <v>42</v>
      </c>
      <c r="V239" s="48" t="n">
        <v>2477</v>
      </c>
      <c r="W239" s="48" t="n">
        <v>219.203539823009</v>
      </c>
      <c r="X239" s="48" t="n">
        <v>152187.9</v>
      </c>
      <c r="Y239" s="8" t="n">
        <f aca="false">Y238+V239</f>
        <v>23033.5</v>
      </c>
      <c r="AA239" s="8" t="n">
        <v>14.1601068874331</v>
      </c>
    </row>
    <row r="240" s="8" customFormat="true" ht="15" hidden="false" customHeight="true" outlineLevel="0" collapsed="false">
      <c r="A240" s="55"/>
      <c r="C240" s="11" t="n">
        <v>42118</v>
      </c>
      <c r="D240" s="8" t="n">
        <v>13.5</v>
      </c>
      <c r="E240" s="8" t="n">
        <v>6.2</v>
      </c>
      <c r="F240" s="8" t="n">
        <v>22.1</v>
      </c>
      <c r="G240" s="8" t="n">
        <v>1910.9</v>
      </c>
      <c r="H240" s="8" t="n">
        <f aca="false">H239+D240</f>
        <v>155.7</v>
      </c>
      <c r="I240" s="8" t="n">
        <v>5</v>
      </c>
      <c r="J240" s="8" t="n">
        <v>2.8</v>
      </c>
      <c r="K240" s="8" t="n">
        <v>371.9</v>
      </c>
      <c r="L240" s="8" t="n">
        <v>3</v>
      </c>
      <c r="M240" s="8" t="n">
        <v>280.9</v>
      </c>
      <c r="N240" s="13" t="n">
        <v>-0.2</v>
      </c>
      <c r="O240" s="8" t="n">
        <f aca="false">O239+N240</f>
        <v>135.9</v>
      </c>
      <c r="P240" s="8" t="n">
        <v>235</v>
      </c>
      <c r="Q240" s="8" t="n">
        <v>1.15</v>
      </c>
      <c r="R240" s="14" t="n">
        <f aca="false">Q240*L240</f>
        <v>3.45</v>
      </c>
      <c r="S240" s="14" t="n">
        <f aca="false">J240-R240</f>
        <v>-0.65</v>
      </c>
      <c r="T240" s="14" t="n">
        <f aca="false">MIN(189.6,(T239+S240))</f>
        <v>111.185714285714</v>
      </c>
      <c r="U240" s="58" t="n">
        <f aca="false">AVERAGE(T228:T248)</f>
        <v>124.727380952381</v>
      </c>
      <c r="V240" s="8" t="n">
        <v>1563</v>
      </c>
      <c r="W240" s="8" t="n">
        <v>115.777777777778</v>
      </c>
      <c r="X240" s="8" t="n">
        <v>153750.9</v>
      </c>
      <c r="Y240" s="8" t="n">
        <f aca="false">Y239+V240</f>
        <v>24596.5</v>
      </c>
      <c r="AA240" s="8" t="n">
        <v>14.2176745178259</v>
      </c>
    </row>
    <row r="241" s="8" customFormat="true" ht="15" hidden="false" customHeight="false" outlineLevel="0" collapsed="false">
      <c r="A241" s="55"/>
      <c r="C241" s="11" t="n">
        <v>42119</v>
      </c>
      <c r="D241" s="8" t="n">
        <v>13.1</v>
      </c>
      <c r="E241" s="8" t="n">
        <v>11.2</v>
      </c>
      <c r="F241" s="8" t="n">
        <v>15</v>
      </c>
      <c r="G241" s="8" t="n">
        <v>1924</v>
      </c>
      <c r="H241" s="8" t="n">
        <f aca="false">H240+D241</f>
        <v>168.8</v>
      </c>
      <c r="I241" s="56" t="s">
        <v>43</v>
      </c>
      <c r="J241" s="8" t="n">
        <v>3.8</v>
      </c>
      <c r="K241" s="8" t="n">
        <v>375.7</v>
      </c>
      <c r="L241" s="8" t="n">
        <v>1.4</v>
      </c>
      <c r="M241" s="8" t="n">
        <v>282.3</v>
      </c>
      <c r="N241" s="8" t="n">
        <v>2.4</v>
      </c>
      <c r="O241" s="8" t="n">
        <f aca="false">O240+N241</f>
        <v>138.3</v>
      </c>
      <c r="P241" s="8" t="n">
        <v>236</v>
      </c>
      <c r="Q241" s="8" t="n">
        <v>1.15</v>
      </c>
      <c r="R241" s="14" t="n">
        <f aca="false">Q241*L241</f>
        <v>1.61</v>
      </c>
      <c r="S241" s="14" t="n">
        <f aca="false">J241-R241</f>
        <v>2.19</v>
      </c>
      <c r="T241" s="14" t="n">
        <f aca="false">MIN(189.6,(T240+S241))</f>
        <v>113.375714285714</v>
      </c>
      <c r="V241" s="15" t="n">
        <v>763.7</v>
      </c>
      <c r="W241" s="8" t="n">
        <v>58.2977099236641</v>
      </c>
      <c r="X241" s="8" t="n">
        <v>154514.6</v>
      </c>
      <c r="Y241" s="8" t="n">
        <f aca="false">Y240+V241</f>
        <v>25360.2</v>
      </c>
      <c r="AA241" s="8" t="n">
        <v>14.274929790539</v>
      </c>
    </row>
    <row r="242" s="8" customFormat="true" ht="15" hidden="false" customHeight="false" outlineLevel="0" collapsed="false">
      <c r="A242" s="55"/>
      <c r="C242" s="11" t="n">
        <v>42120</v>
      </c>
      <c r="D242" s="8" t="n">
        <v>12.2</v>
      </c>
      <c r="E242" s="8" t="n">
        <v>11.3</v>
      </c>
      <c r="F242" s="8" t="n">
        <v>14.7</v>
      </c>
      <c r="G242" s="8" t="n">
        <v>1936.2</v>
      </c>
      <c r="H242" s="8" t="n">
        <f aca="false">H241+D242</f>
        <v>181</v>
      </c>
      <c r="I242" s="8" t="n">
        <v>235.1</v>
      </c>
      <c r="J242" s="8" t="n">
        <v>5.7</v>
      </c>
      <c r="K242" s="8" t="n">
        <v>381.4</v>
      </c>
      <c r="L242" s="8" t="n">
        <v>1.4</v>
      </c>
      <c r="M242" s="8" t="n">
        <v>283.7</v>
      </c>
      <c r="N242" s="8" t="n">
        <v>4.3</v>
      </c>
      <c r="O242" s="8" t="n">
        <f aca="false">O241+N242</f>
        <v>142.6</v>
      </c>
      <c r="P242" s="8" t="n">
        <v>237</v>
      </c>
      <c r="Q242" s="8" t="n">
        <v>1.15</v>
      </c>
      <c r="R242" s="14" t="n">
        <f aca="false">Q242*L242</f>
        <v>1.61</v>
      </c>
      <c r="S242" s="14" t="n">
        <f aca="false">J242-R242</f>
        <v>4.09</v>
      </c>
      <c r="T242" s="14" t="n">
        <f aca="false">MIN(189.6,(T241+S242))</f>
        <v>117.465714285714</v>
      </c>
      <c r="U242" s="8" t="n">
        <f aca="false">(U240*100)/189.6</f>
        <v>65.7844836246735</v>
      </c>
      <c r="V242" s="15" t="n">
        <v>593.8</v>
      </c>
      <c r="W242" s="8" t="n">
        <v>48.672131147541</v>
      </c>
      <c r="X242" s="8" t="n">
        <v>155108.4</v>
      </c>
      <c r="Y242" s="8" t="n">
        <f aca="false">Y241+V242</f>
        <v>25954</v>
      </c>
      <c r="AA242" s="8" t="n">
        <v>14.3318574685045</v>
      </c>
    </row>
    <row r="243" s="8" customFormat="true" ht="15" hidden="false" customHeight="false" outlineLevel="0" collapsed="false">
      <c r="A243" s="55"/>
      <c r="C243" s="11" t="n">
        <v>42121</v>
      </c>
      <c r="D243" s="8" t="n">
        <v>8.5</v>
      </c>
      <c r="E243" s="8" t="n">
        <v>6.9</v>
      </c>
      <c r="F243" s="8" t="n">
        <v>11.5</v>
      </c>
      <c r="G243" s="8" t="n">
        <v>1944.7</v>
      </c>
      <c r="H243" s="8" t="n">
        <f aca="false">H242+D243</f>
        <v>189.5</v>
      </c>
      <c r="J243" s="8" t="n">
        <v>0</v>
      </c>
      <c r="K243" s="8" t="n">
        <v>381.4</v>
      </c>
      <c r="L243" s="8" t="n">
        <v>2.4</v>
      </c>
      <c r="M243" s="8" t="n">
        <v>286.1</v>
      </c>
      <c r="N243" s="13" t="n">
        <v>-2.4</v>
      </c>
      <c r="O243" s="8" t="n">
        <f aca="false">O242+N243</f>
        <v>140.2</v>
      </c>
      <c r="P243" s="8" t="n">
        <v>238</v>
      </c>
      <c r="Q243" s="8" t="n">
        <v>1.15</v>
      </c>
      <c r="R243" s="14" t="n">
        <f aca="false">Q243*L243</f>
        <v>2.76</v>
      </c>
      <c r="S243" s="14" t="n">
        <f aca="false">J243-R243</f>
        <v>-2.76</v>
      </c>
      <c r="T243" s="14" t="n">
        <f aca="false">MIN(189.6,(T242+S243))</f>
        <v>114.705714285714</v>
      </c>
      <c r="V243" s="8" t="n">
        <v>1372.6</v>
      </c>
      <c r="W243" s="8" t="n">
        <v>161.482352941176</v>
      </c>
      <c r="X243" s="8" t="n">
        <v>156481</v>
      </c>
      <c r="Y243" s="8" t="n">
        <f aca="false">Y242+V243</f>
        <v>27326.6</v>
      </c>
      <c r="AA243" s="8" t="n">
        <v>14.3884417708522</v>
      </c>
    </row>
    <row r="244" s="8" customFormat="true" ht="15" hidden="false" customHeight="false" outlineLevel="0" collapsed="false">
      <c r="A244" s="55"/>
      <c r="C244" s="11" t="n">
        <v>42122</v>
      </c>
      <c r="D244" s="8" t="n">
        <v>7.7</v>
      </c>
      <c r="E244" s="18" t="n">
        <v>2.4</v>
      </c>
      <c r="F244" s="8" t="n">
        <v>11.3</v>
      </c>
      <c r="G244" s="8" t="n">
        <v>1952.4</v>
      </c>
      <c r="H244" s="8" t="n">
        <f aca="false">H243+D244</f>
        <v>197.2</v>
      </c>
      <c r="J244" s="8" t="n">
        <v>0</v>
      </c>
      <c r="K244" s="8" t="n">
        <v>381.4</v>
      </c>
      <c r="L244" s="8" t="n">
        <v>2.5</v>
      </c>
      <c r="M244" s="8" t="n">
        <v>288.6</v>
      </c>
      <c r="N244" s="13" t="n">
        <v>-2.5</v>
      </c>
      <c r="O244" s="8" t="n">
        <f aca="false">O243+N244</f>
        <v>137.7</v>
      </c>
      <c r="P244" s="8" t="n">
        <v>239</v>
      </c>
      <c r="Q244" s="8" t="n">
        <v>1.15</v>
      </c>
      <c r="R244" s="14" t="n">
        <f aca="false">Q244*L244</f>
        <v>2.875</v>
      </c>
      <c r="S244" s="14" t="n">
        <f aca="false">J244-R244</f>
        <v>-2.875</v>
      </c>
      <c r="T244" s="14" t="n">
        <f aca="false">MIN(189.6,(T243+S244))</f>
        <v>111.830714285714</v>
      </c>
      <c r="V244" s="8" t="n">
        <v>1962.8</v>
      </c>
      <c r="W244" s="8" t="n">
        <v>254.909090909091</v>
      </c>
      <c r="X244" s="8" t="n">
        <v>158443.8</v>
      </c>
      <c r="Y244" s="8" t="n">
        <f aca="false">Y243+V244</f>
        <v>29289.4</v>
      </c>
      <c r="AA244" s="8" t="n">
        <v>14.4446663634609</v>
      </c>
    </row>
    <row r="245" s="8" customFormat="true" ht="15" hidden="false" customHeight="false" outlineLevel="0" collapsed="false">
      <c r="A245" s="55"/>
      <c r="C245" s="11" t="n">
        <v>42123</v>
      </c>
      <c r="D245" s="8" t="n">
        <v>9.3</v>
      </c>
      <c r="E245" s="18" t="n">
        <v>3.7</v>
      </c>
      <c r="F245" s="8" t="n">
        <v>13.9</v>
      </c>
      <c r="G245" s="8" t="n">
        <v>1961.7</v>
      </c>
      <c r="H245" s="8" t="n">
        <f aca="false">H244+D245</f>
        <v>206.5</v>
      </c>
      <c r="J245" s="8" t="n">
        <v>0.9</v>
      </c>
      <c r="K245" s="8" t="n">
        <v>382.3</v>
      </c>
      <c r="L245" s="8" t="n">
        <v>2.2</v>
      </c>
      <c r="M245" s="8" t="n">
        <v>290.8</v>
      </c>
      <c r="N245" s="13" t="n">
        <v>-1.3</v>
      </c>
      <c r="O245" s="8" t="n">
        <f aca="false">O244+N245</f>
        <v>136.4</v>
      </c>
      <c r="P245" s="8" t="n">
        <v>240</v>
      </c>
      <c r="Q245" s="8" t="n">
        <v>1.15</v>
      </c>
      <c r="R245" s="14" t="n">
        <f aca="false">Q245*L245</f>
        <v>2.53</v>
      </c>
      <c r="S245" s="14" t="n">
        <f aca="false">J245-R245</f>
        <v>-1.63</v>
      </c>
      <c r="T245" s="14" t="n">
        <f aca="false">MIN(189.6,(T244+S245))</f>
        <v>110.200714285714</v>
      </c>
      <c r="V245" s="8" t="n">
        <v>1470.7</v>
      </c>
      <c r="W245" s="8" t="n">
        <v>158.139784946237</v>
      </c>
      <c r="X245" s="8" t="n">
        <v>159914.5</v>
      </c>
      <c r="Y245" s="8" t="n">
        <f aca="false">Y244+V245</f>
        <v>30760.1</v>
      </c>
      <c r="AA245" s="8" t="n">
        <v>14.5005143505566</v>
      </c>
    </row>
    <row r="246" s="8" customFormat="true" ht="15" hidden="false" customHeight="false" outlineLevel="0" collapsed="false">
      <c r="A246" s="55"/>
      <c r="C246" s="11" t="n">
        <v>42124</v>
      </c>
      <c r="D246" s="8" t="n">
        <v>8.8</v>
      </c>
      <c r="E246" s="8" t="n">
        <v>6.6</v>
      </c>
      <c r="F246" s="8" t="n">
        <v>11.4</v>
      </c>
      <c r="G246" s="8" t="n">
        <v>1970.5</v>
      </c>
      <c r="H246" s="8" t="n">
        <f aca="false">H245+D246</f>
        <v>215.3</v>
      </c>
      <c r="J246" s="8" t="n">
        <v>1.2</v>
      </c>
      <c r="K246" s="8" t="n">
        <v>383.5</v>
      </c>
      <c r="L246" s="8" t="n">
        <v>1.3</v>
      </c>
      <c r="M246" s="8" t="n">
        <v>292.1</v>
      </c>
      <c r="N246" s="13" t="n">
        <v>-0.1</v>
      </c>
      <c r="O246" s="8" t="n">
        <f aca="false">O245+N246</f>
        <v>136.3</v>
      </c>
      <c r="P246" s="8" t="n">
        <v>241</v>
      </c>
      <c r="Q246" s="8" t="n">
        <v>1.15</v>
      </c>
      <c r="R246" s="14" t="n">
        <f aca="false">Q246*L246</f>
        <v>1.495</v>
      </c>
      <c r="S246" s="14" t="n">
        <f aca="false">J246-R246</f>
        <v>-0.295</v>
      </c>
      <c r="T246" s="14" t="n">
        <f aca="false">MIN(189.6,(T245+S246))</f>
        <v>109.905714285714</v>
      </c>
      <c r="V246" s="15" t="n">
        <v>892.1</v>
      </c>
      <c r="W246" s="8" t="n">
        <v>101.375</v>
      </c>
      <c r="X246" s="8" t="n">
        <v>160806.6</v>
      </c>
      <c r="Y246" s="8" t="n">
        <f aca="false">Y245+V246</f>
        <v>31652.2</v>
      </c>
      <c r="AA246" s="8" t="n">
        <v>14.5559682674546</v>
      </c>
    </row>
    <row r="247" s="8" customFormat="true" ht="15" hidden="false" customHeight="false" outlineLevel="0" collapsed="false">
      <c r="A247" s="55"/>
      <c r="C247" s="11" t="n">
        <v>42125</v>
      </c>
      <c r="D247" s="8" t="n">
        <v>8.9</v>
      </c>
      <c r="E247" s="8" t="n">
        <v>5.1</v>
      </c>
      <c r="F247" s="8" t="n">
        <v>11.6</v>
      </c>
      <c r="G247" s="8" t="n">
        <v>1979.4</v>
      </c>
      <c r="H247" s="8" t="n">
        <f aca="false">H246+D247</f>
        <v>224.2</v>
      </c>
      <c r="J247" s="8" t="n">
        <v>0.4</v>
      </c>
      <c r="K247" s="8" t="n">
        <v>383.9</v>
      </c>
      <c r="L247" s="8" t="n">
        <v>1.9</v>
      </c>
      <c r="M247" s="8" t="n">
        <v>294</v>
      </c>
      <c r="N247" s="13" t="n">
        <v>-1.5</v>
      </c>
      <c r="O247" s="8" t="n">
        <f aca="false">O246+N247</f>
        <v>134.8</v>
      </c>
      <c r="P247" s="8" t="n">
        <v>242</v>
      </c>
      <c r="Q247" s="8" t="n">
        <v>1.15</v>
      </c>
      <c r="R247" s="14" t="n">
        <f aca="false">Q247*L247</f>
        <v>2.185</v>
      </c>
      <c r="S247" s="14" t="n">
        <f aca="false">J247-R247</f>
        <v>-1.785</v>
      </c>
      <c r="T247" s="14" t="n">
        <f aca="false">MIN(189.6,(T246+S247))</f>
        <v>108.120714285714</v>
      </c>
      <c r="V247" s="8" t="n">
        <v>1600</v>
      </c>
      <c r="W247" s="8" t="n">
        <v>179.775280898876</v>
      </c>
      <c r="X247" s="8" t="n">
        <v>162406.6</v>
      </c>
      <c r="Y247" s="8" t="n">
        <f aca="false">Y246+V247</f>
        <v>33252.2</v>
      </c>
      <c r="AA247" s="8" t="n">
        <v>14.6110100745474</v>
      </c>
    </row>
    <row r="248" s="22" customFormat="true" ht="15" hidden="false" customHeight="false" outlineLevel="0" collapsed="false">
      <c r="A248" s="74" t="s">
        <v>56</v>
      </c>
      <c r="C248" s="71" t="n">
        <v>42126</v>
      </c>
      <c r="D248" s="22" t="n">
        <v>10.9</v>
      </c>
      <c r="E248" s="22" t="n">
        <v>8.1</v>
      </c>
      <c r="F248" s="22" t="n">
        <v>13</v>
      </c>
      <c r="G248" s="22" t="n">
        <v>1990.3</v>
      </c>
      <c r="H248" s="22" t="n">
        <f aca="false">H247+D248</f>
        <v>235.1</v>
      </c>
      <c r="J248" s="22" t="n">
        <v>2.2</v>
      </c>
      <c r="K248" s="22" t="n">
        <v>386.1</v>
      </c>
      <c r="L248" s="22" t="n">
        <v>0.7</v>
      </c>
      <c r="M248" s="22" t="n">
        <v>294.7</v>
      </c>
      <c r="N248" s="22" t="n">
        <v>1.5</v>
      </c>
      <c r="O248" s="22" t="n">
        <f aca="false">O247+N248</f>
        <v>136.3</v>
      </c>
      <c r="P248" s="22" t="n">
        <v>243</v>
      </c>
      <c r="Q248" s="22" t="n">
        <v>1.15</v>
      </c>
      <c r="R248" s="24" t="n">
        <f aca="false">Q248*L248</f>
        <v>0.805</v>
      </c>
      <c r="S248" s="24" t="n">
        <f aca="false">J248-R248</f>
        <v>1.395</v>
      </c>
      <c r="T248" s="24" t="n">
        <f aca="false">MIN(189.6,(T247+S248))</f>
        <v>109.515714285714</v>
      </c>
      <c r="V248" s="75" t="n">
        <v>502</v>
      </c>
      <c r="W248" s="22" t="n">
        <v>46.0550458715596</v>
      </c>
      <c r="X248" s="22" t="n">
        <v>162908.6</v>
      </c>
      <c r="Y248" s="22" t="n">
        <f aca="false">Y247+V248</f>
        <v>33754.2</v>
      </c>
      <c r="AA248" s="22" t="n">
        <v>14.6656211526435</v>
      </c>
    </row>
    <row r="249" s="48" customFormat="true" ht="15" hidden="false" customHeight="false" outlineLevel="0" collapsed="false">
      <c r="A249" s="61" t="n">
        <v>300</v>
      </c>
      <c r="C249" s="63" t="n">
        <v>42127</v>
      </c>
      <c r="D249" s="48" t="n">
        <v>14.3</v>
      </c>
      <c r="E249" s="48" t="n">
        <v>11.3</v>
      </c>
      <c r="F249" s="48" t="n">
        <v>16.2</v>
      </c>
      <c r="G249" s="48" t="n">
        <v>2004.6</v>
      </c>
      <c r="H249" s="48" t="n">
        <f aca="false">D249</f>
        <v>14.3</v>
      </c>
      <c r="J249" s="48" t="n">
        <v>2</v>
      </c>
      <c r="K249" s="48" t="n">
        <v>388.1</v>
      </c>
      <c r="L249" s="48" t="n">
        <v>1</v>
      </c>
      <c r="M249" s="48" t="n">
        <v>295.7</v>
      </c>
      <c r="N249" s="48" t="n">
        <v>1</v>
      </c>
      <c r="O249" s="48" t="n">
        <f aca="false">O248+N249</f>
        <v>137.3</v>
      </c>
      <c r="P249" s="48" t="n">
        <v>244</v>
      </c>
      <c r="Q249" s="48" t="n">
        <v>1.15</v>
      </c>
      <c r="R249" s="49" t="n">
        <f aca="false">Q249*L249</f>
        <v>1.15</v>
      </c>
      <c r="S249" s="49" t="n">
        <f aca="false">J249-R249</f>
        <v>0.85</v>
      </c>
      <c r="T249" s="49" t="n">
        <f aca="false">MIN(189.6,(T248+S249))</f>
        <v>110.365714285714</v>
      </c>
      <c r="V249" s="76" t="n">
        <v>748.4</v>
      </c>
      <c r="W249" s="48" t="n">
        <v>52.3356643356643</v>
      </c>
      <c r="X249" s="48" t="n">
        <v>163657</v>
      </c>
      <c r="Y249" s="48" t="n">
        <f aca="false">V249</f>
        <v>748.4</v>
      </c>
      <c r="AA249" s="48" t="n">
        <v>14.7197822997689</v>
      </c>
    </row>
    <row r="250" s="8" customFormat="true" ht="15" hidden="false" customHeight="true" outlineLevel="0" collapsed="false">
      <c r="A250" s="61"/>
      <c r="B250" s="10"/>
      <c r="C250" s="11" t="n">
        <v>42128</v>
      </c>
      <c r="D250" s="8" t="n">
        <v>14.9</v>
      </c>
      <c r="E250" s="8" t="n">
        <v>11.3</v>
      </c>
      <c r="F250" s="8" t="n">
        <v>19</v>
      </c>
      <c r="G250" s="8" t="n">
        <v>2019.5</v>
      </c>
      <c r="H250" s="8" t="n">
        <f aca="false">H249+D250</f>
        <v>29.2</v>
      </c>
      <c r="I250" s="62" t="s">
        <v>28</v>
      </c>
      <c r="J250" s="8" t="n">
        <v>23.6</v>
      </c>
      <c r="K250" s="8" t="n">
        <v>411.7</v>
      </c>
      <c r="L250" s="8" t="n">
        <v>2.5</v>
      </c>
      <c r="M250" s="8" t="n">
        <v>298.2</v>
      </c>
      <c r="N250" s="8" t="n">
        <v>21.1</v>
      </c>
      <c r="O250" s="8" t="n">
        <f aca="false">O249+N250</f>
        <v>158.4</v>
      </c>
      <c r="P250" s="8" t="n">
        <v>245</v>
      </c>
      <c r="Q250" s="8" t="n">
        <v>1.15</v>
      </c>
      <c r="R250" s="14" t="n">
        <f aca="false">Q250*L250</f>
        <v>2.875</v>
      </c>
      <c r="S250" s="14" t="n">
        <f aca="false">J250-R250</f>
        <v>20.725</v>
      </c>
      <c r="T250" s="14" t="n">
        <f aca="false">MIN(189.6,(T249+S250))</f>
        <v>131.090714285714</v>
      </c>
      <c r="U250" s="62" t="s">
        <v>29</v>
      </c>
      <c r="V250" s="8" t="n">
        <v>1300.1</v>
      </c>
      <c r="W250" s="8" t="n">
        <v>87.255033557047</v>
      </c>
      <c r="X250" s="8" t="n">
        <v>164957.1</v>
      </c>
      <c r="Y250" s="8" t="n">
        <f aca="false">Y249+V250</f>
        <v>2048.5</v>
      </c>
      <c r="Z250" s="62" t="s">
        <v>30</v>
      </c>
      <c r="AA250" s="8" t="n">
        <v>14.7734737295446</v>
      </c>
    </row>
    <row r="251" s="8" customFormat="true" ht="15" hidden="false" customHeight="false" outlineLevel="0" collapsed="false">
      <c r="A251" s="61"/>
      <c r="B251" s="10"/>
      <c r="C251" s="11" t="n">
        <v>42129</v>
      </c>
      <c r="D251" s="8" t="n">
        <v>15</v>
      </c>
      <c r="E251" s="8" t="n">
        <v>14.9</v>
      </c>
      <c r="F251" s="8" t="n">
        <v>16.2</v>
      </c>
      <c r="G251" s="8" t="n">
        <v>2034.5</v>
      </c>
      <c r="H251" s="8" t="n">
        <f aca="false">H250+D251</f>
        <v>44.2</v>
      </c>
      <c r="I251" s="8" t="n">
        <f aca="false">MIN(E249:E272)</f>
        <v>5.2</v>
      </c>
      <c r="J251" s="8" t="n">
        <v>3.7</v>
      </c>
      <c r="K251" s="8" t="n">
        <v>415.4</v>
      </c>
      <c r="L251" s="8" t="n">
        <v>2.8</v>
      </c>
      <c r="M251" s="8" t="n">
        <v>301</v>
      </c>
      <c r="N251" s="8" t="n">
        <v>0.9</v>
      </c>
      <c r="O251" s="8" t="n">
        <f aca="false">O250+N251</f>
        <v>159.3</v>
      </c>
      <c r="P251" s="8" t="n">
        <v>246</v>
      </c>
      <c r="Q251" s="8" t="n">
        <v>1.15</v>
      </c>
      <c r="R251" s="14" t="n">
        <f aca="false">Q251*L251</f>
        <v>3.22</v>
      </c>
      <c r="S251" s="14" t="n">
        <f aca="false">J251-R251</f>
        <v>0.48</v>
      </c>
      <c r="T251" s="14" t="n">
        <f aca="false">MIN(189.6,(T250+S251))</f>
        <v>131.570714285714</v>
      </c>
      <c r="U251" s="8" t="n">
        <v>20</v>
      </c>
      <c r="V251" s="8" t="n">
        <v>1349.8</v>
      </c>
      <c r="W251" s="8" t="n">
        <v>89.9866666666667</v>
      </c>
      <c r="X251" s="8" t="n">
        <v>166306.9</v>
      </c>
      <c r="Y251" s="8" t="n">
        <f aca="false">Y250+V251</f>
        <v>3398.3</v>
      </c>
      <c r="Z251" s="8" t="n">
        <v>38520.3</v>
      </c>
      <c r="AA251" s="8" t="n">
        <v>14.8266750712589</v>
      </c>
    </row>
    <row r="252" s="8" customFormat="true" ht="15" hidden="false" customHeight="false" outlineLevel="0" collapsed="false">
      <c r="A252" s="61"/>
      <c r="B252" s="10"/>
      <c r="C252" s="11" t="n">
        <v>42130</v>
      </c>
      <c r="D252" s="8" t="n">
        <v>11.2</v>
      </c>
      <c r="E252" s="8" t="n">
        <v>9.6</v>
      </c>
      <c r="F252" s="8" t="n">
        <v>14.3</v>
      </c>
      <c r="G252" s="8" t="n">
        <v>2045.7</v>
      </c>
      <c r="H252" s="8" t="n">
        <f aca="false">H251+D252</f>
        <v>55.4</v>
      </c>
      <c r="I252" s="62" t="s">
        <v>31</v>
      </c>
      <c r="J252" s="8" t="n">
        <v>1.9</v>
      </c>
      <c r="K252" s="8" t="n">
        <v>417.3</v>
      </c>
      <c r="L252" s="8" t="n">
        <v>2.7</v>
      </c>
      <c r="M252" s="8" t="n">
        <v>303.7</v>
      </c>
      <c r="N252" s="13" t="n">
        <v>-0.8</v>
      </c>
      <c r="O252" s="8" t="n">
        <f aca="false">O251+N252</f>
        <v>158.5</v>
      </c>
      <c r="P252" s="8" t="n">
        <v>247</v>
      </c>
      <c r="Q252" s="8" t="n">
        <v>1.15</v>
      </c>
      <c r="R252" s="14" t="n">
        <f aca="false">Q252*L252</f>
        <v>3.105</v>
      </c>
      <c r="S252" s="14" t="n">
        <f aca="false">J252-R252</f>
        <v>-1.205</v>
      </c>
      <c r="T252" s="14" t="n">
        <f aca="false">MIN(189.6,(T251+S252))</f>
        <v>130.365714285714</v>
      </c>
      <c r="U252" s="62" t="s">
        <v>32</v>
      </c>
      <c r="V252" s="8" t="n">
        <v>1443.3</v>
      </c>
      <c r="W252" s="8" t="n">
        <v>128.866071428571</v>
      </c>
      <c r="X252" s="8" t="n">
        <v>167750.2</v>
      </c>
      <c r="Y252" s="8" t="n">
        <f aca="false">Y251+V252</f>
        <v>4841.6</v>
      </c>
      <c r="Z252" s="62" t="s">
        <v>33</v>
      </c>
      <c r="AA252" s="8" t="n">
        <v>14.8793653717553</v>
      </c>
    </row>
    <row r="253" s="8" customFormat="true" ht="15" hidden="false" customHeight="false" outlineLevel="0" collapsed="false">
      <c r="A253" s="61"/>
      <c r="B253" s="10"/>
      <c r="C253" s="11" t="n">
        <v>42131</v>
      </c>
      <c r="D253" s="8" t="n">
        <v>11.7</v>
      </c>
      <c r="E253" s="8" t="n">
        <v>8.6</v>
      </c>
      <c r="F253" s="8" t="n">
        <v>14.3</v>
      </c>
      <c r="G253" s="8" t="n">
        <v>2057.4</v>
      </c>
      <c r="H253" s="8" t="n">
        <f aca="false">H252+D253</f>
        <v>67.1</v>
      </c>
      <c r="I253" s="8" t="n">
        <f aca="false">MAX(F249:F272)</f>
        <v>24</v>
      </c>
      <c r="J253" s="8" t="n">
        <v>0</v>
      </c>
      <c r="K253" s="8" t="n">
        <v>417.3</v>
      </c>
      <c r="L253" s="8" t="n">
        <v>2.8</v>
      </c>
      <c r="M253" s="8" t="n">
        <v>306.5</v>
      </c>
      <c r="N253" s="13" t="n">
        <v>-2.8</v>
      </c>
      <c r="O253" s="8" t="n">
        <f aca="false">O252+N253</f>
        <v>155.7</v>
      </c>
      <c r="P253" s="8" t="n">
        <v>248</v>
      </c>
      <c r="Q253" s="8" t="n">
        <v>1.15</v>
      </c>
      <c r="R253" s="14" t="n">
        <f aca="false">Q253*L253</f>
        <v>3.22</v>
      </c>
      <c r="S253" s="14" t="n">
        <f aca="false">J253-R253</f>
        <v>-3.22</v>
      </c>
      <c r="T253" s="14" t="n">
        <f aca="false">MIN(189.6,(T252+S253))</f>
        <v>127.145714285714</v>
      </c>
      <c r="U253" s="8" t="n">
        <v>0</v>
      </c>
      <c r="V253" s="8" t="n">
        <v>1910</v>
      </c>
      <c r="W253" s="8" t="n">
        <v>163.247863247863</v>
      </c>
      <c r="X253" s="8" t="n">
        <v>169660.2</v>
      </c>
      <c r="Y253" s="8" t="n">
        <f aca="false">Y252+V253</f>
        <v>6751.6</v>
      </c>
      <c r="Z253" s="16" t="n">
        <f aca="false">(Z251/100)/I263</f>
        <v>1.26920263591433</v>
      </c>
      <c r="AA253" s="8" t="n">
        <v>14.9315230992589</v>
      </c>
    </row>
    <row r="254" s="8" customFormat="true" ht="15" hidden="false" customHeight="false" outlineLevel="0" collapsed="false">
      <c r="A254" s="61"/>
      <c r="B254" s="10"/>
      <c r="C254" s="11" t="n">
        <v>42132</v>
      </c>
      <c r="D254" s="8" t="n">
        <v>14.2</v>
      </c>
      <c r="E254" s="8" t="n">
        <v>10.5</v>
      </c>
      <c r="F254" s="8" t="n">
        <v>17.8</v>
      </c>
      <c r="G254" s="8" t="n">
        <v>2071.6</v>
      </c>
      <c r="H254" s="8" t="n">
        <f aca="false">H253+D254</f>
        <v>81.3</v>
      </c>
      <c r="I254" s="62" t="s">
        <v>34</v>
      </c>
      <c r="J254" s="8" t="n">
        <v>0</v>
      </c>
      <c r="K254" s="8" t="n">
        <v>417.3</v>
      </c>
      <c r="L254" s="8" t="n">
        <v>2.5</v>
      </c>
      <c r="M254" s="8" t="n">
        <v>309</v>
      </c>
      <c r="N254" s="13" t="n">
        <v>-2.5</v>
      </c>
      <c r="O254" s="8" t="n">
        <f aca="false">O253+N254</f>
        <v>153.2</v>
      </c>
      <c r="P254" s="8" t="n">
        <v>249</v>
      </c>
      <c r="Q254" s="8" t="n">
        <v>1.15</v>
      </c>
      <c r="R254" s="14" t="n">
        <f aca="false">Q254*L254</f>
        <v>2.875</v>
      </c>
      <c r="S254" s="14" t="n">
        <f aca="false">J254-R254</f>
        <v>-2.875</v>
      </c>
      <c r="T254" s="14" t="n">
        <f aca="false">MIN(189.6,(T253+S254))</f>
        <v>124.270714285714</v>
      </c>
      <c r="U254" s="62" t="s">
        <v>35</v>
      </c>
      <c r="V254" s="8" t="n">
        <v>1640.2</v>
      </c>
      <c r="W254" s="8" t="n">
        <v>115.507042253521</v>
      </c>
      <c r="X254" s="8" t="n">
        <v>171300.4</v>
      </c>
      <c r="Y254" s="8" t="n">
        <f aca="false">Y253+V254</f>
        <v>8391.8</v>
      </c>
      <c r="Z254" s="62" t="s">
        <v>36</v>
      </c>
      <c r="AA254" s="8" t="n">
        <v>14.9831261492678</v>
      </c>
    </row>
    <row r="255" s="8" customFormat="true" ht="15" hidden="false" customHeight="false" outlineLevel="0" collapsed="false">
      <c r="A255" s="61"/>
      <c r="B255" s="10"/>
      <c r="C255" s="11" t="n">
        <v>42133</v>
      </c>
      <c r="D255" s="8" t="n">
        <v>14.5</v>
      </c>
      <c r="E255" s="8" t="n">
        <v>12.9</v>
      </c>
      <c r="F255" s="8" t="n">
        <v>17.9</v>
      </c>
      <c r="G255" s="8" t="n">
        <v>2086.1</v>
      </c>
      <c r="H255" s="8" t="n">
        <f aca="false">H254+D255</f>
        <v>95.8</v>
      </c>
      <c r="I255" s="14" t="n">
        <f aca="false">AVERAGE(D249:D272)</f>
        <v>12.6458333333333</v>
      </c>
      <c r="J255" s="8" t="n">
        <v>0</v>
      </c>
      <c r="K255" s="8" t="n">
        <v>417.3</v>
      </c>
      <c r="L255" s="8" t="n">
        <v>3.6</v>
      </c>
      <c r="M255" s="8" t="n">
        <v>312.6</v>
      </c>
      <c r="N255" s="13" t="n">
        <v>-3.6</v>
      </c>
      <c r="O255" s="8" t="n">
        <f aca="false">O254+N255</f>
        <v>149.6</v>
      </c>
      <c r="P255" s="8" t="n">
        <v>250</v>
      </c>
      <c r="Q255" s="8" t="n">
        <v>1.15</v>
      </c>
      <c r="R255" s="14" t="n">
        <f aca="false">Q255*L255</f>
        <v>4.14</v>
      </c>
      <c r="S255" s="14" t="n">
        <f aca="false">J255-R255</f>
        <v>-4.14</v>
      </c>
      <c r="T255" s="14" t="n">
        <f aca="false">MIN(189.6,(T254+S255))</f>
        <v>120.130714285714</v>
      </c>
      <c r="U255" s="8" t="n">
        <v>0</v>
      </c>
      <c r="V255" s="8" t="n">
        <v>1808</v>
      </c>
      <c r="W255" s="8" t="n">
        <v>124.689655172414</v>
      </c>
      <c r="X255" s="8" t="n">
        <v>173108.4</v>
      </c>
      <c r="Y255" s="8" t="n">
        <f aca="false">Y254+V255</f>
        <v>10199.8</v>
      </c>
      <c r="Z255" s="8" t="n">
        <v>1</v>
      </c>
      <c r="AA255" s="8" t="n">
        <v>15.0341518526344</v>
      </c>
    </row>
    <row r="256" s="8" customFormat="true" ht="15" hidden="false" customHeight="false" outlineLevel="0" collapsed="false">
      <c r="A256" s="61"/>
      <c r="B256" s="10"/>
      <c r="C256" s="11" t="n">
        <v>42134</v>
      </c>
      <c r="D256" s="8" t="n">
        <v>14.8</v>
      </c>
      <c r="E256" s="8" t="n">
        <v>8.9</v>
      </c>
      <c r="F256" s="8" t="n">
        <v>19.5</v>
      </c>
      <c r="G256" s="8" t="n">
        <v>2100.9</v>
      </c>
      <c r="H256" s="8" t="n">
        <f aca="false">H255+D256</f>
        <v>110.6</v>
      </c>
      <c r="I256" s="62" t="s">
        <v>37</v>
      </c>
      <c r="J256" s="8" t="n">
        <v>0</v>
      </c>
      <c r="K256" s="8" t="n">
        <v>417.3</v>
      </c>
      <c r="L256" s="8" t="n">
        <v>2.4</v>
      </c>
      <c r="M256" s="8" t="n">
        <v>315</v>
      </c>
      <c r="N256" s="13" t="n">
        <v>-2.4</v>
      </c>
      <c r="O256" s="8" t="n">
        <f aca="false">O255+N256</f>
        <v>147.2</v>
      </c>
      <c r="P256" s="8" t="n">
        <v>251</v>
      </c>
      <c r="Q256" s="8" t="n">
        <v>1.15</v>
      </c>
      <c r="R256" s="14" t="n">
        <f aca="false">Q256*L256</f>
        <v>2.76</v>
      </c>
      <c r="S256" s="14" t="n">
        <f aca="false">J256-R256</f>
        <v>-2.76</v>
      </c>
      <c r="T256" s="14" t="n">
        <f aca="false">MIN(189.6,(T255+S256))</f>
        <v>117.370714285714</v>
      </c>
      <c r="U256" s="62" t="s">
        <v>38</v>
      </c>
      <c r="V256" s="8" t="n">
        <v>1503.9</v>
      </c>
      <c r="W256" s="8" t="n">
        <v>101.614864864865</v>
      </c>
      <c r="X256" s="8" t="n">
        <v>174612.3</v>
      </c>
      <c r="Y256" s="8" t="n">
        <f aca="false">Y255+V256</f>
        <v>11703.7</v>
      </c>
      <c r="AA256" s="8" t="n">
        <v>15.0845769859628</v>
      </c>
    </row>
    <row r="257" s="8" customFormat="true" ht="15" hidden="false" customHeight="false" outlineLevel="0" collapsed="false">
      <c r="A257" s="61"/>
      <c r="B257" s="10"/>
      <c r="C257" s="11" t="n">
        <v>42135</v>
      </c>
      <c r="D257" s="8" t="n">
        <v>17.3</v>
      </c>
      <c r="E257" s="8" t="n">
        <v>12</v>
      </c>
      <c r="F257" s="8" t="n">
        <v>24</v>
      </c>
      <c r="G257" s="8" t="n">
        <v>2118.2</v>
      </c>
      <c r="H257" s="8" t="n">
        <f aca="false">H256+D257</f>
        <v>127.9</v>
      </c>
      <c r="I257" s="8" t="n">
        <v>0</v>
      </c>
      <c r="J257" s="8" t="n">
        <v>0</v>
      </c>
      <c r="K257" s="8" t="n">
        <v>417.3</v>
      </c>
      <c r="L257" s="8" t="n">
        <v>4.2</v>
      </c>
      <c r="M257" s="8" t="n">
        <v>319.2</v>
      </c>
      <c r="N257" s="13" t="n">
        <v>-4.2</v>
      </c>
      <c r="O257" s="8" t="n">
        <f aca="false">O256+N257</f>
        <v>143</v>
      </c>
      <c r="P257" s="8" t="n">
        <v>252</v>
      </c>
      <c r="Q257" s="8" t="n">
        <v>1.15</v>
      </c>
      <c r="R257" s="14" t="n">
        <f aca="false">Q257*L257</f>
        <v>4.83</v>
      </c>
      <c r="S257" s="14" t="n">
        <f aca="false">J257-R257</f>
        <v>-4.83</v>
      </c>
      <c r="T257" s="14" t="n">
        <f aca="false">MIN(189.6,(T256+S257))</f>
        <v>112.540714285714</v>
      </c>
      <c r="U257" s="14" t="n">
        <f aca="false">MIN(T249:T272)</f>
        <v>84.2957142857142</v>
      </c>
      <c r="V257" s="8" t="n">
        <v>2227.8</v>
      </c>
      <c r="W257" s="8" t="n">
        <v>128.774566473988</v>
      </c>
      <c r="X257" s="8" t="n">
        <v>176840.1</v>
      </c>
      <c r="Y257" s="8" t="n">
        <f aca="false">Y256+V257</f>
        <v>13931.5</v>
      </c>
      <c r="AA257" s="8" t="n">
        <v>15.1343777844481</v>
      </c>
    </row>
    <row r="258" s="8" customFormat="true" ht="15" hidden="false" customHeight="false" outlineLevel="0" collapsed="false">
      <c r="A258" s="61"/>
      <c r="B258" s="10"/>
      <c r="C258" s="11" t="n">
        <v>42136</v>
      </c>
      <c r="D258" s="8" t="n">
        <v>12.9</v>
      </c>
      <c r="E258" s="8" t="n">
        <v>12.3</v>
      </c>
      <c r="F258" s="8" t="n">
        <v>16.1</v>
      </c>
      <c r="G258" s="8" t="n">
        <v>2131.1</v>
      </c>
      <c r="H258" s="8" t="n">
        <f aca="false">H257+D258</f>
        <v>140.8</v>
      </c>
      <c r="I258" s="62" t="s">
        <v>39</v>
      </c>
      <c r="J258" s="8" t="n">
        <v>0</v>
      </c>
      <c r="K258" s="8" t="n">
        <v>417.3</v>
      </c>
      <c r="L258" s="8" t="n">
        <v>2.6</v>
      </c>
      <c r="M258" s="8" t="n">
        <v>321.8</v>
      </c>
      <c r="N258" s="13" t="n">
        <v>-2.6</v>
      </c>
      <c r="O258" s="8" t="n">
        <f aca="false">O257+N258</f>
        <v>140.4</v>
      </c>
      <c r="P258" s="8" t="n">
        <v>253</v>
      </c>
      <c r="Q258" s="8" t="n">
        <v>1.15</v>
      </c>
      <c r="R258" s="14" t="n">
        <f aca="false">Q258*L258</f>
        <v>2.99</v>
      </c>
      <c r="S258" s="14" t="n">
        <f aca="false">J258-R258</f>
        <v>-2.99</v>
      </c>
      <c r="T258" s="14" t="n">
        <f aca="false">MIN(189.6,(T257+S258))</f>
        <v>109.550714285714</v>
      </c>
      <c r="U258" s="62" t="s">
        <v>40</v>
      </c>
      <c r="V258" s="8" t="n">
        <v>1276.1</v>
      </c>
      <c r="W258" s="8" t="n">
        <v>98.922480620155</v>
      </c>
      <c r="X258" s="8" t="n">
        <v>178116.2</v>
      </c>
      <c r="Y258" s="8" t="n">
        <f aca="false">Y257+V258</f>
        <v>15207.6</v>
      </c>
      <c r="AA258" s="8" t="n">
        <v>15.1835299572792</v>
      </c>
    </row>
    <row r="259" s="8" customFormat="true" ht="15" hidden="false" customHeight="false" outlineLevel="0" collapsed="false">
      <c r="A259" s="61"/>
      <c r="B259" s="10"/>
      <c r="C259" s="11" t="n">
        <v>42137</v>
      </c>
      <c r="D259" s="8" t="n">
        <v>12.8</v>
      </c>
      <c r="E259" s="8" t="n">
        <v>5.4</v>
      </c>
      <c r="F259" s="8" t="n">
        <v>17.7</v>
      </c>
      <c r="G259" s="8" t="n">
        <v>2143.9</v>
      </c>
      <c r="H259" s="8" t="n">
        <f aca="false">H258+D259</f>
        <v>153.6</v>
      </c>
      <c r="I259" s="8" t="n">
        <v>0</v>
      </c>
      <c r="J259" s="8" t="n">
        <v>0</v>
      </c>
      <c r="K259" s="8" t="n">
        <v>417.3</v>
      </c>
      <c r="L259" s="8" t="n">
        <v>3.2</v>
      </c>
      <c r="M259" s="8" t="n">
        <v>325</v>
      </c>
      <c r="N259" s="13" t="n">
        <v>-3.2</v>
      </c>
      <c r="O259" s="8" t="n">
        <f aca="false">O258+N259</f>
        <v>137.2</v>
      </c>
      <c r="P259" s="8" t="n">
        <v>254</v>
      </c>
      <c r="Q259" s="8" t="n">
        <v>1.15</v>
      </c>
      <c r="R259" s="14" t="n">
        <f aca="false">Q259*L259</f>
        <v>3.68</v>
      </c>
      <c r="S259" s="14" t="n">
        <f aca="false">J259-R259</f>
        <v>-3.68</v>
      </c>
      <c r="T259" s="14" t="n">
        <f aca="false">MIN(189.6,(T258+S259))</f>
        <v>105.870714285714</v>
      </c>
      <c r="U259" s="14" t="n">
        <f aca="false">MAX(T249:T272)</f>
        <v>131.570714285714</v>
      </c>
      <c r="V259" s="8" t="n">
        <v>2049.6</v>
      </c>
      <c r="W259" s="8" t="n">
        <v>160.125</v>
      </c>
      <c r="X259" s="8" t="n">
        <v>180165.8</v>
      </c>
      <c r="Y259" s="8" t="n">
        <f aca="false">Y258+V259</f>
        <v>17257.2</v>
      </c>
      <c r="AA259" s="8" t="n">
        <v>15.2320087057244</v>
      </c>
    </row>
    <row r="260" s="8" customFormat="true" ht="15" hidden="false" customHeight="false" outlineLevel="0" collapsed="false">
      <c r="A260" s="61"/>
      <c r="B260" s="10"/>
      <c r="C260" s="11" t="n">
        <v>42138</v>
      </c>
      <c r="D260" s="8" t="n">
        <v>10.5</v>
      </c>
      <c r="E260" s="8" t="n">
        <v>9.8</v>
      </c>
      <c r="F260" s="8" t="n">
        <v>14</v>
      </c>
      <c r="G260" s="8" t="n">
        <v>2154.4</v>
      </c>
      <c r="H260" s="8" t="n">
        <f aca="false">H259+D260</f>
        <v>164.1</v>
      </c>
      <c r="I260" s="62" t="s">
        <v>41</v>
      </c>
      <c r="J260" s="8" t="n">
        <v>9.3</v>
      </c>
      <c r="K260" s="8" t="n">
        <v>426.6</v>
      </c>
      <c r="L260" s="8" t="n">
        <v>1.7</v>
      </c>
      <c r="M260" s="8" t="n">
        <v>326.7</v>
      </c>
      <c r="N260" s="8" t="n">
        <v>7.6</v>
      </c>
      <c r="O260" s="8" t="n">
        <f aca="false">O259+N260</f>
        <v>144.8</v>
      </c>
      <c r="P260" s="8" t="n">
        <v>255</v>
      </c>
      <c r="Q260" s="8" t="n">
        <v>1.15</v>
      </c>
      <c r="R260" s="14" t="n">
        <f aca="false">Q260*L260</f>
        <v>1.955</v>
      </c>
      <c r="S260" s="14" t="n">
        <f aca="false">J260-R260</f>
        <v>7.345</v>
      </c>
      <c r="T260" s="14" t="n">
        <f aca="false">MIN(189.6,(T259+S260))</f>
        <v>113.215714285714</v>
      </c>
      <c r="U260" s="62" t="s">
        <v>42</v>
      </c>
      <c r="V260" s="8" t="n">
        <v>990.3</v>
      </c>
      <c r="W260" s="8" t="n">
        <v>94.3142857142857</v>
      </c>
      <c r="X260" s="8" t="n">
        <v>181156.1</v>
      </c>
      <c r="Y260" s="8" t="n">
        <f aca="false">Y259+V260</f>
        <v>18247.5</v>
      </c>
      <c r="AA260" s="8" t="n">
        <v>15.2797887440146</v>
      </c>
    </row>
    <row r="261" s="8" customFormat="true" ht="15" hidden="false" customHeight="false" outlineLevel="0" collapsed="false">
      <c r="A261" s="61"/>
      <c r="B261" s="10"/>
      <c r="C261" s="11" t="n">
        <v>42139</v>
      </c>
      <c r="D261" s="8" t="n">
        <v>9.5</v>
      </c>
      <c r="E261" s="8" t="n">
        <v>5.2</v>
      </c>
      <c r="F261" s="8" t="n">
        <v>13.1</v>
      </c>
      <c r="G261" s="8" t="n">
        <v>2163.9</v>
      </c>
      <c r="H261" s="8" t="n">
        <f aca="false">H260+D261</f>
        <v>173.6</v>
      </c>
      <c r="I261" s="8" t="n">
        <v>0</v>
      </c>
      <c r="J261" s="8" t="n">
        <v>0.2</v>
      </c>
      <c r="K261" s="8" t="n">
        <v>426.8</v>
      </c>
      <c r="L261" s="8" t="n">
        <v>1.7</v>
      </c>
      <c r="M261" s="8" t="n">
        <v>328.4</v>
      </c>
      <c r="N261" s="13" t="n">
        <v>-1.5</v>
      </c>
      <c r="O261" s="8" t="n">
        <f aca="false">O260+N261</f>
        <v>143.3</v>
      </c>
      <c r="P261" s="8" t="n">
        <v>256</v>
      </c>
      <c r="Q261" s="8" t="n">
        <v>1.15</v>
      </c>
      <c r="R261" s="14" t="n">
        <f aca="false">Q261*L261</f>
        <v>1.955</v>
      </c>
      <c r="S261" s="14" t="n">
        <f aca="false">J261-R261</f>
        <v>-1.755</v>
      </c>
      <c r="T261" s="14" t="n">
        <f aca="false">MIN(189.6,(T260+S261))</f>
        <v>111.460714285714</v>
      </c>
      <c r="U261" s="16" t="n">
        <f aca="false">AVERAGE(T249:T272)</f>
        <v>109.681547619048</v>
      </c>
      <c r="V261" s="8" t="n">
        <v>1252.4</v>
      </c>
      <c r="W261" s="8" t="n">
        <v>131.831578947368</v>
      </c>
      <c r="X261" s="8" t="n">
        <v>182408.5</v>
      </c>
      <c r="Y261" s="8" t="n">
        <f aca="false">Y260+V261</f>
        <v>19499.9</v>
      </c>
      <c r="AA261" s="8" t="n">
        <v>15.3268443231302</v>
      </c>
    </row>
    <row r="262" s="8" customFormat="true" ht="15" hidden="false" customHeight="false" outlineLevel="0" collapsed="false">
      <c r="A262" s="61"/>
      <c r="B262" s="10"/>
      <c r="C262" s="11" t="n">
        <v>42140</v>
      </c>
      <c r="D262" s="8" t="n">
        <v>10.5</v>
      </c>
      <c r="E262" s="8" t="n">
        <v>5.4</v>
      </c>
      <c r="F262" s="8" t="n">
        <v>14.2</v>
      </c>
      <c r="G262" s="8" t="n">
        <v>2174.4</v>
      </c>
      <c r="H262" s="8" t="n">
        <f aca="false">H261+D262</f>
        <v>184.1</v>
      </c>
      <c r="I262" s="62" t="s">
        <v>43</v>
      </c>
      <c r="J262" s="8" t="n">
        <v>0</v>
      </c>
      <c r="K262" s="8" t="n">
        <v>426.8</v>
      </c>
      <c r="L262" s="8" t="n">
        <v>1.3</v>
      </c>
      <c r="M262" s="8" t="n">
        <v>329.7</v>
      </c>
      <c r="N262" s="13" t="n">
        <v>-1.3</v>
      </c>
      <c r="O262" s="8" t="n">
        <f aca="false">O261+N262</f>
        <v>142</v>
      </c>
      <c r="P262" s="8" t="n">
        <v>257</v>
      </c>
      <c r="Q262" s="8" t="n">
        <v>1.15</v>
      </c>
      <c r="R262" s="14" t="n">
        <f aca="false">Q262*L262</f>
        <v>1.495</v>
      </c>
      <c r="S262" s="14" t="n">
        <f aca="false">J262-R262</f>
        <v>-1.495</v>
      </c>
      <c r="T262" s="14" t="n">
        <f aca="false">MIN(189.6,(T261+S262))</f>
        <v>109.965714285714</v>
      </c>
      <c r="V262" s="8" t="n">
        <v>1101.4</v>
      </c>
      <c r="W262" s="8" t="n">
        <v>104.895238095238</v>
      </c>
      <c r="X262" s="8" t="n">
        <v>183509.9</v>
      </c>
      <c r="Y262" s="8" t="n">
        <f aca="false">Y261+V262</f>
        <v>20601.3</v>
      </c>
      <c r="AA262" s="8" t="n">
        <v>15.3731492575923</v>
      </c>
    </row>
    <row r="263" s="8" customFormat="true" ht="15" hidden="false" customHeight="false" outlineLevel="0" collapsed="false">
      <c r="A263" s="61"/>
      <c r="B263" s="10"/>
      <c r="C263" s="11" t="n">
        <v>42141</v>
      </c>
      <c r="D263" s="8" t="n">
        <v>11.1</v>
      </c>
      <c r="E263" s="8" t="n">
        <v>6</v>
      </c>
      <c r="F263" s="8" t="n">
        <v>16.6</v>
      </c>
      <c r="G263" s="8" t="n">
        <v>2185.5</v>
      </c>
      <c r="H263" s="8" t="n">
        <f aca="false">H262+D263</f>
        <v>195.2</v>
      </c>
      <c r="I263" s="8" t="n">
        <v>303.5</v>
      </c>
      <c r="J263" s="8" t="n">
        <v>0</v>
      </c>
      <c r="K263" s="8" t="n">
        <v>426.8</v>
      </c>
      <c r="L263" s="8" t="n">
        <v>3.1</v>
      </c>
      <c r="M263" s="8" t="n">
        <v>332.8</v>
      </c>
      <c r="N263" s="13" t="n">
        <v>-3.1</v>
      </c>
      <c r="O263" s="8" t="n">
        <f aca="false">O262+N263</f>
        <v>138.9</v>
      </c>
      <c r="P263" s="8" t="n">
        <v>258</v>
      </c>
      <c r="Q263" s="8" t="n">
        <v>1.15</v>
      </c>
      <c r="R263" s="14" t="n">
        <f aca="false">Q263*L263</f>
        <v>3.565</v>
      </c>
      <c r="S263" s="14" t="n">
        <f aca="false">J263-R263</f>
        <v>-3.565</v>
      </c>
      <c r="T263" s="14" t="n">
        <f aca="false">MIN(189.6,(T262+S263))</f>
        <v>106.400714285714</v>
      </c>
      <c r="U263" s="8" t="n">
        <f aca="false">(U261*100)/189.6</f>
        <v>57.8489175205947</v>
      </c>
      <c r="V263" s="8" t="n">
        <v>2059</v>
      </c>
      <c r="W263" s="8" t="n">
        <v>185.495495495496</v>
      </c>
      <c r="X263" s="8" t="n">
        <v>185568.9</v>
      </c>
      <c r="Y263" s="8" t="n">
        <f aca="false">Y262+V263</f>
        <v>22660.3</v>
      </c>
      <c r="AA263" s="8" t="n">
        <v>15.4186769553468</v>
      </c>
    </row>
    <row r="264" s="8" customFormat="true" ht="15" hidden="false" customHeight="false" outlineLevel="0" collapsed="false">
      <c r="A264" s="61"/>
      <c r="B264" s="10"/>
      <c r="C264" s="11" t="n">
        <v>42142</v>
      </c>
      <c r="D264" s="8" t="n">
        <v>10.6</v>
      </c>
      <c r="E264" s="8" t="n">
        <v>5.8</v>
      </c>
      <c r="F264" s="8" t="n">
        <v>17.3</v>
      </c>
      <c r="G264" s="8" t="n">
        <v>2196.1</v>
      </c>
      <c r="H264" s="8" t="n">
        <f aca="false">H263+D264</f>
        <v>205.8</v>
      </c>
      <c r="J264" s="8" t="n">
        <v>2.7</v>
      </c>
      <c r="K264" s="8" t="n">
        <v>429.5</v>
      </c>
      <c r="L264" s="8" t="n">
        <v>2</v>
      </c>
      <c r="M264" s="8" t="n">
        <v>334.8</v>
      </c>
      <c r="N264" s="8" t="n">
        <v>0.7</v>
      </c>
      <c r="O264" s="8" t="n">
        <f aca="false">O263+N264</f>
        <v>139.6</v>
      </c>
      <c r="P264" s="8" t="n">
        <v>259</v>
      </c>
      <c r="Q264" s="8" t="n">
        <v>1.15</v>
      </c>
      <c r="R264" s="14" t="n">
        <f aca="false">Q264*L264</f>
        <v>2.3</v>
      </c>
      <c r="S264" s="14" t="n">
        <f aca="false">J264-R264</f>
        <v>0.4</v>
      </c>
      <c r="T264" s="14" t="n">
        <f aca="false">MIN(189.6,(T263+S264))</f>
        <v>106.800714285714</v>
      </c>
      <c r="V264" s="8" t="n">
        <v>990.3</v>
      </c>
      <c r="W264" s="8" t="n">
        <v>93.4245283018868</v>
      </c>
      <c r="X264" s="8" t="n">
        <v>186559.2</v>
      </c>
      <c r="Y264" s="8" t="n">
        <f aca="false">Y263+V264</f>
        <v>23650.6</v>
      </c>
      <c r="AA264" s="8" t="n">
        <v>15.4634004508182</v>
      </c>
    </row>
    <row r="265" s="48" customFormat="true" ht="15" hidden="false" customHeight="false" outlineLevel="0" collapsed="false">
      <c r="A265" s="61"/>
      <c r="B265" s="47"/>
      <c r="C265" s="63" t="n">
        <v>42143</v>
      </c>
      <c r="D265" s="48" t="n">
        <v>9.2</v>
      </c>
      <c r="E265" s="48" t="n">
        <v>6.9</v>
      </c>
      <c r="F265" s="48" t="n">
        <v>11.5</v>
      </c>
      <c r="G265" s="48" t="n">
        <v>2205.3</v>
      </c>
      <c r="H265" s="48" t="n">
        <f aca="false">H264+D265</f>
        <v>215</v>
      </c>
      <c r="J265" s="48" t="n">
        <v>2.9</v>
      </c>
      <c r="K265" s="48" t="n">
        <v>432.4</v>
      </c>
      <c r="L265" s="48" t="n">
        <v>2.9</v>
      </c>
      <c r="M265" s="48" t="n">
        <v>337.7</v>
      </c>
      <c r="N265" s="48" t="n">
        <v>0</v>
      </c>
      <c r="O265" s="48" t="n">
        <f aca="false">O264+N265</f>
        <v>139.6</v>
      </c>
      <c r="P265" s="48" t="n">
        <v>260</v>
      </c>
      <c r="Q265" s="8" t="n">
        <v>1.15</v>
      </c>
      <c r="R265" s="49" t="n">
        <f aca="false">Q265*L265</f>
        <v>3.335</v>
      </c>
      <c r="S265" s="49" t="n">
        <f aca="false">J265-R265</f>
        <v>-0.435</v>
      </c>
      <c r="T265" s="14" t="n">
        <f aca="false">MIN(189.6,(T264+S265))</f>
        <v>106.365714285714</v>
      </c>
      <c r="V265" s="48" t="n">
        <v>2379.1</v>
      </c>
      <c r="W265" s="48" t="n">
        <v>258.597826086957</v>
      </c>
      <c r="X265" s="48" t="n">
        <v>188938.3</v>
      </c>
      <c r="Y265" s="8" t="n">
        <f aca="false">Y264+V265</f>
        <v>26029.7</v>
      </c>
      <c r="AA265" s="8" t="n">
        <v>15.5072924411982</v>
      </c>
    </row>
    <row r="266" s="8" customFormat="true" ht="15" hidden="false" customHeight="true" outlineLevel="0" collapsed="false">
      <c r="A266" s="61"/>
      <c r="B266" s="10"/>
      <c r="C266" s="11" t="n">
        <v>42144</v>
      </c>
      <c r="D266" s="8" t="n">
        <v>9.6</v>
      </c>
      <c r="E266" s="8" t="n">
        <v>5.4</v>
      </c>
      <c r="F266" s="8" t="n">
        <v>13.5</v>
      </c>
      <c r="G266" s="8" t="n">
        <v>2214.9</v>
      </c>
      <c r="H266" s="8" t="n">
        <f aca="false">H265+D266</f>
        <v>224.6</v>
      </c>
      <c r="J266" s="8" t="n">
        <v>0.2</v>
      </c>
      <c r="K266" s="8" t="n">
        <v>432.6</v>
      </c>
      <c r="L266" s="8" t="n">
        <v>2.6</v>
      </c>
      <c r="M266" s="8" t="n">
        <v>340.3</v>
      </c>
      <c r="N266" s="13" t="n">
        <v>-2.4</v>
      </c>
      <c r="O266" s="8" t="n">
        <f aca="false">O265+N266</f>
        <v>137.2</v>
      </c>
      <c r="P266" s="8" t="n">
        <v>261</v>
      </c>
      <c r="Q266" s="8" t="n">
        <v>1.15</v>
      </c>
      <c r="R266" s="14" t="n">
        <f aca="false">Q266*L266</f>
        <v>2.99</v>
      </c>
      <c r="S266" s="14" t="n">
        <f aca="false">J266-R266</f>
        <v>-2.79</v>
      </c>
      <c r="T266" s="14" t="n">
        <f aca="false">MIN(189.6,(T265+S266))</f>
        <v>103.575714285714</v>
      </c>
      <c r="U266" s="50"/>
      <c r="V266" s="8" t="n">
        <v>1869.1</v>
      </c>
      <c r="W266" s="8" t="n">
        <v>194.697916666667</v>
      </c>
      <c r="X266" s="8" t="n">
        <v>190807.4</v>
      </c>
      <c r="Y266" s="8" t="n">
        <f aca="false">Y265+V266</f>
        <v>27898.8</v>
      </c>
      <c r="AA266" s="8" t="n">
        <v>15.5503253260155</v>
      </c>
    </row>
    <row r="267" s="8" customFormat="true" ht="15" hidden="false" customHeight="false" outlineLevel="0" collapsed="false">
      <c r="A267" s="61"/>
      <c r="B267" s="10"/>
      <c r="C267" s="11" t="n">
        <v>42145</v>
      </c>
      <c r="D267" s="8" t="n">
        <v>11.6</v>
      </c>
      <c r="E267" s="8" t="n">
        <v>6.5</v>
      </c>
      <c r="F267" s="8" t="n">
        <v>16.6</v>
      </c>
      <c r="G267" s="8" t="n">
        <v>2226.5</v>
      </c>
      <c r="H267" s="8" t="n">
        <f aca="false">H266+D267</f>
        <v>236.2</v>
      </c>
      <c r="J267" s="8" t="n">
        <v>0</v>
      </c>
      <c r="K267" s="8" t="n">
        <v>432.6</v>
      </c>
      <c r="L267" s="8" t="n">
        <v>3</v>
      </c>
      <c r="M267" s="8" t="n">
        <v>343.3</v>
      </c>
      <c r="N267" s="13" t="n">
        <v>-3</v>
      </c>
      <c r="O267" s="8" t="n">
        <f aca="false">O266+N267</f>
        <v>134.2</v>
      </c>
      <c r="P267" s="8" t="n">
        <v>262</v>
      </c>
      <c r="Q267" s="8" t="n">
        <v>1.15</v>
      </c>
      <c r="R267" s="14" t="n">
        <f aca="false">Q267*L267</f>
        <v>3.45</v>
      </c>
      <c r="S267" s="14" t="n">
        <f aca="false">J267-R267</f>
        <v>-3.45</v>
      </c>
      <c r="T267" s="14" t="n">
        <f aca="false">MIN(189.6,(T266+S267))</f>
        <v>100.125714285714</v>
      </c>
      <c r="V267" s="8" t="n">
        <v>1903.2</v>
      </c>
      <c r="W267" s="8" t="n">
        <v>164.068965517241</v>
      </c>
      <c r="X267" s="8" t="n">
        <v>192710.6</v>
      </c>
      <c r="Y267" s="8" t="n">
        <f aca="false">Y266+V267</f>
        <v>29802</v>
      </c>
      <c r="AA267" s="8" t="n">
        <v>15.5924712500165</v>
      </c>
    </row>
    <row r="268" s="8" customFormat="true" ht="15" hidden="false" customHeight="false" outlineLevel="0" collapsed="false">
      <c r="A268" s="61"/>
      <c r="B268" s="10"/>
      <c r="C268" s="11" t="n">
        <v>42146</v>
      </c>
      <c r="D268" s="8" t="n">
        <v>12.9</v>
      </c>
      <c r="E268" s="8" t="n">
        <v>6.2</v>
      </c>
      <c r="F268" s="8" t="n">
        <v>17.4</v>
      </c>
      <c r="G268" s="8" t="n">
        <v>2239.4</v>
      </c>
      <c r="H268" s="8" t="n">
        <f aca="false">H267+D268</f>
        <v>249.1</v>
      </c>
      <c r="J268" s="8" t="n">
        <v>0</v>
      </c>
      <c r="K268" s="8" t="n">
        <v>432.6</v>
      </c>
      <c r="L268" s="8" t="n">
        <v>2.6</v>
      </c>
      <c r="M268" s="8" t="n">
        <v>345.9</v>
      </c>
      <c r="N268" s="13" t="n">
        <v>-2.6</v>
      </c>
      <c r="O268" s="8" t="n">
        <f aca="false">O267+N268</f>
        <v>131.6</v>
      </c>
      <c r="P268" s="8" t="n">
        <v>263</v>
      </c>
      <c r="Q268" s="8" t="n">
        <v>1.15</v>
      </c>
      <c r="R268" s="14" t="n">
        <f aca="false">Q268*L268</f>
        <v>2.99</v>
      </c>
      <c r="S268" s="14" t="n">
        <f aca="false">J268-R268</f>
        <v>-2.99</v>
      </c>
      <c r="T268" s="14" t="n">
        <f aca="false">MIN(189.6,(T267+S268))</f>
        <v>97.1357142857142</v>
      </c>
      <c r="V268" s="8" t="n">
        <v>1773.9</v>
      </c>
      <c r="W268" s="8" t="n">
        <v>137.511627906977</v>
      </c>
      <c r="X268" s="8" t="n">
        <v>194484.5</v>
      </c>
      <c r="Y268" s="8" t="n">
        <f aca="false">Y267+V268</f>
        <v>31575.9</v>
      </c>
      <c r="AA268" s="8" t="n">
        <v>15.6337021493682</v>
      </c>
    </row>
    <row r="269" s="8" customFormat="true" ht="15" hidden="false" customHeight="false" outlineLevel="0" collapsed="false">
      <c r="A269" s="61"/>
      <c r="B269" s="10"/>
      <c r="C269" s="11" t="n">
        <v>42147</v>
      </c>
      <c r="D269" s="8" t="n">
        <v>14.1</v>
      </c>
      <c r="E269" s="8" t="n">
        <v>11.2</v>
      </c>
      <c r="F269" s="8" t="n">
        <v>18.5</v>
      </c>
      <c r="G269" s="8" t="n">
        <v>2253.5</v>
      </c>
      <c r="H269" s="8" t="n">
        <f aca="false">H268+D269</f>
        <v>263.2</v>
      </c>
      <c r="J269" s="8" t="n">
        <v>0</v>
      </c>
      <c r="K269" s="8" t="n">
        <v>432.6</v>
      </c>
      <c r="L269" s="8" t="n">
        <v>2.4</v>
      </c>
      <c r="M269" s="8" t="n">
        <v>348.3</v>
      </c>
      <c r="N269" s="13" t="n">
        <v>-2.4</v>
      </c>
      <c r="O269" s="8" t="n">
        <f aca="false">O268+N269</f>
        <v>129.2</v>
      </c>
      <c r="P269" s="8" t="n">
        <v>264</v>
      </c>
      <c r="Q269" s="8" t="n">
        <v>1.15</v>
      </c>
      <c r="R269" s="14" t="n">
        <f aca="false">Q269*L269</f>
        <v>2.76</v>
      </c>
      <c r="S269" s="14" t="n">
        <f aca="false">J269-R269</f>
        <v>-2.76</v>
      </c>
      <c r="T269" s="14" t="n">
        <f aca="false">MIN(189.6,(T268+S269))</f>
        <v>94.3757142857142</v>
      </c>
      <c r="V269" s="8" t="n">
        <v>1409.5</v>
      </c>
      <c r="W269" s="8" t="n">
        <v>99.9645390070922</v>
      </c>
      <c r="X269" s="8" t="n">
        <v>195894</v>
      </c>
      <c r="Y269" s="8" t="n">
        <f aca="false">Y268+V269</f>
        <v>32985.4</v>
      </c>
      <c r="AA269" s="8" t="n">
        <v>15.6739898011683</v>
      </c>
    </row>
    <row r="270" s="8" customFormat="true" ht="15" hidden="false" customHeight="false" outlineLevel="0" collapsed="false">
      <c r="A270" s="61"/>
      <c r="B270" s="10"/>
      <c r="C270" s="11" t="n">
        <v>42148</v>
      </c>
      <c r="D270" s="8" t="n">
        <v>14.1</v>
      </c>
      <c r="E270" s="8" t="n">
        <v>8.5</v>
      </c>
      <c r="F270" s="8" t="n">
        <v>18.6</v>
      </c>
      <c r="G270" s="8" t="n">
        <v>2267.6</v>
      </c>
      <c r="H270" s="8" t="n">
        <f aca="false">H269+D270</f>
        <v>277.3</v>
      </c>
      <c r="J270" s="8" t="n">
        <v>0.5</v>
      </c>
      <c r="K270" s="8" t="n">
        <v>433.1</v>
      </c>
      <c r="L270" s="8" t="n">
        <v>3.7</v>
      </c>
      <c r="M270" s="8" t="n">
        <v>352</v>
      </c>
      <c r="N270" s="13" t="n">
        <v>-3.2</v>
      </c>
      <c r="O270" s="8" t="n">
        <f aca="false">O269+N270</f>
        <v>126</v>
      </c>
      <c r="P270" s="8" t="n">
        <v>265</v>
      </c>
      <c r="Q270" s="8" t="n">
        <v>1.15</v>
      </c>
      <c r="R270" s="14" t="n">
        <f aca="false">Q270*L270</f>
        <v>4.255</v>
      </c>
      <c r="S270" s="14" t="n">
        <f aca="false">J270-R270</f>
        <v>-3.755</v>
      </c>
      <c r="T270" s="14" t="n">
        <f aca="false">MIN(189.6,(T269+S270))</f>
        <v>90.6207142857142</v>
      </c>
      <c r="V270" s="8" t="n">
        <v>2369.6</v>
      </c>
      <c r="W270" s="8" t="n">
        <v>168.056737588652</v>
      </c>
      <c r="X270" s="8" t="n">
        <v>198263.6</v>
      </c>
      <c r="Y270" s="8" t="n">
        <f aca="false">Y269+V270</f>
        <v>35355</v>
      </c>
      <c r="AA270" s="8" t="n">
        <v>15.7133058762291</v>
      </c>
    </row>
    <row r="271" s="8" customFormat="true" ht="15" hidden="false" customHeight="false" outlineLevel="0" collapsed="false">
      <c r="A271" s="61"/>
      <c r="B271" s="10"/>
      <c r="C271" s="11" t="n">
        <v>42149</v>
      </c>
      <c r="D271" s="8" t="n">
        <v>13.4</v>
      </c>
      <c r="E271" s="8" t="n">
        <v>11.9</v>
      </c>
      <c r="F271" s="8" t="n">
        <v>16.4</v>
      </c>
      <c r="G271" s="8" t="n">
        <v>2281</v>
      </c>
      <c r="H271" s="8" t="n">
        <f aca="false">H270+D271</f>
        <v>290.7</v>
      </c>
      <c r="J271" s="8" t="n">
        <v>0</v>
      </c>
      <c r="K271" s="8" t="n">
        <v>433.1</v>
      </c>
      <c r="L271" s="8" t="n">
        <v>2.5</v>
      </c>
      <c r="M271" s="8" t="n">
        <v>354.5</v>
      </c>
      <c r="N271" s="13" t="n">
        <v>-2.5</v>
      </c>
      <c r="O271" s="8" t="n">
        <f aca="false">O270+N271</f>
        <v>123.5</v>
      </c>
      <c r="P271" s="8" t="n">
        <v>266</v>
      </c>
      <c r="Q271" s="8" t="n">
        <v>1.15</v>
      </c>
      <c r="R271" s="14" t="n">
        <f aca="false">Q271*L271</f>
        <v>2.875</v>
      </c>
      <c r="S271" s="14" t="n">
        <f aca="false">J271-R271</f>
        <v>-2.875</v>
      </c>
      <c r="T271" s="14" t="n">
        <f aca="false">MIN(189.6,(T270+S271))</f>
        <v>87.7457142857142</v>
      </c>
      <c r="V271" s="8" t="n">
        <v>1329.6</v>
      </c>
      <c r="W271" s="8" t="n">
        <v>99.2238805970149</v>
      </c>
      <c r="X271" s="8" t="n">
        <v>199593.2</v>
      </c>
      <c r="Y271" s="8" t="n">
        <f aca="false">Y270+V271</f>
        <v>36684.6</v>
      </c>
      <c r="AA271" s="8" t="n">
        <v>15.7516219950701</v>
      </c>
    </row>
    <row r="272" s="22" customFormat="true" ht="15" hidden="false" customHeight="false" outlineLevel="0" collapsed="false">
      <c r="A272" s="61"/>
      <c r="B272" s="70"/>
      <c r="C272" s="71" t="n">
        <v>42150</v>
      </c>
      <c r="D272" s="22" t="n">
        <v>12.8</v>
      </c>
      <c r="E272" s="22" t="n">
        <v>10</v>
      </c>
      <c r="F272" s="22" t="n">
        <v>16.3</v>
      </c>
      <c r="G272" s="22" t="n">
        <v>2293.8</v>
      </c>
      <c r="H272" s="22" t="n">
        <f aca="false">H271+D272</f>
        <v>303.5</v>
      </c>
      <c r="J272" s="22" t="n">
        <v>0</v>
      </c>
      <c r="K272" s="22" t="n">
        <v>433.1</v>
      </c>
      <c r="L272" s="22" t="n">
        <v>3</v>
      </c>
      <c r="M272" s="22" t="n">
        <v>357.5</v>
      </c>
      <c r="N272" s="72" t="n">
        <v>-3</v>
      </c>
      <c r="O272" s="22" t="n">
        <f aca="false">O271+N272</f>
        <v>120.5</v>
      </c>
      <c r="P272" s="22" t="n">
        <v>267</v>
      </c>
      <c r="Q272" s="22" t="n">
        <v>1.15</v>
      </c>
      <c r="R272" s="24" t="n">
        <f aca="false">Q272*L272</f>
        <v>3.45</v>
      </c>
      <c r="S272" s="24" t="n">
        <f aca="false">J272-R272</f>
        <v>-3.45</v>
      </c>
      <c r="T272" s="24" t="n">
        <f aca="false">MIN(189.6,(T271+S272))</f>
        <v>84.2957142857142</v>
      </c>
      <c r="V272" s="22" t="n">
        <v>1835.7</v>
      </c>
      <c r="W272" s="22" t="n">
        <v>143.4140625</v>
      </c>
      <c r="X272" s="22" t="n">
        <v>201428.9</v>
      </c>
      <c r="Y272" s="22" t="n">
        <f aca="false">Y271+V272</f>
        <v>38520.3</v>
      </c>
      <c r="AA272" s="22" t="n">
        <v>15.7889097870295</v>
      </c>
    </row>
    <row r="273" s="48" customFormat="true" ht="15" hidden="false" customHeight="false" outlineLevel="0" collapsed="false">
      <c r="A273" s="64" t="n">
        <v>600</v>
      </c>
      <c r="B273" s="77"/>
      <c r="C273" s="63" t="n">
        <v>42151</v>
      </c>
      <c r="D273" s="48" t="n">
        <v>13.9</v>
      </c>
      <c r="E273" s="48" t="n">
        <v>8</v>
      </c>
      <c r="F273" s="48" t="n">
        <v>18.6</v>
      </c>
      <c r="G273" s="48" t="n">
        <v>2307.7</v>
      </c>
      <c r="H273" s="48" t="n">
        <f aca="false">D273</f>
        <v>13.9</v>
      </c>
      <c r="J273" s="48" t="n">
        <v>0</v>
      </c>
      <c r="K273" s="48" t="n">
        <v>433.1</v>
      </c>
      <c r="L273" s="48" t="n">
        <v>3.4</v>
      </c>
      <c r="M273" s="48" t="n">
        <v>360.9</v>
      </c>
      <c r="N273" s="78" t="n">
        <v>-3.4</v>
      </c>
      <c r="O273" s="48" t="n">
        <f aca="false">O272+N273</f>
        <v>117.1</v>
      </c>
      <c r="P273" s="48" t="n">
        <v>268</v>
      </c>
      <c r="Q273" s="16" t="n">
        <f aca="false">1.15+((P273-267)/62)*(0.35-1.15)</f>
        <v>1.13709677419355</v>
      </c>
      <c r="R273" s="49" t="n">
        <f aca="false">Q273*L273</f>
        <v>3.86612903225806</v>
      </c>
      <c r="S273" s="49" t="n">
        <f aca="false">J273-R273</f>
        <v>-3.86612903225806</v>
      </c>
      <c r="T273" s="49" t="n">
        <f aca="false">MIN(189.6,(T272+S273))</f>
        <v>80.4295852534561</v>
      </c>
      <c r="V273" s="48" t="n">
        <v>2124.9</v>
      </c>
      <c r="W273" s="48" t="n">
        <v>152.870503597122</v>
      </c>
      <c r="X273" s="48" t="n">
        <v>203553.8</v>
      </c>
      <c r="Y273" s="48" t="n">
        <f aca="false">V273</f>
        <v>2124.9</v>
      </c>
      <c r="AA273" s="48" t="n">
        <v>15.825140952375</v>
      </c>
    </row>
    <row r="274" s="8" customFormat="true" ht="15" hidden="false" customHeight="true" outlineLevel="0" collapsed="false">
      <c r="A274" s="64"/>
      <c r="B274" s="10"/>
      <c r="C274" s="11" t="n">
        <v>42152</v>
      </c>
      <c r="D274" s="8" t="n">
        <v>12.6</v>
      </c>
      <c r="E274" s="8" t="n">
        <v>10.2</v>
      </c>
      <c r="F274" s="8" t="n">
        <v>15.1</v>
      </c>
      <c r="G274" s="8" t="n">
        <v>2320.3</v>
      </c>
      <c r="H274" s="8" t="n">
        <f aca="false">H273+D274</f>
        <v>26.5</v>
      </c>
      <c r="I274" s="65" t="s">
        <v>28</v>
      </c>
      <c r="J274" s="8" t="n">
        <v>0</v>
      </c>
      <c r="K274" s="8" t="n">
        <v>433.1</v>
      </c>
      <c r="L274" s="8" t="n">
        <v>1.9</v>
      </c>
      <c r="M274" s="8" t="n">
        <v>362.8</v>
      </c>
      <c r="N274" s="13" t="n">
        <v>-1.9</v>
      </c>
      <c r="O274" s="8" t="n">
        <f aca="false">O273+N274</f>
        <v>115.2</v>
      </c>
      <c r="P274" s="8" t="n">
        <v>269</v>
      </c>
      <c r="Q274" s="16" t="n">
        <f aca="false">1.15+((P274-267)/62)*(0.35-1.15)</f>
        <v>1.1241935483871</v>
      </c>
      <c r="R274" s="14" t="n">
        <f aca="false">Q274*L274</f>
        <v>2.13596774193548</v>
      </c>
      <c r="S274" s="14" t="n">
        <f aca="false">J274-R274</f>
        <v>-2.13596774193548</v>
      </c>
      <c r="T274" s="14" t="n">
        <f aca="false">MIN(189.6,(T273+S274))</f>
        <v>78.2936175115207</v>
      </c>
      <c r="U274" s="65" t="s">
        <v>29</v>
      </c>
      <c r="V274" s="8" t="n">
        <v>1140.8</v>
      </c>
      <c r="W274" s="8" t="n">
        <v>90.5396825396825</v>
      </c>
      <c r="X274" s="8" t="n">
        <v>204694.6</v>
      </c>
      <c r="Y274" s="8" t="n">
        <f aca="false">Y273+V274</f>
        <v>3265.7</v>
      </c>
      <c r="Z274" s="65" t="s">
        <v>30</v>
      </c>
      <c r="AA274" s="8" t="n">
        <v>15.8602873272624</v>
      </c>
    </row>
    <row r="275" s="8" customFormat="true" ht="15" hidden="false" customHeight="false" outlineLevel="0" collapsed="false">
      <c r="A275" s="64"/>
      <c r="B275" s="10"/>
      <c r="C275" s="11" t="n">
        <v>42153</v>
      </c>
      <c r="D275" s="8" t="n">
        <v>11.4</v>
      </c>
      <c r="E275" s="8" t="n">
        <v>6.6</v>
      </c>
      <c r="F275" s="8" t="n">
        <v>14.4</v>
      </c>
      <c r="G275" s="8" t="n">
        <v>2331.7</v>
      </c>
      <c r="H275" s="8" t="n">
        <f aca="false">H274+D275</f>
        <v>37.9</v>
      </c>
      <c r="I275" s="8" t="n">
        <f aca="false">MIN(E273:E292)</f>
        <v>6</v>
      </c>
      <c r="J275" s="8" t="n">
        <v>1.6</v>
      </c>
      <c r="K275" s="8" t="n">
        <v>434.7</v>
      </c>
      <c r="L275" s="8" t="n">
        <v>1.8</v>
      </c>
      <c r="M275" s="8" t="n">
        <v>364.6</v>
      </c>
      <c r="N275" s="13" t="n">
        <v>-0.2</v>
      </c>
      <c r="O275" s="8" t="n">
        <f aca="false">O274+N275</f>
        <v>115</v>
      </c>
      <c r="P275" s="8" t="n">
        <v>270</v>
      </c>
      <c r="Q275" s="16" t="n">
        <f aca="false">1.15+((P275-267)/62)*(0.35-1.15)</f>
        <v>1.11129032258065</v>
      </c>
      <c r="R275" s="14" t="n">
        <f aca="false">Q275*L275</f>
        <v>2.00032258064516</v>
      </c>
      <c r="S275" s="14" t="n">
        <f aca="false">J275-R275</f>
        <v>-0.400322580645161</v>
      </c>
      <c r="T275" s="14" t="n">
        <f aca="false">MIN(189.6,(T274+S275))</f>
        <v>77.8932949308755</v>
      </c>
      <c r="U275" s="8" t="n">
        <v>18</v>
      </c>
      <c r="V275" s="8" t="n">
        <v>1064.5</v>
      </c>
      <c r="W275" s="8" t="n">
        <v>93.3771929824561</v>
      </c>
      <c r="X275" s="8" t="n">
        <v>205759.1</v>
      </c>
      <c r="Y275" s="8" t="n">
        <f aca="false">Y274+V275</f>
        <v>4330.2</v>
      </c>
      <c r="Z275" s="8" t="n">
        <v>38942.4</v>
      </c>
      <c r="AA275" s="8" t="n">
        <v>15.8943209513573</v>
      </c>
    </row>
    <row r="276" s="8" customFormat="true" ht="15" hidden="false" customHeight="false" outlineLevel="0" collapsed="false">
      <c r="A276" s="64"/>
      <c r="B276" s="10"/>
      <c r="C276" s="11" t="n">
        <v>42154</v>
      </c>
      <c r="D276" s="8" t="n">
        <v>12.1</v>
      </c>
      <c r="E276" s="8" t="n">
        <v>7.8</v>
      </c>
      <c r="F276" s="8" t="n">
        <v>15.6</v>
      </c>
      <c r="G276" s="8" t="n">
        <v>2343.8</v>
      </c>
      <c r="H276" s="8" t="n">
        <f aca="false">H275+D276</f>
        <v>50</v>
      </c>
      <c r="I276" s="65" t="s">
        <v>31</v>
      </c>
      <c r="J276" s="8" t="n">
        <v>0</v>
      </c>
      <c r="K276" s="8" t="n">
        <v>434.7</v>
      </c>
      <c r="L276" s="8" t="n">
        <v>2.8</v>
      </c>
      <c r="M276" s="8" t="n">
        <v>367.4</v>
      </c>
      <c r="N276" s="13" t="n">
        <v>-2.8</v>
      </c>
      <c r="O276" s="8" t="n">
        <f aca="false">O275+N276</f>
        <v>112.2</v>
      </c>
      <c r="P276" s="8" t="n">
        <v>271</v>
      </c>
      <c r="Q276" s="16" t="n">
        <f aca="false">1.15+((P276-267)/62)*(0.35-1.15)</f>
        <v>1.09838709677419</v>
      </c>
      <c r="R276" s="14" t="n">
        <f aca="false">Q276*L276</f>
        <v>3.07548387096774</v>
      </c>
      <c r="S276" s="14" t="n">
        <f aca="false">J276-R276</f>
        <v>-3.07548387096774</v>
      </c>
      <c r="T276" s="14" t="n">
        <f aca="false">MIN(189.6,(T275+S276))</f>
        <v>74.8178110599077</v>
      </c>
      <c r="U276" s="65" t="s">
        <v>32</v>
      </c>
      <c r="V276" s="8" t="n">
        <v>1749.1</v>
      </c>
      <c r="W276" s="8" t="n">
        <v>144.553719008264</v>
      </c>
      <c r="X276" s="8" t="n">
        <v>207508.2</v>
      </c>
      <c r="Y276" s="8" t="n">
        <f aca="false">Y275+V276</f>
        <v>6079.3</v>
      </c>
      <c r="Z276" s="65" t="s">
        <v>33</v>
      </c>
      <c r="AA276" s="8" t="n">
        <v>15.9272141379056</v>
      </c>
    </row>
    <row r="277" s="8" customFormat="true" ht="15" hidden="false" customHeight="false" outlineLevel="0" collapsed="false">
      <c r="A277" s="64"/>
      <c r="B277" s="10"/>
      <c r="C277" s="11" t="n">
        <v>42155</v>
      </c>
      <c r="D277" s="8" t="n">
        <v>13.1</v>
      </c>
      <c r="E277" s="8" t="n">
        <v>8.7</v>
      </c>
      <c r="F277" s="8" t="n">
        <v>15.4</v>
      </c>
      <c r="G277" s="8" t="n">
        <v>2356.9</v>
      </c>
      <c r="H277" s="8" t="n">
        <f aca="false">H276+D277</f>
        <v>63.1</v>
      </c>
      <c r="I277" s="8" t="n">
        <f aca="false">MAX(F273:F292)</f>
        <v>31.1</v>
      </c>
      <c r="J277" s="8" t="n">
        <v>6.7</v>
      </c>
      <c r="K277" s="8" t="n">
        <v>441.4</v>
      </c>
      <c r="L277" s="8" t="n">
        <v>1.2</v>
      </c>
      <c r="M277" s="8" t="n">
        <v>368.6</v>
      </c>
      <c r="N277" s="8" t="n">
        <v>5.5</v>
      </c>
      <c r="O277" s="8" t="n">
        <f aca="false">O276+N277</f>
        <v>117.7</v>
      </c>
      <c r="P277" s="8" t="n">
        <v>272</v>
      </c>
      <c r="Q277" s="16" t="n">
        <f aca="false">1.15+((P277-267)/62)*(0.35-1.15)</f>
        <v>1.08548387096774</v>
      </c>
      <c r="R277" s="14" t="n">
        <f aca="false">Q277*L277</f>
        <v>1.30258064516129</v>
      </c>
      <c r="S277" s="14" t="n">
        <f aca="false">J277-R277</f>
        <v>5.39741935483871</v>
      </c>
      <c r="T277" s="14" t="n">
        <f aca="false">MIN(189.6,(T276+S277))</f>
        <v>80.2152304147464</v>
      </c>
      <c r="U277" s="8" t="n">
        <v>0</v>
      </c>
      <c r="V277" s="8" t="n">
        <v>957.9</v>
      </c>
      <c r="W277" s="8" t="n">
        <v>73.1221374045802</v>
      </c>
      <c r="X277" s="8" t="n">
        <v>208466.1</v>
      </c>
      <c r="Y277" s="8" t="n">
        <f aca="false">Y276+V277</f>
        <v>7037.2</v>
      </c>
      <c r="Z277" s="16" t="n">
        <f aca="false">(Z275/100)/I287</f>
        <v>1.29678321678322</v>
      </c>
      <c r="AA277" s="8" t="n">
        <v>15.9589395459995</v>
      </c>
    </row>
    <row r="278" s="8" customFormat="true" ht="15" hidden="false" customHeight="false" outlineLevel="0" collapsed="false">
      <c r="A278" s="64"/>
      <c r="B278" s="10"/>
      <c r="C278" s="11" t="n">
        <v>42156</v>
      </c>
      <c r="D278" s="8" t="n">
        <v>11.9</v>
      </c>
      <c r="E278" s="8" t="n">
        <v>7.9</v>
      </c>
      <c r="F278" s="8" t="n">
        <v>14.7</v>
      </c>
      <c r="G278" s="8" t="n">
        <v>2368.8</v>
      </c>
      <c r="H278" s="8" t="n">
        <f aca="false">H277+D278</f>
        <v>75</v>
      </c>
      <c r="I278" s="65" t="s">
        <v>34</v>
      </c>
      <c r="J278" s="8" t="n">
        <v>0.1</v>
      </c>
      <c r="K278" s="8" t="n">
        <v>441.5</v>
      </c>
      <c r="L278" s="8" t="n">
        <v>3</v>
      </c>
      <c r="M278" s="8" t="n">
        <v>371.6</v>
      </c>
      <c r="N278" s="13" t="n">
        <v>-2.9</v>
      </c>
      <c r="O278" s="8" t="n">
        <f aca="false">O277+N278</f>
        <v>114.8</v>
      </c>
      <c r="P278" s="8" t="n">
        <v>273</v>
      </c>
      <c r="Q278" s="16" t="n">
        <f aca="false">1.15+((P278-267)/62)*(0.35-1.15)</f>
        <v>1.07258064516129</v>
      </c>
      <c r="R278" s="14" t="n">
        <f aca="false">Q278*L278</f>
        <v>3.21774193548387</v>
      </c>
      <c r="S278" s="14" t="n">
        <f aca="false">J278-R278</f>
        <v>-3.11774193548387</v>
      </c>
      <c r="T278" s="14" t="n">
        <f aca="false">MIN(189.6,(T277+S278))</f>
        <v>77.0974884792626</v>
      </c>
      <c r="U278" s="65" t="s">
        <v>35</v>
      </c>
      <c r="V278" s="8" t="n">
        <v>1936.9</v>
      </c>
      <c r="W278" s="8" t="n">
        <v>162.764705882353</v>
      </c>
      <c r="X278" s="8" t="n">
        <v>210403</v>
      </c>
      <c r="Y278" s="8" t="n">
        <f aca="false">Y277+V278</f>
        <v>8974.1</v>
      </c>
      <c r="Z278" s="65" t="s">
        <v>36</v>
      </c>
      <c r="AA278" s="8" t="n">
        <v>15.9894702547585</v>
      </c>
    </row>
    <row r="279" s="8" customFormat="true" ht="15" hidden="false" customHeight="false" outlineLevel="0" collapsed="false">
      <c r="A279" s="64"/>
      <c r="B279" s="10"/>
      <c r="C279" s="11" t="n">
        <v>42157</v>
      </c>
      <c r="D279" s="8" t="n">
        <v>15.9</v>
      </c>
      <c r="E279" s="8" t="n">
        <v>11.8</v>
      </c>
      <c r="F279" s="8" t="n">
        <v>19.2</v>
      </c>
      <c r="G279" s="8" t="n">
        <v>2384.7</v>
      </c>
      <c r="H279" s="8" t="n">
        <f aca="false">H278+D279</f>
        <v>90.9</v>
      </c>
      <c r="I279" s="8" t="n">
        <f aca="false">AVERAGE(D273:D292)</f>
        <v>15.015</v>
      </c>
      <c r="J279" s="8" t="n">
        <v>0.3</v>
      </c>
      <c r="K279" s="8" t="n">
        <v>441.8</v>
      </c>
      <c r="L279" s="8" t="n">
        <v>2.3</v>
      </c>
      <c r="M279" s="8" t="n">
        <v>373.9</v>
      </c>
      <c r="N279" s="13" t="n">
        <v>-2</v>
      </c>
      <c r="O279" s="8" t="n">
        <f aca="false">O278+N279</f>
        <v>112.8</v>
      </c>
      <c r="P279" s="8" t="n">
        <v>274</v>
      </c>
      <c r="Q279" s="16" t="n">
        <f aca="false">1.15+((P279-267)/62)*(0.35-1.15)</f>
        <v>1.05967741935484</v>
      </c>
      <c r="R279" s="14" t="n">
        <f aca="false">Q279*L279</f>
        <v>2.43725806451613</v>
      </c>
      <c r="S279" s="14" t="n">
        <f aca="false">J279-R279</f>
        <v>-2.13725806451613</v>
      </c>
      <c r="T279" s="14" t="n">
        <f aca="false">MIN(189.6,(T278+S279))</f>
        <v>74.9602304147464</v>
      </c>
      <c r="U279" s="8" t="n">
        <v>4</v>
      </c>
      <c r="V279" s="15" t="n">
        <v>720.8</v>
      </c>
      <c r="W279" s="8" t="n">
        <v>45.3333333333333</v>
      </c>
      <c r="X279" s="8" t="n">
        <v>211123.8</v>
      </c>
      <c r="Y279" s="8" t="n">
        <f aca="false">Y278+V279</f>
        <v>9694.9</v>
      </c>
      <c r="Z279" s="8" t="n">
        <v>1</v>
      </c>
      <c r="AA279" s="8" t="n">
        <v>16.0187798391047</v>
      </c>
    </row>
    <row r="280" s="8" customFormat="true" ht="15" hidden="false" customHeight="false" outlineLevel="0" collapsed="false">
      <c r="A280" s="64"/>
      <c r="B280" s="10"/>
      <c r="C280" s="11" t="n">
        <v>42158</v>
      </c>
      <c r="D280" s="8" t="n">
        <v>14.5</v>
      </c>
      <c r="E280" s="8" t="n">
        <v>13.3</v>
      </c>
      <c r="F280" s="8" t="n">
        <v>17.9</v>
      </c>
      <c r="G280" s="8" t="n">
        <v>2399.2</v>
      </c>
      <c r="H280" s="8" t="n">
        <f aca="false">H279+D280</f>
        <v>105.4</v>
      </c>
      <c r="I280" s="65" t="s">
        <v>37</v>
      </c>
      <c r="J280" s="8" t="n">
        <v>0</v>
      </c>
      <c r="K280" s="8" t="n">
        <v>441.8</v>
      </c>
      <c r="L280" s="8" t="n">
        <v>3.7</v>
      </c>
      <c r="M280" s="8" t="n">
        <v>377.6</v>
      </c>
      <c r="N280" s="13" t="n">
        <v>-3.7</v>
      </c>
      <c r="O280" s="8" t="n">
        <f aca="false">O279+N280</f>
        <v>109.1</v>
      </c>
      <c r="P280" s="8" t="n">
        <v>275</v>
      </c>
      <c r="Q280" s="16" t="n">
        <f aca="false">1.15+((P280-267)/62)*(0.35-1.15)</f>
        <v>1.04677419354839</v>
      </c>
      <c r="R280" s="14" t="n">
        <f aca="false">Q280*L280</f>
        <v>3.87306451612903</v>
      </c>
      <c r="S280" s="14" t="n">
        <f aca="false">J280-R280</f>
        <v>-3.87306451612903</v>
      </c>
      <c r="T280" s="14" t="n">
        <f aca="false">MIN(189.6,(T279+S280))</f>
        <v>71.0871658986174</v>
      </c>
      <c r="U280" s="65" t="s">
        <v>38</v>
      </c>
      <c r="V280" s="8" t="n">
        <v>1705.7</v>
      </c>
      <c r="W280" s="8" t="n">
        <v>117.634482758621</v>
      </c>
      <c r="X280" s="8" t="n">
        <v>212829.5</v>
      </c>
      <c r="Y280" s="8" t="n">
        <f aca="false">Y279+V280</f>
        <v>11400.6</v>
      </c>
      <c r="AA280" s="8" t="n">
        <v>16.0468424467846</v>
      </c>
    </row>
    <row r="281" s="8" customFormat="true" ht="15" hidden="false" customHeight="false" outlineLevel="0" collapsed="false">
      <c r="A281" s="64"/>
      <c r="B281" s="10"/>
      <c r="C281" s="11" t="n">
        <v>42159</v>
      </c>
      <c r="D281" s="8" t="n">
        <v>16.8</v>
      </c>
      <c r="E281" s="8" t="n">
        <v>6.1</v>
      </c>
      <c r="F281" s="8" t="n">
        <v>23.7</v>
      </c>
      <c r="G281" s="8" t="n">
        <v>2416</v>
      </c>
      <c r="H281" s="8" t="n">
        <f aca="false">H280+D281</f>
        <v>122.2</v>
      </c>
      <c r="I281" s="8" t="n">
        <v>0</v>
      </c>
      <c r="J281" s="8" t="n">
        <v>0</v>
      </c>
      <c r="K281" s="8" t="n">
        <v>441.8</v>
      </c>
      <c r="L281" s="8" t="n">
        <v>4.9</v>
      </c>
      <c r="M281" s="8" t="n">
        <v>382.5</v>
      </c>
      <c r="N281" s="13" t="n">
        <v>-4.9</v>
      </c>
      <c r="O281" s="8" t="n">
        <f aca="false">O280+N281</f>
        <v>104.2</v>
      </c>
      <c r="P281" s="8" t="n">
        <v>276</v>
      </c>
      <c r="Q281" s="16" t="n">
        <f aca="false">1.15+((P281-267)/62)*(0.35-1.15)</f>
        <v>1.03387096774194</v>
      </c>
      <c r="R281" s="14" t="n">
        <f aca="false">Q281*L281</f>
        <v>5.06596774193548</v>
      </c>
      <c r="S281" s="14" t="n">
        <f aca="false">J281-R281</f>
        <v>-5.06596774193548</v>
      </c>
      <c r="T281" s="14" t="n">
        <f aca="false">MIN(189.6,(T280+S281))</f>
        <v>66.0211981566819</v>
      </c>
      <c r="U281" s="14" t="n">
        <f aca="false">MIN(T273:T292)</f>
        <v>54.8047465437787</v>
      </c>
      <c r="V281" s="8" t="n">
        <v>2951</v>
      </c>
      <c r="W281" s="8" t="n">
        <v>175.654761904762</v>
      </c>
      <c r="X281" s="8" t="n">
        <v>215780.5</v>
      </c>
      <c r="Y281" s="8" t="n">
        <f aca="false">Y280+V281</f>
        <v>14351.6</v>
      </c>
      <c r="AA281" s="8" t="n">
        <v>16.073632876256</v>
      </c>
    </row>
    <row r="282" s="8" customFormat="true" ht="15" hidden="false" customHeight="false" outlineLevel="0" collapsed="false">
      <c r="A282" s="64"/>
      <c r="B282" s="10"/>
      <c r="C282" s="11" t="n">
        <v>42160</v>
      </c>
      <c r="D282" s="8" t="n">
        <v>19.6</v>
      </c>
      <c r="E282" s="8" t="n">
        <v>14.1</v>
      </c>
      <c r="F282" s="17" t="n">
        <v>31.1</v>
      </c>
      <c r="G282" s="8" t="n">
        <v>2435.6</v>
      </c>
      <c r="H282" s="8" t="n">
        <f aca="false">H281+D282</f>
        <v>141.8</v>
      </c>
      <c r="I282" s="65" t="s">
        <v>39</v>
      </c>
      <c r="J282" s="8" t="n">
        <v>32.6</v>
      </c>
      <c r="K282" s="8" t="n">
        <v>474.4</v>
      </c>
      <c r="L282" s="8" t="n">
        <v>5.8</v>
      </c>
      <c r="M282" s="8" t="n">
        <v>388.3</v>
      </c>
      <c r="N282" s="8" t="n">
        <v>26.8</v>
      </c>
      <c r="O282" s="8" t="n">
        <f aca="false">O281+N282</f>
        <v>131</v>
      </c>
      <c r="P282" s="8" t="n">
        <v>277</v>
      </c>
      <c r="Q282" s="16" t="n">
        <f aca="false">1.15+((P282-267)/62)*(0.35-1.15)</f>
        <v>1.02096774193548</v>
      </c>
      <c r="R282" s="14" t="n">
        <f aca="false">Q282*L282</f>
        <v>5.92161290322581</v>
      </c>
      <c r="S282" s="14" t="n">
        <f aca="false">J282-R282</f>
        <v>26.6783870967742</v>
      </c>
      <c r="T282" s="14" t="n">
        <f aca="false">MIN(189.6,(T281+S282))</f>
        <v>92.6995852534561</v>
      </c>
      <c r="U282" s="65" t="s">
        <v>40</v>
      </c>
      <c r="V282" s="8" t="n">
        <v>2311.7</v>
      </c>
      <c r="W282" s="8" t="n">
        <v>117.94387755102</v>
      </c>
      <c r="X282" s="8" t="n">
        <v>218092.2</v>
      </c>
      <c r="Y282" s="8" t="n">
        <f aca="false">Y281+V282</f>
        <v>16663.3</v>
      </c>
      <c r="AA282" s="8" t="n">
        <v>16.0991266550297</v>
      </c>
    </row>
    <row r="283" s="8" customFormat="true" ht="15" hidden="false" customHeight="false" outlineLevel="0" collapsed="false">
      <c r="A283" s="64"/>
      <c r="B283" s="10"/>
      <c r="C283" s="11" t="n">
        <v>42161</v>
      </c>
      <c r="D283" s="8" t="n">
        <v>13.6</v>
      </c>
      <c r="E283" s="8" t="n">
        <v>11.7</v>
      </c>
      <c r="F283" s="8" t="n">
        <v>17.6</v>
      </c>
      <c r="G283" s="8" t="n">
        <v>2449.2</v>
      </c>
      <c r="H283" s="8" t="n">
        <f aca="false">H282+D283</f>
        <v>155.4</v>
      </c>
      <c r="I283" s="8" t="n">
        <v>2</v>
      </c>
      <c r="J283" s="8" t="n">
        <v>0</v>
      </c>
      <c r="K283" s="8" t="n">
        <v>474.4</v>
      </c>
      <c r="L283" s="8" t="n">
        <v>5.4</v>
      </c>
      <c r="M283" s="8" t="n">
        <v>393.7</v>
      </c>
      <c r="N283" s="13" t="n">
        <v>-5.4</v>
      </c>
      <c r="O283" s="8" t="n">
        <f aca="false">O282+N283</f>
        <v>125.6</v>
      </c>
      <c r="P283" s="8" t="n">
        <v>278</v>
      </c>
      <c r="Q283" s="16" t="n">
        <f aca="false">1.15+((P283-267)/62)*(0.35-1.15)</f>
        <v>1.00806451612903</v>
      </c>
      <c r="R283" s="14" t="n">
        <f aca="false">Q283*L283</f>
        <v>5.44354838709678</v>
      </c>
      <c r="S283" s="14" t="n">
        <f aca="false">J283-R283</f>
        <v>-5.44354838709678</v>
      </c>
      <c r="T283" s="14" t="n">
        <f aca="false">MIN(189.6,(T282+S283))</f>
        <v>87.2560368663594</v>
      </c>
      <c r="U283" s="14" t="n">
        <f aca="false">MAX(T273:T292)</f>
        <v>92.6995852534561</v>
      </c>
      <c r="V283" s="8" t="n">
        <v>3135.1</v>
      </c>
      <c r="W283" s="8" t="n">
        <v>230.522058823529</v>
      </c>
      <c r="X283" s="8" t="n">
        <v>221227.3</v>
      </c>
      <c r="Y283" s="8" t="n">
        <f aca="false">Y282+V283</f>
        <v>19798.4</v>
      </c>
      <c r="AA283" s="8" t="n">
        <v>16.1233001180291</v>
      </c>
    </row>
    <row r="284" s="8" customFormat="true" ht="15" hidden="false" customHeight="false" outlineLevel="0" collapsed="false">
      <c r="A284" s="64"/>
      <c r="B284" s="10"/>
      <c r="C284" s="11" t="n">
        <v>42162</v>
      </c>
      <c r="D284" s="8" t="n">
        <v>13.5</v>
      </c>
      <c r="E284" s="8" t="n">
        <v>6</v>
      </c>
      <c r="F284" s="8" t="n">
        <v>19.3</v>
      </c>
      <c r="G284" s="8" t="n">
        <v>2462.7</v>
      </c>
      <c r="H284" s="8" t="n">
        <f aca="false">H283+D284</f>
        <v>168.9</v>
      </c>
      <c r="I284" s="65" t="s">
        <v>41</v>
      </c>
      <c r="J284" s="8" t="n">
        <v>0</v>
      </c>
      <c r="K284" s="8" t="n">
        <v>474.4</v>
      </c>
      <c r="L284" s="8" t="n">
        <v>3.2</v>
      </c>
      <c r="M284" s="8" t="n">
        <v>396.9</v>
      </c>
      <c r="N284" s="13" t="n">
        <v>-3.2</v>
      </c>
      <c r="O284" s="8" t="n">
        <f aca="false">O283+N284</f>
        <v>122.4</v>
      </c>
      <c r="P284" s="8" t="n">
        <v>279</v>
      </c>
      <c r="Q284" s="16" t="n">
        <f aca="false">1.15+((P284-267)/62)*(0.35-1.15)</f>
        <v>0.995161290322581</v>
      </c>
      <c r="R284" s="14" t="n">
        <f aca="false">Q284*L284</f>
        <v>3.18451612903226</v>
      </c>
      <c r="S284" s="14" t="n">
        <f aca="false">J284-R284</f>
        <v>-3.18451612903226</v>
      </c>
      <c r="T284" s="14" t="n">
        <f aca="false">MIN(189.6,(T283+S284))</f>
        <v>84.0715207373271</v>
      </c>
      <c r="U284" s="65" t="s">
        <v>42</v>
      </c>
      <c r="V284" s="8" t="n">
        <v>2087.3</v>
      </c>
      <c r="W284" s="8" t="n">
        <v>154.614814814815</v>
      </c>
      <c r="X284" s="8" t="n">
        <v>223314.6</v>
      </c>
      <c r="Y284" s="8" t="n">
        <f aca="false">Y283+V284</f>
        <v>21885.7</v>
      </c>
      <c r="AA284" s="8" t="n">
        <v>16.1461304855085</v>
      </c>
    </row>
    <row r="285" s="8" customFormat="true" ht="15" hidden="false" customHeight="false" outlineLevel="0" collapsed="false">
      <c r="A285" s="64"/>
      <c r="B285" s="10"/>
      <c r="C285" s="11" t="n">
        <v>42163</v>
      </c>
      <c r="D285" s="8" t="n">
        <v>13.2</v>
      </c>
      <c r="E285" s="8" t="n">
        <v>9.1</v>
      </c>
      <c r="F285" s="8" t="n">
        <v>16.8</v>
      </c>
      <c r="G285" s="8" t="n">
        <v>2475.9</v>
      </c>
      <c r="H285" s="8" t="n">
        <f aca="false">H284+D285</f>
        <v>182.1</v>
      </c>
      <c r="I285" s="8" t="n">
        <v>0</v>
      </c>
      <c r="J285" s="8" t="n">
        <v>0</v>
      </c>
      <c r="K285" s="8" t="n">
        <v>474.4</v>
      </c>
      <c r="L285" s="8" t="n">
        <v>4.6</v>
      </c>
      <c r="M285" s="8" t="n">
        <v>401.5</v>
      </c>
      <c r="N285" s="13" t="n">
        <v>-4.6</v>
      </c>
      <c r="O285" s="8" t="n">
        <f aca="false">O284+N285</f>
        <v>117.8</v>
      </c>
      <c r="P285" s="8" t="n">
        <v>280</v>
      </c>
      <c r="Q285" s="16" t="n">
        <f aca="false">1.15+((P285-267)/62)*(0.35-1.15)</f>
        <v>0.982258064516129</v>
      </c>
      <c r="R285" s="14" t="n">
        <f aca="false">Q285*L285</f>
        <v>4.51838709677419</v>
      </c>
      <c r="S285" s="14" t="n">
        <f aca="false">J285-R285</f>
        <v>-4.51838709677419</v>
      </c>
      <c r="T285" s="14" t="n">
        <f aca="false">MIN(189.6,(T284+S285))</f>
        <v>79.5531336405529</v>
      </c>
      <c r="U285" s="16" t="n">
        <f aca="false">AVERAGE(T273:T292)</f>
        <v>73.5144078341013</v>
      </c>
      <c r="V285" s="8" t="n">
        <v>2964.5</v>
      </c>
      <c r="W285" s="8" t="n">
        <v>224.583333333333</v>
      </c>
      <c r="X285" s="8" t="n">
        <v>226279.1</v>
      </c>
      <c r="Y285" s="8" t="n">
        <f aca="false">Y284+V285</f>
        <v>24850.2</v>
      </c>
      <c r="AA285" s="8" t="n">
        <v>16.167595940049</v>
      </c>
    </row>
    <row r="286" s="8" customFormat="true" ht="15" hidden="false" customHeight="false" outlineLevel="0" collapsed="false">
      <c r="A286" s="64"/>
      <c r="B286" s="10"/>
      <c r="C286" s="11" t="n">
        <v>42164</v>
      </c>
      <c r="D286" s="8" t="n">
        <v>12.7</v>
      </c>
      <c r="E286" s="8" t="n">
        <v>9.6</v>
      </c>
      <c r="F286" s="8" t="n">
        <v>16.4</v>
      </c>
      <c r="G286" s="8" t="n">
        <v>2488.6</v>
      </c>
      <c r="H286" s="8" t="n">
        <f aca="false">H285+D286</f>
        <v>194.8</v>
      </c>
      <c r="I286" s="65" t="s">
        <v>43</v>
      </c>
      <c r="J286" s="8" t="n">
        <v>0</v>
      </c>
      <c r="K286" s="8" t="n">
        <v>474.4</v>
      </c>
      <c r="L286" s="8" t="n">
        <v>4.8</v>
      </c>
      <c r="M286" s="8" t="n">
        <v>406.3</v>
      </c>
      <c r="N286" s="13" t="n">
        <v>-4.8</v>
      </c>
      <c r="O286" s="8" t="n">
        <f aca="false">O285+N286</f>
        <v>113</v>
      </c>
      <c r="P286" s="8" t="n">
        <v>281</v>
      </c>
      <c r="Q286" s="16" t="n">
        <f aca="false">1.15+((P286-267)/62)*(0.35-1.15)</f>
        <v>0.969354838709677</v>
      </c>
      <c r="R286" s="14" t="n">
        <f aca="false">Q286*L286</f>
        <v>4.65290322580645</v>
      </c>
      <c r="S286" s="14" t="n">
        <f aca="false">J286-R286</f>
        <v>-4.65290322580645</v>
      </c>
      <c r="T286" s="14" t="n">
        <f aca="false">MIN(189.6,(T285+S286))</f>
        <v>74.9002304147465</v>
      </c>
      <c r="U286" s="8" t="n">
        <f aca="false">(U285*100)/189.6</f>
        <v>38.7734218534289</v>
      </c>
      <c r="V286" s="8" t="n">
        <v>3005.8</v>
      </c>
      <c r="W286" s="8" t="n">
        <v>236.677165354331</v>
      </c>
      <c r="X286" s="8" t="n">
        <v>229284.9</v>
      </c>
      <c r="Y286" s="8" t="n">
        <f aca="false">Y285+V286</f>
        <v>27856</v>
      </c>
      <c r="AA286" s="8" t="n">
        <v>16.1876757021374</v>
      </c>
    </row>
    <row r="287" s="8" customFormat="true" ht="15" hidden="false" customHeight="false" outlineLevel="0" collapsed="false">
      <c r="A287" s="64"/>
      <c r="B287" s="10"/>
      <c r="C287" s="11" t="n">
        <v>42165</v>
      </c>
      <c r="D287" s="8" t="n">
        <v>16.2</v>
      </c>
      <c r="E287" s="8" t="n">
        <v>9.3</v>
      </c>
      <c r="F287" s="8" t="n">
        <v>21.4</v>
      </c>
      <c r="G287" s="8" t="n">
        <v>2504.8</v>
      </c>
      <c r="H287" s="8" t="n">
        <f aca="false">H286+D287</f>
        <v>211</v>
      </c>
      <c r="I287" s="8" t="n">
        <v>300.3</v>
      </c>
      <c r="J287" s="8" t="n">
        <v>0</v>
      </c>
      <c r="K287" s="8" t="n">
        <v>474.4</v>
      </c>
      <c r="L287" s="8" t="n">
        <v>5.1</v>
      </c>
      <c r="M287" s="8" t="n">
        <v>411.4</v>
      </c>
      <c r="N287" s="13" t="n">
        <v>-5.1</v>
      </c>
      <c r="O287" s="8" t="n">
        <f aca="false">O286+N287</f>
        <v>107.9</v>
      </c>
      <c r="P287" s="8" t="n">
        <v>282</v>
      </c>
      <c r="Q287" s="16" t="n">
        <f aca="false">1.15+((P287-267)/62)*(0.35-1.15)</f>
        <v>0.956451612903226</v>
      </c>
      <c r="R287" s="14" t="n">
        <f aca="false">Q287*L287</f>
        <v>4.87790322580645</v>
      </c>
      <c r="S287" s="14" t="n">
        <f aca="false">J287-R287</f>
        <v>-4.87790322580645</v>
      </c>
      <c r="T287" s="14" t="n">
        <f aca="false">MIN(189.6,(T286+S287))</f>
        <v>70.02232718894</v>
      </c>
      <c r="V287" s="8" t="n">
        <v>2753.9</v>
      </c>
      <c r="W287" s="8" t="n">
        <v>169.993827160494</v>
      </c>
      <c r="X287" s="8" t="n">
        <v>232038.8</v>
      </c>
      <c r="Y287" s="8" t="n">
        <f aca="false">Y286+V287</f>
        <v>30609.9</v>
      </c>
      <c r="AA287" s="8" t="n">
        <v>16.2063501038219</v>
      </c>
    </row>
    <row r="288" s="48" customFormat="true" ht="15" hidden="false" customHeight="false" outlineLevel="0" collapsed="false">
      <c r="A288" s="64"/>
      <c r="B288" s="47"/>
      <c r="C288" s="11" t="n">
        <v>42166</v>
      </c>
      <c r="D288" s="48" t="n">
        <v>20.2</v>
      </c>
      <c r="E288" s="48" t="n">
        <v>15.1</v>
      </c>
      <c r="F288" s="48" t="n">
        <v>25.3</v>
      </c>
      <c r="G288" s="48" t="n">
        <v>2525</v>
      </c>
      <c r="H288" s="48" t="n">
        <f aca="false">H287+D288</f>
        <v>231.2</v>
      </c>
      <c r="J288" s="48" t="n">
        <v>1.1</v>
      </c>
      <c r="K288" s="48" t="n">
        <v>475.5</v>
      </c>
      <c r="L288" s="48" t="n">
        <v>5</v>
      </c>
      <c r="M288" s="48" t="n">
        <v>416.4</v>
      </c>
      <c r="N288" s="48" t="n">
        <v>-3.9</v>
      </c>
      <c r="O288" s="48" t="n">
        <f aca="false">O287+N288</f>
        <v>104</v>
      </c>
      <c r="P288" s="48" t="n">
        <v>283</v>
      </c>
      <c r="Q288" s="16" t="n">
        <f aca="false">1.15+((P288-267)/62)*(0.35-1.15)</f>
        <v>0.943548387096774</v>
      </c>
      <c r="R288" s="49" t="n">
        <f aca="false">Q288*L288</f>
        <v>4.71774193548387</v>
      </c>
      <c r="S288" s="49" t="n">
        <f aca="false">J288-R288</f>
        <v>-3.61774193548387</v>
      </c>
      <c r="T288" s="14" t="n">
        <f aca="false">MIN(189.6,(T287+S288))</f>
        <v>66.4045852534561</v>
      </c>
      <c r="V288" s="48" t="n">
        <v>2398.9</v>
      </c>
      <c r="W288" s="48" t="n">
        <v>118.757425742574</v>
      </c>
      <c r="X288" s="48" t="n">
        <v>234437.7</v>
      </c>
      <c r="Y288" s="8" t="n">
        <f aca="false">Y287+V288</f>
        <v>33008.8</v>
      </c>
      <c r="AA288" s="8" t="n">
        <v>16.2236006599317</v>
      </c>
    </row>
    <row r="289" s="8" customFormat="true" ht="15" hidden="false" customHeight="true" outlineLevel="0" collapsed="false">
      <c r="A289" s="64"/>
      <c r="B289" s="10"/>
      <c r="C289" s="11" t="n">
        <v>42167</v>
      </c>
      <c r="D289" s="8" t="n">
        <v>21.2</v>
      </c>
      <c r="E289" s="8" t="n">
        <v>16.9</v>
      </c>
      <c r="F289" s="17" t="n">
        <v>26.7</v>
      </c>
      <c r="G289" s="8" t="n">
        <v>2546.2</v>
      </c>
      <c r="H289" s="8" t="n">
        <f aca="false">H288+D289</f>
        <v>252.4</v>
      </c>
      <c r="J289" s="8" t="n">
        <v>0</v>
      </c>
      <c r="K289" s="8" t="n">
        <v>475.5</v>
      </c>
      <c r="L289" s="8" t="n">
        <v>3.1</v>
      </c>
      <c r="M289" s="8" t="n">
        <v>419.5</v>
      </c>
      <c r="N289" s="13" t="n">
        <v>-3.1</v>
      </c>
      <c r="O289" s="8" t="n">
        <f aca="false">O288+N289</f>
        <v>100.9</v>
      </c>
      <c r="P289" s="8" t="n">
        <v>284</v>
      </c>
      <c r="Q289" s="16" t="n">
        <f aca="false">1.15+((P289-267)/62)*(0.35-1.15)</f>
        <v>0.930645161290323</v>
      </c>
      <c r="R289" s="14" t="n">
        <f aca="false">Q289*L289</f>
        <v>2.885</v>
      </c>
      <c r="S289" s="14" t="n">
        <f aca="false">J289-R289</f>
        <v>-2.885</v>
      </c>
      <c r="T289" s="14" t="n">
        <f aca="false">MIN(189.6,(T288+S289))</f>
        <v>63.5195852534561</v>
      </c>
      <c r="U289" s="50"/>
      <c r="V289" s="8" t="n">
        <v>1085.6</v>
      </c>
      <c r="W289" s="8" t="n">
        <v>51.2075471698113</v>
      </c>
      <c r="X289" s="8" t="n">
        <v>235523.3</v>
      </c>
      <c r="Y289" s="8" t="n">
        <f aca="false">Y288+V289</f>
        <v>34094.4</v>
      </c>
      <c r="AA289" s="8" t="n">
        <v>16.2394101363499</v>
      </c>
    </row>
    <row r="290" s="8" customFormat="true" ht="15" hidden="false" customHeight="false" outlineLevel="0" collapsed="false">
      <c r="A290" s="64"/>
      <c r="B290" s="10"/>
      <c r="C290" s="11" t="n">
        <v>42168</v>
      </c>
      <c r="D290" s="8" t="n">
        <v>17.1</v>
      </c>
      <c r="E290" s="8" t="n">
        <v>14.6</v>
      </c>
      <c r="F290" s="8" t="n">
        <v>21.6</v>
      </c>
      <c r="G290" s="8" t="n">
        <v>2563.3</v>
      </c>
      <c r="H290" s="8" t="n">
        <f aca="false">H289+D290</f>
        <v>269.5</v>
      </c>
      <c r="J290" s="8" t="n">
        <v>0</v>
      </c>
      <c r="K290" s="8" t="n">
        <v>475.5</v>
      </c>
      <c r="L290" s="8" t="n">
        <v>4.7</v>
      </c>
      <c r="M290" s="8" t="n">
        <v>424.2</v>
      </c>
      <c r="N290" s="13" t="n">
        <v>-4.7</v>
      </c>
      <c r="O290" s="8" t="n">
        <f aca="false">O289+N290</f>
        <v>96.2</v>
      </c>
      <c r="P290" s="8" t="n">
        <v>285</v>
      </c>
      <c r="Q290" s="16" t="n">
        <f aca="false">1.15+((P290-267)/62)*(0.35-1.15)</f>
        <v>0.917741935483871</v>
      </c>
      <c r="R290" s="14" t="n">
        <f aca="false">Q290*L290</f>
        <v>4.31338709677419</v>
      </c>
      <c r="S290" s="14" t="n">
        <f aca="false">J290-R290</f>
        <v>-4.31338709677419</v>
      </c>
      <c r="T290" s="14" t="n">
        <f aca="false">MIN(189.6,(T289+S290))</f>
        <v>59.2061981566819</v>
      </c>
      <c r="V290" s="8" t="n">
        <v>2298.3</v>
      </c>
      <c r="W290" s="8" t="n">
        <v>134.40350877193</v>
      </c>
      <c r="X290" s="8" t="n">
        <v>237821.6</v>
      </c>
      <c r="Y290" s="8" t="n">
        <f aca="false">Y289+V290</f>
        <v>36392.7</v>
      </c>
      <c r="AA290" s="8" t="n">
        <v>16.2537626148335</v>
      </c>
    </row>
    <row r="291" s="8" customFormat="true" ht="15" hidden="false" customHeight="false" outlineLevel="0" collapsed="false">
      <c r="A291" s="64"/>
      <c r="B291" s="10"/>
      <c r="C291" s="11" t="n">
        <v>42169</v>
      </c>
      <c r="D291" s="8" t="n">
        <v>15.8</v>
      </c>
      <c r="E291" s="8" t="n">
        <v>9.9</v>
      </c>
      <c r="F291" s="8" t="n">
        <v>20.6</v>
      </c>
      <c r="G291" s="8" t="n">
        <v>2579.1</v>
      </c>
      <c r="H291" s="8" t="n">
        <f aca="false">H290+D291</f>
        <v>285.3</v>
      </c>
      <c r="J291" s="8" t="n">
        <v>0</v>
      </c>
      <c r="K291" s="8" t="n">
        <v>475.5</v>
      </c>
      <c r="L291" s="8" t="n">
        <v>2.4</v>
      </c>
      <c r="M291" s="8" t="n">
        <v>426.6</v>
      </c>
      <c r="N291" s="13" t="n">
        <v>-2.4</v>
      </c>
      <c r="O291" s="8" t="n">
        <f aca="false">O290+N291</f>
        <v>93.8</v>
      </c>
      <c r="P291" s="8" t="n">
        <v>286</v>
      </c>
      <c r="Q291" s="16" t="n">
        <f aca="false">1.15+((P291-267)/62)*(0.35-1.15)</f>
        <v>0.904838709677419</v>
      </c>
      <c r="R291" s="14" t="n">
        <f aca="false">Q291*L291</f>
        <v>2.17161290322581</v>
      </c>
      <c r="S291" s="14" t="n">
        <f aca="false">J291-R291</f>
        <v>-2.17161290322581</v>
      </c>
      <c r="T291" s="14" t="n">
        <f aca="false">MIN(189.6,(T290+S291))</f>
        <v>57.0345852534561</v>
      </c>
      <c r="V291" s="8" t="n">
        <v>1279.4</v>
      </c>
      <c r="W291" s="8" t="n">
        <v>80.9746835443038</v>
      </c>
      <c r="X291" s="8" t="n">
        <v>239101</v>
      </c>
      <c r="Y291" s="8" t="n">
        <f aca="false">Y290+V291</f>
        <v>37672.1</v>
      </c>
      <c r="AA291" s="8" t="n">
        <v>16.2666435538859</v>
      </c>
    </row>
    <row r="292" s="22" customFormat="true" ht="15" hidden="false" customHeight="false" outlineLevel="0" collapsed="false">
      <c r="A292" s="64"/>
      <c r="B292" s="70"/>
      <c r="C292" s="71" t="n">
        <v>42170</v>
      </c>
      <c r="D292" s="22" t="n">
        <v>15</v>
      </c>
      <c r="E292" s="22" t="n">
        <v>13.4</v>
      </c>
      <c r="F292" s="22" t="n">
        <v>17.7</v>
      </c>
      <c r="G292" s="22" t="n">
        <v>2594.1</v>
      </c>
      <c r="H292" s="22" t="n">
        <f aca="false">H291+D292</f>
        <v>300.3</v>
      </c>
      <c r="J292" s="22" t="n">
        <v>0</v>
      </c>
      <c r="K292" s="22" t="n">
        <v>475.5</v>
      </c>
      <c r="L292" s="22" t="n">
        <v>2.5</v>
      </c>
      <c r="M292" s="22" t="n">
        <v>429.1</v>
      </c>
      <c r="N292" s="72" t="n">
        <v>-2.5</v>
      </c>
      <c r="O292" s="22" t="n">
        <f aca="false">O291+N292</f>
        <v>91.3</v>
      </c>
      <c r="P292" s="22" t="n">
        <v>287</v>
      </c>
      <c r="Q292" s="79" t="n">
        <f aca="false">1.15+((P292-267)/62)*(0.35-1.15)</f>
        <v>0.891935483870968</v>
      </c>
      <c r="R292" s="24" t="n">
        <f aca="false">Q292*L292</f>
        <v>2.22983870967742</v>
      </c>
      <c r="S292" s="24" t="n">
        <f aca="false">J292-R292</f>
        <v>-2.22983870967742</v>
      </c>
      <c r="T292" s="25" t="n">
        <f aca="false">MIN(189.6,(T291+S292))</f>
        <v>54.8047465437787</v>
      </c>
      <c r="V292" s="22" t="n">
        <v>1270.3</v>
      </c>
      <c r="W292" s="22" t="n">
        <v>84.6866666666667</v>
      </c>
      <c r="X292" s="22" t="n">
        <v>240371.3</v>
      </c>
      <c r="Y292" s="22" t="n">
        <f aca="false">Y291+V292</f>
        <v>38942.4</v>
      </c>
      <c r="AA292" s="22" t="n">
        <v>16.2780398452072</v>
      </c>
    </row>
    <row r="293" s="48" customFormat="true" ht="15" hidden="false" customHeight="false" outlineLevel="0" collapsed="false">
      <c r="A293" s="66" t="n">
        <v>1000</v>
      </c>
      <c r="B293" s="77"/>
      <c r="C293" s="63" t="n">
        <v>42171</v>
      </c>
      <c r="D293" s="48" t="n">
        <v>14.1</v>
      </c>
      <c r="E293" s="48" t="n">
        <v>9.5</v>
      </c>
      <c r="F293" s="48" t="n">
        <v>18.6</v>
      </c>
      <c r="G293" s="48" t="n">
        <v>2608.2</v>
      </c>
      <c r="H293" s="48" t="n">
        <f aca="false">D293</f>
        <v>14.1</v>
      </c>
      <c r="J293" s="48" t="n">
        <v>0</v>
      </c>
      <c r="K293" s="48" t="n">
        <v>475.5</v>
      </c>
      <c r="L293" s="48" t="n">
        <v>4.4</v>
      </c>
      <c r="M293" s="48" t="n">
        <v>433.5</v>
      </c>
      <c r="N293" s="78" t="n">
        <v>-4.4</v>
      </c>
      <c r="O293" s="48" t="n">
        <f aca="false">O292+N293</f>
        <v>86.9</v>
      </c>
      <c r="P293" s="48" t="n">
        <v>288</v>
      </c>
      <c r="Q293" s="16" t="n">
        <f aca="false">1.15+((P293-267)/62)*(0.35-1.15)</f>
        <v>0.879032258064516</v>
      </c>
      <c r="R293" s="49" t="n">
        <f aca="false">Q293*L293</f>
        <v>3.86774193548387</v>
      </c>
      <c r="S293" s="49" t="n">
        <f aca="false">J293-R293</f>
        <v>-3.86774193548387</v>
      </c>
      <c r="T293" s="14" t="n">
        <f aca="false">MIN(189.6,(T292+S293))</f>
        <v>50.9370046082948</v>
      </c>
      <c r="V293" s="48" t="n">
        <v>2575.4</v>
      </c>
      <c r="W293" s="48" t="n">
        <v>182.652482269504</v>
      </c>
      <c r="X293" s="48" t="n">
        <v>242946.7</v>
      </c>
      <c r="Y293" s="48" t="n">
        <f aca="false">V293</f>
        <v>2575.4</v>
      </c>
      <c r="AA293" s="48" t="n">
        <v>16.2879398652712</v>
      </c>
    </row>
    <row r="294" s="8" customFormat="true" ht="15" hidden="false" customHeight="true" outlineLevel="0" collapsed="false">
      <c r="A294" s="66"/>
      <c r="B294" s="10"/>
      <c r="C294" s="11" t="n">
        <v>42172</v>
      </c>
      <c r="D294" s="8" t="n">
        <v>16.2</v>
      </c>
      <c r="E294" s="8" t="n">
        <v>8</v>
      </c>
      <c r="F294" s="8" t="n">
        <v>21.8</v>
      </c>
      <c r="G294" s="8" t="n">
        <v>2624.4</v>
      </c>
      <c r="H294" s="8" t="n">
        <f aca="false">H293+D294</f>
        <v>30.3</v>
      </c>
      <c r="I294" s="67" t="s">
        <v>28</v>
      </c>
      <c r="J294" s="8" t="n">
        <v>0.1</v>
      </c>
      <c r="K294" s="8" t="n">
        <v>475.6</v>
      </c>
      <c r="L294" s="8" t="n">
        <v>3</v>
      </c>
      <c r="M294" s="8" t="n">
        <v>436.5</v>
      </c>
      <c r="N294" s="13" t="n">
        <v>-2.9</v>
      </c>
      <c r="O294" s="8" t="n">
        <f aca="false">O293+N294</f>
        <v>84</v>
      </c>
      <c r="P294" s="8" t="n">
        <v>289</v>
      </c>
      <c r="Q294" s="16" t="n">
        <f aca="false">1.15+((P294-267)/62)*(0.35-1.15)</f>
        <v>0.866129032258064</v>
      </c>
      <c r="R294" s="14" t="n">
        <f aca="false">Q294*L294</f>
        <v>2.59838709677419</v>
      </c>
      <c r="S294" s="14" t="n">
        <f aca="false">J294-R294</f>
        <v>-2.49838709677419</v>
      </c>
      <c r="T294" s="14" t="n">
        <f aca="false">MIN(189.6,(T293+S294))</f>
        <v>48.4386175115206</v>
      </c>
      <c r="U294" s="67" t="s">
        <v>29</v>
      </c>
      <c r="V294" s="8" t="n">
        <v>1680.6</v>
      </c>
      <c r="W294" s="8" t="n">
        <v>103.740740740741</v>
      </c>
      <c r="X294" s="8" t="n">
        <v>244627.3</v>
      </c>
      <c r="Y294" s="8" t="n">
        <f aca="false">V294+Y293</f>
        <v>4256</v>
      </c>
      <c r="Z294" s="67" t="s">
        <v>30</v>
      </c>
      <c r="AA294" s="8" t="n">
        <v>16.2963335216077</v>
      </c>
    </row>
    <row r="295" s="8" customFormat="true" ht="15" hidden="false" customHeight="false" outlineLevel="0" collapsed="false">
      <c r="A295" s="66"/>
      <c r="B295" s="10"/>
      <c r="C295" s="11" t="n">
        <v>42173</v>
      </c>
      <c r="D295" s="8" t="n">
        <v>15.1</v>
      </c>
      <c r="E295" s="8" t="n">
        <v>15.7</v>
      </c>
      <c r="F295" s="8" t="n">
        <v>17.3</v>
      </c>
      <c r="G295" s="8" t="n">
        <v>2639.5</v>
      </c>
      <c r="H295" s="8" t="n">
        <f aca="false">H294+D295</f>
        <v>45.4</v>
      </c>
      <c r="I295" s="8" t="n">
        <f aca="false">MIN(E293:E315)</f>
        <v>7.9</v>
      </c>
      <c r="J295" s="8" t="n">
        <v>1.9</v>
      </c>
      <c r="K295" s="8" t="n">
        <v>477.5</v>
      </c>
      <c r="L295" s="8" t="n">
        <v>1.9</v>
      </c>
      <c r="M295" s="8" t="n">
        <v>438.4</v>
      </c>
      <c r="N295" s="8" t="n">
        <v>0</v>
      </c>
      <c r="O295" s="8" t="n">
        <f aca="false">O294+N295</f>
        <v>84</v>
      </c>
      <c r="P295" s="8" t="n">
        <v>290</v>
      </c>
      <c r="Q295" s="16" t="n">
        <f aca="false">1.15+((P295-267)/62)*(0.35-1.15)</f>
        <v>0.853225806451613</v>
      </c>
      <c r="R295" s="14" t="n">
        <f aca="false">Q295*L295</f>
        <v>1.62112903225806</v>
      </c>
      <c r="S295" s="14" t="n">
        <f aca="false">J295-R295</f>
        <v>0.278870967741936</v>
      </c>
      <c r="T295" s="14" t="n">
        <f aca="false">MIN(189.6,(T294+S295))</f>
        <v>48.7174884792626</v>
      </c>
      <c r="U295" s="8" t="n">
        <v>18</v>
      </c>
      <c r="V295" s="15" t="n">
        <v>774.6</v>
      </c>
      <c r="W295" s="8" t="n">
        <v>51.2980132450331</v>
      </c>
      <c r="X295" s="8" t="n">
        <v>245401.9</v>
      </c>
      <c r="Y295" s="8" t="n">
        <f aca="false">Y294+V295</f>
        <v>5030.6</v>
      </c>
      <c r="Z295" s="8" t="n">
        <v>44693.9</v>
      </c>
      <c r="AA295" s="8" t="n">
        <v>16.3032122934073</v>
      </c>
    </row>
    <row r="296" s="8" customFormat="true" ht="15" hidden="false" customHeight="false" outlineLevel="0" collapsed="false">
      <c r="A296" s="66"/>
      <c r="B296" s="10"/>
      <c r="C296" s="11" t="n">
        <v>42174</v>
      </c>
      <c r="D296" s="8" t="n">
        <v>14.5</v>
      </c>
      <c r="E296" s="8" t="n">
        <v>8.8</v>
      </c>
      <c r="F296" s="8" t="n">
        <v>18.7</v>
      </c>
      <c r="G296" s="8" t="n">
        <v>2654</v>
      </c>
      <c r="H296" s="8" t="n">
        <f aca="false">H295+D296</f>
        <v>59.9</v>
      </c>
      <c r="I296" s="67" t="s">
        <v>31</v>
      </c>
      <c r="J296" s="8" t="n">
        <v>0</v>
      </c>
      <c r="K296" s="8" t="n">
        <v>477.5</v>
      </c>
      <c r="L296" s="8" t="n">
        <v>2.8</v>
      </c>
      <c r="M296" s="8" t="n">
        <v>441.2</v>
      </c>
      <c r="N296" s="13" t="n">
        <v>-2.8</v>
      </c>
      <c r="O296" s="8" t="n">
        <f aca="false">O295+N296</f>
        <v>81.2</v>
      </c>
      <c r="P296" s="8" t="n">
        <v>291</v>
      </c>
      <c r="Q296" s="16" t="n">
        <f aca="false">1.15+((P296-267)/62)*(0.35-1.15)</f>
        <v>0.840322580645161</v>
      </c>
      <c r="R296" s="14" t="n">
        <f aca="false">Q296*L296</f>
        <v>2.35290322580645</v>
      </c>
      <c r="S296" s="14" t="n">
        <f aca="false">J296-R296</f>
        <v>-2.35290322580645</v>
      </c>
      <c r="T296" s="14" t="n">
        <f aca="false">MIN(189.6,(T295+S296))</f>
        <v>46.3645852534561</v>
      </c>
      <c r="U296" s="67" t="s">
        <v>32</v>
      </c>
      <c r="V296" s="8" t="n">
        <v>1830.6</v>
      </c>
      <c r="W296" s="8" t="n">
        <v>126.248275862069</v>
      </c>
      <c r="X296" s="8" t="n">
        <v>247232.5</v>
      </c>
      <c r="Y296" s="8" t="n">
        <f aca="false">Y295+V296</f>
        <v>6861.2</v>
      </c>
      <c r="Z296" s="67" t="s">
        <v>33</v>
      </c>
      <c r="AA296" s="8" t="n">
        <v>16.3085692661064</v>
      </c>
    </row>
    <row r="297" s="8" customFormat="true" ht="15" hidden="false" customHeight="false" outlineLevel="0" collapsed="false">
      <c r="A297" s="66"/>
      <c r="B297" s="10"/>
      <c r="C297" s="11" t="n">
        <v>42175</v>
      </c>
      <c r="D297" s="8" t="n">
        <v>15.4</v>
      </c>
      <c r="E297" s="8" t="n">
        <v>10.9</v>
      </c>
      <c r="F297" s="8" t="n">
        <v>17.7</v>
      </c>
      <c r="G297" s="8" t="n">
        <v>2669.4</v>
      </c>
      <c r="H297" s="8" t="n">
        <f aca="false">H296+D297</f>
        <v>75.3</v>
      </c>
      <c r="I297" s="8" t="n">
        <f aca="false">MAX(F293:F315)</f>
        <v>33.4</v>
      </c>
      <c r="J297" s="8" t="n">
        <v>0.8</v>
      </c>
      <c r="K297" s="8" t="n">
        <v>478.3</v>
      </c>
      <c r="L297" s="8" t="n">
        <v>1.7</v>
      </c>
      <c r="M297" s="8" t="n">
        <v>442.9</v>
      </c>
      <c r="N297" s="13" t="n">
        <v>-0.9</v>
      </c>
      <c r="O297" s="8" t="n">
        <f aca="false">O296+N297</f>
        <v>80.3</v>
      </c>
      <c r="P297" s="8" t="n">
        <v>292</v>
      </c>
      <c r="Q297" s="16" t="n">
        <f aca="false">1.15+((P297-267)/62)*(0.35-1.15)</f>
        <v>0.82741935483871</v>
      </c>
      <c r="R297" s="14" t="n">
        <f aca="false">Q297*L297</f>
        <v>1.40661290322581</v>
      </c>
      <c r="S297" s="14" t="n">
        <f aca="false">J297-R297</f>
        <v>-0.606612903225806</v>
      </c>
      <c r="T297" s="14" t="n">
        <f aca="false">MIN(189.6,(T296+S297))</f>
        <v>45.7579723502303</v>
      </c>
      <c r="U297" s="8" t="n">
        <v>0</v>
      </c>
      <c r="V297" s="8" t="n">
        <v>1086.3</v>
      </c>
      <c r="W297" s="8" t="n">
        <v>70.538961038961</v>
      </c>
      <c r="X297" s="8" t="n">
        <v>248318.8</v>
      </c>
      <c r="Y297" s="8" t="n">
        <f aca="false">Y296+V297</f>
        <v>7947.5</v>
      </c>
      <c r="Z297" s="16" t="n">
        <f aca="false">(Z295/100)/I307</f>
        <v>1.08086819830713</v>
      </c>
      <c r="AA297" s="8" t="n">
        <v>16.3123991596558</v>
      </c>
    </row>
    <row r="298" s="8" customFormat="true" ht="15" hidden="false" customHeight="false" outlineLevel="0" collapsed="false">
      <c r="A298" s="66"/>
      <c r="B298" s="10"/>
      <c r="C298" s="11" t="n">
        <v>42176</v>
      </c>
      <c r="D298" s="8" t="n">
        <v>16.1</v>
      </c>
      <c r="E298" s="8" t="n">
        <v>14.1</v>
      </c>
      <c r="F298" s="8" t="n">
        <v>18.9</v>
      </c>
      <c r="G298" s="8" t="n">
        <v>2685.5</v>
      </c>
      <c r="H298" s="8" t="n">
        <f aca="false">H297+D298</f>
        <v>91.4</v>
      </c>
      <c r="I298" s="67" t="s">
        <v>34</v>
      </c>
      <c r="J298" s="8" t="n">
        <v>0.7</v>
      </c>
      <c r="K298" s="8" t="n">
        <v>479</v>
      </c>
      <c r="L298" s="8" t="n">
        <v>2.7</v>
      </c>
      <c r="M298" s="8" t="n">
        <v>445.6</v>
      </c>
      <c r="N298" s="13" t="n">
        <v>-2</v>
      </c>
      <c r="O298" s="8" t="n">
        <f aca="false">O297+N298</f>
        <v>78.3</v>
      </c>
      <c r="P298" s="8" t="n">
        <v>293</v>
      </c>
      <c r="Q298" s="16" t="n">
        <f aca="false">1.15+((P298-267)/62)*(0.35-1.15)</f>
        <v>0.814516129032258</v>
      </c>
      <c r="R298" s="14" t="n">
        <f aca="false">Q298*L298</f>
        <v>2.1991935483871</v>
      </c>
      <c r="S298" s="14" t="n">
        <f aca="false">J298-R298</f>
        <v>-1.4991935483871</v>
      </c>
      <c r="T298" s="14" t="n">
        <f aca="false">MIN(189.6,(T297+S298))</f>
        <v>44.2587788018432</v>
      </c>
      <c r="U298" s="67" t="s">
        <v>35</v>
      </c>
      <c r="V298" s="8" t="n">
        <v>1383.9</v>
      </c>
      <c r="W298" s="8" t="n">
        <v>85.9565217391304</v>
      </c>
      <c r="X298" s="8" t="n">
        <v>249702.7</v>
      </c>
      <c r="Y298" s="8" t="n">
        <f aca="false">Y297+V298</f>
        <v>9331.4</v>
      </c>
      <c r="Z298" s="67" t="s">
        <v>36</v>
      </c>
      <c r="AA298" s="8" t="n">
        <v>16.3146983502313</v>
      </c>
    </row>
    <row r="299" s="8" customFormat="true" ht="15" hidden="false" customHeight="false" outlineLevel="0" collapsed="false">
      <c r="A299" s="66"/>
      <c r="B299" s="10"/>
      <c r="C299" s="11" t="n">
        <v>42177</v>
      </c>
      <c r="D299" s="8" t="n">
        <v>12.5</v>
      </c>
      <c r="E299" s="8" t="n">
        <v>11.2</v>
      </c>
      <c r="F299" s="8" t="n">
        <v>14</v>
      </c>
      <c r="G299" s="8" t="n">
        <v>2698</v>
      </c>
      <c r="H299" s="8" t="n">
        <f aca="false">H298+D299</f>
        <v>103.9</v>
      </c>
      <c r="I299" s="14" t="n">
        <f aca="false">AVERAGE(D293:D315)</f>
        <v>17.9782608695652</v>
      </c>
      <c r="J299" s="8" t="n">
        <v>16.6</v>
      </c>
      <c r="K299" s="8" t="n">
        <v>495.6</v>
      </c>
      <c r="L299" s="8" t="n">
        <v>1.2</v>
      </c>
      <c r="M299" s="8" t="n">
        <v>446.8</v>
      </c>
      <c r="N299" s="8" t="n">
        <v>15.4</v>
      </c>
      <c r="O299" s="8" t="n">
        <f aca="false">O298+N299</f>
        <v>93.7</v>
      </c>
      <c r="P299" s="8" t="n">
        <v>294</v>
      </c>
      <c r="Q299" s="16" t="n">
        <f aca="false">1.15+((P299-267)/62)*(0.35-1.15)</f>
        <v>0.801612903225806</v>
      </c>
      <c r="R299" s="14" t="n">
        <f aca="false">Q299*L299</f>
        <v>0.961935483870968</v>
      </c>
      <c r="S299" s="14" t="n">
        <f aca="false">J299-R299</f>
        <v>15.638064516129</v>
      </c>
      <c r="T299" s="14" t="n">
        <f aca="false">MIN(189.6,(T298+S299))</f>
        <v>59.8968433179723</v>
      </c>
      <c r="U299" s="8" t="n">
        <v>23</v>
      </c>
      <c r="V299" s="15" t="n">
        <v>671</v>
      </c>
      <c r="W299" s="8" t="n">
        <v>53.68</v>
      </c>
      <c r="X299" s="8" t="n">
        <v>250373.7</v>
      </c>
      <c r="Y299" s="8" t="n">
        <f aca="false">Y298+V299</f>
        <v>10002.4</v>
      </c>
      <c r="Z299" s="8" t="n">
        <v>2</v>
      </c>
      <c r="AA299" s="8" t="n">
        <v>16.315464885196</v>
      </c>
    </row>
    <row r="300" s="8" customFormat="true" ht="15" hidden="false" customHeight="false" outlineLevel="0" collapsed="false">
      <c r="A300" s="66"/>
      <c r="B300" s="10"/>
      <c r="C300" s="11" t="n">
        <v>42178</v>
      </c>
      <c r="D300" s="8" t="n">
        <v>12.9</v>
      </c>
      <c r="E300" s="8" t="n">
        <v>9.9</v>
      </c>
      <c r="F300" s="8" t="n">
        <v>15.8</v>
      </c>
      <c r="G300" s="8" t="n">
        <v>2710.9</v>
      </c>
      <c r="H300" s="8" t="n">
        <f aca="false">H299+D300</f>
        <v>116.8</v>
      </c>
      <c r="I300" s="67" t="s">
        <v>37</v>
      </c>
      <c r="J300" s="8" t="n">
        <v>0</v>
      </c>
      <c r="K300" s="8" t="n">
        <v>495.6</v>
      </c>
      <c r="L300" s="8" t="n">
        <v>2.8</v>
      </c>
      <c r="M300" s="8" t="n">
        <v>449.6</v>
      </c>
      <c r="N300" s="13" t="n">
        <v>-2.8</v>
      </c>
      <c r="O300" s="8" t="n">
        <f aca="false">O299+N300</f>
        <v>90.9</v>
      </c>
      <c r="P300" s="8" t="n">
        <v>295</v>
      </c>
      <c r="Q300" s="16" t="n">
        <f aca="false">1.15+((P300-267)/62)*(0.35-1.15)</f>
        <v>0.788709677419355</v>
      </c>
      <c r="R300" s="14" t="n">
        <f aca="false">Q300*L300</f>
        <v>2.20838709677419</v>
      </c>
      <c r="S300" s="14" t="n">
        <f aca="false">J300-R300</f>
        <v>-2.20838709677419</v>
      </c>
      <c r="T300" s="14" t="n">
        <f aca="false">MIN(189.6,(T299+S300))</f>
        <v>57.6884562211981</v>
      </c>
      <c r="U300" s="67" t="s">
        <v>38</v>
      </c>
      <c r="V300" s="8" t="n">
        <v>1906.9</v>
      </c>
      <c r="W300" s="8" t="n">
        <v>147.821705426357</v>
      </c>
      <c r="X300" s="8" t="n">
        <v>252280.6</v>
      </c>
      <c r="Y300" s="8" t="n">
        <f aca="false">Y299+V300</f>
        <v>11909.3</v>
      </c>
      <c r="AA300" s="8" t="n">
        <v>16.3146984911828</v>
      </c>
    </row>
    <row r="301" s="8" customFormat="true" ht="15" hidden="false" customHeight="false" outlineLevel="0" collapsed="false">
      <c r="A301" s="66"/>
      <c r="B301" s="10"/>
      <c r="C301" s="11" t="n">
        <v>42179</v>
      </c>
      <c r="D301" s="8" t="n">
        <v>15.6</v>
      </c>
      <c r="E301" s="8" t="n">
        <v>7.9</v>
      </c>
      <c r="F301" s="8" t="n">
        <v>21.1</v>
      </c>
      <c r="G301" s="8" t="n">
        <v>2726.5</v>
      </c>
      <c r="H301" s="8" t="n">
        <f aca="false">H300+D301</f>
        <v>132.4</v>
      </c>
      <c r="I301" s="8" t="n">
        <v>0</v>
      </c>
      <c r="J301" s="8" t="n">
        <v>0</v>
      </c>
      <c r="K301" s="8" t="n">
        <v>495.6</v>
      </c>
      <c r="L301" s="8" t="n">
        <v>2.4</v>
      </c>
      <c r="M301" s="8" t="n">
        <v>452</v>
      </c>
      <c r="N301" s="13" t="n">
        <v>-2.4</v>
      </c>
      <c r="O301" s="8" t="n">
        <f aca="false">O300+N301</f>
        <v>88.5</v>
      </c>
      <c r="P301" s="8" t="n">
        <v>296</v>
      </c>
      <c r="Q301" s="16" t="n">
        <f aca="false">1.15+((P301-267)/62)*(0.35-1.15)</f>
        <v>0.775806451612903</v>
      </c>
      <c r="R301" s="14" t="n">
        <f aca="false">Q301*L301</f>
        <v>1.86193548387097</v>
      </c>
      <c r="S301" s="14" t="n">
        <f aca="false">J301-R301</f>
        <v>-1.86193548387097</v>
      </c>
      <c r="T301" s="14" t="n">
        <f aca="false">MIN(189.6,(T300+S301))</f>
        <v>55.8265207373271</v>
      </c>
      <c r="U301" s="14" t="n">
        <f aca="false">MIN(T293:T315)</f>
        <v>18.5078110599077</v>
      </c>
      <c r="V301" s="8" t="n">
        <v>1513.8</v>
      </c>
      <c r="W301" s="8" t="n">
        <v>97.0384615384615</v>
      </c>
      <c r="X301" s="8" t="n">
        <v>253794.4</v>
      </c>
      <c r="Y301" s="8" t="n">
        <f aca="false">Y300+V301</f>
        <v>13423.1</v>
      </c>
      <c r="AA301" s="8" t="n">
        <v>16.3124005752277</v>
      </c>
    </row>
    <row r="302" s="8" customFormat="true" ht="15" hidden="false" customHeight="false" outlineLevel="0" collapsed="false">
      <c r="A302" s="66"/>
      <c r="B302" s="10"/>
      <c r="C302" s="11" t="n">
        <v>42180</v>
      </c>
      <c r="D302" s="8" t="n">
        <v>19.5</v>
      </c>
      <c r="E302" s="8" t="n">
        <v>13.2</v>
      </c>
      <c r="F302" s="17" t="n">
        <v>25.4</v>
      </c>
      <c r="G302" s="8" t="n">
        <v>2746</v>
      </c>
      <c r="H302" s="8" t="n">
        <f aca="false">H301+D302</f>
        <v>151.9</v>
      </c>
      <c r="I302" s="67" t="s">
        <v>39</v>
      </c>
      <c r="J302" s="8" t="n">
        <v>0</v>
      </c>
      <c r="K302" s="8" t="n">
        <v>495.6</v>
      </c>
      <c r="L302" s="8" t="n">
        <v>4.1</v>
      </c>
      <c r="M302" s="8" t="n">
        <v>456.1</v>
      </c>
      <c r="N302" s="13" t="n">
        <v>-4.1</v>
      </c>
      <c r="O302" s="8" t="n">
        <f aca="false">O301+N302</f>
        <v>84.4</v>
      </c>
      <c r="P302" s="8" t="n">
        <v>297</v>
      </c>
      <c r="Q302" s="16" t="n">
        <f aca="false">1.15+((P302-267)/62)*(0.35-1.15)</f>
        <v>0.762903225806452</v>
      </c>
      <c r="R302" s="14" t="n">
        <f aca="false">Q302*L302</f>
        <v>3.12790322580645</v>
      </c>
      <c r="S302" s="14" t="n">
        <f aca="false">J302-R302</f>
        <v>-3.12790322580645</v>
      </c>
      <c r="T302" s="14" t="n">
        <f aca="false">MIN(189.6,(T301+S302))</f>
        <v>52.6986175115206</v>
      </c>
      <c r="U302" s="67" t="s">
        <v>40</v>
      </c>
      <c r="V302" s="8" t="n">
        <v>2193.2</v>
      </c>
      <c r="W302" s="8" t="n">
        <v>112.471794871795</v>
      </c>
      <c r="X302" s="8" t="n">
        <v>255987.6</v>
      </c>
      <c r="Y302" s="8" t="n">
        <f aca="false">Y301+V302</f>
        <v>15616.3</v>
      </c>
      <c r="AA302" s="8" t="n">
        <v>16.3085742189409</v>
      </c>
    </row>
    <row r="303" s="8" customFormat="true" ht="15" hidden="false" customHeight="false" outlineLevel="0" collapsed="false">
      <c r="A303" s="66"/>
      <c r="B303" s="10"/>
      <c r="C303" s="11" t="n">
        <v>42181</v>
      </c>
      <c r="D303" s="8" t="n">
        <v>20.5</v>
      </c>
      <c r="E303" s="8" t="n">
        <v>14</v>
      </c>
      <c r="F303" s="17" t="n">
        <v>27</v>
      </c>
      <c r="G303" s="8" t="n">
        <v>2766.5</v>
      </c>
      <c r="H303" s="8" t="n">
        <f aca="false">H302+D303</f>
        <v>172.4</v>
      </c>
      <c r="I303" s="8" t="n">
        <v>7</v>
      </c>
      <c r="J303" s="8" t="n">
        <v>0</v>
      </c>
      <c r="K303" s="8" t="n">
        <v>495.6</v>
      </c>
      <c r="L303" s="8" t="n">
        <v>3.8</v>
      </c>
      <c r="M303" s="8" t="n">
        <v>459.9</v>
      </c>
      <c r="N303" s="13" t="n">
        <v>-3.8</v>
      </c>
      <c r="O303" s="8" t="n">
        <f aca="false">O302+N303</f>
        <v>80.6</v>
      </c>
      <c r="P303" s="8" t="n">
        <v>298</v>
      </c>
      <c r="Q303" s="16" t="n">
        <f aca="false">1.15+((P303-267)/62)*(0.35-1.15)</f>
        <v>0.75</v>
      </c>
      <c r="R303" s="14" t="n">
        <f aca="false">Q303*L303</f>
        <v>2.85</v>
      </c>
      <c r="S303" s="14" t="n">
        <f aca="false">J303-R303</f>
        <v>-2.85</v>
      </c>
      <c r="T303" s="14" t="n">
        <f aca="false">MIN(189.6,(T302+S303))</f>
        <v>49.8486175115206</v>
      </c>
      <c r="U303" s="14" t="n">
        <f aca="false">MAX(T293:T315)</f>
        <v>59.8968433179723</v>
      </c>
      <c r="V303" s="8" t="n">
        <v>1815.9</v>
      </c>
      <c r="W303" s="8" t="n">
        <v>88.5804878048781</v>
      </c>
      <c r="X303" s="8" t="n">
        <v>257803.5</v>
      </c>
      <c r="Y303" s="8" t="n">
        <f aca="false">Y302+V303</f>
        <v>17432.2</v>
      </c>
      <c r="AA303" s="8" t="n">
        <v>16.3032241657692</v>
      </c>
    </row>
    <row r="304" s="8" customFormat="true" ht="15" hidden="false" customHeight="false" outlineLevel="0" collapsed="false">
      <c r="A304" s="66"/>
      <c r="B304" s="10"/>
      <c r="C304" s="11" t="n">
        <v>42182</v>
      </c>
      <c r="D304" s="8" t="n">
        <v>17.2</v>
      </c>
      <c r="E304" s="8" t="n">
        <v>15.5</v>
      </c>
      <c r="F304" s="8" t="n">
        <v>20.7</v>
      </c>
      <c r="G304" s="8" t="n">
        <v>2783.7</v>
      </c>
      <c r="H304" s="8" t="n">
        <f aca="false">H303+D304</f>
        <v>189.6</v>
      </c>
      <c r="I304" s="67" t="s">
        <v>41</v>
      </c>
      <c r="J304" s="8" t="n">
        <v>0</v>
      </c>
      <c r="K304" s="8" t="n">
        <v>495.6</v>
      </c>
      <c r="L304" s="8" t="n">
        <v>5.4</v>
      </c>
      <c r="M304" s="8" t="n">
        <v>465.3</v>
      </c>
      <c r="N304" s="13" t="n">
        <v>-5.4</v>
      </c>
      <c r="O304" s="8" t="n">
        <f aca="false">O303+N304</f>
        <v>75.2</v>
      </c>
      <c r="P304" s="8" t="n">
        <v>299</v>
      </c>
      <c r="Q304" s="16" t="n">
        <f aca="false">1.15+((P304-267)/62)*(0.35-1.15)</f>
        <v>0.737096774193548</v>
      </c>
      <c r="R304" s="14" t="n">
        <f aca="false">Q304*L304</f>
        <v>3.98032258064516</v>
      </c>
      <c r="S304" s="14" t="n">
        <f aca="false">J304-R304</f>
        <v>-3.98032258064516</v>
      </c>
      <c r="T304" s="14" t="n">
        <f aca="false">MIN(189.6,(T303+S304))</f>
        <v>45.8682949308755</v>
      </c>
      <c r="U304" s="67" t="s">
        <v>42</v>
      </c>
      <c r="V304" s="8" t="n">
        <v>2757.4</v>
      </c>
      <c r="W304" s="8" t="n">
        <v>160.313953488372</v>
      </c>
      <c r="X304" s="8" t="n">
        <v>260560.9</v>
      </c>
      <c r="Y304" s="8" t="n">
        <f aca="false">Y303+V304</f>
        <v>20189.6</v>
      </c>
      <c r="AA304" s="8" t="n">
        <v>16.2963568014584</v>
      </c>
    </row>
    <row r="305" s="8" customFormat="true" ht="15" hidden="false" customHeight="false" outlineLevel="0" collapsed="false">
      <c r="A305" s="66"/>
      <c r="B305" s="10"/>
      <c r="C305" s="11" t="n">
        <v>42183</v>
      </c>
      <c r="D305" s="8" t="n">
        <v>18.4</v>
      </c>
      <c r="E305" s="8" t="n">
        <v>10.4</v>
      </c>
      <c r="F305" s="8" t="n">
        <v>24.5</v>
      </c>
      <c r="G305" s="8" t="n">
        <v>2802.1</v>
      </c>
      <c r="H305" s="8" t="n">
        <f aca="false">H304+D305</f>
        <v>208</v>
      </c>
      <c r="I305" s="8" t="n">
        <v>0</v>
      </c>
      <c r="J305" s="8" t="n">
        <v>0</v>
      </c>
      <c r="K305" s="8" t="n">
        <v>495.6</v>
      </c>
      <c r="L305" s="8" t="n">
        <v>4.4</v>
      </c>
      <c r="M305" s="8" t="n">
        <v>469.7</v>
      </c>
      <c r="N305" s="13" t="n">
        <v>-4.4</v>
      </c>
      <c r="O305" s="8" t="n">
        <f aca="false">O304+N305</f>
        <v>70.8</v>
      </c>
      <c r="P305" s="8" t="n">
        <v>300</v>
      </c>
      <c r="Q305" s="16" t="n">
        <f aca="false">1.15+((P305-267)/62)*(0.35-1.15)</f>
        <v>0.724193548387097</v>
      </c>
      <c r="R305" s="14" t="n">
        <f aca="false">Q305*L305</f>
        <v>3.18645161290323</v>
      </c>
      <c r="S305" s="14" t="n">
        <f aca="false">J305-R305</f>
        <v>-3.18645161290323</v>
      </c>
      <c r="T305" s="14" t="n">
        <f aca="false">MIN(189.6,(T304+S305))</f>
        <v>42.6818433179723</v>
      </c>
      <c r="U305" s="16" t="n">
        <f aca="false">AVERAGE(T293:T315)</f>
        <v>39.6687647765978</v>
      </c>
      <c r="V305" s="8" t="n">
        <v>2417.6</v>
      </c>
      <c r="W305" s="8" t="n">
        <v>131.391304347826</v>
      </c>
      <c r="X305" s="8" t="n">
        <v>262978.5</v>
      </c>
      <c r="Y305" s="8" t="n">
        <f aca="false">Y304+V305</f>
        <v>22607.2</v>
      </c>
      <c r="AA305" s="8" t="n">
        <v>16.2879801278877</v>
      </c>
    </row>
    <row r="306" s="8" customFormat="true" ht="15" hidden="false" customHeight="false" outlineLevel="0" collapsed="false">
      <c r="A306" s="66"/>
      <c r="B306" s="10"/>
      <c r="C306" s="11" t="n">
        <v>42184</v>
      </c>
      <c r="D306" s="8" t="n">
        <v>18.9</v>
      </c>
      <c r="E306" s="8" t="n">
        <v>14.6</v>
      </c>
      <c r="F306" s="8" t="n">
        <v>23.7</v>
      </c>
      <c r="G306" s="8" t="n">
        <v>2821</v>
      </c>
      <c r="H306" s="8" t="n">
        <f aca="false">H305+D306</f>
        <v>226.9</v>
      </c>
      <c r="I306" s="67" t="s">
        <v>43</v>
      </c>
      <c r="J306" s="8" t="n">
        <v>0</v>
      </c>
      <c r="K306" s="8" t="n">
        <v>495.6</v>
      </c>
      <c r="L306" s="8" t="n">
        <v>5.3</v>
      </c>
      <c r="M306" s="8" t="n">
        <v>475</v>
      </c>
      <c r="N306" s="13" t="n">
        <v>-5.3</v>
      </c>
      <c r="O306" s="8" t="n">
        <f aca="false">O305+N306</f>
        <v>65.5</v>
      </c>
      <c r="P306" s="8" t="n">
        <v>301</v>
      </c>
      <c r="Q306" s="16" t="n">
        <f aca="false">1.15+((P306-267)/62)*(0.35-1.15)</f>
        <v>0.711290322580645</v>
      </c>
      <c r="R306" s="14" t="n">
        <f aca="false">Q306*L306</f>
        <v>3.76983870967742</v>
      </c>
      <c r="S306" s="14" t="n">
        <f aca="false">J306-R306</f>
        <v>-3.76983870967742</v>
      </c>
      <c r="T306" s="14" t="n">
        <f aca="false">MIN(189.6,(T305+S306))</f>
        <v>38.9120046082948</v>
      </c>
      <c r="V306" s="8" t="n">
        <v>2792</v>
      </c>
      <c r="W306" s="8" t="n">
        <v>147.724867724868</v>
      </c>
      <c r="X306" s="8" t="n">
        <v>265770.5</v>
      </c>
      <c r="Y306" s="8" t="n">
        <f aca="false">Y305+V306</f>
        <v>25399.2</v>
      </c>
      <c r="AA306" s="8" t="n">
        <v>16.2781037304994</v>
      </c>
    </row>
    <row r="307" s="8" customFormat="true" ht="15" hidden="false" customHeight="false" outlineLevel="0" collapsed="false">
      <c r="A307" s="66"/>
      <c r="B307" s="10"/>
      <c r="C307" s="11" t="n">
        <v>42185</v>
      </c>
      <c r="D307" s="8" t="n">
        <v>21.7</v>
      </c>
      <c r="E307" s="8" t="n">
        <v>12.6</v>
      </c>
      <c r="F307" s="17" t="n">
        <v>29.4</v>
      </c>
      <c r="G307" s="8" t="n">
        <v>2842.7</v>
      </c>
      <c r="H307" s="8" t="n">
        <f aca="false">H306+D307</f>
        <v>248.6</v>
      </c>
      <c r="I307" s="8" t="n">
        <v>413.5</v>
      </c>
      <c r="J307" s="8" t="n">
        <v>0</v>
      </c>
      <c r="K307" s="8" t="n">
        <v>495.6</v>
      </c>
      <c r="L307" s="8" t="n">
        <v>6.8</v>
      </c>
      <c r="M307" s="8" t="n">
        <v>481.8</v>
      </c>
      <c r="N307" s="13" t="n">
        <v>-6.8</v>
      </c>
      <c r="O307" s="8" t="n">
        <f aca="false">O306+N307</f>
        <v>58.7</v>
      </c>
      <c r="P307" s="8" t="n">
        <v>302</v>
      </c>
      <c r="Q307" s="16" t="n">
        <f aca="false">1.15+((P307-267)/62)*(0.35-1.15)</f>
        <v>0.698387096774193</v>
      </c>
      <c r="R307" s="14" t="n">
        <f aca="false">Q307*L307</f>
        <v>4.74903225806452</v>
      </c>
      <c r="S307" s="14" t="n">
        <f aca="false">J307-R307</f>
        <v>-4.74903225806452</v>
      </c>
      <c r="T307" s="14" t="n">
        <f aca="false">MIN(189.6,(T306+S307))</f>
        <v>34.1629723502303</v>
      </c>
      <c r="U307" s="8" t="n">
        <f aca="false">(U305*100)/189.6</f>
        <v>20.9223442914545</v>
      </c>
      <c r="V307" s="8" t="n">
        <v>3105.8</v>
      </c>
      <c r="W307" s="8" t="n">
        <v>143.124423963134</v>
      </c>
      <c r="X307" s="8" t="n">
        <v>268876.3</v>
      </c>
      <c r="Y307" s="8" t="n">
        <f aca="false">Y306+V307</f>
        <v>28505</v>
      </c>
      <c r="AA307" s="8" t="n">
        <v>16.266738739605</v>
      </c>
    </row>
    <row r="308" s="8" customFormat="true" ht="15" hidden="false" customHeight="false" outlineLevel="0" collapsed="false">
      <c r="A308" s="66"/>
      <c r="B308" s="10"/>
      <c r="C308" s="11" t="n">
        <v>42186</v>
      </c>
      <c r="D308" s="8" t="n">
        <v>25.8</v>
      </c>
      <c r="E308" s="8" t="n">
        <v>14.9</v>
      </c>
      <c r="F308" s="17" t="n">
        <v>33.4</v>
      </c>
      <c r="G308" s="8" t="n">
        <v>2868.5</v>
      </c>
      <c r="H308" s="8" t="n">
        <f aca="false">H307+D308</f>
        <v>274.4</v>
      </c>
      <c r="J308" s="8" t="n">
        <v>0</v>
      </c>
      <c r="K308" s="8" t="n">
        <v>495.6</v>
      </c>
      <c r="L308" s="8" t="n">
        <v>6.9</v>
      </c>
      <c r="M308" s="8" t="n">
        <v>488.7</v>
      </c>
      <c r="N308" s="13" t="n">
        <v>-6.9</v>
      </c>
      <c r="O308" s="8" t="n">
        <f aca="false">O307+N308</f>
        <v>51.8</v>
      </c>
      <c r="P308" s="8" t="n">
        <v>303</v>
      </c>
      <c r="Q308" s="16" t="n">
        <f aca="false">1.15+((P308-267)/62)*(0.35-1.15)</f>
        <v>0.685483870967742</v>
      </c>
      <c r="R308" s="14" t="n">
        <f aca="false">Q308*L308</f>
        <v>4.72983870967742</v>
      </c>
      <c r="S308" s="14" t="n">
        <f aca="false">J308-R308</f>
        <v>-4.72983870967742</v>
      </c>
      <c r="T308" s="14" t="n">
        <f aca="false">MIN(189.6,(T307+S308))</f>
        <v>29.4331336405529</v>
      </c>
      <c r="V308" s="8" t="n">
        <v>2972</v>
      </c>
      <c r="W308" s="8" t="n">
        <v>115.193798449612</v>
      </c>
      <c r="X308" s="8" t="n">
        <v>271848.3</v>
      </c>
      <c r="Y308" s="8" t="n">
        <f aca="false">Y307+V308</f>
        <v>31477</v>
      </c>
      <c r="AA308" s="8" t="n">
        <v>16.2538977858922</v>
      </c>
    </row>
    <row r="309" s="8" customFormat="true" ht="15" hidden="false" customHeight="false" outlineLevel="0" collapsed="false">
      <c r="A309" s="66"/>
      <c r="B309" s="10"/>
      <c r="C309" s="11" t="n">
        <v>42187</v>
      </c>
      <c r="D309" s="8" t="n">
        <v>22</v>
      </c>
      <c r="E309" s="8" t="n">
        <v>18.6</v>
      </c>
      <c r="F309" s="17" t="n">
        <v>26.4</v>
      </c>
      <c r="G309" s="8" t="n">
        <v>2890.5</v>
      </c>
      <c r="H309" s="8" t="n">
        <f aca="false">H308+D309</f>
        <v>296.4</v>
      </c>
      <c r="J309" s="8" t="n">
        <v>4.2</v>
      </c>
      <c r="K309" s="8" t="n">
        <v>499.8</v>
      </c>
      <c r="L309" s="8" t="n">
        <v>5.4</v>
      </c>
      <c r="M309" s="8" t="n">
        <v>494.1</v>
      </c>
      <c r="N309" s="13" t="n">
        <v>-1.2</v>
      </c>
      <c r="O309" s="8" t="n">
        <f aca="false">O308+N309</f>
        <v>50.6</v>
      </c>
      <c r="P309" s="8" t="n">
        <v>304</v>
      </c>
      <c r="Q309" s="16" t="n">
        <f aca="false">1.15+((P309-267)/62)*(0.35-1.15)</f>
        <v>0.67258064516129</v>
      </c>
      <c r="R309" s="14" t="n">
        <f aca="false">Q309*L309</f>
        <v>3.63193548387097</v>
      </c>
      <c r="S309" s="14" t="n">
        <f aca="false">J309-R309</f>
        <v>0.568064516129033</v>
      </c>
      <c r="T309" s="14" t="n">
        <f aca="false">MIN(189.6,(T308+S309))</f>
        <v>30.0011981566819</v>
      </c>
      <c r="V309" s="8" t="n">
        <v>2555.5</v>
      </c>
      <c r="W309" s="8" t="n">
        <v>116.159090909091</v>
      </c>
      <c r="X309" s="8" t="n">
        <v>274403.8</v>
      </c>
      <c r="Y309" s="8" t="n">
        <f aca="false">Y308+V309</f>
        <v>34032.5</v>
      </c>
      <c r="AA309" s="8" t="n">
        <v>16.2395949505057</v>
      </c>
    </row>
    <row r="310" s="8" customFormat="true" ht="15" hidden="false" customHeight="false" outlineLevel="0" collapsed="false">
      <c r="A310" s="66"/>
      <c r="B310" s="10"/>
      <c r="C310" s="11" t="n">
        <v>42188</v>
      </c>
      <c r="D310" s="8" t="n">
        <v>23.9</v>
      </c>
      <c r="E310" s="8" t="n">
        <v>16.6</v>
      </c>
      <c r="F310" s="17" t="n">
        <v>30.4</v>
      </c>
      <c r="G310" s="8" t="n">
        <v>2914.4</v>
      </c>
      <c r="H310" s="8" t="n">
        <f aca="false">H309+D310</f>
        <v>320.3</v>
      </c>
      <c r="J310" s="8" t="n">
        <v>0</v>
      </c>
      <c r="K310" s="8" t="n">
        <v>499.8</v>
      </c>
      <c r="L310" s="8" t="n">
        <v>6</v>
      </c>
      <c r="M310" s="8" t="n">
        <v>500.1</v>
      </c>
      <c r="N310" s="13" t="n">
        <v>-6</v>
      </c>
      <c r="O310" s="8" t="n">
        <f aca="false">O309+N310</f>
        <v>44.6</v>
      </c>
      <c r="P310" s="8" t="n">
        <v>305</v>
      </c>
      <c r="Q310" s="16" t="n">
        <f aca="false">1.15+((P310-267)/62)*(0.35-1.15)</f>
        <v>0.659677419354839</v>
      </c>
      <c r="R310" s="14" t="n">
        <f aca="false">Q310*L310</f>
        <v>3.95806451612903</v>
      </c>
      <c r="S310" s="14" t="n">
        <f aca="false">J310-R310</f>
        <v>-3.95806451612903</v>
      </c>
      <c r="T310" s="14" t="n">
        <f aca="false">MIN(189.6,(T309+S310))</f>
        <v>26.0431336405529</v>
      </c>
      <c r="V310" s="8" t="n">
        <v>2798.2</v>
      </c>
      <c r="W310" s="8" t="n">
        <v>117.07949790795</v>
      </c>
      <c r="X310" s="8" t="n">
        <v>277202</v>
      </c>
      <c r="Y310" s="8" t="n">
        <f aca="false">Y309+V310</f>
        <v>36830.7</v>
      </c>
      <c r="AA310" s="8" t="n">
        <v>16.2238457101089</v>
      </c>
    </row>
    <row r="311" s="48" customFormat="true" ht="15" hidden="false" customHeight="false" outlineLevel="0" collapsed="false">
      <c r="A311" s="66"/>
      <c r="B311" s="47"/>
      <c r="C311" s="11" t="n">
        <v>42189</v>
      </c>
      <c r="D311" s="48" t="n">
        <v>23.3</v>
      </c>
      <c r="E311" s="48" t="n">
        <v>22.1</v>
      </c>
      <c r="F311" s="48" t="n">
        <v>26.2</v>
      </c>
      <c r="G311" s="48" t="n">
        <v>2937.7</v>
      </c>
      <c r="H311" s="48" t="n">
        <f aca="false">H310+D311</f>
        <v>343.6</v>
      </c>
      <c r="J311" s="48" t="n">
        <v>0</v>
      </c>
      <c r="K311" s="48" t="n">
        <v>499.8</v>
      </c>
      <c r="L311" s="48" t="n">
        <v>4.1</v>
      </c>
      <c r="M311" s="48" t="n">
        <v>504.2</v>
      </c>
      <c r="N311" s="48" t="n">
        <v>-4.1</v>
      </c>
      <c r="O311" s="48" t="n">
        <f aca="false">O310+N311</f>
        <v>40.5</v>
      </c>
      <c r="P311" s="48" t="n">
        <v>306</v>
      </c>
      <c r="Q311" s="16" t="n">
        <f aca="false">1.15+((P311-267)/62)*(0.35-1.15)</f>
        <v>0.646774193548387</v>
      </c>
      <c r="R311" s="49" t="n">
        <f aca="false">Q311*L311</f>
        <v>2.65177419354839</v>
      </c>
      <c r="S311" s="49" t="n">
        <f aca="false">J311-R311</f>
        <v>-2.65177419354839</v>
      </c>
      <c r="T311" s="14" t="n">
        <f aca="false">MIN(189.6,(T310+S311))</f>
        <v>23.3913594470045</v>
      </c>
      <c r="V311" s="48" t="n">
        <v>1741.8</v>
      </c>
      <c r="W311" s="48" t="n">
        <v>74.755364806867</v>
      </c>
      <c r="X311" s="48" t="n">
        <v>278943.8</v>
      </c>
      <c r="Y311" s="8" t="n">
        <f aca="false">Y310+V311</f>
        <v>38572.5</v>
      </c>
      <c r="AA311" s="8" t="n">
        <v>16.2066668773704</v>
      </c>
    </row>
    <row r="312" s="8" customFormat="true" ht="15" hidden="false" customHeight="false" outlineLevel="0" collapsed="false">
      <c r="A312" s="66"/>
      <c r="B312" s="68"/>
      <c r="C312" s="11" t="n">
        <v>42190</v>
      </c>
      <c r="D312" s="8" t="n">
        <v>17.4</v>
      </c>
      <c r="E312" s="8" t="n">
        <v>16.5</v>
      </c>
      <c r="F312" s="8" t="n">
        <v>19.3</v>
      </c>
      <c r="G312" s="8" t="n">
        <v>2955.1</v>
      </c>
      <c r="H312" s="8" t="n">
        <f aca="false">H311+D312</f>
        <v>361</v>
      </c>
      <c r="J312" s="8" t="n">
        <v>0</v>
      </c>
      <c r="K312" s="8" t="n">
        <v>499.8</v>
      </c>
      <c r="L312" s="8" t="n">
        <v>3.1</v>
      </c>
      <c r="M312" s="8" t="n">
        <v>507.3</v>
      </c>
      <c r="N312" s="13" t="n">
        <v>-3.1</v>
      </c>
      <c r="O312" s="8" t="n">
        <f aca="false">O311+N312</f>
        <v>37.4</v>
      </c>
      <c r="P312" s="8" t="n">
        <v>307</v>
      </c>
      <c r="Q312" s="16" t="n">
        <f aca="false">1.15+((P312-267)/62)*(0.35-1.15)</f>
        <v>0.633870967741935</v>
      </c>
      <c r="R312" s="14" t="n">
        <f aca="false">Q312*L312</f>
        <v>1.965</v>
      </c>
      <c r="S312" s="14" t="n">
        <f aca="false">J312-R312</f>
        <v>-1.965</v>
      </c>
      <c r="T312" s="14" t="n">
        <f aca="false">MIN(189.6,(T311+S312))</f>
        <v>21.4263594470045</v>
      </c>
      <c r="V312" s="8" t="n">
        <v>1513.7</v>
      </c>
      <c r="W312" s="8" t="n">
        <v>86.9942528735632</v>
      </c>
      <c r="X312" s="8" t="n">
        <v>280457.5</v>
      </c>
      <c r="Y312" s="8" t="n">
        <f aca="false">Y311+V312</f>
        <v>40086.2</v>
      </c>
      <c r="AA312" s="8" t="n">
        <v>16.188076537342</v>
      </c>
    </row>
    <row r="313" s="8" customFormat="true" ht="15" hidden="false" customHeight="false" outlineLevel="0" collapsed="false">
      <c r="A313" s="66"/>
      <c r="B313" s="68"/>
      <c r="C313" s="11" t="n">
        <v>42191</v>
      </c>
      <c r="D313" s="8" t="n">
        <v>19.9</v>
      </c>
      <c r="E313" s="8" t="n">
        <v>11.2</v>
      </c>
      <c r="F313" s="17" t="n">
        <v>27.3</v>
      </c>
      <c r="G313" s="8" t="n">
        <v>2975</v>
      </c>
      <c r="H313" s="8" t="n">
        <f aca="false">H312+D313</f>
        <v>380.9</v>
      </c>
      <c r="J313" s="8" t="n">
        <v>0</v>
      </c>
      <c r="K313" s="8" t="n">
        <v>499.8</v>
      </c>
      <c r="L313" s="8" t="n">
        <v>4.7</v>
      </c>
      <c r="M313" s="8" t="n">
        <v>512</v>
      </c>
      <c r="N313" s="13" t="n">
        <v>-4.7</v>
      </c>
      <c r="O313" s="8" t="n">
        <f aca="false">O312+N313</f>
        <v>32.7</v>
      </c>
      <c r="P313" s="8" t="n">
        <v>308</v>
      </c>
      <c r="Q313" s="16" t="n">
        <f aca="false">1.15+((P313-267)/62)*(0.35-1.15)</f>
        <v>0.620967741935484</v>
      </c>
      <c r="R313" s="14" t="n">
        <f aca="false">Q313*L313</f>
        <v>2.91854838709677</v>
      </c>
      <c r="S313" s="14" t="n">
        <f aca="false">J313-R313</f>
        <v>-2.91854838709677</v>
      </c>
      <c r="T313" s="14" t="n">
        <f aca="false">MIN(189.6,(T312+S313))</f>
        <v>18.5078110599077</v>
      </c>
      <c r="V313" s="8" t="n">
        <v>2306.4</v>
      </c>
      <c r="W313" s="8" t="n">
        <v>115.899497487437</v>
      </c>
      <c r="X313" s="8" t="n">
        <v>282763.9</v>
      </c>
      <c r="Y313" s="8" t="n">
        <f aca="false">Y312+V313</f>
        <v>42392.6</v>
      </c>
      <c r="AA313" s="8" t="n">
        <v>16.1680939802181</v>
      </c>
    </row>
    <row r="314" s="8" customFormat="true" ht="15" hidden="false" customHeight="false" outlineLevel="0" collapsed="false">
      <c r="A314" s="66"/>
      <c r="B314" s="68"/>
      <c r="C314" s="11" t="n">
        <v>42192</v>
      </c>
      <c r="D314" s="8" t="n">
        <v>17.3</v>
      </c>
      <c r="E314" s="8" t="n">
        <v>14.3</v>
      </c>
      <c r="F314" s="8" t="n">
        <v>22.7</v>
      </c>
      <c r="G314" s="8" t="n">
        <v>2992.3</v>
      </c>
      <c r="H314" s="8" t="n">
        <f aca="false">H313+D314</f>
        <v>398.2</v>
      </c>
      <c r="J314" s="8" t="n">
        <v>3.8</v>
      </c>
      <c r="K314" s="8" t="n">
        <v>503.6</v>
      </c>
      <c r="L314" s="8" t="n">
        <v>2.9</v>
      </c>
      <c r="M314" s="8" t="n">
        <v>514.9</v>
      </c>
      <c r="N314" s="8" t="n">
        <v>0.9</v>
      </c>
      <c r="O314" s="8" t="n">
        <f aca="false">O313+N314</f>
        <v>33.6</v>
      </c>
      <c r="P314" s="8" t="n">
        <v>309</v>
      </c>
      <c r="Q314" s="16" t="n">
        <f aca="false">1.15+((P314-267)/62)*(0.35-1.15)</f>
        <v>0.608064516129032</v>
      </c>
      <c r="R314" s="14" t="n">
        <f aca="false">Q314*L314</f>
        <v>1.76338709677419</v>
      </c>
      <c r="S314" s="14" t="n">
        <f aca="false">J314-R314</f>
        <v>2.03661290322581</v>
      </c>
      <c r="T314" s="14" t="n">
        <f aca="false">MIN(189.6,(T313+S314))</f>
        <v>20.5444239631336</v>
      </c>
      <c r="V314" s="8" t="n">
        <v>1209.2</v>
      </c>
      <c r="W314" s="8" t="n">
        <v>69.8959537572254</v>
      </c>
      <c r="X314" s="8" t="n">
        <v>283973.1</v>
      </c>
      <c r="Y314" s="8" t="n">
        <f aca="false">Y313+V314</f>
        <v>43601.8</v>
      </c>
      <c r="AA314" s="8" t="n">
        <v>16.1467396309795</v>
      </c>
    </row>
    <row r="315" s="22" customFormat="true" ht="15" hidden="false" customHeight="false" outlineLevel="0" collapsed="false">
      <c r="A315" s="66"/>
      <c r="B315" s="70"/>
      <c r="C315" s="71" t="n">
        <v>42193</v>
      </c>
      <c r="D315" s="22" t="n">
        <v>15.3</v>
      </c>
      <c r="E315" s="22" t="n">
        <v>12.2</v>
      </c>
      <c r="F315" s="22" t="n">
        <v>17.9</v>
      </c>
      <c r="G315" s="22" t="n">
        <v>3007.6</v>
      </c>
      <c r="H315" s="22" t="n">
        <f aca="false">H314+D315</f>
        <v>413.5</v>
      </c>
      <c r="J315" s="22" t="n">
        <v>1.8</v>
      </c>
      <c r="K315" s="22" t="n">
        <v>505.4</v>
      </c>
      <c r="L315" s="22" t="n">
        <v>2.3</v>
      </c>
      <c r="M315" s="22" t="n">
        <v>517.2</v>
      </c>
      <c r="N315" s="72" t="n">
        <v>-0.5</v>
      </c>
      <c r="O315" s="22" t="n">
        <f aca="false">O314+N315</f>
        <v>33.1</v>
      </c>
      <c r="P315" s="22" t="n">
        <v>310</v>
      </c>
      <c r="Q315" s="79" t="n">
        <f aca="false">1.15+((P315-267)/62)*(0.35-1.15)</f>
        <v>0.595161290322581</v>
      </c>
      <c r="R315" s="24" t="n">
        <f aca="false">Q315*L315</f>
        <v>1.36887096774194</v>
      </c>
      <c r="S315" s="24" t="n">
        <f aca="false">J315-R315</f>
        <v>0.431129032258065</v>
      </c>
      <c r="T315" s="25" t="n">
        <f aca="false">MIN(189.6,(T314+S315))</f>
        <v>20.9755529953916</v>
      </c>
      <c r="V315" s="22" t="n">
        <v>1092.1</v>
      </c>
      <c r="W315" s="22" t="n">
        <v>71.3790849673203</v>
      </c>
      <c r="X315" s="22" t="n">
        <v>285065.2</v>
      </c>
      <c r="Y315" s="22" t="n">
        <f aca="false">Y314+V315</f>
        <v>44693.9</v>
      </c>
      <c r="AA315" s="22" t="n">
        <v>16.1240349764324</v>
      </c>
    </row>
    <row r="316" s="48" customFormat="true" ht="15" hidden="false" customHeight="false" outlineLevel="0" collapsed="false">
      <c r="B316" s="77"/>
      <c r="C316" s="63" t="n">
        <v>42194</v>
      </c>
      <c r="D316" s="48" t="n">
        <v>15.3</v>
      </c>
      <c r="E316" s="48" t="n">
        <v>13.4</v>
      </c>
      <c r="F316" s="48" t="n">
        <v>18.9</v>
      </c>
      <c r="G316" s="48" t="n">
        <v>3022.9</v>
      </c>
      <c r="H316" s="48" t="n">
        <f aca="false">H315+D316</f>
        <v>428.8</v>
      </c>
      <c r="J316" s="48" t="n">
        <v>0</v>
      </c>
      <c r="K316" s="48" t="n">
        <v>505.4</v>
      </c>
      <c r="L316" s="48" t="n">
        <v>4.2</v>
      </c>
      <c r="M316" s="48" t="n">
        <v>521.4</v>
      </c>
      <c r="N316" s="78" t="n">
        <v>-4.2</v>
      </c>
      <c r="O316" s="48" t="n">
        <f aca="false">O315+N316</f>
        <v>28.9</v>
      </c>
      <c r="P316" s="48" t="n">
        <v>311</v>
      </c>
      <c r="Q316" s="16" t="n">
        <f aca="false">1.15+((P316-267)/62)*(0.35-1.15)</f>
        <v>0.582258064516129</v>
      </c>
      <c r="R316" s="49" t="n">
        <f aca="false">Q316*L316</f>
        <v>2.44548387096774</v>
      </c>
      <c r="S316" s="49" t="n">
        <f aca="false">J316-R316</f>
        <v>-2.44548387096774</v>
      </c>
      <c r="T316" s="14" t="n">
        <f aca="false">MIN(189.6,(T315+S316))</f>
        <v>18.5300691244239</v>
      </c>
      <c r="V316" s="48" t="n">
        <v>2118.7</v>
      </c>
      <c r="W316" s="48" t="n">
        <v>138.477124183007</v>
      </c>
      <c r="X316" s="48" t="n">
        <v>287183.9</v>
      </c>
      <c r="Y316" s="48" t="n">
        <f aca="false">Y315+V316</f>
        <v>46812.6</v>
      </c>
      <c r="AA316" s="48" t="n">
        <v>16.100002490156</v>
      </c>
    </row>
  </sheetData>
  <mergeCells count="13">
    <mergeCell ref="D1:I2"/>
    <mergeCell ref="J1:U2"/>
    <mergeCell ref="V1:Z2"/>
    <mergeCell ref="P3:T3"/>
    <mergeCell ref="G4:H4"/>
    <mergeCell ref="X4:Y4"/>
    <mergeCell ref="A5:Z5"/>
    <mergeCell ref="A6:A94"/>
    <mergeCell ref="A95:A192"/>
    <mergeCell ref="A193:A227"/>
    <mergeCell ref="A249:A272"/>
    <mergeCell ref="A273:A292"/>
    <mergeCell ref="A293:A315"/>
  </mergeCells>
  <conditionalFormatting sqref="T5:T316">
    <cfRule type="cellIs" priority="2" operator="equal" aboveAverage="0" equalAverage="0" bottom="0" percent="0" rank="0" text="" dxfId="5">
      <formula>0</formula>
    </cfRule>
    <cfRule type="cellIs" priority="3" operator="lessThanOrEqual" aboveAverage="0" equalAverage="0" bottom="0" percent="0" rank="0" text="" dxfId="6">
      <formula>63.2</formula>
    </cfRule>
  </conditionalFormatting>
  <conditionalFormatting sqref="S6:S316">
    <cfRule type="cellIs" priority="4" operator="lessThanOrEqual" aboveAverage="0" equalAverage="0" bottom="0" percent="0" rank="0" text="" dxfId="7">
      <formula>0</formula>
    </cfRule>
  </conditionalFormatting>
  <conditionalFormatting sqref="T1:T4">
    <cfRule type="cellIs" priority="5" operator="equal" aboveAverage="0" equalAverage="0" bottom="0" percent="0" rank="0" text="" dxfId="8">
      <formula>0</formula>
    </cfRule>
    <cfRule type="cellIs" priority="6" operator="lessThanOrEqual" aboveAverage="0" equalAverage="0" bottom="0" percent="0" rank="0" text="" dxfId="9">
      <formula>63.2</formula>
    </cfRule>
  </conditionalFormatting>
  <printOptions headings="false" gridLines="false" gridLinesSet="true" horizontalCentered="false" verticalCentered="false"/>
  <pageMargins left="0.7" right="0.7" top="0.75" bottom="0.75" header="0.511811023622047" footer="0.511811023622047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/>
    <oddFooter/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LibreOffice/25.2.7.2$Windows_X86_64 LibreOffice_project/5cbfd1ab6520636bb5f7b99185aa69bd7456825d</Application>
  <AppVersion>15.0000</AppVersion>
  <Company>INRA - RENNES</Company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2019-10-22T11:50:40Z</dcterms:created>
  <dc:creator>adminigepp</dc:creator>
  <dc:description/>
  <dc:language>fr-FR</dc:language>
  <cp:lastModifiedBy/>
  <dcterms:modified xsi:type="dcterms:W3CDTF">2026-01-07T15:12:45Z</dcterms:modified>
  <cp:revision>5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