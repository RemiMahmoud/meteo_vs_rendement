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5\"/>
    </mc:Choice>
  </mc:AlternateContent>
  <bookViews>
    <workbookView xWindow="0" yWindow="0" windowWidth="28800" windowHeight="11700"/>
  </bookViews>
  <sheets>
    <sheet name="N+&amp;N-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94" i="1" l="1"/>
  <c r="AB186" i="1"/>
  <c r="AB172" i="1"/>
  <c r="AB164" i="1"/>
  <c r="AD183" i="1"/>
  <c r="AD181" i="1"/>
  <c r="AD179" i="1"/>
  <c r="AC183" i="1"/>
  <c r="AC181" i="1"/>
  <c r="AC179" i="1"/>
  <c r="AD185" i="1" l="1"/>
  <c r="AC177" i="1"/>
  <c r="AC185" i="1"/>
  <c r="AD177" i="1"/>
  <c r="U296" i="1"/>
  <c r="U278" i="1"/>
  <c r="U258" i="1"/>
  <c r="U237" i="1"/>
  <c r="U195" i="1"/>
  <c r="U106" i="1"/>
  <c r="U19" i="1"/>
  <c r="Q313" i="1"/>
  <c r="R313" i="1" s="1"/>
  <c r="S313" i="1" s="1"/>
  <c r="Q312" i="1"/>
  <c r="R312" i="1" s="1"/>
  <c r="S312" i="1" s="1"/>
  <c r="S311" i="1"/>
  <c r="R311" i="1"/>
  <c r="Q311" i="1"/>
  <c r="R310" i="1"/>
  <c r="S310" i="1" s="1"/>
  <c r="Q310" i="1"/>
  <c r="Q309" i="1"/>
  <c r="R309" i="1" s="1"/>
  <c r="S309" i="1" s="1"/>
  <c r="R308" i="1"/>
  <c r="S308" i="1" s="1"/>
  <c r="Q308" i="1"/>
  <c r="Q307" i="1"/>
  <c r="R307" i="1" s="1"/>
  <c r="S307" i="1" s="1"/>
  <c r="Q306" i="1"/>
  <c r="R306" i="1" s="1"/>
  <c r="S306" i="1" s="1"/>
  <c r="Y305" i="1"/>
  <c r="Y306" i="1" s="1"/>
  <c r="Y307" i="1" s="1"/>
  <c r="Y308" i="1" s="1"/>
  <c r="Y309" i="1" s="1"/>
  <c r="Y310" i="1" s="1"/>
  <c r="Y311" i="1" s="1"/>
  <c r="Y312" i="1" s="1"/>
  <c r="Y313" i="1" s="1"/>
  <c r="Q305" i="1"/>
  <c r="R305" i="1" s="1"/>
  <c r="S305" i="1" s="1"/>
  <c r="Q304" i="1"/>
  <c r="R304" i="1" s="1"/>
  <c r="S304" i="1" s="1"/>
  <c r="Q303" i="1"/>
  <c r="R303" i="1" s="1"/>
  <c r="S303" i="1" s="1"/>
  <c r="Q302" i="1"/>
  <c r="R302" i="1" s="1"/>
  <c r="S302" i="1" s="1"/>
  <c r="Q301" i="1"/>
  <c r="R301" i="1" s="1"/>
  <c r="S301" i="1" s="1"/>
  <c r="Q300" i="1"/>
  <c r="R300" i="1" s="1"/>
  <c r="S300" i="1" s="1"/>
  <c r="Q299" i="1"/>
  <c r="R299" i="1" s="1"/>
  <c r="S299" i="1" s="1"/>
  <c r="Q298" i="1"/>
  <c r="R298" i="1" s="1"/>
  <c r="S298" i="1" s="1"/>
  <c r="Q297" i="1"/>
  <c r="R297" i="1" s="1"/>
  <c r="S297" i="1" s="1"/>
  <c r="Q296" i="1"/>
  <c r="R296" i="1" s="1"/>
  <c r="S296" i="1" s="1"/>
  <c r="S295" i="1"/>
  <c r="R295" i="1"/>
  <c r="Q295" i="1"/>
  <c r="Q294" i="1"/>
  <c r="R294" i="1" s="1"/>
  <c r="S294" i="1" s="1"/>
  <c r="R293" i="1"/>
  <c r="S293" i="1" s="1"/>
  <c r="Q293" i="1"/>
  <c r="Q292" i="1"/>
  <c r="R292" i="1" s="1"/>
  <c r="S292" i="1" s="1"/>
  <c r="Q291" i="1"/>
  <c r="R291" i="1" s="1"/>
  <c r="S291" i="1" s="1"/>
  <c r="Q290" i="1"/>
  <c r="R290" i="1" s="1"/>
  <c r="S290" i="1" s="1"/>
  <c r="S289" i="1"/>
  <c r="R289" i="1"/>
  <c r="Q289" i="1"/>
  <c r="S288" i="1"/>
  <c r="Q288" i="1"/>
  <c r="R288" i="1" s="1"/>
  <c r="O288" i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I288" i="1"/>
  <c r="Y287" i="1"/>
  <c r="Y288" i="1" s="1"/>
  <c r="Y289" i="1" s="1"/>
  <c r="Y290" i="1" s="1"/>
  <c r="Y291" i="1" s="1"/>
  <c r="Y292" i="1" s="1"/>
  <c r="Y293" i="1" s="1"/>
  <c r="Y294" i="1" s="1"/>
  <c r="Y295" i="1" s="1"/>
  <c r="Y296" i="1" s="1"/>
  <c r="Y297" i="1" s="1"/>
  <c r="Y298" i="1" s="1"/>
  <c r="Y299" i="1" s="1"/>
  <c r="Y300" i="1" s="1"/>
  <c r="Y301" i="1" s="1"/>
  <c r="Y302" i="1" s="1"/>
  <c r="Y303" i="1" s="1"/>
  <c r="Z284" i="1" s="1"/>
  <c r="Z286" i="1" s="1"/>
  <c r="R287" i="1"/>
  <c r="S287" i="1" s="1"/>
  <c r="Q287" i="1"/>
  <c r="Y286" i="1"/>
  <c r="Q286" i="1"/>
  <c r="R286" i="1" s="1"/>
  <c r="S286" i="1" s="1"/>
  <c r="T286" i="1" s="1"/>
  <c r="T287" i="1" s="1"/>
  <c r="T288" i="1" s="1"/>
  <c r="O286" i="1"/>
  <c r="O287" i="1" s="1"/>
  <c r="I286" i="1"/>
  <c r="Q285" i="1"/>
  <c r="R285" i="1" s="1"/>
  <c r="S285" i="1" s="1"/>
  <c r="Y284" i="1"/>
  <c r="Y285" i="1" s="1"/>
  <c r="Q284" i="1"/>
  <c r="R284" i="1" s="1"/>
  <c r="S284" i="1" s="1"/>
  <c r="I284" i="1"/>
  <c r="H284" i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Q283" i="1"/>
  <c r="R283" i="1" s="1"/>
  <c r="S283" i="1" s="1"/>
  <c r="R282" i="1"/>
  <c r="S282" i="1" s="1"/>
  <c r="Q282" i="1"/>
  <c r="R281" i="1"/>
  <c r="S281" i="1" s="1"/>
  <c r="Q281" i="1"/>
  <c r="Q280" i="1"/>
  <c r="R280" i="1" s="1"/>
  <c r="S280" i="1" s="1"/>
  <c r="R279" i="1"/>
  <c r="S279" i="1" s="1"/>
  <c r="Q279" i="1"/>
  <c r="Q278" i="1"/>
  <c r="R278" i="1" s="1"/>
  <c r="S278" i="1" s="1"/>
  <c r="Y277" i="1"/>
  <c r="Y278" i="1" s="1"/>
  <c r="Y279" i="1" s="1"/>
  <c r="Y280" i="1" s="1"/>
  <c r="Y281" i="1" s="1"/>
  <c r="Y282" i="1" s="1"/>
  <c r="Z267" i="1" s="1"/>
  <c r="Z269" i="1" s="1"/>
  <c r="S277" i="1"/>
  <c r="R277" i="1"/>
  <c r="Q277" i="1"/>
  <c r="Q276" i="1"/>
  <c r="R276" i="1" s="1"/>
  <c r="S276" i="1" s="1"/>
  <c r="Q275" i="1"/>
  <c r="R275" i="1" s="1"/>
  <c r="S275" i="1" s="1"/>
  <c r="Q274" i="1"/>
  <c r="R274" i="1" s="1"/>
  <c r="S274" i="1" s="1"/>
  <c r="S273" i="1"/>
  <c r="R273" i="1"/>
  <c r="Q273" i="1"/>
  <c r="Q272" i="1"/>
  <c r="R272" i="1" s="1"/>
  <c r="S272" i="1" s="1"/>
  <c r="R271" i="1"/>
  <c r="S271" i="1" s="1"/>
  <c r="Q271" i="1"/>
  <c r="I271" i="1"/>
  <c r="S270" i="1"/>
  <c r="Q270" i="1"/>
  <c r="R270" i="1" s="1"/>
  <c r="Y269" i="1"/>
  <c r="Y270" i="1" s="1"/>
  <c r="Y271" i="1" s="1"/>
  <c r="Y272" i="1" s="1"/>
  <c r="Y273" i="1" s="1"/>
  <c r="Y274" i="1" s="1"/>
  <c r="Y275" i="1" s="1"/>
  <c r="Y276" i="1" s="1"/>
  <c r="Q269" i="1"/>
  <c r="R269" i="1" s="1"/>
  <c r="S269" i="1" s="1"/>
  <c r="I269" i="1"/>
  <c r="R268" i="1"/>
  <c r="S268" i="1" s="1"/>
  <c r="Q268" i="1"/>
  <c r="Y267" i="1"/>
  <c r="Y268" i="1" s="1"/>
  <c r="Q267" i="1"/>
  <c r="R267" i="1" s="1"/>
  <c r="S267" i="1" s="1"/>
  <c r="I267" i="1"/>
  <c r="H267" i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S266" i="1"/>
  <c r="R266" i="1"/>
  <c r="Q266" i="1"/>
  <c r="R265" i="1"/>
  <c r="S265" i="1" s="1"/>
  <c r="R264" i="1"/>
  <c r="S264" i="1" s="1"/>
  <c r="H264" i="1"/>
  <c r="H265" i="1" s="1"/>
  <c r="S263" i="1"/>
  <c r="R263" i="1"/>
  <c r="R262" i="1"/>
  <c r="S262" i="1" s="1"/>
  <c r="S261" i="1"/>
  <c r="R261" i="1"/>
  <c r="R260" i="1"/>
  <c r="S260" i="1" s="1"/>
  <c r="S259" i="1"/>
  <c r="R259" i="1"/>
  <c r="R258" i="1"/>
  <c r="S258" i="1" s="1"/>
  <c r="S257" i="1"/>
  <c r="R257" i="1"/>
  <c r="S256" i="1"/>
  <c r="R256" i="1"/>
  <c r="S255" i="1"/>
  <c r="R255" i="1"/>
  <c r="S254" i="1"/>
  <c r="R254" i="1"/>
  <c r="S253" i="1"/>
  <c r="R253" i="1"/>
  <c r="Y252" i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Z246" i="1" s="1"/>
  <c r="Z248" i="1" s="1"/>
  <c r="S252" i="1"/>
  <c r="R252" i="1"/>
  <c r="S251" i="1"/>
  <c r="R251" i="1"/>
  <c r="S250" i="1"/>
  <c r="R250" i="1"/>
  <c r="I250" i="1"/>
  <c r="H250" i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Y249" i="1"/>
  <c r="Y250" i="1" s="1"/>
  <c r="Y251" i="1" s="1"/>
  <c r="R249" i="1"/>
  <c r="S249" i="1" s="1"/>
  <c r="H249" i="1"/>
  <c r="R248" i="1"/>
  <c r="S248" i="1" s="1"/>
  <c r="I248" i="1"/>
  <c r="Y247" i="1"/>
  <c r="Y248" i="1" s="1"/>
  <c r="S247" i="1"/>
  <c r="R247" i="1"/>
  <c r="Y246" i="1"/>
  <c r="R246" i="1"/>
  <c r="S246" i="1" s="1"/>
  <c r="I246" i="1"/>
  <c r="H246" i="1"/>
  <c r="H247" i="1" s="1"/>
  <c r="H248" i="1" s="1"/>
  <c r="R245" i="1"/>
  <c r="S245" i="1" s="1"/>
  <c r="S244" i="1"/>
  <c r="R244" i="1"/>
  <c r="R243" i="1"/>
  <c r="S243" i="1" s="1"/>
  <c r="R242" i="1"/>
  <c r="S242" i="1" s="1"/>
  <c r="R241" i="1"/>
  <c r="S241" i="1" s="1"/>
  <c r="R240" i="1"/>
  <c r="S240" i="1" s="1"/>
  <c r="S239" i="1"/>
  <c r="R239" i="1"/>
  <c r="S238" i="1"/>
  <c r="R238" i="1"/>
  <c r="S237" i="1"/>
  <c r="R237" i="1"/>
  <c r="S236" i="1"/>
  <c r="R236" i="1"/>
  <c r="S235" i="1"/>
  <c r="R235" i="1"/>
  <c r="S234" i="1"/>
  <c r="R234" i="1"/>
  <c r="S233" i="1"/>
  <c r="R233" i="1"/>
  <c r="S232" i="1"/>
  <c r="R232" i="1"/>
  <c r="S231" i="1"/>
  <c r="R231" i="1"/>
  <c r="S230" i="1"/>
  <c r="R230" i="1"/>
  <c r="R229" i="1"/>
  <c r="S229" i="1" s="1"/>
  <c r="I229" i="1"/>
  <c r="H229" i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S228" i="1"/>
  <c r="R228" i="1"/>
  <c r="S227" i="1"/>
  <c r="R227" i="1"/>
  <c r="I227" i="1"/>
  <c r="R226" i="1"/>
  <c r="S226" i="1" s="1"/>
  <c r="Y225" i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Z225" i="1" s="1"/>
  <c r="Z227" i="1" s="1"/>
  <c r="R225" i="1"/>
  <c r="S225" i="1" s="1"/>
  <c r="I225" i="1"/>
  <c r="H225" i="1"/>
  <c r="H226" i="1" s="1"/>
  <c r="H227" i="1" s="1"/>
  <c r="H228" i="1" s="1"/>
  <c r="R224" i="1"/>
  <c r="S224" i="1" s="1"/>
  <c r="Q223" i="1"/>
  <c r="R223" i="1" s="1"/>
  <c r="S223" i="1" s="1"/>
  <c r="R222" i="1"/>
  <c r="S222" i="1" s="1"/>
  <c r="Q222" i="1"/>
  <c r="Q221" i="1"/>
  <c r="R221" i="1" s="1"/>
  <c r="S221" i="1" s="1"/>
  <c r="Q220" i="1"/>
  <c r="R220" i="1" s="1"/>
  <c r="S220" i="1" s="1"/>
  <c r="R219" i="1"/>
  <c r="S219" i="1" s="1"/>
  <c r="Q219" i="1"/>
  <c r="Q218" i="1"/>
  <c r="R218" i="1" s="1"/>
  <c r="S218" i="1" s="1"/>
  <c r="R217" i="1"/>
  <c r="S217" i="1" s="1"/>
  <c r="Q217" i="1"/>
  <c r="Q216" i="1"/>
  <c r="R216" i="1" s="1"/>
  <c r="S216" i="1" s="1"/>
  <c r="R215" i="1"/>
  <c r="S215" i="1" s="1"/>
  <c r="Q215" i="1"/>
  <c r="R214" i="1"/>
  <c r="S214" i="1" s="1"/>
  <c r="Q214" i="1"/>
  <c r="S213" i="1"/>
  <c r="Q213" i="1"/>
  <c r="R213" i="1" s="1"/>
  <c r="R212" i="1"/>
  <c r="S212" i="1" s="1"/>
  <c r="Q212" i="1"/>
  <c r="Q211" i="1"/>
  <c r="R211" i="1" s="1"/>
  <c r="S211" i="1" s="1"/>
  <c r="Q210" i="1"/>
  <c r="R210" i="1" s="1"/>
  <c r="S210" i="1" s="1"/>
  <c r="R209" i="1"/>
  <c r="S209" i="1" s="1"/>
  <c r="Q209" i="1"/>
  <c r="Q208" i="1"/>
  <c r="R208" i="1" s="1"/>
  <c r="S208" i="1" s="1"/>
  <c r="R207" i="1"/>
  <c r="S207" i="1" s="1"/>
  <c r="Q207" i="1"/>
  <c r="R206" i="1"/>
  <c r="S206" i="1" s="1"/>
  <c r="Q206" i="1"/>
  <c r="O206" i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S205" i="1"/>
  <c r="Q205" i="1"/>
  <c r="R205" i="1" s="1"/>
  <c r="R204" i="1"/>
  <c r="S204" i="1" s="1"/>
  <c r="Q204" i="1"/>
  <c r="Q203" i="1"/>
  <c r="R203" i="1" s="1"/>
  <c r="S203" i="1" s="1"/>
  <c r="Q202" i="1"/>
  <c r="R202" i="1" s="1"/>
  <c r="S202" i="1" s="1"/>
  <c r="R201" i="1"/>
  <c r="S201" i="1" s="1"/>
  <c r="Q201" i="1"/>
  <c r="Q200" i="1"/>
  <c r="R200" i="1" s="1"/>
  <c r="S200" i="1" s="1"/>
  <c r="R199" i="1"/>
  <c r="S199" i="1" s="1"/>
  <c r="Q199" i="1"/>
  <c r="R198" i="1"/>
  <c r="S198" i="1" s="1"/>
  <c r="Q198" i="1"/>
  <c r="S197" i="1"/>
  <c r="Q197" i="1"/>
  <c r="R197" i="1" s="1"/>
  <c r="R196" i="1"/>
  <c r="S196" i="1" s="1"/>
  <c r="Q196" i="1"/>
  <c r="Q195" i="1"/>
  <c r="R195" i="1" s="1"/>
  <c r="S195" i="1" s="1"/>
  <c r="H195" i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R194" i="1"/>
  <c r="S194" i="1" s="1"/>
  <c r="Q194" i="1"/>
  <c r="Q193" i="1"/>
  <c r="R193" i="1" s="1"/>
  <c r="S193" i="1" s="1"/>
  <c r="Q192" i="1"/>
  <c r="R192" i="1" s="1"/>
  <c r="S192" i="1" s="1"/>
  <c r="Y191" i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Z184" i="1" s="1"/>
  <c r="Z186" i="1" s="1"/>
  <c r="S191" i="1"/>
  <c r="R191" i="1"/>
  <c r="Q191" i="1"/>
  <c r="R190" i="1"/>
  <c r="S190" i="1" s="1"/>
  <c r="Q190" i="1"/>
  <c r="Q189" i="1"/>
  <c r="R189" i="1" s="1"/>
  <c r="S189" i="1" s="1"/>
  <c r="O189" i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H189" i="1"/>
  <c r="H190" i="1" s="1"/>
  <c r="H191" i="1" s="1"/>
  <c r="H192" i="1" s="1"/>
  <c r="H193" i="1" s="1"/>
  <c r="H194" i="1" s="1"/>
  <c r="Q188" i="1"/>
  <c r="R188" i="1" s="1"/>
  <c r="S188" i="1" s="1"/>
  <c r="I188" i="1"/>
  <c r="Q187" i="1"/>
  <c r="R187" i="1" s="1"/>
  <c r="S187" i="1" s="1"/>
  <c r="O187" i="1"/>
  <c r="O188" i="1" s="1"/>
  <c r="R186" i="1"/>
  <c r="S186" i="1" s="1"/>
  <c r="Q186" i="1"/>
  <c r="I186" i="1"/>
  <c r="Q185" i="1"/>
  <c r="R185" i="1" s="1"/>
  <c r="S185" i="1" s="1"/>
  <c r="H185" i="1"/>
  <c r="H186" i="1" s="1"/>
  <c r="H187" i="1" s="1"/>
  <c r="H188" i="1" s="1"/>
  <c r="Y184" i="1"/>
  <c r="Y185" i="1" s="1"/>
  <c r="Y186" i="1" s="1"/>
  <c r="Y187" i="1" s="1"/>
  <c r="Y188" i="1" s="1"/>
  <c r="Y189" i="1" s="1"/>
  <c r="Y190" i="1" s="1"/>
  <c r="R184" i="1"/>
  <c r="S184" i="1" s="1"/>
  <c r="Q184" i="1"/>
  <c r="I184" i="1"/>
  <c r="H184" i="1"/>
  <c r="R183" i="1"/>
  <c r="S183" i="1" s="1"/>
  <c r="Q183" i="1"/>
  <c r="S182" i="1"/>
  <c r="R182" i="1"/>
  <c r="R181" i="1"/>
  <c r="S181" i="1" s="1"/>
  <c r="O181" i="1"/>
  <c r="S180" i="1"/>
  <c r="R180" i="1"/>
  <c r="R179" i="1"/>
  <c r="S179" i="1" s="1"/>
  <c r="O179" i="1"/>
  <c r="S178" i="1"/>
  <c r="R178" i="1"/>
  <c r="O178" i="1"/>
  <c r="R177" i="1"/>
  <c r="S177" i="1" s="1"/>
  <c r="R176" i="1"/>
  <c r="S176" i="1" s="1"/>
  <c r="R175" i="1"/>
  <c r="S175" i="1" s="1"/>
  <c r="O175" i="1"/>
  <c r="O176" i="1" s="1"/>
  <c r="S174" i="1"/>
  <c r="R174" i="1"/>
  <c r="R173" i="1"/>
  <c r="S173" i="1" s="1"/>
  <c r="R172" i="1"/>
  <c r="S172" i="1" s="1"/>
  <c r="R171" i="1"/>
  <c r="S171" i="1" s="1"/>
  <c r="S170" i="1"/>
  <c r="R170" i="1"/>
  <c r="R169" i="1"/>
  <c r="S169" i="1" s="1"/>
  <c r="R168" i="1"/>
  <c r="S168" i="1" s="1"/>
  <c r="S167" i="1"/>
  <c r="R167" i="1"/>
  <c r="R166" i="1"/>
  <c r="S166" i="1" s="1"/>
  <c r="S165" i="1"/>
  <c r="R165" i="1"/>
  <c r="R164" i="1"/>
  <c r="S164" i="1" s="1"/>
  <c r="R163" i="1"/>
  <c r="S163" i="1" s="1"/>
  <c r="S162" i="1"/>
  <c r="R162" i="1"/>
  <c r="O162" i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R161" i="1"/>
  <c r="S161" i="1" s="1"/>
  <c r="R160" i="1"/>
  <c r="S160" i="1" s="1"/>
  <c r="S159" i="1"/>
  <c r="R159" i="1"/>
  <c r="R158" i="1"/>
  <c r="S158" i="1" s="1"/>
  <c r="S157" i="1"/>
  <c r="R157" i="1"/>
  <c r="O157" i="1"/>
  <c r="O158" i="1" s="1"/>
  <c r="O159" i="1" s="1"/>
  <c r="O160" i="1" s="1"/>
  <c r="O161" i="1" s="1"/>
  <c r="S156" i="1"/>
  <c r="R156" i="1"/>
  <c r="S155" i="1"/>
  <c r="R155" i="1"/>
  <c r="R154" i="1"/>
  <c r="S154" i="1" s="1"/>
  <c r="R153" i="1"/>
  <c r="S153" i="1" s="1"/>
  <c r="R152" i="1"/>
  <c r="S152" i="1" s="1"/>
  <c r="S151" i="1"/>
  <c r="R151" i="1"/>
  <c r="R150" i="1"/>
  <c r="S150" i="1" s="1"/>
  <c r="O150" i="1"/>
  <c r="S149" i="1"/>
  <c r="R149" i="1"/>
  <c r="S148" i="1"/>
  <c r="R148" i="1"/>
  <c r="R147" i="1"/>
  <c r="S147" i="1" s="1"/>
  <c r="R146" i="1"/>
  <c r="S146" i="1" s="1"/>
  <c r="S145" i="1"/>
  <c r="R145" i="1"/>
  <c r="S144" i="1"/>
  <c r="R144" i="1"/>
  <c r="R143" i="1"/>
  <c r="S143" i="1" s="1"/>
  <c r="O143" i="1"/>
  <c r="O144" i="1" s="1"/>
  <c r="O145" i="1" s="1"/>
  <c r="O146" i="1" s="1"/>
  <c r="O147" i="1" s="1"/>
  <c r="O148" i="1" s="1"/>
  <c r="S142" i="1"/>
  <c r="R142" i="1"/>
  <c r="R141" i="1"/>
  <c r="S141" i="1" s="1"/>
  <c r="S140" i="1"/>
  <c r="R140" i="1"/>
  <c r="O140" i="1"/>
  <c r="O141" i="1" s="1"/>
  <c r="O142" i="1" s="1"/>
  <c r="R139" i="1"/>
  <c r="S139" i="1" s="1"/>
  <c r="S138" i="1"/>
  <c r="R138" i="1"/>
  <c r="R137" i="1"/>
  <c r="S137" i="1" s="1"/>
  <c r="R136" i="1"/>
  <c r="S136" i="1" s="1"/>
  <c r="R135" i="1"/>
  <c r="S135" i="1" s="1"/>
  <c r="R134" i="1"/>
  <c r="S134" i="1" s="1"/>
  <c r="O134" i="1"/>
  <c r="O135" i="1" s="1"/>
  <c r="S133" i="1"/>
  <c r="R133" i="1"/>
  <c r="R132" i="1"/>
  <c r="S132" i="1" s="1"/>
  <c r="R131" i="1"/>
  <c r="S131" i="1" s="1"/>
  <c r="R130" i="1"/>
  <c r="S130" i="1" s="1"/>
  <c r="R129" i="1"/>
  <c r="S129" i="1" s="1"/>
  <c r="O129" i="1"/>
  <c r="O130" i="1" s="1"/>
  <c r="R128" i="1"/>
  <c r="S128" i="1" s="1"/>
  <c r="O128" i="1"/>
  <c r="S127" i="1"/>
  <c r="R127" i="1"/>
  <c r="O127" i="1"/>
  <c r="R126" i="1"/>
  <c r="S126" i="1" s="1"/>
  <c r="R125" i="1"/>
  <c r="S125" i="1" s="1"/>
  <c r="S124" i="1"/>
  <c r="R124" i="1"/>
  <c r="R123" i="1"/>
  <c r="S123" i="1" s="1"/>
  <c r="R122" i="1"/>
  <c r="S122" i="1" s="1"/>
  <c r="O122" i="1"/>
  <c r="O123" i="1" s="1"/>
  <c r="O124" i="1" s="1"/>
  <c r="O125" i="1" s="1"/>
  <c r="S121" i="1"/>
  <c r="R121" i="1"/>
  <c r="S120" i="1"/>
  <c r="R120" i="1"/>
  <c r="O120" i="1"/>
  <c r="O121" i="1" s="1"/>
  <c r="R119" i="1"/>
  <c r="S119" i="1" s="1"/>
  <c r="R118" i="1"/>
  <c r="S118" i="1" s="1"/>
  <c r="S117" i="1"/>
  <c r="R117" i="1"/>
  <c r="O117" i="1"/>
  <c r="O118" i="1" s="1"/>
  <c r="R116" i="1"/>
  <c r="S116" i="1" s="1"/>
  <c r="S115" i="1"/>
  <c r="R115" i="1"/>
  <c r="S114" i="1"/>
  <c r="R114" i="1"/>
  <c r="R113" i="1"/>
  <c r="S113" i="1" s="1"/>
  <c r="O113" i="1"/>
  <c r="O114" i="1" s="1"/>
  <c r="O115" i="1" s="1"/>
  <c r="O116" i="1" s="1"/>
  <c r="R112" i="1"/>
  <c r="S112" i="1" s="1"/>
  <c r="O112" i="1"/>
  <c r="S111" i="1"/>
  <c r="R111" i="1"/>
  <c r="R110" i="1"/>
  <c r="S110" i="1" s="1"/>
  <c r="S109" i="1"/>
  <c r="R109" i="1"/>
  <c r="R108" i="1"/>
  <c r="S108" i="1" s="1"/>
  <c r="O108" i="1"/>
  <c r="R107" i="1"/>
  <c r="S107" i="1" s="1"/>
  <c r="S106" i="1"/>
  <c r="R106" i="1"/>
  <c r="S105" i="1"/>
  <c r="R105" i="1"/>
  <c r="R104" i="1"/>
  <c r="S104" i="1" s="1"/>
  <c r="O104" i="1"/>
  <c r="R103" i="1"/>
  <c r="S103" i="1" s="1"/>
  <c r="R102" i="1"/>
  <c r="S102" i="1" s="1"/>
  <c r="R101" i="1"/>
  <c r="S101" i="1" s="1"/>
  <c r="O101" i="1"/>
  <c r="R100" i="1"/>
  <c r="S100" i="1" s="1"/>
  <c r="R99" i="1"/>
  <c r="S99" i="1" s="1"/>
  <c r="R98" i="1"/>
  <c r="S98" i="1" s="1"/>
  <c r="O98" i="1"/>
  <c r="R97" i="1"/>
  <c r="S97" i="1" s="1"/>
  <c r="O97" i="1"/>
  <c r="Y96" i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Z92" i="1" s="1"/>
  <c r="Z94" i="1" s="1"/>
  <c r="R96" i="1"/>
  <c r="S96" i="1" s="1"/>
  <c r="I96" i="1"/>
  <c r="S95" i="1"/>
  <c r="R95" i="1"/>
  <c r="S94" i="1"/>
  <c r="R94" i="1"/>
  <c r="I94" i="1"/>
  <c r="S93" i="1"/>
  <c r="R93" i="1"/>
  <c r="Y92" i="1"/>
  <c r="Y93" i="1" s="1"/>
  <c r="Y94" i="1" s="1"/>
  <c r="Y95" i="1" s="1"/>
  <c r="S92" i="1"/>
  <c r="R92" i="1"/>
  <c r="I92" i="1"/>
  <c r="R91" i="1"/>
  <c r="S91" i="1" s="1"/>
  <c r="Q90" i="1"/>
  <c r="R90" i="1" s="1"/>
  <c r="S90" i="1" s="1"/>
  <c r="O90" i="1"/>
  <c r="O91" i="1" s="1"/>
  <c r="O92" i="1" s="1"/>
  <c r="O93" i="1" s="1"/>
  <c r="O94" i="1" s="1"/>
  <c r="O95" i="1" s="1"/>
  <c r="S89" i="1"/>
  <c r="R89" i="1"/>
  <c r="Q89" i="1"/>
  <c r="Q88" i="1"/>
  <c r="R88" i="1" s="1"/>
  <c r="S88" i="1" s="1"/>
  <c r="S87" i="1"/>
  <c r="Q87" i="1"/>
  <c r="R87" i="1" s="1"/>
  <c r="S86" i="1"/>
  <c r="R86" i="1"/>
  <c r="Q86" i="1"/>
  <c r="Q85" i="1"/>
  <c r="R85" i="1" s="1"/>
  <c r="S85" i="1" s="1"/>
  <c r="S84" i="1"/>
  <c r="Q84" i="1"/>
  <c r="R84" i="1" s="1"/>
  <c r="S83" i="1"/>
  <c r="R83" i="1"/>
  <c r="Q83" i="1"/>
  <c r="O83" i="1"/>
  <c r="O84" i="1" s="1"/>
  <c r="O85" i="1" s="1"/>
  <c r="O86" i="1" s="1"/>
  <c r="O87" i="1" s="1"/>
  <c r="R82" i="1"/>
  <c r="S82" i="1" s="1"/>
  <c r="Q82" i="1"/>
  <c r="Q81" i="1"/>
  <c r="R81" i="1" s="1"/>
  <c r="S81" i="1" s="1"/>
  <c r="O81" i="1"/>
  <c r="O82" i="1" s="1"/>
  <c r="Q80" i="1"/>
  <c r="R80" i="1" s="1"/>
  <c r="S80" i="1" s="1"/>
  <c r="O80" i="1"/>
  <c r="S79" i="1"/>
  <c r="Q79" i="1"/>
  <c r="R79" i="1" s="1"/>
  <c r="R78" i="1"/>
  <c r="S78" i="1" s="1"/>
  <c r="Q78" i="1"/>
  <c r="R77" i="1"/>
  <c r="S77" i="1" s="1"/>
  <c r="Q77" i="1"/>
  <c r="Q76" i="1"/>
  <c r="R76" i="1" s="1"/>
  <c r="S76" i="1" s="1"/>
  <c r="Q75" i="1"/>
  <c r="R75" i="1" s="1"/>
  <c r="S75" i="1" s="1"/>
  <c r="O75" i="1"/>
  <c r="S74" i="1"/>
  <c r="R74" i="1"/>
  <c r="Q74" i="1"/>
  <c r="S73" i="1"/>
  <c r="Q73" i="1"/>
  <c r="R73" i="1" s="1"/>
  <c r="Q72" i="1"/>
  <c r="R72" i="1" s="1"/>
  <c r="S72" i="1" s="1"/>
  <c r="Q71" i="1"/>
  <c r="R71" i="1" s="1"/>
  <c r="S71" i="1" s="1"/>
  <c r="R70" i="1"/>
  <c r="S70" i="1" s="1"/>
  <c r="Q70" i="1"/>
  <c r="O70" i="1"/>
  <c r="R69" i="1"/>
  <c r="S69" i="1" s="1"/>
  <c r="Q69" i="1"/>
  <c r="R68" i="1"/>
  <c r="S68" i="1" s="1"/>
  <c r="Q68" i="1"/>
  <c r="O68" i="1"/>
  <c r="Q67" i="1"/>
  <c r="R67" i="1" s="1"/>
  <c r="S67" i="1" s="1"/>
  <c r="Q66" i="1"/>
  <c r="R66" i="1" s="1"/>
  <c r="S66" i="1" s="1"/>
  <c r="R65" i="1"/>
  <c r="S65" i="1" s="1"/>
  <c r="Q65" i="1"/>
  <c r="Q64" i="1"/>
  <c r="R64" i="1" s="1"/>
  <c r="S64" i="1" s="1"/>
  <c r="S63" i="1"/>
  <c r="R63" i="1"/>
  <c r="Q63" i="1"/>
  <c r="Q62" i="1"/>
  <c r="R62" i="1" s="1"/>
  <c r="S62" i="1" s="1"/>
  <c r="Q61" i="1"/>
  <c r="R61" i="1" s="1"/>
  <c r="S61" i="1" s="1"/>
  <c r="R60" i="1"/>
  <c r="S60" i="1" s="1"/>
  <c r="Q60" i="1"/>
  <c r="Q59" i="1"/>
  <c r="R59" i="1" s="1"/>
  <c r="S59" i="1" s="1"/>
  <c r="R58" i="1"/>
  <c r="S58" i="1" s="1"/>
  <c r="Q58" i="1"/>
  <c r="R57" i="1"/>
  <c r="S57" i="1" s="1"/>
  <c r="Q57" i="1"/>
  <c r="Q56" i="1"/>
  <c r="R56" i="1" s="1"/>
  <c r="S56" i="1" s="1"/>
  <c r="R55" i="1"/>
  <c r="S55" i="1" s="1"/>
  <c r="Q55" i="1"/>
  <c r="Q54" i="1"/>
  <c r="R54" i="1" s="1"/>
  <c r="S54" i="1" s="1"/>
  <c r="Q53" i="1"/>
  <c r="R53" i="1" s="1"/>
  <c r="S53" i="1" s="1"/>
  <c r="R52" i="1"/>
  <c r="S52" i="1" s="1"/>
  <c r="Q52" i="1"/>
  <c r="S51" i="1"/>
  <c r="Q51" i="1"/>
  <c r="R51" i="1" s="1"/>
  <c r="S50" i="1"/>
  <c r="R50" i="1"/>
  <c r="Q50" i="1"/>
  <c r="Q49" i="1"/>
  <c r="R49" i="1" s="1"/>
  <c r="S49" i="1" s="1"/>
  <c r="Q48" i="1"/>
  <c r="R48" i="1" s="1"/>
  <c r="S48" i="1" s="1"/>
  <c r="R47" i="1"/>
  <c r="S47" i="1" s="1"/>
  <c r="Q47" i="1"/>
  <c r="S46" i="1"/>
  <c r="R46" i="1"/>
  <c r="Q46" i="1"/>
  <c r="Q45" i="1"/>
  <c r="R45" i="1" s="1"/>
  <c r="S45" i="1" s="1"/>
  <c r="Q44" i="1"/>
  <c r="R44" i="1" s="1"/>
  <c r="S44" i="1" s="1"/>
  <c r="S43" i="1"/>
  <c r="Q43" i="1"/>
  <c r="R43" i="1" s="1"/>
  <c r="S42" i="1"/>
  <c r="R42" i="1"/>
  <c r="Q42" i="1"/>
  <c r="R41" i="1"/>
  <c r="S41" i="1" s="1"/>
  <c r="Q41" i="1"/>
  <c r="S40" i="1"/>
  <c r="Q40" i="1"/>
  <c r="R40" i="1" s="1"/>
  <c r="R39" i="1"/>
  <c r="S39" i="1" s="1"/>
  <c r="Q39" i="1"/>
  <c r="S38" i="1"/>
  <c r="R38" i="1"/>
  <c r="Q38" i="1"/>
  <c r="Q37" i="1"/>
  <c r="R37" i="1" s="1"/>
  <c r="S37" i="1" s="1"/>
  <c r="Q36" i="1"/>
  <c r="R36" i="1" s="1"/>
  <c r="S36" i="1" s="1"/>
  <c r="Q35" i="1"/>
  <c r="R35" i="1" s="1"/>
  <c r="S35" i="1" s="1"/>
  <c r="S34" i="1"/>
  <c r="R34" i="1"/>
  <c r="Q34" i="1"/>
  <c r="R33" i="1"/>
  <c r="S33" i="1" s="1"/>
  <c r="Q33" i="1"/>
  <c r="Q32" i="1"/>
  <c r="R32" i="1" s="1"/>
  <c r="S32" i="1" s="1"/>
  <c r="Q31" i="1"/>
  <c r="R31" i="1" s="1"/>
  <c r="S31" i="1" s="1"/>
  <c r="S30" i="1"/>
  <c r="R30" i="1"/>
  <c r="Q30" i="1"/>
  <c r="R29" i="1"/>
  <c r="S29" i="1" s="1"/>
  <c r="Q29" i="1"/>
  <c r="Q28" i="1"/>
  <c r="R28" i="1" s="1"/>
  <c r="S28" i="1" s="1"/>
  <c r="Q27" i="1"/>
  <c r="R27" i="1" s="1"/>
  <c r="S27" i="1" s="1"/>
  <c r="S26" i="1"/>
  <c r="R26" i="1"/>
  <c r="Q26" i="1"/>
  <c r="S25" i="1"/>
  <c r="R25" i="1"/>
  <c r="Q25" i="1"/>
  <c r="R24" i="1"/>
  <c r="S24" i="1" s="1"/>
  <c r="Q24" i="1"/>
  <c r="Q23" i="1"/>
  <c r="R23" i="1" s="1"/>
  <c r="S23" i="1" s="1"/>
  <c r="O23" i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S22" i="1"/>
  <c r="R22" i="1"/>
  <c r="Q22" i="1"/>
  <c r="O22" i="1"/>
  <c r="R21" i="1"/>
  <c r="S21" i="1" s="1"/>
  <c r="Q21" i="1"/>
  <c r="Q20" i="1"/>
  <c r="R20" i="1" s="1"/>
  <c r="S20" i="1" s="1"/>
  <c r="T19" i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Q19" i="1"/>
  <c r="R19" i="1" s="1"/>
  <c r="S19" i="1" s="1"/>
  <c r="O19" i="1"/>
  <c r="O20" i="1" s="1"/>
  <c r="O21" i="1" s="1"/>
  <c r="R18" i="1"/>
  <c r="S18" i="1" s="1"/>
  <c r="Q18" i="1"/>
  <c r="Q17" i="1"/>
  <c r="R17" i="1" s="1"/>
  <c r="S17" i="1" s="1"/>
  <c r="R16" i="1"/>
  <c r="S16" i="1" s="1"/>
  <c r="Q16" i="1"/>
  <c r="Q15" i="1"/>
  <c r="R15" i="1" s="1"/>
  <c r="S15" i="1" s="1"/>
  <c r="S14" i="1"/>
  <c r="R14" i="1"/>
  <c r="Q14" i="1"/>
  <c r="R13" i="1"/>
  <c r="S13" i="1" s="1"/>
  <c r="M13" i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R12" i="1"/>
  <c r="S12" i="1" s="1"/>
  <c r="S11" i="1"/>
  <c r="R11" i="1"/>
  <c r="S10" i="1"/>
  <c r="R10" i="1"/>
  <c r="M10" i="1"/>
  <c r="M11" i="1" s="1"/>
  <c r="M12" i="1" s="1"/>
  <c r="R9" i="1"/>
  <c r="S9" i="1" s="1"/>
  <c r="S8" i="1"/>
  <c r="R8" i="1"/>
  <c r="K8" i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Z7" i="1"/>
  <c r="Z9" i="1" s="1"/>
  <c r="S7" i="1"/>
  <c r="R7" i="1"/>
  <c r="K7" i="1"/>
  <c r="S6" i="1"/>
  <c r="R6" i="1"/>
  <c r="O8" i="1"/>
  <c r="M6" i="1"/>
  <c r="M7" i="1" s="1"/>
  <c r="M8" i="1" s="1"/>
  <c r="M9" i="1" s="1"/>
  <c r="K6" i="1"/>
  <c r="T32" i="1" l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289" i="1"/>
  <c r="T8" i="1" l="1"/>
  <c r="T92" i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290" i="1"/>
  <c r="T9" i="1" l="1"/>
  <c r="U292" i="1"/>
  <c r="T291" i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U102" i="1"/>
  <c r="U194" i="1"/>
  <c r="T184" i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U98" i="1"/>
  <c r="T10" i="1" l="1"/>
  <c r="T11" i="1" s="1"/>
  <c r="T12" i="1" s="1"/>
  <c r="T13" i="1" s="1"/>
  <c r="T14" i="1" s="1"/>
  <c r="T15" i="1" s="1"/>
  <c r="T16" i="1" s="1"/>
  <c r="T225" i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U190" i="1"/>
  <c r="U294" i="1"/>
  <c r="U15" i="1" l="1"/>
  <c r="U17" i="1"/>
  <c r="T246" i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U233" i="1"/>
  <c r="U235" i="1"/>
  <c r="U254" i="1" l="1"/>
  <c r="T267" i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U256" i="1"/>
  <c r="U277" i="1" l="1"/>
</calcChain>
</file>

<file path=xl/sharedStrings.xml><?xml version="1.0" encoding="utf-8"?>
<sst xmlns="http://schemas.openxmlformats.org/spreadsheetml/2006/main" count="171" uniqueCount="68">
  <si>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</si>
  <si>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</si>
  <si>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</si>
  <si>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</si>
  <si>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</si>
  <si>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</si>
  <si>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</si>
  <si>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</si>
  <si>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</si>
  <si>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</si>
  <si>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</si>
  <si>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</t>
  </si>
  <si>
    <t>Cumul_P</t>
  </si>
  <si>
    <t>ETP_Q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</si>
  <si>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</si>
  <si>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</si>
  <si>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</si>
  <si>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</si>
  <si>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</si>
  <si>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</si>
  <si>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</si>
  <si>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</si>
  <si>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</si>
  <si>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</si>
  <si>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 RG</t>
  </si>
  <si>
    <t>SEMIS TI15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</si>
  <si>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</si>
  <si>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</si>
  <si>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</si>
  <si>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</si>
  <si>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</si>
  <si>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</si>
  <si>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</si>
  <si>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</si>
  <si>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</si>
  <si>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</si>
  <si>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</si>
  <si>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</si>
  <si>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</si>
  <si>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</si>
  <si>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</si>
  <si>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</si>
  <si>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</si>
  <si>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</si>
  <si>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</si>
  <si>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C1</t>
  </si>
  <si>
    <t>MONTAISON</t>
  </si>
  <si>
    <t>Montego</t>
  </si>
  <si>
    <t>Aviso</t>
  </si>
  <si>
    <t>Fin FLO</t>
  </si>
  <si>
    <t>RECOLTE TI15</t>
  </si>
  <si>
    <t>N1_30 N2_60</t>
  </si>
  <si>
    <t>N1_30 N2_80</t>
  </si>
  <si>
    <t>WSC_I</t>
  </si>
  <si>
    <t>BI</t>
  </si>
  <si>
    <t>DRF</t>
  </si>
  <si>
    <t>TS</t>
  </si>
  <si>
    <t>IRF</t>
  </si>
  <si>
    <t>WSC_I1</t>
  </si>
  <si>
    <t>BI1</t>
  </si>
  <si>
    <t>DRF1</t>
  </si>
  <si>
    <t>TS1</t>
  </si>
  <si>
    <t>IRF1</t>
  </si>
  <si>
    <t>WSC_I2</t>
  </si>
  <si>
    <t>BI2</t>
  </si>
  <si>
    <t>DRF2</t>
  </si>
  <si>
    <t>TS2</t>
  </si>
  <si>
    <t>IRF2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</si>
</sst>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i/>
      <u/>
      <sz val="11"/>
      <color rgb="FFFFC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lightGray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/>
    <xf numFmtId="0" fontId="2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4" fontId="0" fillId="4" borderId="0" xfId="0" applyNumberFormat="1" applyFill="1"/>
    <xf numFmtId="0" fontId="2" fillId="3" borderId="0" xfId="0" applyFont="1" applyFill="1"/>
    <xf numFmtId="164" fontId="0" fillId="0" borderId="0" xfId="0" applyNumberFormat="1"/>
    <xf numFmtId="2" fontId="0" fillId="0" borderId="0" xfId="0" applyNumberFormat="1"/>
    <xf numFmtId="0" fontId="0" fillId="5" borderId="0" xfId="0" applyFill="1"/>
    <xf numFmtId="0" fontId="2" fillId="8" borderId="0" xfId="0" applyFont="1" applyFill="1" applyAlignment="1">
      <alignment horizontal="center" vertical="center"/>
    </xf>
    <xf numFmtId="0" fontId="2" fillId="7" borderId="0" xfId="0" applyFont="1" applyFill="1"/>
    <xf numFmtId="0" fontId="0" fillId="0" borderId="0" xfId="0" applyFill="1"/>
    <xf numFmtId="0" fontId="2" fillId="9" borderId="0" xfId="0" applyFont="1" applyFill="1"/>
    <xf numFmtId="0" fontId="1" fillId="0" borderId="0" xfId="0" applyFont="1" applyFill="1"/>
    <xf numFmtId="0" fontId="1" fillId="0" borderId="0" xfId="0" applyFont="1"/>
    <xf numFmtId="0" fontId="2" fillId="0" borderId="0" xfId="0" applyFont="1" applyFill="1"/>
    <xf numFmtId="0" fontId="2" fillId="10" borderId="0" xfId="0" applyFont="1" applyFill="1" applyAlignment="1">
      <alignment horizontal="center" vertical="center"/>
    </xf>
    <xf numFmtId="0" fontId="2" fillId="10" borderId="0" xfId="0" applyFont="1" applyFill="1"/>
    <xf numFmtId="0" fontId="5" fillId="0" borderId="0" xfId="0" applyFont="1" applyFill="1"/>
    <xf numFmtId="0" fontId="2" fillId="11" borderId="0" xfId="0" applyFont="1" applyFill="1"/>
    <xf numFmtId="164" fontId="0" fillId="0" borderId="0" xfId="0" applyNumberFormat="1" applyFill="1"/>
    <xf numFmtId="0" fontId="2" fillId="12" borderId="0" xfId="0" applyFont="1" applyFill="1"/>
    <xf numFmtId="0" fontId="2" fillId="13" borderId="0" xfId="0" applyFont="1" applyFill="1"/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Fill="1" applyBorder="1" applyAlignment="1">
      <alignment horizontal="center" vertical="center"/>
    </xf>
    <xf numFmtId="14" fontId="0" fillId="4" borderId="1" xfId="0" applyNumberFormat="1" applyFill="1" applyBorder="1"/>
    <xf numFmtId="0" fontId="0" fillId="0" borderId="1" xfId="0" applyBorder="1"/>
    <xf numFmtId="0" fontId="1" fillId="6" borderId="1" xfId="0" applyFont="1" applyFill="1" applyBorder="1"/>
    <xf numFmtId="164" fontId="0" fillId="0" borderId="1" xfId="0" applyNumberFormat="1" applyBorder="1"/>
    <xf numFmtId="0" fontId="0" fillId="5" borderId="1" xfId="0" applyFill="1" applyBorder="1"/>
    <xf numFmtId="0" fontId="4" fillId="0" borderId="1" xfId="0" applyFont="1" applyFill="1" applyBorder="1" applyAlignment="1">
      <alignment horizontal="center" vertical="center"/>
    </xf>
    <xf numFmtId="14" fontId="4" fillId="4" borderId="1" xfId="0" applyNumberFormat="1" applyFont="1" applyFill="1" applyBorder="1"/>
    <xf numFmtId="0" fontId="4" fillId="0" borderId="1" xfId="0" applyFont="1" applyBorder="1"/>
    <xf numFmtId="164" fontId="4" fillId="0" borderId="1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4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/>
    <xf numFmtId="2" fontId="0" fillId="0" borderId="0" xfId="0" applyNumberFormat="1" applyFill="1"/>
    <xf numFmtId="2" fontId="2" fillId="0" borderId="1" xfId="0" applyNumberFormat="1" applyFont="1" applyBorder="1"/>
    <xf numFmtId="0" fontId="4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13" borderId="0" xfId="0" applyFont="1" applyFill="1" applyAlignment="1">
      <alignment horizontal="center" vertical="center" textRotation="255"/>
    </xf>
    <xf numFmtId="0" fontId="6" fillId="1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 textRotation="255"/>
    </xf>
    <xf numFmtId="0" fontId="2" fillId="7" borderId="0" xfId="0" applyFont="1" applyFill="1" applyAlignment="1">
      <alignment horizontal="center" vertical="center" textRotation="255"/>
    </xf>
    <xf numFmtId="0" fontId="2" fillId="9" borderId="0" xfId="0" applyFont="1" applyFill="1" applyAlignment="1">
      <alignment horizontal="center" vertical="center" textRotation="255"/>
    </xf>
    <xf numFmtId="0" fontId="2" fillId="11" borderId="0" xfId="0" applyFont="1" applyFill="1" applyAlignment="1">
      <alignment horizontal="center" vertical="center" textRotation="255"/>
    </xf>
    <xf numFmtId="0" fontId="2" fillId="12" borderId="0" xfId="0" applyFont="1" applyFill="1" applyAlignment="1">
      <alignment horizontal="center" vertical="center" textRotation="255"/>
    </xf>
    <xf numFmtId="0" fontId="2" fillId="15" borderId="0" xfId="0" applyFont="1" applyFill="1" applyAlignment="1">
      <alignment horizontal="center" vertical="center"/>
    </xf>
    <xf numFmtId="14" fontId="0" fillId="15" borderId="0" xfId="0" applyNumberFormat="1" applyFill="1"/>
    <xf numFmtId="0" fontId="0" fillId="15" borderId="0" xfId="0" applyFill="1"/>
    <xf numFmtId="164" fontId="0" fillId="15" borderId="0" xfId="0" applyNumberFormat="1" applyFill="1"/>
    <xf numFmtId="0" fontId="2" fillId="15" borderId="0" xfId="0" applyFont="1" applyFill="1"/>
    <xf numFmtId="0" fontId="0" fillId="4" borderId="0" xfId="0" applyFill="1"/>
    <xf numFmtId="0" fontId="4" fillId="4" borderId="1" xfId="0" applyFont="1" applyFill="1" applyBorder="1"/>
    <xf numFmtId="164" fontId="0" fillId="4" borderId="0" xfId="0" applyNumberFormat="1" applyFill="1"/>
    <xf numFmtId="164" fontId="2" fillId="4" borderId="1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10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4"/>
  <sheetViews>
    <sheetView tabSelected="1" topLeftCell="C162" zoomScale="80" zoomScaleNormal="80" workbookViewId="0">
      <selection activeCell="AB195" sqref="AB195"/>
    </sheetView>
  </sheetViews>
  <sheetFormatPr baseColWidth="10" defaultRowHeight="15" x14ac:dyDescent="0.25"/>
  <sheetData>
    <row r="1" spans="1:27" x14ac:dyDescent="0.25">
      <c r="B1" s="1"/>
      <c r="D1" s="43" t="s">
        <v>0</v>
      </c>
      <c r="E1" s="43"/>
      <c r="F1" s="43"/>
      <c r="G1" s="43"/>
      <c r="H1" s="43"/>
      <c r="I1" s="43"/>
      <c r="J1" s="43" t="s">
        <v>1</v>
      </c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 t="s">
        <v>2</v>
      </c>
      <c r="W1" s="43"/>
      <c r="X1" s="43"/>
      <c r="Y1" s="43"/>
      <c r="Z1" s="43"/>
    </row>
    <row r="2" spans="1:27" x14ac:dyDescent="0.25">
      <c r="B2" s="1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7" x14ac:dyDescent="0.25">
      <c r="B3" s="1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43" t="s">
        <v>3</v>
      </c>
      <c r="Q3" s="43"/>
      <c r="R3" s="43"/>
      <c r="S3" s="43"/>
      <c r="T3" s="43"/>
      <c r="U3" s="2"/>
      <c r="V3" s="2"/>
      <c r="W3" s="2"/>
      <c r="X3" s="2"/>
      <c r="Y3" s="2"/>
      <c r="Z3" s="2"/>
    </row>
    <row r="4" spans="1:27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44" t="s">
        <v>9</v>
      </c>
      <c r="H4" s="44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44" t="s">
        <v>24</v>
      </c>
      <c r="Y4" s="44"/>
      <c r="Z4" t="s">
        <v>10</v>
      </c>
    </row>
    <row r="5" spans="1:27" x14ac:dyDescent="0.25">
      <c r="A5" s="47" t="s">
        <v>25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7" x14ac:dyDescent="0.25">
      <c r="A6" s="48" t="s">
        <v>26</v>
      </c>
      <c r="B6" s="3"/>
      <c r="C6" s="4">
        <v>41887</v>
      </c>
      <c r="D6">
        <v>19.100000000000001</v>
      </c>
      <c r="E6">
        <v>13.5</v>
      </c>
      <c r="F6">
        <v>24.4</v>
      </c>
      <c r="G6">
        <v>19.100000000000001</v>
      </c>
      <c r="I6" s="5" t="s">
        <v>27</v>
      </c>
      <c r="J6">
        <v>0</v>
      </c>
      <c r="K6">
        <f>J6</f>
        <v>0</v>
      </c>
      <c r="L6">
        <v>3.3</v>
      </c>
      <c r="M6">
        <f>L6</f>
        <v>3.3</v>
      </c>
      <c r="N6">
        <v>-3.3</v>
      </c>
      <c r="O6">
        <v>7.5</v>
      </c>
      <c r="P6">
        <v>1</v>
      </c>
      <c r="Q6">
        <v>0.35</v>
      </c>
      <c r="R6" s="6">
        <f t="shared" ref="R6:R69" si="0">Q6*L6</f>
        <v>1.1549999999999998</v>
      </c>
      <c r="S6" s="6">
        <f t="shared" ref="S6:S69" si="1">J6-R6</f>
        <v>-1.1549999999999998</v>
      </c>
      <c r="T6" s="6">
        <v>9.6</v>
      </c>
      <c r="U6" s="5" t="s">
        <v>28</v>
      </c>
      <c r="V6">
        <v>1889.3</v>
      </c>
      <c r="X6">
        <v>1889.3</v>
      </c>
      <c r="Z6" s="5" t="s">
        <v>29</v>
      </c>
      <c r="AA6">
        <v>13.2026057528435</v>
      </c>
    </row>
    <row r="7" spans="1:27" x14ac:dyDescent="0.25">
      <c r="A7" s="48"/>
      <c r="B7" s="3"/>
      <c r="C7" s="4">
        <v>41888</v>
      </c>
      <c r="D7">
        <v>19.600000000000001</v>
      </c>
      <c r="E7">
        <v>13.5</v>
      </c>
      <c r="F7">
        <v>25.8</v>
      </c>
      <c r="G7">
        <v>38.700000000000003</v>
      </c>
      <c r="I7">
        <v>0.7</v>
      </c>
      <c r="J7">
        <v>0</v>
      </c>
      <c r="K7">
        <f>K6+J7</f>
        <v>0</v>
      </c>
      <c r="L7">
        <v>2.5</v>
      </c>
      <c r="M7">
        <f>M6+L7</f>
        <v>5.8</v>
      </c>
      <c r="N7">
        <v>-2.5</v>
      </c>
      <c r="O7">
        <v>5</v>
      </c>
      <c r="P7">
        <v>2</v>
      </c>
      <c r="Q7">
        <v>0.35</v>
      </c>
      <c r="R7" s="6">
        <f t="shared" si="0"/>
        <v>0.875</v>
      </c>
      <c r="S7" s="6">
        <f t="shared" si="1"/>
        <v>-0.875</v>
      </c>
      <c r="T7" s="6">
        <v>8.8000000000000007</v>
      </c>
      <c r="U7">
        <v>48</v>
      </c>
      <c r="V7">
        <v>1424.1</v>
      </c>
      <c r="X7">
        <v>3313.3999999999996</v>
      </c>
      <c r="Z7">
        <f>X90</f>
        <v>61859.100000000006</v>
      </c>
      <c r="AA7">
        <v>13.147659323466501</v>
      </c>
    </row>
    <row r="8" spans="1:27" x14ac:dyDescent="0.25">
      <c r="A8" s="48"/>
      <c r="B8" s="3"/>
      <c r="C8" s="4">
        <v>41889</v>
      </c>
      <c r="D8">
        <v>19.8</v>
      </c>
      <c r="E8">
        <v>14.7</v>
      </c>
      <c r="F8">
        <v>25.9</v>
      </c>
      <c r="G8">
        <v>58.5</v>
      </c>
      <c r="I8" s="5" t="s">
        <v>30</v>
      </c>
      <c r="J8">
        <v>0</v>
      </c>
      <c r="K8">
        <f t="shared" ref="K8:K71" si="2">K7+J8</f>
        <v>0</v>
      </c>
      <c r="L8">
        <v>2.5</v>
      </c>
      <c r="M8">
        <f t="shared" ref="M8:M71" si="3">M7+L8</f>
        <v>8.3000000000000007</v>
      </c>
      <c r="N8">
        <v>-2.5</v>
      </c>
      <c r="O8">
        <f>O7+N8</f>
        <v>2.5</v>
      </c>
      <c r="P8">
        <v>3</v>
      </c>
      <c r="Q8">
        <v>0.35</v>
      </c>
      <c r="R8" s="6">
        <f t="shared" si="0"/>
        <v>0.875</v>
      </c>
      <c r="S8" s="6">
        <f t="shared" si="1"/>
        <v>-0.875</v>
      </c>
      <c r="T8" s="6">
        <f t="shared" ref="T8:T71" si="4">MIN(122.1,(T7+S8))</f>
        <v>7.9250000000000007</v>
      </c>
      <c r="U8" s="5" t="s">
        <v>31</v>
      </c>
      <c r="V8">
        <v>1352.8</v>
      </c>
      <c r="X8">
        <v>4666.2</v>
      </c>
      <c r="Z8" s="5" t="s">
        <v>32</v>
      </c>
      <c r="AA8">
        <v>13.0925908409129</v>
      </c>
    </row>
    <row r="9" spans="1:27" x14ac:dyDescent="0.25">
      <c r="A9" s="48"/>
      <c r="B9" s="3"/>
      <c r="C9" s="4">
        <v>41890</v>
      </c>
      <c r="D9">
        <v>20.399999999999999</v>
      </c>
      <c r="E9">
        <v>14.2</v>
      </c>
      <c r="F9">
        <v>25.9</v>
      </c>
      <c r="G9">
        <v>78.900000000000006</v>
      </c>
      <c r="I9">
        <v>25.9</v>
      </c>
      <c r="J9">
        <v>0</v>
      </c>
      <c r="K9">
        <f t="shared" si="2"/>
        <v>0</v>
      </c>
      <c r="L9">
        <v>3.5</v>
      </c>
      <c r="M9">
        <f t="shared" si="3"/>
        <v>11.8</v>
      </c>
      <c r="N9">
        <v>-3.5</v>
      </c>
      <c r="O9">
        <v>0</v>
      </c>
      <c r="P9">
        <v>4</v>
      </c>
      <c r="Q9">
        <v>0.35</v>
      </c>
      <c r="R9" s="6">
        <f t="shared" si="0"/>
        <v>1.2249999999999999</v>
      </c>
      <c r="S9" s="6">
        <f t="shared" si="1"/>
        <v>-1.2249999999999999</v>
      </c>
      <c r="T9" s="6">
        <f t="shared" si="4"/>
        <v>6.7000000000000011</v>
      </c>
      <c r="U9">
        <v>2</v>
      </c>
      <c r="V9">
        <v>1954.4</v>
      </c>
      <c r="X9">
        <v>6620.6</v>
      </c>
      <c r="Z9" s="7">
        <f>(Z7/100)/I19</f>
        <v>0.57113008955775091</v>
      </c>
      <c r="AA9">
        <v>13.0374076364789</v>
      </c>
    </row>
    <row r="10" spans="1:27" x14ac:dyDescent="0.25">
      <c r="A10" s="48"/>
      <c r="B10" s="3"/>
      <c r="C10" s="4">
        <v>41891</v>
      </c>
      <c r="D10">
        <v>20</v>
      </c>
      <c r="E10">
        <v>17</v>
      </c>
      <c r="F10">
        <v>24.9</v>
      </c>
      <c r="G10">
        <v>98.9</v>
      </c>
      <c r="I10" s="5" t="s">
        <v>33</v>
      </c>
      <c r="J10">
        <v>1.2</v>
      </c>
      <c r="K10">
        <f t="shared" si="2"/>
        <v>1.2</v>
      </c>
      <c r="L10">
        <v>2.6</v>
      </c>
      <c r="M10">
        <f t="shared" si="3"/>
        <v>14.4</v>
      </c>
      <c r="N10">
        <v>-1.4000000000000001</v>
      </c>
      <c r="O10">
        <v>0</v>
      </c>
      <c r="P10">
        <v>5</v>
      </c>
      <c r="Q10">
        <v>0.35</v>
      </c>
      <c r="R10" s="6">
        <f t="shared" si="0"/>
        <v>0.90999999999999992</v>
      </c>
      <c r="S10" s="6">
        <f t="shared" si="1"/>
        <v>0.29000000000000004</v>
      </c>
      <c r="T10" s="6">
        <f t="shared" si="4"/>
        <v>6.9900000000000011</v>
      </c>
      <c r="U10" s="5" t="s">
        <v>34</v>
      </c>
      <c r="V10">
        <v>1421.9</v>
      </c>
      <c r="X10">
        <v>8042.5</v>
      </c>
      <c r="Z10" s="5" t="s">
        <v>35</v>
      </c>
      <c r="AA10">
        <v>12.982116810246101</v>
      </c>
    </row>
    <row r="11" spans="1:27" x14ac:dyDescent="0.25">
      <c r="A11" s="48"/>
      <c r="B11" s="3"/>
      <c r="C11" s="4">
        <v>41892</v>
      </c>
      <c r="D11">
        <v>18.899999999999999</v>
      </c>
      <c r="E11">
        <v>16.5</v>
      </c>
      <c r="F11">
        <v>22.9</v>
      </c>
      <c r="G11">
        <v>117.80000000000001</v>
      </c>
      <c r="I11" s="6">
        <v>12.742352941176467</v>
      </c>
      <c r="J11">
        <v>0</v>
      </c>
      <c r="K11">
        <f t="shared" si="2"/>
        <v>1.2</v>
      </c>
      <c r="L11">
        <v>2.6</v>
      </c>
      <c r="M11">
        <f t="shared" si="3"/>
        <v>17</v>
      </c>
      <c r="N11">
        <v>-2.6</v>
      </c>
      <c r="O11">
        <v>0</v>
      </c>
      <c r="P11">
        <v>6</v>
      </c>
      <c r="Q11">
        <v>0.35</v>
      </c>
      <c r="R11" s="6">
        <f t="shared" si="0"/>
        <v>0.90999999999999992</v>
      </c>
      <c r="S11" s="6">
        <f t="shared" si="1"/>
        <v>-0.90999999999999992</v>
      </c>
      <c r="T11" s="6">
        <f t="shared" si="4"/>
        <v>6.080000000000001</v>
      </c>
      <c r="U11">
        <v>32</v>
      </c>
      <c r="V11">
        <v>995</v>
      </c>
      <c r="X11">
        <v>9037.5</v>
      </c>
      <c r="Z11">
        <v>57</v>
      </c>
      <c r="AA11">
        <v>12.926725245784001</v>
      </c>
    </row>
    <row r="12" spans="1:27" x14ac:dyDescent="0.25">
      <c r="A12" s="48"/>
      <c r="B12" s="3"/>
      <c r="C12" s="4">
        <v>41893</v>
      </c>
      <c r="D12">
        <v>15.7</v>
      </c>
      <c r="E12">
        <v>11.2</v>
      </c>
      <c r="F12">
        <v>20.3</v>
      </c>
      <c r="G12">
        <v>133.5</v>
      </c>
      <c r="I12" s="5" t="s">
        <v>36</v>
      </c>
      <c r="J12">
        <v>0</v>
      </c>
      <c r="K12">
        <f t="shared" si="2"/>
        <v>1.2</v>
      </c>
      <c r="L12">
        <v>3.4</v>
      </c>
      <c r="M12">
        <f t="shared" si="3"/>
        <v>20.399999999999999</v>
      </c>
      <c r="N12">
        <v>-3.4</v>
      </c>
      <c r="O12">
        <v>0</v>
      </c>
      <c r="P12">
        <v>7</v>
      </c>
      <c r="Q12">
        <v>0.35</v>
      </c>
      <c r="R12" s="6">
        <f t="shared" si="0"/>
        <v>1.19</v>
      </c>
      <c r="S12" s="6">
        <f t="shared" si="1"/>
        <v>-1.19</v>
      </c>
      <c r="T12" s="6">
        <f t="shared" si="4"/>
        <v>4.8900000000000006</v>
      </c>
      <c r="U12" s="5" t="s">
        <v>37</v>
      </c>
      <c r="V12">
        <v>1800.7</v>
      </c>
      <c r="X12">
        <v>10838.2</v>
      </c>
      <c r="AA12">
        <v>12.8712396249491</v>
      </c>
    </row>
    <row r="13" spans="1:27" x14ac:dyDescent="0.25">
      <c r="A13" s="48"/>
      <c r="B13" s="3"/>
      <c r="C13" s="4">
        <v>41894</v>
      </c>
      <c r="D13">
        <v>15.2</v>
      </c>
      <c r="E13">
        <v>10.4</v>
      </c>
      <c r="F13">
        <v>19.2</v>
      </c>
      <c r="G13">
        <v>148.69999999999999</v>
      </c>
      <c r="I13">
        <v>0</v>
      </c>
      <c r="J13">
        <v>0</v>
      </c>
      <c r="K13">
        <f t="shared" si="2"/>
        <v>1.2</v>
      </c>
      <c r="L13">
        <v>3.1</v>
      </c>
      <c r="M13">
        <f t="shared" si="3"/>
        <v>23.5</v>
      </c>
      <c r="N13">
        <v>-3.1</v>
      </c>
      <c r="O13">
        <v>0</v>
      </c>
      <c r="P13">
        <v>8</v>
      </c>
      <c r="Q13">
        <v>0.35</v>
      </c>
      <c r="R13" s="6">
        <f t="shared" si="0"/>
        <v>1.085</v>
      </c>
      <c r="S13" s="6">
        <f t="shared" si="1"/>
        <v>-1.085</v>
      </c>
      <c r="T13" s="6">
        <f t="shared" si="4"/>
        <v>3.8050000000000006</v>
      </c>
      <c r="U13" s="6">
        <v>0</v>
      </c>
      <c r="V13">
        <v>1715.7</v>
      </c>
      <c r="X13">
        <v>12553.900000000001</v>
      </c>
      <c r="AA13">
        <v>12.815666442770899</v>
      </c>
    </row>
    <row r="14" spans="1:27" x14ac:dyDescent="0.25">
      <c r="A14" s="48"/>
      <c r="B14" s="3"/>
      <c r="C14" s="4">
        <v>41895</v>
      </c>
      <c r="D14">
        <v>17.899999999999999</v>
      </c>
      <c r="E14">
        <v>14.4</v>
      </c>
      <c r="F14">
        <v>21.5</v>
      </c>
      <c r="G14">
        <v>166.6</v>
      </c>
      <c r="I14" s="5" t="s">
        <v>38</v>
      </c>
      <c r="J14">
        <v>0</v>
      </c>
      <c r="K14">
        <f t="shared" si="2"/>
        <v>1.2</v>
      </c>
      <c r="L14">
        <v>2.5</v>
      </c>
      <c r="M14">
        <f t="shared" si="3"/>
        <v>26</v>
      </c>
      <c r="N14">
        <v>-2.5</v>
      </c>
      <c r="O14">
        <v>0</v>
      </c>
      <c r="P14">
        <v>9</v>
      </c>
      <c r="Q14">
        <f>0.35+((P14-8)/77)*(1-0.35)</f>
        <v>0.35844155844155839</v>
      </c>
      <c r="R14" s="6">
        <f t="shared" si="0"/>
        <v>0.89610389610389596</v>
      </c>
      <c r="S14" s="6">
        <f t="shared" si="1"/>
        <v>-0.89610389610389596</v>
      </c>
      <c r="T14" s="6">
        <f t="shared" si="4"/>
        <v>2.9088961038961045</v>
      </c>
      <c r="U14" s="5" t="s">
        <v>39</v>
      </c>
      <c r="V14">
        <v>880</v>
      </c>
      <c r="X14">
        <v>13433.900000000001</v>
      </c>
      <c r="AA14">
        <v>12.760012022418</v>
      </c>
    </row>
    <row r="15" spans="1:27" x14ac:dyDescent="0.25">
      <c r="A15" s="48"/>
      <c r="B15" s="3"/>
      <c r="C15" s="4">
        <v>41896</v>
      </c>
      <c r="D15">
        <v>17.100000000000001</v>
      </c>
      <c r="E15">
        <v>13.9</v>
      </c>
      <c r="F15">
        <v>21.5</v>
      </c>
      <c r="G15">
        <v>183.7</v>
      </c>
      <c r="I15">
        <v>6</v>
      </c>
      <c r="J15">
        <v>0</v>
      </c>
      <c r="K15">
        <f t="shared" si="2"/>
        <v>1.2</v>
      </c>
      <c r="L15">
        <v>2.5</v>
      </c>
      <c r="M15">
        <f t="shared" si="3"/>
        <v>28.5</v>
      </c>
      <c r="N15">
        <v>-2.5</v>
      </c>
      <c r="O15">
        <v>0</v>
      </c>
      <c r="P15">
        <v>10</v>
      </c>
      <c r="Q15">
        <f t="shared" ref="Q15:Q78" si="5">0.35+((P15-8)/77)*(1-0.35)</f>
        <v>0.36688311688311687</v>
      </c>
      <c r="R15" s="6">
        <f t="shared" si="0"/>
        <v>0.91720779220779214</v>
      </c>
      <c r="S15" s="6">
        <f t="shared" si="1"/>
        <v>-0.91720779220779214</v>
      </c>
      <c r="T15" s="6">
        <f t="shared" si="4"/>
        <v>1.9916883116883124</v>
      </c>
      <c r="U15" s="6">
        <f>MAX(T6:T90)</f>
        <v>122.1</v>
      </c>
      <c r="V15">
        <v>1048.5</v>
      </c>
      <c r="X15">
        <v>14482.400000000001</v>
      </c>
      <c r="AA15">
        <v>12.7042825302381</v>
      </c>
    </row>
    <row r="16" spans="1:27" x14ac:dyDescent="0.25">
      <c r="A16" s="48"/>
      <c r="B16" s="3"/>
      <c r="C16" s="4">
        <v>41897</v>
      </c>
      <c r="D16">
        <v>17.3</v>
      </c>
      <c r="E16">
        <v>11.7</v>
      </c>
      <c r="F16">
        <v>23.5</v>
      </c>
      <c r="G16">
        <v>201</v>
      </c>
      <c r="I16" s="5" t="s">
        <v>40</v>
      </c>
      <c r="J16">
        <v>0</v>
      </c>
      <c r="K16">
        <f t="shared" si="2"/>
        <v>1.2</v>
      </c>
      <c r="L16">
        <v>2.6</v>
      </c>
      <c r="M16">
        <f t="shared" si="3"/>
        <v>31.1</v>
      </c>
      <c r="N16">
        <v>-2.6</v>
      </c>
      <c r="O16">
        <v>0</v>
      </c>
      <c r="P16">
        <v>11</v>
      </c>
      <c r="Q16">
        <f t="shared" si="5"/>
        <v>0.37532467532467528</v>
      </c>
      <c r="R16" s="6">
        <f t="shared" si="0"/>
        <v>0.97584415584415574</v>
      </c>
      <c r="S16" s="6">
        <f t="shared" si="1"/>
        <v>-0.97584415584415574</v>
      </c>
      <c r="T16" s="6">
        <f t="shared" si="4"/>
        <v>1.0158441558441567</v>
      </c>
      <c r="U16" s="5" t="s">
        <v>41</v>
      </c>
      <c r="V16">
        <v>1670.8</v>
      </c>
      <c r="X16">
        <v>16153.2</v>
      </c>
      <c r="AA16">
        <v>12.648483990867801</v>
      </c>
    </row>
    <row r="17" spans="1:27" x14ac:dyDescent="0.25">
      <c r="A17" s="48"/>
      <c r="B17" s="3"/>
      <c r="C17" s="4">
        <v>41898</v>
      </c>
      <c r="D17">
        <v>18</v>
      </c>
      <c r="E17">
        <v>11.6</v>
      </c>
      <c r="F17">
        <v>25.3</v>
      </c>
      <c r="G17">
        <v>219</v>
      </c>
      <c r="I17">
        <v>10</v>
      </c>
      <c r="J17">
        <v>0</v>
      </c>
      <c r="K17">
        <f t="shared" si="2"/>
        <v>1.2</v>
      </c>
      <c r="L17">
        <v>3.4</v>
      </c>
      <c r="M17">
        <f t="shared" si="3"/>
        <v>34.5</v>
      </c>
      <c r="N17">
        <v>-3.4</v>
      </c>
      <c r="O17">
        <v>0</v>
      </c>
      <c r="P17">
        <v>12</v>
      </c>
      <c r="Q17">
        <f t="shared" si="5"/>
        <v>0.38376623376623376</v>
      </c>
      <c r="R17" s="6">
        <f t="shared" si="0"/>
        <v>1.3048051948051946</v>
      </c>
      <c r="S17" s="6">
        <f t="shared" si="1"/>
        <v>-1.3048051948051946</v>
      </c>
      <c r="T17" s="6">
        <v>0</v>
      </c>
      <c r="U17" s="7">
        <f>AVERAGE(T6:T90)</f>
        <v>68.109139801375136</v>
      </c>
      <c r="V17">
        <v>1834.7</v>
      </c>
      <c r="X17">
        <v>17987.900000000001</v>
      </c>
      <c r="AA17">
        <v>12.592622302409101</v>
      </c>
    </row>
    <row r="18" spans="1:27" x14ac:dyDescent="0.25">
      <c r="A18" s="48"/>
      <c r="B18" s="3"/>
      <c r="C18" s="4">
        <v>41899</v>
      </c>
      <c r="D18">
        <v>19.7</v>
      </c>
      <c r="E18">
        <v>13.8</v>
      </c>
      <c r="F18">
        <v>25.6</v>
      </c>
      <c r="G18">
        <v>238.7</v>
      </c>
      <c r="I18" s="5" t="s">
        <v>42</v>
      </c>
      <c r="J18">
        <v>0</v>
      </c>
      <c r="K18">
        <f t="shared" si="2"/>
        <v>1.2</v>
      </c>
      <c r="L18">
        <v>1.9</v>
      </c>
      <c r="M18">
        <f t="shared" si="3"/>
        <v>36.4</v>
      </c>
      <c r="N18">
        <v>-1.9</v>
      </c>
      <c r="O18">
        <v>0</v>
      </c>
      <c r="P18">
        <v>13</v>
      </c>
      <c r="Q18">
        <f t="shared" si="5"/>
        <v>0.39220779220779217</v>
      </c>
      <c r="R18" s="6">
        <f t="shared" si="0"/>
        <v>0.74519480519480508</v>
      </c>
      <c r="S18" s="6">
        <f t="shared" si="1"/>
        <v>-0.74519480519480508</v>
      </c>
      <c r="T18" s="6">
        <v>0</v>
      </c>
      <c r="V18">
        <v>1015.4</v>
      </c>
      <c r="X18">
        <v>19003.300000000003</v>
      </c>
      <c r="AA18">
        <v>12.5367032516716</v>
      </c>
    </row>
    <row r="19" spans="1:27" x14ac:dyDescent="0.25">
      <c r="A19" s="48"/>
      <c r="B19" s="3"/>
      <c r="C19" s="4">
        <v>41900</v>
      </c>
      <c r="D19">
        <v>19.600000000000001</v>
      </c>
      <c r="E19">
        <v>15</v>
      </c>
      <c r="F19">
        <v>25.3</v>
      </c>
      <c r="G19">
        <v>258.3</v>
      </c>
      <c r="I19">
        <v>1083.0999999999999</v>
      </c>
      <c r="J19">
        <v>8.1</v>
      </c>
      <c r="K19">
        <f t="shared" si="2"/>
        <v>9.2999999999999989</v>
      </c>
      <c r="L19">
        <v>2.6</v>
      </c>
      <c r="M19">
        <f t="shared" si="3"/>
        <v>39</v>
      </c>
      <c r="N19">
        <v>5.5</v>
      </c>
      <c r="O19">
        <f t="shared" ref="O19:O64" si="6">O18+N19</f>
        <v>5.5</v>
      </c>
      <c r="P19">
        <v>14</v>
      </c>
      <c r="Q19">
        <f t="shared" si="5"/>
        <v>0.40064935064935064</v>
      </c>
      <c r="R19" s="6">
        <f t="shared" si="0"/>
        <v>1.0416883116883118</v>
      </c>
      <c r="S19" s="6">
        <f t="shared" si="1"/>
        <v>7.0583116883116883</v>
      </c>
      <c r="T19" s="6">
        <f t="shared" si="4"/>
        <v>7.0583116883116883</v>
      </c>
      <c r="U19">
        <f>(U17*100)/122.1</f>
        <v>55.781441278767517</v>
      </c>
      <c r="V19">
        <v>1203.8</v>
      </c>
      <c r="X19">
        <v>20207.100000000002</v>
      </c>
      <c r="AA19">
        <v>12.4807325294801</v>
      </c>
    </row>
    <row r="20" spans="1:27" x14ac:dyDescent="0.25">
      <c r="A20" s="48"/>
      <c r="B20" s="3"/>
      <c r="C20" s="4">
        <v>41901</v>
      </c>
      <c r="D20">
        <v>16.399999999999999</v>
      </c>
      <c r="E20">
        <v>15</v>
      </c>
      <c r="F20">
        <v>17.600000000000001</v>
      </c>
      <c r="G20">
        <v>274.7</v>
      </c>
      <c r="J20">
        <v>2.8</v>
      </c>
      <c r="K20">
        <f t="shared" si="2"/>
        <v>12.099999999999998</v>
      </c>
      <c r="L20">
        <v>1</v>
      </c>
      <c r="M20">
        <f t="shared" si="3"/>
        <v>40</v>
      </c>
      <c r="N20">
        <v>1.7999999999999998</v>
      </c>
      <c r="O20">
        <f t="shared" si="6"/>
        <v>7.3</v>
      </c>
      <c r="P20">
        <v>15</v>
      </c>
      <c r="Q20">
        <f t="shared" si="5"/>
        <v>0.40909090909090906</v>
      </c>
      <c r="R20" s="6">
        <f t="shared" si="0"/>
        <v>0.40909090909090906</v>
      </c>
      <c r="S20" s="6">
        <f t="shared" si="1"/>
        <v>2.3909090909090907</v>
      </c>
      <c r="T20" s="6">
        <f t="shared" si="4"/>
        <v>9.449220779220779</v>
      </c>
      <c r="V20">
        <v>481.6</v>
      </c>
      <c r="X20">
        <v>20688.7</v>
      </c>
      <c r="AA20">
        <v>12.4247157460469</v>
      </c>
    </row>
    <row r="21" spans="1:27" x14ac:dyDescent="0.25">
      <c r="A21" s="48"/>
      <c r="B21" s="3"/>
      <c r="C21" s="4">
        <v>41902</v>
      </c>
      <c r="D21">
        <v>18.3</v>
      </c>
      <c r="E21">
        <v>14.7</v>
      </c>
      <c r="F21">
        <v>21.9</v>
      </c>
      <c r="G21">
        <v>293</v>
      </c>
      <c r="J21">
        <v>6.4</v>
      </c>
      <c r="K21">
        <f t="shared" si="2"/>
        <v>18.5</v>
      </c>
      <c r="L21">
        <v>2.1</v>
      </c>
      <c r="M21">
        <f t="shared" si="3"/>
        <v>42.1</v>
      </c>
      <c r="N21">
        <v>4.3000000000000007</v>
      </c>
      <c r="O21">
        <f t="shared" si="6"/>
        <v>11.600000000000001</v>
      </c>
      <c r="P21">
        <v>16</v>
      </c>
      <c r="Q21">
        <f t="shared" si="5"/>
        <v>0.41753246753246753</v>
      </c>
      <c r="R21" s="6">
        <f t="shared" si="0"/>
        <v>0.87681818181818183</v>
      </c>
      <c r="S21" s="6">
        <f t="shared" si="1"/>
        <v>5.5231818181818184</v>
      </c>
      <c r="T21" s="6">
        <f t="shared" si="4"/>
        <v>14.972402597402597</v>
      </c>
      <c r="V21">
        <v>1186.5999999999999</v>
      </c>
      <c r="X21">
        <v>21875.3</v>
      </c>
      <c r="AA21">
        <v>12.368658446412599</v>
      </c>
    </row>
    <row r="22" spans="1:27" x14ac:dyDescent="0.25">
      <c r="A22" s="48"/>
      <c r="B22" s="3"/>
      <c r="C22" s="4">
        <v>41903</v>
      </c>
      <c r="D22">
        <v>17.100000000000001</v>
      </c>
      <c r="E22">
        <v>14.8</v>
      </c>
      <c r="F22">
        <v>21.3</v>
      </c>
      <c r="G22">
        <v>310.10000000000002</v>
      </c>
      <c r="J22">
        <v>1.6</v>
      </c>
      <c r="K22">
        <f t="shared" si="2"/>
        <v>20.100000000000001</v>
      </c>
      <c r="L22">
        <v>1.9</v>
      </c>
      <c r="M22">
        <f t="shared" si="3"/>
        <v>44</v>
      </c>
      <c r="N22">
        <v>-0.29999999999999982</v>
      </c>
      <c r="O22">
        <f t="shared" si="6"/>
        <v>11.3</v>
      </c>
      <c r="P22">
        <v>17</v>
      </c>
      <c r="Q22">
        <f t="shared" si="5"/>
        <v>0.42597402597402595</v>
      </c>
      <c r="R22" s="6">
        <f t="shared" si="0"/>
        <v>0.80935064935064926</v>
      </c>
      <c r="S22" s="6">
        <f t="shared" si="1"/>
        <v>0.79064935064935082</v>
      </c>
      <c r="T22" s="6">
        <f t="shared" si="4"/>
        <v>15.763051948051949</v>
      </c>
      <c r="V22">
        <v>855.5</v>
      </c>
      <c r="X22">
        <v>22730.799999999999</v>
      </c>
      <c r="AA22">
        <v>12.3125661259556</v>
      </c>
    </row>
    <row r="23" spans="1:27" x14ac:dyDescent="0.25">
      <c r="A23" s="48"/>
      <c r="B23" s="3"/>
      <c r="C23" s="4">
        <v>41904</v>
      </c>
      <c r="D23">
        <v>13.2</v>
      </c>
      <c r="E23">
        <v>10.199999999999999</v>
      </c>
      <c r="F23">
        <v>16.899999999999999</v>
      </c>
      <c r="G23">
        <v>323.3</v>
      </c>
      <c r="J23">
        <v>0</v>
      </c>
      <c r="K23">
        <f t="shared" si="2"/>
        <v>20.100000000000001</v>
      </c>
      <c r="L23">
        <v>2.4</v>
      </c>
      <c r="M23">
        <f t="shared" si="3"/>
        <v>46.4</v>
      </c>
      <c r="N23">
        <v>-2.4</v>
      </c>
      <c r="O23">
        <f t="shared" si="6"/>
        <v>8.9</v>
      </c>
      <c r="P23">
        <v>18</v>
      </c>
      <c r="Q23">
        <f t="shared" si="5"/>
        <v>0.43441558441558437</v>
      </c>
      <c r="R23" s="6">
        <f t="shared" si="0"/>
        <v>1.0425974025974025</v>
      </c>
      <c r="S23" s="6">
        <f t="shared" si="1"/>
        <v>-1.0425974025974025</v>
      </c>
      <c r="T23" s="6">
        <f t="shared" si="4"/>
        <v>14.720454545454546</v>
      </c>
      <c r="V23">
        <v>1296.3</v>
      </c>
      <c r="X23">
        <v>24027.1</v>
      </c>
      <c r="AA23">
        <v>12.2564442459744</v>
      </c>
    </row>
    <row r="24" spans="1:27" x14ac:dyDescent="0.25">
      <c r="A24" s="48"/>
      <c r="B24" s="3"/>
      <c r="C24" s="4">
        <v>41905</v>
      </c>
      <c r="D24">
        <v>12.2</v>
      </c>
      <c r="E24">
        <v>8.1</v>
      </c>
      <c r="F24">
        <v>17.2</v>
      </c>
      <c r="G24">
        <v>335.5</v>
      </c>
      <c r="J24">
        <v>0</v>
      </c>
      <c r="K24">
        <f t="shared" si="2"/>
        <v>20.100000000000001</v>
      </c>
      <c r="L24">
        <v>3.1</v>
      </c>
      <c r="M24">
        <f t="shared" si="3"/>
        <v>49.5</v>
      </c>
      <c r="N24">
        <v>-3.1</v>
      </c>
      <c r="O24">
        <f t="shared" si="6"/>
        <v>5.8000000000000007</v>
      </c>
      <c r="P24">
        <v>19</v>
      </c>
      <c r="Q24">
        <f t="shared" si="5"/>
        <v>0.44285714285714284</v>
      </c>
      <c r="R24" s="6">
        <f t="shared" si="0"/>
        <v>1.3728571428571428</v>
      </c>
      <c r="S24" s="6">
        <f t="shared" si="1"/>
        <v>-1.3728571428571428</v>
      </c>
      <c r="T24" s="6">
        <f t="shared" si="4"/>
        <v>13.347597402597403</v>
      </c>
      <c r="V24">
        <v>1768.5</v>
      </c>
      <c r="X24">
        <v>25795.599999999999</v>
      </c>
      <c r="AA24">
        <v>12.200298249345501</v>
      </c>
    </row>
    <row r="25" spans="1:27" x14ac:dyDescent="0.25">
      <c r="A25" s="48"/>
      <c r="B25" s="3"/>
      <c r="C25" s="4">
        <v>41906</v>
      </c>
      <c r="D25">
        <v>11.4</v>
      </c>
      <c r="E25">
        <v>6.9</v>
      </c>
      <c r="F25">
        <v>16.600000000000001</v>
      </c>
      <c r="G25">
        <v>346.9</v>
      </c>
      <c r="J25">
        <v>1.7</v>
      </c>
      <c r="K25">
        <f t="shared" si="2"/>
        <v>21.8</v>
      </c>
      <c r="L25">
        <v>0.9</v>
      </c>
      <c r="M25">
        <f t="shared" si="3"/>
        <v>50.4</v>
      </c>
      <c r="N25">
        <v>0.79999999999999993</v>
      </c>
      <c r="O25">
        <f t="shared" si="6"/>
        <v>6.6000000000000005</v>
      </c>
      <c r="P25">
        <v>20</v>
      </c>
      <c r="Q25">
        <f t="shared" si="5"/>
        <v>0.45129870129870131</v>
      </c>
      <c r="R25" s="6">
        <f t="shared" si="0"/>
        <v>0.40616883116883118</v>
      </c>
      <c r="S25" s="6">
        <f t="shared" si="1"/>
        <v>1.2938311688311688</v>
      </c>
      <c r="T25" s="6">
        <f t="shared" si="4"/>
        <v>14.641428571428571</v>
      </c>
      <c r="V25">
        <v>569</v>
      </c>
      <c r="X25">
        <v>26364.6</v>
      </c>
      <c r="AA25">
        <v>12.144133576261</v>
      </c>
    </row>
    <row r="26" spans="1:27" x14ac:dyDescent="0.25">
      <c r="A26" s="48"/>
      <c r="B26" s="3"/>
      <c r="C26" s="4">
        <v>41907</v>
      </c>
      <c r="D26">
        <v>11.9</v>
      </c>
      <c r="E26">
        <v>9.6999999999999993</v>
      </c>
      <c r="F26">
        <v>16.399999999999999</v>
      </c>
      <c r="G26">
        <v>358.79999999999995</v>
      </c>
      <c r="J26">
        <v>0</v>
      </c>
      <c r="K26">
        <f t="shared" si="2"/>
        <v>21.8</v>
      </c>
      <c r="L26">
        <v>2</v>
      </c>
      <c r="M26">
        <f t="shared" si="3"/>
        <v>52.4</v>
      </c>
      <c r="N26">
        <v>-2</v>
      </c>
      <c r="O26">
        <f t="shared" si="6"/>
        <v>4.6000000000000005</v>
      </c>
      <c r="P26">
        <v>21</v>
      </c>
      <c r="Q26">
        <f t="shared" si="5"/>
        <v>0.45974025974025973</v>
      </c>
      <c r="R26" s="6">
        <f t="shared" si="0"/>
        <v>0.91948051948051945</v>
      </c>
      <c r="S26" s="6">
        <f t="shared" si="1"/>
        <v>-0.91948051948051945</v>
      </c>
      <c r="T26" s="6">
        <f t="shared" si="4"/>
        <v>13.721948051948052</v>
      </c>
      <c r="V26">
        <v>1357</v>
      </c>
      <c r="X26">
        <v>27721.599999999999</v>
      </c>
      <c r="AA26">
        <v>12.087955680049401</v>
      </c>
    </row>
    <row r="27" spans="1:27" x14ac:dyDescent="0.25">
      <c r="A27" s="48"/>
      <c r="B27" s="3"/>
      <c r="C27" s="4">
        <v>41908</v>
      </c>
      <c r="D27">
        <v>12.9</v>
      </c>
      <c r="E27">
        <v>7.2</v>
      </c>
      <c r="F27">
        <v>19.3</v>
      </c>
      <c r="G27">
        <v>371.69999999999993</v>
      </c>
      <c r="J27">
        <v>0</v>
      </c>
      <c r="K27">
        <f t="shared" si="2"/>
        <v>21.8</v>
      </c>
      <c r="L27">
        <v>2.4</v>
      </c>
      <c r="M27">
        <f t="shared" si="3"/>
        <v>54.8</v>
      </c>
      <c r="N27">
        <v>-2.4</v>
      </c>
      <c r="O27">
        <f t="shared" si="6"/>
        <v>2.2000000000000006</v>
      </c>
      <c r="P27">
        <v>22</v>
      </c>
      <c r="Q27">
        <f t="shared" si="5"/>
        <v>0.46818181818181814</v>
      </c>
      <c r="R27" s="6">
        <f t="shared" si="0"/>
        <v>1.1236363636363635</v>
      </c>
      <c r="S27" s="6">
        <f t="shared" si="1"/>
        <v>-1.1236363636363635</v>
      </c>
      <c r="T27" s="6">
        <f t="shared" si="4"/>
        <v>12.598311688311689</v>
      </c>
      <c r="V27">
        <v>1506</v>
      </c>
      <c r="X27">
        <v>29227.599999999999</v>
      </c>
      <c r="AA27">
        <v>12.031770043084601</v>
      </c>
    </row>
    <row r="28" spans="1:27" x14ac:dyDescent="0.25">
      <c r="A28" s="48"/>
      <c r="B28" s="3"/>
      <c r="C28" s="4">
        <v>41909</v>
      </c>
      <c r="D28">
        <v>14.2</v>
      </c>
      <c r="E28">
        <v>9.5</v>
      </c>
      <c r="F28">
        <v>20.5</v>
      </c>
      <c r="G28">
        <v>385.89999999999992</v>
      </c>
      <c r="J28">
        <v>0</v>
      </c>
      <c r="K28">
        <f t="shared" si="2"/>
        <v>21.8</v>
      </c>
      <c r="L28">
        <v>2.8</v>
      </c>
      <c r="M28">
        <f t="shared" si="3"/>
        <v>57.599999999999994</v>
      </c>
      <c r="N28">
        <v>-2.8</v>
      </c>
      <c r="O28">
        <f t="shared" si="6"/>
        <v>-0.5999999999999992</v>
      </c>
      <c r="P28">
        <v>23</v>
      </c>
      <c r="Q28">
        <f t="shared" si="5"/>
        <v>0.47662337662337662</v>
      </c>
      <c r="R28" s="6">
        <f t="shared" si="0"/>
        <v>1.3345454545454545</v>
      </c>
      <c r="S28" s="6">
        <f t="shared" si="1"/>
        <v>-1.3345454545454545</v>
      </c>
      <c r="T28" s="6">
        <f t="shared" si="4"/>
        <v>11.263766233766235</v>
      </c>
      <c r="V28">
        <v>1627.3</v>
      </c>
      <c r="X28">
        <v>30854.899999999998</v>
      </c>
      <c r="AA28">
        <v>11.9755821927857</v>
      </c>
    </row>
    <row r="29" spans="1:27" x14ac:dyDescent="0.25">
      <c r="A29" s="48"/>
      <c r="B29" s="3"/>
      <c r="C29" s="4">
        <v>41910</v>
      </c>
      <c r="D29">
        <v>16.5</v>
      </c>
      <c r="E29">
        <v>9.8000000000000007</v>
      </c>
      <c r="F29">
        <v>23.4</v>
      </c>
      <c r="G29">
        <v>402.39999999999992</v>
      </c>
      <c r="J29">
        <v>0</v>
      </c>
      <c r="K29">
        <f t="shared" si="2"/>
        <v>21.8</v>
      </c>
      <c r="L29">
        <v>3</v>
      </c>
      <c r="M29">
        <f t="shared" si="3"/>
        <v>60.599999999999994</v>
      </c>
      <c r="N29">
        <v>-3</v>
      </c>
      <c r="O29">
        <f t="shared" si="6"/>
        <v>-3.5999999999999992</v>
      </c>
      <c r="P29">
        <v>24</v>
      </c>
      <c r="Q29">
        <f t="shared" si="5"/>
        <v>0.48506493506493509</v>
      </c>
      <c r="R29" s="6">
        <f t="shared" si="0"/>
        <v>1.4551948051948052</v>
      </c>
      <c r="S29" s="6">
        <f t="shared" si="1"/>
        <v>-1.4551948051948052</v>
      </c>
      <c r="T29" s="6">
        <f t="shared" si="4"/>
        <v>9.8085714285714296</v>
      </c>
      <c r="V29">
        <v>1547.2</v>
      </c>
      <c r="X29">
        <v>32402.1</v>
      </c>
      <c r="AA29">
        <v>11.919397717712201</v>
      </c>
    </row>
    <row r="30" spans="1:27" x14ac:dyDescent="0.25">
      <c r="A30" s="48"/>
      <c r="B30" s="3"/>
      <c r="C30" s="4">
        <v>41911</v>
      </c>
      <c r="D30">
        <v>15.9</v>
      </c>
      <c r="E30">
        <v>11.2</v>
      </c>
      <c r="F30">
        <v>20.399999999999999</v>
      </c>
      <c r="G30">
        <v>418.2999999999999</v>
      </c>
      <c r="J30">
        <v>0</v>
      </c>
      <c r="K30">
        <f t="shared" si="2"/>
        <v>21.8</v>
      </c>
      <c r="L30">
        <v>0.7</v>
      </c>
      <c r="M30">
        <f t="shared" si="3"/>
        <v>61.3</v>
      </c>
      <c r="N30">
        <v>-0.7</v>
      </c>
      <c r="O30">
        <f t="shared" si="6"/>
        <v>-4.2999999999999989</v>
      </c>
      <c r="P30">
        <v>25</v>
      </c>
      <c r="Q30">
        <f t="shared" si="5"/>
        <v>0.49350649350649345</v>
      </c>
      <c r="R30" s="6">
        <f t="shared" si="0"/>
        <v>0.3454545454545454</v>
      </c>
      <c r="S30" s="6">
        <f t="shared" si="1"/>
        <v>-0.3454545454545454</v>
      </c>
      <c r="T30" s="6">
        <f t="shared" si="4"/>
        <v>9.4631168831168839</v>
      </c>
      <c r="V30">
        <v>327.3</v>
      </c>
      <c r="X30">
        <v>32729.399999999998</v>
      </c>
      <c r="AA30">
        <v>11.8632222837584</v>
      </c>
    </row>
    <row r="31" spans="1:27" x14ac:dyDescent="0.25">
      <c r="A31" s="48"/>
      <c r="B31" s="3"/>
      <c r="C31" s="4">
        <v>41912</v>
      </c>
      <c r="D31">
        <v>17.399999999999999</v>
      </c>
      <c r="E31">
        <v>14</v>
      </c>
      <c r="F31">
        <v>23.2</v>
      </c>
      <c r="G31">
        <v>435.69999999999987</v>
      </c>
      <c r="J31">
        <v>0</v>
      </c>
      <c r="K31">
        <f t="shared" si="2"/>
        <v>21.8</v>
      </c>
      <c r="L31">
        <v>0.9</v>
      </c>
      <c r="M31">
        <f t="shared" si="3"/>
        <v>62.199999999999996</v>
      </c>
      <c r="N31">
        <v>-0.9</v>
      </c>
      <c r="O31">
        <f t="shared" si="6"/>
        <v>-5.1999999999999993</v>
      </c>
      <c r="P31">
        <v>26</v>
      </c>
      <c r="Q31">
        <f t="shared" si="5"/>
        <v>0.50194805194805192</v>
      </c>
      <c r="R31" s="6">
        <f t="shared" si="0"/>
        <v>0.45175324675324674</v>
      </c>
      <c r="S31" s="6">
        <f t="shared" si="1"/>
        <v>-0.45175324675324674</v>
      </c>
      <c r="T31" s="6">
        <f t="shared" si="4"/>
        <v>9.0113636363636367</v>
      </c>
      <c r="V31">
        <v>488.5</v>
      </c>
      <c r="X31">
        <v>33217.899999999994</v>
      </c>
      <c r="AA31">
        <v>11.8070616504488</v>
      </c>
    </row>
    <row r="32" spans="1:27" x14ac:dyDescent="0.25">
      <c r="A32" s="48"/>
      <c r="B32" s="3"/>
      <c r="C32" s="4">
        <v>41913</v>
      </c>
      <c r="D32">
        <v>16</v>
      </c>
      <c r="E32">
        <v>11.4</v>
      </c>
      <c r="F32">
        <v>22.3</v>
      </c>
      <c r="G32">
        <v>451.69999999999987</v>
      </c>
      <c r="J32">
        <v>0</v>
      </c>
      <c r="K32">
        <f t="shared" si="2"/>
        <v>21.8</v>
      </c>
      <c r="L32">
        <v>2.5</v>
      </c>
      <c r="M32">
        <f t="shared" si="3"/>
        <v>64.699999999999989</v>
      </c>
      <c r="N32">
        <v>-2.5</v>
      </c>
      <c r="O32">
        <f t="shared" si="6"/>
        <v>-7.6999999999999993</v>
      </c>
      <c r="P32">
        <v>27</v>
      </c>
      <c r="Q32">
        <f t="shared" si="5"/>
        <v>0.51038961038961039</v>
      </c>
      <c r="R32" s="6">
        <f t="shared" si="0"/>
        <v>1.275974025974026</v>
      </c>
      <c r="S32" s="6">
        <f t="shared" si="1"/>
        <v>-1.275974025974026</v>
      </c>
      <c r="T32" s="6">
        <f t="shared" si="4"/>
        <v>7.7353896103896105</v>
      </c>
      <c r="V32">
        <v>1519.3</v>
      </c>
      <c r="X32">
        <v>34737.199999999997</v>
      </c>
      <c r="AA32">
        <v>11.750921687338</v>
      </c>
    </row>
    <row r="33" spans="1:27" x14ac:dyDescent="0.25">
      <c r="A33" s="48"/>
      <c r="B33" s="3"/>
      <c r="C33" s="4">
        <v>41914</v>
      </c>
      <c r="D33">
        <v>15.7</v>
      </c>
      <c r="E33">
        <v>10.199999999999999</v>
      </c>
      <c r="F33">
        <v>22.6</v>
      </c>
      <c r="G33">
        <v>467.39999999999986</v>
      </c>
      <c r="J33">
        <v>0</v>
      </c>
      <c r="K33">
        <f t="shared" si="2"/>
        <v>21.8</v>
      </c>
      <c r="L33">
        <v>2.5</v>
      </c>
      <c r="M33">
        <f t="shared" si="3"/>
        <v>67.199999999999989</v>
      </c>
      <c r="N33">
        <v>-2.5</v>
      </c>
      <c r="O33">
        <f t="shared" si="6"/>
        <v>-10.199999999999999</v>
      </c>
      <c r="P33">
        <v>28</v>
      </c>
      <c r="Q33">
        <f t="shared" si="5"/>
        <v>0.51883116883116887</v>
      </c>
      <c r="R33" s="6">
        <f t="shared" si="0"/>
        <v>1.2970779220779223</v>
      </c>
      <c r="S33" s="6">
        <f t="shared" si="1"/>
        <v>-1.2970779220779223</v>
      </c>
      <c r="T33" s="6">
        <f t="shared" si="4"/>
        <v>6.4383116883116882</v>
      </c>
      <c r="V33">
        <v>1459.8</v>
      </c>
      <c r="X33">
        <v>36197</v>
      </c>
      <c r="AA33">
        <v>11.694808390515799</v>
      </c>
    </row>
    <row r="34" spans="1:27" x14ac:dyDescent="0.25">
      <c r="A34" s="48"/>
      <c r="B34" s="3"/>
      <c r="C34" s="4">
        <v>41915</v>
      </c>
      <c r="D34">
        <v>14.9</v>
      </c>
      <c r="E34">
        <v>10.3</v>
      </c>
      <c r="F34">
        <v>21.4</v>
      </c>
      <c r="G34">
        <v>482.29999999999984</v>
      </c>
      <c r="J34">
        <v>0</v>
      </c>
      <c r="K34">
        <f t="shared" si="2"/>
        <v>21.8</v>
      </c>
      <c r="L34">
        <v>2.2000000000000002</v>
      </c>
      <c r="M34">
        <f t="shared" si="3"/>
        <v>69.399999999999991</v>
      </c>
      <c r="N34">
        <v>-2.2000000000000002</v>
      </c>
      <c r="O34">
        <f t="shared" si="6"/>
        <v>-12.399999999999999</v>
      </c>
      <c r="P34">
        <v>29</v>
      </c>
      <c r="Q34">
        <f t="shared" si="5"/>
        <v>0.52727272727272723</v>
      </c>
      <c r="R34" s="6">
        <f t="shared" si="0"/>
        <v>1.1599999999999999</v>
      </c>
      <c r="S34" s="6">
        <f t="shared" si="1"/>
        <v>-1.1599999999999999</v>
      </c>
      <c r="T34" s="6">
        <f t="shared" si="4"/>
        <v>5.2783116883116881</v>
      </c>
      <c r="V34">
        <v>1463.6</v>
      </c>
      <c r="X34">
        <v>37660.6</v>
      </c>
      <c r="AA34">
        <v>11.638727899218701</v>
      </c>
    </row>
    <row r="35" spans="1:27" x14ac:dyDescent="0.25">
      <c r="A35" s="48"/>
      <c r="B35" s="3"/>
      <c r="C35" s="4">
        <v>41916</v>
      </c>
      <c r="D35">
        <v>14.7</v>
      </c>
      <c r="E35">
        <v>8.3000000000000007</v>
      </c>
      <c r="F35">
        <v>21.5</v>
      </c>
      <c r="G35">
        <v>496.99999999999983</v>
      </c>
      <c r="J35">
        <v>4.4000000000000004</v>
      </c>
      <c r="K35">
        <f t="shared" si="2"/>
        <v>26.200000000000003</v>
      </c>
      <c r="L35">
        <v>2</v>
      </c>
      <c r="M35">
        <f t="shared" si="3"/>
        <v>71.399999999999991</v>
      </c>
      <c r="N35">
        <v>2.4000000000000004</v>
      </c>
      <c r="O35">
        <f t="shared" si="6"/>
        <v>-9.9999999999999982</v>
      </c>
      <c r="P35">
        <v>30</v>
      </c>
      <c r="Q35">
        <f t="shared" si="5"/>
        <v>0.5357142857142857</v>
      </c>
      <c r="R35" s="6">
        <f t="shared" si="0"/>
        <v>1.0714285714285714</v>
      </c>
      <c r="S35" s="6">
        <f t="shared" si="1"/>
        <v>3.3285714285714292</v>
      </c>
      <c r="T35" s="6">
        <f t="shared" si="4"/>
        <v>8.6068831168831181</v>
      </c>
      <c r="V35">
        <v>1411.8</v>
      </c>
      <c r="X35">
        <v>39072.400000000001</v>
      </c>
      <c r="AA35">
        <v>11.5826865125461</v>
      </c>
    </row>
    <row r="36" spans="1:27" x14ac:dyDescent="0.25">
      <c r="A36" s="48"/>
      <c r="B36" s="3"/>
      <c r="C36" s="4">
        <v>41917</v>
      </c>
      <c r="D36">
        <v>13.6</v>
      </c>
      <c r="E36">
        <v>11.8</v>
      </c>
      <c r="F36">
        <v>14.4</v>
      </c>
      <c r="G36">
        <v>510.59999999999985</v>
      </c>
      <c r="J36">
        <v>24.3</v>
      </c>
      <c r="K36">
        <f t="shared" si="2"/>
        <v>50.5</v>
      </c>
      <c r="L36">
        <v>0.6</v>
      </c>
      <c r="M36">
        <f t="shared" si="3"/>
        <v>71.999999999999986</v>
      </c>
      <c r="N36">
        <v>23.7</v>
      </c>
      <c r="O36">
        <f t="shared" si="6"/>
        <v>13.700000000000001</v>
      </c>
      <c r="P36">
        <v>31</v>
      </c>
      <c r="Q36">
        <f t="shared" si="5"/>
        <v>0.54415584415584417</v>
      </c>
      <c r="R36" s="6">
        <f t="shared" si="0"/>
        <v>0.3264935064935065</v>
      </c>
      <c r="S36" s="6">
        <f t="shared" si="1"/>
        <v>23.973506493506495</v>
      </c>
      <c r="T36" s="6">
        <f t="shared" si="4"/>
        <v>32.580389610389616</v>
      </c>
      <c r="V36">
        <v>307.39999999999998</v>
      </c>
      <c r="X36">
        <v>39379.800000000003</v>
      </c>
      <c r="AA36">
        <v>11.5266907062811</v>
      </c>
    </row>
    <row r="37" spans="1:27" x14ac:dyDescent="0.25">
      <c r="A37" s="48"/>
      <c r="B37" s="3"/>
      <c r="C37" s="4">
        <v>41918</v>
      </c>
      <c r="D37">
        <v>13.6</v>
      </c>
      <c r="E37">
        <v>8.1</v>
      </c>
      <c r="F37">
        <v>16.5</v>
      </c>
      <c r="G37">
        <v>524.19999999999982</v>
      </c>
      <c r="J37">
        <v>2.8</v>
      </c>
      <c r="K37">
        <f t="shared" si="2"/>
        <v>53.3</v>
      </c>
      <c r="L37">
        <v>0.5</v>
      </c>
      <c r="M37">
        <f t="shared" si="3"/>
        <v>72.499999999999986</v>
      </c>
      <c r="N37">
        <v>2.2999999999999998</v>
      </c>
      <c r="O37">
        <f t="shared" si="6"/>
        <v>16</v>
      </c>
      <c r="P37">
        <v>32</v>
      </c>
      <c r="Q37">
        <f t="shared" si="5"/>
        <v>0.55259740259740253</v>
      </c>
      <c r="R37" s="6">
        <f t="shared" si="0"/>
        <v>0.27629870129870127</v>
      </c>
      <c r="S37" s="6">
        <f t="shared" si="1"/>
        <v>2.5237012987012983</v>
      </c>
      <c r="T37" s="6">
        <f t="shared" si="4"/>
        <v>35.104090909090914</v>
      </c>
      <c r="V37">
        <v>471.6</v>
      </c>
      <c r="X37">
        <v>39851.4</v>
      </c>
      <c r="AA37">
        <v>11.470747149810901</v>
      </c>
    </row>
    <row r="38" spans="1:27" x14ac:dyDescent="0.25">
      <c r="A38" s="48"/>
      <c r="B38" s="3"/>
      <c r="C38" s="4">
        <v>41919</v>
      </c>
      <c r="D38">
        <v>15.1</v>
      </c>
      <c r="E38">
        <v>14.3</v>
      </c>
      <c r="F38">
        <v>16.3</v>
      </c>
      <c r="G38">
        <v>539.29999999999984</v>
      </c>
      <c r="J38">
        <v>4.2</v>
      </c>
      <c r="K38">
        <f t="shared" si="2"/>
        <v>57.5</v>
      </c>
      <c r="L38">
        <v>1</v>
      </c>
      <c r="M38">
        <f t="shared" si="3"/>
        <v>73.499999999999986</v>
      </c>
      <c r="N38">
        <v>3.2</v>
      </c>
      <c r="O38">
        <f t="shared" si="6"/>
        <v>19.2</v>
      </c>
      <c r="P38">
        <v>33</v>
      </c>
      <c r="Q38">
        <f t="shared" si="5"/>
        <v>0.561038961038961</v>
      </c>
      <c r="R38" s="6">
        <f t="shared" si="0"/>
        <v>0.561038961038961</v>
      </c>
      <c r="S38" s="6">
        <f t="shared" si="1"/>
        <v>3.638961038961039</v>
      </c>
      <c r="T38" s="6">
        <f t="shared" si="4"/>
        <v>38.743051948051956</v>
      </c>
      <c r="V38">
        <v>232.8</v>
      </c>
      <c r="X38">
        <v>40084.200000000004</v>
      </c>
      <c r="AA38">
        <v>11.414862723142701</v>
      </c>
    </row>
    <row r="39" spans="1:27" x14ac:dyDescent="0.25">
      <c r="A39" s="48"/>
      <c r="B39" s="3"/>
      <c r="C39" s="4">
        <v>41920</v>
      </c>
      <c r="D39">
        <v>18.399999999999999</v>
      </c>
      <c r="E39">
        <v>12.5</v>
      </c>
      <c r="F39">
        <v>22.4</v>
      </c>
      <c r="G39">
        <v>557.69999999999982</v>
      </c>
      <c r="J39">
        <v>0.1</v>
      </c>
      <c r="K39">
        <f t="shared" si="2"/>
        <v>57.6</v>
      </c>
      <c r="L39">
        <v>1.6</v>
      </c>
      <c r="M39">
        <f t="shared" si="3"/>
        <v>75.09999999999998</v>
      </c>
      <c r="N39">
        <v>-1.5</v>
      </c>
      <c r="O39">
        <f t="shared" si="6"/>
        <v>17.7</v>
      </c>
      <c r="P39">
        <v>34</v>
      </c>
      <c r="Q39">
        <f t="shared" si="5"/>
        <v>0.56948051948051948</v>
      </c>
      <c r="R39" s="6">
        <f t="shared" si="0"/>
        <v>0.91116883116883118</v>
      </c>
      <c r="S39" s="6">
        <f t="shared" si="1"/>
        <v>-0.81116883116883121</v>
      </c>
      <c r="T39" s="6">
        <f t="shared" si="4"/>
        <v>37.931883116883128</v>
      </c>
      <c r="V39">
        <v>646.1</v>
      </c>
      <c r="X39">
        <v>40730.300000000003</v>
      </c>
      <c r="AA39">
        <v>11.3590445340079</v>
      </c>
    </row>
    <row r="40" spans="1:27" x14ac:dyDescent="0.25">
      <c r="A40" s="48"/>
      <c r="B40" s="3"/>
      <c r="C40" s="4">
        <v>41921</v>
      </c>
      <c r="D40">
        <v>17.7</v>
      </c>
      <c r="E40">
        <v>15.6</v>
      </c>
      <c r="F40">
        <v>19.600000000000001</v>
      </c>
      <c r="G40">
        <v>575.39999999999986</v>
      </c>
      <c r="J40">
        <v>19</v>
      </c>
      <c r="K40">
        <f t="shared" si="2"/>
        <v>76.599999999999994</v>
      </c>
      <c r="L40">
        <v>1.5</v>
      </c>
      <c r="M40">
        <f t="shared" si="3"/>
        <v>76.59999999999998</v>
      </c>
      <c r="N40">
        <v>17.5</v>
      </c>
      <c r="O40">
        <f t="shared" si="6"/>
        <v>35.200000000000003</v>
      </c>
      <c r="P40">
        <v>35</v>
      </c>
      <c r="Q40">
        <f t="shared" si="5"/>
        <v>0.57792207792207795</v>
      </c>
      <c r="R40" s="6">
        <f t="shared" si="0"/>
        <v>0.86688311688311692</v>
      </c>
      <c r="S40" s="6">
        <f t="shared" si="1"/>
        <v>18.133116883116884</v>
      </c>
      <c r="T40" s="6">
        <f t="shared" si="4"/>
        <v>56.065000000000012</v>
      </c>
      <c r="V40">
        <v>321.3</v>
      </c>
      <c r="X40">
        <v>41051.600000000006</v>
      </c>
      <c r="AA40">
        <v>11.3032999350458</v>
      </c>
    </row>
    <row r="41" spans="1:27" x14ac:dyDescent="0.25">
      <c r="A41" s="48"/>
      <c r="B41" s="3"/>
      <c r="C41" s="4">
        <v>41922</v>
      </c>
      <c r="D41">
        <v>15.1</v>
      </c>
      <c r="E41">
        <v>14.3</v>
      </c>
      <c r="F41">
        <v>16.3</v>
      </c>
      <c r="G41">
        <v>590.49999999999989</v>
      </c>
      <c r="J41">
        <v>8</v>
      </c>
      <c r="K41">
        <f t="shared" si="2"/>
        <v>84.6</v>
      </c>
      <c r="L41">
        <v>0.6</v>
      </c>
      <c r="M41">
        <f t="shared" si="3"/>
        <v>77.199999999999974</v>
      </c>
      <c r="N41">
        <v>7.4</v>
      </c>
      <c r="O41">
        <f t="shared" si="6"/>
        <v>42.6</v>
      </c>
      <c r="P41">
        <v>36</v>
      </c>
      <c r="Q41">
        <f t="shared" si="5"/>
        <v>0.58636363636363642</v>
      </c>
      <c r="R41" s="6">
        <f t="shared" si="0"/>
        <v>0.35181818181818186</v>
      </c>
      <c r="S41" s="6">
        <f t="shared" si="1"/>
        <v>7.6481818181818184</v>
      </c>
      <c r="T41" s="6">
        <f t="shared" si="4"/>
        <v>63.71318181818183</v>
      </c>
      <c r="V41">
        <v>282.5</v>
      </c>
      <c r="X41">
        <v>41334.100000000006</v>
      </c>
      <c r="AA41">
        <v>11.2476365410563</v>
      </c>
    </row>
    <row r="42" spans="1:27" x14ac:dyDescent="0.25">
      <c r="A42" s="48"/>
      <c r="B42" s="3"/>
      <c r="C42" s="4">
        <v>41923</v>
      </c>
      <c r="D42">
        <v>14</v>
      </c>
      <c r="E42">
        <v>13.2</v>
      </c>
      <c r="F42">
        <v>17</v>
      </c>
      <c r="G42">
        <v>604.49999999999989</v>
      </c>
      <c r="J42">
        <v>0.1</v>
      </c>
      <c r="K42">
        <f t="shared" si="2"/>
        <v>84.699999999999989</v>
      </c>
      <c r="L42">
        <v>0.5</v>
      </c>
      <c r="M42">
        <f t="shared" si="3"/>
        <v>77.699999999999974</v>
      </c>
      <c r="N42">
        <v>-0.4</v>
      </c>
      <c r="O42">
        <f t="shared" si="6"/>
        <v>42.2</v>
      </c>
      <c r="P42">
        <v>37</v>
      </c>
      <c r="Q42">
        <f t="shared" si="5"/>
        <v>0.59480519480519478</v>
      </c>
      <c r="R42" s="6">
        <f t="shared" si="0"/>
        <v>0.29740259740259739</v>
      </c>
      <c r="S42" s="6">
        <f t="shared" si="1"/>
        <v>-0.19740259740259739</v>
      </c>
      <c r="T42" s="6">
        <f t="shared" si="4"/>
        <v>63.51577922077923</v>
      </c>
      <c r="V42">
        <v>421.9</v>
      </c>
      <c r="X42">
        <v>41756.000000000007</v>
      </c>
      <c r="AA42">
        <v>11.192062246306</v>
      </c>
    </row>
    <row r="43" spans="1:27" x14ac:dyDescent="0.25">
      <c r="A43" s="48"/>
      <c r="B43" s="3"/>
      <c r="C43" s="4">
        <v>41924</v>
      </c>
      <c r="D43">
        <v>13.2</v>
      </c>
      <c r="E43">
        <v>9.5</v>
      </c>
      <c r="F43">
        <v>15.8</v>
      </c>
      <c r="G43">
        <v>617.69999999999993</v>
      </c>
      <c r="J43">
        <v>18.7</v>
      </c>
      <c r="K43">
        <f t="shared" si="2"/>
        <v>103.39999999999999</v>
      </c>
      <c r="L43">
        <v>0.6</v>
      </c>
      <c r="M43">
        <f t="shared" si="3"/>
        <v>78.299999999999969</v>
      </c>
      <c r="N43">
        <v>18.099999999999998</v>
      </c>
      <c r="O43">
        <f t="shared" si="6"/>
        <v>60.3</v>
      </c>
      <c r="P43">
        <v>38</v>
      </c>
      <c r="Q43">
        <f t="shared" si="5"/>
        <v>0.60324675324675325</v>
      </c>
      <c r="R43" s="6">
        <f t="shared" si="0"/>
        <v>0.36194805194805196</v>
      </c>
      <c r="S43" s="6">
        <f t="shared" si="1"/>
        <v>18.338051948051948</v>
      </c>
      <c r="T43" s="6">
        <f t="shared" si="4"/>
        <v>81.853831168831178</v>
      </c>
      <c r="V43">
        <v>263.39999999999998</v>
      </c>
      <c r="X43">
        <v>42019.400000000009</v>
      </c>
      <c r="AA43">
        <v>11.136585241874</v>
      </c>
    </row>
    <row r="44" spans="1:27" x14ac:dyDescent="0.25">
      <c r="A44" s="48"/>
      <c r="B44" s="3"/>
      <c r="C44" s="4">
        <v>41925</v>
      </c>
      <c r="D44">
        <v>14.8</v>
      </c>
      <c r="E44">
        <v>13.3</v>
      </c>
      <c r="F44">
        <v>17.8</v>
      </c>
      <c r="G44">
        <v>632.49999999999989</v>
      </c>
      <c r="J44">
        <v>0.1</v>
      </c>
      <c r="K44">
        <f t="shared" si="2"/>
        <v>103.49999999999999</v>
      </c>
      <c r="L44">
        <v>1.3</v>
      </c>
      <c r="M44">
        <f t="shared" si="3"/>
        <v>79.599999999999966</v>
      </c>
      <c r="N44">
        <v>-1.2</v>
      </c>
      <c r="O44">
        <f t="shared" si="6"/>
        <v>59.099999999999994</v>
      </c>
      <c r="P44">
        <v>39</v>
      </c>
      <c r="Q44">
        <f t="shared" si="5"/>
        <v>0.61168831168831161</v>
      </c>
      <c r="R44" s="6">
        <f t="shared" si="0"/>
        <v>0.79519480519480512</v>
      </c>
      <c r="S44" s="6">
        <f t="shared" si="1"/>
        <v>-0.69519480519480514</v>
      </c>
      <c r="T44" s="6">
        <f t="shared" si="4"/>
        <v>81.158636363636376</v>
      </c>
      <c r="V44">
        <v>833.3</v>
      </c>
      <c r="X44">
        <v>42852.700000000012</v>
      </c>
      <c r="AA44">
        <v>11.0812140330164</v>
      </c>
    </row>
    <row r="45" spans="1:27" x14ac:dyDescent="0.25">
      <c r="A45" s="48"/>
      <c r="B45" s="3"/>
      <c r="C45" s="4">
        <v>41926</v>
      </c>
      <c r="D45">
        <v>13.5</v>
      </c>
      <c r="E45">
        <v>9.8000000000000007</v>
      </c>
      <c r="F45">
        <v>17.3</v>
      </c>
      <c r="G45">
        <v>645.99999999999989</v>
      </c>
      <c r="J45">
        <v>0.1</v>
      </c>
      <c r="K45">
        <f t="shared" si="2"/>
        <v>103.59999999999998</v>
      </c>
      <c r="L45">
        <v>1.2</v>
      </c>
      <c r="M45">
        <f t="shared" si="3"/>
        <v>80.799999999999969</v>
      </c>
      <c r="N45">
        <v>-1.0999999999999999</v>
      </c>
      <c r="O45">
        <f t="shared" si="6"/>
        <v>57.999999999999993</v>
      </c>
      <c r="P45">
        <v>40</v>
      </c>
      <c r="Q45">
        <f t="shared" si="5"/>
        <v>0.62012987012987009</v>
      </c>
      <c r="R45" s="6">
        <f t="shared" si="0"/>
        <v>0.74415584415584413</v>
      </c>
      <c r="S45" s="6">
        <f t="shared" si="1"/>
        <v>-0.64415584415584415</v>
      </c>
      <c r="T45" s="6">
        <f t="shared" si="4"/>
        <v>80.514480519480529</v>
      </c>
      <c r="V45">
        <v>899.6</v>
      </c>
      <c r="X45">
        <v>43752.30000000001</v>
      </c>
      <c r="AA45">
        <v>11.0259574565276</v>
      </c>
    </row>
    <row r="46" spans="1:27" x14ac:dyDescent="0.25">
      <c r="A46" s="48"/>
      <c r="B46" s="3"/>
      <c r="C46" s="4">
        <v>41927</v>
      </c>
      <c r="D46">
        <v>14.6</v>
      </c>
      <c r="E46">
        <v>10.9</v>
      </c>
      <c r="F46">
        <v>18.5</v>
      </c>
      <c r="G46">
        <v>660.59999999999991</v>
      </c>
      <c r="J46">
        <v>1.6</v>
      </c>
      <c r="K46">
        <f t="shared" si="2"/>
        <v>105.19999999999997</v>
      </c>
      <c r="L46">
        <v>1</v>
      </c>
      <c r="M46">
        <f t="shared" si="3"/>
        <v>81.799999999999969</v>
      </c>
      <c r="N46">
        <v>0.60000000000000009</v>
      </c>
      <c r="O46">
        <f t="shared" si="6"/>
        <v>58.599999999999994</v>
      </c>
      <c r="P46">
        <v>41</v>
      </c>
      <c r="Q46">
        <f t="shared" si="5"/>
        <v>0.62857142857142856</v>
      </c>
      <c r="R46" s="6">
        <f t="shared" si="0"/>
        <v>0.62857142857142856</v>
      </c>
      <c r="S46" s="6">
        <f t="shared" si="1"/>
        <v>0.97142857142857153</v>
      </c>
      <c r="T46" s="6">
        <f t="shared" si="4"/>
        <v>81.485909090909104</v>
      </c>
      <c r="V46">
        <v>670.7</v>
      </c>
      <c r="X46">
        <v>44423.000000000007</v>
      </c>
      <c r="AA46">
        <v>10.9708246980731</v>
      </c>
    </row>
    <row r="47" spans="1:27" x14ac:dyDescent="0.25">
      <c r="A47" s="48"/>
      <c r="B47" s="3"/>
      <c r="C47" s="4">
        <v>41928</v>
      </c>
      <c r="D47">
        <v>15.7</v>
      </c>
      <c r="E47">
        <v>13</v>
      </c>
      <c r="F47">
        <v>17.399999999999999</v>
      </c>
      <c r="G47">
        <v>676.3</v>
      </c>
      <c r="J47">
        <v>12.3</v>
      </c>
      <c r="K47">
        <f t="shared" si="2"/>
        <v>117.49999999999997</v>
      </c>
      <c r="L47">
        <v>0.3</v>
      </c>
      <c r="M47">
        <f t="shared" si="3"/>
        <v>82.099999999999966</v>
      </c>
      <c r="N47">
        <v>12</v>
      </c>
      <c r="O47">
        <f t="shared" si="6"/>
        <v>70.599999999999994</v>
      </c>
      <c r="P47">
        <v>42</v>
      </c>
      <c r="Q47">
        <f t="shared" si="5"/>
        <v>0.63701298701298703</v>
      </c>
      <c r="R47" s="6">
        <f t="shared" si="0"/>
        <v>0.19110389610389611</v>
      </c>
      <c r="S47" s="6">
        <f t="shared" si="1"/>
        <v>12.108896103896104</v>
      </c>
      <c r="T47" s="6">
        <f t="shared" si="4"/>
        <v>93.594805194805204</v>
      </c>
      <c r="V47">
        <v>180</v>
      </c>
      <c r="X47">
        <v>44603.000000000007</v>
      </c>
      <c r="AA47">
        <v>10.9158253094635</v>
      </c>
    </row>
    <row r="48" spans="1:27" x14ac:dyDescent="0.25">
      <c r="A48" s="48"/>
      <c r="B48" s="3"/>
      <c r="C48" s="4">
        <v>41929</v>
      </c>
      <c r="D48">
        <v>14.7</v>
      </c>
      <c r="E48">
        <v>12.8</v>
      </c>
      <c r="F48">
        <v>18.600000000000001</v>
      </c>
      <c r="G48">
        <v>691</v>
      </c>
      <c r="J48">
        <v>0.2</v>
      </c>
      <c r="K48">
        <f t="shared" si="2"/>
        <v>117.69999999999997</v>
      </c>
      <c r="L48">
        <v>1</v>
      </c>
      <c r="M48">
        <f t="shared" si="3"/>
        <v>83.099999999999966</v>
      </c>
      <c r="N48">
        <v>-0.8</v>
      </c>
      <c r="O48">
        <f t="shared" si="6"/>
        <v>69.8</v>
      </c>
      <c r="P48">
        <v>43</v>
      </c>
      <c r="Q48">
        <f t="shared" si="5"/>
        <v>0.6454545454545455</v>
      </c>
      <c r="R48" s="6">
        <f t="shared" si="0"/>
        <v>0.6454545454545455</v>
      </c>
      <c r="S48" s="6">
        <f t="shared" si="1"/>
        <v>-0.44545454545454549</v>
      </c>
      <c r="T48" s="6">
        <f t="shared" si="4"/>
        <v>93.149350649350652</v>
      </c>
      <c r="V48">
        <v>539.6</v>
      </c>
      <c r="X48">
        <v>45142.600000000006</v>
      </c>
      <c r="AA48">
        <v>10.860969225838</v>
      </c>
    </row>
    <row r="49" spans="1:27" x14ac:dyDescent="0.25">
      <c r="A49" s="48"/>
      <c r="B49" s="3"/>
      <c r="C49" s="4">
        <v>41930</v>
      </c>
      <c r="D49">
        <v>14.2</v>
      </c>
      <c r="E49">
        <v>9</v>
      </c>
      <c r="F49">
        <v>21.1</v>
      </c>
      <c r="G49">
        <v>705.2</v>
      </c>
      <c r="J49">
        <v>0.1</v>
      </c>
      <c r="K49">
        <f t="shared" si="2"/>
        <v>117.79999999999997</v>
      </c>
      <c r="L49">
        <v>2.1</v>
      </c>
      <c r="M49">
        <f t="shared" si="3"/>
        <v>85.19999999999996</v>
      </c>
      <c r="N49">
        <v>-2</v>
      </c>
      <c r="O49">
        <f t="shared" si="6"/>
        <v>67.8</v>
      </c>
      <c r="P49">
        <v>44</v>
      </c>
      <c r="Q49">
        <f t="shared" si="5"/>
        <v>0.65389610389610386</v>
      </c>
      <c r="R49" s="6">
        <f t="shared" si="0"/>
        <v>1.3731818181818183</v>
      </c>
      <c r="S49" s="6">
        <f t="shared" si="1"/>
        <v>-1.2731818181818182</v>
      </c>
      <c r="T49" s="6">
        <f t="shared" si="4"/>
        <v>91.87616883116884</v>
      </c>
      <c r="V49">
        <v>1319.1</v>
      </c>
      <c r="X49">
        <v>46461.700000000004</v>
      </c>
      <c r="AA49">
        <v>10.8062667827186</v>
      </c>
    </row>
    <row r="50" spans="1:27" x14ac:dyDescent="0.25">
      <c r="A50" s="48"/>
      <c r="B50" s="3"/>
      <c r="C50" s="4">
        <v>41931</v>
      </c>
      <c r="D50">
        <v>16.2</v>
      </c>
      <c r="E50">
        <v>11</v>
      </c>
      <c r="F50">
        <v>22.7</v>
      </c>
      <c r="G50">
        <v>721.40000000000009</v>
      </c>
      <c r="J50">
        <v>0</v>
      </c>
      <c r="K50">
        <f t="shared" si="2"/>
        <v>117.79999999999997</v>
      </c>
      <c r="L50">
        <v>2</v>
      </c>
      <c r="M50">
        <f t="shared" si="3"/>
        <v>87.19999999999996</v>
      </c>
      <c r="N50">
        <v>-2</v>
      </c>
      <c r="O50">
        <f t="shared" si="6"/>
        <v>65.8</v>
      </c>
      <c r="P50">
        <v>45</v>
      </c>
      <c r="Q50">
        <f t="shared" si="5"/>
        <v>0.66233766233766234</v>
      </c>
      <c r="R50" s="6">
        <f t="shared" si="0"/>
        <v>1.3246753246753247</v>
      </c>
      <c r="S50" s="6">
        <f t="shared" si="1"/>
        <v>-1.3246753246753247</v>
      </c>
      <c r="T50" s="6">
        <f t="shared" si="4"/>
        <v>90.551493506493514</v>
      </c>
      <c r="V50">
        <v>1123.2</v>
      </c>
      <c r="X50">
        <v>47584.9</v>
      </c>
      <c r="AA50">
        <v>10.7517287328947</v>
      </c>
    </row>
    <row r="51" spans="1:27" x14ac:dyDescent="0.25">
      <c r="A51" s="48"/>
      <c r="B51" s="3"/>
      <c r="C51" s="4">
        <v>41932</v>
      </c>
      <c r="D51">
        <v>16.8</v>
      </c>
      <c r="E51">
        <v>13.8</v>
      </c>
      <c r="F51">
        <v>21.3</v>
      </c>
      <c r="G51">
        <v>738.2</v>
      </c>
      <c r="J51">
        <v>6.9</v>
      </c>
      <c r="K51">
        <f t="shared" si="2"/>
        <v>124.69999999999997</v>
      </c>
      <c r="L51">
        <v>0.6</v>
      </c>
      <c r="M51">
        <f t="shared" si="3"/>
        <v>87.799999999999955</v>
      </c>
      <c r="N51">
        <v>6.3000000000000007</v>
      </c>
      <c r="O51">
        <f t="shared" si="6"/>
        <v>72.099999999999994</v>
      </c>
      <c r="P51">
        <v>46</v>
      </c>
      <c r="Q51">
        <f t="shared" si="5"/>
        <v>0.6707792207792207</v>
      </c>
      <c r="R51" s="6">
        <f t="shared" si="0"/>
        <v>0.40246753246753242</v>
      </c>
      <c r="S51" s="6">
        <f t="shared" si="1"/>
        <v>6.4975324675324675</v>
      </c>
      <c r="T51" s="6">
        <f t="shared" si="4"/>
        <v>97.04902597402598</v>
      </c>
      <c r="V51">
        <v>502.6</v>
      </c>
      <c r="X51">
        <v>48087.5</v>
      </c>
      <c r="AA51">
        <v>10.697366263090901</v>
      </c>
    </row>
    <row r="52" spans="1:27" x14ac:dyDescent="0.25">
      <c r="A52" s="48"/>
      <c r="B52" s="3"/>
      <c r="C52" s="4">
        <v>41933</v>
      </c>
      <c r="D52">
        <v>14.1</v>
      </c>
      <c r="E52">
        <v>12.2</v>
      </c>
      <c r="F52">
        <v>18.2</v>
      </c>
      <c r="G52">
        <v>752.30000000000007</v>
      </c>
      <c r="J52">
        <v>2.8</v>
      </c>
      <c r="K52">
        <f t="shared" si="2"/>
        <v>127.49999999999997</v>
      </c>
      <c r="L52">
        <v>1.3</v>
      </c>
      <c r="M52">
        <f t="shared" si="3"/>
        <v>89.099999999999952</v>
      </c>
      <c r="N52">
        <v>1.4999999999999998</v>
      </c>
      <c r="O52">
        <f t="shared" si="6"/>
        <v>73.599999999999994</v>
      </c>
      <c r="P52">
        <v>47</v>
      </c>
      <c r="Q52">
        <f t="shared" si="5"/>
        <v>0.67922077922077917</v>
      </c>
      <c r="R52" s="6">
        <f t="shared" si="0"/>
        <v>0.88298701298701299</v>
      </c>
      <c r="S52" s="6">
        <f t="shared" si="1"/>
        <v>1.9170129870129868</v>
      </c>
      <c r="T52" s="6">
        <f t="shared" si="4"/>
        <v>98.966038961038961</v>
      </c>
      <c r="V52">
        <v>481.4</v>
      </c>
      <c r="X52">
        <v>48568.9</v>
      </c>
      <c r="AA52">
        <v>10.6431910103682</v>
      </c>
    </row>
    <row r="53" spans="1:27" x14ac:dyDescent="0.25">
      <c r="A53" s="48"/>
      <c r="B53" s="3"/>
      <c r="C53" s="4">
        <v>41934</v>
      </c>
      <c r="D53">
        <v>8.5</v>
      </c>
      <c r="E53">
        <v>6.8</v>
      </c>
      <c r="F53">
        <v>11.3</v>
      </c>
      <c r="G53">
        <v>760.80000000000007</v>
      </c>
      <c r="J53">
        <v>0.4</v>
      </c>
      <c r="K53">
        <f t="shared" si="2"/>
        <v>127.89999999999998</v>
      </c>
      <c r="L53">
        <v>1.2</v>
      </c>
      <c r="M53">
        <f t="shared" si="3"/>
        <v>90.299999999999955</v>
      </c>
      <c r="N53">
        <v>-0.79999999999999993</v>
      </c>
      <c r="O53">
        <f t="shared" si="6"/>
        <v>72.8</v>
      </c>
      <c r="P53">
        <v>48</v>
      </c>
      <c r="Q53">
        <f t="shared" si="5"/>
        <v>0.68766233766233764</v>
      </c>
      <c r="R53" s="6">
        <f t="shared" si="0"/>
        <v>0.82519480519480515</v>
      </c>
      <c r="S53" s="6">
        <f t="shared" si="1"/>
        <v>-0.42519480519480513</v>
      </c>
      <c r="T53" s="6">
        <f t="shared" si="4"/>
        <v>98.540844155844155</v>
      </c>
      <c r="V53">
        <v>526.6</v>
      </c>
      <c r="X53">
        <v>49095.5</v>
      </c>
      <c r="AA53">
        <v>10.5892150782014</v>
      </c>
    </row>
    <row r="54" spans="1:27" x14ac:dyDescent="0.25">
      <c r="A54" s="48"/>
      <c r="B54" s="3"/>
      <c r="C54" s="4">
        <v>41935</v>
      </c>
      <c r="D54">
        <v>7.8</v>
      </c>
      <c r="E54">
        <v>6</v>
      </c>
      <c r="F54">
        <v>10.9</v>
      </c>
      <c r="G54">
        <v>768.6</v>
      </c>
      <c r="J54">
        <v>0</v>
      </c>
      <c r="K54">
        <f t="shared" si="2"/>
        <v>127.89999999999998</v>
      </c>
      <c r="L54">
        <v>0.5</v>
      </c>
      <c r="M54">
        <f t="shared" si="3"/>
        <v>90.799999999999955</v>
      </c>
      <c r="N54">
        <v>-0.5</v>
      </c>
      <c r="O54">
        <f t="shared" si="6"/>
        <v>72.3</v>
      </c>
      <c r="P54">
        <v>49</v>
      </c>
      <c r="Q54">
        <f t="shared" si="5"/>
        <v>0.69610389610389611</v>
      </c>
      <c r="R54" s="6">
        <f t="shared" si="0"/>
        <v>0.34805194805194806</v>
      </c>
      <c r="S54" s="6">
        <f t="shared" si="1"/>
        <v>-0.34805194805194806</v>
      </c>
      <c r="T54" s="6">
        <f t="shared" si="4"/>
        <v>98.192792207792209</v>
      </c>
      <c r="V54">
        <v>376.8</v>
      </c>
      <c r="X54">
        <v>49472.3</v>
      </c>
      <c r="AA54">
        <v>10.535451052172499</v>
      </c>
    </row>
    <row r="55" spans="1:27" x14ac:dyDescent="0.25">
      <c r="A55" s="48"/>
      <c r="B55" s="3"/>
      <c r="C55" s="4">
        <v>41936</v>
      </c>
      <c r="D55">
        <v>8.5</v>
      </c>
      <c r="E55">
        <v>3.7</v>
      </c>
      <c r="F55">
        <v>12.6</v>
      </c>
      <c r="G55">
        <v>777.1</v>
      </c>
      <c r="J55">
        <v>0</v>
      </c>
      <c r="K55">
        <f t="shared" si="2"/>
        <v>127.89999999999998</v>
      </c>
      <c r="L55">
        <v>1.1000000000000001</v>
      </c>
      <c r="M55">
        <f t="shared" si="3"/>
        <v>91.899999999999949</v>
      </c>
      <c r="N55">
        <v>-1.1000000000000001</v>
      </c>
      <c r="O55">
        <f t="shared" si="6"/>
        <v>71.2</v>
      </c>
      <c r="P55">
        <v>50</v>
      </c>
      <c r="Q55">
        <f t="shared" si="5"/>
        <v>0.70454545454545459</v>
      </c>
      <c r="R55" s="6">
        <f t="shared" si="0"/>
        <v>0.77500000000000013</v>
      </c>
      <c r="S55" s="6">
        <f t="shared" si="1"/>
        <v>-0.77500000000000013</v>
      </c>
      <c r="T55" s="6">
        <f t="shared" si="4"/>
        <v>97.417792207792203</v>
      </c>
      <c r="V55">
        <v>934.5</v>
      </c>
      <c r="X55">
        <v>50406.8</v>
      </c>
      <c r="AA55">
        <v>10.4819120152137</v>
      </c>
    </row>
    <row r="56" spans="1:27" x14ac:dyDescent="0.25">
      <c r="A56" s="48"/>
      <c r="B56" s="3"/>
      <c r="C56" s="4">
        <v>41937</v>
      </c>
      <c r="D56">
        <v>10.9</v>
      </c>
      <c r="E56">
        <v>7</v>
      </c>
      <c r="F56">
        <v>15</v>
      </c>
      <c r="G56">
        <v>788</v>
      </c>
      <c r="J56">
        <v>0</v>
      </c>
      <c r="K56">
        <f t="shared" si="2"/>
        <v>127.89999999999998</v>
      </c>
      <c r="L56">
        <v>0.7</v>
      </c>
      <c r="M56">
        <f t="shared" si="3"/>
        <v>92.599999999999952</v>
      </c>
      <c r="N56">
        <v>-0.7</v>
      </c>
      <c r="O56">
        <f t="shared" si="6"/>
        <v>70.5</v>
      </c>
      <c r="P56">
        <v>51</v>
      </c>
      <c r="Q56">
        <f t="shared" si="5"/>
        <v>0.71298701298701295</v>
      </c>
      <c r="R56" s="6">
        <f t="shared" si="0"/>
        <v>0.49909090909090903</v>
      </c>
      <c r="S56" s="6">
        <f t="shared" si="1"/>
        <v>-0.49909090909090903</v>
      </c>
      <c r="T56" s="6">
        <f t="shared" si="4"/>
        <v>96.918701298701293</v>
      </c>
      <c r="V56">
        <v>502.8</v>
      </c>
      <c r="X56">
        <v>50909.600000000006</v>
      </c>
      <c r="AA56">
        <v>10.428611562326401</v>
      </c>
    </row>
    <row r="57" spans="1:27" x14ac:dyDescent="0.25">
      <c r="A57" s="48"/>
      <c r="B57" s="3"/>
      <c r="C57" s="4">
        <v>41938</v>
      </c>
      <c r="D57">
        <v>10.7</v>
      </c>
      <c r="E57">
        <v>6.8</v>
      </c>
      <c r="F57">
        <v>16.399999999999999</v>
      </c>
      <c r="G57">
        <v>798.7</v>
      </c>
      <c r="J57">
        <v>0</v>
      </c>
      <c r="K57">
        <f t="shared" si="2"/>
        <v>127.89999999999998</v>
      </c>
      <c r="L57">
        <v>1.3</v>
      </c>
      <c r="M57">
        <f t="shared" si="3"/>
        <v>93.899999999999949</v>
      </c>
      <c r="N57">
        <v>-1.3</v>
      </c>
      <c r="O57">
        <f t="shared" si="6"/>
        <v>69.2</v>
      </c>
      <c r="P57">
        <v>52</v>
      </c>
      <c r="Q57">
        <f t="shared" si="5"/>
        <v>0.72142857142857142</v>
      </c>
      <c r="R57" s="6">
        <f t="shared" si="0"/>
        <v>0.93785714285714283</v>
      </c>
      <c r="S57" s="6">
        <f t="shared" si="1"/>
        <v>-0.93785714285714283</v>
      </c>
      <c r="T57" s="6">
        <f t="shared" si="4"/>
        <v>95.980844155844153</v>
      </c>
      <c r="V57">
        <v>1021</v>
      </c>
      <c r="X57">
        <v>51930.600000000006</v>
      </c>
      <c r="AA57">
        <v>10.375563814700399</v>
      </c>
    </row>
    <row r="58" spans="1:27" x14ac:dyDescent="0.25">
      <c r="A58" s="48"/>
      <c r="B58" s="3"/>
      <c r="C58" s="4">
        <v>41939</v>
      </c>
      <c r="D58">
        <v>8.8000000000000007</v>
      </c>
      <c r="E58">
        <v>7.3</v>
      </c>
      <c r="F58">
        <v>10.1</v>
      </c>
      <c r="G58">
        <v>807.5</v>
      </c>
      <c r="J58">
        <v>0</v>
      </c>
      <c r="K58">
        <f t="shared" si="2"/>
        <v>127.89999999999998</v>
      </c>
      <c r="L58">
        <v>0.2</v>
      </c>
      <c r="M58">
        <f t="shared" si="3"/>
        <v>94.099999999999952</v>
      </c>
      <c r="N58">
        <v>-0.2</v>
      </c>
      <c r="O58">
        <f t="shared" si="6"/>
        <v>69</v>
      </c>
      <c r="P58">
        <v>53</v>
      </c>
      <c r="Q58">
        <f t="shared" si="5"/>
        <v>0.72987012987012978</v>
      </c>
      <c r="R58" s="6">
        <f t="shared" si="0"/>
        <v>0.14597402597402595</v>
      </c>
      <c r="S58" s="6">
        <f t="shared" si="1"/>
        <v>-0.14597402597402595</v>
      </c>
      <c r="T58" s="6">
        <f t="shared" si="4"/>
        <v>95.834870129870126</v>
      </c>
      <c r="V58">
        <v>192.2</v>
      </c>
      <c r="X58">
        <v>52122.8</v>
      </c>
      <c r="AA58">
        <v>10.3227834331477</v>
      </c>
    </row>
    <row r="59" spans="1:27" x14ac:dyDescent="0.25">
      <c r="A59" s="48"/>
      <c r="B59" s="3"/>
      <c r="C59" s="4">
        <v>41940</v>
      </c>
      <c r="D59">
        <v>8.9</v>
      </c>
      <c r="E59">
        <v>7.4</v>
      </c>
      <c r="F59">
        <v>11.6</v>
      </c>
      <c r="G59">
        <v>816.4</v>
      </c>
      <c r="J59">
        <v>0.4</v>
      </c>
      <c r="K59">
        <f t="shared" si="2"/>
        <v>128.29999999999998</v>
      </c>
      <c r="L59">
        <v>0.8</v>
      </c>
      <c r="M59">
        <f t="shared" si="3"/>
        <v>94.899999999999949</v>
      </c>
      <c r="N59">
        <v>-0.4</v>
      </c>
      <c r="O59">
        <f t="shared" si="6"/>
        <v>68.599999999999994</v>
      </c>
      <c r="P59">
        <v>54</v>
      </c>
      <c r="Q59">
        <f t="shared" si="5"/>
        <v>0.73831168831168825</v>
      </c>
      <c r="R59" s="6">
        <f t="shared" si="0"/>
        <v>0.59064935064935065</v>
      </c>
      <c r="S59" s="6">
        <f t="shared" si="1"/>
        <v>-0.19064935064935062</v>
      </c>
      <c r="T59" s="6">
        <f t="shared" si="4"/>
        <v>95.644220779220774</v>
      </c>
      <c r="V59">
        <v>449.5</v>
      </c>
      <c r="X59">
        <v>52572.3</v>
      </c>
      <c r="AA59">
        <v>10.2702856307623</v>
      </c>
    </row>
    <row r="60" spans="1:27" x14ac:dyDescent="0.25">
      <c r="A60" s="48"/>
      <c r="B60" s="3"/>
      <c r="C60" s="4">
        <v>41941</v>
      </c>
      <c r="D60">
        <v>8</v>
      </c>
      <c r="E60">
        <v>5.7</v>
      </c>
      <c r="F60">
        <v>9.4</v>
      </c>
      <c r="G60">
        <v>824.4</v>
      </c>
      <c r="J60">
        <v>0.2</v>
      </c>
      <c r="K60">
        <f t="shared" si="2"/>
        <v>128.49999999999997</v>
      </c>
      <c r="L60">
        <v>0.3</v>
      </c>
      <c r="M60">
        <f t="shared" si="3"/>
        <v>95.199999999999946</v>
      </c>
      <c r="N60">
        <v>-9.9999999999999978E-2</v>
      </c>
      <c r="O60">
        <f t="shared" si="6"/>
        <v>68.5</v>
      </c>
      <c r="P60">
        <v>55</v>
      </c>
      <c r="Q60">
        <f t="shared" si="5"/>
        <v>0.74675324675324672</v>
      </c>
      <c r="R60" s="6">
        <f t="shared" si="0"/>
        <v>0.22402597402597402</v>
      </c>
      <c r="S60" s="6">
        <f t="shared" si="1"/>
        <v>-2.4025974025974006E-2</v>
      </c>
      <c r="T60" s="6">
        <f t="shared" si="4"/>
        <v>95.620194805194799</v>
      </c>
      <c r="V60">
        <v>261.39999999999998</v>
      </c>
      <c r="X60">
        <v>52833.700000000004</v>
      </c>
      <c r="AA60">
        <v>10.218086184709801</v>
      </c>
    </row>
    <row r="61" spans="1:27" x14ac:dyDescent="0.25">
      <c r="A61" s="48"/>
      <c r="B61" s="3"/>
      <c r="C61" s="4">
        <v>41942</v>
      </c>
      <c r="D61">
        <v>9.4</v>
      </c>
      <c r="E61">
        <v>8.1</v>
      </c>
      <c r="F61">
        <v>11.9</v>
      </c>
      <c r="G61">
        <v>833.8</v>
      </c>
      <c r="J61">
        <v>0.5</v>
      </c>
      <c r="K61">
        <f t="shared" si="2"/>
        <v>128.99999999999997</v>
      </c>
      <c r="L61">
        <v>0.5</v>
      </c>
      <c r="M61">
        <f t="shared" si="3"/>
        <v>95.699999999999946</v>
      </c>
      <c r="N61">
        <v>0</v>
      </c>
      <c r="O61">
        <f t="shared" si="6"/>
        <v>68.5</v>
      </c>
      <c r="P61">
        <v>56</v>
      </c>
      <c r="Q61">
        <f t="shared" si="5"/>
        <v>0.7551948051948052</v>
      </c>
      <c r="R61" s="6">
        <f t="shared" si="0"/>
        <v>0.3775974025974026</v>
      </c>
      <c r="S61" s="6">
        <f t="shared" si="1"/>
        <v>0.1224025974025974</v>
      </c>
      <c r="T61" s="6">
        <f t="shared" si="4"/>
        <v>95.742597402597397</v>
      </c>
      <c r="V61">
        <v>395.6</v>
      </c>
      <c r="X61">
        <v>53229.3</v>
      </c>
      <c r="AA61">
        <v>10.166201447045999</v>
      </c>
    </row>
    <row r="62" spans="1:27" x14ac:dyDescent="0.25">
      <c r="A62" s="48"/>
      <c r="B62" s="3"/>
      <c r="C62" s="4">
        <v>41943</v>
      </c>
      <c r="D62">
        <v>8.1</v>
      </c>
      <c r="E62">
        <v>7.1</v>
      </c>
      <c r="F62">
        <v>9.1999999999999993</v>
      </c>
      <c r="G62">
        <v>841.9</v>
      </c>
      <c r="J62">
        <v>0.1</v>
      </c>
      <c r="K62">
        <f t="shared" si="2"/>
        <v>129.09999999999997</v>
      </c>
      <c r="L62">
        <v>0.4</v>
      </c>
      <c r="M62">
        <f t="shared" si="3"/>
        <v>96.099999999999952</v>
      </c>
      <c r="N62">
        <v>-0.30000000000000004</v>
      </c>
      <c r="O62">
        <f t="shared" si="6"/>
        <v>68.2</v>
      </c>
      <c r="P62">
        <v>57</v>
      </c>
      <c r="Q62">
        <f t="shared" si="5"/>
        <v>0.76363636363636367</v>
      </c>
      <c r="R62" s="6">
        <f t="shared" si="0"/>
        <v>0.30545454545454548</v>
      </c>
      <c r="S62" s="6">
        <f t="shared" si="1"/>
        <v>-0.20545454545454547</v>
      </c>
      <c r="T62" s="6">
        <f t="shared" si="4"/>
        <v>95.537142857142854</v>
      </c>
      <c r="V62">
        <v>308.39999999999998</v>
      </c>
      <c r="X62">
        <v>53537.700000000004</v>
      </c>
      <c r="AA62">
        <v>10.114648354455101</v>
      </c>
    </row>
    <row r="63" spans="1:27" x14ac:dyDescent="0.25">
      <c r="A63" s="48"/>
      <c r="B63" s="3"/>
      <c r="C63" s="4">
        <v>41944</v>
      </c>
      <c r="D63">
        <v>7.9</v>
      </c>
      <c r="E63">
        <v>5.8</v>
      </c>
      <c r="F63">
        <v>11</v>
      </c>
      <c r="G63">
        <v>849.8</v>
      </c>
      <c r="J63">
        <v>0.1</v>
      </c>
      <c r="K63">
        <f t="shared" si="2"/>
        <v>129.19999999999996</v>
      </c>
      <c r="L63">
        <v>0.8</v>
      </c>
      <c r="M63">
        <f t="shared" si="3"/>
        <v>96.899999999999949</v>
      </c>
      <c r="N63">
        <v>-0.70000000000000007</v>
      </c>
      <c r="O63">
        <f t="shared" si="6"/>
        <v>67.5</v>
      </c>
      <c r="P63">
        <v>58</v>
      </c>
      <c r="Q63">
        <f t="shared" si="5"/>
        <v>0.77207792207792214</v>
      </c>
      <c r="R63" s="6">
        <f t="shared" si="0"/>
        <v>0.6176623376623378</v>
      </c>
      <c r="S63" s="6">
        <f t="shared" si="1"/>
        <v>-0.51766233766233782</v>
      </c>
      <c r="T63" s="6">
        <f t="shared" si="4"/>
        <v>95.01948051948051</v>
      </c>
      <c r="V63">
        <v>494.1</v>
      </c>
      <c r="X63">
        <v>54031.8</v>
      </c>
      <c r="AA63">
        <v>10.0634444367965</v>
      </c>
    </row>
    <row r="64" spans="1:27" x14ac:dyDescent="0.25">
      <c r="A64" s="48"/>
      <c r="B64" s="3"/>
      <c r="C64" s="4">
        <v>41945</v>
      </c>
      <c r="D64">
        <v>10.5</v>
      </c>
      <c r="E64">
        <v>5.5</v>
      </c>
      <c r="F64">
        <v>15.2</v>
      </c>
      <c r="G64">
        <v>860.3</v>
      </c>
      <c r="J64">
        <v>7.5</v>
      </c>
      <c r="K64">
        <f t="shared" si="2"/>
        <v>136.69999999999996</v>
      </c>
      <c r="L64">
        <v>0.7</v>
      </c>
      <c r="M64">
        <f t="shared" si="3"/>
        <v>97.599999999999952</v>
      </c>
      <c r="N64">
        <v>6.8</v>
      </c>
      <c r="O64">
        <f t="shared" si="6"/>
        <v>74.3</v>
      </c>
      <c r="P64">
        <v>59</v>
      </c>
      <c r="Q64">
        <f t="shared" si="5"/>
        <v>0.7805194805194805</v>
      </c>
      <c r="R64" s="6">
        <f t="shared" si="0"/>
        <v>0.54636363636363627</v>
      </c>
      <c r="S64" s="6">
        <f t="shared" si="1"/>
        <v>6.9536363636363641</v>
      </c>
      <c r="T64" s="6">
        <f t="shared" si="4"/>
        <v>101.97311688311687</v>
      </c>
      <c r="V64">
        <v>316.60000000000002</v>
      </c>
      <c r="X64">
        <v>54348.4</v>
      </c>
      <c r="AA64">
        <v>10.0126078243393</v>
      </c>
    </row>
    <row r="65" spans="1:27" x14ac:dyDescent="0.25">
      <c r="A65" s="48"/>
      <c r="B65" s="3"/>
      <c r="C65" s="4">
        <v>41946</v>
      </c>
      <c r="D65">
        <v>13.3</v>
      </c>
      <c r="E65">
        <v>11.3</v>
      </c>
      <c r="F65">
        <v>15.2</v>
      </c>
      <c r="G65">
        <v>873.59999999999991</v>
      </c>
      <c r="J65">
        <v>54.3</v>
      </c>
      <c r="K65">
        <f t="shared" si="2"/>
        <v>190.99999999999994</v>
      </c>
      <c r="L65">
        <v>1</v>
      </c>
      <c r="M65">
        <f t="shared" si="3"/>
        <v>98.599999999999952</v>
      </c>
      <c r="N65">
        <v>53.3</v>
      </c>
      <c r="O65">
        <v>122.1</v>
      </c>
      <c r="P65">
        <v>60</v>
      </c>
      <c r="Q65">
        <f t="shared" si="5"/>
        <v>0.78896103896103897</v>
      </c>
      <c r="R65" s="6">
        <f t="shared" si="0"/>
        <v>0.78896103896103897</v>
      </c>
      <c r="S65" s="6">
        <f t="shared" si="1"/>
        <v>53.511038961038956</v>
      </c>
      <c r="T65" s="6">
        <f t="shared" si="4"/>
        <v>122.1</v>
      </c>
      <c r="V65">
        <v>134.19999999999999</v>
      </c>
      <c r="X65">
        <v>54482.6</v>
      </c>
      <c r="AA65">
        <v>9.9621572535609193</v>
      </c>
    </row>
    <row r="66" spans="1:27" x14ac:dyDescent="0.25">
      <c r="A66" s="48"/>
      <c r="B66" s="3"/>
      <c r="C66" s="4">
        <v>41947</v>
      </c>
      <c r="D66">
        <v>10.1</v>
      </c>
      <c r="E66">
        <v>8.5</v>
      </c>
      <c r="F66">
        <v>11.8</v>
      </c>
      <c r="G66">
        <v>883.69999999999993</v>
      </c>
      <c r="J66">
        <v>47.9</v>
      </c>
      <c r="K66">
        <f t="shared" si="2"/>
        <v>238.89999999999995</v>
      </c>
      <c r="L66">
        <v>0.5</v>
      </c>
      <c r="M66">
        <f t="shared" si="3"/>
        <v>99.099999999999952</v>
      </c>
      <c r="N66">
        <v>47.4</v>
      </c>
      <c r="O66">
        <v>122.1</v>
      </c>
      <c r="P66">
        <v>61</v>
      </c>
      <c r="Q66">
        <f t="shared" si="5"/>
        <v>0.79740259740259734</v>
      </c>
      <c r="R66" s="6">
        <f t="shared" si="0"/>
        <v>0.39870129870129867</v>
      </c>
      <c r="S66" s="6">
        <f t="shared" si="1"/>
        <v>47.501298701298701</v>
      </c>
      <c r="T66" s="6">
        <f t="shared" si="4"/>
        <v>122.1</v>
      </c>
      <c r="V66">
        <v>136.6</v>
      </c>
      <c r="X66">
        <v>54619.199999999997</v>
      </c>
      <c r="AA66">
        <v>9.9121120713802107</v>
      </c>
    </row>
    <row r="67" spans="1:27" x14ac:dyDescent="0.25">
      <c r="A67" s="48"/>
      <c r="B67" s="3"/>
      <c r="C67" s="4">
        <v>41948</v>
      </c>
      <c r="D67">
        <v>7.8</v>
      </c>
      <c r="E67">
        <v>7.7</v>
      </c>
      <c r="F67">
        <v>9.6</v>
      </c>
      <c r="G67">
        <v>891.49999999999989</v>
      </c>
      <c r="J67">
        <v>0.7</v>
      </c>
      <c r="K67">
        <f t="shared" si="2"/>
        <v>239.59999999999994</v>
      </c>
      <c r="L67">
        <v>0.3</v>
      </c>
      <c r="M67">
        <f t="shared" si="3"/>
        <v>99.399999999999949</v>
      </c>
      <c r="N67">
        <v>0.39999999999999997</v>
      </c>
      <c r="O67">
        <v>122.1</v>
      </c>
      <c r="P67">
        <v>62</v>
      </c>
      <c r="Q67">
        <f t="shared" si="5"/>
        <v>0.80584415584415581</v>
      </c>
      <c r="R67" s="6">
        <f t="shared" si="0"/>
        <v>0.24175324675324672</v>
      </c>
      <c r="S67" s="6">
        <f t="shared" si="1"/>
        <v>0.45824675324675324</v>
      </c>
      <c r="T67" s="6">
        <f t="shared" si="4"/>
        <v>122.1</v>
      </c>
      <c r="V67">
        <v>377.8</v>
      </c>
      <c r="X67">
        <v>54997</v>
      </c>
      <c r="AA67">
        <v>9.8624922376918391</v>
      </c>
    </row>
    <row r="68" spans="1:27" x14ac:dyDescent="0.25">
      <c r="A68" s="48"/>
      <c r="B68" s="3"/>
      <c r="C68" s="4">
        <v>41949</v>
      </c>
      <c r="D68">
        <v>4</v>
      </c>
      <c r="E68">
        <v>0.7</v>
      </c>
      <c r="F68">
        <v>7.5</v>
      </c>
      <c r="G68">
        <v>895.49999999999989</v>
      </c>
      <c r="J68">
        <v>0.1</v>
      </c>
      <c r="K68">
        <f t="shared" si="2"/>
        <v>239.69999999999993</v>
      </c>
      <c r="L68">
        <v>0.3</v>
      </c>
      <c r="M68">
        <f t="shared" si="3"/>
        <v>99.699999999999946</v>
      </c>
      <c r="N68">
        <v>-0.19999999999999998</v>
      </c>
      <c r="O68">
        <f>O67+N68</f>
        <v>121.89999999999999</v>
      </c>
      <c r="P68">
        <v>63</v>
      </c>
      <c r="Q68">
        <f t="shared" si="5"/>
        <v>0.81428571428571428</v>
      </c>
      <c r="R68" s="6">
        <f t="shared" si="0"/>
        <v>0.24428571428571427</v>
      </c>
      <c r="S68" s="6">
        <f t="shared" si="1"/>
        <v>-0.14428571428571427</v>
      </c>
      <c r="T68" s="6">
        <f t="shared" si="4"/>
        <v>121.95571428571428</v>
      </c>
      <c r="V68">
        <v>382.4</v>
      </c>
      <c r="X68">
        <v>55379.4</v>
      </c>
      <c r="AA68">
        <v>9.8133183260629799</v>
      </c>
    </row>
    <row r="69" spans="1:27" x14ac:dyDescent="0.25">
      <c r="A69" s="48"/>
      <c r="B69" s="3"/>
      <c r="C69" s="4">
        <v>41950</v>
      </c>
      <c r="D69">
        <v>5.5</v>
      </c>
      <c r="E69">
        <v>2.6</v>
      </c>
      <c r="F69">
        <v>7.3</v>
      </c>
      <c r="G69">
        <v>900.99999999999989</v>
      </c>
      <c r="J69">
        <v>1.7</v>
      </c>
      <c r="K69">
        <f t="shared" si="2"/>
        <v>241.39999999999992</v>
      </c>
      <c r="L69">
        <v>0.2</v>
      </c>
      <c r="M69">
        <f t="shared" si="3"/>
        <v>99.899999999999949</v>
      </c>
      <c r="N69">
        <v>1.5</v>
      </c>
      <c r="O69">
        <v>122.1</v>
      </c>
      <c r="P69">
        <v>64</v>
      </c>
      <c r="Q69">
        <f t="shared" si="5"/>
        <v>0.82272727272727275</v>
      </c>
      <c r="R69" s="6">
        <f t="shared" si="0"/>
        <v>0.16454545454545455</v>
      </c>
      <c r="S69" s="6">
        <f t="shared" si="1"/>
        <v>1.5354545454545454</v>
      </c>
      <c r="T69" s="6">
        <f t="shared" si="4"/>
        <v>122.1</v>
      </c>
      <c r="V69">
        <v>143.1</v>
      </c>
      <c r="X69">
        <v>55522.5</v>
      </c>
      <c r="AA69">
        <v>9.7646115224518102</v>
      </c>
    </row>
    <row r="70" spans="1:27" x14ac:dyDescent="0.25">
      <c r="A70" s="48"/>
      <c r="B70" s="3"/>
      <c r="C70" s="4">
        <v>41951</v>
      </c>
      <c r="D70">
        <v>6</v>
      </c>
      <c r="E70">
        <v>1.3</v>
      </c>
      <c r="F70">
        <v>11.5</v>
      </c>
      <c r="G70">
        <v>906.99999999999989</v>
      </c>
      <c r="J70">
        <v>0.1</v>
      </c>
      <c r="K70">
        <f t="shared" si="2"/>
        <v>241.49999999999991</v>
      </c>
      <c r="L70">
        <v>0.6</v>
      </c>
      <c r="M70">
        <f t="shared" si="3"/>
        <v>100.49999999999994</v>
      </c>
      <c r="N70">
        <v>-0.5</v>
      </c>
      <c r="O70">
        <f>O69+N70</f>
        <v>121.6</v>
      </c>
      <c r="P70">
        <v>65</v>
      </c>
      <c r="Q70">
        <f t="shared" si="5"/>
        <v>0.83116883116883122</v>
      </c>
      <c r="R70" s="6">
        <f t="shared" ref="R70:R133" si="7">Q70*L70</f>
        <v>0.4987012987012987</v>
      </c>
      <c r="S70" s="6">
        <f t="shared" ref="S70:S133" si="8">J70-R70</f>
        <v>-0.39870129870129867</v>
      </c>
      <c r="T70" s="6">
        <f t="shared" si="4"/>
        <v>121.7012987012987</v>
      </c>
      <c r="V70">
        <v>812.8</v>
      </c>
      <c r="X70">
        <v>56335.3</v>
      </c>
      <c r="AA70">
        <v>9.7163936218036895</v>
      </c>
    </row>
    <row r="71" spans="1:27" x14ac:dyDescent="0.25">
      <c r="A71" s="48"/>
      <c r="B71" s="3"/>
      <c r="C71" s="4">
        <v>41952</v>
      </c>
      <c r="D71">
        <v>6.3</v>
      </c>
      <c r="E71">
        <v>3.5</v>
      </c>
      <c r="F71">
        <v>8.5</v>
      </c>
      <c r="G71">
        <v>913.29999999999984</v>
      </c>
      <c r="J71">
        <v>14.9</v>
      </c>
      <c r="K71">
        <f t="shared" si="2"/>
        <v>256.39999999999992</v>
      </c>
      <c r="L71">
        <v>0.1</v>
      </c>
      <c r="M71">
        <f t="shared" si="3"/>
        <v>100.59999999999994</v>
      </c>
      <c r="N71">
        <v>14.8</v>
      </c>
      <c r="O71">
        <v>122.1</v>
      </c>
      <c r="P71">
        <v>66</v>
      </c>
      <c r="Q71">
        <f t="shared" si="5"/>
        <v>0.8396103896103897</v>
      </c>
      <c r="R71" s="6">
        <f t="shared" si="7"/>
        <v>8.3961038961038972E-2</v>
      </c>
      <c r="S71" s="6">
        <f t="shared" si="8"/>
        <v>14.816038961038961</v>
      </c>
      <c r="T71" s="6">
        <f t="shared" si="4"/>
        <v>122.1</v>
      </c>
      <c r="V71">
        <v>92.4</v>
      </c>
      <c r="X71">
        <v>56427.700000000004</v>
      </c>
      <c r="AA71">
        <v>9.6686870223797605</v>
      </c>
    </row>
    <row r="72" spans="1:27" x14ac:dyDescent="0.25">
      <c r="A72" s="48"/>
      <c r="B72" s="3"/>
      <c r="C72" s="4">
        <v>41953</v>
      </c>
      <c r="D72">
        <v>8.1999999999999993</v>
      </c>
      <c r="E72">
        <v>6</v>
      </c>
      <c r="F72">
        <v>11.3</v>
      </c>
      <c r="G72">
        <v>921.49999999999989</v>
      </c>
      <c r="J72">
        <v>1.1000000000000001</v>
      </c>
      <c r="K72">
        <f t="shared" ref="K72:K135" si="9">K71+J72</f>
        <v>257.49999999999994</v>
      </c>
      <c r="L72">
        <v>0.2</v>
      </c>
      <c r="M72">
        <f t="shared" ref="M72:M135" si="10">M71+L72</f>
        <v>100.79999999999994</v>
      </c>
      <c r="N72">
        <v>0.90000000000000013</v>
      </c>
      <c r="O72">
        <v>122.1</v>
      </c>
      <c r="P72">
        <v>67</v>
      </c>
      <c r="Q72">
        <f t="shared" si="5"/>
        <v>0.84805194805194806</v>
      </c>
      <c r="R72" s="6">
        <f t="shared" si="7"/>
        <v>0.16961038961038963</v>
      </c>
      <c r="S72" s="6">
        <f t="shared" si="8"/>
        <v>0.93038961038961043</v>
      </c>
      <c r="T72" s="6">
        <f t="shared" ref="T72:T135" si="11">MIN(122.1,(T71+S72))</f>
        <v>122.1</v>
      </c>
      <c r="V72">
        <v>174</v>
      </c>
      <c r="X72">
        <v>56601.700000000004</v>
      </c>
      <c r="AA72">
        <v>9.6215147176715501</v>
      </c>
    </row>
    <row r="73" spans="1:27" x14ac:dyDescent="0.25">
      <c r="A73" s="48"/>
      <c r="B73" s="3"/>
      <c r="C73" s="4">
        <v>41954</v>
      </c>
      <c r="D73">
        <v>11.3</v>
      </c>
      <c r="E73">
        <v>6.1</v>
      </c>
      <c r="F73">
        <v>15.2</v>
      </c>
      <c r="G73">
        <v>932.79999999999984</v>
      </c>
      <c r="J73">
        <v>2.7</v>
      </c>
      <c r="K73">
        <f t="shared" si="9"/>
        <v>260.19999999999993</v>
      </c>
      <c r="L73">
        <v>0.3</v>
      </c>
      <c r="M73">
        <f t="shared" si="10"/>
        <v>101.09999999999994</v>
      </c>
      <c r="N73">
        <v>2.4000000000000004</v>
      </c>
      <c r="O73">
        <v>122.1</v>
      </c>
      <c r="P73">
        <v>68</v>
      </c>
      <c r="Q73">
        <f t="shared" si="5"/>
        <v>0.85649350649350653</v>
      </c>
      <c r="R73" s="6">
        <f t="shared" si="7"/>
        <v>0.25694805194805193</v>
      </c>
      <c r="S73" s="6">
        <f t="shared" si="8"/>
        <v>2.4430519480519481</v>
      </c>
      <c r="T73" s="6">
        <f t="shared" si="11"/>
        <v>122.1</v>
      </c>
      <c r="V73">
        <v>310.89999999999998</v>
      </c>
      <c r="X73">
        <v>56912.600000000006</v>
      </c>
      <c r="AA73">
        <v>9.5749002857564101</v>
      </c>
    </row>
    <row r="74" spans="1:27" x14ac:dyDescent="0.25">
      <c r="A74" s="48"/>
      <c r="B74" s="3"/>
      <c r="C74" s="4">
        <v>41955</v>
      </c>
      <c r="D74">
        <v>10.1</v>
      </c>
      <c r="E74">
        <v>10.3</v>
      </c>
      <c r="F74">
        <v>12</v>
      </c>
      <c r="G74">
        <v>942.89999999999986</v>
      </c>
      <c r="J74">
        <v>1.3</v>
      </c>
      <c r="K74">
        <f t="shared" si="9"/>
        <v>261.49999999999994</v>
      </c>
      <c r="L74">
        <v>0.4</v>
      </c>
      <c r="M74">
        <f t="shared" si="10"/>
        <v>101.49999999999994</v>
      </c>
      <c r="N74">
        <v>0.9</v>
      </c>
      <c r="O74">
        <v>122.1</v>
      </c>
      <c r="P74">
        <v>69</v>
      </c>
      <c r="Q74">
        <f t="shared" si="5"/>
        <v>0.864935064935065</v>
      </c>
      <c r="R74" s="6">
        <f t="shared" si="7"/>
        <v>0.34597402597402604</v>
      </c>
      <c r="S74" s="6">
        <f t="shared" si="8"/>
        <v>0.954025974025974</v>
      </c>
      <c r="T74" s="6">
        <f t="shared" si="11"/>
        <v>122.1</v>
      </c>
      <c r="V74">
        <v>188.7</v>
      </c>
      <c r="X74">
        <v>57101.3</v>
      </c>
      <c r="AA74">
        <v>9.52886787594983</v>
      </c>
    </row>
    <row r="75" spans="1:27" x14ac:dyDescent="0.25">
      <c r="A75" s="48"/>
      <c r="B75" s="3"/>
      <c r="C75" s="4">
        <v>41956</v>
      </c>
      <c r="D75">
        <v>6.7</v>
      </c>
      <c r="E75">
        <v>4.8</v>
      </c>
      <c r="F75">
        <v>8.5</v>
      </c>
      <c r="G75">
        <v>949.59999999999991</v>
      </c>
      <c r="J75">
        <v>0.1</v>
      </c>
      <c r="K75">
        <f t="shared" si="9"/>
        <v>261.59999999999997</v>
      </c>
      <c r="L75">
        <v>0.5</v>
      </c>
      <c r="M75">
        <f t="shared" si="10"/>
        <v>101.99999999999994</v>
      </c>
      <c r="N75">
        <v>-0.4</v>
      </c>
      <c r="O75">
        <f>O74+N75</f>
        <v>121.69999999999999</v>
      </c>
      <c r="P75">
        <v>70</v>
      </c>
      <c r="Q75">
        <f t="shared" si="5"/>
        <v>0.87337662337662336</v>
      </c>
      <c r="R75" s="6">
        <f t="shared" si="7"/>
        <v>0.43668831168831168</v>
      </c>
      <c r="S75" s="6">
        <f t="shared" si="8"/>
        <v>-0.3366883116883117</v>
      </c>
      <c r="T75" s="6">
        <f t="shared" si="11"/>
        <v>121.76331168831169</v>
      </c>
      <c r="V75">
        <v>343.9</v>
      </c>
      <c r="X75">
        <v>57445.200000000004</v>
      </c>
      <c r="AA75">
        <v>9.4834421926144294</v>
      </c>
    </row>
    <row r="76" spans="1:27" x14ac:dyDescent="0.25">
      <c r="A76" s="48"/>
      <c r="B76" s="3"/>
      <c r="C76" s="4">
        <v>41957</v>
      </c>
      <c r="D76">
        <v>9</v>
      </c>
      <c r="E76">
        <v>5.9</v>
      </c>
      <c r="F76">
        <v>10.7</v>
      </c>
      <c r="G76">
        <v>958.59999999999991</v>
      </c>
      <c r="J76">
        <v>23.9</v>
      </c>
      <c r="K76">
        <f t="shared" si="9"/>
        <v>285.49999999999994</v>
      </c>
      <c r="L76">
        <v>0.2</v>
      </c>
      <c r="M76">
        <f t="shared" si="10"/>
        <v>102.19999999999995</v>
      </c>
      <c r="N76">
        <v>23.7</v>
      </c>
      <c r="O76">
        <v>122.1</v>
      </c>
      <c r="P76">
        <v>71</v>
      </c>
      <c r="Q76">
        <f t="shared" si="5"/>
        <v>0.88181818181818183</v>
      </c>
      <c r="R76" s="6">
        <f t="shared" si="7"/>
        <v>0.17636363636363639</v>
      </c>
      <c r="S76" s="6">
        <f t="shared" si="8"/>
        <v>23.723636363636363</v>
      </c>
      <c r="T76" s="6">
        <f t="shared" si="11"/>
        <v>122.1</v>
      </c>
      <c r="V76">
        <v>178.2</v>
      </c>
      <c r="X76">
        <v>57623.4</v>
      </c>
      <c r="AA76">
        <v>9.4386484759901403</v>
      </c>
    </row>
    <row r="77" spans="1:27" x14ac:dyDescent="0.25">
      <c r="A77" s="48"/>
      <c r="B77" s="3"/>
      <c r="C77" s="4">
        <v>41958</v>
      </c>
      <c r="D77">
        <v>9.8000000000000007</v>
      </c>
      <c r="E77">
        <v>9.1999999999999993</v>
      </c>
      <c r="F77">
        <v>11</v>
      </c>
      <c r="G77">
        <v>968.39999999999986</v>
      </c>
      <c r="J77">
        <v>1.4</v>
      </c>
      <c r="K77">
        <f t="shared" si="9"/>
        <v>286.89999999999992</v>
      </c>
      <c r="L77">
        <v>0.3</v>
      </c>
      <c r="M77">
        <f t="shared" si="10"/>
        <v>102.49999999999994</v>
      </c>
      <c r="N77">
        <v>1.0999999999999999</v>
      </c>
      <c r="O77">
        <v>122.1</v>
      </c>
      <c r="P77">
        <v>72</v>
      </c>
      <c r="Q77">
        <f t="shared" si="5"/>
        <v>0.89025974025974031</v>
      </c>
      <c r="R77" s="6">
        <f t="shared" si="7"/>
        <v>0.26707792207792208</v>
      </c>
      <c r="S77" s="6">
        <f t="shared" si="8"/>
        <v>1.1329220779220779</v>
      </c>
      <c r="T77" s="6">
        <f t="shared" si="11"/>
        <v>122.1</v>
      </c>
      <c r="V77">
        <v>188.3</v>
      </c>
      <c r="X77">
        <v>57811.700000000004</v>
      </c>
      <c r="AA77">
        <v>9.3945124799168305</v>
      </c>
    </row>
    <row r="78" spans="1:27" x14ac:dyDescent="0.25">
      <c r="A78" s="48"/>
      <c r="B78" s="3"/>
      <c r="C78" s="4">
        <v>41959</v>
      </c>
      <c r="D78">
        <v>9.3000000000000007</v>
      </c>
      <c r="E78">
        <v>8.6999999999999993</v>
      </c>
      <c r="F78">
        <v>10.1</v>
      </c>
      <c r="G78">
        <v>977.69999999999982</v>
      </c>
      <c r="J78">
        <v>3.3</v>
      </c>
      <c r="K78">
        <f t="shared" si="9"/>
        <v>290.19999999999993</v>
      </c>
      <c r="L78">
        <v>0.6</v>
      </c>
      <c r="M78">
        <f t="shared" si="10"/>
        <v>103.09999999999994</v>
      </c>
      <c r="N78">
        <v>2.6999999999999997</v>
      </c>
      <c r="O78">
        <v>122.1</v>
      </c>
      <c r="P78">
        <v>73</v>
      </c>
      <c r="Q78">
        <f t="shared" si="5"/>
        <v>0.89870129870129867</v>
      </c>
      <c r="R78" s="6">
        <f t="shared" si="7"/>
        <v>0.53922077922077916</v>
      </c>
      <c r="S78" s="6">
        <f t="shared" si="8"/>
        <v>2.7607792207792206</v>
      </c>
      <c r="T78" s="6">
        <f t="shared" si="11"/>
        <v>122.1</v>
      </c>
      <c r="V78">
        <v>162.80000000000001</v>
      </c>
      <c r="X78">
        <v>57974.500000000007</v>
      </c>
      <c r="AA78">
        <v>9.3510604463292104</v>
      </c>
    </row>
    <row r="79" spans="1:27" x14ac:dyDescent="0.25">
      <c r="A79" s="48"/>
      <c r="B79" s="3"/>
      <c r="C79" s="4">
        <v>41960</v>
      </c>
      <c r="D79">
        <v>8.6</v>
      </c>
      <c r="E79">
        <v>7.8</v>
      </c>
      <c r="F79">
        <v>10.3</v>
      </c>
      <c r="G79">
        <v>986.29999999999984</v>
      </c>
      <c r="J79">
        <v>1.9</v>
      </c>
      <c r="K79">
        <f t="shared" si="9"/>
        <v>292.09999999999991</v>
      </c>
      <c r="L79">
        <v>0.5</v>
      </c>
      <c r="M79">
        <f t="shared" si="10"/>
        <v>103.59999999999994</v>
      </c>
      <c r="N79">
        <v>1.4</v>
      </c>
      <c r="O79">
        <v>122.1</v>
      </c>
      <c r="P79">
        <v>74</v>
      </c>
      <c r="Q79">
        <f t="shared" ref="Q79:Q90" si="12">0.35+((P79-8)/77)*(1-0.35)</f>
        <v>0.90714285714285714</v>
      </c>
      <c r="R79" s="6">
        <f t="shared" si="7"/>
        <v>0.45357142857142857</v>
      </c>
      <c r="S79" s="6">
        <f t="shared" si="8"/>
        <v>1.4464285714285714</v>
      </c>
      <c r="T79" s="6">
        <f t="shared" si="11"/>
        <v>122.1</v>
      </c>
      <c r="V79">
        <v>311.7</v>
      </c>
      <c r="X79">
        <v>58286.200000000004</v>
      </c>
      <c r="AA79">
        <v>9.30831907641425</v>
      </c>
    </row>
    <row r="80" spans="1:27" x14ac:dyDescent="0.25">
      <c r="A80" s="48"/>
      <c r="B80" s="3"/>
      <c r="C80" s="4">
        <v>41961</v>
      </c>
      <c r="D80">
        <v>8.1</v>
      </c>
      <c r="E80">
        <v>6.5</v>
      </c>
      <c r="F80">
        <v>10.3</v>
      </c>
      <c r="G80">
        <v>994.39999999999986</v>
      </c>
      <c r="J80">
        <v>0.4</v>
      </c>
      <c r="K80">
        <f t="shared" si="9"/>
        <v>292.49999999999989</v>
      </c>
      <c r="L80">
        <v>0.4</v>
      </c>
      <c r="M80">
        <f t="shared" si="10"/>
        <v>103.99999999999994</v>
      </c>
      <c r="N80">
        <v>0</v>
      </c>
      <c r="O80">
        <f t="shared" ref="O80:O87" si="13">O79+N80</f>
        <v>122.1</v>
      </c>
      <c r="P80">
        <v>75</v>
      </c>
      <c r="Q80">
        <f t="shared" si="12"/>
        <v>0.9155844155844155</v>
      </c>
      <c r="R80" s="6">
        <f t="shared" si="7"/>
        <v>0.36623376623376624</v>
      </c>
      <c r="S80" s="6">
        <f t="shared" si="8"/>
        <v>3.3766233766233777E-2</v>
      </c>
      <c r="T80" s="6">
        <f t="shared" si="11"/>
        <v>122.1</v>
      </c>
      <c r="V80">
        <v>140.19999999999999</v>
      </c>
      <c r="X80">
        <v>58426.400000000001</v>
      </c>
      <c r="AA80">
        <v>9.2663154983341602</v>
      </c>
    </row>
    <row r="81" spans="1:27" x14ac:dyDescent="0.25">
      <c r="A81" s="48"/>
      <c r="B81" s="3"/>
      <c r="C81" s="4">
        <v>41962</v>
      </c>
      <c r="D81">
        <v>5.7</v>
      </c>
      <c r="E81">
        <v>4.5999999999999996</v>
      </c>
      <c r="F81">
        <v>6.8</v>
      </c>
      <c r="G81">
        <v>1000.0999999999999</v>
      </c>
      <c r="J81">
        <v>0.1</v>
      </c>
      <c r="K81">
        <f t="shared" si="9"/>
        <v>292.59999999999991</v>
      </c>
      <c r="L81">
        <v>0.1</v>
      </c>
      <c r="M81">
        <f t="shared" si="10"/>
        <v>104.09999999999994</v>
      </c>
      <c r="N81">
        <v>0</v>
      </c>
      <c r="O81">
        <f t="shared" si="13"/>
        <v>122.1</v>
      </c>
      <c r="P81">
        <v>76</v>
      </c>
      <c r="Q81">
        <f t="shared" si="12"/>
        <v>0.92402597402597397</v>
      </c>
      <c r="R81" s="6">
        <f t="shared" si="7"/>
        <v>9.2402597402597403E-2</v>
      </c>
      <c r="S81" s="6">
        <f t="shared" si="8"/>
        <v>7.5974025974026027E-3</v>
      </c>
      <c r="T81" s="6">
        <f t="shared" si="11"/>
        <v>122.1</v>
      </c>
      <c r="V81">
        <v>164.8</v>
      </c>
      <c r="X81">
        <v>58591.200000000004</v>
      </c>
      <c r="AA81">
        <v>9.2250772314327492</v>
      </c>
    </row>
    <row r="82" spans="1:27" x14ac:dyDescent="0.25">
      <c r="A82" s="48"/>
      <c r="B82" s="3"/>
      <c r="C82" s="4">
        <v>41963</v>
      </c>
      <c r="D82">
        <v>5.9</v>
      </c>
      <c r="E82">
        <v>3.8</v>
      </c>
      <c r="F82">
        <v>6.9</v>
      </c>
      <c r="G82">
        <v>1005.9999999999999</v>
      </c>
      <c r="J82">
        <v>0</v>
      </c>
      <c r="K82">
        <f t="shared" si="9"/>
        <v>292.59999999999991</v>
      </c>
      <c r="L82">
        <v>0.4</v>
      </c>
      <c r="M82">
        <f t="shared" si="10"/>
        <v>104.49999999999994</v>
      </c>
      <c r="N82">
        <v>-0.4</v>
      </c>
      <c r="O82">
        <f t="shared" si="13"/>
        <v>121.69999999999999</v>
      </c>
      <c r="P82">
        <v>77</v>
      </c>
      <c r="Q82">
        <f t="shared" si="12"/>
        <v>0.93246753246753245</v>
      </c>
      <c r="R82" s="6">
        <f t="shared" si="7"/>
        <v>0.37298701298701298</v>
      </c>
      <c r="S82" s="6">
        <f t="shared" si="8"/>
        <v>-0.37298701298701298</v>
      </c>
      <c r="T82" s="6">
        <f t="shared" si="11"/>
        <v>121.72701298701298</v>
      </c>
      <c r="V82">
        <v>325.2</v>
      </c>
      <c r="X82">
        <v>58916.4</v>
      </c>
      <c r="AA82">
        <v>9.1846321468602099</v>
      </c>
    </row>
    <row r="83" spans="1:27" x14ac:dyDescent="0.25">
      <c r="A83" s="48"/>
      <c r="B83" s="3"/>
      <c r="C83" s="4">
        <v>41964</v>
      </c>
      <c r="D83">
        <v>7.2</v>
      </c>
      <c r="E83">
        <v>4.7</v>
      </c>
      <c r="F83">
        <v>11.1</v>
      </c>
      <c r="G83">
        <v>1013.1999999999999</v>
      </c>
      <c r="J83">
        <v>0.2</v>
      </c>
      <c r="K83">
        <f t="shared" si="9"/>
        <v>292.7999999999999</v>
      </c>
      <c r="L83">
        <v>0.4</v>
      </c>
      <c r="M83">
        <f t="shared" si="10"/>
        <v>104.89999999999995</v>
      </c>
      <c r="N83">
        <v>-0.2</v>
      </c>
      <c r="O83">
        <f t="shared" si="13"/>
        <v>121.49999999999999</v>
      </c>
      <c r="P83">
        <v>78</v>
      </c>
      <c r="Q83">
        <f t="shared" si="12"/>
        <v>0.94090909090909092</v>
      </c>
      <c r="R83" s="6">
        <f t="shared" si="7"/>
        <v>0.3763636363636364</v>
      </c>
      <c r="S83" s="6">
        <f t="shared" si="8"/>
        <v>-0.17636363636363639</v>
      </c>
      <c r="T83" s="6">
        <f t="shared" si="11"/>
        <v>121.55064935064935</v>
      </c>
      <c r="V83">
        <v>152.30000000000001</v>
      </c>
      <c r="X83">
        <v>59068.700000000004</v>
      </c>
      <c r="AA83">
        <v>9.1450084245708005</v>
      </c>
    </row>
    <row r="84" spans="1:27" x14ac:dyDescent="0.25">
      <c r="A84" s="48"/>
      <c r="B84" s="3"/>
      <c r="C84" s="4">
        <v>41965</v>
      </c>
      <c r="D84">
        <v>8.3000000000000007</v>
      </c>
      <c r="E84">
        <v>4.0999999999999996</v>
      </c>
      <c r="F84">
        <v>14.3</v>
      </c>
      <c r="G84">
        <v>1021.4999999999999</v>
      </c>
      <c r="J84">
        <v>0</v>
      </c>
      <c r="K84">
        <f t="shared" si="9"/>
        <v>292.7999999999999</v>
      </c>
      <c r="L84">
        <v>1</v>
      </c>
      <c r="M84">
        <f t="shared" si="10"/>
        <v>105.89999999999995</v>
      </c>
      <c r="N84">
        <v>-1</v>
      </c>
      <c r="O84">
        <f t="shared" si="13"/>
        <v>120.49999999999999</v>
      </c>
      <c r="P84">
        <v>79</v>
      </c>
      <c r="Q84">
        <f t="shared" si="12"/>
        <v>0.94935064935064928</v>
      </c>
      <c r="R84" s="6">
        <f t="shared" si="7"/>
        <v>0.94935064935064928</v>
      </c>
      <c r="S84" s="6">
        <f t="shared" si="8"/>
        <v>-0.94935064935064928</v>
      </c>
      <c r="T84" s="6">
        <f t="shared" si="11"/>
        <v>120.6012987012987</v>
      </c>
      <c r="V84">
        <v>618.4</v>
      </c>
      <c r="X84">
        <v>59687.100000000006</v>
      </c>
      <c r="AA84">
        <v>9.1062345066698303</v>
      </c>
    </row>
    <row r="85" spans="1:27" x14ac:dyDescent="0.25">
      <c r="A85" s="48"/>
      <c r="B85" s="3"/>
      <c r="C85" s="4">
        <v>41966</v>
      </c>
      <c r="D85">
        <v>10.7</v>
      </c>
      <c r="E85">
        <v>6.5</v>
      </c>
      <c r="F85">
        <v>14.3</v>
      </c>
      <c r="G85">
        <v>1032.1999999999998</v>
      </c>
      <c r="J85">
        <v>0</v>
      </c>
      <c r="K85">
        <f t="shared" si="9"/>
        <v>292.7999999999999</v>
      </c>
      <c r="L85">
        <v>0.4</v>
      </c>
      <c r="M85">
        <f t="shared" si="10"/>
        <v>106.29999999999995</v>
      </c>
      <c r="N85">
        <v>-0.4</v>
      </c>
      <c r="O85">
        <f t="shared" si="13"/>
        <v>120.09999999999998</v>
      </c>
      <c r="P85">
        <v>80</v>
      </c>
      <c r="Q85">
        <f t="shared" si="12"/>
        <v>0.95779220779220775</v>
      </c>
      <c r="R85" s="6">
        <f t="shared" si="7"/>
        <v>0.38311688311688313</v>
      </c>
      <c r="S85" s="6">
        <f t="shared" si="8"/>
        <v>-0.38311688311688313</v>
      </c>
      <c r="T85" s="6">
        <f t="shared" si="11"/>
        <v>120.21818181818182</v>
      </c>
      <c r="V85">
        <v>385</v>
      </c>
      <c r="X85">
        <v>60072.100000000006</v>
      </c>
      <c r="AA85">
        <v>9.0683390471106495</v>
      </c>
    </row>
    <row r="86" spans="1:27" x14ac:dyDescent="0.25">
      <c r="A86" s="48"/>
      <c r="B86" s="3"/>
      <c r="C86" s="4">
        <v>41967</v>
      </c>
      <c r="D86">
        <v>11.8</v>
      </c>
      <c r="E86">
        <v>8.1</v>
      </c>
      <c r="F86">
        <v>15</v>
      </c>
      <c r="G86">
        <v>1043.9999999999998</v>
      </c>
      <c r="J86">
        <v>0</v>
      </c>
      <c r="K86">
        <f t="shared" si="9"/>
        <v>292.7999999999999</v>
      </c>
      <c r="L86">
        <v>0.7</v>
      </c>
      <c r="M86">
        <f t="shared" si="10"/>
        <v>106.99999999999996</v>
      </c>
      <c r="N86">
        <v>-0.7</v>
      </c>
      <c r="O86">
        <f t="shared" si="13"/>
        <v>119.39999999999998</v>
      </c>
      <c r="P86">
        <v>81</v>
      </c>
      <c r="Q86">
        <f t="shared" si="12"/>
        <v>0.96623376623376622</v>
      </c>
      <c r="R86" s="6">
        <f t="shared" si="7"/>
        <v>0.67636363636363628</v>
      </c>
      <c r="S86" s="6">
        <f t="shared" si="8"/>
        <v>-0.67636363636363628</v>
      </c>
      <c r="T86" s="6">
        <f t="shared" si="11"/>
        <v>119.54181818181819</v>
      </c>
      <c r="V86">
        <v>708.5</v>
      </c>
      <c r="X86">
        <v>60780.600000000006</v>
      </c>
      <c r="AA86">
        <v>9.0313508577686008</v>
      </c>
    </row>
    <row r="87" spans="1:27" x14ac:dyDescent="0.25">
      <c r="A87" s="48"/>
      <c r="B87" s="3"/>
      <c r="C87" s="4">
        <v>41968</v>
      </c>
      <c r="D87">
        <v>10.5</v>
      </c>
      <c r="E87">
        <v>9.1</v>
      </c>
      <c r="F87">
        <v>13.3</v>
      </c>
      <c r="G87">
        <v>1054.4999999999998</v>
      </c>
      <c r="J87">
        <v>1.7</v>
      </c>
      <c r="K87">
        <f t="shared" si="9"/>
        <v>294.49999999999989</v>
      </c>
      <c r="L87">
        <v>0.6</v>
      </c>
      <c r="M87">
        <f t="shared" si="10"/>
        <v>107.59999999999995</v>
      </c>
      <c r="N87">
        <v>1.1000000000000001</v>
      </c>
      <c r="O87">
        <f t="shared" si="13"/>
        <v>120.49999999999997</v>
      </c>
      <c r="P87">
        <v>82</v>
      </c>
      <c r="Q87">
        <f t="shared" si="12"/>
        <v>0.97467532467532469</v>
      </c>
      <c r="R87" s="6">
        <f t="shared" si="7"/>
        <v>0.58480519480519477</v>
      </c>
      <c r="S87" s="6">
        <f t="shared" si="8"/>
        <v>1.1151948051948053</v>
      </c>
      <c r="T87" s="6">
        <f t="shared" si="11"/>
        <v>120.65701298701299</v>
      </c>
      <c r="V87">
        <v>213.4</v>
      </c>
      <c r="X87">
        <v>60994.000000000007</v>
      </c>
      <c r="AA87" s="8">
        <v>8.9952988509480107</v>
      </c>
    </row>
    <row r="88" spans="1:27" x14ac:dyDescent="0.25">
      <c r="A88" s="48"/>
      <c r="B88" s="3"/>
      <c r="C88" s="4">
        <v>41969</v>
      </c>
      <c r="D88">
        <v>10.199999999999999</v>
      </c>
      <c r="E88">
        <v>8.6999999999999993</v>
      </c>
      <c r="F88">
        <v>11.1</v>
      </c>
      <c r="G88">
        <v>1064.6999999999998</v>
      </c>
      <c r="J88">
        <v>3.9</v>
      </c>
      <c r="K88">
        <f t="shared" si="9"/>
        <v>298.39999999999986</v>
      </c>
      <c r="L88">
        <v>0.3</v>
      </c>
      <c r="M88">
        <f t="shared" si="10"/>
        <v>107.89999999999995</v>
      </c>
      <c r="N88">
        <v>3.6</v>
      </c>
      <c r="O88">
        <v>122.1</v>
      </c>
      <c r="P88">
        <v>83</v>
      </c>
      <c r="Q88">
        <f t="shared" si="12"/>
        <v>0.98311688311688306</v>
      </c>
      <c r="R88" s="6">
        <f t="shared" si="7"/>
        <v>0.29493506493506488</v>
      </c>
      <c r="S88" s="6">
        <f t="shared" si="8"/>
        <v>3.6050649350649349</v>
      </c>
      <c r="T88" s="6">
        <f t="shared" si="11"/>
        <v>122.1</v>
      </c>
      <c r="V88">
        <v>140</v>
      </c>
      <c r="X88">
        <v>61134.000000000007</v>
      </c>
      <c r="AA88" s="8">
        <v>8.9602119784089105</v>
      </c>
    </row>
    <row r="89" spans="1:27" x14ac:dyDescent="0.25">
      <c r="A89" s="48"/>
      <c r="B89" s="3"/>
      <c r="C89" s="4">
        <v>41970</v>
      </c>
      <c r="D89">
        <v>10.6</v>
      </c>
      <c r="E89">
        <v>9.6999999999999993</v>
      </c>
      <c r="F89">
        <v>12.6</v>
      </c>
      <c r="G89">
        <v>1075.2999999999997</v>
      </c>
      <c r="J89">
        <v>4</v>
      </c>
      <c r="K89">
        <f t="shared" si="9"/>
        <v>302.39999999999986</v>
      </c>
      <c r="L89">
        <v>0.3</v>
      </c>
      <c r="M89">
        <f t="shared" si="10"/>
        <v>108.19999999999995</v>
      </c>
      <c r="N89">
        <v>3.7</v>
      </c>
      <c r="O89">
        <v>122.1</v>
      </c>
      <c r="P89">
        <v>84</v>
      </c>
      <c r="Q89">
        <f t="shared" si="12"/>
        <v>0.99155844155844153</v>
      </c>
      <c r="R89" s="6">
        <f t="shared" si="7"/>
        <v>0.29746753246753244</v>
      </c>
      <c r="S89" s="6">
        <f t="shared" si="8"/>
        <v>3.7025324675324676</v>
      </c>
      <c r="T89" s="6">
        <f t="shared" si="11"/>
        <v>122.1</v>
      </c>
      <c r="V89">
        <v>117</v>
      </c>
      <c r="X89">
        <v>61251.000000000007</v>
      </c>
      <c r="AA89" s="8">
        <v>8.9261191670329207</v>
      </c>
    </row>
    <row r="90" spans="1:27" s="28" customFormat="1" ht="15.75" thickBot="1" x14ac:dyDescent="0.3">
      <c r="A90" s="48"/>
      <c r="B90" s="26"/>
      <c r="C90" s="27">
        <v>41971</v>
      </c>
      <c r="D90" s="28">
        <v>7.8</v>
      </c>
      <c r="E90" s="28">
        <v>6.6</v>
      </c>
      <c r="F90" s="28">
        <v>11.7</v>
      </c>
      <c r="G90" s="29">
        <v>1083.0999999999997</v>
      </c>
      <c r="H90" s="29"/>
      <c r="I90" s="29"/>
      <c r="J90" s="28">
        <v>0.1</v>
      </c>
      <c r="K90" s="28">
        <f t="shared" si="9"/>
        <v>302.49999999999989</v>
      </c>
      <c r="L90" s="28">
        <v>1.1000000000000001</v>
      </c>
      <c r="M90" s="28">
        <f t="shared" si="10"/>
        <v>109.29999999999994</v>
      </c>
      <c r="N90" s="28">
        <v>-1</v>
      </c>
      <c r="O90" s="28">
        <f t="shared" ref="O90:O95" si="14">O89+N90</f>
        <v>121.1</v>
      </c>
      <c r="P90" s="28">
        <v>85</v>
      </c>
      <c r="Q90" s="28">
        <f t="shared" si="12"/>
        <v>1</v>
      </c>
      <c r="R90" s="30">
        <f t="shared" si="7"/>
        <v>1.1000000000000001</v>
      </c>
      <c r="S90" s="30">
        <f t="shared" si="8"/>
        <v>-1</v>
      </c>
      <c r="T90" s="30">
        <f t="shared" si="11"/>
        <v>121.1</v>
      </c>
      <c r="U90" s="29"/>
      <c r="V90" s="28">
        <v>608.1</v>
      </c>
      <c r="X90" s="29">
        <v>61859.100000000006</v>
      </c>
      <c r="Y90" s="29"/>
      <c r="Z90" s="29"/>
      <c r="AA90" s="31">
        <v>8.8930492512820791</v>
      </c>
    </row>
    <row r="91" spans="1:27" ht="15" customHeight="1" x14ac:dyDescent="0.25">
      <c r="A91" s="49" t="s">
        <v>43</v>
      </c>
      <c r="B91" s="9"/>
      <c r="C91" s="4">
        <v>41972</v>
      </c>
      <c r="D91">
        <v>4.3</v>
      </c>
      <c r="E91">
        <v>2.7</v>
      </c>
      <c r="F91">
        <v>5.4</v>
      </c>
      <c r="G91">
        <v>1087.3999999999996</v>
      </c>
      <c r="H91">
        <v>4.3</v>
      </c>
      <c r="I91" s="10" t="s">
        <v>27</v>
      </c>
      <c r="J91">
        <v>0</v>
      </c>
      <c r="K91">
        <f t="shared" si="9"/>
        <v>302.49999999999989</v>
      </c>
      <c r="L91">
        <v>0.4</v>
      </c>
      <c r="M91">
        <f t="shared" si="10"/>
        <v>109.69999999999995</v>
      </c>
      <c r="N91">
        <v>-0.4</v>
      </c>
      <c r="O91">
        <f t="shared" si="14"/>
        <v>120.69999999999999</v>
      </c>
      <c r="P91">
        <v>86</v>
      </c>
      <c r="Q91">
        <v>1</v>
      </c>
      <c r="R91" s="6">
        <f t="shared" si="7"/>
        <v>0.4</v>
      </c>
      <c r="S91" s="6">
        <f t="shared" si="8"/>
        <v>-0.4</v>
      </c>
      <c r="T91" s="6">
        <f t="shared" si="11"/>
        <v>120.69999999999999</v>
      </c>
      <c r="U91" s="10" t="s">
        <v>28</v>
      </c>
      <c r="V91">
        <v>162.80000000000001</v>
      </c>
      <c r="X91">
        <v>62021.900000000009</v>
      </c>
      <c r="Y91">
        <v>162.80000000000001</v>
      </c>
      <c r="Z91" s="10" t="s">
        <v>29</v>
      </c>
      <c r="AA91" s="8">
        <v>8.8610309026402607</v>
      </c>
    </row>
    <row r="92" spans="1:27" x14ac:dyDescent="0.25">
      <c r="A92" s="49"/>
      <c r="B92" s="9"/>
      <c r="C92" s="4">
        <v>41973</v>
      </c>
      <c r="D92">
        <v>4</v>
      </c>
      <c r="E92">
        <v>3.6</v>
      </c>
      <c r="F92">
        <v>4.9000000000000004</v>
      </c>
      <c r="G92">
        <v>1091.3999999999996</v>
      </c>
      <c r="H92">
        <v>8.3000000000000007</v>
      </c>
      <c r="I92">
        <f>MIN(E91:E182)</f>
        <v>-6.9</v>
      </c>
      <c r="J92">
        <v>0.1</v>
      </c>
      <c r="K92">
        <f t="shared" si="9"/>
        <v>302.59999999999991</v>
      </c>
      <c r="L92">
        <v>0.3</v>
      </c>
      <c r="M92">
        <f t="shared" si="10"/>
        <v>109.99999999999994</v>
      </c>
      <c r="N92">
        <v>-0.19999999999999998</v>
      </c>
      <c r="O92">
        <f t="shared" si="14"/>
        <v>120.49999999999999</v>
      </c>
      <c r="P92">
        <v>87</v>
      </c>
      <c r="Q92">
        <v>1</v>
      </c>
      <c r="R92" s="6">
        <f t="shared" si="7"/>
        <v>0.3</v>
      </c>
      <c r="S92" s="6">
        <f t="shared" si="8"/>
        <v>-0.19999999999999998</v>
      </c>
      <c r="T92" s="6">
        <f t="shared" si="11"/>
        <v>120.49999999999999</v>
      </c>
      <c r="U92">
        <v>48</v>
      </c>
      <c r="V92">
        <v>111.8</v>
      </c>
      <c r="X92">
        <v>62133.700000000012</v>
      </c>
      <c r="Y92">
        <f>Y91+V92</f>
        <v>274.60000000000002</v>
      </c>
      <c r="Z92">
        <f>Y182</f>
        <v>31517.5</v>
      </c>
      <c r="AA92" s="8">
        <v>8.8300925562633292</v>
      </c>
    </row>
    <row r="93" spans="1:27" x14ac:dyDescent="0.25">
      <c r="A93" s="49"/>
      <c r="B93" s="9"/>
      <c r="C93" s="4">
        <v>41974</v>
      </c>
      <c r="D93">
        <v>3.2</v>
      </c>
      <c r="E93">
        <v>2</v>
      </c>
      <c r="F93">
        <v>4</v>
      </c>
      <c r="G93">
        <v>1094.5999999999997</v>
      </c>
      <c r="H93">
        <v>11.5</v>
      </c>
      <c r="I93" s="10" t="s">
        <v>30</v>
      </c>
      <c r="J93">
        <v>0</v>
      </c>
      <c r="K93">
        <f t="shared" si="9"/>
        <v>302.59999999999991</v>
      </c>
      <c r="L93">
        <v>0.3</v>
      </c>
      <c r="M93">
        <f t="shared" si="10"/>
        <v>110.29999999999994</v>
      </c>
      <c r="N93">
        <v>-0.3</v>
      </c>
      <c r="O93">
        <f t="shared" si="14"/>
        <v>120.19999999999999</v>
      </c>
      <c r="P93">
        <v>88</v>
      </c>
      <c r="Q93">
        <v>1</v>
      </c>
      <c r="R93" s="6">
        <f t="shared" si="7"/>
        <v>0.3</v>
      </c>
      <c r="S93" s="6">
        <f t="shared" si="8"/>
        <v>-0.3</v>
      </c>
      <c r="T93" s="6">
        <f t="shared" si="11"/>
        <v>120.19999999999999</v>
      </c>
      <c r="U93" s="10" t="s">
        <v>31</v>
      </c>
      <c r="V93">
        <v>112.3</v>
      </c>
      <c r="X93">
        <v>62246.000000000015</v>
      </c>
      <c r="Y93">
        <f t="shared" ref="Y93:Y156" si="15">Y92+V93</f>
        <v>386.90000000000003</v>
      </c>
      <c r="Z93" s="10" t="s">
        <v>32</v>
      </c>
      <c r="AA93" s="8">
        <v>8.80026233510171</v>
      </c>
    </row>
    <row r="94" spans="1:27" x14ac:dyDescent="0.25">
      <c r="A94" s="49"/>
      <c r="B94" s="9"/>
      <c r="C94" s="4">
        <v>41975</v>
      </c>
      <c r="D94">
        <v>3.5</v>
      </c>
      <c r="E94">
        <v>2.9</v>
      </c>
      <c r="F94">
        <v>4.0999999999999996</v>
      </c>
      <c r="G94">
        <v>1098.0999999999997</v>
      </c>
      <c r="H94">
        <v>15</v>
      </c>
      <c r="I94">
        <f>MAX(F91:F182)</f>
        <v>13</v>
      </c>
      <c r="J94">
        <v>0.5</v>
      </c>
      <c r="K94">
        <f t="shared" si="9"/>
        <v>303.09999999999991</v>
      </c>
      <c r="L94">
        <v>0.2</v>
      </c>
      <c r="M94">
        <f t="shared" si="10"/>
        <v>110.49999999999994</v>
      </c>
      <c r="N94">
        <v>0.3</v>
      </c>
      <c r="O94">
        <f t="shared" si="14"/>
        <v>120.49999999999999</v>
      </c>
      <c r="P94">
        <v>89</v>
      </c>
      <c r="Q94">
        <v>1</v>
      </c>
      <c r="R94" s="6">
        <f t="shared" si="7"/>
        <v>0.2</v>
      </c>
      <c r="S94" s="6">
        <f t="shared" si="8"/>
        <v>0.3</v>
      </c>
      <c r="T94" s="6">
        <f t="shared" si="11"/>
        <v>120.49999999999999</v>
      </c>
      <c r="U94">
        <v>0</v>
      </c>
      <c r="V94">
        <v>169.7</v>
      </c>
      <c r="X94">
        <v>62415.700000000012</v>
      </c>
      <c r="Y94">
        <f t="shared" si="15"/>
        <v>556.6</v>
      </c>
      <c r="Z94" s="7">
        <f>(Z92/100)/I104</f>
        <v>0.97547199009594554</v>
      </c>
      <c r="AA94" s="8">
        <v>8.7715679717962995</v>
      </c>
    </row>
    <row r="95" spans="1:27" x14ac:dyDescent="0.25">
      <c r="A95" s="49"/>
      <c r="B95" s="9"/>
      <c r="C95" s="4">
        <v>41976</v>
      </c>
      <c r="D95">
        <v>3.5</v>
      </c>
      <c r="E95">
        <v>2.8</v>
      </c>
      <c r="F95">
        <v>4.2</v>
      </c>
      <c r="G95">
        <v>1101.5999999999997</v>
      </c>
      <c r="H95">
        <v>18.5</v>
      </c>
      <c r="I95" s="10" t="s">
        <v>33</v>
      </c>
      <c r="J95">
        <v>0.7</v>
      </c>
      <c r="K95">
        <f t="shared" si="9"/>
        <v>303.7999999999999</v>
      </c>
      <c r="L95">
        <v>0.4</v>
      </c>
      <c r="M95">
        <f t="shared" si="10"/>
        <v>110.89999999999995</v>
      </c>
      <c r="N95">
        <v>0.29999999999999993</v>
      </c>
      <c r="O95">
        <f t="shared" si="14"/>
        <v>120.79999999999998</v>
      </c>
      <c r="P95">
        <v>90</v>
      </c>
      <c r="Q95">
        <v>1</v>
      </c>
      <c r="R95" s="6">
        <f t="shared" si="7"/>
        <v>0.4</v>
      </c>
      <c r="S95" s="6">
        <f t="shared" si="8"/>
        <v>0.29999999999999993</v>
      </c>
      <c r="T95" s="6">
        <f t="shared" si="11"/>
        <v>120.79999999999998</v>
      </c>
      <c r="U95" s="10" t="s">
        <v>34</v>
      </c>
      <c r="V95">
        <v>160.69999999999999</v>
      </c>
      <c r="X95">
        <v>62576.400000000009</v>
      </c>
      <c r="Y95">
        <f t="shared" si="15"/>
        <v>717.3</v>
      </c>
      <c r="Z95" s="10" t="s">
        <v>35</v>
      </c>
      <c r="AA95" s="8">
        <v>8.74403672868584</v>
      </c>
    </row>
    <row r="96" spans="1:27" x14ac:dyDescent="0.25">
      <c r="A96" s="49"/>
      <c r="B96" s="9"/>
      <c r="C96" s="4">
        <v>41977</v>
      </c>
      <c r="D96">
        <v>4.5</v>
      </c>
      <c r="E96">
        <v>3.4</v>
      </c>
      <c r="F96">
        <v>5.2</v>
      </c>
      <c r="G96">
        <v>1106.0999999999997</v>
      </c>
      <c r="H96">
        <v>23</v>
      </c>
      <c r="I96" s="6">
        <f>AVERAGE(D91:D182)</f>
        <v>3.3260869565217397</v>
      </c>
      <c r="J96">
        <v>3.2</v>
      </c>
      <c r="K96">
        <f t="shared" si="9"/>
        <v>306.99999999999989</v>
      </c>
      <c r="L96">
        <v>0.2</v>
      </c>
      <c r="M96">
        <f t="shared" si="10"/>
        <v>111.09999999999995</v>
      </c>
      <c r="N96">
        <v>3</v>
      </c>
      <c r="O96">
        <v>122.1</v>
      </c>
      <c r="P96">
        <v>91</v>
      </c>
      <c r="Q96">
        <v>1</v>
      </c>
      <c r="R96" s="6">
        <f t="shared" si="7"/>
        <v>0.2</v>
      </c>
      <c r="S96" s="6">
        <f t="shared" si="8"/>
        <v>3</v>
      </c>
      <c r="T96" s="6">
        <f t="shared" si="11"/>
        <v>122.1</v>
      </c>
      <c r="U96">
        <v>0</v>
      </c>
      <c r="V96">
        <v>128.30000000000001</v>
      </c>
      <c r="X96">
        <v>62704.700000000012</v>
      </c>
      <c r="Y96">
        <f t="shared" si="15"/>
        <v>845.59999999999991</v>
      </c>
      <c r="Z96">
        <v>84</v>
      </c>
      <c r="AA96" s="8">
        <v>8.7176953163000395</v>
      </c>
    </row>
    <row r="97" spans="1:27" x14ac:dyDescent="0.25">
      <c r="A97" s="49"/>
      <c r="B97" s="9"/>
      <c r="C97" s="4">
        <v>41978</v>
      </c>
      <c r="D97">
        <v>5.2</v>
      </c>
      <c r="E97">
        <v>4.8</v>
      </c>
      <c r="F97">
        <v>6.2</v>
      </c>
      <c r="G97">
        <v>1111.2999999999997</v>
      </c>
      <c r="H97">
        <v>28.2</v>
      </c>
      <c r="I97" s="10" t="s">
        <v>36</v>
      </c>
      <c r="J97">
        <v>0</v>
      </c>
      <c r="K97">
        <f t="shared" si="9"/>
        <v>306.99999999999989</v>
      </c>
      <c r="L97">
        <v>0.5</v>
      </c>
      <c r="M97">
        <f t="shared" si="10"/>
        <v>111.59999999999995</v>
      </c>
      <c r="N97">
        <v>-0.5</v>
      </c>
      <c r="O97">
        <f>O96+N97</f>
        <v>121.6</v>
      </c>
      <c r="P97">
        <v>92</v>
      </c>
      <c r="Q97">
        <v>1</v>
      </c>
      <c r="R97" s="6">
        <f t="shared" si="7"/>
        <v>0.5</v>
      </c>
      <c r="S97" s="6">
        <f t="shared" si="8"/>
        <v>-0.5</v>
      </c>
      <c r="T97" s="6">
        <f t="shared" si="11"/>
        <v>121.6</v>
      </c>
      <c r="U97" s="10" t="s">
        <v>37</v>
      </c>
      <c r="V97">
        <v>89.5</v>
      </c>
      <c r="X97">
        <v>62794.200000000012</v>
      </c>
      <c r="Y97">
        <f t="shared" si="15"/>
        <v>935.09999999999991</v>
      </c>
      <c r="AA97" s="8">
        <v>8.6925698107472602</v>
      </c>
    </row>
    <row r="98" spans="1:27" x14ac:dyDescent="0.25">
      <c r="A98" s="49"/>
      <c r="B98" s="9"/>
      <c r="C98" s="4">
        <v>41979</v>
      </c>
      <c r="D98">
        <v>4.7</v>
      </c>
      <c r="E98">
        <v>4.0999999999999996</v>
      </c>
      <c r="F98">
        <v>5</v>
      </c>
      <c r="G98">
        <v>1115.9999999999998</v>
      </c>
      <c r="H98">
        <v>32.9</v>
      </c>
      <c r="I98" s="11">
        <v>32</v>
      </c>
      <c r="J98">
        <v>0</v>
      </c>
      <c r="K98">
        <f t="shared" si="9"/>
        <v>306.99999999999989</v>
      </c>
      <c r="L98">
        <v>0.6</v>
      </c>
      <c r="M98">
        <f t="shared" si="10"/>
        <v>112.19999999999995</v>
      </c>
      <c r="N98">
        <v>-0.6</v>
      </c>
      <c r="O98">
        <f>O97+N98</f>
        <v>121</v>
      </c>
      <c r="P98">
        <v>93</v>
      </c>
      <c r="Q98">
        <v>1</v>
      </c>
      <c r="R98" s="6">
        <f t="shared" si="7"/>
        <v>0.6</v>
      </c>
      <c r="S98" s="6">
        <f t="shared" si="8"/>
        <v>-0.6</v>
      </c>
      <c r="T98" s="6">
        <f t="shared" si="11"/>
        <v>121</v>
      </c>
      <c r="U98" s="6">
        <f>MIN(T91:T182)</f>
        <v>110.5</v>
      </c>
      <c r="V98">
        <v>145.30000000000001</v>
      </c>
      <c r="X98">
        <v>62939.500000000015</v>
      </c>
      <c r="Y98">
        <f t="shared" si="15"/>
        <v>1080.3999999999999</v>
      </c>
      <c r="AA98" s="8">
        <v>8.6686855704381607</v>
      </c>
    </row>
    <row r="99" spans="1:27" x14ac:dyDescent="0.25">
      <c r="A99" s="49"/>
      <c r="B99" s="9"/>
      <c r="C99" s="4">
        <v>41980</v>
      </c>
      <c r="D99">
        <v>4.3</v>
      </c>
      <c r="E99">
        <v>2.9</v>
      </c>
      <c r="F99">
        <v>5.7</v>
      </c>
      <c r="G99">
        <v>1120.2999999999997</v>
      </c>
      <c r="H99">
        <v>37.199999999999996</v>
      </c>
      <c r="I99" s="10" t="s">
        <v>38</v>
      </c>
      <c r="J99">
        <v>1.8</v>
      </c>
      <c r="K99">
        <f t="shared" si="9"/>
        <v>308.7999999999999</v>
      </c>
      <c r="L99">
        <v>0.5</v>
      </c>
      <c r="M99">
        <f t="shared" si="10"/>
        <v>112.69999999999995</v>
      </c>
      <c r="N99">
        <v>1.3</v>
      </c>
      <c r="O99">
        <v>122.1</v>
      </c>
      <c r="P99">
        <v>94</v>
      </c>
      <c r="Q99">
        <v>1</v>
      </c>
      <c r="R99" s="6">
        <f t="shared" si="7"/>
        <v>0.5</v>
      </c>
      <c r="S99" s="6">
        <f t="shared" si="8"/>
        <v>1.3</v>
      </c>
      <c r="T99" s="6">
        <f t="shared" si="11"/>
        <v>122.1</v>
      </c>
      <c r="U99" s="10" t="s">
        <v>39</v>
      </c>
      <c r="V99">
        <v>132.6</v>
      </c>
      <c r="X99">
        <v>63072.100000000013</v>
      </c>
      <c r="Y99">
        <f t="shared" si="15"/>
        <v>1212.9999999999998</v>
      </c>
      <c r="AA99" s="8">
        <v>8.6460671526164301</v>
      </c>
    </row>
    <row r="100" spans="1:27" x14ac:dyDescent="0.25">
      <c r="A100" s="49"/>
      <c r="B100" s="9"/>
      <c r="C100" s="4">
        <v>41981</v>
      </c>
      <c r="D100">
        <v>4.3</v>
      </c>
      <c r="E100">
        <v>2.8</v>
      </c>
      <c r="F100">
        <v>5.7</v>
      </c>
      <c r="G100">
        <v>1124.5999999999997</v>
      </c>
      <c r="H100">
        <v>41.499999999999993</v>
      </c>
      <c r="I100">
        <v>0</v>
      </c>
      <c r="J100">
        <v>4.7</v>
      </c>
      <c r="K100">
        <f t="shared" si="9"/>
        <v>313.49999999999989</v>
      </c>
      <c r="L100">
        <v>0.3</v>
      </c>
      <c r="M100">
        <f t="shared" si="10"/>
        <v>112.99999999999994</v>
      </c>
      <c r="N100">
        <v>4.4000000000000004</v>
      </c>
      <c r="O100">
        <v>122.1</v>
      </c>
      <c r="P100">
        <v>95</v>
      </c>
      <c r="Q100">
        <v>1</v>
      </c>
      <c r="R100" s="6">
        <f t="shared" si="7"/>
        <v>0.3</v>
      </c>
      <c r="S100" s="6">
        <f t="shared" si="8"/>
        <v>4.4000000000000004</v>
      </c>
      <c r="T100" s="6">
        <f t="shared" si="11"/>
        <v>122.1</v>
      </c>
      <c r="U100">
        <v>122.1</v>
      </c>
      <c r="V100">
        <v>285.5</v>
      </c>
      <c r="X100">
        <v>63357.600000000013</v>
      </c>
      <c r="Y100">
        <f t="shared" si="15"/>
        <v>1498.4999999999998</v>
      </c>
      <c r="AA100" s="8">
        <v>8.6247382301942306</v>
      </c>
    </row>
    <row r="101" spans="1:27" x14ac:dyDescent="0.25">
      <c r="A101" s="49"/>
      <c r="B101" s="9"/>
      <c r="C101" s="4">
        <v>41982</v>
      </c>
      <c r="D101">
        <v>2.7</v>
      </c>
      <c r="E101">
        <v>2.5</v>
      </c>
      <c r="F101">
        <v>4.5999999999999996</v>
      </c>
      <c r="G101">
        <v>1127.2999999999997</v>
      </c>
      <c r="H101">
        <v>44.199999999999996</v>
      </c>
      <c r="I101" s="10" t="s">
        <v>40</v>
      </c>
      <c r="J101">
        <v>0</v>
      </c>
      <c r="K101">
        <f t="shared" si="9"/>
        <v>313.49999999999989</v>
      </c>
      <c r="L101">
        <v>0.6</v>
      </c>
      <c r="M101">
        <f t="shared" si="10"/>
        <v>113.59999999999994</v>
      </c>
      <c r="N101">
        <v>-0.6</v>
      </c>
      <c r="O101">
        <f>O100+N101</f>
        <v>121.5</v>
      </c>
      <c r="P101">
        <v>96</v>
      </c>
      <c r="Q101">
        <v>1</v>
      </c>
      <c r="R101" s="6">
        <f t="shared" si="7"/>
        <v>0.6</v>
      </c>
      <c r="S101" s="6">
        <f t="shared" si="8"/>
        <v>-0.6</v>
      </c>
      <c r="T101" s="6">
        <f t="shared" si="11"/>
        <v>121.5</v>
      </c>
      <c r="U101" s="10" t="s">
        <v>41</v>
      </c>
      <c r="V101">
        <v>149.4</v>
      </c>
      <c r="X101">
        <v>63507.000000000015</v>
      </c>
      <c r="Y101">
        <f t="shared" si="15"/>
        <v>1647.8999999999999</v>
      </c>
      <c r="AA101" s="8">
        <v>8.6047215094119593</v>
      </c>
    </row>
    <row r="102" spans="1:27" x14ac:dyDescent="0.25">
      <c r="A102" s="49"/>
      <c r="B102" s="9"/>
      <c r="C102" s="4">
        <v>41983</v>
      </c>
      <c r="D102">
        <v>1.6</v>
      </c>
      <c r="E102">
        <v>-1.1000000000000001</v>
      </c>
      <c r="F102">
        <v>5.4</v>
      </c>
      <c r="G102">
        <v>1128.8999999999996</v>
      </c>
      <c r="H102">
        <v>45.8</v>
      </c>
      <c r="I102" s="11">
        <v>49</v>
      </c>
      <c r="J102">
        <v>4.3</v>
      </c>
      <c r="K102">
        <f t="shared" si="9"/>
        <v>317.7999999999999</v>
      </c>
      <c r="L102">
        <v>0.3</v>
      </c>
      <c r="M102">
        <f t="shared" si="10"/>
        <v>113.89999999999993</v>
      </c>
      <c r="N102">
        <v>4</v>
      </c>
      <c r="O102">
        <v>122.1</v>
      </c>
      <c r="P102">
        <v>97</v>
      </c>
      <c r="Q102">
        <v>1</v>
      </c>
      <c r="R102" s="6">
        <f t="shared" si="7"/>
        <v>0.3</v>
      </c>
      <c r="S102" s="6">
        <f t="shared" si="8"/>
        <v>4</v>
      </c>
      <c r="T102" s="6">
        <f t="shared" si="11"/>
        <v>122.1</v>
      </c>
      <c r="U102" s="6">
        <f>AVERAGE(T91:T182)</f>
        <v>120.69021739130443</v>
      </c>
      <c r="V102">
        <v>98.2</v>
      </c>
      <c r="X102">
        <v>63605.200000000012</v>
      </c>
      <c r="Y102">
        <f t="shared" si="15"/>
        <v>1746.1</v>
      </c>
      <c r="AA102" s="8">
        <v>8.5860386488601499</v>
      </c>
    </row>
    <row r="103" spans="1:27" x14ac:dyDescent="0.25">
      <c r="A103" s="49"/>
      <c r="B103" s="9"/>
      <c r="C103" s="4">
        <v>41984</v>
      </c>
      <c r="D103">
        <v>6</v>
      </c>
      <c r="E103">
        <v>2.8</v>
      </c>
      <c r="F103">
        <v>7.2</v>
      </c>
      <c r="G103">
        <v>1134.8999999999996</v>
      </c>
      <c r="H103">
        <v>51.8</v>
      </c>
      <c r="I103" s="10" t="s">
        <v>42</v>
      </c>
      <c r="J103">
        <v>0.8</v>
      </c>
      <c r="K103">
        <f t="shared" si="9"/>
        <v>318.59999999999991</v>
      </c>
      <c r="L103">
        <v>0.2</v>
      </c>
      <c r="M103">
        <f t="shared" si="10"/>
        <v>114.09999999999994</v>
      </c>
      <c r="N103">
        <v>0.60000000000000009</v>
      </c>
      <c r="O103">
        <v>122.1</v>
      </c>
      <c r="P103">
        <v>98</v>
      </c>
      <c r="Q103">
        <v>1</v>
      </c>
      <c r="R103" s="6">
        <f t="shared" si="7"/>
        <v>0.2</v>
      </c>
      <c r="S103" s="6">
        <f t="shared" si="8"/>
        <v>0.60000000000000009</v>
      </c>
      <c r="T103" s="6">
        <f t="shared" si="11"/>
        <v>122.1</v>
      </c>
      <c r="U103" s="10" t="s">
        <v>44</v>
      </c>
      <c r="V103">
        <v>164.4</v>
      </c>
      <c r="X103">
        <v>63769.600000000013</v>
      </c>
      <c r="Y103">
        <f t="shared" si="15"/>
        <v>1910.5</v>
      </c>
      <c r="AA103" s="8">
        <v>8.5687101804135093</v>
      </c>
    </row>
    <row r="104" spans="1:27" x14ac:dyDescent="0.25">
      <c r="A104" s="49"/>
      <c r="B104" s="3"/>
      <c r="C104" s="4">
        <v>41985</v>
      </c>
      <c r="D104">
        <v>6.6</v>
      </c>
      <c r="E104">
        <v>5.3</v>
      </c>
      <c r="F104">
        <v>7.6</v>
      </c>
      <c r="G104">
        <v>1141.4999999999995</v>
      </c>
      <c r="H104">
        <v>58.4</v>
      </c>
      <c r="I104">
        <v>323.10000000000002</v>
      </c>
      <c r="J104">
        <v>0</v>
      </c>
      <c r="K104">
        <f t="shared" si="9"/>
        <v>318.59999999999991</v>
      </c>
      <c r="L104">
        <v>0.9</v>
      </c>
      <c r="M104">
        <f t="shared" si="10"/>
        <v>114.99999999999994</v>
      </c>
      <c r="N104">
        <v>-0.9</v>
      </c>
      <c r="O104">
        <f>O103+N104</f>
        <v>121.19999999999999</v>
      </c>
      <c r="P104">
        <v>99</v>
      </c>
      <c r="Q104">
        <v>1</v>
      </c>
      <c r="R104" s="6">
        <f t="shared" si="7"/>
        <v>0.9</v>
      </c>
      <c r="S104" s="6">
        <f t="shared" si="8"/>
        <v>-0.9</v>
      </c>
      <c r="T104" s="6">
        <f t="shared" si="11"/>
        <v>121.19999999999999</v>
      </c>
      <c r="U104" s="6">
        <v>40</v>
      </c>
      <c r="V104">
        <v>109.9</v>
      </c>
      <c r="X104">
        <v>63879.500000000015</v>
      </c>
      <c r="Y104">
        <f t="shared" si="15"/>
        <v>2020.4</v>
      </c>
      <c r="AA104" s="8">
        <v>8.5527554326342106</v>
      </c>
    </row>
    <row r="105" spans="1:27" x14ac:dyDescent="0.25">
      <c r="A105" s="49"/>
      <c r="B105" s="3"/>
      <c r="C105" s="4">
        <v>41986</v>
      </c>
      <c r="D105">
        <v>8.9</v>
      </c>
      <c r="E105">
        <v>6.5</v>
      </c>
      <c r="F105">
        <v>11.7</v>
      </c>
      <c r="G105">
        <v>1150.3999999999996</v>
      </c>
      <c r="H105">
        <v>67.3</v>
      </c>
      <c r="J105">
        <v>5.7</v>
      </c>
      <c r="K105">
        <f t="shared" si="9"/>
        <v>324.2999999999999</v>
      </c>
      <c r="L105">
        <v>1</v>
      </c>
      <c r="M105">
        <f t="shared" si="10"/>
        <v>115.99999999999994</v>
      </c>
      <c r="N105">
        <v>4.7</v>
      </c>
      <c r="O105">
        <v>122.1</v>
      </c>
      <c r="P105">
        <v>100</v>
      </c>
      <c r="Q105">
        <v>1</v>
      </c>
      <c r="R105" s="6">
        <f t="shared" si="7"/>
        <v>1</v>
      </c>
      <c r="S105" s="6">
        <f t="shared" si="8"/>
        <v>4.7</v>
      </c>
      <c r="T105" s="6">
        <f t="shared" si="11"/>
        <v>122.1</v>
      </c>
      <c r="V105">
        <v>246.5</v>
      </c>
      <c r="X105">
        <v>64126.000000000015</v>
      </c>
      <c r="Y105">
        <f t="shared" si="15"/>
        <v>2266.9</v>
      </c>
      <c r="AA105" s="8">
        <v>8.5381924572023298</v>
      </c>
    </row>
    <row r="106" spans="1:27" x14ac:dyDescent="0.25">
      <c r="A106" s="49"/>
      <c r="B106" s="3"/>
      <c r="C106" s="4">
        <v>41987</v>
      </c>
      <c r="D106">
        <v>8.1999999999999993</v>
      </c>
      <c r="E106">
        <v>7.3</v>
      </c>
      <c r="F106">
        <v>10.4</v>
      </c>
      <c r="G106">
        <v>1158.5999999999997</v>
      </c>
      <c r="H106">
        <v>75.5</v>
      </c>
      <c r="J106">
        <v>0.9</v>
      </c>
      <c r="K106">
        <f t="shared" si="9"/>
        <v>325.19999999999987</v>
      </c>
      <c r="L106">
        <v>0.3</v>
      </c>
      <c r="M106">
        <f t="shared" si="10"/>
        <v>116.29999999999994</v>
      </c>
      <c r="N106">
        <v>0.60000000000000009</v>
      </c>
      <c r="O106">
        <v>122.1</v>
      </c>
      <c r="P106">
        <v>101</v>
      </c>
      <c r="Q106">
        <v>1</v>
      </c>
      <c r="R106" s="6">
        <f t="shared" si="7"/>
        <v>0.3</v>
      </c>
      <c r="S106" s="6">
        <f t="shared" si="8"/>
        <v>0.60000000000000009</v>
      </c>
      <c r="T106" s="6">
        <f t="shared" si="11"/>
        <v>122.1</v>
      </c>
      <c r="U106">
        <f>(U102*100)/122.1</f>
        <v>98.845386888865221</v>
      </c>
      <c r="V106">
        <v>273.39999999999998</v>
      </c>
      <c r="X106">
        <v>64399.400000000016</v>
      </c>
      <c r="Y106">
        <f t="shared" si="15"/>
        <v>2540.3000000000002</v>
      </c>
      <c r="AA106" s="8">
        <v>8.5250379589255907</v>
      </c>
    </row>
    <row r="107" spans="1:27" x14ac:dyDescent="0.25">
      <c r="A107" s="49"/>
      <c r="B107" s="3"/>
      <c r="C107" s="4">
        <v>41988</v>
      </c>
      <c r="D107">
        <v>7.1</v>
      </c>
      <c r="E107">
        <v>6.5</v>
      </c>
      <c r="F107">
        <v>9</v>
      </c>
      <c r="G107">
        <v>1165.6999999999996</v>
      </c>
      <c r="H107">
        <v>82.6</v>
      </c>
      <c r="J107">
        <v>1.8</v>
      </c>
      <c r="K107">
        <f t="shared" si="9"/>
        <v>326.99999999999989</v>
      </c>
      <c r="L107">
        <v>0.2</v>
      </c>
      <c r="M107">
        <f t="shared" si="10"/>
        <v>116.49999999999994</v>
      </c>
      <c r="N107">
        <v>1.6</v>
      </c>
      <c r="O107">
        <v>122.1</v>
      </c>
      <c r="P107">
        <v>102</v>
      </c>
      <c r="Q107">
        <v>1</v>
      </c>
      <c r="R107" s="6">
        <f t="shared" si="7"/>
        <v>0.2</v>
      </c>
      <c r="S107" s="6">
        <f t="shared" si="8"/>
        <v>1.6</v>
      </c>
      <c r="T107" s="6">
        <f t="shared" si="11"/>
        <v>122.1</v>
      </c>
      <c r="V107">
        <v>144.4</v>
      </c>
      <c r="X107">
        <v>64543.800000000017</v>
      </c>
      <c r="Y107">
        <f t="shared" si="15"/>
        <v>2684.7000000000003</v>
      </c>
      <c r="AA107" s="8">
        <v>8.5133072298683903</v>
      </c>
    </row>
    <row r="108" spans="1:27" x14ac:dyDescent="0.25">
      <c r="A108" s="49"/>
      <c r="B108" s="9"/>
      <c r="C108" s="4">
        <v>41989</v>
      </c>
      <c r="D108">
        <v>5.2</v>
      </c>
      <c r="E108">
        <v>3.1</v>
      </c>
      <c r="F108">
        <v>7.2</v>
      </c>
      <c r="G108">
        <v>1170.8999999999996</v>
      </c>
      <c r="H108">
        <v>87.8</v>
      </c>
      <c r="J108">
        <v>0.1</v>
      </c>
      <c r="K108">
        <f t="shared" si="9"/>
        <v>327.09999999999991</v>
      </c>
      <c r="L108">
        <v>0.1</v>
      </c>
      <c r="M108">
        <f t="shared" si="10"/>
        <v>116.59999999999994</v>
      </c>
      <c r="N108">
        <v>0</v>
      </c>
      <c r="O108">
        <f>O107+N108</f>
        <v>122.1</v>
      </c>
      <c r="P108">
        <v>103</v>
      </c>
      <c r="Q108">
        <v>1</v>
      </c>
      <c r="R108" s="6">
        <f t="shared" si="7"/>
        <v>0.1</v>
      </c>
      <c r="S108" s="6">
        <f t="shared" si="8"/>
        <v>0</v>
      </c>
      <c r="T108" s="6">
        <f t="shared" si="11"/>
        <v>122.1</v>
      </c>
      <c r="V108">
        <v>107.2</v>
      </c>
      <c r="X108">
        <v>64651.000000000015</v>
      </c>
      <c r="Y108">
        <f t="shared" si="15"/>
        <v>2791.9</v>
      </c>
      <c r="AA108" s="8">
        <v>8.5030140881210396</v>
      </c>
    </row>
    <row r="109" spans="1:27" x14ac:dyDescent="0.25">
      <c r="A109" s="49"/>
      <c r="B109" s="9"/>
      <c r="C109" s="4">
        <v>41990</v>
      </c>
      <c r="D109">
        <v>3.9</v>
      </c>
      <c r="E109">
        <v>1.2</v>
      </c>
      <c r="F109">
        <v>7.8</v>
      </c>
      <c r="G109">
        <v>1174.7999999999997</v>
      </c>
      <c r="H109">
        <v>91.7</v>
      </c>
      <c r="J109">
        <v>21.3</v>
      </c>
      <c r="K109">
        <f t="shared" si="9"/>
        <v>348.39999999999992</v>
      </c>
      <c r="L109">
        <v>0.4</v>
      </c>
      <c r="M109">
        <f t="shared" si="10"/>
        <v>116.99999999999994</v>
      </c>
      <c r="N109">
        <v>20.900000000000002</v>
      </c>
      <c r="O109">
        <v>122.1</v>
      </c>
      <c r="P109">
        <v>104</v>
      </c>
      <c r="Q109">
        <v>1</v>
      </c>
      <c r="R109" s="6">
        <f t="shared" si="7"/>
        <v>0.4</v>
      </c>
      <c r="S109" s="6">
        <f t="shared" si="8"/>
        <v>20.900000000000002</v>
      </c>
      <c r="T109" s="6">
        <f t="shared" si="11"/>
        <v>122.1</v>
      </c>
      <c r="V109">
        <v>96.9</v>
      </c>
      <c r="X109">
        <v>64747.900000000016</v>
      </c>
      <c r="Y109">
        <f t="shared" si="15"/>
        <v>2888.8</v>
      </c>
      <c r="AA109" s="8">
        <v>8.4941708217041594</v>
      </c>
    </row>
    <row r="110" spans="1:27" x14ac:dyDescent="0.25">
      <c r="A110" s="49"/>
      <c r="B110" s="3"/>
      <c r="C110" s="4">
        <v>41991</v>
      </c>
      <c r="D110">
        <v>9.6</v>
      </c>
      <c r="E110">
        <v>5.5</v>
      </c>
      <c r="F110">
        <v>11.4</v>
      </c>
      <c r="G110">
        <v>1184.3999999999996</v>
      </c>
      <c r="H110">
        <v>101.3</v>
      </c>
      <c r="J110">
        <v>1.4</v>
      </c>
      <c r="K110">
        <f t="shared" si="9"/>
        <v>349.7999999999999</v>
      </c>
      <c r="L110">
        <v>0.1</v>
      </c>
      <c r="M110">
        <f t="shared" si="10"/>
        <v>117.09999999999994</v>
      </c>
      <c r="N110">
        <v>1.2999999999999998</v>
      </c>
      <c r="O110">
        <v>122.1</v>
      </c>
      <c r="P110">
        <v>105</v>
      </c>
      <c r="Q110">
        <v>1</v>
      </c>
      <c r="R110" s="6">
        <f t="shared" si="7"/>
        <v>0.1</v>
      </c>
      <c r="S110" s="6">
        <f t="shared" si="8"/>
        <v>1.2999999999999998</v>
      </c>
      <c r="T110" s="6">
        <f t="shared" si="11"/>
        <v>122.1</v>
      </c>
      <c r="V110">
        <v>101.3</v>
      </c>
      <c r="X110">
        <v>64849.200000000019</v>
      </c>
      <c r="Y110">
        <f t="shared" si="15"/>
        <v>2990.1000000000004</v>
      </c>
      <c r="AA110" s="8">
        <v>8.48678813807072</v>
      </c>
    </row>
    <row r="111" spans="1:27" x14ac:dyDescent="0.25">
      <c r="A111" s="49"/>
      <c r="B111" s="3"/>
      <c r="C111" s="4">
        <v>41992</v>
      </c>
      <c r="D111">
        <v>10.7</v>
      </c>
      <c r="E111">
        <v>10</v>
      </c>
      <c r="F111">
        <v>11.8</v>
      </c>
      <c r="G111">
        <v>1195.0999999999997</v>
      </c>
      <c r="H111">
        <v>112</v>
      </c>
      <c r="J111">
        <v>2.2000000000000002</v>
      </c>
      <c r="K111">
        <f t="shared" si="9"/>
        <v>351.99999999999989</v>
      </c>
      <c r="L111">
        <v>1</v>
      </c>
      <c r="M111">
        <f t="shared" si="10"/>
        <v>118.09999999999994</v>
      </c>
      <c r="N111">
        <v>1.2000000000000002</v>
      </c>
      <c r="O111">
        <v>122.1</v>
      </c>
      <c r="P111">
        <v>106</v>
      </c>
      <c r="Q111">
        <v>1</v>
      </c>
      <c r="R111" s="6">
        <f t="shared" si="7"/>
        <v>1</v>
      </c>
      <c r="S111" s="6">
        <f t="shared" si="8"/>
        <v>1.2000000000000002</v>
      </c>
      <c r="T111" s="6">
        <f t="shared" si="11"/>
        <v>122.1</v>
      </c>
      <c r="V111">
        <v>84.7</v>
      </c>
      <c r="X111">
        <v>64933.900000000016</v>
      </c>
      <c r="Y111">
        <f t="shared" si="15"/>
        <v>3074.8</v>
      </c>
      <c r="AA111" s="8">
        <v>8.4808751196294203</v>
      </c>
    </row>
    <row r="112" spans="1:27" x14ac:dyDescent="0.25">
      <c r="A112" s="49"/>
      <c r="B112" s="3"/>
      <c r="C112" s="4">
        <v>41993</v>
      </c>
      <c r="D112">
        <v>6.3</v>
      </c>
      <c r="E112">
        <v>5.7</v>
      </c>
      <c r="F112">
        <v>7.4</v>
      </c>
      <c r="G112">
        <v>1201.3999999999996</v>
      </c>
      <c r="H112">
        <v>118.3</v>
      </c>
      <c r="J112">
        <v>0.1</v>
      </c>
      <c r="K112">
        <f t="shared" si="9"/>
        <v>352.09999999999991</v>
      </c>
      <c r="L112">
        <v>0.8</v>
      </c>
      <c r="M112">
        <f t="shared" si="10"/>
        <v>118.89999999999993</v>
      </c>
      <c r="N112">
        <v>-0.70000000000000007</v>
      </c>
      <c r="O112">
        <f t="shared" ref="O112:O118" si="16">O111+N112</f>
        <v>121.39999999999999</v>
      </c>
      <c r="P112">
        <v>107</v>
      </c>
      <c r="Q112">
        <v>1</v>
      </c>
      <c r="R112" s="6">
        <f t="shared" si="7"/>
        <v>0.8</v>
      </c>
      <c r="S112" s="6">
        <f t="shared" si="8"/>
        <v>-0.70000000000000007</v>
      </c>
      <c r="T112" s="6">
        <f t="shared" si="11"/>
        <v>121.39999999999999</v>
      </c>
      <c r="V112">
        <v>201.5</v>
      </c>
      <c r="X112">
        <v>65135.400000000016</v>
      </c>
      <c r="Y112">
        <f t="shared" si="15"/>
        <v>3276.3</v>
      </c>
      <c r="AA112" s="8">
        <v>8.4764391856680099</v>
      </c>
    </row>
    <row r="113" spans="1:27" x14ac:dyDescent="0.25">
      <c r="A113" s="49"/>
      <c r="B113" s="9"/>
      <c r="C113" s="4">
        <v>41994</v>
      </c>
      <c r="D113">
        <v>6.1</v>
      </c>
      <c r="E113">
        <v>3.4</v>
      </c>
      <c r="F113">
        <v>8.8000000000000007</v>
      </c>
      <c r="G113">
        <v>1207.4999999999995</v>
      </c>
      <c r="H113">
        <v>124.39999999999999</v>
      </c>
      <c r="J113">
        <v>0</v>
      </c>
      <c r="K113">
        <f t="shared" si="9"/>
        <v>352.09999999999991</v>
      </c>
      <c r="L113">
        <v>0.6</v>
      </c>
      <c r="M113">
        <f t="shared" si="10"/>
        <v>119.49999999999993</v>
      </c>
      <c r="N113">
        <v>-0.6</v>
      </c>
      <c r="O113">
        <f t="shared" si="16"/>
        <v>120.8</v>
      </c>
      <c r="P113">
        <v>108</v>
      </c>
      <c r="Q113">
        <v>1</v>
      </c>
      <c r="R113" s="6">
        <f t="shared" si="7"/>
        <v>0.6</v>
      </c>
      <c r="S113" s="6">
        <f t="shared" si="8"/>
        <v>-0.6</v>
      </c>
      <c r="T113" s="6">
        <f t="shared" si="11"/>
        <v>120.8</v>
      </c>
      <c r="V113">
        <v>175.1</v>
      </c>
      <c r="X113">
        <v>65310.500000000015</v>
      </c>
      <c r="Y113">
        <f t="shared" si="15"/>
        <v>3451.4</v>
      </c>
      <c r="AA113" s="8">
        <v>8.4734860610048504</v>
      </c>
    </row>
    <row r="114" spans="1:27" x14ac:dyDescent="0.25">
      <c r="A114" s="49"/>
      <c r="B114" s="9"/>
      <c r="C114" s="4">
        <v>41995</v>
      </c>
      <c r="D114">
        <v>3.5</v>
      </c>
      <c r="E114">
        <v>1.9</v>
      </c>
      <c r="F114">
        <v>7.6</v>
      </c>
      <c r="G114">
        <v>1210.9999999999995</v>
      </c>
      <c r="H114">
        <v>127.89999999999999</v>
      </c>
      <c r="J114">
        <v>0</v>
      </c>
      <c r="K114">
        <f t="shared" si="9"/>
        <v>352.09999999999991</v>
      </c>
      <c r="L114">
        <v>0.7</v>
      </c>
      <c r="M114">
        <f t="shared" si="10"/>
        <v>120.19999999999993</v>
      </c>
      <c r="N114">
        <v>-0.7</v>
      </c>
      <c r="O114">
        <f t="shared" si="16"/>
        <v>120.1</v>
      </c>
      <c r="P114">
        <v>109</v>
      </c>
      <c r="Q114">
        <v>1</v>
      </c>
      <c r="R114" s="6">
        <f t="shared" si="7"/>
        <v>0.7</v>
      </c>
      <c r="S114" s="6">
        <f t="shared" si="8"/>
        <v>-0.7</v>
      </c>
      <c r="T114" s="6">
        <f t="shared" si="11"/>
        <v>120.1</v>
      </c>
      <c r="V114">
        <v>434.5</v>
      </c>
      <c r="X114">
        <v>65745.000000000015</v>
      </c>
      <c r="Y114">
        <f t="shared" si="15"/>
        <v>3885.9</v>
      </c>
      <c r="AA114" s="8">
        <v>8.4720197516420797</v>
      </c>
    </row>
    <row r="115" spans="1:27" x14ac:dyDescent="0.25">
      <c r="A115" s="49"/>
      <c r="B115" s="9"/>
      <c r="C115" s="4">
        <v>41996</v>
      </c>
      <c r="D115">
        <v>-1.4</v>
      </c>
      <c r="E115">
        <v>-1.9</v>
      </c>
      <c r="F115">
        <v>-0.1</v>
      </c>
      <c r="G115">
        <v>1211</v>
      </c>
      <c r="H115">
        <v>127.9</v>
      </c>
      <c r="J115">
        <v>0.1</v>
      </c>
      <c r="K115">
        <f t="shared" si="9"/>
        <v>352.19999999999993</v>
      </c>
      <c r="L115">
        <v>0.6</v>
      </c>
      <c r="M115">
        <f t="shared" si="10"/>
        <v>120.79999999999993</v>
      </c>
      <c r="N115">
        <v>-0.5</v>
      </c>
      <c r="O115">
        <f t="shared" si="16"/>
        <v>119.6</v>
      </c>
      <c r="P115">
        <v>110</v>
      </c>
      <c r="Q115">
        <v>1</v>
      </c>
      <c r="R115" s="6">
        <f t="shared" si="7"/>
        <v>0.6</v>
      </c>
      <c r="S115" s="6">
        <f t="shared" si="8"/>
        <v>-0.5</v>
      </c>
      <c r="T115" s="6">
        <f t="shared" si="11"/>
        <v>119.6</v>
      </c>
      <c r="V115">
        <v>269.10000000000002</v>
      </c>
      <c r="X115">
        <v>66014.10000000002</v>
      </c>
      <c r="Y115">
        <f t="shared" si="15"/>
        <v>4155</v>
      </c>
      <c r="AA115" s="8">
        <v>8.4720425276340698</v>
      </c>
    </row>
    <row r="116" spans="1:27" x14ac:dyDescent="0.25">
      <c r="A116" s="49"/>
      <c r="B116" s="9"/>
      <c r="C116" s="4">
        <v>41997</v>
      </c>
      <c r="D116">
        <v>4</v>
      </c>
      <c r="E116">
        <v>-2.4</v>
      </c>
      <c r="F116">
        <v>7.2</v>
      </c>
      <c r="G116">
        <v>1215</v>
      </c>
      <c r="H116">
        <v>131.9</v>
      </c>
      <c r="J116">
        <v>1</v>
      </c>
      <c r="K116">
        <f t="shared" si="9"/>
        <v>353.19999999999993</v>
      </c>
      <c r="L116">
        <v>0.2</v>
      </c>
      <c r="M116">
        <f t="shared" si="10"/>
        <v>120.99999999999993</v>
      </c>
      <c r="N116">
        <v>0.8</v>
      </c>
      <c r="O116">
        <f t="shared" si="16"/>
        <v>120.39999999999999</v>
      </c>
      <c r="P116">
        <v>111</v>
      </c>
      <c r="Q116">
        <v>1</v>
      </c>
      <c r="R116" s="6">
        <f t="shared" si="7"/>
        <v>0.2</v>
      </c>
      <c r="S116" s="6">
        <f t="shared" si="8"/>
        <v>0.8</v>
      </c>
      <c r="T116" s="6">
        <f t="shared" si="11"/>
        <v>120.39999999999999</v>
      </c>
      <c r="V116">
        <v>412.9</v>
      </c>
      <c r="X116">
        <v>66427.000000000015</v>
      </c>
      <c r="Y116">
        <f t="shared" si="15"/>
        <v>4567.8999999999996</v>
      </c>
      <c r="AA116" s="8">
        <v>8.4735549133228094</v>
      </c>
    </row>
    <row r="117" spans="1:27" x14ac:dyDescent="0.25">
      <c r="A117" s="49"/>
      <c r="B117" s="9"/>
      <c r="C117" s="4">
        <v>41998</v>
      </c>
      <c r="D117">
        <v>4.7</v>
      </c>
      <c r="E117">
        <v>2.2000000000000002</v>
      </c>
      <c r="F117">
        <v>8.3000000000000007</v>
      </c>
      <c r="G117">
        <v>1219.7</v>
      </c>
      <c r="H117">
        <v>136.6</v>
      </c>
      <c r="J117">
        <v>0.2</v>
      </c>
      <c r="K117">
        <f t="shared" si="9"/>
        <v>353.39999999999992</v>
      </c>
      <c r="L117">
        <v>0.4</v>
      </c>
      <c r="M117">
        <f t="shared" si="10"/>
        <v>121.39999999999993</v>
      </c>
      <c r="N117">
        <v>-0.2</v>
      </c>
      <c r="O117">
        <f t="shared" si="16"/>
        <v>120.19999999999999</v>
      </c>
      <c r="P117">
        <v>112</v>
      </c>
      <c r="Q117">
        <v>1</v>
      </c>
      <c r="R117" s="6">
        <f t="shared" si="7"/>
        <v>0.4</v>
      </c>
      <c r="S117" s="6">
        <f t="shared" si="8"/>
        <v>-0.2</v>
      </c>
      <c r="T117" s="6">
        <f t="shared" si="11"/>
        <v>120.19999999999999</v>
      </c>
      <c r="V117">
        <v>308.5</v>
      </c>
      <c r="X117">
        <v>66735.500000000015</v>
      </c>
      <c r="Y117">
        <f t="shared" si="15"/>
        <v>4876.3999999999996</v>
      </c>
      <c r="AA117" s="8">
        <v>8.4765556850269004</v>
      </c>
    </row>
    <row r="118" spans="1:27" x14ac:dyDescent="0.25">
      <c r="A118" s="49"/>
      <c r="B118" s="9"/>
      <c r="C118" s="4">
        <v>41999</v>
      </c>
      <c r="D118">
        <v>1.2</v>
      </c>
      <c r="E118">
        <v>-1.6</v>
      </c>
      <c r="F118">
        <v>4.7</v>
      </c>
      <c r="G118">
        <v>1220.9000000000001</v>
      </c>
      <c r="H118">
        <v>137.79999999999998</v>
      </c>
      <c r="J118">
        <v>2.1</v>
      </c>
      <c r="K118">
        <f t="shared" si="9"/>
        <v>355.49999999999994</v>
      </c>
      <c r="L118">
        <v>0.3</v>
      </c>
      <c r="M118">
        <f t="shared" si="10"/>
        <v>121.69999999999993</v>
      </c>
      <c r="N118">
        <v>1.8</v>
      </c>
      <c r="O118">
        <f t="shared" si="16"/>
        <v>121.99999999999999</v>
      </c>
      <c r="P118">
        <v>113</v>
      </c>
      <c r="Q118">
        <v>1</v>
      </c>
      <c r="R118" s="6">
        <f t="shared" si="7"/>
        <v>0.3</v>
      </c>
      <c r="S118" s="6">
        <f t="shared" si="8"/>
        <v>1.8</v>
      </c>
      <c r="T118" s="6">
        <f t="shared" si="11"/>
        <v>121.99999999999999</v>
      </c>
      <c r="V118">
        <v>128.5</v>
      </c>
      <c r="X118">
        <v>66864.000000000015</v>
      </c>
      <c r="Y118">
        <f t="shared" si="15"/>
        <v>5004.8999999999996</v>
      </c>
      <c r="AA118" s="8">
        <v>8.48104187620463</v>
      </c>
    </row>
    <row r="119" spans="1:27" x14ac:dyDescent="0.25">
      <c r="A119" s="49"/>
      <c r="B119" s="9"/>
      <c r="C119" s="4">
        <v>42000</v>
      </c>
      <c r="D119">
        <v>3.2</v>
      </c>
      <c r="E119">
        <v>0.8</v>
      </c>
      <c r="F119">
        <v>5.8</v>
      </c>
      <c r="G119">
        <v>1224.1000000000001</v>
      </c>
      <c r="H119">
        <v>140.99999999999997</v>
      </c>
      <c r="J119">
        <v>6.5</v>
      </c>
      <c r="K119">
        <f t="shared" si="9"/>
        <v>361.99999999999994</v>
      </c>
      <c r="L119">
        <v>0.9</v>
      </c>
      <c r="M119">
        <f t="shared" si="10"/>
        <v>122.59999999999994</v>
      </c>
      <c r="N119">
        <v>5.6</v>
      </c>
      <c r="O119">
        <v>122.1</v>
      </c>
      <c r="P119">
        <v>114</v>
      </c>
      <c r="Q119">
        <v>1</v>
      </c>
      <c r="R119" s="6">
        <f t="shared" si="7"/>
        <v>0.9</v>
      </c>
      <c r="S119" s="6">
        <f t="shared" si="8"/>
        <v>5.6</v>
      </c>
      <c r="T119" s="6">
        <f t="shared" si="11"/>
        <v>122.1</v>
      </c>
      <c r="V119">
        <v>161.1</v>
      </c>
      <c r="X119">
        <v>67025.10000000002</v>
      </c>
      <c r="Y119">
        <f t="shared" si="15"/>
        <v>5166</v>
      </c>
      <c r="AA119" s="8">
        <v>8.4870087900457207</v>
      </c>
    </row>
    <row r="120" spans="1:27" x14ac:dyDescent="0.25">
      <c r="A120" s="49"/>
      <c r="B120" s="9"/>
      <c r="C120" s="4">
        <v>42001</v>
      </c>
      <c r="D120">
        <v>-0.8</v>
      </c>
      <c r="E120">
        <v>-1.9</v>
      </c>
      <c r="F120">
        <v>0.9</v>
      </c>
      <c r="G120">
        <v>1224.0999999999999</v>
      </c>
      <c r="H120">
        <v>141</v>
      </c>
      <c r="J120">
        <v>0</v>
      </c>
      <c r="K120">
        <f t="shared" si="9"/>
        <v>361.99999999999994</v>
      </c>
      <c r="L120">
        <v>0.7</v>
      </c>
      <c r="M120">
        <f t="shared" si="10"/>
        <v>123.29999999999994</v>
      </c>
      <c r="N120">
        <v>-0.7</v>
      </c>
      <c r="O120">
        <f t="shared" ref="O120:O125" si="17">O119+N120</f>
        <v>121.39999999999999</v>
      </c>
      <c r="P120">
        <v>115</v>
      </c>
      <c r="Q120">
        <v>1</v>
      </c>
      <c r="R120" s="6">
        <f t="shared" si="7"/>
        <v>0.7</v>
      </c>
      <c r="S120" s="6">
        <f t="shared" si="8"/>
        <v>-0.7</v>
      </c>
      <c r="T120" s="6">
        <f t="shared" si="11"/>
        <v>121.39999999999999</v>
      </c>
      <c r="V120">
        <v>105.8</v>
      </c>
      <c r="X120">
        <v>67130.900000000023</v>
      </c>
      <c r="Y120">
        <f t="shared" si="15"/>
        <v>5271.8</v>
      </c>
      <c r="AA120" s="8">
        <v>8.4944500193799701</v>
      </c>
    </row>
    <row r="121" spans="1:27" x14ac:dyDescent="0.25">
      <c r="A121" s="49"/>
      <c r="B121" s="9"/>
      <c r="C121" s="4">
        <v>42002</v>
      </c>
      <c r="D121">
        <v>-3.2</v>
      </c>
      <c r="E121">
        <v>-6.9</v>
      </c>
      <c r="F121">
        <v>-1.2</v>
      </c>
      <c r="G121">
        <v>1224.0999999999999</v>
      </c>
      <c r="H121">
        <v>141</v>
      </c>
      <c r="J121">
        <v>0</v>
      </c>
      <c r="K121">
        <f t="shared" si="9"/>
        <v>361.99999999999994</v>
      </c>
      <c r="L121">
        <v>0.3</v>
      </c>
      <c r="M121">
        <f t="shared" si="10"/>
        <v>123.59999999999994</v>
      </c>
      <c r="N121">
        <v>-0.3</v>
      </c>
      <c r="O121">
        <f t="shared" si="17"/>
        <v>121.1</v>
      </c>
      <c r="P121">
        <v>116</v>
      </c>
      <c r="Q121">
        <v>1</v>
      </c>
      <c r="R121" s="6">
        <f t="shared" si="7"/>
        <v>0.3</v>
      </c>
      <c r="S121" s="6">
        <f t="shared" si="8"/>
        <v>-0.3</v>
      </c>
      <c r="T121" s="6">
        <f t="shared" si="11"/>
        <v>121.1</v>
      </c>
      <c r="V121">
        <v>166.4</v>
      </c>
      <c r="X121">
        <v>67297.300000000017</v>
      </c>
      <c r="Y121">
        <f t="shared" si="15"/>
        <v>5438.2</v>
      </c>
      <c r="AA121" s="8">
        <v>8.5033574737276094</v>
      </c>
    </row>
    <row r="122" spans="1:27" x14ac:dyDescent="0.25">
      <c r="A122" s="49"/>
      <c r="B122" s="9"/>
      <c r="C122" s="4">
        <v>42003</v>
      </c>
      <c r="D122">
        <v>-0.4</v>
      </c>
      <c r="E122">
        <v>-2.2999999999999998</v>
      </c>
      <c r="F122">
        <v>1.2</v>
      </c>
      <c r="G122">
        <v>1224.0999999999999</v>
      </c>
      <c r="H122">
        <v>141</v>
      </c>
      <c r="J122">
        <v>0</v>
      </c>
      <c r="K122">
        <f t="shared" si="9"/>
        <v>361.99999999999994</v>
      </c>
      <c r="L122">
        <v>0.2</v>
      </c>
      <c r="M122">
        <f t="shared" si="10"/>
        <v>123.79999999999994</v>
      </c>
      <c r="N122">
        <v>-0.2</v>
      </c>
      <c r="O122">
        <f t="shared" si="17"/>
        <v>120.89999999999999</v>
      </c>
      <c r="P122">
        <v>117</v>
      </c>
      <c r="Q122">
        <v>1</v>
      </c>
      <c r="R122" s="6">
        <f t="shared" si="7"/>
        <v>0.2</v>
      </c>
      <c r="S122" s="6">
        <f t="shared" si="8"/>
        <v>-0.2</v>
      </c>
      <c r="T122" s="6">
        <f t="shared" si="11"/>
        <v>120.89999999999999</v>
      </c>
      <c r="V122">
        <v>115.4</v>
      </c>
      <c r="X122">
        <v>67412.700000000012</v>
      </c>
      <c r="Y122">
        <f t="shared" si="15"/>
        <v>5553.5999999999995</v>
      </c>
      <c r="AA122" s="8">
        <v>8.5137214132544194</v>
      </c>
    </row>
    <row r="123" spans="1:27" x14ac:dyDescent="0.25">
      <c r="A123" s="49"/>
      <c r="B123" s="9"/>
      <c r="C123" s="4">
        <v>42004</v>
      </c>
      <c r="D123">
        <v>0.4</v>
      </c>
      <c r="E123">
        <v>-1.4</v>
      </c>
      <c r="F123">
        <v>3.3</v>
      </c>
      <c r="G123">
        <v>1224.5</v>
      </c>
      <c r="H123">
        <v>141.4</v>
      </c>
      <c r="J123">
        <v>0</v>
      </c>
      <c r="K123">
        <f t="shared" si="9"/>
        <v>361.99999999999994</v>
      </c>
      <c r="L123">
        <v>0.7</v>
      </c>
      <c r="M123">
        <f t="shared" si="10"/>
        <v>124.49999999999994</v>
      </c>
      <c r="N123">
        <v>-0.7</v>
      </c>
      <c r="O123">
        <f t="shared" si="17"/>
        <v>120.19999999999999</v>
      </c>
      <c r="P123">
        <v>118</v>
      </c>
      <c r="Q123">
        <v>1</v>
      </c>
      <c r="R123" s="6">
        <f t="shared" si="7"/>
        <v>0.7</v>
      </c>
      <c r="S123" s="6">
        <f t="shared" si="8"/>
        <v>-0.7</v>
      </c>
      <c r="T123" s="6">
        <f t="shared" si="11"/>
        <v>120.19999999999999</v>
      </c>
      <c r="V123">
        <v>309.8</v>
      </c>
      <c r="X123">
        <v>67722.500000000015</v>
      </c>
      <c r="Y123">
        <f t="shared" si="15"/>
        <v>5863.4</v>
      </c>
      <c r="AA123" s="8">
        <v>8.5255304893372497</v>
      </c>
    </row>
    <row r="124" spans="1:27" x14ac:dyDescent="0.25">
      <c r="A124" s="49"/>
      <c r="B124" s="9"/>
      <c r="C124" s="4">
        <v>42005</v>
      </c>
      <c r="D124">
        <v>-2.5</v>
      </c>
      <c r="E124">
        <v>-3.7</v>
      </c>
      <c r="F124">
        <v>-2</v>
      </c>
      <c r="G124">
        <v>1224.5</v>
      </c>
      <c r="H124">
        <v>141.4</v>
      </c>
      <c r="J124">
        <v>0</v>
      </c>
      <c r="K124">
        <f t="shared" si="9"/>
        <v>361.99999999999994</v>
      </c>
      <c r="L124">
        <v>0.4</v>
      </c>
      <c r="M124">
        <f t="shared" si="10"/>
        <v>124.89999999999995</v>
      </c>
      <c r="N124">
        <v>-0.4</v>
      </c>
      <c r="O124">
        <f t="shared" si="17"/>
        <v>119.79999999999998</v>
      </c>
      <c r="P124">
        <v>119</v>
      </c>
      <c r="Q124">
        <v>1</v>
      </c>
      <c r="R124" s="6">
        <f t="shared" si="7"/>
        <v>0.4</v>
      </c>
      <c r="S124" s="6">
        <f t="shared" si="8"/>
        <v>-0.4</v>
      </c>
      <c r="T124" s="6">
        <f t="shared" si="11"/>
        <v>119.79999999999998</v>
      </c>
      <c r="V124">
        <v>223.3</v>
      </c>
      <c r="X124">
        <v>67945.800000000017</v>
      </c>
      <c r="Y124">
        <f t="shared" si="15"/>
        <v>6086.7</v>
      </c>
      <c r="AA124" s="8">
        <v>8.5430425045266798</v>
      </c>
    </row>
    <row r="125" spans="1:27" x14ac:dyDescent="0.25">
      <c r="A125" s="49"/>
      <c r="B125" s="9"/>
      <c r="C125" s="4">
        <v>42006</v>
      </c>
      <c r="D125">
        <v>-0.4</v>
      </c>
      <c r="E125">
        <v>-2.7</v>
      </c>
      <c r="F125">
        <v>1.9</v>
      </c>
      <c r="G125">
        <v>1224.5</v>
      </c>
      <c r="H125">
        <v>141.4</v>
      </c>
      <c r="J125">
        <v>2.6</v>
      </c>
      <c r="K125">
        <f t="shared" si="9"/>
        <v>364.59999999999997</v>
      </c>
      <c r="L125">
        <v>0.3</v>
      </c>
      <c r="M125">
        <f t="shared" si="10"/>
        <v>125.19999999999995</v>
      </c>
      <c r="N125">
        <v>2.3000000000000003</v>
      </c>
      <c r="O125">
        <f t="shared" si="17"/>
        <v>122.09999999999998</v>
      </c>
      <c r="P125">
        <v>120</v>
      </c>
      <c r="Q125">
        <v>1</v>
      </c>
      <c r="R125" s="6">
        <f t="shared" si="7"/>
        <v>0.3</v>
      </c>
      <c r="S125" s="6">
        <f t="shared" si="8"/>
        <v>2.3000000000000003</v>
      </c>
      <c r="T125" s="6">
        <f t="shared" si="11"/>
        <v>122.09999999999998</v>
      </c>
      <c r="V125">
        <v>94.2</v>
      </c>
      <c r="X125">
        <v>68040.000000000015</v>
      </c>
      <c r="Y125">
        <f t="shared" si="15"/>
        <v>6180.9</v>
      </c>
      <c r="AA125" s="8">
        <v>8.5581259917503303</v>
      </c>
    </row>
    <row r="126" spans="1:27" x14ac:dyDescent="0.25">
      <c r="A126" s="49"/>
      <c r="B126" s="9"/>
      <c r="C126" s="4">
        <v>42007</v>
      </c>
      <c r="D126">
        <v>5.9</v>
      </c>
      <c r="E126">
        <v>1.5</v>
      </c>
      <c r="F126">
        <v>10.5</v>
      </c>
      <c r="G126">
        <v>1230.4000000000001</v>
      </c>
      <c r="H126">
        <v>147.30000000000001</v>
      </c>
      <c r="J126">
        <v>3.7</v>
      </c>
      <c r="K126">
        <f t="shared" si="9"/>
        <v>368.29999999999995</v>
      </c>
      <c r="L126">
        <v>0.4</v>
      </c>
      <c r="M126">
        <f t="shared" si="10"/>
        <v>125.59999999999995</v>
      </c>
      <c r="N126">
        <v>3.3000000000000003</v>
      </c>
      <c r="O126">
        <v>122.1</v>
      </c>
      <c r="P126">
        <v>121</v>
      </c>
      <c r="Q126">
        <v>1</v>
      </c>
      <c r="R126" s="6">
        <f t="shared" si="7"/>
        <v>0.4</v>
      </c>
      <c r="S126" s="6">
        <f t="shared" si="8"/>
        <v>3.3000000000000003</v>
      </c>
      <c r="T126" s="6">
        <f t="shared" si="11"/>
        <v>122.1</v>
      </c>
      <c r="V126">
        <v>104</v>
      </c>
      <c r="X126">
        <v>68144.000000000015</v>
      </c>
      <c r="Y126">
        <f t="shared" si="15"/>
        <v>6284.9</v>
      </c>
      <c r="AA126" s="8">
        <v>8.5746063541320794</v>
      </c>
    </row>
    <row r="127" spans="1:27" x14ac:dyDescent="0.25">
      <c r="A127" s="49"/>
      <c r="B127" s="9"/>
      <c r="C127" s="4">
        <v>42008</v>
      </c>
      <c r="D127">
        <v>4.0999999999999996</v>
      </c>
      <c r="E127">
        <v>0.7</v>
      </c>
      <c r="F127">
        <v>7.4</v>
      </c>
      <c r="G127">
        <v>1234.5</v>
      </c>
      <c r="H127">
        <v>151.4</v>
      </c>
      <c r="J127">
        <v>0</v>
      </c>
      <c r="K127">
        <f t="shared" si="9"/>
        <v>368.29999999999995</v>
      </c>
      <c r="L127">
        <v>0.2</v>
      </c>
      <c r="M127">
        <f t="shared" si="10"/>
        <v>125.79999999999995</v>
      </c>
      <c r="N127">
        <v>-0.2</v>
      </c>
      <c r="O127">
        <f>O126+N127</f>
        <v>121.89999999999999</v>
      </c>
      <c r="P127">
        <v>122</v>
      </c>
      <c r="Q127">
        <v>1</v>
      </c>
      <c r="R127" s="6">
        <f t="shared" si="7"/>
        <v>0.2</v>
      </c>
      <c r="S127" s="6">
        <f t="shared" si="8"/>
        <v>-0.2</v>
      </c>
      <c r="T127" s="6">
        <f t="shared" si="11"/>
        <v>121.89999999999999</v>
      </c>
      <c r="V127">
        <v>320</v>
      </c>
      <c r="X127">
        <v>68464.000000000015</v>
      </c>
      <c r="Y127">
        <f t="shared" si="15"/>
        <v>6604.9</v>
      </c>
      <c r="AA127" s="8">
        <v>8.5924659271907196</v>
      </c>
    </row>
    <row r="128" spans="1:27" x14ac:dyDescent="0.25">
      <c r="A128" s="49"/>
      <c r="B128" s="9"/>
      <c r="C128" s="4">
        <v>42009</v>
      </c>
      <c r="D128">
        <v>-2</v>
      </c>
      <c r="E128">
        <v>-4.0999999999999996</v>
      </c>
      <c r="F128">
        <v>0.6</v>
      </c>
      <c r="G128">
        <v>1234.5</v>
      </c>
      <c r="H128">
        <v>151.4</v>
      </c>
      <c r="J128">
        <v>0</v>
      </c>
      <c r="K128">
        <f t="shared" si="9"/>
        <v>368.29999999999995</v>
      </c>
      <c r="L128">
        <v>0.6</v>
      </c>
      <c r="M128">
        <f t="shared" si="10"/>
        <v>126.39999999999995</v>
      </c>
      <c r="N128">
        <v>-0.6</v>
      </c>
      <c r="O128">
        <f>O127+N128</f>
        <v>121.3</v>
      </c>
      <c r="P128">
        <v>123</v>
      </c>
      <c r="Q128">
        <v>1</v>
      </c>
      <c r="R128" s="6">
        <f t="shared" si="7"/>
        <v>0.6</v>
      </c>
      <c r="S128" s="6">
        <f t="shared" si="8"/>
        <v>-0.6</v>
      </c>
      <c r="T128" s="6">
        <f t="shared" si="11"/>
        <v>121.3</v>
      </c>
      <c r="V128">
        <v>640.9</v>
      </c>
      <c r="X128">
        <v>69104.900000000009</v>
      </c>
      <c r="Y128">
        <f t="shared" si="15"/>
        <v>7245.7999999999993</v>
      </c>
      <c r="AA128" s="8">
        <v>8.6116857470365797</v>
      </c>
    </row>
    <row r="129" spans="1:27" x14ac:dyDescent="0.25">
      <c r="A129" s="49"/>
      <c r="B129" s="9"/>
      <c r="C129" s="4">
        <v>42010</v>
      </c>
      <c r="D129">
        <v>-1.7</v>
      </c>
      <c r="E129">
        <v>-2.4</v>
      </c>
      <c r="F129">
        <v>0.5</v>
      </c>
      <c r="G129">
        <v>1234.5</v>
      </c>
      <c r="H129">
        <v>151.4</v>
      </c>
      <c r="J129">
        <v>1</v>
      </c>
      <c r="K129">
        <f t="shared" si="9"/>
        <v>369.29999999999995</v>
      </c>
      <c r="L129">
        <v>0.4</v>
      </c>
      <c r="M129">
        <f t="shared" si="10"/>
        <v>126.79999999999995</v>
      </c>
      <c r="N129">
        <v>0.6</v>
      </c>
      <c r="O129">
        <f>O128+N129</f>
        <v>121.89999999999999</v>
      </c>
      <c r="P129">
        <v>124</v>
      </c>
      <c r="Q129">
        <v>1</v>
      </c>
      <c r="R129" s="6">
        <f t="shared" si="7"/>
        <v>0.4</v>
      </c>
      <c r="S129" s="6">
        <f t="shared" si="8"/>
        <v>0.6</v>
      </c>
      <c r="T129" s="6">
        <f t="shared" si="11"/>
        <v>121.89999999999999</v>
      </c>
      <c r="V129">
        <v>207.6</v>
      </c>
      <c r="X129">
        <v>69312.500000000015</v>
      </c>
      <c r="Y129">
        <f t="shared" si="15"/>
        <v>7453.4</v>
      </c>
      <c r="AA129" s="8">
        <v>8.6322456228808804</v>
      </c>
    </row>
    <row r="130" spans="1:27" x14ac:dyDescent="0.25">
      <c r="A130" s="49"/>
      <c r="B130" s="9"/>
      <c r="C130" s="4">
        <v>42011</v>
      </c>
      <c r="D130">
        <v>2.8</v>
      </c>
      <c r="E130">
        <v>-1.1000000000000001</v>
      </c>
      <c r="F130">
        <v>5.2</v>
      </c>
      <c r="G130">
        <v>1237.3</v>
      </c>
      <c r="H130">
        <v>154.20000000000002</v>
      </c>
      <c r="J130">
        <v>0.4</v>
      </c>
      <c r="K130">
        <f t="shared" si="9"/>
        <v>369.69999999999993</v>
      </c>
      <c r="L130">
        <v>0.2</v>
      </c>
      <c r="M130">
        <f t="shared" si="10"/>
        <v>126.99999999999996</v>
      </c>
      <c r="N130">
        <v>0.2</v>
      </c>
      <c r="O130">
        <f>O129+N130</f>
        <v>122.1</v>
      </c>
      <c r="P130">
        <v>125</v>
      </c>
      <c r="Q130">
        <v>1</v>
      </c>
      <c r="R130" s="6">
        <f t="shared" si="7"/>
        <v>0.2</v>
      </c>
      <c r="S130" s="6">
        <f t="shared" si="8"/>
        <v>0.2</v>
      </c>
      <c r="T130" s="6">
        <f t="shared" si="11"/>
        <v>122.1</v>
      </c>
      <c r="V130">
        <v>189.8</v>
      </c>
      <c r="X130">
        <v>69502.300000000017</v>
      </c>
      <c r="Y130">
        <f t="shared" si="15"/>
        <v>7643.2</v>
      </c>
      <c r="AA130" s="8">
        <v>8.6541242127502596</v>
      </c>
    </row>
    <row r="131" spans="1:27" x14ac:dyDescent="0.25">
      <c r="A131" s="49"/>
      <c r="B131" s="9"/>
      <c r="C131" s="4">
        <v>42012</v>
      </c>
      <c r="D131">
        <v>7</v>
      </c>
      <c r="E131">
        <v>4.5999999999999996</v>
      </c>
      <c r="F131">
        <v>9.3000000000000007</v>
      </c>
      <c r="G131">
        <v>1244.3</v>
      </c>
      <c r="H131">
        <v>161.20000000000002</v>
      </c>
      <c r="J131">
        <v>2.8</v>
      </c>
      <c r="K131">
        <f t="shared" si="9"/>
        <v>372.49999999999994</v>
      </c>
      <c r="L131">
        <v>0.5</v>
      </c>
      <c r="M131">
        <f t="shared" si="10"/>
        <v>127.49999999999996</v>
      </c>
      <c r="N131">
        <v>2.2999999999999998</v>
      </c>
      <c r="O131">
        <v>122.1</v>
      </c>
      <c r="P131">
        <v>126</v>
      </c>
      <c r="Q131">
        <v>1</v>
      </c>
      <c r="R131" s="6">
        <f t="shared" si="7"/>
        <v>0.5</v>
      </c>
      <c r="S131" s="6">
        <f t="shared" si="8"/>
        <v>2.2999999999999998</v>
      </c>
      <c r="T131" s="6">
        <f t="shared" si="11"/>
        <v>122.1</v>
      </c>
      <c r="V131">
        <v>114.9</v>
      </c>
      <c r="X131">
        <v>69617.200000000012</v>
      </c>
      <c r="Y131">
        <f t="shared" si="15"/>
        <v>7758.0999999999995</v>
      </c>
      <c r="AA131" s="8">
        <v>8.6772991018493499</v>
      </c>
    </row>
    <row r="132" spans="1:27" x14ac:dyDescent="0.25">
      <c r="A132" s="49"/>
      <c r="B132" s="9"/>
      <c r="C132" s="4">
        <v>42013</v>
      </c>
      <c r="D132">
        <v>7.9</v>
      </c>
      <c r="E132">
        <v>5</v>
      </c>
      <c r="F132">
        <v>11.9</v>
      </c>
      <c r="G132">
        <v>1252.2</v>
      </c>
      <c r="H132">
        <v>169.10000000000002</v>
      </c>
      <c r="J132">
        <v>1.5</v>
      </c>
      <c r="K132">
        <f t="shared" si="9"/>
        <v>373.99999999999994</v>
      </c>
      <c r="L132">
        <v>0.9</v>
      </c>
      <c r="M132">
        <f t="shared" si="10"/>
        <v>128.39999999999995</v>
      </c>
      <c r="N132">
        <v>0.6</v>
      </c>
      <c r="O132">
        <v>122.1</v>
      </c>
      <c r="P132">
        <v>127</v>
      </c>
      <c r="Q132">
        <v>1</v>
      </c>
      <c r="R132" s="6">
        <f t="shared" si="7"/>
        <v>0.9</v>
      </c>
      <c r="S132" s="6">
        <f t="shared" si="8"/>
        <v>0.6</v>
      </c>
      <c r="T132" s="6">
        <f t="shared" si="11"/>
        <v>122.1</v>
      </c>
      <c r="V132">
        <v>116.7</v>
      </c>
      <c r="X132">
        <v>69733.900000000009</v>
      </c>
      <c r="Y132">
        <f t="shared" si="15"/>
        <v>7874.7999999999993</v>
      </c>
      <c r="AA132" s="8">
        <v>8.7017468830134099</v>
      </c>
    </row>
    <row r="133" spans="1:27" x14ac:dyDescent="0.25">
      <c r="A133" s="49"/>
      <c r="B133" s="3"/>
      <c r="C133" s="4">
        <v>42014</v>
      </c>
      <c r="D133">
        <v>12.1</v>
      </c>
      <c r="E133">
        <v>9.1</v>
      </c>
      <c r="F133">
        <v>13</v>
      </c>
      <c r="G133">
        <v>1264.3</v>
      </c>
      <c r="H133">
        <v>181.20000000000002</v>
      </c>
      <c r="J133">
        <v>5</v>
      </c>
      <c r="K133">
        <f t="shared" si="9"/>
        <v>378.99999999999994</v>
      </c>
      <c r="L133">
        <v>0.5</v>
      </c>
      <c r="M133">
        <f t="shared" si="10"/>
        <v>128.89999999999995</v>
      </c>
      <c r="N133">
        <v>4.5</v>
      </c>
      <c r="O133">
        <v>122.1</v>
      </c>
      <c r="P133">
        <v>128</v>
      </c>
      <c r="Q133">
        <v>1</v>
      </c>
      <c r="R133" s="6">
        <f t="shared" si="7"/>
        <v>0.5</v>
      </c>
      <c r="S133" s="6">
        <f t="shared" si="8"/>
        <v>4.5</v>
      </c>
      <c r="T133" s="6">
        <f t="shared" si="11"/>
        <v>122.1</v>
      </c>
      <c r="V133">
        <v>118.1</v>
      </c>
      <c r="X133">
        <v>69852.000000000015</v>
      </c>
      <c r="Y133">
        <f t="shared" si="15"/>
        <v>7992.9</v>
      </c>
      <c r="AA133" s="8">
        <v>8.7274432386980507</v>
      </c>
    </row>
    <row r="134" spans="1:27" x14ac:dyDescent="0.25">
      <c r="A134" s="49"/>
      <c r="B134" s="9"/>
      <c r="C134" s="4">
        <v>42015</v>
      </c>
      <c r="D134">
        <v>5.4</v>
      </c>
      <c r="E134">
        <v>4.0999999999999996</v>
      </c>
      <c r="F134">
        <v>7.2</v>
      </c>
      <c r="G134">
        <v>1269.7</v>
      </c>
      <c r="H134">
        <v>186.60000000000002</v>
      </c>
      <c r="J134">
        <v>0</v>
      </c>
      <c r="K134">
        <f t="shared" si="9"/>
        <v>378.99999999999994</v>
      </c>
      <c r="L134">
        <v>0.8</v>
      </c>
      <c r="M134">
        <f t="shared" si="10"/>
        <v>129.69999999999996</v>
      </c>
      <c r="N134">
        <v>-0.8</v>
      </c>
      <c r="O134">
        <f>O133+N134</f>
        <v>121.3</v>
      </c>
      <c r="P134">
        <v>129</v>
      </c>
      <c r="Q134">
        <v>1</v>
      </c>
      <c r="R134" s="6">
        <f t="shared" ref="R134:R197" si="18">Q134*L134</f>
        <v>0.8</v>
      </c>
      <c r="S134" s="6">
        <f t="shared" ref="S134:S197" si="19">J134-R134</f>
        <v>-0.8</v>
      </c>
      <c r="T134" s="6">
        <f t="shared" si="11"/>
        <v>121.3</v>
      </c>
      <c r="V134">
        <v>174.1</v>
      </c>
      <c r="X134">
        <v>70026.10000000002</v>
      </c>
      <c r="Y134">
        <f t="shared" si="15"/>
        <v>8167</v>
      </c>
      <c r="AA134" s="8">
        <v>8.7543630239634904</v>
      </c>
    </row>
    <row r="135" spans="1:27" x14ac:dyDescent="0.25">
      <c r="A135" s="49"/>
      <c r="B135" s="9"/>
      <c r="C135" s="4">
        <v>42016</v>
      </c>
      <c r="D135">
        <v>3</v>
      </c>
      <c r="E135">
        <v>0.9</v>
      </c>
      <c r="F135">
        <v>6.2</v>
      </c>
      <c r="G135">
        <v>1272.7</v>
      </c>
      <c r="H135">
        <v>189.60000000000002</v>
      </c>
      <c r="J135">
        <v>0</v>
      </c>
      <c r="K135">
        <f t="shared" si="9"/>
        <v>378.99999999999994</v>
      </c>
      <c r="L135">
        <v>0.9</v>
      </c>
      <c r="M135">
        <f t="shared" si="10"/>
        <v>130.59999999999997</v>
      </c>
      <c r="N135">
        <v>-0.9</v>
      </c>
      <c r="O135">
        <f>O134+N135</f>
        <v>120.39999999999999</v>
      </c>
      <c r="P135">
        <v>130</v>
      </c>
      <c r="Q135">
        <v>1</v>
      </c>
      <c r="R135" s="6">
        <f t="shared" si="18"/>
        <v>0.9</v>
      </c>
      <c r="S135" s="6">
        <f t="shared" si="19"/>
        <v>-0.9</v>
      </c>
      <c r="T135" s="6">
        <f t="shared" si="11"/>
        <v>120.39999999999999</v>
      </c>
      <c r="V135">
        <v>308</v>
      </c>
      <c r="X135">
        <v>70334.10000000002</v>
      </c>
      <c r="Y135">
        <f t="shared" si="15"/>
        <v>8475</v>
      </c>
      <c r="AA135" s="8">
        <v>8.7824803499272903</v>
      </c>
    </row>
    <row r="136" spans="1:27" x14ac:dyDescent="0.25">
      <c r="A136" s="49"/>
      <c r="B136" s="9"/>
      <c r="C136" s="4">
        <v>42017</v>
      </c>
      <c r="D136">
        <v>7.5</v>
      </c>
      <c r="E136">
        <v>1.7</v>
      </c>
      <c r="F136">
        <v>11.3</v>
      </c>
      <c r="G136">
        <v>1280.2</v>
      </c>
      <c r="H136">
        <v>197.10000000000002</v>
      </c>
      <c r="J136">
        <v>5.6</v>
      </c>
      <c r="K136">
        <f t="shared" ref="K136:K199" si="20">K135+J136</f>
        <v>384.59999999999997</v>
      </c>
      <c r="L136">
        <v>1.3</v>
      </c>
      <c r="M136">
        <f t="shared" ref="M136:M199" si="21">M135+L136</f>
        <v>131.89999999999998</v>
      </c>
      <c r="N136">
        <v>4.3</v>
      </c>
      <c r="O136">
        <v>122.1</v>
      </c>
      <c r="P136">
        <v>131</v>
      </c>
      <c r="Q136">
        <v>1</v>
      </c>
      <c r="R136" s="6">
        <f t="shared" si="18"/>
        <v>1.3</v>
      </c>
      <c r="S136" s="6">
        <f t="shared" si="19"/>
        <v>4.3</v>
      </c>
      <c r="T136" s="6">
        <f t="shared" ref="T136:T199" si="22">MIN(122.1,(T135+S136))</f>
        <v>122.1</v>
      </c>
      <c r="V136">
        <v>696.7</v>
      </c>
      <c r="X136">
        <v>71030.800000000017</v>
      </c>
      <c r="Y136">
        <f t="shared" si="15"/>
        <v>9171.7000000000007</v>
      </c>
      <c r="AA136" s="8">
        <v>8.8117686671801199</v>
      </c>
    </row>
    <row r="137" spans="1:27" x14ac:dyDescent="0.25">
      <c r="A137" s="49"/>
      <c r="B137" s="3"/>
      <c r="C137" s="4">
        <v>42018</v>
      </c>
      <c r="D137">
        <v>7.5</v>
      </c>
      <c r="E137">
        <v>6.8</v>
      </c>
      <c r="F137">
        <v>8.6999999999999993</v>
      </c>
      <c r="G137">
        <v>1287.7</v>
      </c>
      <c r="H137">
        <v>204.60000000000002</v>
      </c>
      <c r="J137">
        <v>2.2000000000000002</v>
      </c>
      <c r="K137">
        <f t="shared" si="20"/>
        <v>386.79999999999995</v>
      </c>
      <c r="L137">
        <v>0.9</v>
      </c>
      <c r="M137">
        <f t="shared" si="21"/>
        <v>132.79999999999998</v>
      </c>
      <c r="N137">
        <v>1.3000000000000003</v>
      </c>
      <c r="O137">
        <v>122.1</v>
      </c>
      <c r="P137">
        <v>132</v>
      </c>
      <c r="Q137">
        <v>1</v>
      </c>
      <c r="R137" s="6">
        <f t="shared" si="18"/>
        <v>0.9</v>
      </c>
      <c r="S137" s="6">
        <f t="shared" si="19"/>
        <v>1.3000000000000003</v>
      </c>
      <c r="T137" s="6">
        <f t="shared" si="22"/>
        <v>122.1</v>
      </c>
      <c r="V137">
        <v>115</v>
      </c>
      <c r="X137">
        <v>71145.800000000017</v>
      </c>
      <c r="Y137">
        <f t="shared" si="15"/>
        <v>9286.7000000000007</v>
      </c>
      <c r="AA137" s="8">
        <v>8.8422008486841808</v>
      </c>
    </row>
    <row r="138" spans="1:27" x14ac:dyDescent="0.25">
      <c r="A138" s="49"/>
      <c r="B138" s="3"/>
      <c r="C138" s="4">
        <v>42019</v>
      </c>
      <c r="D138">
        <v>8.6999999999999993</v>
      </c>
      <c r="E138">
        <v>6</v>
      </c>
      <c r="F138">
        <v>10.4</v>
      </c>
      <c r="G138">
        <v>1296.4000000000001</v>
      </c>
      <c r="H138">
        <v>213.3</v>
      </c>
      <c r="J138">
        <v>4.9000000000000004</v>
      </c>
      <c r="K138">
        <f t="shared" si="20"/>
        <v>391.69999999999993</v>
      </c>
      <c r="L138">
        <v>1.4</v>
      </c>
      <c r="M138">
        <f t="shared" si="21"/>
        <v>134.19999999999999</v>
      </c>
      <c r="N138">
        <v>3.5000000000000004</v>
      </c>
      <c r="O138">
        <v>122.1</v>
      </c>
      <c r="P138">
        <v>133</v>
      </c>
      <c r="Q138">
        <v>1</v>
      </c>
      <c r="R138" s="6">
        <f t="shared" si="18"/>
        <v>1.4</v>
      </c>
      <c r="S138" s="6">
        <f t="shared" si="19"/>
        <v>3.5000000000000004</v>
      </c>
      <c r="T138" s="6">
        <f t="shared" si="22"/>
        <v>122.1</v>
      </c>
      <c r="V138">
        <v>100.7</v>
      </c>
      <c r="X138">
        <v>71246.500000000015</v>
      </c>
      <c r="Y138">
        <f t="shared" si="15"/>
        <v>9387.4000000000015</v>
      </c>
      <c r="AA138" s="8">
        <v>8.8737492717029198</v>
      </c>
    </row>
    <row r="139" spans="1:27" x14ac:dyDescent="0.25">
      <c r="A139" s="49"/>
      <c r="B139" s="3"/>
      <c r="C139" s="4">
        <v>42020</v>
      </c>
      <c r="D139">
        <v>5.8</v>
      </c>
      <c r="E139">
        <v>5.0999999999999996</v>
      </c>
      <c r="F139">
        <v>5.9</v>
      </c>
      <c r="G139">
        <v>1302.2</v>
      </c>
      <c r="H139">
        <v>219.10000000000002</v>
      </c>
      <c r="J139">
        <v>9.4</v>
      </c>
      <c r="K139">
        <f t="shared" si="20"/>
        <v>401.09999999999991</v>
      </c>
      <c r="L139">
        <v>0.3</v>
      </c>
      <c r="M139">
        <f t="shared" si="21"/>
        <v>134.5</v>
      </c>
      <c r="N139">
        <v>9.1</v>
      </c>
      <c r="O139">
        <v>122.1</v>
      </c>
      <c r="P139">
        <v>134</v>
      </c>
      <c r="Q139">
        <v>1</v>
      </c>
      <c r="R139" s="6">
        <f t="shared" si="18"/>
        <v>0.3</v>
      </c>
      <c r="S139" s="6">
        <f t="shared" si="19"/>
        <v>9.1</v>
      </c>
      <c r="T139" s="6">
        <f t="shared" si="22"/>
        <v>122.1</v>
      </c>
      <c r="V139">
        <v>89.2</v>
      </c>
      <c r="X139">
        <v>71335.700000000012</v>
      </c>
      <c r="Y139">
        <f t="shared" si="15"/>
        <v>9476.6000000000022</v>
      </c>
      <c r="AA139" s="8">
        <v>8.9063858983418207</v>
      </c>
    </row>
    <row r="140" spans="1:27" x14ac:dyDescent="0.25">
      <c r="A140" s="49"/>
      <c r="B140" s="9"/>
      <c r="C140" s="4">
        <v>42021</v>
      </c>
      <c r="D140">
        <v>3.7</v>
      </c>
      <c r="E140">
        <v>3.2</v>
      </c>
      <c r="F140">
        <v>6.4</v>
      </c>
      <c r="G140">
        <v>1305.9000000000001</v>
      </c>
      <c r="H140">
        <v>222.8</v>
      </c>
      <c r="J140">
        <v>0.1</v>
      </c>
      <c r="K140">
        <f t="shared" si="20"/>
        <v>401.19999999999993</v>
      </c>
      <c r="L140">
        <v>0.5</v>
      </c>
      <c r="M140">
        <f t="shared" si="21"/>
        <v>135</v>
      </c>
      <c r="N140">
        <v>-0.4</v>
      </c>
      <c r="O140">
        <f t="shared" ref="O140:O148" si="23">O139+N140</f>
        <v>121.69999999999999</v>
      </c>
      <c r="P140">
        <v>135</v>
      </c>
      <c r="Q140">
        <v>1</v>
      </c>
      <c r="R140" s="6">
        <f t="shared" si="18"/>
        <v>0.5</v>
      </c>
      <c r="S140" s="6">
        <f t="shared" si="19"/>
        <v>-0.4</v>
      </c>
      <c r="T140" s="6">
        <f t="shared" si="22"/>
        <v>121.69999999999999</v>
      </c>
      <c r="V140">
        <v>169.5</v>
      </c>
      <c r="X140">
        <v>71505.200000000012</v>
      </c>
      <c r="Y140">
        <f t="shared" si="15"/>
        <v>9646.1000000000022</v>
      </c>
      <c r="AA140" s="8">
        <v>8.9400823543144607</v>
      </c>
    </row>
    <row r="141" spans="1:27" x14ac:dyDescent="0.25">
      <c r="A141" s="49"/>
      <c r="B141" s="9"/>
      <c r="C141" s="4">
        <v>42022</v>
      </c>
      <c r="D141">
        <v>-1.7</v>
      </c>
      <c r="E141">
        <v>-3.5</v>
      </c>
      <c r="F141">
        <v>-0.3</v>
      </c>
      <c r="G141">
        <v>1305.9000000000001</v>
      </c>
      <c r="H141">
        <v>222.8</v>
      </c>
      <c r="J141">
        <v>0.1</v>
      </c>
      <c r="K141">
        <f t="shared" si="20"/>
        <v>401.29999999999995</v>
      </c>
      <c r="L141">
        <v>0.3</v>
      </c>
      <c r="M141">
        <f t="shared" si="21"/>
        <v>135.30000000000001</v>
      </c>
      <c r="N141">
        <v>-0.19999999999999998</v>
      </c>
      <c r="O141">
        <f t="shared" si="23"/>
        <v>121.49999999999999</v>
      </c>
      <c r="P141">
        <v>136</v>
      </c>
      <c r="Q141">
        <v>1</v>
      </c>
      <c r="R141" s="6">
        <f t="shared" si="18"/>
        <v>0.3</v>
      </c>
      <c r="S141" s="6">
        <f t="shared" si="19"/>
        <v>-0.19999999999999998</v>
      </c>
      <c r="T141" s="6">
        <f t="shared" si="22"/>
        <v>121.49999999999999</v>
      </c>
      <c r="V141">
        <v>337.4</v>
      </c>
      <c r="X141">
        <v>71842.600000000006</v>
      </c>
      <c r="Y141">
        <f t="shared" si="15"/>
        <v>9983.5000000000018</v>
      </c>
      <c r="AA141" s="8">
        <v>8.9748100055834303</v>
      </c>
    </row>
    <row r="142" spans="1:27" x14ac:dyDescent="0.25">
      <c r="A142" s="49"/>
      <c r="B142" s="3">
        <v>7</v>
      </c>
      <c r="C142" s="4">
        <v>42023</v>
      </c>
      <c r="D142">
        <v>1.4</v>
      </c>
      <c r="E142">
        <v>-1.7</v>
      </c>
      <c r="F142">
        <v>2.8</v>
      </c>
      <c r="G142">
        <v>1307.3000000000002</v>
      </c>
      <c r="H142">
        <v>224.20000000000002</v>
      </c>
      <c r="J142">
        <v>0.1</v>
      </c>
      <c r="K142">
        <f t="shared" si="20"/>
        <v>401.4</v>
      </c>
      <c r="L142">
        <v>0</v>
      </c>
      <c r="M142">
        <f t="shared" si="21"/>
        <v>135.30000000000001</v>
      </c>
      <c r="N142">
        <v>0.1</v>
      </c>
      <c r="O142">
        <f t="shared" si="23"/>
        <v>121.59999999999998</v>
      </c>
      <c r="P142">
        <v>137</v>
      </c>
      <c r="Q142">
        <v>1</v>
      </c>
      <c r="R142" s="6">
        <f t="shared" si="18"/>
        <v>0</v>
      </c>
      <c r="S142" s="6">
        <f t="shared" si="19"/>
        <v>0.1</v>
      </c>
      <c r="T142" s="6">
        <f t="shared" si="22"/>
        <v>121.59999999999998</v>
      </c>
      <c r="V142">
        <v>107.5</v>
      </c>
      <c r="X142">
        <v>71950.100000000006</v>
      </c>
      <c r="Y142">
        <f t="shared" si="15"/>
        <v>10091.000000000002</v>
      </c>
      <c r="AA142">
        <v>9.0105400325625897</v>
      </c>
    </row>
    <row r="143" spans="1:27" x14ac:dyDescent="0.25">
      <c r="A143" s="49"/>
      <c r="B143" s="3"/>
      <c r="C143" s="4">
        <v>42024</v>
      </c>
      <c r="D143">
        <v>1.6</v>
      </c>
      <c r="E143">
        <v>1.3</v>
      </c>
      <c r="F143">
        <v>2.2999999999999998</v>
      </c>
      <c r="G143">
        <v>1308.9000000000001</v>
      </c>
      <c r="H143">
        <v>225.8</v>
      </c>
      <c r="J143">
        <v>0</v>
      </c>
      <c r="K143">
        <f t="shared" si="20"/>
        <v>401.4</v>
      </c>
      <c r="L143">
        <v>0.4</v>
      </c>
      <c r="M143">
        <f t="shared" si="21"/>
        <v>135.70000000000002</v>
      </c>
      <c r="N143">
        <v>-0.4</v>
      </c>
      <c r="O143">
        <f t="shared" si="23"/>
        <v>121.19999999999997</v>
      </c>
      <c r="P143">
        <v>138</v>
      </c>
      <c r="Q143">
        <v>1</v>
      </c>
      <c r="R143" s="6">
        <f t="shared" si="18"/>
        <v>0.4</v>
      </c>
      <c r="S143" s="6">
        <f t="shared" si="19"/>
        <v>-0.4</v>
      </c>
      <c r="T143" s="6">
        <f t="shared" si="22"/>
        <v>121.19999999999997</v>
      </c>
      <c r="V143">
        <v>127.4</v>
      </c>
      <c r="X143">
        <v>72077.5</v>
      </c>
      <c r="Y143">
        <f t="shared" si="15"/>
        <v>10218.400000000001</v>
      </c>
      <c r="AA143">
        <v>9.0472435016045605</v>
      </c>
    </row>
    <row r="144" spans="1:27" x14ac:dyDescent="0.25">
      <c r="A144" s="49"/>
      <c r="B144" s="3"/>
      <c r="C144" s="4">
        <v>42025</v>
      </c>
      <c r="D144">
        <v>2</v>
      </c>
      <c r="E144">
        <v>0</v>
      </c>
      <c r="F144">
        <v>3.5</v>
      </c>
      <c r="G144">
        <v>1310.9</v>
      </c>
      <c r="H144">
        <v>227.8</v>
      </c>
      <c r="J144">
        <v>1</v>
      </c>
      <c r="K144">
        <f t="shared" si="20"/>
        <v>402.4</v>
      </c>
      <c r="L144">
        <v>0.3</v>
      </c>
      <c r="M144">
        <f t="shared" si="21"/>
        <v>136.00000000000003</v>
      </c>
      <c r="N144">
        <v>0.7</v>
      </c>
      <c r="O144">
        <f t="shared" si="23"/>
        <v>121.89999999999998</v>
      </c>
      <c r="P144">
        <v>139</v>
      </c>
      <c r="Q144">
        <v>1</v>
      </c>
      <c r="R144" s="6">
        <f t="shared" si="18"/>
        <v>0.3</v>
      </c>
      <c r="S144" s="6">
        <f t="shared" si="19"/>
        <v>0.7</v>
      </c>
      <c r="T144" s="6">
        <f t="shared" si="22"/>
        <v>121.89999999999998</v>
      </c>
      <c r="V144">
        <v>336.8</v>
      </c>
      <c r="X144">
        <v>72414.3</v>
      </c>
      <c r="Y144">
        <f t="shared" si="15"/>
        <v>10555.2</v>
      </c>
      <c r="AA144">
        <v>9.0848914335344801</v>
      </c>
    </row>
    <row r="145" spans="1:27" x14ac:dyDescent="0.25">
      <c r="A145" s="49"/>
      <c r="B145" s="3"/>
      <c r="C145" s="4">
        <v>42026</v>
      </c>
      <c r="D145">
        <v>2.1</v>
      </c>
      <c r="E145">
        <v>1.2</v>
      </c>
      <c r="F145">
        <v>3.3</v>
      </c>
      <c r="G145">
        <v>1313</v>
      </c>
      <c r="H145">
        <v>229.9</v>
      </c>
      <c r="J145">
        <v>0</v>
      </c>
      <c r="K145">
        <f t="shared" si="20"/>
        <v>402.4</v>
      </c>
      <c r="L145">
        <v>0.5</v>
      </c>
      <c r="M145">
        <f t="shared" si="21"/>
        <v>136.50000000000003</v>
      </c>
      <c r="N145">
        <v>-0.5</v>
      </c>
      <c r="O145">
        <f t="shared" si="23"/>
        <v>121.39999999999998</v>
      </c>
      <c r="P145">
        <v>140</v>
      </c>
      <c r="Q145">
        <v>1</v>
      </c>
      <c r="R145" s="6">
        <f t="shared" si="18"/>
        <v>0.5</v>
      </c>
      <c r="S145" s="6">
        <f t="shared" si="19"/>
        <v>-0.5</v>
      </c>
      <c r="T145" s="6">
        <f t="shared" si="22"/>
        <v>121.39999999999998</v>
      </c>
      <c r="V145">
        <v>150</v>
      </c>
      <c r="X145">
        <v>72564.3</v>
      </c>
      <c r="Y145">
        <f t="shared" si="15"/>
        <v>10705.2</v>
      </c>
      <c r="AA145">
        <v>9.1234548690283503</v>
      </c>
    </row>
    <row r="146" spans="1:27" x14ac:dyDescent="0.25">
      <c r="A146" s="49"/>
      <c r="B146" s="3"/>
      <c r="C146" s="4">
        <v>42027</v>
      </c>
      <c r="D146">
        <v>2</v>
      </c>
      <c r="E146">
        <v>1.1000000000000001</v>
      </c>
      <c r="F146">
        <v>2.7</v>
      </c>
      <c r="G146">
        <v>1315</v>
      </c>
      <c r="H146">
        <v>231.9</v>
      </c>
      <c r="J146">
        <v>0</v>
      </c>
      <c r="K146">
        <f t="shared" si="20"/>
        <v>402.4</v>
      </c>
      <c r="L146">
        <v>0.6</v>
      </c>
      <c r="M146">
        <f t="shared" si="21"/>
        <v>137.10000000000002</v>
      </c>
      <c r="N146">
        <v>-0.6</v>
      </c>
      <c r="O146">
        <f t="shared" si="23"/>
        <v>120.79999999999998</v>
      </c>
      <c r="P146">
        <v>141</v>
      </c>
      <c r="Q146">
        <v>1</v>
      </c>
      <c r="R146" s="6">
        <f t="shared" si="18"/>
        <v>0.6</v>
      </c>
      <c r="S146" s="6">
        <f t="shared" si="19"/>
        <v>-0.6</v>
      </c>
      <c r="T146" s="6">
        <f t="shared" si="22"/>
        <v>120.79999999999998</v>
      </c>
      <c r="V146">
        <v>179.2</v>
      </c>
      <c r="X146">
        <v>72743.5</v>
      </c>
      <c r="Y146">
        <f t="shared" si="15"/>
        <v>10884.400000000001</v>
      </c>
      <c r="AA146">
        <v>9.1629049306699404</v>
      </c>
    </row>
    <row r="147" spans="1:27" x14ac:dyDescent="0.25">
      <c r="A147" s="49"/>
      <c r="B147" s="3"/>
      <c r="C147" s="4">
        <v>42028</v>
      </c>
      <c r="D147">
        <v>0.6</v>
      </c>
      <c r="E147">
        <v>-0.4</v>
      </c>
      <c r="F147">
        <v>1.3</v>
      </c>
      <c r="G147">
        <v>1315.6</v>
      </c>
      <c r="H147">
        <v>232.5</v>
      </c>
      <c r="J147">
        <v>1.2</v>
      </c>
      <c r="K147">
        <f t="shared" si="20"/>
        <v>403.59999999999997</v>
      </c>
      <c r="L147">
        <v>0.3</v>
      </c>
      <c r="M147">
        <f t="shared" si="21"/>
        <v>137.40000000000003</v>
      </c>
      <c r="N147">
        <v>0.89999999999999991</v>
      </c>
      <c r="O147">
        <f t="shared" si="23"/>
        <v>121.69999999999999</v>
      </c>
      <c r="P147">
        <v>142</v>
      </c>
      <c r="Q147">
        <v>1</v>
      </c>
      <c r="R147" s="6">
        <f t="shared" si="18"/>
        <v>0.3</v>
      </c>
      <c r="S147" s="6">
        <f t="shared" si="19"/>
        <v>0.89999999999999991</v>
      </c>
      <c r="T147" s="6">
        <f t="shared" si="22"/>
        <v>121.69999999999999</v>
      </c>
      <c r="V147">
        <v>92</v>
      </c>
      <c r="X147">
        <v>72835.5</v>
      </c>
      <c r="Y147">
        <f t="shared" si="15"/>
        <v>10976.400000000001</v>
      </c>
      <c r="AA147">
        <v>9.2032128815553307</v>
      </c>
    </row>
    <row r="148" spans="1:27" x14ac:dyDescent="0.25">
      <c r="A148" s="49"/>
      <c r="B148" s="3"/>
      <c r="C148" s="4">
        <v>42029</v>
      </c>
      <c r="D148">
        <v>1.4</v>
      </c>
      <c r="E148">
        <v>-0.5</v>
      </c>
      <c r="F148">
        <v>2.8</v>
      </c>
      <c r="G148">
        <v>1317</v>
      </c>
      <c r="H148">
        <v>233.9</v>
      </c>
      <c r="J148">
        <v>0.2</v>
      </c>
      <c r="K148">
        <f t="shared" si="20"/>
        <v>403.79999999999995</v>
      </c>
      <c r="L148">
        <v>0.3</v>
      </c>
      <c r="M148">
        <f t="shared" si="21"/>
        <v>137.70000000000005</v>
      </c>
      <c r="N148">
        <v>-9.9999999999999978E-2</v>
      </c>
      <c r="O148">
        <f t="shared" si="23"/>
        <v>121.6</v>
      </c>
      <c r="P148">
        <v>143</v>
      </c>
      <c r="Q148">
        <v>1</v>
      </c>
      <c r="R148" s="6">
        <f t="shared" si="18"/>
        <v>0.3</v>
      </c>
      <c r="S148" s="6">
        <f t="shared" si="19"/>
        <v>-9.9999999999999978E-2</v>
      </c>
      <c r="T148" s="6">
        <f t="shared" si="22"/>
        <v>121.6</v>
      </c>
      <c r="V148">
        <v>555.79999999999995</v>
      </c>
      <c r="X148">
        <v>73391.3</v>
      </c>
      <c r="Y148">
        <f t="shared" si="15"/>
        <v>11532.2</v>
      </c>
      <c r="AA148">
        <v>9.2443501803474799</v>
      </c>
    </row>
    <row r="149" spans="1:27" x14ac:dyDescent="0.25">
      <c r="A149" s="49"/>
      <c r="B149" s="3">
        <v>8</v>
      </c>
      <c r="C149" s="4">
        <v>42030</v>
      </c>
      <c r="D149">
        <v>1.3</v>
      </c>
      <c r="E149">
        <v>0.1</v>
      </c>
      <c r="F149">
        <v>2.2999999999999998</v>
      </c>
      <c r="G149">
        <v>1318.3</v>
      </c>
      <c r="H149">
        <v>235.20000000000002</v>
      </c>
      <c r="J149">
        <v>4.5999999999999996</v>
      </c>
      <c r="K149">
        <f t="shared" si="20"/>
        <v>408.4</v>
      </c>
      <c r="L149">
        <v>0.2</v>
      </c>
      <c r="M149">
        <f t="shared" si="21"/>
        <v>137.90000000000003</v>
      </c>
      <c r="N149">
        <v>4.3999999999999995</v>
      </c>
      <c r="O149">
        <v>122.1</v>
      </c>
      <c r="P149">
        <v>144</v>
      </c>
      <c r="Q149">
        <v>1</v>
      </c>
      <c r="R149" s="6">
        <f t="shared" si="18"/>
        <v>0.2</v>
      </c>
      <c r="S149" s="6">
        <f t="shared" si="19"/>
        <v>4.3999999999999995</v>
      </c>
      <c r="T149" s="6">
        <f t="shared" si="22"/>
        <v>122.1</v>
      </c>
      <c r="V149">
        <v>101.2</v>
      </c>
      <c r="X149">
        <v>73492.5</v>
      </c>
      <c r="Y149">
        <f t="shared" si="15"/>
        <v>11633.400000000001</v>
      </c>
      <c r="AA149">
        <v>9.2862885327142699</v>
      </c>
    </row>
    <row r="150" spans="1:27" x14ac:dyDescent="0.25">
      <c r="A150" s="49"/>
      <c r="B150" s="3"/>
      <c r="C150" s="4">
        <v>42031</v>
      </c>
      <c r="D150">
        <v>2.7</v>
      </c>
      <c r="E150">
        <v>1.4</v>
      </c>
      <c r="F150">
        <v>4.5999999999999996</v>
      </c>
      <c r="G150">
        <v>1321</v>
      </c>
      <c r="H150">
        <v>237.9</v>
      </c>
      <c r="J150">
        <v>0</v>
      </c>
      <c r="K150">
        <f t="shared" si="20"/>
        <v>408.4</v>
      </c>
      <c r="L150">
        <v>0.4</v>
      </c>
      <c r="M150">
        <f t="shared" si="21"/>
        <v>138.30000000000004</v>
      </c>
      <c r="N150">
        <v>-0.4</v>
      </c>
      <c r="O150">
        <f>O149+N150</f>
        <v>121.69999999999999</v>
      </c>
      <c r="P150">
        <v>145</v>
      </c>
      <c r="Q150">
        <v>1</v>
      </c>
      <c r="R150" s="6">
        <f t="shared" si="18"/>
        <v>0.4</v>
      </c>
      <c r="S150" s="6">
        <f t="shared" si="19"/>
        <v>-0.4</v>
      </c>
      <c r="T150" s="6">
        <f t="shared" si="22"/>
        <v>121.69999999999999</v>
      </c>
      <c r="V150">
        <v>398.7</v>
      </c>
      <c r="X150">
        <v>73891.199999999997</v>
      </c>
      <c r="Y150">
        <f t="shared" si="15"/>
        <v>12032.100000000002</v>
      </c>
      <c r="AA150">
        <v>9.3289999391134604</v>
      </c>
    </row>
    <row r="151" spans="1:27" x14ac:dyDescent="0.25">
      <c r="A151" s="49"/>
      <c r="B151" s="3"/>
      <c r="C151" s="4">
        <v>42032</v>
      </c>
      <c r="D151">
        <v>3.1</v>
      </c>
      <c r="E151">
        <v>1.5</v>
      </c>
      <c r="F151">
        <v>4.3</v>
      </c>
      <c r="G151">
        <v>1324.1</v>
      </c>
      <c r="H151">
        <v>241</v>
      </c>
      <c r="J151">
        <v>8.1999999999999993</v>
      </c>
      <c r="K151">
        <f t="shared" si="20"/>
        <v>416.59999999999997</v>
      </c>
      <c r="L151">
        <v>0.4</v>
      </c>
      <c r="M151">
        <f t="shared" si="21"/>
        <v>138.70000000000005</v>
      </c>
      <c r="N151">
        <v>7.7999999999999989</v>
      </c>
      <c r="O151">
        <v>122.1</v>
      </c>
      <c r="P151">
        <v>146</v>
      </c>
      <c r="Q151">
        <v>1</v>
      </c>
      <c r="R151" s="6">
        <f t="shared" si="18"/>
        <v>0.4</v>
      </c>
      <c r="S151" s="6">
        <f t="shared" si="19"/>
        <v>7.7999999999999989</v>
      </c>
      <c r="T151" s="6">
        <f t="shared" si="22"/>
        <v>122.1</v>
      </c>
      <c r="V151">
        <v>176.9</v>
      </c>
      <c r="X151">
        <v>74068.099999999991</v>
      </c>
      <c r="Y151">
        <f t="shared" si="15"/>
        <v>12209.000000000002</v>
      </c>
      <c r="AA151">
        <v>9.3724567389148294</v>
      </c>
    </row>
    <row r="152" spans="1:27" x14ac:dyDescent="0.25">
      <c r="A152" s="49"/>
      <c r="B152" s="3"/>
      <c r="C152" s="4">
        <v>42033</v>
      </c>
      <c r="D152">
        <v>3.9</v>
      </c>
      <c r="E152">
        <v>3</v>
      </c>
      <c r="F152">
        <v>4.8</v>
      </c>
      <c r="G152">
        <v>1328</v>
      </c>
      <c r="H152">
        <v>244.9</v>
      </c>
      <c r="J152">
        <v>7.7</v>
      </c>
      <c r="K152">
        <f t="shared" si="20"/>
        <v>424.29999999999995</v>
      </c>
      <c r="L152">
        <v>0.5</v>
      </c>
      <c r="M152">
        <f t="shared" si="21"/>
        <v>139.20000000000005</v>
      </c>
      <c r="N152">
        <v>7.2</v>
      </c>
      <c r="O152">
        <v>122.1</v>
      </c>
      <c r="P152">
        <v>147</v>
      </c>
      <c r="Q152">
        <v>1</v>
      </c>
      <c r="R152" s="6">
        <f t="shared" si="18"/>
        <v>0.5</v>
      </c>
      <c r="S152" s="6">
        <f t="shared" si="19"/>
        <v>7.2</v>
      </c>
      <c r="T152" s="6">
        <f t="shared" si="22"/>
        <v>122.1</v>
      </c>
      <c r="V152">
        <v>116.9</v>
      </c>
      <c r="X152">
        <v>74184.999999999985</v>
      </c>
      <c r="Y152">
        <f t="shared" si="15"/>
        <v>12325.900000000001</v>
      </c>
      <c r="AA152">
        <v>9.4166316508751091</v>
      </c>
    </row>
    <row r="153" spans="1:27" x14ac:dyDescent="0.25">
      <c r="A153" s="49"/>
      <c r="B153" s="3"/>
      <c r="C153" s="4">
        <v>42034</v>
      </c>
      <c r="D153">
        <v>2.2000000000000002</v>
      </c>
      <c r="E153">
        <v>0.1</v>
      </c>
      <c r="F153">
        <v>4.7</v>
      </c>
      <c r="G153">
        <v>1330.2</v>
      </c>
      <c r="H153">
        <v>247.1</v>
      </c>
      <c r="J153">
        <v>1.6</v>
      </c>
      <c r="K153">
        <f t="shared" si="20"/>
        <v>425.9</v>
      </c>
      <c r="L153">
        <v>0.8</v>
      </c>
      <c r="M153">
        <f t="shared" si="21"/>
        <v>140.00000000000006</v>
      </c>
      <c r="N153">
        <v>0.8</v>
      </c>
      <c r="O153">
        <v>122.1</v>
      </c>
      <c r="P153">
        <v>148</v>
      </c>
      <c r="Q153">
        <v>1</v>
      </c>
      <c r="R153" s="6">
        <f t="shared" si="18"/>
        <v>0.8</v>
      </c>
      <c r="S153" s="6">
        <f t="shared" si="19"/>
        <v>0.8</v>
      </c>
      <c r="T153" s="6">
        <f t="shared" si="22"/>
        <v>122.1</v>
      </c>
      <c r="V153">
        <v>477.5</v>
      </c>
      <c r="X153">
        <v>74662.499999999985</v>
      </c>
      <c r="Y153">
        <f t="shared" si="15"/>
        <v>12803.400000000001</v>
      </c>
      <c r="AA153">
        <v>9.4614978100036105</v>
      </c>
    </row>
    <row r="154" spans="1:27" x14ac:dyDescent="0.25">
      <c r="A154" s="49"/>
      <c r="B154" s="3"/>
      <c r="C154" s="4">
        <v>42035</v>
      </c>
      <c r="D154">
        <v>1.4</v>
      </c>
      <c r="E154">
        <v>0</v>
      </c>
      <c r="F154">
        <v>3.5</v>
      </c>
      <c r="G154">
        <v>1331.6000000000001</v>
      </c>
      <c r="H154">
        <v>248.5</v>
      </c>
      <c r="J154">
        <v>1.2</v>
      </c>
      <c r="K154">
        <f t="shared" si="20"/>
        <v>427.09999999999997</v>
      </c>
      <c r="L154">
        <v>0.3</v>
      </c>
      <c r="M154">
        <f t="shared" si="21"/>
        <v>140.30000000000007</v>
      </c>
      <c r="N154">
        <v>0.89999999999999991</v>
      </c>
      <c r="O154">
        <v>122.1</v>
      </c>
      <c r="P154">
        <v>149</v>
      </c>
      <c r="Q154">
        <v>1</v>
      </c>
      <c r="R154" s="6">
        <f t="shared" si="18"/>
        <v>0.3</v>
      </c>
      <c r="S154" s="6">
        <f t="shared" si="19"/>
        <v>0.89999999999999991</v>
      </c>
      <c r="T154" s="6">
        <f t="shared" si="22"/>
        <v>122.1</v>
      </c>
      <c r="V154">
        <v>125.4</v>
      </c>
      <c r="X154">
        <v>74787.89999999998</v>
      </c>
      <c r="Y154">
        <f t="shared" si="15"/>
        <v>12928.800000000001</v>
      </c>
      <c r="AA154">
        <v>9.5070288008771495</v>
      </c>
    </row>
    <row r="155" spans="1:27" x14ac:dyDescent="0.25">
      <c r="A155" s="49"/>
      <c r="B155" s="3"/>
      <c r="C155" s="4">
        <v>42036</v>
      </c>
      <c r="D155">
        <v>2</v>
      </c>
      <c r="E155">
        <v>1</v>
      </c>
      <c r="F155">
        <v>3</v>
      </c>
      <c r="G155">
        <v>1333.6000000000001</v>
      </c>
      <c r="H155">
        <v>250.5</v>
      </c>
      <c r="J155">
        <v>1.8</v>
      </c>
      <c r="K155">
        <f t="shared" si="20"/>
        <v>428.9</v>
      </c>
      <c r="L155">
        <v>0.5</v>
      </c>
      <c r="M155">
        <f t="shared" si="21"/>
        <v>140.80000000000007</v>
      </c>
      <c r="N155">
        <v>1.3</v>
      </c>
      <c r="O155">
        <v>122.1</v>
      </c>
      <c r="P155">
        <v>150</v>
      </c>
      <c r="Q155">
        <v>1</v>
      </c>
      <c r="R155" s="6">
        <f t="shared" si="18"/>
        <v>0.5</v>
      </c>
      <c r="S155" s="6">
        <f t="shared" si="19"/>
        <v>1.3</v>
      </c>
      <c r="T155" s="6">
        <f t="shared" si="22"/>
        <v>122.1</v>
      </c>
      <c r="V155">
        <v>151.19999999999999</v>
      </c>
      <c r="X155">
        <v>74939.099999999977</v>
      </c>
      <c r="Y155">
        <f t="shared" si="15"/>
        <v>13080.000000000002</v>
      </c>
      <c r="AA155">
        <v>9.5531986874805099</v>
      </c>
    </row>
    <row r="156" spans="1:27" x14ac:dyDescent="0.25">
      <c r="A156" s="49"/>
      <c r="B156" s="3">
        <v>9</v>
      </c>
      <c r="C156" s="4">
        <v>42037</v>
      </c>
      <c r="D156">
        <v>1.8</v>
      </c>
      <c r="E156">
        <v>1.4</v>
      </c>
      <c r="F156">
        <v>3.7</v>
      </c>
      <c r="G156">
        <v>1335.4</v>
      </c>
      <c r="H156">
        <v>252.3</v>
      </c>
      <c r="J156">
        <v>1.3</v>
      </c>
      <c r="K156">
        <f t="shared" si="20"/>
        <v>430.2</v>
      </c>
      <c r="L156">
        <v>0.4</v>
      </c>
      <c r="M156">
        <f t="shared" si="21"/>
        <v>141.20000000000007</v>
      </c>
      <c r="N156">
        <v>0.9</v>
      </c>
      <c r="O156">
        <v>122.1</v>
      </c>
      <c r="P156">
        <v>151</v>
      </c>
      <c r="Q156">
        <v>1</v>
      </c>
      <c r="R156" s="6">
        <f t="shared" si="18"/>
        <v>0.4</v>
      </c>
      <c r="S156" s="6">
        <f t="shared" si="19"/>
        <v>0.9</v>
      </c>
      <c r="T156" s="6">
        <f t="shared" si="22"/>
        <v>122.1</v>
      </c>
      <c r="V156">
        <v>315.60000000000002</v>
      </c>
      <c r="X156">
        <v>75254.699999999983</v>
      </c>
      <c r="Y156">
        <f t="shared" si="15"/>
        <v>13395.600000000002</v>
      </c>
      <c r="AA156">
        <v>9.5999820396645195</v>
      </c>
    </row>
    <row r="157" spans="1:27" x14ac:dyDescent="0.25">
      <c r="A157" s="49"/>
      <c r="B157" s="3"/>
      <c r="C157" s="4">
        <v>42038</v>
      </c>
      <c r="D157">
        <v>0.5</v>
      </c>
      <c r="E157">
        <v>-0.4</v>
      </c>
      <c r="F157">
        <v>1.6</v>
      </c>
      <c r="G157">
        <v>1335.9</v>
      </c>
      <c r="H157">
        <v>252.8</v>
      </c>
      <c r="J157">
        <v>0</v>
      </c>
      <c r="K157">
        <f t="shared" si="20"/>
        <v>430.2</v>
      </c>
      <c r="L157">
        <v>0.4</v>
      </c>
      <c r="M157">
        <f t="shared" si="21"/>
        <v>141.60000000000008</v>
      </c>
      <c r="N157">
        <v>-0.4</v>
      </c>
      <c r="O157">
        <f t="shared" ref="O157:O173" si="24">O156+N157</f>
        <v>121.69999999999999</v>
      </c>
      <c r="P157">
        <v>152</v>
      </c>
      <c r="Q157">
        <v>1</v>
      </c>
      <c r="R157" s="6">
        <f t="shared" si="18"/>
        <v>0.4</v>
      </c>
      <c r="S157" s="6">
        <f t="shared" si="19"/>
        <v>-0.4</v>
      </c>
      <c r="T157" s="6">
        <f t="shared" si="22"/>
        <v>121.69999999999999</v>
      </c>
      <c r="V157">
        <v>253.6</v>
      </c>
      <c r="X157">
        <v>75508.299999999988</v>
      </c>
      <c r="Y157">
        <f t="shared" ref="Y157:Y220" si="25">Y156+V157</f>
        <v>13649.200000000003</v>
      </c>
      <c r="AA157">
        <v>9.6473539563270005</v>
      </c>
    </row>
    <row r="158" spans="1:27" x14ac:dyDescent="0.25">
      <c r="A158" s="49"/>
      <c r="B158" s="3"/>
      <c r="C158" s="4">
        <v>42039</v>
      </c>
      <c r="D158">
        <v>-0.6</v>
      </c>
      <c r="E158">
        <v>-1.9</v>
      </c>
      <c r="F158">
        <v>1.4</v>
      </c>
      <c r="G158">
        <v>1335.9</v>
      </c>
      <c r="H158">
        <v>252.8</v>
      </c>
      <c r="J158">
        <v>0</v>
      </c>
      <c r="K158">
        <f t="shared" si="20"/>
        <v>430.2</v>
      </c>
      <c r="L158">
        <v>1</v>
      </c>
      <c r="M158">
        <f t="shared" si="21"/>
        <v>142.60000000000008</v>
      </c>
      <c r="N158">
        <v>-1</v>
      </c>
      <c r="O158">
        <f t="shared" si="24"/>
        <v>120.69999999999999</v>
      </c>
      <c r="P158">
        <v>153</v>
      </c>
      <c r="Q158">
        <v>1</v>
      </c>
      <c r="R158" s="6">
        <f t="shared" si="18"/>
        <v>1</v>
      </c>
      <c r="S158" s="6">
        <f t="shared" si="19"/>
        <v>-1</v>
      </c>
      <c r="T158" s="6">
        <f t="shared" si="22"/>
        <v>120.69999999999999</v>
      </c>
      <c r="V158">
        <v>659</v>
      </c>
      <c r="X158">
        <v>76167.299999999988</v>
      </c>
      <c r="Y158">
        <f t="shared" si="25"/>
        <v>14308.200000000003</v>
      </c>
      <c r="AA158">
        <v>9.6952900854334292</v>
      </c>
    </row>
    <row r="159" spans="1:27" x14ac:dyDescent="0.25">
      <c r="A159" s="49"/>
      <c r="B159" s="3"/>
      <c r="C159" s="4">
        <v>42040</v>
      </c>
      <c r="D159">
        <v>-0.9</v>
      </c>
      <c r="E159">
        <v>-2.5</v>
      </c>
      <c r="F159">
        <v>0.8</v>
      </c>
      <c r="G159">
        <v>1335.9</v>
      </c>
      <c r="H159">
        <v>252.8</v>
      </c>
      <c r="J159">
        <v>0</v>
      </c>
      <c r="K159">
        <f t="shared" si="20"/>
        <v>430.2</v>
      </c>
      <c r="L159">
        <v>1.3</v>
      </c>
      <c r="M159">
        <f t="shared" si="21"/>
        <v>143.90000000000009</v>
      </c>
      <c r="N159">
        <v>-1.3</v>
      </c>
      <c r="O159">
        <f t="shared" si="24"/>
        <v>119.39999999999999</v>
      </c>
      <c r="P159">
        <v>154</v>
      </c>
      <c r="Q159">
        <v>1</v>
      </c>
      <c r="R159" s="6">
        <f t="shared" si="18"/>
        <v>1.3</v>
      </c>
      <c r="S159" s="6">
        <f t="shared" si="19"/>
        <v>-1.3</v>
      </c>
      <c r="T159" s="6">
        <f t="shared" si="22"/>
        <v>119.39999999999999</v>
      </c>
      <c r="V159">
        <v>413.8</v>
      </c>
      <c r="X159">
        <v>76581.099999999991</v>
      </c>
      <c r="Y159">
        <f t="shared" si="25"/>
        <v>14722.000000000002</v>
      </c>
      <c r="AA159">
        <v>9.7437666410030399</v>
      </c>
    </row>
    <row r="160" spans="1:27" x14ac:dyDescent="0.25">
      <c r="A160" s="49"/>
      <c r="B160" s="3"/>
      <c r="C160" s="4">
        <v>42041</v>
      </c>
      <c r="D160">
        <v>0.5</v>
      </c>
      <c r="E160">
        <v>-0.7</v>
      </c>
      <c r="F160">
        <v>2.1</v>
      </c>
      <c r="G160">
        <v>1336.4</v>
      </c>
      <c r="H160">
        <v>253.3</v>
      </c>
      <c r="J160">
        <v>0</v>
      </c>
      <c r="K160">
        <f t="shared" si="20"/>
        <v>430.2</v>
      </c>
      <c r="L160">
        <v>1.6</v>
      </c>
      <c r="M160">
        <f t="shared" si="21"/>
        <v>145.50000000000009</v>
      </c>
      <c r="N160">
        <v>-1.6</v>
      </c>
      <c r="O160">
        <f t="shared" si="24"/>
        <v>117.8</v>
      </c>
      <c r="P160">
        <v>155</v>
      </c>
      <c r="Q160">
        <v>1</v>
      </c>
      <c r="R160" s="6">
        <f t="shared" si="18"/>
        <v>1.6</v>
      </c>
      <c r="S160" s="6">
        <f t="shared" si="19"/>
        <v>-1.6</v>
      </c>
      <c r="T160" s="6">
        <f t="shared" si="22"/>
        <v>117.8</v>
      </c>
      <c r="V160">
        <v>712.8</v>
      </c>
      <c r="X160">
        <v>77293.899999999994</v>
      </c>
      <c r="Y160">
        <f t="shared" si="25"/>
        <v>15434.800000000001</v>
      </c>
      <c r="AA160">
        <v>9.7927604171936604</v>
      </c>
    </row>
    <row r="161" spans="1:30" x14ac:dyDescent="0.25">
      <c r="A161" s="49"/>
      <c r="B161" s="3"/>
      <c r="C161" s="4">
        <v>42042</v>
      </c>
      <c r="D161">
        <v>-1.2</v>
      </c>
      <c r="E161">
        <v>-2.9</v>
      </c>
      <c r="F161">
        <v>1.4</v>
      </c>
      <c r="G161">
        <v>1336.4</v>
      </c>
      <c r="H161">
        <v>253.3</v>
      </c>
      <c r="J161">
        <v>0</v>
      </c>
      <c r="K161">
        <f t="shared" si="20"/>
        <v>430.2</v>
      </c>
      <c r="L161">
        <v>1.5</v>
      </c>
      <c r="M161">
        <f t="shared" si="21"/>
        <v>147.00000000000009</v>
      </c>
      <c r="N161">
        <v>-1.5</v>
      </c>
      <c r="O161">
        <f t="shared" si="24"/>
        <v>116.3</v>
      </c>
      <c r="P161">
        <v>156</v>
      </c>
      <c r="Q161">
        <v>1</v>
      </c>
      <c r="R161" s="6">
        <f t="shared" si="18"/>
        <v>1.5</v>
      </c>
      <c r="S161" s="6">
        <f t="shared" si="19"/>
        <v>-1.5</v>
      </c>
      <c r="T161" s="6">
        <f t="shared" si="22"/>
        <v>116.3</v>
      </c>
      <c r="V161">
        <v>1154.5999999999999</v>
      </c>
      <c r="X161">
        <v>78448.5</v>
      </c>
      <c r="Y161">
        <f t="shared" si="25"/>
        <v>16589.400000000001</v>
      </c>
      <c r="AA161">
        <v>9.8422487996238104</v>
      </c>
    </row>
    <row r="162" spans="1:30" x14ac:dyDescent="0.25">
      <c r="A162" s="49"/>
      <c r="B162" s="3"/>
      <c r="C162" s="4">
        <v>42043</v>
      </c>
      <c r="D162">
        <v>1.7</v>
      </c>
      <c r="E162">
        <v>-2.4</v>
      </c>
      <c r="F162">
        <v>5</v>
      </c>
      <c r="G162">
        <v>1338.1000000000001</v>
      </c>
      <c r="H162">
        <v>255</v>
      </c>
      <c r="J162">
        <v>0</v>
      </c>
      <c r="K162">
        <f t="shared" si="20"/>
        <v>430.2</v>
      </c>
      <c r="L162">
        <v>1</v>
      </c>
      <c r="M162">
        <f t="shared" si="21"/>
        <v>148.00000000000009</v>
      </c>
      <c r="N162">
        <v>-1</v>
      </c>
      <c r="O162">
        <f t="shared" si="24"/>
        <v>115.3</v>
      </c>
      <c r="P162">
        <v>157</v>
      </c>
      <c r="Q162">
        <v>1</v>
      </c>
      <c r="R162" s="6">
        <f t="shared" si="18"/>
        <v>1</v>
      </c>
      <c r="S162" s="6">
        <f t="shared" si="19"/>
        <v>-1</v>
      </c>
      <c r="T162" s="6">
        <f t="shared" si="22"/>
        <v>115.3</v>
      </c>
      <c r="V162">
        <v>809.6</v>
      </c>
      <c r="X162">
        <v>79258.100000000006</v>
      </c>
      <c r="Y162">
        <f t="shared" si="25"/>
        <v>17399</v>
      </c>
      <c r="AA162">
        <v>9.8922097740748303</v>
      </c>
    </row>
    <row r="163" spans="1:30" x14ac:dyDescent="0.25">
      <c r="A163" s="49"/>
      <c r="B163" s="3">
        <v>10</v>
      </c>
      <c r="C163" s="4">
        <v>42044</v>
      </c>
      <c r="D163">
        <v>1.8</v>
      </c>
      <c r="E163">
        <v>-2.5</v>
      </c>
      <c r="F163">
        <v>5.8</v>
      </c>
      <c r="G163">
        <v>1339.9</v>
      </c>
      <c r="H163">
        <v>256.8</v>
      </c>
      <c r="J163" s="58">
        <v>0</v>
      </c>
      <c r="K163">
        <f t="shared" si="20"/>
        <v>430.2</v>
      </c>
      <c r="L163">
        <v>1.2</v>
      </c>
      <c r="M163">
        <f t="shared" si="21"/>
        <v>149.20000000000007</v>
      </c>
      <c r="N163">
        <v>-1.2</v>
      </c>
      <c r="O163">
        <f t="shared" si="24"/>
        <v>114.1</v>
      </c>
      <c r="P163">
        <v>158</v>
      </c>
      <c r="Q163">
        <v>1</v>
      </c>
      <c r="R163" s="6">
        <f t="shared" si="18"/>
        <v>1.2</v>
      </c>
      <c r="S163" s="6">
        <f t="shared" si="19"/>
        <v>-1.2</v>
      </c>
      <c r="T163" s="6">
        <f t="shared" si="22"/>
        <v>114.1</v>
      </c>
      <c r="V163">
        <v>978.7</v>
      </c>
      <c r="X163">
        <v>80236.800000000003</v>
      </c>
      <c r="Y163">
        <f t="shared" si="25"/>
        <v>18377.7</v>
      </c>
      <c r="AA163">
        <v>9.9426219327178096</v>
      </c>
      <c r="AB163" s="62" t="s">
        <v>53</v>
      </c>
    </row>
    <row r="164" spans="1:30" x14ac:dyDescent="0.25">
      <c r="A164" s="49"/>
      <c r="B164" s="3"/>
      <c r="C164" s="4">
        <v>42045</v>
      </c>
      <c r="D164">
        <v>2.4</v>
      </c>
      <c r="E164">
        <v>0</v>
      </c>
      <c r="F164">
        <v>6.8</v>
      </c>
      <c r="G164">
        <v>1342.3000000000002</v>
      </c>
      <c r="H164">
        <v>259.2</v>
      </c>
      <c r="J164" s="58">
        <v>0</v>
      </c>
      <c r="K164">
        <f t="shared" si="20"/>
        <v>430.2</v>
      </c>
      <c r="L164">
        <v>1.5</v>
      </c>
      <c r="M164">
        <f t="shared" si="21"/>
        <v>150.70000000000007</v>
      </c>
      <c r="N164">
        <v>-1.5</v>
      </c>
      <c r="O164">
        <f t="shared" si="24"/>
        <v>112.6</v>
      </c>
      <c r="P164">
        <v>159</v>
      </c>
      <c r="Q164">
        <v>1</v>
      </c>
      <c r="R164" s="6">
        <f t="shared" si="18"/>
        <v>1.5</v>
      </c>
      <c r="S164" s="6">
        <f t="shared" si="19"/>
        <v>-1.5</v>
      </c>
      <c r="T164" s="6">
        <f t="shared" si="22"/>
        <v>112.6</v>
      </c>
      <c r="V164">
        <v>1108.7</v>
      </c>
      <c r="X164">
        <v>81345.5</v>
      </c>
      <c r="Y164">
        <f t="shared" si="25"/>
        <v>19486.400000000001</v>
      </c>
      <c r="AA164">
        <v>9.9934644780112407</v>
      </c>
      <c r="AB164" s="6">
        <f>AVERAGE(T170:T183)</f>
        <v>120.93571428571428</v>
      </c>
    </row>
    <row r="165" spans="1:30" x14ac:dyDescent="0.25">
      <c r="A165" s="49"/>
      <c r="B165" s="3"/>
      <c r="C165" s="4">
        <v>42046</v>
      </c>
      <c r="D165">
        <v>-0.3</v>
      </c>
      <c r="E165">
        <v>-4.8</v>
      </c>
      <c r="F165">
        <v>4.7</v>
      </c>
      <c r="G165">
        <v>1342.3</v>
      </c>
      <c r="H165">
        <v>259.2</v>
      </c>
      <c r="J165" s="58">
        <v>0</v>
      </c>
      <c r="K165">
        <f t="shared" si="20"/>
        <v>430.2</v>
      </c>
      <c r="L165">
        <v>1</v>
      </c>
      <c r="M165">
        <f t="shared" si="21"/>
        <v>151.70000000000007</v>
      </c>
      <c r="N165">
        <v>-1</v>
      </c>
      <c r="O165">
        <f t="shared" si="24"/>
        <v>111.6</v>
      </c>
      <c r="P165">
        <v>160</v>
      </c>
      <c r="Q165">
        <v>1</v>
      </c>
      <c r="R165" s="6">
        <f t="shared" si="18"/>
        <v>1</v>
      </c>
      <c r="S165" s="6">
        <f t="shared" si="19"/>
        <v>-1</v>
      </c>
      <c r="T165" s="6">
        <f t="shared" si="22"/>
        <v>111.6</v>
      </c>
      <c r="V165">
        <v>1116.9000000000001</v>
      </c>
      <c r="X165">
        <v>82462.399999999994</v>
      </c>
      <c r="Y165">
        <f t="shared" si="25"/>
        <v>20603.300000000003</v>
      </c>
      <c r="AA165">
        <v>10.044717224415299</v>
      </c>
      <c r="AB165" s="62" t="s">
        <v>54</v>
      </c>
    </row>
    <row r="166" spans="1:30" x14ac:dyDescent="0.25">
      <c r="A166" s="49"/>
      <c r="B166" s="3" t="s">
        <v>45</v>
      </c>
      <c r="C166" s="4">
        <v>42047</v>
      </c>
      <c r="D166">
        <v>0.7</v>
      </c>
      <c r="E166">
        <v>-4.8</v>
      </c>
      <c r="F166">
        <v>7.4</v>
      </c>
      <c r="G166">
        <v>1343</v>
      </c>
      <c r="H166">
        <v>259.89999999999998</v>
      </c>
      <c r="J166" s="58">
        <v>0</v>
      </c>
      <c r="K166">
        <f t="shared" si="20"/>
        <v>430.2</v>
      </c>
      <c r="L166">
        <v>1.1000000000000001</v>
      </c>
      <c r="M166">
        <f t="shared" si="21"/>
        <v>152.80000000000007</v>
      </c>
      <c r="N166">
        <v>-1.1000000000000001</v>
      </c>
      <c r="O166">
        <f t="shared" si="24"/>
        <v>110.5</v>
      </c>
      <c r="P166">
        <v>161</v>
      </c>
      <c r="Q166">
        <v>1</v>
      </c>
      <c r="R166" s="6">
        <f t="shared" si="18"/>
        <v>1.1000000000000001</v>
      </c>
      <c r="S166" s="6">
        <f t="shared" si="19"/>
        <v>-1.1000000000000001</v>
      </c>
      <c r="T166" s="6">
        <f t="shared" si="22"/>
        <v>110.5</v>
      </c>
      <c r="V166">
        <v>1035</v>
      </c>
      <c r="X166">
        <v>83497.399999999994</v>
      </c>
      <c r="Y166">
        <f t="shared" si="25"/>
        <v>21638.300000000003</v>
      </c>
      <c r="AA166">
        <v>10.0963605980666</v>
      </c>
      <c r="AB166">
        <v>4</v>
      </c>
    </row>
    <row r="167" spans="1:30" x14ac:dyDescent="0.25">
      <c r="A167" s="49"/>
      <c r="B167" s="3"/>
      <c r="C167" s="4">
        <v>42048</v>
      </c>
      <c r="D167">
        <v>4.7</v>
      </c>
      <c r="E167">
        <v>-3.3</v>
      </c>
      <c r="F167">
        <v>10.199999999999999</v>
      </c>
      <c r="G167">
        <v>1347.7</v>
      </c>
      <c r="H167">
        <v>264.59999999999997</v>
      </c>
      <c r="J167" s="58">
        <v>2.2999999999999998</v>
      </c>
      <c r="K167">
        <f t="shared" si="20"/>
        <v>432.5</v>
      </c>
      <c r="L167">
        <v>0.8</v>
      </c>
      <c r="M167">
        <f t="shared" si="21"/>
        <v>153.60000000000008</v>
      </c>
      <c r="N167">
        <v>1.4999999999999998</v>
      </c>
      <c r="O167">
        <f t="shared" si="24"/>
        <v>112</v>
      </c>
      <c r="P167">
        <v>162</v>
      </c>
      <c r="Q167">
        <v>1</v>
      </c>
      <c r="R167" s="6">
        <f t="shared" si="18"/>
        <v>0.8</v>
      </c>
      <c r="S167" s="6">
        <f t="shared" si="19"/>
        <v>1.4999999999999998</v>
      </c>
      <c r="T167" s="6">
        <f t="shared" si="22"/>
        <v>112</v>
      </c>
      <c r="V167">
        <v>911.8</v>
      </c>
      <c r="X167">
        <v>84409.2</v>
      </c>
      <c r="Y167">
        <f t="shared" si="25"/>
        <v>22550.100000000002</v>
      </c>
      <c r="AA167">
        <v>10.148375634556899</v>
      </c>
      <c r="AB167" s="62" t="s">
        <v>55</v>
      </c>
    </row>
    <row r="168" spans="1:30" x14ac:dyDescent="0.25">
      <c r="A168" s="49"/>
      <c r="B168" s="3"/>
      <c r="C168" s="4">
        <v>42049</v>
      </c>
      <c r="D168">
        <v>6</v>
      </c>
      <c r="E168">
        <v>4.0999999999999996</v>
      </c>
      <c r="F168">
        <v>8.1999999999999993</v>
      </c>
      <c r="G168">
        <v>1353.7</v>
      </c>
      <c r="H168">
        <v>270.59999999999997</v>
      </c>
      <c r="J168" s="58">
        <v>8</v>
      </c>
      <c r="K168">
        <f t="shared" si="20"/>
        <v>440.5</v>
      </c>
      <c r="L168">
        <v>0.5</v>
      </c>
      <c r="M168">
        <f t="shared" si="21"/>
        <v>154.10000000000008</v>
      </c>
      <c r="N168">
        <v>7.5</v>
      </c>
      <c r="O168">
        <f t="shared" si="24"/>
        <v>119.5</v>
      </c>
      <c r="P168">
        <v>163</v>
      </c>
      <c r="Q168">
        <v>1</v>
      </c>
      <c r="R168" s="6">
        <f t="shared" si="18"/>
        <v>0.5</v>
      </c>
      <c r="S168" s="6">
        <f t="shared" si="19"/>
        <v>7.5</v>
      </c>
      <c r="T168" s="6">
        <f t="shared" si="22"/>
        <v>119.5</v>
      </c>
      <c r="V168">
        <v>156.80000000000001</v>
      </c>
      <c r="X168">
        <v>84566</v>
      </c>
      <c r="Y168">
        <f t="shared" si="25"/>
        <v>22706.9</v>
      </c>
      <c r="AA168">
        <v>10.200743974952401</v>
      </c>
      <c r="AB168">
        <v>1</v>
      </c>
    </row>
    <row r="169" spans="1:30" x14ac:dyDescent="0.25">
      <c r="A169" s="49"/>
      <c r="B169" s="3"/>
      <c r="C169" s="4">
        <v>42050</v>
      </c>
      <c r="D169">
        <v>5.5</v>
      </c>
      <c r="E169">
        <v>3.9</v>
      </c>
      <c r="F169">
        <v>8</v>
      </c>
      <c r="G169">
        <v>1359.2</v>
      </c>
      <c r="H169">
        <v>276.09999999999997</v>
      </c>
      <c r="J169" s="58">
        <v>1.3</v>
      </c>
      <c r="K169">
        <f t="shared" si="20"/>
        <v>441.8</v>
      </c>
      <c r="L169">
        <v>0.6</v>
      </c>
      <c r="M169">
        <f t="shared" si="21"/>
        <v>154.70000000000007</v>
      </c>
      <c r="N169">
        <v>0.70000000000000007</v>
      </c>
      <c r="O169">
        <f t="shared" si="24"/>
        <v>120.2</v>
      </c>
      <c r="P169">
        <v>164</v>
      </c>
      <c r="Q169">
        <v>1</v>
      </c>
      <c r="R169" s="6">
        <f t="shared" si="18"/>
        <v>0.6</v>
      </c>
      <c r="S169" s="6">
        <f t="shared" si="19"/>
        <v>0.70000000000000007</v>
      </c>
      <c r="T169" s="6">
        <f t="shared" si="22"/>
        <v>120.2</v>
      </c>
      <c r="V169">
        <v>480.7</v>
      </c>
      <c r="X169">
        <v>85046.7</v>
      </c>
      <c r="Y169">
        <f t="shared" si="25"/>
        <v>23187.600000000002</v>
      </c>
      <c r="AA169">
        <v>10.2534478601918</v>
      </c>
      <c r="AB169" s="62" t="s">
        <v>56</v>
      </c>
    </row>
    <row r="170" spans="1:30" x14ac:dyDescent="0.25">
      <c r="A170" s="49"/>
      <c r="B170" s="3"/>
      <c r="C170" s="4">
        <v>42051</v>
      </c>
      <c r="D170">
        <v>2.5</v>
      </c>
      <c r="E170">
        <v>1.7</v>
      </c>
      <c r="F170">
        <v>3.2</v>
      </c>
      <c r="G170">
        <v>1361.7</v>
      </c>
      <c r="H170">
        <v>278.59999999999997</v>
      </c>
      <c r="J170" s="58">
        <v>0</v>
      </c>
      <c r="K170">
        <f t="shared" si="20"/>
        <v>441.8</v>
      </c>
      <c r="L170">
        <v>0.5</v>
      </c>
      <c r="M170">
        <f t="shared" si="21"/>
        <v>155.20000000000007</v>
      </c>
      <c r="N170">
        <v>-0.5</v>
      </c>
      <c r="O170">
        <f t="shared" si="24"/>
        <v>119.7</v>
      </c>
      <c r="P170">
        <v>165</v>
      </c>
      <c r="Q170">
        <v>1</v>
      </c>
      <c r="R170" s="6">
        <f t="shared" si="18"/>
        <v>0.5</v>
      </c>
      <c r="S170" s="6">
        <f t="shared" si="19"/>
        <v>-0.5</v>
      </c>
      <c r="T170" s="60">
        <f t="shared" si="22"/>
        <v>119.7</v>
      </c>
      <c r="V170">
        <v>510.8</v>
      </c>
      <c r="X170">
        <v>85557.5</v>
      </c>
      <c r="Y170">
        <f t="shared" si="25"/>
        <v>23698.400000000001</v>
      </c>
      <c r="AA170">
        <v>10.306470123992201</v>
      </c>
      <c r="AB170">
        <v>6</v>
      </c>
    </row>
    <row r="171" spans="1:30" x14ac:dyDescent="0.25">
      <c r="A171" s="49"/>
      <c r="B171" s="3"/>
      <c r="C171" s="4">
        <v>42052</v>
      </c>
      <c r="D171">
        <v>3.2</v>
      </c>
      <c r="E171">
        <v>2.4</v>
      </c>
      <c r="F171">
        <v>4.0999999999999996</v>
      </c>
      <c r="G171">
        <v>1364.9</v>
      </c>
      <c r="H171">
        <v>281.79999999999995</v>
      </c>
      <c r="J171" s="58">
        <v>0</v>
      </c>
      <c r="K171">
        <f t="shared" si="20"/>
        <v>441.8</v>
      </c>
      <c r="L171">
        <v>0.4</v>
      </c>
      <c r="M171">
        <f t="shared" si="21"/>
        <v>155.60000000000008</v>
      </c>
      <c r="N171">
        <v>-0.4</v>
      </c>
      <c r="O171">
        <f t="shared" si="24"/>
        <v>119.3</v>
      </c>
      <c r="P171">
        <v>166</v>
      </c>
      <c r="Q171">
        <v>1</v>
      </c>
      <c r="R171" s="6">
        <f t="shared" si="18"/>
        <v>0.4</v>
      </c>
      <c r="S171" s="6">
        <f t="shared" si="19"/>
        <v>-0.4</v>
      </c>
      <c r="T171" s="60">
        <f t="shared" si="22"/>
        <v>119.3</v>
      </c>
      <c r="V171">
        <v>174.8</v>
      </c>
      <c r="X171">
        <v>85732.3</v>
      </c>
      <c r="Y171">
        <f t="shared" si="25"/>
        <v>23873.200000000001</v>
      </c>
      <c r="AA171">
        <v>10.359794184388701</v>
      </c>
      <c r="AB171" s="62" t="s">
        <v>57</v>
      </c>
    </row>
    <row r="172" spans="1:30" x14ac:dyDescent="0.25">
      <c r="A172" s="49"/>
      <c r="B172" s="3"/>
      <c r="C172" s="4">
        <v>42053</v>
      </c>
      <c r="D172">
        <v>2.8</v>
      </c>
      <c r="E172">
        <v>1.3</v>
      </c>
      <c r="F172">
        <v>5.0999999999999996</v>
      </c>
      <c r="G172">
        <v>1367.7</v>
      </c>
      <c r="H172">
        <v>284.59999999999997</v>
      </c>
      <c r="J172" s="58">
        <v>0</v>
      </c>
      <c r="K172">
        <f t="shared" si="20"/>
        <v>441.8</v>
      </c>
      <c r="L172">
        <v>1.1000000000000001</v>
      </c>
      <c r="M172">
        <f t="shared" si="21"/>
        <v>156.70000000000007</v>
      </c>
      <c r="N172">
        <v>-1.1000000000000001</v>
      </c>
      <c r="O172">
        <f t="shared" si="24"/>
        <v>118.2</v>
      </c>
      <c r="P172">
        <v>167</v>
      </c>
      <c r="Q172">
        <v>1</v>
      </c>
      <c r="R172" s="6">
        <f t="shared" si="18"/>
        <v>1.1000000000000001</v>
      </c>
      <c r="S172" s="6">
        <f t="shared" si="19"/>
        <v>-1.1000000000000001</v>
      </c>
      <c r="T172" s="60">
        <f t="shared" si="22"/>
        <v>118.2</v>
      </c>
      <c r="V172">
        <v>812.8</v>
      </c>
      <c r="X172">
        <v>86545.1</v>
      </c>
      <c r="Y172">
        <f t="shared" si="25"/>
        <v>24686</v>
      </c>
      <c r="AA172">
        <v>10.4134040340304</v>
      </c>
      <c r="AB172">
        <f>SUM(J174:J183)</f>
        <v>30.900000000000002</v>
      </c>
    </row>
    <row r="173" spans="1:30" s="55" customFormat="1" x14ac:dyDescent="0.25">
      <c r="A173" s="49"/>
      <c r="B173" s="53" t="s">
        <v>51</v>
      </c>
      <c r="C173" s="54">
        <v>42054</v>
      </c>
      <c r="D173" s="55">
        <v>3.1</v>
      </c>
      <c r="E173" s="55">
        <v>1.2</v>
      </c>
      <c r="F173" s="55">
        <v>6.6</v>
      </c>
      <c r="G173" s="55">
        <v>1370.8</v>
      </c>
      <c r="H173" s="55">
        <v>287.7</v>
      </c>
      <c r="J173" s="55">
        <v>0</v>
      </c>
      <c r="K173" s="55">
        <f t="shared" si="20"/>
        <v>441.8</v>
      </c>
      <c r="L173" s="55">
        <v>1</v>
      </c>
      <c r="M173" s="55">
        <f t="shared" si="21"/>
        <v>157.70000000000007</v>
      </c>
      <c r="N173" s="55">
        <v>-1</v>
      </c>
      <c r="O173" s="55">
        <f t="shared" si="24"/>
        <v>117.2</v>
      </c>
      <c r="P173" s="55">
        <v>168</v>
      </c>
      <c r="Q173" s="55">
        <v>1</v>
      </c>
      <c r="R173" s="56">
        <f t="shared" si="18"/>
        <v>1</v>
      </c>
      <c r="S173" s="56">
        <f t="shared" si="19"/>
        <v>-1</v>
      </c>
      <c r="T173" s="56">
        <f t="shared" si="22"/>
        <v>117.2</v>
      </c>
      <c r="V173" s="55">
        <v>631.5</v>
      </c>
      <c r="X173" s="55">
        <v>87176.6</v>
      </c>
      <c r="Y173" s="55">
        <f t="shared" si="25"/>
        <v>25317.5</v>
      </c>
      <c r="AA173" s="55">
        <v>10.4672842293458</v>
      </c>
    </row>
    <row r="174" spans="1:30" x14ac:dyDescent="0.25">
      <c r="A174" s="49"/>
      <c r="B174" s="3"/>
      <c r="C174" s="4">
        <v>42055</v>
      </c>
      <c r="D174">
        <v>5.3</v>
      </c>
      <c r="E174">
        <v>-2.2999999999999998</v>
      </c>
      <c r="F174">
        <v>11.1</v>
      </c>
      <c r="G174">
        <v>1376.1</v>
      </c>
      <c r="H174">
        <v>293</v>
      </c>
      <c r="J174" s="58">
        <v>7</v>
      </c>
      <c r="K174">
        <f t="shared" si="20"/>
        <v>448.8</v>
      </c>
      <c r="L174">
        <v>1.6</v>
      </c>
      <c r="M174">
        <f t="shared" si="21"/>
        <v>159.30000000000007</v>
      </c>
      <c r="N174">
        <v>5.4</v>
      </c>
      <c r="O174">
        <v>122.1</v>
      </c>
      <c r="P174">
        <v>169</v>
      </c>
      <c r="Q174">
        <v>1</v>
      </c>
      <c r="R174" s="6">
        <f t="shared" si="18"/>
        <v>1.6</v>
      </c>
      <c r="S174" s="6">
        <f t="shared" si="19"/>
        <v>5.4</v>
      </c>
      <c r="T174" s="60">
        <f t="shared" si="22"/>
        <v>122.1</v>
      </c>
      <c r="V174">
        <v>1107.0999999999999</v>
      </c>
      <c r="X174">
        <v>88283.700000000012</v>
      </c>
      <c r="Y174">
        <f t="shared" si="25"/>
        <v>26424.6</v>
      </c>
      <c r="AA174">
        <v>10.5214198786888</v>
      </c>
    </row>
    <row r="175" spans="1:30" x14ac:dyDescent="0.25">
      <c r="A175" s="49"/>
      <c r="B175" s="3"/>
      <c r="C175" s="4">
        <v>42056</v>
      </c>
      <c r="D175">
        <v>4.5</v>
      </c>
      <c r="E175">
        <v>4</v>
      </c>
      <c r="F175">
        <v>5.3</v>
      </c>
      <c r="G175">
        <v>1380.6</v>
      </c>
      <c r="H175">
        <v>297.5</v>
      </c>
      <c r="J175" s="58">
        <v>0.3</v>
      </c>
      <c r="K175">
        <f t="shared" si="20"/>
        <v>449.1</v>
      </c>
      <c r="L175">
        <v>0.7</v>
      </c>
      <c r="M175">
        <f t="shared" si="21"/>
        <v>160.00000000000006</v>
      </c>
      <c r="N175">
        <v>-0.39999999999999997</v>
      </c>
      <c r="O175">
        <f>O174+N175</f>
        <v>121.69999999999999</v>
      </c>
      <c r="P175">
        <v>170</v>
      </c>
      <c r="Q175">
        <v>1</v>
      </c>
      <c r="R175" s="6">
        <f t="shared" si="18"/>
        <v>0.7</v>
      </c>
      <c r="S175" s="6">
        <f t="shared" si="19"/>
        <v>-0.39999999999999997</v>
      </c>
      <c r="T175" s="60">
        <f t="shared" si="22"/>
        <v>121.69999999999999</v>
      </c>
      <c r="V175">
        <v>709.1</v>
      </c>
      <c r="X175">
        <v>88992.800000000017</v>
      </c>
      <c r="Y175">
        <f t="shared" si="25"/>
        <v>27133.699999999997</v>
      </c>
      <c r="AA175">
        <v>10.575796629568799</v>
      </c>
    </row>
    <row r="176" spans="1:30" x14ac:dyDescent="0.25">
      <c r="A176" s="49"/>
      <c r="B176" s="3"/>
      <c r="C176" s="4">
        <v>42057</v>
      </c>
      <c r="D176">
        <v>2.9</v>
      </c>
      <c r="E176">
        <v>2.2000000000000002</v>
      </c>
      <c r="F176">
        <v>5.9</v>
      </c>
      <c r="G176">
        <v>1383.5</v>
      </c>
      <c r="H176">
        <v>300.39999999999998</v>
      </c>
      <c r="J176" s="58">
        <v>0.7</v>
      </c>
      <c r="K176">
        <f t="shared" si="20"/>
        <v>449.8</v>
      </c>
      <c r="L176">
        <v>0.9</v>
      </c>
      <c r="M176">
        <f t="shared" si="21"/>
        <v>160.90000000000006</v>
      </c>
      <c r="N176">
        <v>-0.20000000000000007</v>
      </c>
      <c r="O176">
        <f>O175+N176</f>
        <v>121.49999999999999</v>
      </c>
      <c r="P176">
        <v>171</v>
      </c>
      <c r="Q176">
        <v>1</v>
      </c>
      <c r="R176" s="6">
        <f t="shared" si="18"/>
        <v>0.9</v>
      </c>
      <c r="S176" s="6">
        <f t="shared" si="19"/>
        <v>-0.20000000000000007</v>
      </c>
      <c r="T176" s="60">
        <f t="shared" si="22"/>
        <v>121.49999999999999</v>
      </c>
      <c r="V176">
        <v>460.2</v>
      </c>
      <c r="X176">
        <v>89453.000000000015</v>
      </c>
      <c r="Y176">
        <f t="shared" si="25"/>
        <v>27593.899999999998</v>
      </c>
      <c r="AA176">
        <v>10.630400655061001</v>
      </c>
      <c r="AC176" s="62" t="s">
        <v>58</v>
      </c>
      <c r="AD176" s="62" t="s">
        <v>63</v>
      </c>
    </row>
    <row r="177" spans="1:30" x14ac:dyDescent="0.25">
      <c r="A177" s="49"/>
      <c r="B177" s="3"/>
      <c r="C177" s="4">
        <v>42058</v>
      </c>
      <c r="D177">
        <v>3.5</v>
      </c>
      <c r="E177">
        <v>-0.5</v>
      </c>
      <c r="F177">
        <v>6.2</v>
      </c>
      <c r="G177">
        <v>1387</v>
      </c>
      <c r="H177">
        <v>303.89999999999998</v>
      </c>
      <c r="J177" s="58">
        <v>4</v>
      </c>
      <c r="K177">
        <f t="shared" si="20"/>
        <v>453.8</v>
      </c>
      <c r="L177">
        <v>0.4</v>
      </c>
      <c r="M177">
        <f t="shared" si="21"/>
        <v>161.30000000000007</v>
      </c>
      <c r="N177">
        <v>3.6</v>
      </c>
      <c r="O177">
        <v>122.1</v>
      </c>
      <c r="P177">
        <v>172</v>
      </c>
      <c r="Q177">
        <v>1</v>
      </c>
      <c r="R177" s="6">
        <f t="shared" si="18"/>
        <v>0.4</v>
      </c>
      <c r="S177" s="6">
        <f t="shared" si="19"/>
        <v>3.6</v>
      </c>
      <c r="T177" s="60">
        <f t="shared" si="22"/>
        <v>122.1</v>
      </c>
      <c r="V177">
        <v>235.2</v>
      </c>
      <c r="X177">
        <v>89688.200000000012</v>
      </c>
      <c r="Y177">
        <f t="shared" si="25"/>
        <v>27829.1</v>
      </c>
      <c r="AA177">
        <v>10.6852186394912</v>
      </c>
      <c r="AC177" s="7">
        <f>(AB164*(30/60))+(AB186*(30/60))</f>
        <v>110.25136759581881</v>
      </c>
      <c r="AD177" s="7">
        <f>(AB164*(60/140))+(AB186*(80/140))</f>
        <v>108.72503235440516</v>
      </c>
    </row>
    <row r="178" spans="1:30" x14ac:dyDescent="0.25">
      <c r="A178" s="49"/>
      <c r="B178" s="3"/>
      <c r="C178" s="4">
        <v>42059</v>
      </c>
      <c r="D178">
        <v>4.0999999999999996</v>
      </c>
      <c r="E178">
        <v>0.7</v>
      </c>
      <c r="F178">
        <v>8.5</v>
      </c>
      <c r="G178">
        <v>1391.1</v>
      </c>
      <c r="H178">
        <v>308</v>
      </c>
      <c r="J178" s="58">
        <v>0.7</v>
      </c>
      <c r="K178">
        <f t="shared" si="20"/>
        <v>454.5</v>
      </c>
      <c r="L178">
        <v>0.7</v>
      </c>
      <c r="M178">
        <f t="shared" si="21"/>
        <v>162.00000000000006</v>
      </c>
      <c r="N178">
        <v>0</v>
      </c>
      <c r="O178">
        <f>O177+N178</f>
        <v>122.1</v>
      </c>
      <c r="P178">
        <v>173</v>
      </c>
      <c r="Q178">
        <v>1</v>
      </c>
      <c r="R178" s="6">
        <f t="shared" si="18"/>
        <v>0.7</v>
      </c>
      <c r="S178" s="6">
        <f t="shared" si="19"/>
        <v>0</v>
      </c>
      <c r="T178" s="60">
        <f t="shared" si="22"/>
        <v>122.1</v>
      </c>
      <c r="V178">
        <v>559.9</v>
      </c>
      <c r="X178">
        <v>90248.1</v>
      </c>
      <c r="Y178">
        <f t="shared" si="25"/>
        <v>28389</v>
      </c>
      <c r="AA178">
        <v>10.7402377634786</v>
      </c>
      <c r="AC178" s="62" t="s">
        <v>59</v>
      </c>
      <c r="AD178" s="62" t="s">
        <v>64</v>
      </c>
    </row>
    <row r="179" spans="1:30" x14ac:dyDescent="0.25">
      <c r="A179" s="49"/>
      <c r="B179" s="3"/>
      <c r="C179" s="4">
        <v>42060</v>
      </c>
      <c r="D179">
        <v>3.5</v>
      </c>
      <c r="E179">
        <v>-1.3</v>
      </c>
      <c r="F179">
        <v>8.3000000000000007</v>
      </c>
      <c r="G179">
        <v>1394.6</v>
      </c>
      <c r="H179">
        <v>311.5</v>
      </c>
      <c r="J179" s="58">
        <v>0</v>
      </c>
      <c r="K179">
        <f t="shared" si="20"/>
        <v>454.5</v>
      </c>
      <c r="L179">
        <v>1.1000000000000001</v>
      </c>
      <c r="M179">
        <f t="shared" si="21"/>
        <v>163.10000000000005</v>
      </c>
      <c r="N179">
        <v>-1.1000000000000001</v>
      </c>
      <c r="O179">
        <f>O178+N179</f>
        <v>121</v>
      </c>
      <c r="P179">
        <v>174</v>
      </c>
      <c r="Q179">
        <v>1</v>
      </c>
      <c r="R179" s="6">
        <f t="shared" si="18"/>
        <v>1.1000000000000001</v>
      </c>
      <c r="S179" s="6">
        <f t="shared" si="19"/>
        <v>-1.1000000000000001</v>
      </c>
      <c r="T179" s="60">
        <f t="shared" si="22"/>
        <v>121</v>
      </c>
      <c r="V179">
        <v>1119.8</v>
      </c>
      <c r="X179">
        <v>91367.900000000009</v>
      </c>
      <c r="Y179">
        <f t="shared" si="25"/>
        <v>29508.799999999999</v>
      </c>
      <c r="AA179">
        <v>10.7954456884178</v>
      </c>
      <c r="AC179" s="6">
        <f>(AB166*(30/60))+(AB188*(30/60))</f>
        <v>6</v>
      </c>
      <c r="AD179" s="6">
        <f>(AB166*(60/140))+(AB188*(80/140))</f>
        <v>6.2857142857142856</v>
      </c>
    </row>
    <row r="180" spans="1:30" x14ac:dyDescent="0.25">
      <c r="A180" s="49"/>
      <c r="B180" s="3"/>
      <c r="C180" s="4">
        <v>42061</v>
      </c>
      <c r="D180">
        <v>4.5999999999999996</v>
      </c>
      <c r="E180">
        <v>-0.8</v>
      </c>
      <c r="F180">
        <v>7.8</v>
      </c>
      <c r="G180">
        <v>1399.1999999999998</v>
      </c>
      <c r="H180">
        <v>316.10000000000002</v>
      </c>
      <c r="J180" s="58">
        <v>9.5</v>
      </c>
      <c r="K180">
        <f t="shared" si="20"/>
        <v>464</v>
      </c>
      <c r="L180">
        <v>0.6</v>
      </c>
      <c r="M180">
        <f t="shared" si="21"/>
        <v>163.70000000000005</v>
      </c>
      <c r="N180">
        <v>8.9</v>
      </c>
      <c r="O180">
        <v>122.1</v>
      </c>
      <c r="P180">
        <v>175</v>
      </c>
      <c r="Q180">
        <v>1</v>
      </c>
      <c r="R180" s="6">
        <f t="shared" si="18"/>
        <v>0.6</v>
      </c>
      <c r="S180" s="6">
        <f t="shared" si="19"/>
        <v>8.9</v>
      </c>
      <c r="T180" s="60">
        <f t="shared" si="22"/>
        <v>122.1</v>
      </c>
      <c r="V180">
        <v>742.2</v>
      </c>
      <c r="X180">
        <v>92110.1</v>
      </c>
      <c r="Y180">
        <f t="shared" si="25"/>
        <v>30251</v>
      </c>
      <c r="AA180">
        <v>10.850830540473201</v>
      </c>
      <c r="AC180" s="62" t="s">
        <v>60</v>
      </c>
      <c r="AD180" s="62" t="s">
        <v>65</v>
      </c>
    </row>
    <row r="181" spans="1:30" x14ac:dyDescent="0.25">
      <c r="A181" s="49"/>
      <c r="B181" s="3"/>
      <c r="C181" s="4">
        <v>42062</v>
      </c>
      <c r="D181">
        <v>4.7</v>
      </c>
      <c r="E181">
        <v>4.7</v>
      </c>
      <c r="F181">
        <v>6.4</v>
      </c>
      <c r="G181">
        <v>1403.8999999999999</v>
      </c>
      <c r="H181">
        <v>320.8</v>
      </c>
      <c r="J181" s="58">
        <v>0.5</v>
      </c>
      <c r="K181">
        <f t="shared" si="20"/>
        <v>464.5</v>
      </c>
      <c r="L181">
        <v>0.7</v>
      </c>
      <c r="M181">
        <f t="shared" si="21"/>
        <v>164.40000000000003</v>
      </c>
      <c r="N181">
        <v>-0.19999999999999996</v>
      </c>
      <c r="O181">
        <f>O180+N181</f>
        <v>121.89999999999999</v>
      </c>
      <c r="P181">
        <v>176</v>
      </c>
      <c r="Q181">
        <v>1</v>
      </c>
      <c r="R181" s="6">
        <f t="shared" si="18"/>
        <v>0.7</v>
      </c>
      <c r="S181" s="6">
        <f t="shared" si="19"/>
        <v>-0.19999999999999996</v>
      </c>
      <c r="T181" s="60">
        <f t="shared" si="22"/>
        <v>121.89999999999999</v>
      </c>
      <c r="V181">
        <v>386.5</v>
      </c>
      <c r="X181">
        <v>92496.6</v>
      </c>
      <c r="Y181">
        <f t="shared" si="25"/>
        <v>30637.5</v>
      </c>
      <c r="AA181">
        <v>10.9063808941549</v>
      </c>
      <c r="AC181" s="6">
        <f>(AB168*(30/60))+(AB190*(30/60))</f>
        <v>4.5</v>
      </c>
      <c r="AD181" s="6">
        <f>(AB168*(60/140))+(AB190*(80/140))</f>
        <v>5</v>
      </c>
    </row>
    <row r="182" spans="1:30" s="34" customFormat="1" ht="15.75" thickBot="1" x14ac:dyDescent="0.3">
      <c r="A182" s="49"/>
      <c r="B182" s="32"/>
      <c r="C182" s="33">
        <v>42063</v>
      </c>
      <c r="D182" s="34">
        <v>2.2999999999999998</v>
      </c>
      <c r="E182" s="34">
        <v>-3.2</v>
      </c>
      <c r="F182" s="34">
        <v>7.4</v>
      </c>
      <c r="G182" s="34">
        <v>1406.1999999999998</v>
      </c>
      <c r="H182" s="34">
        <v>323.10000000000002</v>
      </c>
      <c r="J182" s="59">
        <v>4.9000000000000004</v>
      </c>
      <c r="K182" s="34">
        <f t="shared" si="20"/>
        <v>469.4</v>
      </c>
      <c r="L182" s="34">
        <v>0.9</v>
      </c>
      <c r="M182" s="34">
        <f t="shared" si="21"/>
        <v>165.30000000000004</v>
      </c>
      <c r="N182" s="34">
        <v>4</v>
      </c>
      <c r="O182" s="34">
        <v>122.1</v>
      </c>
      <c r="P182" s="34">
        <v>177</v>
      </c>
      <c r="Q182" s="36">
        <v>1</v>
      </c>
      <c r="R182" s="35">
        <f t="shared" si="18"/>
        <v>0.9</v>
      </c>
      <c r="S182" s="35">
        <f t="shared" si="19"/>
        <v>4</v>
      </c>
      <c r="T182" s="61">
        <f t="shared" si="22"/>
        <v>122.1</v>
      </c>
      <c r="V182" s="34">
        <v>880</v>
      </c>
      <c r="X182" s="34">
        <v>93376.6</v>
      </c>
      <c r="Y182" s="36">
        <f t="shared" si="25"/>
        <v>31517.5</v>
      </c>
      <c r="AA182" s="36">
        <v>10.9620857555387</v>
      </c>
      <c r="AC182" s="62" t="s">
        <v>61</v>
      </c>
      <c r="AD182" s="62" t="s">
        <v>66</v>
      </c>
    </row>
    <row r="183" spans="1:30" x14ac:dyDescent="0.25">
      <c r="A183" s="50" t="s">
        <v>46</v>
      </c>
      <c r="B183" s="3"/>
      <c r="C183" s="4">
        <v>42064</v>
      </c>
      <c r="D183">
        <v>6.4</v>
      </c>
      <c r="E183">
        <v>3.2</v>
      </c>
      <c r="F183">
        <v>9</v>
      </c>
      <c r="G183">
        <v>1412.6</v>
      </c>
      <c r="H183">
        <v>6.4</v>
      </c>
      <c r="I183" s="12" t="s">
        <v>27</v>
      </c>
      <c r="J183" s="58">
        <v>3.3</v>
      </c>
      <c r="K183">
        <f t="shared" si="20"/>
        <v>472.7</v>
      </c>
      <c r="L183">
        <v>0.7</v>
      </c>
      <c r="M183">
        <f t="shared" si="21"/>
        <v>166.00000000000003</v>
      </c>
      <c r="N183">
        <v>2.5999999999999996</v>
      </c>
      <c r="O183">
        <v>122.1</v>
      </c>
      <c r="P183">
        <v>178</v>
      </c>
      <c r="Q183">
        <f>1+((P183-177)/41)*(1.15-1)</f>
        <v>1.0036585365853659</v>
      </c>
      <c r="R183" s="6">
        <f t="shared" si="18"/>
        <v>0.70256097560975606</v>
      </c>
      <c r="S183" s="6">
        <f t="shared" si="19"/>
        <v>2.5974390243902437</v>
      </c>
      <c r="T183" s="60">
        <f t="shared" si="22"/>
        <v>122.1</v>
      </c>
      <c r="U183" s="12" t="s">
        <v>28</v>
      </c>
      <c r="V183">
        <v>387.5</v>
      </c>
      <c r="X183">
        <v>93764.1</v>
      </c>
      <c r="Y183">
        <v>387.5</v>
      </c>
      <c r="Z183" s="12" t="s">
        <v>29</v>
      </c>
      <c r="AA183">
        <v>11.017934545188099</v>
      </c>
      <c r="AC183" s="6">
        <f>(AB170*(30/60))+(AB192*(30/60))</f>
        <v>3</v>
      </c>
      <c r="AD183" s="6">
        <f>(AB170*(60/140))+(AB192*(80/140))</f>
        <v>2.5714285714285712</v>
      </c>
    </row>
    <row r="184" spans="1:30" x14ac:dyDescent="0.25">
      <c r="A184" s="50"/>
      <c r="B184" s="3"/>
      <c r="C184" s="4">
        <v>42065</v>
      </c>
      <c r="D184">
        <v>8.4</v>
      </c>
      <c r="E184">
        <v>8.1999999999999993</v>
      </c>
      <c r="F184">
        <v>11.6</v>
      </c>
      <c r="G184">
        <v>1421</v>
      </c>
      <c r="H184">
        <f>H183+D184</f>
        <v>14.8</v>
      </c>
      <c r="I184">
        <f>MIN(E183:E223)</f>
        <v>-2.7</v>
      </c>
      <c r="J184">
        <v>2.6</v>
      </c>
      <c r="K184">
        <f t="shared" si="20"/>
        <v>475.3</v>
      </c>
      <c r="L184">
        <v>1.9</v>
      </c>
      <c r="M184">
        <f t="shared" si="21"/>
        <v>167.90000000000003</v>
      </c>
      <c r="N184">
        <v>0.70000000000000018</v>
      </c>
      <c r="O184">
        <v>122.1</v>
      </c>
      <c r="P184">
        <v>179</v>
      </c>
      <c r="Q184">
        <f t="shared" ref="Q184:Q223" si="26">1+((P184-177)/41)*(1.15-1)</f>
        <v>1.0073170731707317</v>
      </c>
      <c r="R184" s="6">
        <f t="shared" si="18"/>
        <v>1.9139024390243902</v>
      </c>
      <c r="S184" s="6">
        <f t="shared" si="19"/>
        <v>0.68609756097560992</v>
      </c>
      <c r="T184" s="6">
        <f t="shared" si="22"/>
        <v>122.1</v>
      </c>
      <c r="U184">
        <v>28</v>
      </c>
      <c r="V184">
        <v>821.3</v>
      </c>
      <c r="X184">
        <v>94585.400000000009</v>
      </c>
      <c r="Y184">
        <f t="shared" si="25"/>
        <v>1208.8</v>
      </c>
      <c r="Z184">
        <f>Y223</f>
        <v>46956.4</v>
      </c>
      <c r="AA184">
        <v>11.0739170808304</v>
      </c>
      <c r="AC184" s="62" t="s">
        <v>62</v>
      </c>
      <c r="AD184" s="62" t="s">
        <v>67</v>
      </c>
    </row>
    <row r="185" spans="1:30" x14ac:dyDescent="0.25">
      <c r="A185" s="50"/>
      <c r="B185" s="3"/>
      <c r="C185" s="4">
        <v>42066</v>
      </c>
      <c r="D185">
        <v>6.4</v>
      </c>
      <c r="E185">
        <v>1.1000000000000001</v>
      </c>
      <c r="F185">
        <v>11.3</v>
      </c>
      <c r="G185">
        <v>1427.4</v>
      </c>
      <c r="H185">
        <f t="shared" ref="H185:H223" si="27">H184+D185</f>
        <v>21.200000000000003</v>
      </c>
      <c r="I185" s="12" t="s">
        <v>30</v>
      </c>
      <c r="J185" s="58">
        <v>2</v>
      </c>
      <c r="K185">
        <f t="shared" si="20"/>
        <v>477.3</v>
      </c>
      <c r="L185">
        <v>1.3</v>
      </c>
      <c r="M185">
        <f t="shared" si="21"/>
        <v>169.20000000000005</v>
      </c>
      <c r="N185">
        <v>0.7</v>
      </c>
      <c r="O185">
        <v>122.1</v>
      </c>
      <c r="P185">
        <v>180</v>
      </c>
      <c r="Q185">
        <f t="shared" si="26"/>
        <v>1.0109756097560976</v>
      </c>
      <c r="R185" s="6">
        <f t="shared" si="18"/>
        <v>1.314268292682927</v>
      </c>
      <c r="S185" s="6">
        <f t="shared" si="19"/>
        <v>0.685731707317073</v>
      </c>
      <c r="T185" s="6">
        <f t="shared" si="22"/>
        <v>122.1</v>
      </c>
      <c r="U185" s="12" t="s">
        <v>31</v>
      </c>
      <c r="V185">
        <v>981.8</v>
      </c>
      <c r="X185">
        <v>95567.200000000012</v>
      </c>
      <c r="Y185">
        <f t="shared" si="25"/>
        <v>2190.6</v>
      </c>
      <c r="Z185" s="12" t="s">
        <v>32</v>
      </c>
      <c r="AA185">
        <v>11.1300235598356</v>
      </c>
      <c r="AB185" s="62" t="s">
        <v>53</v>
      </c>
      <c r="AC185" s="6">
        <f>(AB172*(30/60))+(AB194*(30/60))</f>
        <v>17.05</v>
      </c>
      <c r="AD185" s="6">
        <f>(AB172*(60/140))+(AB194*(80/140))</f>
        <v>15.071428571428573</v>
      </c>
    </row>
    <row r="186" spans="1:30" x14ac:dyDescent="0.25">
      <c r="A186" s="50"/>
      <c r="B186" s="3"/>
      <c r="C186" s="4">
        <v>42067</v>
      </c>
      <c r="D186">
        <v>4.0999999999999996</v>
      </c>
      <c r="E186">
        <v>1.4</v>
      </c>
      <c r="F186">
        <v>7</v>
      </c>
      <c r="G186">
        <v>1431.5</v>
      </c>
      <c r="H186">
        <f t="shared" si="27"/>
        <v>25.300000000000004</v>
      </c>
      <c r="I186">
        <f>MAX(F183:F223)</f>
        <v>19.399999999999999</v>
      </c>
      <c r="J186" s="58">
        <v>1</v>
      </c>
      <c r="K186">
        <f t="shared" si="20"/>
        <v>478.3</v>
      </c>
      <c r="L186">
        <v>0.8</v>
      </c>
      <c r="M186">
        <f t="shared" si="21"/>
        <v>170.00000000000006</v>
      </c>
      <c r="N186">
        <v>0.19999999999999996</v>
      </c>
      <c r="O186">
        <v>122.1</v>
      </c>
      <c r="P186">
        <v>181</v>
      </c>
      <c r="Q186">
        <f t="shared" si="26"/>
        <v>1.0146341463414634</v>
      </c>
      <c r="R186" s="6">
        <f t="shared" si="18"/>
        <v>0.81170731707317079</v>
      </c>
      <c r="S186" s="6">
        <f t="shared" si="19"/>
        <v>0.18829268292682921</v>
      </c>
      <c r="T186" s="6">
        <f t="shared" si="22"/>
        <v>122.1</v>
      </c>
      <c r="U186">
        <v>0</v>
      </c>
      <c r="V186">
        <v>448.4</v>
      </c>
      <c r="X186">
        <v>96015.6</v>
      </c>
      <c r="Y186">
        <f t="shared" si="25"/>
        <v>2639</v>
      </c>
      <c r="Z186" s="7">
        <f>(Z184/100)/I196</f>
        <v>1.5191329666774507</v>
      </c>
      <c r="AA186">
        <v>11.1862445415401</v>
      </c>
      <c r="AB186" s="6">
        <f>AVERAGE(T192:T205)</f>
        <v>99.567020905923314</v>
      </c>
    </row>
    <row r="187" spans="1:30" x14ac:dyDescent="0.25">
      <c r="A187" s="50"/>
      <c r="B187" s="3"/>
      <c r="C187" s="4">
        <v>42068</v>
      </c>
      <c r="D187">
        <v>4</v>
      </c>
      <c r="E187">
        <v>1.3</v>
      </c>
      <c r="F187">
        <v>7.4</v>
      </c>
      <c r="G187">
        <v>1435.5</v>
      </c>
      <c r="H187">
        <f t="shared" si="27"/>
        <v>29.300000000000004</v>
      </c>
      <c r="I187" s="12" t="s">
        <v>33</v>
      </c>
      <c r="J187" s="58">
        <v>0</v>
      </c>
      <c r="K187">
        <f t="shared" si="20"/>
        <v>478.3</v>
      </c>
      <c r="L187">
        <v>1.5</v>
      </c>
      <c r="M187">
        <f t="shared" si="21"/>
        <v>171.50000000000006</v>
      </c>
      <c r="N187">
        <v>-1.5</v>
      </c>
      <c r="O187">
        <f t="shared" ref="O187:O250" si="28">O186+N187</f>
        <v>120.6</v>
      </c>
      <c r="P187">
        <v>182</v>
      </c>
      <c r="Q187">
        <f t="shared" si="26"/>
        <v>1.0182926829268293</v>
      </c>
      <c r="R187" s="6">
        <f t="shared" si="18"/>
        <v>1.5274390243902438</v>
      </c>
      <c r="S187" s="6">
        <f t="shared" si="19"/>
        <v>-1.5274390243902438</v>
      </c>
      <c r="T187" s="6">
        <f t="shared" si="22"/>
        <v>120.57256097560975</v>
      </c>
      <c r="U187" s="12" t="s">
        <v>34</v>
      </c>
      <c r="V187">
        <v>1011.2</v>
      </c>
      <c r="X187">
        <v>97026.8</v>
      </c>
      <c r="Y187">
        <f t="shared" si="25"/>
        <v>3650.2</v>
      </c>
      <c r="Z187" s="12" t="s">
        <v>35</v>
      </c>
      <c r="AA187">
        <v>11.242570929454599</v>
      </c>
      <c r="AB187" s="62" t="s">
        <v>54</v>
      </c>
    </row>
    <row r="188" spans="1:30" x14ac:dyDescent="0.25">
      <c r="A188" s="50"/>
      <c r="B188" s="3"/>
      <c r="C188" s="4">
        <v>42069</v>
      </c>
      <c r="D188">
        <v>4</v>
      </c>
      <c r="E188">
        <v>-1.5</v>
      </c>
      <c r="F188">
        <v>9.9</v>
      </c>
      <c r="G188">
        <v>1439.5</v>
      </c>
      <c r="H188">
        <f t="shared" si="27"/>
        <v>33.300000000000004</v>
      </c>
      <c r="I188" s="6">
        <f>AVERAGE(D183:D223)</f>
        <v>7.5390243902439043</v>
      </c>
      <c r="J188" s="58">
        <v>0</v>
      </c>
      <c r="K188">
        <f t="shared" si="20"/>
        <v>478.3</v>
      </c>
      <c r="L188">
        <v>2.1</v>
      </c>
      <c r="M188">
        <f t="shared" si="21"/>
        <v>173.60000000000005</v>
      </c>
      <c r="N188">
        <v>-2.1</v>
      </c>
      <c r="O188">
        <f t="shared" si="28"/>
        <v>118.5</v>
      </c>
      <c r="P188">
        <v>183</v>
      </c>
      <c r="Q188">
        <f t="shared" si="26"/>
        <v>1.0219512195121951</v>
      </c>
      <c r="R188" s="6">
        <f t="shared" si="18"/>
        <v>2.1460975609756101</v>
      </c>
      <c r="S188" s="6">
        <f t="shared" si="19"/>
        <v>-2.1460975609756101</v>
      </c>
      <c r="T188" s="6">
        <f t="shared" si="22"/>
        <v>118.42646341463414</v>
      </c>
      <c r="U188">
        <v>0</v>
      </c>
      <c r="V188">
        <v>1588.9</v>
      </c>
      <c r="X188">
        <v>98615.7</v>
      </c>
      <c r="Y188">
        <f t="shared" si="25"/>
        <v>5239.1000000000004</v>
      </c>
      <c r="Z188">
        <v>16</v>
      </c>
      <c r="AA188">
        <v>11.2989939533909</v>
      </c>
      <c r="AB188">
        <v>8</v>
      </c>
    </row>
    <row r="189" spans="1:30" x14ac:dyDescent="0.25">
      <c r="A189" s="50"/>
      <c r="B189" s="3"/>
      <c r="C189" s="4">
        <v>42070</v>
      </c>
      <c r="D189">
        <v>4.4000000000000004</v>
      </c>
      <c r="E189">
        <v>-2.7</v>
      </c>
      <c r="F189">
        <v>11.2</v>
      </c>
      <c r="G189">
        <v>1443.9</v>
      </c>
      <c r="H189">
        <f t="shared" si="27"/>
        <v>37.700000000000003</v>
      </c>
      <c r="I189" s="12" t="s">
        <v>36</v>
      </c>
      <c r="J189" s="58">
        <v>0</v>
      </c>
      <c r="K189">
        <f t="shared" si="20"/>
        <v>478.3</v>
      </c>
      <c r="L189">
        <v>1.6</v>
      </c>
      <c r="M189">
        <f t="shared" si="21"/>
        <v>175.20000000000005</v>
      </c>
      <c r="N189">
        <v>-1.6</v>
      </c>
      <c r="O189">
        <f t="shared" si="28"/>
        <v>116.9</v>
      </c>
      <c r="P189">
        <v>184</v>
      </c>
      <c r="Q189">
        <f t="shared" si="26"/>
        <v>1.025609756097561</v>
      </c>
      <c r="R189" s="6">
        <f t="shared" si="18"/>
        <v>1.6409756097560977</v>
      </c>
      <c r="S189" s="6">
        <f t="shared" si="19"/>
        <v>-1.6409756097560977</v>
      </c>
      <c r="T189" s="6">
        <f t="shared" si="22"/>
        <v>116.78548780487804</v>
      </c>
      <c r="U189" s="12" t="s">
        <v>37</v>
      </c>
      <c r="V189">
        <v>1141.5999999999999</v>
      </c>
      <c r="X189">
        <v>99757.3</v>
      </c>
      <c r="Y189">
        <f t="shared" si="25"/>
        <v>6380.7000000000007</v>
      </c>
      <c r="AA189">
        <v>11.3555051515375</v>
      </c>
      <c r="AB189" s="62" t="s">
        <v>55</v>
      </c>
    </row>
    <row r="190" spans="1:30" x14ac:dyDescent="0.25">
      <c r="A190" s="50"/>
      <c r="B190" s="3"/>
      <c r="C190" s="4">
        <v>42071</v>
      </c>
      <c r="D190">
        <v>6.4</v>
      </c>
      <c r="E190">
        <v>-0.6</v>
      </c>
      <c r="F190">
        <v>13.1</v>
      </c>
      <c r="G190" s="13">
        <v>1450.3000000000002</v>
      </c>
      <c r="H190">
        <f t="shared" si="27"/>
        <v>44.1</v>
      </c>
      <c r="I190">
        <v>6</v>
      </c>
      <c r="J190" s="58">
        <v>0</v>
      </c>
      <c r="K190">
        <f t="shared" si="20"/>
        <v>478.3</v>
      </c>
      <c r="L190">
        <v>2.1</v>
      </c>
      <c r="M190">
        <f t="shared" si="21"/>
        <v>177.30000000000004</v>
      </c>
      <c r="N190">
        <v>-2.1</v>
      </c>
      <c r="O190">
        <f t="shared" si="28"/>
        <v>114.80000000000001</v>
      </c>
      <c r="P190">
        <v>185</v>
      </c>
      <c r="Q190">
        <f t="shared" si="26"/>
        <v>1.0292682926829269</v>
      </c>
      <c r="R190" s="6">
        <f t="shared" si="18"/>
        <v>2.1614634146341465</v>
      </c>
      <c r="S190" s="6">
        <f t="shared" si="19"/>
        <v>-2.1614634146341465</v>
      </c>
      <c r="T190" s="6">
        <f t="shared" si="22"/>
        <v>114.6240243902439</v>
      </c>
      <c r="U190" s="6">
        <f>MIN(T183:T223)</f>
        <v>83.58268292682925</v>
      </c>
      <c r="V190">
        <v>1423.2</v>
      </c>
      <c r="X190" s="13">
        <v>101180.5</v>
      </c>
      <c r="Y190">
        <f t="shared" si="25"/>
        <v>7803.9000000000005</v>
      </c>
      <c r="Z190" s="13"/>
      <c r="AA190">
        <v>11.412096352512201</v>
      </c>
      <c r="AB190">
        <v>8</v>
      </c>
    </row>
    <row r="191" spans="1:30" ht="15" customHeight="1" x14ac:dyDescent="0.25">
      <c r="A191" s="50"/>
      <c r="B191" s="3"/>
      <c r="C191" s="4">
        <v>42072</v>
      </c>
      <c r="D191">
        <v>8.5</v>
      </c>
      <c r="E191">
        <v>2.4</v>
      </c>
      <c r="F191">
        <v>14.4</v>
      </c>
      <c r="G191">
        <v>1458.8000000000002</v>
      </c>
      <c r="H191">
        <f t="shared" si="27"/>
        <v>52.6</v>
      </c>
      <c r="I191" s="12" t="s">
        <v>38</v>
      </c>
      <c r="J191" s="58">
        <v>0</v>
      </c>
      <c r="K191">
        <f t="shared" si="20"/>
        <v>478.3</v>
      </c>
      <c r="L191">
        <v>2.2000000000000002</v>
      </c>
      <c r="M191">
        <f t="shared" si="21"/>
        <v>179.50000000000003</v>
      </c>
      <c r="N191">
        <v>-2.2000000000000002</v>
      </c>
      <c r="O191">
        <f t="shared" si="28"/>
        <v>112.60000000000001</v>
      </c>
      <c r="P191">
        <v>186</v>
      </c>
      <c r="Q191">
        <f t="shared" si="26"/>
        <v>1.0329268292682927</v>
      </c>
      <c r="R191" s="6">
        <f t="shared" si="18"/>
        <v>2.2724390243902444</v>
      </c>
      <c r="S191" s="6">
        <f t="shared" si="19"/>
        <v>-2.2724390243902444</v>
      </c>
      <c r="T191" s="6">
        <f t="shared" si="22"/>
        <v>112.35158536585367</v>
      </c>
      <c r="U191" s="12" t="s">
        <v>39</v>
      </c>
      <c r="V191">
        <v>1391.2</v>
      </c>
      <c r="X191">
        <v>102571.7</v>
      </c>
      <c r="Y191">
        <f t="shared" si="25"/>
        <v>9195.1</v>
      </c>
      <c r="AA191">
        <v>11.4687596574135</v>
      </c>
      <c r="AB191" s="62" t="s">
        <v>56</v>
      </c>
    </row>
    <row r="192" spans="1:30" x14ac:dyDescent="0.25">
      <c r="A192" s="50"/>
      <c r="B192" s="3"/>
      <c r="C192" s="4">
        <v>42073</v>
      </c>
      <c r="D192">
        <v>8.4</v>
      </c>
      <c r="E192">
        <v>0.6</v>
      </c>
      <c r="F192">
        <v>12.8</v>
      </c>
      <c r="G192">
        <v>1467.2000000000003</v>
      </c>
      <c r="H192">
        <f t="shared" si="27"/>
        <v>61</v>
      </c>
      <c r="I192">
        <v>0</v>
      </c>
      <c r="J192" s="58">
        <v>0</v>
      </c>
      <c r="K192">
        <f t="shared" si="20"/>
        <v>478.3</v>
      </c>
      <c r="L192">
        <v>0.6</v>
      </c>
      <c r="M192">
        <f t="shared" si="21"/>
        <v>180.10000000000002</v>
      </c>
      <c r="N192">
        <v>-0.6</v>
      </c>
      <c r="O192">
        <f t="shared" si="28"/>
        <v>112.00000000000001</v>
      </c>
      <c r="P192">
        <v>187</v>
      </c>
      <c r="Q192">
        <f t="shared" si="26"/>
        <v>1.0365853658536586</v>
      </c>
      <c r="R192" s="6">
        <f t="shared" si="18"/>
        <v>0.62195121951219512</v>
      </c>
      <c r="S192" s="6">
        <f t="shared" si="19"/>
        <v>-0.62195121951219512</v>
      </c>
      <c r="T192" s="60">
        <f t="shared" si="22"/>
        <v>111.72963414634147</v>
      </c>
      <c r="U192" s="6">
        <v>122.1</v>
      </c>
      <c r="V192">
        <v>627.1</v>
      </c>
      <c r="X192">
        <v>103198.8</v>
      </c>
      <c r="Y192">
        <f t="shared" si="25"/>
        <v>9822.2000000000007</v>
      </c>
      <c r="AA192">
        <v>11.525487421893899</v>
      </c>
      <c r="AB192">
        <v>0</v>
      </c>
    </row>
    <row r="193" spans="1:28" x14ac:dyDescent="0.25">
      <c r="A193" s="50"/>
      <c r="B193" s="3"/>
      <c r="C193" s="4">
        <v>42074</v>
      </c>
      <c r="D193">
        <v>9.3000000000000007</v>
      </c>
      <c r="E193">
        <v>8</v>
      </c>
      <c r="F193">
        <v>12.6</v>
      </c>
      <c r="G193">
        <v>1476.5000000000002</v>
      </c>
      <c r="H193">
        <f t="shared" si="27"/>
        <v>70.3</v>
      </c>
      <c r="I193" s="12" t="s">
        <v>40</v>
      </c>
      <c r="J193" s="58">
        <v>0</v>
      </c>
      <c r="K193">
        <f t="shared" si="20"/>
        <v>478.3</v>
      </c>
      <c r="L193">
        <v>1.7</v>
      </c>
      <c r="M193">
        <f t="shared" si="21"/>
        <v>181.8</v>
      </c>
      <c r="N193">
        <v>-1.7</v>
      </c>
      <c r="O193">
        <f t="shared" si="28"/>
        <v>110.30000000000001</v>
      </c>
      <c r="P193">
        <v>188</v>
      </c>
      <c r="Q193">
        <f t="shared" si="26"/>
        <v>1.0402439024390244</v>
      </c>
      <c r="R193" s="6">
        <f t="shared" si="18"/>
        <v>1.7684146341463414</v>
      </c>
      <c r="S193" s="6">
        <f t="shared" si="19"/>
        <v>-1.7684146341463414</v>
      </c>
      <c r="T193" s="60">
        <f t="shared" si="22"/>
        <v>109.96121951219513</v>
      </c>
      <c r="U193" s="12" t="s">
        <v>41</v>
      </c>
      <c r="V193">
        <v>1132.5</v>
      </c>
      <c r="X193">
        <v>104331.3</v>
      </c>
      <c r="Y193">
        <f t="shared" si="25"/>
        <v>10954.7</v>
      </c>
      <c r="AA193">
        <v>11.5822722382692</v>
      </c>
      <c r="AB193" s="62" t="s">
        <v>57</v>
      </c>
    </row>
    <row r="194" spans="1:28" x14ac:dyDescent="0.25">
      <c r="A194" s="50"/>
      <c r="B194" s="3"/>
      <c r="C194" s="4">
        <v>42075</v>
      </c>
      <c r="D194">
        <v>7</v>
      </c>
      <c r="E194">
        <v>1.7</v>
      </c>
      <c r="F194">
        <v>12.9</v>
      </c>
      <c r="G194">
        <v>1483.5000000000002</v>
      </c>
      <c r="H194">
        <f t="shared" si="27"/>
        <v>77.3</v>
      </c>
      <c r="I194">
        <v>23</v>
      </c>
      <c r="J194" s="58">
        <v>0</v>
      </c>
      <c r="K194">
        <f t="shared" si="20"/>
        <v>478.3</v>
      </c>
      <c r="L194">
        <v>3.2</v>
      </c>
      <c r="M194">
        <f t="shared" si="21"/>
        <v>185</v>
      </c>
      <c r="N194">
        <v>-3.2</v>
      </c>
      <c r="O194">
        <f t="shared" si="28"/>
        <v>107.10000000000001</v>
      </c>
      <c r="P194">
        <v>189</v>
      </c>
      <c r="Q194">
        <f t="shared" si="26"/>
        <v>1.0439024390243903</v>
      </c>
      <c r="R194" s="6">
        <f t="shared" si="18"/>
        <v>3.3404878048780491</v>
      </c>
      <c r="S194" s="6">
        <f t="shared" si="19"/>
        <v>-3.3404878048780491</v>
      </c>
      <c r="T194" s="60">
        <f t="shared" si="22"/>
        <v>106.62073170731708</v>
      </c>
      <c r="U194" s="7">
        <f>AVERAGE(T183:T223)</f>
        <v>102.85889351576439</v>
      </c>
      <c r="V194">
        <v>1833.1</v>
      </c>
      <c r="X194">
        <v>106164.40000000001</v>
      </c>
      <c r="Y194">
        <f t="shared" si="25"/>
        <v>12787.800000000001</v>
      </c>
      <c r="AA194">
        <v>11.6391069176819</v>
      </c>
      <c r="AB194">
        <f>SUM(J196:J205)</f>
        <v>3.2</v>
      </c>
    </row>
    <row r="195" spans="1:28" s="55" customFormat="1" x14ac:dyDescent="0.25">
      <c r="A195" s="50"/>
      <c r="B195" s="53" t="s">
        <v>52</v>
      </c>
      <c r="C195" s="54">
        <v>42076</v>
      </c>
      <c r="D195" s="55">
        <v>4.8</v>
      </c>
      <c r="E195" s="55">
        <v>-1.3</v>
      </c>
      <c r="F195" s="55">
        <v>9.5</v>
      </c>
      <c r="G195" s="55">
        <v>1488.3000000000002</v>
      </c>
      <c r="H195" s="55">
        <f t="shared" si="27"/>
        <v>82.1</v>
      </c>
      <c r="I195" s="57" t="s">
        <v>42</v>
      </c>
      <c r="J195" s="55">
        <v>0</v>
      </c>
      <c r="K195" s="55">
        <f t="shared" si="20"/>
        <v>478.3</v>
      </c>
      <c r="L195" s="55">
        <v>0.8</v>
      </c>
      <c r="M195" s="55">
        <f t="shared" si="21"/>
        <v>185.8</v>
      </c>
      <c r="N195" s="55">
        <v>-0.8</v>
      </c>
      <c r="O195" s="55">
        <f t="shared" si="28"/>
        <v>106.30000000000001</v>
      </c>
      <c r="P195" s="55">
        <v>190</v>
      </c>
      <c r="Q195" s="55">
        <f t="shared" si="26"/>
        <v>1.0475609756097561</v>
      </c>
      <c r="R195" s="56">
        <f t="shared" si="18"/>
        <v>0.83804878048780496</v>
      </c>
      <c r="S195" s="56">
        <f t="shared" si="19"/>
        <v>-0.83804878048780496</v>
      </c>
      <c r="T195" s="56">
        <f t="shared" si="22"/>
        <v>105.78268292682927</v>
      </c>
      <c r="U195" s="55">
        <f>(U194*100)/122.1</f>
        <v>84.241518030929072</v>
      </c>
      <c r="V195" s="55">
        <v>664.1</v>
      </c>
      <c r="X195" s="55">
        <v>106828.50000000001</v>
      </c>
      <c r="Y195" s="55">
        <f t="shared" si="25"/>
        <v>13451.900000000001</v>
      </c>
      <c r="AA195" s="55">
        <v>11.695984472328201</v>
      </c>
    </row>
    <row r="196" spans="1:28" x14ac:dyDescent="0.25">
      <c r="A196" s="50"/>
      <c r="B196" s="3"/>
      <c r="C196" s="4">
        <v>42077</v>
      </c>
      <c r="D196">
        <v>5.4</v>
      </c>
      <c r="E196">
        <v>-0.6</v>
      </c>
      <c r="F196">
        <v>10.8</v>
      </c>
      <c r="G196">
        <v>1493.7000000000003</v>
      </c>
      <c r="H196">
        <f t="shared" si="27"/>
        <v>87.5</v>
      </c>
      <c r="I196">
        <v>309.10000000000002</v>
      </c>
      <c r="J196" s="58">
        <v>0</v>
      </c>
      <c r="K196">
        <f t="shared" si="20"/>
        <v>478.3</v>
      </c>
      <c r="L196">
        <v>1.9</v>
      </c>
      <c r="M196">
        <f t="shared" si="21"/>
        <v>187.70000000000002</v>
      </c>
      <c r="N196">
        <v>-1.9</v>
      </c>
      <c r="O196">
        <f t="shared" si="28"/>
        <v>104.4</v>
      </c>
      <c r="P196">
        <v>191</v>
      </c>
      <c r="Q196">
        <f t="shared" si="26"/>
        <v>1.051219512195122</v>
      </c>
      <c r="R196" s="6">
        <f t="shared" si="18"/>
        <v>1.9973170731707317</v>
      </c>
      <c r="S196" s="6">
        <f t="shared" si="19"/>
        <v>-1.9973170731707317</v>
      </c>
      <c r="T196" s="60">
        <f t="shared" si="22"/>
        <v>103.78536585365853</v>
      </c>
      <c r="V196">
        <v>1504.5</v>
      </c>
      <c r="X196">
        <v>108333.00000000001</v>
      </c>
      <c r="Y196">
        <f t="shared" si="25"/>
        <v>14956.400000000001</v>
      </c>
      <c r="AA196">
        <v>11.7528980977609</v>
      </c>
    </row>
    <row r="197" spans="1:28" x14ac:dyDescent="0.25">
      <c r="A197" s="50"/>
      <c r="B197" s="3"/>
      <c r="C197" s="4">
        <v>42078</v>
      </c>
      <c r="D197">
        <v>6</v>
      </c>
      <c r="E197">
        <v>0.5</v>
      </c>
      <c r="F197">
        <v>9.9</v>
      </c>
      <c r="G197">
        <v>1499.7000000000003</v>
      </c>
      <c r="H197">
        <f t="shared" si="27"/>
        <v>93.5</v>
      </c>
      <c r="J197" s="58">
        <v>0</v>
      </c>
      <c r="K197">
        <f t="shared" si="20"/>
        <v>478.3</v>
      </c>
      <c r="L197">
        <v>1.9</v>
      </c>
      <c r="M197">
        <f t="shared" si="21"/>
        <v>189.60000000000002</v>
      </c>
      <c r="N197">
        <v>-1.9</v>
      </c>
      <c r="O197">
        <f t="shared" si="28"/>
        <v>102.5</v>
      </c>
      <c r="P197">
        <v>192</v>
      </c>
      <c r="Q197">
        <f t="shared" si="26"/>
        <v>1.0548780487804879</v>
      </c>
      <c r="R197" s="6">
        <f t="shared" si="18"/>
        <v>2.0042682926829269</v>
      </c>
      <c r="S197" s="6">
        <f t="shared" si="19"/>
        <v>-2.0042682926829269</v>
      </c>
      <c r="T197" s="60">
        <f t="shared" si="22"/>
        <v>101.78109756097561</v>
      </c>
      <c r="V197">
        <v>1567.9</v>
      </c>
      <c r="X197">
        <v>109900.90000000001</v>
      </c>
      <c r="Y197">
        <f t="shared" si="25"/>
        <v>16524.300000000003</v>
      </c>
      <c r="AA197">
        <v>11.809841155273601</v>
      </c>
    </row>
    <row r="198" spans="1:28" x14ac:dyDescent="0.25">
      <c r="A198" s="50"/>
      <c r="B198" s="3"/>
      <c r="C198" s="4">
        <v>42079</v>
      </c>
      <c r="D198">
        <v>7.1</v>
      </c>
      <c r="E198">
        <v>2.2999999999999998</v>
      </c>
      <c r="F198">
        <v>12.1</v>
      </c>
      <c r="G198">
        <v>1506.8000000000002</v>
      </c>
      <c r="H198">
        <f t="shared" si="27"/>
        <v>100.6</v>
      </c>
      <c r="J198" s="58">
        <v>0</v>
      </c>
      <c r="K198">
        <f t="shared" si="20"/>
        <v>478.3</v>
      </c>
      <c r="L198">
        <v>1.6</v>
      </c>
      <c r="M198">
        <f t="shared" si="21"/>
        <v>191.20000000000002</v>
      </c>
      <c r="N198">
        <v>-1.6</v>
      </c>
      <c r="O198">
        <f t="shared" si="28"/>
        <v>100.9</v>
      </c>
      <c r="P198">
        <v>193</v>
      </c>
      <c r="Q198">
        <f t="shared" si="26"/>
        <v>1.0585365853658537</v>
      </c>
      <c r="R198" s="6">
        <f t="shared" ref="R198:R261" si="29">Q198*L198</f>
        <v>1.693658536585366</v>
      </c>
      <c r="S198" s="6">
        <f t="shared" ref="S198:S261" si="30">J198-R198</f>
        <v>-1.693658536585366</v>
      </c>
      <c r="T198" s="60">
        <f t="shared" si="22"/>
        <v>100.08743902439025</v>
      </c>
      <c r="V198">
        <v>1364.2</v>
      </c>
      <c r="X198">
        <v>111265.1</v>
      </c>
      <c r="Y198">
        <f t="shared" si="25"/>
        <v>17888.500000000004</v>
      </c>
      <c r="AA198">
        <v>11.8668071543759</v>
      </c>
    </row>
    <row r="199" spans="1:28" x14ac:dyDescent="0.25">
      <c r="A199" s="50"/>
      <c r="B199" s="3"/>
      <c r="C199" s="4">
        <v>42080</v>
      </c>
      <c r="D199">
        <v>8.3000000000000007</v>
      </c>
      <c r="E199">
        <v>1.8</v>
      </c>
      <c r="F199">
        <v>15.6</v>
      </c>
      <c r="G199">
        <v>1515.1000000000001</v>
      </c>
      <c r="H199">
        <f t="shared" si="27"/>
        <v>108.89999999999999</v>
      </c>
      <c r="J199" s="58">
        <v>0</v>
      </c>
      <c r="K199">
        <f t="shared" si="20"/>
        <v>478.3</v>
      </c>
      <c r="L199">
        <v>1.2</v>
      </c>
      <c r="M199">
        <f t="shared" si="21"/>
        <v>192.4</v>
      </c>
      <c r="N199">
        <v>-1.2</v>
      </c>
      <c r="O199">
        <f t="shared" si="28"/>
        <v>99.7</v>
      </c>
      <c r="P199">
        <v>194</v>
      </c>
      <c r="Q199">
        <f t="shared" si="26"/>
        <v>1.0621951219512196</v>
      </c>
      <c r="R199" s="6">
        <f t="shared" si="29"/>
        <v>1.2746341463414634</v>
      </c>
      <c r="S199" s="6">
        <f t="shared" si="30"/>
        <v>-1.2746341463414634</v>
      </c>
      <c r="T199" s="60">
        <f t="shared" si="22"/>
        <v>98.81280487804878</v>
      </c>
      <c r="V199">
        <v>894.7</v>
      </c>
      <c r="X199">
        <v>112159.8</v>
      </c>
      <c r="Y199">
        <f t="shared" si="25"/>
        <v>18783.200000000004</v>
      </c>
      <c r="AA199">
        <v>11.923789735359501</v>
      </c>
    </row>
    <row r="200" spans="1:28" x14ac:dyDescent="0.25">
      <c r="A200" s="50"/>
      <c r="B200" s="3"/>
      <c r="C200" s="4">
        <v>42081</v>
      </c>
      <c r="D200">
        <v>10.4</v>
      </c>
      <c r="E200">
        <v>1.6</v>
      </c>
      <c r="F200">
        <v>17.7</v>
      </c>
      <c r="G200">
        <v>1525.5000000000002</v>
      </c>
      <c r="H200">
        <f t="shared" si="27"/>
        <v>119.3</v>
      </c>
      <c r="J200" s="58">
        <v>0</v>
      </c>
      <c r="K200">
        <f t="shared" ref="K200:K263" si="31">K199+J200</f>
        <v>478.3</v>
      </c>
      <c r="L200">
        <v>2.6</v>
      </c>
      <c r="M200">
        <f t="shared" ref="M200:M263" si="32">M199+L200</f>
        <v>195</v>
      </c>
      <c r="N200">
        <v>-2.6</v>
      </c>
      <c r="O200">
        <f t="shared" si="28"/>
        <v>97.100000000000009</v>
      </c>
      <c r="P200">
        <v>195</v>
      </c>
      <c r="Q200">
        <f t="shared" si="26"/>
        <v>1.0658536585365854</v>
      </c>
      <c r="R200" s="6">
        <f t="shared" si="29"/>
        <v>2.7712195121951222</v>
      </c>
      <c r="S200" s="6">
        <f t="shared" si="30"/>
        <v>-2.7712195121951222</v>
      </c>
      <c r="T200" s="60">
        <f t="shared" ref="T200:T263" si="33">MIN(122.1,(T199+S200))</f>
        <v>96.041585365853663</v>
      </c>
      <c r="V200">
        <v>1654.3</v>
      </c>
      <c r="X200">
        <v>113814.1</v>
      </c>
      <c r="Y200">
        <f t="shared" si="25"/>
        <v>20437.500000000004</v>
      </c>
      <c r="AA200">
        <v>11.980782651963001</v>
      </c>
    </row>
    <row r="201" spans="1:28" x14ac:dyDescent="0.25">
      <c r="A201" s="50"/>
      <c r="B201" s="3"/>
      <c r="C201" s="4">
        <v>42082</v>
      </c>
      <c r="D201">
        <v>9.1999999999999993</v>
      </c>
      <c r="E201">
        <v>6.5</v>
      </c>
      <c r="F201">
        <v>13.6</v>
      </c>
      <c r="G201">
        <v>1534.7000000000003</v>
      </c>
      <c r="H201">
        <f t="shared" si="27"/>
        <v>128.5</v>
      </c>
      <c r="J201" s="58">
        <v>0</v>
      </c>
      <c r="K201">
        <f t="shared" si="31"/>
        <v>478.3</v>
      </c>
      <c r="L201">
        <v>2.7</v>
      </c>
      <c r="M201">
        <f t="shared" si="32"/>
        <v>197.7</v>
      </c>
      <c r="N201">
        <v>-2.7</v>
      </c>
      <c r="O201">
        <f t="shared" si="28"/>
        <v>94.4</v>
      </c>
      <c r="P201">
        <v>196</v>
      </c>
      <c r="Q201">
        <f t="shared" si="26"/>
        <v>1.0695121951219513</v>
      </c>
      <c r="R201" s="6">
        <f t="shared" si="29"/>
        <v>2.8876829268292687</v>
      </c>
      <c r="S201" s="6">
        <f t="shared" si="30"/>
        <v>-2.8876829268292687</v>
      </c>
      <c r="T201" s="60">
        <f t="shared" si="33"/>
        <v>93.153902439024392</v>
      </c>
      <c r="V201">
        <v>1266.3</v>
      </c>
      <c r="X201">
        <v>115080.40000000001</v>
      </c>
      <c r="Y201">
        <f t="shared" si="25"/>
        <v>21703.800000000003</v>
      </c>
      <c r="AA201">
        <v>12.037779754133</v>
      </c>
    </row>
    <row r="202" spans="1:28" x14ac:dyDescent="0.25">
      <c r="A202" s="50"/>
      <c r="B202" s="3"/>
      <c r="C202" s="4">
        <v>42083</v>
      </c>
      <c r="D202">
        <v>9.5</v>
      </c>
      <c r="E202">
        <v>5.2</v>
      </c>
      <c r="F202">
        <v>13.1</v>
      </c>
      <c r="G202">
        <v>1544.2000000000003</v>
      </c>
      <c r="H202">
        <f t="shared" si="27"/>
        <v>138</v>
      </c>
      <c r="J202" s="58">
        <v>0</v>
      </c>
      <c r="K202">
        <f t="shared" si="31"/>
        <v>478.3</v>
      </c>
      <c r="L202">
        <v>1.7</v>
      </c>
      <c r="M202">
        <f t="shared" si="32"/>
        <v>199.39999999999998</v>
      </c>
      <c r="N202">
        <v>-1.7</v>
      </c>
      <c r="O202">
        <f t="shared" si="28"/>
        <v>92.7</v>
      </c>
      <c r="P202">
        <v>197</v>
      </c>
      <c r="Q202">
        <f t="shared" si="26"/>
        <v>1.0731707317073171</v>
      </c>
      <c r="R202" s="6">
        <f t="shared" si="29"/>
        <v>1.8243902439024391</v>
      </c>
      <c r="S202" s="6">
        <f t="shared" si="30"/>
        <v>-1.8243902439024391</v>
      </c>
      <c r="T202" s="60">
        <f t="shared" si="33"/>
        <v>91.32951219512195</v>
      </c>
      <c r="V202">
        <v>1273.2</v>
      </c>
      <c r="X202">
        <v>116353.60000000001</v>
      </c>
      <c r="Y202">
        <f t="shared" si="25"/>
        <v>22977.000000000004</v>
      </c>
      <c r="AA202">
        <v>12.094774970885499</v>
      </c>
    </row>
    <row r="203" spans="1:28" x14ac:dyDescent="0.25">
      <c r="A203" s="50"/>
      <c r="B203" s="3"/>
      <c r="C203" s="4">
        <v>42084</v>
      </c>
      <c r="D203">
        <v>7.1</v>
      </c>
      <c r="E203">
        <v>6.5</v>
      </c>
      <c r="F203">
        <v>9</v>
      </c>
      <c r="G203">
        <v>1551.3000000000002</v>
      </c>
      <c r="H203">
        <f t="shared" si="27"/>
        <v>145.1</v>
      </c>
      <c r="J203" s="58">
        <v>3.1</v>
      </c>
      <c r="K203">
        <f t="shared" si="31"/>
        <v>481.40000000000003</v>
      </c>
      <c r="L203">
        <v>0.7</v>
      </c>
      <c r="M203">
        <f t="shared" si="32"/>
        <v>200.09999999999997</v>
      </c>
      <c r="N203">
        <v>2.4000000000000004</v>
      </c>
      <c r="O203">
        <f t="shared" si="28"/>
        <v>95.100000000000009</v>
      </c>
      <c r="P203">
        <v>198</v>
      </c>
      <c r="Q203">
        <f t="shared" si="26"/>
        <v>1.0768292682926828</v>
      </c>
      <c r="R203" s="6">
        <f t="shared" si="29"/>
        <v>0.75378048780487794</v>
      </c>
      <c r="S203" s="6">
        <f t="shared" si="30"/>
        <v>2.3462195121951224</v>
      </c>
      <c r="T203" s="60">
        <f t="shared" si="33"/>
        <v>93.67573170731707</v>
      </c>
      <c r="V203">
        <v>364.5</v>
      </c>
      <c r="X203">
        <v>116718.1</v>
      </c>
      <c r="Y203">
        <f t="shared" si="25"/>
        <v>23341.500000000004</v>
      </c>
      <c r="AA203">
        <v>12.151762293265101</v>
      </c>
    </row>
    <row r="204" spans="1:28" x14ac:dyDescent="0.25">
      <c r="A204" s="50"/>
      <c r="B204" s="3"/>
      <c r="C204" s="4">
        <v>42085</v>
      </c>
      <c r="D204">
        <v>5.7</v>
      </c>
      <c r="E204">
        <v>2.2000000000000002</v>
      </c>
      <c r="F204">
        <v>8.9</v>
      </c>
      <c r="G204">
        <v>1557.0000000000002</v>
      </c>
      <c r="H204">
        <f t="shared" si="27"/>
        <v>150.79999999999998</v>
      </c>
      <c r="J204" s="58">
        <v>0</v>
      </c>
      <c r="K204">
        <f t="shared" si="31"/>
        <v>481.40000000000003</v>
      </c>
      <c r="L204">
        <v>1.8</v>
      </c>
      <c r="M204">
        <f t="shared" si="32"/>
        <v>201.89999999999998</v>
      </c>
      <c r="N204">
        <v>-1.8</v>
      </c>
      <c r="O204">
        <f t="shared" si="28"/>
        <v>93.300000000000011</v>
      </c>
      <c r="P204">
        <v>199</v>
      </c>
      <c r="Q204">
        <f t="shared" si="26"/>
        <v>1.0804878048780489</v>
      </c>
      <c r="R204" s="6">
        <f t="shared" si="29"/>
        <v>1.944878048780488</v>
      </c>
      <c r="S204" s="6">
        <f t="shared" si="30"/>
        <v>-1.944878048780488</v>
      </c>
      <c r="T204" s="60">
        <f t="shared" si="33"/>
        <v>91.730853658536589</v>
      </c>
      <c r="U204" s="6"/>
      <c r="V204">
        <v>1157.8</v>
      </c>
      <c r="X204">
        <v>117875.90000000001</v>
      </c>
      <c r="Y204">
        <f t="shared" si="25"/>
        <v>24499.300000000003</v>
      </c>
      <c r="AA204">
        <v>12.208735757402501</v>
      </c>
    </row>
    <row r="205" spans="1:28" x14ac:dyDescent="0.25">
      <c r="A205" s="50"/>
      <c r="B205" s="3"/>
      <c r="C205" s="4">
        <v>42086</v>
      </c>
      <c r="D205">
        <v>6.6</v>
      </c>
      <c r="E205">
        <v>-0.9</v>
      </c>
      <c r="F205">
        <v>13.2</v>
      </c>
      <c r="G205">
        <v>1563.6000000000001</v>
      </c>
      <c r="H205">
        <f t="shared" si="27"/>
        <v>157.39999999999998</v>
      </c>
      <c r="J205" s="58">
        <v>0.1</v>
      </c>
      <c r="K205">
        <f t="shared" si="31"/>
        <v>481.50000000000006</v>
      </c>
      <c r="L205">
        <v>2.2000000000000002</v>
      </c>
      <c r="M205">
        <f t="shared" si="32"/>
        <v>204.09999999999997</v>
      </c>
      <c r="N205">
        <v>-2.1</v>
      </c>
      <c r="O205">
        <f t="shared" si="28"/>
        <v>91.200000000000017</v>
      </c>
      <c r="P205">
        <v>200</v>
      </c>
      <c r="Q205">
        <f t="shared" si="26"/>
        <v>1.0841463414634145</v>
      </c>
      <c r="R205" s="6">
        <f t="shared" si="29"/>
        <v>2.3851219512195119</v>
      </c>
      <c r="S205" s="6">
        <f t="shared" si="30"/>
        <v>-2.2851219512195118</v>
      </c>
      <c r="T205" s="60">
        <f t="shared" si="33"/>
        <v>89.44573170731708</v>
      </c>
      <c r="V205">
        <v>1782</v>
      </c>
      <c r="X205">
        <v>119657.90000000001</v>
      </c>
      <c r="Y205">
        <f t="shared" si="25"/>
        <v>26281.300000000003</v>
      </c>
      <c r="AA205">
        <v>12.265689427668301</v>
      </c>
    </row>
    <row r="206" spans="1:28" x14ac:dyDescent="0.25">
      <c r="A206" s="50"/>
      <c r="B206" s="3"/>
      <c r="C206" s="4">
        <v>42087</v>
      </c>
      <c r="D206">
        <v>8</v>
      </c>
      <c r="E206">
        <v>1</v>
      </c>
      <c r="F206">
        <v>12.6</v>
      </c>
      <c r="G206">
        <v>1571.6000000000001</v>
      </c>
      <c r="H206">
        <f t="shared" si="27"/>
        <v>165.39999999999998</v>
      </c>
      <c r="J206">
        <v>6.2</v>
      </c>
      <c r="K206">
        <f t="shared" si="31"/>
        <v>487.70000000000005</v>
      </c>
      <c r="L206">
        <v>0.4</v>
      </c>
      <c r="M206">
        <f t="shared" si="32"/>
        <v>204.49999999999997</v>
      </c>
      <c r="N206">
        <v>5.8</v>
      </c>
      <c r="O206">
        <f t="shared" si="28"/>
        <v>97.000000000000014</v>
      </c>
      <c r="P206">
        <v>201</v>
      </c>
      <c r="Q206">
        <f t="shared" si="26"/>
        <v>1.0878048780487803</v>
      </c>
      <c r="R206" s="6">
        <f t="shared" si="29"/>
        <v>0.43512195121951214</v>
      </c>
      <c r="S206" s="6">
        <f t="shared" si="30"/>
        <v>5.7648780487804885</v>
      </c>
      <c r="T206" s="6">
        <f t="shared" si="33"/>
        <v>95.210609756097568</v>
      </c>
      <c r="V206">
        <v>421.2</v>
      </c>
      <c r="X206">
        <v>120079.1</v>
      </c>
      <c r="Y206">
        <f t="shared" si="25"/>
        <v>26702.500000000004</v>
      </c>
      <c r="AA206">
        <v>12.3226173799212</v>
      </c>
    </row>
    <row r="207" spans="1:28" x14ac:dyDescent="0.25">
      <c r="A207" s="50"/>
      <c r="B207" s="3"/>
      <c r="C207" s="4">
        <v>42088</v>
      </c>
      <c r="D207">
        <v>5.4</v>
      </c>
      <c r="E207">
        <v>3.8</v>
      </c>
      <c r="F207">
        <v>5.8</v>
      </c>
      <c r="G207">
        <v>1577.0000000000002</v>
      </c>
      <c r="H207">
        <f t="shared" si="27"/>
        <v>170.79999999999998</v>
      </c>
      <c r="J207">
        <v>0.6</v>
      </c>
      <c r="K207">
        <f t="shared" si="31"/>
        <v>488.30000000000007</v>
      </c>
      <c r="L207">
        <v>0.4</v>
      </c>
      <c r="M207">
        <f t="shared" si="32"/>
        <v>204.89999999999998</v>
      </c>
      <c r="N207">
        <v>0.19999999999999996</v>
      </c>
      <c r="O207">
        <f t="shared" si="28"/>
        <v>97.200000000000017</v>
      </c>
      <c r="P207">
        <v>202</v>
      </c>
      <c r="Q207">
        <f t="shared" si="26"/>
        <v>1.0914634146341462</v>
      </c>
      <c r="R207" s="6">
        <f t="shared" si="29"/>
        <v>0.43658536585365848</v>
      </c>
      <c r="S207" s="6">
        <f t="shared" si="30"/>
        <v>0.1634146341463415</v>
      </c>
      <c r="T207" s="6">
        <f t="shared" si="33"/>
        <v>95.374024390243903</v>
      </c>
      <c r="V207">
        <v>332.3</v>
      </c>
      <c r="X207">
        <v>120411.40000000001</v>
      </c>
      <c r="Y207">
        <f t="shared" si="25"/>
        <v>27034.800000000003</v>
      </c>
      <c r="AA207">
        <v>12.379513684848799</v>
      </c>
    </row>
    <row r="208" spans="1:28" x14ac:dyDescent="0.25">
      <c r="A208" s="50"/>
      <c r="B208" s="3"/>
      <c r="C208" s="4">
        <v>42089</v>
      </c>
      <c r="D208">
        <v>6.9</v>
      </c>
      <c r="E208">
        <v>4.5999999999999996</v>
      </c>
      <c r="F208">
        <v>10.4</v>
      </c>
      <c r="G208">
        <v>1583.9000000000003</v>
      </c>
      <c r="H208">
        <f t="shared" si="27"/>
        <v>177.7</v>
      </c>
      <c r="J208">
        <v>0.1</v>
      </c>
      <c r="K208">
        <f t="shared" si="31"/>
        <v>488.40000000000009</v>
      </c>
      <c r="L208">
        <v>2</v>
      </c>
      <c r="M208">
        <f t="shared" si="32"/>
        <v>206.89999999999998</v>
      </c>
      <c r="N208">
        <v>-1.9</v>
      </c>
      <c r="O208">
        <f t="shared" si="28"/>
        <v>95.300000000000011</v>
      </c>
      <c r="P208">
        <v>203</v>
      </c>
      <c r="Q208">
        <f t="shared" si="26"/>
        <v>1.0951219512195121</v>
      </c>
      <c r="R208" s="6">
        <f t="shared" si="29"/>
        <v>2.1902439024390241</v>
      </c>
      <c r="S208" s="6">
        <f t="shared" si="30"/>
        <v>-2.090243902439024</v>
      </c>
      <c r="T208" s="6">
        <f t="shared" si="33"/>
        <v>93.283780487804876</v>
      </c>
      <c r="V208">
        <v>1421.7</v>
      </c>
      <c r="X208">
        <v>121833.1</v>
      </c>
      <c r="Y208">
        <f t="shared" si="25"/>
        <v>28456.500000000004</v>
      </c>
      <c r="AA208">
        <v>12.4363723913994</v>
      </c>
    </row>
    <row r="209" spans="1:27" x14ac:dyDescent="0.25">
      <c r="A209" s="50"/>
      <c r="B209" s="3"/>
      <c r="C209" s="4">
        <v>42090</v>
      </c>
      <c r="D209">
        <v>7.4</v>
      </c>
      <c r="E209">
        <v>4.9000000000000004</v>
      </c>
      <c r="F209">
        <v>11.9</v>
      </c>
      <c r="G209">
        <v>1591.3000000000004</v>
      </c>
      <c r="H209">
        <f t="shared" si="27"/>
        <v>185.1</v>
      </c>
      <c r="J209">
        <v>0</v>
      </c>
      <c r="K209">
        <f t="shared" si="31"/>
        <v>488.40000000000009</v>
      </c>
      <c r="L209">
        <v>2.1</v>
      </c>
      <c r="M209">
        <f t="shared" si="32"/>
        <v>208.99999999999997</v>
      </c>
      <c r="N209">
        <v>-2.1</v>
      </c>
      <c r="O209">
        <f t="shared" si="28"/>
        <v>93.200000000000017</v>
      </c>
      <c r="P209">
        <v>204</v>
      </c>
      <c r="Q209">
        <f t="shared" si="26"/>
        <v>1.0987804878048779</v>
      </c>
      <c r="R209" s="6">
        <f t="shared" si="29"/>
        <v>2.3074390243902436</v>
      </c>
      <c r="S209" s="6">
        <f t="shared" si="30"/>
        <v>-2.3074390243902436</v>
      </c>
      <c r="T209" s="6">
        <f t="shared" si="33"/>
        <v>90.976341463414627</v>
      </c>
      <c r="V209">
        <v>1525.1</v>
      </c>
      <c r="X209">
        <v>123358.20000000001</v>
      </c>
      <c r="Y209">
        <f t="shared" si="25"/>
        <v>29981.600000000002</v>
      </c>
      <c r="AA209">
        <v>12.493187510301199</v>
      </c>
    </row>
    <row r="210" spans="1:27" x14ac:dyDescent="0.25">
      <c r="A210" s="50"/>
      <c r="B210" s="3"/>
      <c r="C210" s="4">
        <v>42091</v>
      </c>
      <c r="D210">
        <v>6.8</v>
      </c>
      <c r="E210">
        <v>0.8</v>
      </c>
      <c r="F210">
        <v>10.8</v>
      </c>
      <c r="G210">
        <v>1598.1000000000004</v>
      </c>
      <c r="H210">
        <f t="shared" si="27"/>
        <v>191.9</v>
      </c>
      <c r="J210">
        <v>1.2</v>
      </c>
      <c r="K210">
        <f t="shared" si="31"/>
        <v>489.60000000000008</v>
      </c>
      <c r="L210">
        <v>0.6</v>
      </c>
      <c r="M210">
        <f t="shared" si="32"/>
        <v>209.59999999999997</v>
      </c>
      <c r="N210">
        <v>0.6</v>
      </c>
      <c r="O210">
        <f t="shared" si="28"/>
        <v>93.800000000000011</v>
      </c>
      <c r="P210">
        <v>205</v>
      </c>
      <c r="Q210">
        <f t="shared" si="26"/>
        <v>1.1024390243902438</v>
      </c>
      <c r="R210" s="6">
        <f t="shared" si="29"/>
        <v>0.66146341463414626</v>
      </c>
      <c r="S210" s="6">
        <f t="shared" si="30"/>
        <v>0.53853658536585369</v>
      </c>
      <c r="T210" s="6">
        <f t="shared" si="33"/>
        <v>91.514878048780474</v>
      </c>
      <c r="V210">
        <v>488.5</v>
      </c>
      <c r="X210">
        <v>123846.70000000001</v>
      </c>
      <c r="Y210">
        <f t="shared" si="25"/>
        <v>30470.100000000002</v>
      </c>
      <c r="AA210">
        <v>12.549952997669299</v>
      </c>
    </row>
    <row r="211" spans="1:27" x14ac:dyDescent="0.25">
      <c r="A211" s="50"/>
      <c r="B211" s="3"/>
      <c r="C211" s="4">
        <v>42092</v>
      </c>
      <c r="D211">
        <v>10.3</v>
      </c>
      <c r="E211">
        <v>9.1</v>
      </c>
      <c r="F211">
        <v>11</v>
      </c>
      <c r="G211">
        <v>1608.4000000000003</v>
      </c>
      <c r="H211">
        <f t="shared" si="27"/>
        <v>202.20000000000002</v>
      </c>
      <c r="J211">
        <v>11.1</v>
      </c>
      <c r="K211">
        <f t="shared" si="31"/>
        <v>500.7000000000001</v>
      </c>
      <c r="L211">
        <v>0.9</v>
      </c>
      <c r="M211">
        <f t="shared" si="32"/>
        <v>210.49999999999997</v>
      </c>
      <c r="N211">
        <v>10.199999999999999</v>
      </c>
      <c r="O211">
        <f t="shared" si="28"/>
        <v>104.00000000000001</v>
      </c>
      <c r="P211">
        <v>206</v>
      </c>
      <c r="Q211">
        <f t="shared" si="26"/>
        <v>1.1060975609756096</v>
      </c>
      <c r="R211" s="6">
        <f t="shared" si="29"/>
        <v>0.99548780487804867</v>
      </c>
      <c r="S211" s="6">
        <f t="shared" si="30"/>
        <v>10.10451219512195</v>
      </c>
      <c r="T211" s="6">
        <f t="shared" si="33"/>
        <v>101.61939024390243</v>
      </c>
      <c r="V211">
        <v>369.1</v>
      </c>
      <c r="X211">
        <v>124215.80000000002</v>
      </c>
      <c r="Y211">
        <f t="shared" si="25"/>
        <v>30839.200000000001</v>
      </c>
      <c r="AA211">
        <v>12.6066627386971</v>
      </c>
    </row>
    <row r="212" spans="1:27" x14ac:dyDescent="0.25">
      <c r="A212" s="50"/>
      <c r="B212" s="3"/>
      <c r="C212" s="4">
        <v>42093</v>
      </c>
      <c r="D212">
        <v>11.7</v>
      </c>
      <c r="E212">
        <v>10.6</v>
      </c>
      <c r="F212">
        <v>12.8</v>
      </c>
      <c r="G212">
        <v>1620.1000000000004</v>
      </c>
      <c r="H212">
        <f t="shared" si="27"/>
        <v>213.9</v>
      </c>
      <c r="J212">
        <v>1.3</v>
      </c>
      <c r="K212">
        <f t="shared" si="31"/>
        <v>502.00000000000011</v>
      </c>
      <c r="L212">
        <v>1.2</v>
      </c>
      <c r="M212">
        <f t="shared" si="32"/>
        <v>211.69999999999996</v>
      </c>
      <c r="N212">
        <v>0.10000000000000009</v>
      </c>
      <c r="O212">
        <f t="shared" si="28"/>
        <v>104.10000000000001</v>
      </c>
      <c r="P212">
        <v>207</v>
      </c>
      <c r="Q212">
        <f t="shared" si="26"/>
        <v>1.1097560975609755</v>
      </c>
      <c r="R212" s="6">
        <f t="shared" si="29"/>
        <v>1.3317073170731706</v>
      </c>
      <c r="S212" s="6">
        <f t="shared" si="30"/>
        <v>-3.1707317073170538E-2</v>
      </c>
      <c r="T212" s="6">
        <f t="shared" si="33"/>
        <v>101.58768292682926</v>
      </c>
      <c r="V212">
        <v>382.6</v>
      </c>
      <c r="X212">
        <v>124598.40000000002</v>
      </c>
      <c r="Y212">
        <f t="shared" si="25"/>
        <v>31221.8</v>
      </c>
      <c r="AA212">
        <v>12.6633105314329</v>
      </c>
    </row>
    <row r="213" spans="1:27" x14ac:dyDescent="0.25">
      <c r="A213" s="50"/>
      <c r="B213" s="3"/>
      <c r="C213" s="4">
        <v>42094</v>
      </c>
      <c r="D213">
        <v>11.4</v>
      </c>
      <c r="E213">
        <v>11.3</v>
      </c>
      <c r="F213">
        <v>12.6</v>
      </c>
      <c r="G213" s="14">
        <v>1631.5000000000005</v>
      </c>
      <c r="H213">
        <f t="shared" si="27"/>
        <v>225.3</v>
      </c>
      <c r="I213" s="14"/>
      <c r="J213">
        <v>2.9</v>
      </c>
      <c r="K213">
        <f t="shared" si="31"/>
        <v>504.90000000000009</v>
      </c>
      <c r="L213">
        <v>1.7</v>
      </c>
      <c r="M213">
        <f t="shared" si="32"/>
        <v>213.39999999999995</v>
      </c>
      <c r="N213">
        <v>1.2</v>
      </c>
      <c r="O213">
        <f t="shared" si="28"/>
        <v>105.30000000000001</v>
      </c>
      <c r="P213">
        <v>208</v>
      </c>
      <c r="Q213">
        <f t="shared" si="26"/>
        <v>1.1134146341463413</v>
      </c>
      <c r="R213" s="6">
        <f t="shared" si="29"/>
        <v>1.8928048780487803</v>
      </c>
      <c r="S213" s="6">
        <f t="shared" si="30"/>
        <v>1.0071951219512196</v>
      </c>
      <c r="T213" s="6">
        <f t="shared" si="33"/>
        <v>102.59487804878047</v>
      </c>
      <c r="U213" s="14"/>
      <c r="V213">
        <v>629.70000000000005</v>
      </c>
      <c r="X213" s="14">
        <v>125228.10000000002</v>
      </c>
      <c r="Y213">
        <f t="shared" si="25"/>
        <v>31851.5</v>
      </c>
      <c r="Z213" s="14"/>
      <c r="AA213">
        <v>12.719890070641</v>
      </c>
    </row>
    <row r="214" spans="1:27" ht="15" customHeight="1" x14ac:dyDescent="0.25">
      <c r="A214" s="50"/>
      <c r="B214" s="3"/>
      <c r="C214" s="4">
        <v>42095</v>
      </c>
      <c r="D214">
        <v>7.8</v>
      </c>
      <c r="E214">
        <v>5.9</v>
      </c>
      <c r="F214">
        <v>9.6</v>
      </c>
      <c r="G214" s="11">
        <v>1639.3000000000004</v>
      </c>
      <c r="H214">
        <f t="shared" si="27"/>
        <v>233.10000000000002</v>
      </c>
      <c r="I214" s="11"/>
      <c r="J214">
        <v>0</v>
      </c>
      <c r="K214">
        <f t="shared" si="31"/>
        <v>504.90000000000009</v>
      </c>
      <c r="L214">
        <v>2.1</v>
      </c>
      <c r="M214">
        <f t="shared" si="32"/>
        <v>215.49999999999994</v>
      </c>
      <c r="N214">
        <v>-2.1</v>
      </c>
      <c r="O214">
        <f t="shared" si="28"/>
        <v>103.20000000000002</v>
      </c>
      <c r="P214">
        <v>209</v>
      </c>
      <c r="Q214">
        <f t="shared" si="26"/>
        <v>1.1170731707317072</v>
      </c>
      <c r="R214" s="6">
        <f t="shared" si="29"/>
        <v>2.3458536585365852</v>
      </c>
      <c r="S214" s="6">
        <f t="shared" si="30"/>
        <v>-2.3458536585365852</v>
      </c>
      <c r="T214" s="6">
        <f t="shared" si="33"/>
        <v>100.24902439024389</v>
      </c>
      <c r="U214" s="11"/>
      <c r="V214" s="11">
        <v>1054.4000000000001</v>
      </c>
      <c r="W214" s="11"/>
      <c r="X214" s="11">
        <v>126282.50000000001</v>
      </c>
      <c r="Y214">
        <f t="shared" si="25"/>
        <v>32905.9</v>
      </c>
      <c r="Z214" s="11"/>
      <c r="AA214">
        <v>12.7763949317472</v>
      </c>
    </row>
    <row r="215" spans="1:27" x14ac:dyDescent="0.25">
      <c r="A215" s="50"/>
      <c r="B215" s="3"/>
      <c r="C215" s="4">
        <v>42096</v>
      </c>
      <c r="D215">
        <v>7.4</v>
      </c>
      <c r="E215">
        <v>6</v>
      </c>
      <c r="F215">
        <v>9.6999999999999993</v>
      </c>
      <c r="G215">
        <v>1646.7000000000005</v>
      </c>
      <c r="H215">
        <f t="shared" si="27"/>
        <v>240.50000000000003</v>
      </c>
      <c r="J215">
        <v>2.7</v>
      </c>
      <c r="K215">
        <f t="shared" si="31"/>
        <v>507.60000000000008</v>
      </c>
      <c r="L215">
        <v>1</v>
      </c>
      <c r="M215">
        <f t="shared" si="32"/>
        <v>216.49999999999994</v>
      </c>
      <c r="N215">
        <v>1.7000000000000002</v>
      </c>
      <c r="O215">
        <f t="shared" si="28"/>
        <v>104.90000000000002</v>
      </c>
      <c r="P215">
        <v>210</v>
      </c>
      <c r="Q215">
        <f t="shared" si="26"/>
        <v>1.1207317073170731</v>
      </c>
      <c r="R215" s="6">
        <f t="shared" si="29"/>
        <v>1.1207317073170731</v>
      </c>
      <c r="S215" s="6">
        <f t="shared" si="30"/>
        <v>1.5792682926829271</v>
      </c>
      <c r="T215" s="6">
        <f t="shared" si="33"/>
        <v>101.82829268292681</v>
      </c>
      <c r="U215" s="15"/>
      <c r="V215">
        <v>384.5</v>
      </c>
      <c r="X215">
        <v>126667.00000000001</v>
      </c>
      <c r="Y215">
        <f t="shared" si="25"/>
        <v>33290.400000000001</v>
      </c>
      <c r="AA215">
        <v>12.832818554872</v>
      </c>
    </row>
    <row r="216" spans="1:27" x14ac:dyDescent="0.25">
      <c r="A216" s="50"/>
      <c r="B216" s="3"/>
      <c r="C216" s="4">
        <v>42097</v>
      </c>
      <c r="D216">
        <v>8.4</v>
      </c>
      <c r="E216">
        <v>5.4</v>
      </c>
      <c r="F216">
        <v>10.6</v>
      </c>
      <c r="G216">
        <v>1655.1000000000006</v>
      </c>
      <c r="H216">
        <f t="shared" si="27"/>
        <v>248.90000000000003</v>
      </c>
      <c r="J216">
        <v>4.2</v>
      </c>
      <c r="K216">
        <f t="shared" si="31"/>
        <v>511.80000000000007</v>
      </c>
      <c r="L216">
        <v>0.4</v>
      </c>
      <c r="M216">
        <f t="shared" si="32"/>
        <v>216.89999999999995</v>
      </c>
      <c r="N216">
        <v>3.8000000000000003</v>
      </c>
      <c r="O216">
        <f t="shared" si="28"/>
        <v>108.70000000000002</v>
      </c>
      <c r="P216">
        <v>211</v>
      </c>
      <c r="Q216">
        <f t="shared" si="26"/>
        <v>1.1243902439024389</v>
      </c>
      <c r="R216" s="6">
        <f t="shared" si="29"/>
        <v>0.44975609756097557</v>
      </c>
      <c r="S216" s="6">
        <f t="shared" si="30"/>
        <v>3.7502439024390246</v>
      </c>
      <c r="T216" s="6">
        <f t="shared" si="33"/>
        <v>105.57853658536584</v>
      </c>
      <c r="U216" s="11"/>
      <c r="V216">
        <v>540.9</v>
      </c>
      <c r="X216">
        <v>127207.90000000001</v>
      </c>
      <c r="Y216">
        <f t="shared" si="25"/>
        <v>33831.300000000003</v>
      </c>
      <c r="AA216">
        <v>12.889154228953201</v>
      </c>
    </row>
    <row r="217" spans="1:27" x14ac:dyDescent="0.25">
      <c r="A217" s="50"/>
      <c r="B217" s="3"/>
      <c r="C217" s="4">
        <v>42098</v>
      </c>
      <c r="D217">
        <v>7.8</v>
      </c>
      <c r="E217">
        <v>6</v>
      </c>
      <c r="F217">
        <v>10.8</v>
      </c>
      <c r="G217">
        <v>1662.9000000000005</v>
      </c>
      <c r="H217">
        <f t="shared" si="27"/>
        <v>256.70000000000005</v>
      </c>
      <c r="J217">
        <v>2.2999999999999998</v>
      </c>
      <c r="K217">
        <f t="shared" si="31"/>
        <v>514.1</v>
      </c>
      <c r="L217">
        <v>0.8</v>
      </c>
      <c r="M217">
        <f t="shared" si="32"/>
        <v>217.69999999999996</v>
      </c>
      <c r="N217">
        <v>1.4999999999999998</v>
      </c>
      <c r="O217">
        <f t="shared" si="28"/>
        <v>110.20000000000002</v>
      </c>
      <c r="P217">
        <v>212</v>
      </c>
      <c r="Q217">
        <f t="shared" si="26"/>
        <v>1.1280487804878048</v>
      </c>
      <c r="R217" s="6">
        <f t="shared" si="29"/>
        <v>0.90243902439024382</v>
      </c>
      <c r="S217" s="6">
        <f t="shared" si="30"/>
        <v>1.397560975609756</v>
      </c>
      <c r="T217" s="6">
        <f t="shared" si="33"/>
        <v>106.97609756097559</v>
      </c>
      <c r="V217">
        <v>398</v>
      </c>
      <c r="X217">
        <v>127605.90000000001</v>
      </c>
      <c r="Y217">
        <f t="shared" si="25"/>
        <v>34229.300000000003</v>
      </c>
      <c r="AA217">
        <v>12.9453950759628</v>
      </c>
    </row>
    <row r="218" spans="1:27" x14ac:dyDescent="0.25">
      <c r="A218" s="50"/>
      <c r="B218" s="3"/>
      <c r="C218" s="4">
        <v>42099</v>
      </c>
      <c r="D218">
        <v>5.6</v>
      </c>
      <c r="E218">
        <v>1.3</v>
      </c>
      <c r="F218">
        <v>9.9</v>
      </c>
      <c r="G218">
        <v>1668.5000000000005</v>
      </c>
      <c r="H218">
        <f t="shared" si="27"/>
        <v>262.30000000000007</v>
      </c>
      <c r="J218">
        <v>0</v>
      </c>
      <c r="K218">
        <f t="shared" si="31"/>
        <v>514.1</v>
      </c>
      <c r="L218">
        <v>2.5</v>
      </c>
      <c r="M218">
        <f t="shared" si="32"/>
        <v>220.19999999999996</v>
      </c>
      <c r="N218">
        <v>-2.5</v>
      </c>
      <c r="O218">
        <f t="shared" si="28"/>
        <v>107.70000000000002</v>
      </c>
      <c r="P218">
        <v>213</v>
      </c>
      <c r="Q218">
        <f t="shared" si="26"/>
        <v>1.1317073170731706</v>
      </c>
      <c r="R218" s="6">
        <f t="shared" si="29"/>
        <v>2.8292682926829267</v>
      </c>
      <c r="S218" s="6">
        <f t="shared" si="30"/>
        <v>-2.8292682926829267</v>
      </c>
      <c r="T218" s="6">
        <f t="shared" si="33"/>
        <v>104.14682926829266</v>
      </c>
      <c r="V218">
        <v>1444</v>
      </c>
      <c r="X218">
        <v>129049.90000000001</v>
      </c>
      <c r="Y218">
        <f t="shared" si="25"/>
        <v>35673.300000000003</v>
      </c>
      <c r="AA218">
        <v>13.001534035222701</v>
      </c>
    </row>
    <row r="219" spans="1:27" x14ac:dyDescent="0.25">
      <c r="A219" s="50"/>
      <c r="B219" s="3"/>
      <c r="C219" s="4">
        <v>42100</v>
      </c>
      <c r="D219">
        <v>6.3</v>
      </c>
      <c r="E219">
        <v>0.8</v>
      </c>
      <c r="F219">
        <v>11.8</v>
      </c>
      <c r="G219">
        <v>1674.8000000000004</v>
      </c>
      <c r="H219">
        <f t="shared" si="27"/>
        <v>268.60000000000008</v>
      </c>
      <c r="J219">
        <v>0</v>
      </c>
      <c r="K219">
        <f t="shared" si="31"/>
        <v>514.1</v>
      </c>
      <c r="L219">
        <v>2.9</v>
      </c>
      <c r="M219">
        <f t="shared" si="32"/>
        <v>223.09999999999997</v>
      </c>
      <c r="N219">
        <v>-2.9</v>
      </c>
      <c r="O219">
        <f t="shared" si="28"/>
        <v>104.80000000000001</v>
      </c>
      <c r="P219">
        <v>214</v>
      </c>
      <c r="Q219">
        <f t="shared" si="26"/>
        <v>1.1353658536585365</v>
      </c>
      <c r="R219" s="6">
        <f t="shared" si="29"/>
        <v>3.2925609756097556</v>
      </c>
      <c r="S219" s="6">
        <f t="shared" si="30"/>
        <v>-3.2925609756097556</v>
      </c>
      <c r="T219" s="6">
        <f t="shared" si="33"/>
        <v>100.8542682926829</v>
      </c>
      <c r="V219">
        <v>1906.2</v>
      </c>
      <c r="X219">
        <v>130956.1</v>
      </c>
      <c r="Y219">
        <f t="shared" si="25"/>
        <v>37579.5</v>
      </c>
      <c r="AA219">
        <v>13.0575638478277</v>
      </c>
    </row>
    <row r="220" spans="1:27" x14ac:dyDescent="0.25">
      <c r="A220" s="50"/>
      <c r="B220" s="3"/>
      <c r="C220" s="4">
        <v>42101</v>
      </c>
      <c r="D220">
        <v>7.4</v>
      </c>
      <c r="E220">
        <v>2.2000000000000002</v>
      </c>
      <c r="F220">
        <v>12.6</v>
      </c>
      <c r="G220">
        <v>1682.2000000000005</v>
      </c>
      <c r="H220">
        <f t="shared" si="27"/>
        <v>276.00000000000006</v>
      </c>
      <c r="J220">
        <v>0</v>
      </c>
      <c r="K220">
        <f t="shared" si="31"/>
        <v>514.1</v>
      </c>
      <c r="L220">
        <v>3.8</v>
      </c>
      <c r="M220">
        <f t="shared" si="32"/>
        <v>226.89999999999998</v>
      </c>
      <c r="N220">
        <v>-3.8</v>
      </c>
      <c r="O220">
        <f t="shared" si="28"/>
        <v>101.00000000000001</v>
      </c>
      <c r="P220">
        <v>215</v>
      </c>
      <c r="Q220">
        <f t="shared" si="26"/>
        <v>1.1390243902439023</v>
      </c>
      <c r="R220" s="6">
        <f t="shared" si="29"/>
        <v>4.3282926829268291</v>
      </c>
      <c r="S220" s="6">
        <f t="shared" si="30"/>
        <v>-4.3282926829268291</v>
      </c>
      <c r="T220" s="6">
        <f t="shared" si="33"/>
        <v>96.525975609756074</v>
      </c>
      <c r="V220">
        <v>2442.4</v>
      </c>
      <c r="X220">
        <v>133398.5</v>
      </c>
      <c r="Y220">
        <f t="shared" si="25"/>
        <v>40021.9</v>
      </c>
      <c r="AA220">
        <v>13.113477041184099</v>
      </c>
    </row>
    <row r="221" spans="1:27" x14ac:dyDescent="0.25">
      <c r="A221" s="50"/>
      <c r="B221" s="3"/>
      <c r="C221" s="4">
        <v>42102</v>
      </c>
      <c r="D221">
        <v>9.6999999999999993</v>
      </c>
      <c r="E221">
        <v>2.7</v>
      </c>
      <c r="F221">
        <v>16.399999999999999</v>
      </c>
      <c r="G221">
        <v>1691.9000000000005</v>
      </c>
      <c r="H221">
        <f t="shared" si="27"/>
        <v>285.70000000000005</v>
      </c>
      <c r="J221">
        <v>0</v>
      </c>
      <c r="K221">
        <f t="shared" si="31"/>
        <v>514.1</v>
      </c>
      <c r="L221">
        <v>4</v>
      </c>
      <c r="M221">
        <f t="shared" si="32"/>
        <v>230.89999999999998</v>
      </c>
      <c r="N221">
        <v>-4</v>
      </c>
      <c r="O221">
        <f t="shared" si="28"/>
        <v>97.000000000000014</v>
      </c>
      <c r="P221">
        <v>216</v>
      </c>
      <c r="Q221">
        <f t="shared" si="26"/>
        <v>1.1426829268292682</v>
      </c>
      <c r="R221" s="6">
        <f t="shared" si="29"/>
        <v>4.5707317073170728</v>
      </c>
      <c r="S221" s="6">
        <f t="shared" si="30"/>
        <v>-4.5707317073170728</v>
      </c>
      <c r="T221" s="6">
        <f t="shared" si="33"/>
        <v>91.955243902439008</v>
      </c>
      <c r="V221">
        <v>2377</v>
      </c>
      <c r="X221">
        <v>135775.5</v>
      </c>
      <c r="Y221">
        <f t="shared" ref="Y221:Y284" si="34">Y220+V221</f>
        <v>42398.9</v>
      </c>
      <c r="AA221">
        <v>13.169265913674099</v>
      </c>
    </row>
    <row r="222" spans="1:27" x14ac:dyDescent="0.25">
      <c r="A222" s="50"/>
      <c r="B222" s="3"/>
      <c r="C222" s="4">
        <v>42103</v>
      </c>
      <c r="D222">
        <v>10.6</v>
      </c>
      <c r="E222">
        <v>1.5</v>
      </c>
      <c r="F222">
        <v>18.2</v>
      </c>
      <c r="G222">
        <v>1702.5000000000005</v>
      </c>
      <c r="H222">
        <f t="shared" si="27"/>
        <v>296.30000000000007</v>
      </c>
      <c r="J222">
        <v>0.2</v>
      </c>
      <c r="K222">
        <f t="shared" si="31"/>
        <v>514.30000000000007</v>
      </c>
      <c r="L222">
        <v>3.4</v>
      </c>
      <c r="M222">
        <f t="shared" si="32"/>
        <v>234.29999999999998</v>
      </c>
      <c r="N222">
        <v>-3.1999999999999997</v>
      </c>
      <c r="O222">
        <f t="shared" si="28"/>
        <v>93.800000000000011</v>
      </c>
      <c r="P222">
        <v>217</v>
      </c>
      <c r="Q222">
        <f t="shared" si="26"/>
        <v>1.1463414634146341</v>
      </c>
      <c r="R222" s="6">
        <f t="shared" si="29"/>
        <v>3.8975609756097556</v>
      </c>
      <c r="S222" s="6">
        <f t="shared" si="30"/>
        <v>-3.6975609756097554</v>
      </c>
      <c r="T222" s="6">
        <f t="shared" si="33"/>
        <v>88.257682926829247</v>
      </c>
      <c r="V222">
        <v>2357.1</v>
      </c>
      <c r="X222">
        <v>138132.6</v>
      </c>
      <c r="Y222">
        <f t="shared" si="34"/>
        <v>44756</v>
      </c>
      <c r="AA222">
        <v>13.2249225194602</v>
      </c>
    </row>
    <row r="223" spans="1:27" s="34" customFormat="1" ht="15.75" thickBot="1" x14ac:dyDescent="0.3">
      <c r="A223" s="50"/>
      <c r="B223" s="32"/>
      <c r="C223" s="33">
        <v>42104</v>
      </c>
      <c r="D223" s="34">
        <v>12.8</v>
      </c>
      <c r="E223" s="34">
        <v>3.8</v>
      </c>
      <c r="F223" s="34">
        <v>19.399999999999999</v>
      </c>
      <c r="G223" s="34">
        <v>1715.3000000000004</v>
      </c>
      <c r="H223" s="34">
        <f t="shared" si="27"/>
        <v>309.10000000000008</v>
      </c>
      <c r="J223" s="34">
        <v>0.5</v>
      </c>
      <c r="K223" s="34">
        <f t="shared" si="31"/>
        <v>514.80000000000007</v>
      </c>
      <c r="L223" s="34">
        <v>4.5</v>
      </c>
      <c r="M223" s="34">
        <f t="shared" si="32"/>
        <v>238.79999999999998</v>
      </c>
      <c r="N223" s="34">
        <v>-4</v>
      </c>
      <c r="O223" s="34">
        <f t="shared" si="28"/>
        <v>89.800000000000011</v>
      </c>
      <c r="P223" s="34">
        <v>218</v>
      </c>
      <c r="Q223" s="28">
        <f t="shared" si="26"/>
        <v>1.1499999999999999</v>
      </c>
      <c r="R223" s="35">
        <f t="shared" si="29"/>
        <v>5.1749999999999998</v>
      </c>
      <c r="S223" s="35">
        <f t="shared" si="30"/>
        <v>-4.6749999999999998</v>
      </c>
      <c r="T223" s="30">
        <f t="shared" si="33"/>
        <v>83.58268292682925</v>
      </c>
      <c r="V223" s="34">
        <v>2200.4</v>
      </c>
      <c r="X223" s="34">
        <v>140333</v>
      </c>
      <c r="Y223" s="28">
        <f t="shared" si="34"/>
        <v>46956.4</v>
      </c>
      <c r="AA223" s="28">
        <v>13.280438653442699</v>
      </c>
    </row>
    <row r="224" spans="1:27" x14ac:dyDescent="0.25">
      <c r="A224" s="16" t="s">
        <v>47</v>
      </c>
      <c r="B224" s="1"/>
      <c r="C224" s="4">
        <v>42105</v>
      </c>
      <c r="D224">
        <v>12.2</v>
      </c>
      <c r="E224">
        <v>8.6999999999999993</v>
      </c>
      <c r="F224">
        <v>15.2</v>
      </c>
      <c r="G224">
        <v>1727.5000000000005</v>
      </c>
      <c r="H224">
        <v>12.2</v>
      </c>
      <c r="I224" s="17" t="s">
        <v>27</v>
      </c>
      <c r="J224">
        <v>0.1</v>
      </c>
      <c r="K224">
        <f t="shared" si="31"/>
        <v>514.90000000000009</v>
      </c>
      <c r="L224">
        <v>1.6</v>
      </c>
      <c r="M224">
        <f t="shared" si="32"/>
        <v>240.39999999999998</v>
      </c>
      <c r="N224">
        <v>-1.5</v>
      </c>
      <c r="O224">
        <f t="shared" si="28"/>
        <v>88.300000000000011</v>
      </c>
      <c r="P224">
        <v>219</v>
      </c>
      <c r="Q224">
        <v>1.1499999999999999</v>
      </c>
      <c r="R224" s="6">
        <f t="shared" si="29"/>
        <v>1.8399999999999999</v>
      </c>
      <c r="S224" s="6">
        <f t="shared" si="30"/>
        <v>-1.7399999999999998</v>
      </c>
      <c r="T224" s="6">
        <f t="shared" si="33"/>
        <v>81.842682926829255</v>
      </c>
      <c r="U224" s="17" t="s">
        <v>28</v>
      </c>
      <c r="V224">
        <v>668.1</v>
      </c>
      <c r="X224">
        <v>141001.1</v>
      </c>
      <c r="Y224">
        <v>668.1</v>
      </c>
      <c r="Z224" s="17" t="s">
        <v>29</v>
      </c>
      <c r="AA224">
        <v>13.335805836389699</v>
      </c>
    </row>
    <row r="225" spans="1:27" x14ac:dyDescent="0.25">
      <c r="A225" s="16"/>
      <c r="B225" s="1"/>
      <c r="C225" s="4">
        <v>42106</v>
      </c>
      <c r="D225">
        <v>12.8</v>
      </c>
      <c r="E225">
        <v>6.5</v>
      </c>
      <c r="F225">
        <v>19</v>
      </c>
      <c r="G225">
        <v>1740.3000000000004</v>
      </c>
      <c r="H225">
        <f t="shared" ref="H225:H288" si="35">H224+D225</f>
        <v>25</v>
      </c>
      <c r="I225">
        <f>MIN(E224:E244)</f>
        <v>2.8</v>
      </c>
      <c r="J225">
        <v>0</v>
      </c>
      <c r="K225">
        <f t="shared" si="31"/>
        <v>514.90000000000009</v>
      </c>
      <c r="L225">
        <v>2.8</v>
      </c>
      <c r="M225">
        <f t="shared" si="32"/>
        <v>243.2</v>
      </c>
      <c r="N225">
        <v>-2.8</v>
      </c>
      <c r="O225">
        <f t="shared" si="28"/>
        <v>85.500000000000014</v>
      </c>
      <c r="P225">
        <v>220</v>
      </c>
      <c r="Q225">
        <v>1.1499999999999999</v>
      </c>
      <c r="R225" s="6">
        <f t="shared" si="29"/>
        <v>3.2199999999999998</v>
      </c>
      <c r="S225" s="6">
        <f t="shared" si="30"/>
        <v>-3.2199999999999998</v>
      </c>
      <c r="T225" s="6">
        <f t="shared" si="33"/>
        <v>78.622682926829256</v>
      </c>
      <c r="U225">
        <v>16</v>
      </c>
      <c r="V225">
        <v>1871.1</v>
      </c>
      <c r="X225">
        <v>142872.20000000001</v>
      </c>
      <c r="Y225">
        <f t="shared" si="34"/>
        <v>2539.1999999999998</v>
      </c>
      <c r="Z225">
        <f>Y244</f>
        <v>34397.200000000004</v>
      </c>
      <c r="AA225">
        <v>13.391015300257701</v>
      </c>
    </row>
    <row r="226" spans="1:27" x14ac:dyDescent="0.25">
      <c r="A226" s="16" t="s">
        <v>48</v>
      </c>
      <c r="B226" s="1"/>
      <c r="C226" s="4">
        <v>42107</v>
      </c>
      <c r="D226">
        <v>13.1</v>
      </c>
      <c r="E226">
        <v>5.7</v>
      </c>
      <c r="F226">
        <v>20.100000000000001</v>
      </c>
      <c r="G226">
        <v>1753.4000000000003</v>
      </c>
      <c r="H226">
        <f t="shared" si="35"/>
        <v>38.1</v>
      </c>
      <c r="I226" s="17" t="s">
        <v>30</v>
      </c>
      <c r="J226">
        <v>0</v>
      </c>
      <c r="K226">
        <f t="shared" si="31"/>
        <v>514.90000000000009</v>
      </c>
      <c r="L226">
        <v>3.5</v>
      </c>
      <c r="M226">
        <f t="shared" si="32"/>
        <v>246.7</v>
      </c>
      <c r="N226">
        <v>-3.5</v>
      </c>
      <c r="O226">
        <f t="shared" si="28"/>
        <v>82.000000000000014</v>
      </c>
      <c r="P226">
        <v>221</v>
      </c>
      <c r="Q226">
        <v>1.1499999999999999</v>
      </c>
      <c r="R226" s="6">
        <f t="shared" si="29"/>
        <v>4.0249999999999995</v>
      </c>
      <c r="S226" s="6">
        <f t="shared" si="30"/>
        <v>-4.0249999999999995</v>
      </c>
      <c r="T226" s="6">
        <f t="shared" si="33"/>
        <v>74.597682926829251</v>
      </c>
      <c r="U226" s="17" t="s">
        <v>31</v>
      </c>
      <c r="V226">
        <v>2248.1999999999998</v>
      </c>
      <c r="X226">
        <v>145120.40000000002</v>
      </c>
      <c r="Y226">
        <f t="shared" si="34"/>
        <v>4787.3999999999996</v>
      </c>
      <c r="Z226" s="17" t="s">
        <v>32</v>
      </c>
      <c r="AA226">
        <v>13.4460579737258</v>
      </c>
    </row>
    <row r="227" spans="1:27" x14ac:dyDescent="0.25">
      <c r="A227" s="16"/>
      <c r="B227" s="1"/>
      <c r="C227" s="4">
        <v>42108</v>
      </c>
      <c r="D227">
        <v>14.7</v>
      </c>
      <c r="E227">
        <v>7</v>
      </c>
      <c r="F227">
        <v>22.6</v>
      </c>
      <c r="G227">
        <v>1768.1000000000004</v>
      </c>
      <c r="H227">
        <f t="shared" si="35"/>
        <v>52.8</v>
      </c>
      <c r="I227">
        <f>MAX(F224:F244)</f>
        <v>23.6</v>
      </c>
      <c r="J227">
        <v>0</v>
      </c>
      <c r="K227">
        <f t="shared" si="31"/>
        <v>514.90000000000009</v>
      </c>
      <c r="L227">
        <v>4.3</v>
      </c>
      <c r="M227">
        <f t="shared" si="32"/>
        <v>251</v>
      </c>
      <c r="N227">
        <v>-4.3</v>
      </c>
      <c r="O227">
        <f t="shared" si="28"/>
        <v>77.700000000000017</v>
      </c>
      <c r="P227">
        <v>222</v>
      </c>
      <c r="Q227">
        <v>1.1499999999999999</v>
      </c>
      <c r="R227" s="6">
        <f t="shared" si="29"/>
        <v>4.9449999999999994</v>
      </c>
      <c r="S227" s="6">
        <f t="shared" si="30"/>
        <v>-4.9449999999999994</v>
      </c>
      <c r="T227" s="6">
        <f t="shared" si="33"/>
        <v>69.652682926829257</v>
      </c>
      <c r="U227">
        <v>0</v>
      </c>
      <c r="V227">
        <v>2333.1999999999998</v>
      </c>
      <c r="X227">
        <v>147453.60000000003</v>
      </c>
      <c r="Y227">
        <f t="shared" si="34"/>
        <v>7120.5999999999995</v>
      </c>
      <c r="Z227" s="7">
        <f>(Z225/100)/I237</f>
        <v>1.2562892622352082</v>
      </c>
      <c r="AA227">
        <v>13.500924467969201</v>
      </c>
    </row>
    <row r="228" spans="1:27" x14ac:dyDescent="0.25">
      <c r="A228" s="16"/>
      <c r="B228" s="1"/>
      <c r="C228" s="4">
        <v>42109</v>
      </c>
      <c r="D228">
        <v>14.7</v>
      </c>
      <c r="E228">
        <v>5.0999999999999996</v>
      </c>
      <c r="F228">
        <v>23.1</v>
      </c>
      <c r="G228">
        <v>1782.8000000000004</v>
      </c>
      <c r="H228">
        <f t="shared" si="35"/>
        <v>67.5</v>
      </c>
      <c r="I228" s="17" t="s">
        <v>33</v>
      </c>
      <c r="J228">
        <v>0</v>
      </c>
      <c r="K228">
        <f t="shared" si="31"/>
        <v>514.90000000000009</v>
      </c>
      <c r="L228">
        <v>4.2</v>
      </c>
      <c r="M228">
        <f t="shared" si="32"/>
        <v>255.2</v>
      </c>
      <c r="N228">
        <v>-4.2</v>
      </c>
      <c r="O228">
        <f t="shared" si="28"/>
        <v>73.500000000000014</v>
      </c>
      <c r="P228">
        <v>223</v>
      </c>
      <c r="Q228">
        <v>1.1499999999999999</v>
      </c>
      <c r="R228" s="6">
        <f t="shared" si="29"/>
        <v>4.83</v>
      </c>
      <c r="S228" s="6">
        <f t="shared" si="30"/>
        <v>-4.83</v>
      </c>
      <c r="T228" s="6">
        <f t="shared" si="33"/>
        <v>64.822682926829259</v>
      </c>
      <c r="U228" s="17" t="s">
        <v>34</v>
      </c>
      <c r="V228">
        <v>2078.9</v>
      </c>
      <c r="X228">
        <v>149532.50000000003</v>
      </c>
      <c r="Y228">
        <f t="shared" si="34"/>
        <v>9199.5</v>
      </c>
      <c r="Z228" s="17" t="s">
        <v>35</v>
      </c>
      <c r="AA228">
        <v>13.555605062698699</v>
      </c>
    </row>
    <row r="229" spans="1:27" x14ac:dyDescent="0.25">
      <c r="A229" s="16"/>
      <c r="B229" s="1"/>
      <c r="C229" s="4">
        <v>42110</v>
      </c>
      <c r="D229">
        <v>15.1</v>
      </c>
      <c r="E229">
        <v>10.5</v>
      </c>
      <c r="F229">
        <v>19.399999999999999</v>
      </c>
      <c r="G229">
        <v>1797.9000000000003</v>
      </c>
      <c r="H229">
        <f t="shared" si="35"/>
        <v>82.6</v>
      </c>
      <c r="I229" s="6">
        <f>AVERAGE(D224:D244)</f>
        <v>13.038095238095238</v>
      </c>
      <c r="J229">
        <v>0.1</v>
      </c>
      <c r="K229">
        <f t="shared" si="31"/>
        <v>515.00000000000011</v>
      </c>
      <c r="L229">
        <v>3</v>
      </c>
      <c r="M229">
        <f t="shared" si="32"/>
        <v>258.2</v>
      </c>
      <c r="N229">
        <v>-2.9</v>
      </c>
      <c r="O229">
        <f t="shared" si="28"/>
        <v>70.600000000000009</v>
      </c>
      <c r="P229">
        <v>224</v>
      </c>
      <c r="Q229">
        <v>1.1499999999999999</v>
      </c>
      <c r="R229" s="6">
        <f t="shared" si="29"/>
        <v>3.4499999999999997</v>
      </c>
      <c r="S229" s="6">
        <f t="shared" si="30"/>
        <v>-3.3499999999999996</v>
      </c>
      <c r="T229" s="6">
        <f t="shared" si="33"/>
        <v>61.472682926829258</v>
      </c>
      <c r="U229">
        <v>1</v>
      </c>
      <c r="V229">
        <v>1267</v>
      </c>
      <c r="X229">
        <v>150799.50000000003</v>
      </c>
      <c r="Y229">
        <f t="shared" si="34"/>
        <v>10466.5</v>
      </c>
      <c r="Z229">
        <v>5</v>
      </c>
      <c r="AA229">
        <v>13.610089692498899</v>
      </c>
    </row>
    <row r="230" spans="1:27" x14ac:dyDescent="0.25">
      <c r="A230" s="16"/>
      <c r="B230" s="1"/>
      <c r="C230" s="4">
        <v>42111</v>
      </c>
      <c r="D230">
        <v>13.6</v>
      </c>
      <c r="E230">
        <v>12.6</v>
      </c>
      <c r="F230">
        <v>15.6</v>
      </c>
      <c r="G230">
        <v>1811.5000000000002</v>
      </c>
      <c r="H230">
        <f t="shared" si="35"/>
        <v>96.199999999999989</v>
      </c>
      <c r="I230" s="17" t="s">
        <v>36</v>
      </c>
      <c r="J230">
        <v>11.8</v>
      </c>
      <c r="K230">
        <f t="shared" si="31"/>
        <v>526.80000000000007</v>
      </c>
      <c r="L230">
        <v>0.9</v>
      </c>
      <c r="M230">
        <f t="shared" si="32"/>
        <v>259.09999999999997</v>
      </c>
      <c r="N230">
        <v>10.9</v>
      </c>
      <c r="O230">
        <f t="shared" si="28"/>
        <v>81.500000000000014</v>
      </c>
      <c r="P230">
        <v>225</v>
      </c>
      <c r="Q230">
        <v>1.1499999999999999</v>
      </c>
      <c r="R230" s="6">
        <f t="shared" si="29"/>
        <v>1.0349999999999999</v>
      </c>
      <c r="S230" s="6">
        <f t="shared" si="30"/>
        <v>10.765000000000001</v>
      </c>
      <c r="T230" s="6">
        <f t="shared" si="33"/>
        <v>72.237682926829251</v>
      </c>
      <c r="U230" s="17" t="s">
        <v>37</v>
      </c>
      <c r="V230">
        <v>380.6</v>
      </c>
      <c r="X230">
        <v>151180.10000000003</v>
      </c>
      <c r="Y230">
        <f t="shared" si="34"/>
        <v>10847.1</v>
      </c>
      <c r="AA230">
        <v>13.6643679334979</v>
      </c>
    </row>
    <row r="231" spans="1:27" x14ac:dyDescent="0.25">
      <c r="A231" s="16"/>
      <c r="B231" s="1"/>
      <c r="C231" s="4">
        <v>42112</v>
      </c>
      <c r="D231">
        <v>11</v>
      </c>
      <c r="E231">
        <v>7.7</v>
      </c>
      <c r="F231">
        <v>14.9</v>
      </c>
      <c r="G231">
        <v>1822.5000000000002</v>
      </c>
      <c r="H231">
        <f t="shared" si="35"/>
        <v>107.19999999999999</v>
      </c>
      <c r="I231">
        <v>0</v>
      </c>
      <c r="J231">
        <v>0</v>
      </c>
      <c r="K231">
        <f t="shared" si="31"/>
        <v>526.80000000000007</v>
      </c>
      <c r="L231">
        <v>3.7</v>
      </c>
      <c r="M231">
        <f t="shared" si="32"/>
        <v>262.79999999999995</v>
      </c>
      <c r="N231">
        <v>-3.7</v>
      </c>
      <c r="O231">
        <f t="shared" si="28"/>
        <v>77.800000000000011</v>
      </c>
      <c r="P231">
        <v>226</v>
      </c>
      <c r="Q231">
        <v>1.1499999999999999</v>
      </c>
      <c r="R231" s="6">
        <f t="shared" si="29"/>
        <v>4.2549999999999999</v>
      </c>
      <c r="S231" s="6">
        <f t="shared" si="30"/>
        <v>-4.2549999999999999</v>
      </c>
      <c r="T231" s="6">
        <f t="shared" si="33"/>
        <v>67.982682926829256</v>
      </c>
      <c r="U231" s="6">
        <v>38.1</v>
      </c>
      <c r="V231">
        <v>2438.8000000000002</v>
      </c>
      <c r="X231">
        <v>153618.90000000002</v>
      </c>
      <c r="Y231">
        <f t="shared" si="34"/>
        <v>13285.900000000001</v>
      </c>
      <c r="AA231">
        <v>13.718428990406901</v>
      </c>
    </row>
    <row r="232" spans="1:27" x14ac:dyDescent="0.25">
      <c r="A232" s="16"/>
      <c r="B232" s="1"/>
      <c r="C232" s="4">
        <v>42113</v>
      </c>
      <c r="D232">
        <v>11.8</v>
      </c>
      <c r="E232">
        <v>6</v>
      </c>
      <c r="F232">
        <v>16.899999999999999</v>
      </c>
      <c r="G232" s="18">
        <v>1834.3000000000002</v>
      </c>
      <c r="H232">
        <f t="shared" si="35"/>
        <v>118.99999999999999</v>
      </c>
      <c r="I232" s="17" t="s">
        <v>38</v>
      </c>
      <c r="J232">
        <v>0</v>
      </c>
      <c r="K232">
        <f t="shared" si="31"/>
        <v>526.80000000000007</v>
      </c>
      <c r="L232">
        <v>3.9</v>
      </c>
      <c r="M232">
        <f t="shared" si="32"/>
        <v>266.69999999999993</v>
      </c>
      <c r="N232">
        <v>-3.9</v>
      </c>
      <c r="O232">
        <f t="shared" si="28"/>
        <v>73.900000000000006</v>
      </c>
      <c r="P232">
        <v>227</v>
      </c>
      <c r="Q232">
        <v>1.1499999999999999</v>
      </c>
      <c r="R232" s="6">
        <f t="shared" si="29"/>
        <v>4.4849999999999994</v>
      </c>
      <c r="S232" s="6">
        <f t="shared" si="30"/>
        <v>-4.4849999999999994</v>
      </c>
      <c r="T232" s="6">
        <f t="shared" si="33"/>
        <v>63.497682926829256</v>
      </c>
      <c r="U232" s="17" t="s">
        <v>39</v>
      </c>
      <c r="V232" s="11">
        <v>2515.1</v>
      </c>
      <c r="W232" s="11"/>
      <c r="X232" s="18">
        <v>156134.00000000003</v>
      </c>
      <c r="Y232">
        <f t="shared" si="34"/>
        <v>15801.000000000002</v>
      </c>
      <c r="Z232" s="13"/>
      <c r="AA232">
        <v>13.7722616839705</v>
      </c>
    </row>
    <row r="233" spans="1:27" ht="15" customHeight="1" x14ac:dyDescent="0.25">
      <c r="A233" s="16"/>
      <c r="B233" s="1"/>
      <c r="C233" s="4">
        <v>42114</v>
      </c>
      <c r="D233">
        <v>13</v>
      </c>
      <c r="E233">
        <v>7</v>
      </c>
      <c r="F233">
        <v>18.899999999999999</v>
      </c>
      <c r="G233">
        <v>1847.3000000000002</v>
      </c>
      <c r="H233">
        <f t="shared" si="35"/>
        <v>132</v>
      </c>
      <c r="I233">
        <v>0</v>
      </c>
      <c r="J233">
        <v>0</v>
      </c>
      <c r="K233">
        <f t="shared" si="31"/>
        <v>526.80000000000007</v>
      </c>
      <c r="L233">
        <v>3.9</v>
      </c>
      <c r="M233">
        <f t="shared" si="32"/>
        <v>270.59999999999991</v>
      </c>
      <c r="N233">
        <v>-3.9</v>
      </c>
      <c r="O233">
        <f t="shared" si="28"/>
        <v>70</v>
      </c>
      <c r="P233">
        <v>228</v>
      </c>
      <c r="Q233">
        <v>1.1499999999999999</v>
      </c>
      <c r="R233" s="6">
        <f t="shared" si="29"/>
        <v>4.4849999999999994</v>
      </c>
      <c r="S233" s="6">
        <f t="shared" si="30"/>
        <v>-4.4849999999999994</v>
      </c>
      <c r="T233" s="6">
        <f t="shared" si="33"/>
        <v>59.012682926829257</v>
      </c>
      <c r="U233" s="6">
        <f>MAX(T224:T244)</f>
        <v>87.137682926829271</v>
      </c>
      <c r="V233">
        <v>2112.4</v>
      </c>
      <c r="X233">
        <v>158246.40000000002</v>
      </c>
      <c r="Y233">
        <f t="shared" si="34"/>
        <v>17913.400000000001</v>
      </c>
      <c r="AA233">
        <v>13.8258544388717</v>
      </c>
    </row>
    <row r="234" spans="1:27" x14ac:dyDescent="0.25">
      <c r="A234" s="16"/>
      <c r="B234" s="1"/>
      <c r="C234" s="4">
        <v>42115</v>
      </c>
      <c r="D234">
        <v>15.3</v>
      </c>
      <c r="E234">
        <v>7.9</v>
      </c>
      <c r="F234">
        <v>21.3</v>
      </c>
      <c r="G234">
        <v>1862.6000000000001</v>
      </c>
      <c r="H234">
        <f t="shared" si="35"/>
        <v>147.30000000000001</v>
      </c>
      <c r="I234" s="17" t="s">
        <v>40</v>
      </c>
      <c r="J234">
        <v>0</v>
      </c>
      <c r="K234">
        <f t="shared" si="31"/>
        <v>526.80000000000007</v>
      </c>
      <c r="L234">
        <v>5.0999999999999996</v>
      </c>
      <c r="M234">
        <f t="shared" si="32"/>
        <v>275.69999999999993</v>
      </c>
      <c r="N234">
        <v>-5.0999999999999996</v>
      </c>
      <c r="O234">
        <f t="shared" si="28"/>
        <v>64.900000000000006</v>
      </c>
      <c r="P234">
        <v>229</v>
      </c>
      <c r="Q234">
        <v>1.1499999999999999</v>
      </c>
      <c r="R234" s="6">
        <f t="shared" si="29"/>
        <v>5.8649999999999993</v>
      </c>
      <c r="S234" s="6">
        <f t="shared" si="30"/>
        <v>-5.8649999999999993</v>
      </c>
      <c r="T234" s="6">
        <f t="shared" si="33"/>
        <v>53.147682926829255</v>
      </c>
      <c r="U234" s="17" t="s">
        <v>41</v>
      </c>
      <c r="V234">
        <v>2619</v>
      </c>
      <c r="X234">
        <v>160865.40000000002</v>
      </c>
      <c r="Y234">
        <f t="shared" si="34"/>
        <v>20532.400000000001</v>
      </c>
      <c r="AA234">
        <v>13.879195272139601</v>
      </c>
    </row>
    <row r="235" spans="1:27" x14ac:dyDescent="0.25">
      <c r="A235" s="16"/>
      <c r="B235" s="1"/>
      <c r="C235" s="4">
        <v>42116</v>
      </c>
      <c r="D235">
        <v>16.100000000000001</v>
      </c>
      <c r="E235">
        <v>9.6999999999999993</v>
      </c>
      <c r="F235">
        <v>23.6</v>
      </c>
      <c r="G235">
        <v>1878.7</v>
      </c>
      <c r="H235">
        <f t="shared" si="35"/>
        <v>163.4</v>
      </c>
      <c r="I235">
        <v>1</v>
      </c>
      <c r="J235">
        <v>0</v>
      </c>
      <c r="K235">
        <f t="shared" si="31"/>
        <v>526.80000000000007</v>
      </c>
      <c r="L235">
        <v>5.4</v>
      </c>
      <c r="M235">
        <f t="shared" si="32"/>
        <v>281.09999999999991</v>
      </c>
      <c r="N235">
        <v>-5.4</v>
      </c>
      <c r="O235">
        <f t="shared" si="28"/>
        <v>59.500000000000007</v>
      </c>
      <c r="P235">
        <v>230</v>
      </c>
      <c r="Q235">
        <v>1.1499999999999999</v>
      </c>
      <c r="R235" s="6">
        <f t="shared" si="29"/>
        <v>6.21</v>
      </c>
      <c r="S235" s="6">
        <f t="shared" si="30"/>
        <v>-6.21</v>
      </c>
      <c r="T235" s="6">
        <f t="shared" si="33"/>
        <v>46.937682926829254</v>
      </c>
      <c r="U235" s="7">
        <f>AVERAGE(T224:T244)</f>
        <v>59.978159117305452</v>
      </c>
      <c r="V235">
        <v>2640.1</v>
      </c>
      <c r="X235">
        <v>163505.50000000003</v>
      </c>
      <c r="Y235">
        <f t="shared" si="34"/>
        <v>23172.5</v>
      </c>
      <c r="AA235">
        <v>13.9322717821123</v>
      </c>
    </row>
    <row r="236" spans="1:27" x14ac:dyDescent="0.25">
      <c r="A236" s="16"/>
      <c r="B236" s="1"/>
      <c r="C236" s="4">
        <v>42117</v>
      </c>
      <c r="D236">
        <v>13.6</v>
      </c>
      <c r="E236">
        <v>7.4</v>
      </c>
      <c r="F236">
        <v>20.2</v>
      </c>
      <c r="G236">
        <v>1892.3</v>
      </c>
      <c r="H236">
        <f t="shared" si="35"/>
        <v>177</v>
      </c>
      <c r="I236" s="17" t="s">
        <v>42</v>
      </c>
      <c r="J236">
        <v>0</v>
      </c>
      <c r="K236">
        <f t="shared" si="31"/>
        <v>526.80000000000007</v>
      </c>
      <c r="L236">
        <v>4.3</v>
      </c>
      <c r="M236">
        <f t="shared" si="32"/>
        <v>285.39999999999992</v>
      </c>
      <c r="N236">
        <v>-4.3</v>
      </c>
      <c r="O236">
        <f t="shared" si="28"/>
        <v>55.20000000000001</v>
      </c>
      <c r="P236">
        <v>231</v>
      </c>
      <c r="Q236">
        <v>1.1499999999999999</v>
      </c>
      <c r="R236" s="6">
        <f t="shared" si="29"/>
        <v>4.9449999999999994</v>
      </c>
      <c r="S236" s="6">
        <f t="shared" si="30"/>
        <v>-4.9449999999999994</v>
      </c>
      <c r="T236" s="6">
        <f t="shared" si="33"/>
        <v>41.992682926829254</v>
      </c>
      <c r="V236">
        <v>2749.9</v>
      </c>
      <c r="X236">
        <v>166255.40000000002</v>
      </c>
      <c r="Y236">
        <f t="shared" si="34"/>
        <v>25922.400000000001</v>
      </c>
      <c r="AA236">
        <v>13.985071138008999</v>
      </c>
    </row>
    <row r="237" spans="1:27" x14ac:dyDescent="0.25">
      <c r="A237" s="16"/>
      <c r="B237" s="1"/>
      <c r="C237" s="4">
        <v>42118</v>
      </c>
      <c r="D237">
        <v>13.7</v>
      </c>
      <c r="E237">
        <v>5.5</v>
      </c>
      <c r="F237">
        <v>21</v>
      </c>
      <c r="G237">
        <v>1906</v>
      </c>
      <c r="H237">
        <f t="shared" si="35"/>
        <v>190.7</v>
      </c>
      <c r="I237">
        <v>273.8</v>
      </c>
      <c r="J237">
        <v>0</v>
      </c>
      <c r="K237">
        <f t="shared" si="31"/>
        <v>526.80000000000007</v>
      </c>
      <c r="L237">
        <v>3.4</v>
      </c>
      <c r="M237">
        <f t="shared" si="32"/>
        <v>288.7999999999999</v>
      </c>
      <c r="N237">
        <v>-3.4</v>
      </c>
      <c r="O237">
        <f t="shared" si="28"/>
        <v>51.800000000000011</v>
      </c>
      <c r="P237">
        <v>232</v>
      </c>
      <c r="Q237">
        <v>1.1499999999999999</v>
      </c>
      <c r="R237" s="6">
        <f t="shared" si="29"/>
        <v>3.9099999999999997</v>
      </c>
      <c r="S237" s="6">
        <f t="shared" si="30"/>
        <v>-3.9099999999999997</v>
      </c>
      <c r="T237" s="6">
        <f t="shared" si="33"/>
        <v>38.082682926829257</v>
      </c>
      <c r="U237">
        <f>(U235*100)/122.1</f>
        <v>49.122161439234603</v>
      </c>
      <c r="V237">
        <v>2268.4</v>
      </c>
      <c r="X237">
        <v>168523.80000000002</v>
      </c>
      <c r="Y237">
        <f t="shared" si="34"/>
        <v>28190.800000000003</v>
      </c>
      <c r="AA237">
        <v>14.0375800701713</v>
      </c>
    </row>
    <row r="238" spans="1:27" x14ac:dyDescent="0.25">
      <c r="A238" s="16"/>
      <c r="B238" s="1"/>
      <c r="C238" s="4">
        <v>42119</v>
      </c>
      <c r="D238">
        <v>13.6</v>
      </c>
      <c r="E238">
        <v>11.1</v>
      </c>
      <c r="F238">
        <v>16.899999999999999</v>
      </c>
      <c r="G238">
        <v>1919.6</v>
      </c>
      <c r="H238">
        <f t="shared" si="35"/>
        <v>204.29999999999998</v>
      </c>
      <c r="J238">
        <v>5</v>
      </c>
      <c r="K238">
        <f t="shared" si="31"/>
        <v>531.80000000000007</v>
      </c>
      <c r="L238">
        <v>1.4</v>
      </c>
      <c r="M238">
        <f t="shared" si="32"/>
        <v>290.19999999999987</v>
      </c>
      <c r="N238">
        <v>3.6</v>
      </c>
      <c r="O238">
        <f t="shared" si="28"/>
        <v>55.400000000000013</v>
      </c>
      <c r="P238">
        <v>233</v>
      </c>
      <c r="Q238">
        <v>1.1499999999999999</v>
      </c>
      <c r="R238" s="6">
        <f t="shared" si="29"/>
        <v>1.6099999999999999</v>
      </c>
      <c r="S238" s="6">
        <f t="shared" si="30"/>
        <v>3.39</v>
      </c>
      <c r="T238" s="6">
        <f t="shared" si="33"/>
        <v>41.472682926829258</v>
      </c>
      <c r="V238">
        <v>800.5</v>
      </c>
      <c r="X238">
        <v>169324.30000000002</v>
      </c>
      <c r="Y238">
        <f t="shared" si="34"/>
        <v>28991.300000000003</v>
      </c>
      <c r="AA238">
        <v>14.0897848610359</v>
      </c>
    </row>
    <row r="239" spans="1:27" x14ac:dyDescent="0.25">
      <c r="A239" s="16"/>
      <c r="B239" s="1"/>
      <c r="C239" s="4">
        <v>42120</v>
      </c>
      <c r="D239">
        <v>15.1</v>
      </c>
      <c r="E239">
        <v>11.1</v>
      </c>
      <c r="F239">
        <v>19.2</v>
      </c>
      <c r="G239">
        <v>1934.6999999999998</v>
      </c>
      <c r="H239">
        <f t="shared" si="35"/>
        <v>219.39999999999998</v>
      </c>
      <c r="J239">
        <v>8.1</v>
      </c>
      <c r="K239">
        <f t="shared" si="31"/>
        <v>539.90000000000009</v>
      </c>
      <c r="L239">
        <v>2.1</v>
      </c>
      <c r="M239">
        <f t="shared" si="32"/>
        <v>292.2999999999999</v>
      </c>
      <c r="N239">
        <v>6</v>
      </c>
      <c r="O239">
        <f t="shared" si="28"/>
        <v>61.400000000000013</v>
      </c>
      <c r="P239">
        <v>234</v>
      </c>
      <c r="Q239">
        <v>1.1499999999999999</v>
      </c>
      <c r="R239" s="6">
        <f t="shared" si="29"/>
        <v>2.415</v>
      </c>
      <c r="S239" s="6">
        <f t="shared" si="30"/>
        <v>5.6849999999999996</v>
      </c>
      <c r="T239" s="6">
        <f t="shared" si="33"/>
        <v>47.15768292682926</v>
      </c>
      <c r="V239">
        <v>1258.4000000000001</v>
      </c>
      <c r="X239">
        <v>170582.7</v>
      </c>
      <c r="Y239">
        <f t="shared" si="34"/>
        <v>30249.700000000004</v>
      </c>
      <c r="AA239">
        <v>14.141671336905899</v>
      </c>
    </row>
    <row r="240" spans="1:27" x14ac:dyDescent="0.25">
      <c r="A240" s="16"/>
      <c r="B240" s="1"/>
      <c r="C240" s="4">
        <v>42121</v>
      </c>
      <c r="D240">
        <v>12</v>
      </c>
      <c r="E240">
        <v>10.1</v>
      </c>
      <c r="F240">
        <v>16.100000000000001</v>
      </c>
      <c r="G240">
        <v>1946.6999999999998</v>
      </c>
      <c r="H240">
        <f t="shared" si="35"/>
        <v>231.39999999999998</v>
      </c>
      <c r="J240">
        <v>4.0999999999999996</v>
      </c>
      <c r="K240">
        <f t="shared" si="31"/>
        <v>544.00000000000011</v>
      </c>
      <c r="L240">
        <v>1</v>
      </c>
      <c r="M240">
        <f t="shared" si="32"/>
        <v>293.2999999999999</v>
      </c>
      <c r="N240">
        <v>3.0999999999999996</v>
      </c>
      <c r="O240">
        <f t="shared" si="28"/>
        <v>64.500000000000014</v>
      </c>
      <c r="P240">
        <v>235</v>
      </c>
      <c r="Q240">
        <v>1.1499999999999999</v>
      </c>
      <c r="R240" s="6">
        <f t="shared" si="29"/>
        <v>1.1499999999999999</v>
      </c>
      <c r="S240" s="6">
        <f t="shared" si="30"/>
        <v>2.9499999999999997</v>
      </c>
      <c r="T240" s="6">
        <f t="shared" si="33"/>
        <v>50.107682926829263</v>
      </c>
      <c r="V240">
        <v>390.7</v>
      </c>
      <c r="X240">
        <v>170973.40000000002</v>
      </c>
      <c r="Y240">
        <f t="shared" si="34"/>
        <v>30640.400000000005</v>
      </c>
      <c r="AA240">
        <v>14.1932248605896</v>
      </c>
    </row>
    <row r="241" spans="1:27" x14ac:dyDescent="0.25">
      <c r="A241" s="16"/>
      <c r="B241" s="1"/>
      <c r="C241" s="4">
        <v>42122</v>
      </c>
      <c r="D241">
        <v>8.8000000000000007</v>
      </c>
      <c r="E241">
        <v>6.8</v>
      </c>
      <c r="F241">
        <v>12.6</v>
      </c>
      <c r="G241">
        <v>1955.4999999999998</v>
      </c>
      <c r="H241">
        <f t="shared" si="35"/>
        <v>240.2</v>
      </c>
      <c r="J241">
        <v>0</v>
      </c>
      <c r="K241">
        <f t="shared" si="31"/>
        <v>544.00000000000011</v>
      </c>
      <c r="L241">
        <v>2.1</v>
      </c>
      <c r="M241">
        <f t="shared" si="32"/>
        <v>295.39999999999992</v>
      </c>
      <c r="N241">
        <v>-2.1</v>
      </c>
      <c r="O241">
        <f t="shared" si="28"/>
        <v>62.400000000000013</v>
      </c>
      <c r="P241">
        <v>236</v>
      </c>
      <c r="Q241">
        <v>1.1499999999999999</v>
      </c>
      <c r="R241" s="6">
        <f t="shared" si="29"/>
        <v>2.415</v>
      </c>
      <c r="S241" s="6">
        <f t="shared" si="30"/>
        <v>-2.415</v>
      </c>
      <c r="T241" s="6">
        <f t="shared" si="33"/>
        <v>47.692682926829264</v>
      </c>
      <c r="V241">
        <v>1104</v>
      </c>
      <c r="X241">
        <v>172077.40000000002</v>
      </c>
      <c r="Y241">
        <f t="shared" si="34"/>
        <v>31744.400000000005</v>
      </c>
      <c r="AA241">
        <v>14.2444303249817</v>
      </c>
    </row>
    <row r="242" spans="1:27" x14ac:dyDescent="0.25">
      <c r="A242" s="16"/>
      <c r="B242" s="1"/>
      <c r="C242" s="4">
        <v>42123</v>
      </c>
      <c r="D242">
        <v>9.5</v>
      </c>
      <c r="E242">
        <v>2.8</v>
      </c>
      <c r="F242">
        <v>15.8</v>
      </c>
      <c r="G242">
        <v>1964.9999999999998</v>
      </c>
      <c r="H242">
        <f t="shared" si="35"/>
        <v>249.7</v>
      </c>
      <c r="J242">
        <v>0</v>
      </c>
      <c r="K242">
        <f t="shared" si="31"/>
        <v>544.00000000000011</v>
      </c>
      <c r="L242">
        <v>1.1000000000000001</v>
      </c>
      <c r="M242">
        <f t="shared" si="32"/>
        <v>296.49999999999994</v>
      </c>
      <c r="N242">
        <v>-1.1000000000000001</v>
      </c>
      <c r="O242">
        <f t="shared" si="28"/>
        <v>61.300000000000011</v>
      </c>
      <c r="P242">
        <v>237</v>
      </c>
      <c r="Q242">
        <v>1.1499999999999999</v>
      </c>
      <c r="R242" s="6">
        <f t="shared" si="29"/>
        <v>1.2649999999999999</v>
      </c>
      <c r="S242" s="6">
        <f t="shared" si="30"/>
        <v>-1.2649999999999999</v>
      </c>
      <c r="T242" s="6">
        <f t="shared" si="33"/>
        <v>46.427682926829263</v>
      </c>
      <c r="V242">
        <v>921.4</v>
      </c>
      <c r="X242">
        <v>172998.80000000002</v>
      </c>
      <c r="Y242">
        <f t="shared" si="34"/>
        <v>32665.800000000007</v>
      </c>
      <c r="AA242">
        <v>14.295272147663599</v>
      </c>
    </row>
    <row r="243" spans="1:27" x14ac:dyDescent="0.25">
      <c r="A243" s="16"/>
      <c r="B243" s="1"/>
      <c r="C243" s="4">
        <v>42124</v>
      </c>
      <c r="D243">
        <v>11.1</v>
      </c>
      <c r="E243">
        <v>6.5</v>
      </c>
      <c r="F243">
        <v>16.5</v>
      </c>
      <c r="G243">
        <v>1976.0999999999997</v>
      </c>
      <c r="H243">
        <f t="shared" si="35"/>
        <v>260.8</v>
      </c>
      <c r="J243">
        <v>21.4</v>
      </c>
      <c r="K243">
        <f t="shared" si="31"/>
        <v>565.40000000000009</v>
      </c>
      <c r="L243">
        <v>1.9</v>
      </c>
      <c r="M243">
        <f t="shared" si="32"/>
        <v>298.39999999999992</v>
      </c>
      <c r="N243">
        <v>19.5</v>
      </c>
      <c r="O243">
        <f t="shared" si="28"/>
        <v>80.800000000000011</v>
      </c>
      <c r="P243">
        <v>238</v>
      </c>
      <c r="Q243">
        <v>1.1499999999999999</v>
      </c>
      <c r="R243" s="6">
        <f t="shared" si="29"/>
        <v>2.1849999999999996</v>
      </c>
      <c r="S243" s="6">
        <f t="shared" si="30"/>
        <v>19.215</v>
      </c>
      <c r="T243" s="6">
        <f t="shared" si="33"/>
        <v>65.642682926829266</v>
      </c>
      <c r="V243">
        <v>1224.2</v>
      </c>
      <c r="X243">
        <v>174223.00000000003</v>
      </c>
      <c r="Y243">
        <f t="shared" si="34"/>
        <v>33890.000000000007</v>
      </c>
      <c r="AA243">
        <v>14.345734266602699</v>
      </c>
    </row>
    <row r="244" spans="1:27" s="34" customFormat="1" ht="15.75" thickBot="1" x14ac:dyDescent="0.3">
      <c r="A244" s="38" t="s">
        <v>49</v>
      </c>
      <c r="B244" s="39"/>
      <c r="C244" s="33">
        <v>42125</v>
      </c>
      <c r="D244" s="34">
        <v>13</v>
      </c>
      <c r="E244" s="34">
        <v>9.9</v>
      </c>
      <c r="F244" s="34">
        <v>14.2</v>
      </c>
      <c r="G244" s="34">
        <v>1989.0999999999997</v>
      </c>
      <c r="H244" s="34">
        <f t="shared" si="35"/>
        <v>273.8</v>
      </c>
      <c r="J244" s="34">
        <v>22.3</v>
      </c>
      <c r="K244" s="34">
        <f t="shared" si="31"/>
        <v>587.70000000000005</v>
      </c>
      <c r="L244" s="34">
        <v>0.7</v>
      </c>
      <c r="M244" s="34">
        <f t="shared" si="32"/>
        <v>299.09999999999991</v>
      </c>
      <c r="N244" s="34">
        <v>21.6</v>
      </c>
      <c r="O244" s="34">
        <f t="shared" si="28"/>
        <v>102.4</v>
      </c>
      <c r="P244" s="34">
        <v>239</v>
      </c>
      <c r="Q244" s="28">
        <v>1.1499999999999999</v>
      </c>
      <c r="R244" s="35">
        <f t="shared" si="29"/>
        <v>0.80499999999999994</v>
      </c>
      <c r="S244" s="35">
        <f t="shared" si="30"/>
        <v>21.495000000000001</v>
      </c>
      <c r="T244" s="30">
        <f t="shared" si="33"/>
        <v>87.137682926829271</v>
      </c>
      <c r="V244" s="34">
        <v>507.2</v>
      </c>
      <c r="X244" s="34">
        <v>174730.20000000004</v>
      </c>
      <c r="Y244" s="28">
        <f t="shared" si="34"/>
        <v>34397.200000000004</v>
      </c>
      <c r="AA244" s="28">
        <v>14.3958001370346</v>
      </c>
    </row>
    <row r="245" spans="1:27" x14ac:dyDescent="0.25">
      <c r="A245" s="51">
        <v>300</v>
      </c>
      <c r="B245" s="3"/>
      <c r="C245" s="4">
        <v>42126</v>
      </c>
      <c r="D245">
        <v>14.2</v>
      </c>
      <c r="E245">
        <v>12.8</v>
      </c>
      <c r="F245">
        <v>17</v>
      </c>
      <c r="G245">
        <v>2003.2999999999997</v>
      </c>
      <c r="H245">
        <v>14.2</v>
      </c>
      <c r="I245" s="19" t="s">
        <v>27</v>
      </c>
      <c r="J245">
        <v>9</v>
      </c>
      <c r="K245">
        <f t="shared" si="31"/>
        <v>596.70000000000005</v>
      </c>
      <c r="L245">
        <v>1</v>
      </c>
      <c r="M245">
        <f t="shared" si="32"/>
        <v>300.09999999999991</v>
      </c>
      <c r="N245">
        <v>8</v>
      </c>
      <c r="O245">
        <f t="shared" si="28"/>
        <v>110.4</v>
      </c>
      <c r="P245">
        <v>240</v>
      </c>
      <c r="Q245">
        <v>1.1499999999999999</v>
      </c>
      <c r="R245" s="6">
        <f t="shared" si="29"/>
        <v>1.1499999999999999</v>
      </c>
      <c r="S245" s="6">
        <f t="shared" si="30"/>
        <v>7.85</v>
      </c>
      <c r="T245" s="6">
        <f t="shared" si="33"/>
        <v>94.987682926829265</v>
      </c>
      <c r="U245" s="19" t="s">
        <v>28</v>
      </c>
      <c r="V245">
        <v>418.3</v>
      </c>
      <c r="X245">
        <v>175148.50000000003</v>
      </c>
      <c r="Y245">
        <v>418.3</v>
      </c>
      <c r="Z245" s="19" t="s">
        <v>29</v>
      </c>
      <c r="AA245">
        <v>14.4454527296138</v>
      </c>
    </row>
    <row r="246" spans="1:27" x14ac:dyDescent="0.25">
      <c r="A246" s="51"/>
      <c r="B246" s="3"/>
      <c r="C246" s="4">
        <v>42127</v>
      </c>
      <c r="D246">
        <v>16.600000000000001</v>
      </c>
      <c r="E246">
        <v>13.2</v>
      </c>
      <c r="F246">
        <v>18.8</v>
      </c>
      <c r="G246">
        <v>2019.8999999999996</v>
      </c>
      <c r="H246">
        <f t="shared" si="35"/>
        <v>30.8</v>
      </c>
      <c r="I246">
        <f>MIN(E245:E265)</f>
        <v>5.6</v>
      </c>
      <c r="J246">
        <v>9.3000000000000007</v>
      </c>
      <c r="K246">
        <f t="shared" si="31"/>
        <v>606</v>
      </c>
      <c r="L246">
        <v>0.9</v>
      </c>
      <c r="M246">
        <f t="shared" si="32"/>
        <v>300.99999999999989</v>
      </c>
      <c r="N246">
        <v>8.4</v>
      </c>
      <c r="O246">
        <f t="shared" si="28"/>
        <v>118.80000000000001</v>
      </c>
      <c r="P246">
        <v>241</v>
      </c>
      <c r="Q246">
        <v>1.1499999999999999</v>
      </c>
      <c r="R246" s="6">
        <f t="shared" si="29"/>
        <v>1.0349999999999999</v>
      </c>
      <c r="S246" s="6">
        <f t="shared" si="30"/>
        <v>8.2650000000000006</v>
      </c>
      <c r="T246" s="6">
        <f t="shared" si="33"/>
        <v>103.25268292682927</v>
      </c>
      <c r="U246">
        <v>19</v>
      </c>
      <c r="V246">
        <v>596.1</v>
      </c>
      <c r="X246">
        <v>175744.60000000003</v>
      </c>
      <c r="Y246">
        <f t="shared" si="34"/>
        <v>1014.4000000000001</v>
      </c>
      <c r="Z246">
        <f>Y265</f>
        <v>37483.199999999997</v>
      </c>
      <c r="AA246">
        <v>14.494674529923</v>
      </c>
    </row>
    <row r="247" spans="1:27" x14ac:dyDescent="0.25">
      <c r="A247" s="51"/>
      <c r="B247" s="3"/>
      <c r="C247" s="4">
        <v>42128</v>
      </c>
      <c r="D247">
        <v>18.7</v>
      </c>
      <c r="E247">
        <v>15.2</v>
      </c>
      <c r="F247">
        <v>21.8</v>
      </c>
      <c r="G247">
        <v>2038.5999999999997</v>
      </c>
      <c r="H247">
        <f t="shared" si="35"/>
        <v>49.5</v>
      </c>
      <c r="I247" s="19" t="s">
        <v>30</v>
      </c>
      <c r="J247">
        <v>0.1</v>
      </c>
      <c r="K247">
        <f t="shared" si="31"/>
        <v>606.1</v>
      </c>
      <c r="L247">
        <v>1.1000000000000001</v>
      </c>
      <c r="M247">
        <f t="shared" si="32"/>
        <v>302.09999999999991</v>
      </c>
      <c r="N247">
        <v>-1</v>
      </c>
      <c r="O247">
        <f t="shared" si="28"/>
        <v>117.80000000000001</v>
      </c>
      <c r="P247">
        <v>242</v>
      </c>
      <c r="Q247">
        <v>1.1499999999999999</v>
      </c>
      <c r="R247" s="6">
        <f t="shared" si="29"/>
        <v>1.2649999999999999</v>
      </c>
      <c r="S247" s="6">
        <f t="shared" si="30"/>
        <v>-1.1649999999999998</v>
      </c>
      <c r="T247" s="6">
        <f t="shared" si="33"/>
        <v>102.08768292682926</v>
      </c>
      <c r="U247" s="19" t="s">
        <v>31</v>
      </c>
      <c r="V247">
        <v>520</v>
      </c>
      <c r="X247">
        <v>176264.60000000003</v>
      </c>
      <c r="Y247">
        <f t="shared" si="34"/>
        <v>1534.4</v>
      </c>
      <c r="Z247" s="19" t="s">
        <v>32</v>
      </c>
      <c r="AA247">
        <v>14.543447539428399</v>
      </c>
    </row>
    <row r="248" spans="1:27" x14ac:dyDescent="0.25">
      <c r="A248" s="51"/>
      <c r="B248" s="3"/>
      <c r="C248" s="4">
        <v>42129</v>
      </c>
      <c r="D248">
        <v>17.3</v>
      </c>
      <c r="E248">
        <v>17.600000000000001</v>
      </c>
      <c r="F248">
        <v>19.3</v>
      </c>
      <c r="G248">
        <v>2055.8999999999996</v>
      </c>
      <c r="H248">
        <f t="shared" si="35"/>
        <v>66.8</v>
      </c>
      <c r="I248">
        <f>MAX(F245:F265)</f>
        <v>26.9</v>
      </c>
      <c r="J248">
        <v>0</v>
      </c>
      <c r="K248">
        <f t="shared" si="31"/>
        <v>606.1</v>
      </c>
      <c r="L248">
        <v>3</v>
      </c>
      <c r="M248">
        <f t="shared" si="32"/>
        <v>305.09999999999991</v>
      </c>
      <c r="N248">
        <v>-3</v>
      </c>
      <c r="O248">
        <f t="shared" si="28"/>
        <v>114.80000000000001</v>
      </c>
      <c r="P248">
        <v>243</v>
      </c>
      <c r="Q248">
        <v>1.1499999999999999</v>
      </c>
      <c r="R248" s="6">
        <f t="shared" si="29"/>
        <v>3.4499999999999997</v>
      </c>
      <c r="S248" s="6">
        <f t="shared" si="30"/>
        <v>-3.4499999999999997</v>
      </c>
      <c r="T248" s="6">
        <f t="shared" si="33"/>
        <v>98.637682926829257</v>
      </c>
      <c r="U248">
        <v>0</v>
      </c>
      <c r="V248">
        <v>1346.8</v>
      </c>
      <c r="X248">
        <v>177611.40000000002</v>
      </c>
      <c r="Y248">
        <f t="shared" si="34"/>
        <v>2881.2</v>
      </c>
      <c r="Z248" s="7">
        <f>(Z246/100)/I258</f>
        <v>1.2025409047160731</v>
      </c>
      <c r="AA248">
        <v>14.591753277977</v>
      </c>
    </row>
    <row r="249" spans="1:27" x14ac:dyDescent="0.25">
      <c r="A249" s="51"/>
      <c r="B249" s="3"/>
      <c r="C249" s="4">
        <v>42130</v>
      </c>
      <c r="D249">
        <v>12.7</v>
      </c>
      <c r="E249">
        <v>10.6</v>
      </c>
      <c r="F249">
        <v>15.8</v>
      </c>
      <c r="G249">
        <v>2068.5999999999995</v>
      </c>
      <c r="H249">
        <f t="shared" si="35"/>
        <v>79.5</v>
      </c>
      <c r="I249" s="19" t="s">
        <v>33</v>
      </c>
      <c r="J249">
        <v>0</v>
      </c>
      <c r="K249">
        <f t="shared" si="31"/>
        <v>606.1</v>
      </c>
      <c r="L249">
        <v>2.9</v>
      </c>
      <c r="M249">
        <f t="shared" si="32"/>
        <v>307.99999999999989</v>
      </c>
      <c r="N249">
        <v>-2.9</v>
      </c>
      <c r="O249">
        <f t="shared" si="28"/>
        <v>111.9</v>
      </c>
      <c r="P249">
        <v>244</v>
      </c>
      <c r="Q249">
        <v>1.1499999999999999</v>
      </c>
      <c r="R249" s="6">
        <f t="shared" si="29"/>
        <v>3.3349999999999995</v>
      </c>
      <c r="S249" s="6">
        <f t="shared" si="30"/>
        <v>-3.3349999999999995</v>
      </c>
      <c r="T249" s="6">
        <f t="shared" si="33"/>
        <v>95.302682926829263</v>
      </c>
      <c r="U249" s="19" t="s">
        <v>34</v>
      </c>
      <c r="V249">
        <v>1831.1</v>
      </c>
      <c r="X249">
        <v>179442.50000000003</v>
      </c>
      <c r="Y249">
        <f t="shared" si="34"/>
        <v>4712.2999999999993</v>
      </c>
      <c r="Z249" s="19" t="s">
        <v>35</v>
      </c>
      <c r="AA249">
        <v>14.639572787926101</v>
      </c>
    </row>
    <row r="250" spans="1:27" x14ac:dyDescent="0.25">
      <c r="A250" s="51"/>
      <c r="B250" s="3"/>
      <c r="C250" s="4">
        <v>42131</v>
      </c>
      <c r="D250">
        <v>11.7</v>
      </c>
      <c r="E250">
        <v>6.9</v>
      </c>
      <c r="F250">
        <v>17</v>
      </c>
      <c r="G250">
        <v>2080.2999999999993</v>
      </c>
      <c r="H250">
        <f t="shared" si="35"/>
        <v>91.2</v>
      </c>
      <c r="I250" s="6">
        <f>AVERAGE(D245:D265)</f>
        <v>14.842857142857142</v>
      </c>
      <c r="J250">
        <v>0</v>
      </c>
      <c r="K250">
        <f t="shared" si="31"/>
        <v>606.1</v>
      </c>
      <c r="L250">
        <v>3.4</v>
      </c>
      <c r="M250">
        <f t="shared" si="32"/>
        <v>311.39999999999986</v>
      </c>
      <c r="N250">
        <v>-3.4</v>
      </c>
      <c r="O250">
        <f t="shared" si="28"/>
        <v>108.5</v>
      </c>
      <c r="P250">
        <v>245</v>
      </c>
      <c r="Q250">
        <v>1.1499999999999999</v>
      </c>
      <c r="R250" s="6">
        <f t="shared" si="29"/>
        <v>3.9099999999999997</v>
      </c>
      <c r="S250" s="6">
        <f t="shared" si="30"/>
        <v>-3.9099999999999997</v>
      </c>
      <c r="T250" s="6">
        <f t="shared" si="33"/>
        <v>91.392682926829266</v>
      </c>
      <c r="U250">
        <v>1</v>
      </c>
      <c r="V250">
        <v>2592.5</v>
      </c>
      <c r="X250">
        <v>182035.00000000003</v>
      </c>
      <c r="Y250">
        <f t="shared" si="34"/>
        <v>7304.7999999999993</v>
      </c>
      <c r="Z250">
        <v>3</v>
      </c>
      <c r="AA250">
        <v>14.6868866400001</v>
      </c>
    </row>
    <row r="251" spans="1:27" x14ac:dyDescent="0.25">
      <c r="A251" s="51"/>
      <c r="B251" s="3"/>
      <c r="C251" s="4">
        <v>42132</v>
      </c>
      <c r="D251">
        <v>12.4</v>
      </c>
      <c r="E251">
        <v>6.6</v>
      </c>
      <c r="F251">
        <v>16.5</v>
      </c>
      <c r="G251">
        <v>2092.6999999999994</v>
      </c>
      <c r="H251">
        <f t="shared" si="35"/>
        <v>103.60000000000001</v>
      </c>
      <c r="I251" s="19" t="s">
        <v>36</v>
      </c>
      <c r="J251">
        <v>1.9</v>
      </c>
      <c r="K251">
        <f t="shared" si="31"/>
        <v>608</v>
      </c>
      <c r="L251">
        <v>1.7</v>
      </c>
      <c r="M251">
        <f t="shared" si="32"/>
        <v>313.09999999999985</v>
      </c>
      <c r="N251">
        <v>0.19999999999999996</v>
      </c>
      <c r="O251">
        <f t="shared" ref="O251:O281" si="36">O250+N251</f>
        <v>108.7</v>
      </c>
      <c r="P251">
        <v>246</v>
      </c>
      <c r="Q251">
        <v>1.1499999999999999</v>
      </c>
      <c r="R251" s="6">
        <f t="shared" si="29"/>
        <v>1.9549999999999998</v>
      </c>
      <c r="S251" s="6">
        <f t="shared" si="30"/>
        <v>-5.4999999999999938E-2</v>
      </c>
      <c r="T251" s="6">
        <f t="shared" si="33"/>
        <v>91.33768292682926</v>
      </c>
      <c r="U251" s="19" t="s">
        <v>37</v>
      </c>
      <c r="V251">
        <v>1482.2</v>
      </c>
      <c r="X251">
        <v>183517.20000000004</v>
      </c>
      <c r="Y251">
        <f t="shared" si="34"/>
        <v>8787</v>
      </c>
      <c r="AA251">
        <v>14.733674940966999</v>
      </c>
    </row>
    <row r="252" spans="1:27" x14ac:dyDescent="0.25">
      <c r="A252" s="51"/>
      <c r="B252" s="3"/>
      <c r="C252" s="4">
        <v>42133</v>
      </c>
      <c r="D252">
        <v>14.6</v>
      </c>
      <c r="E252">
        <v>12.3</v>
      </c>
      <c r="F252">
        <v>18.7</v>
      </c>
      <c r="G252">
        <v>2107.2999999999993</v>
      </c>
      <c r="H252">
        <f t="shared" si="35"/>
        <v>118.2</v>
      </c>
      <c r="I252">
        <v>0</v>
      </c>
      <c r="J252">
        <v>0</v>
      </c>
      <c r="K252">
        <f t="shared" si="31"/>
        <v>608</v>
      </c>
      <c r="L252">
        <v>1.8</v>
      </c>
      <c r="M252">
        <f t="shared" si="32"/>
        <v>314.89999999999986</v>
      </c>
      <c r="N252">
        <v>-1.8</v>
      </c>
      <c r="O252">
        <f t="shared" si="36"/>
        <v>106.9</v>
      </c>
      <c r="P252">
        <v>247</v>
      </c>
      <c r="Q252">
        <v>1.1499999999999999</v>
      </c>
      <c r="R252" s="6">
        <f t="shared" si="29"/>
        <v>2.0699999999999998</v>
      </c>
      <c r="S252" s="6">
        <f t="shared" si="30"/>
        <v>-2.0699999999999998</v>
      </c>
      <c r="T252" s="6">
        <f t="shared" si="33"/>
        <v>89.267682926829266</v>
      </c>
      <c r="U252" s="6">
        <v>39.200000000000003</v>
      </c>
      <c r="V252">
        <v>1145.4000000000001</v>
      </c>
      <c r="X252">
        <v>184662.60000000003</v>
      </c>
      <c r="Y252">
        <f t="shared" si="34"/>
        <v>9932.4</v>
      </c>
      <c r="AA252">
        <v>14.779917343228499</v>
      </c>
    </row>
    <row r="253" spans="1:27" x14ac:dyDescent="0.25">
      <c r="A253" s="51"/>
      <c r="B253" s="3"/>
      <c r="C253" s="4">
        <v>42134</v>
      </c>
      <c r="D253">
        <v>15.4</v>
      </c>
      <c r="E253">
        <v>8.1999999999999993</v>
      </c>
      <c r="F253">
        <v>21.5</v>
      </c>
      <c r="G253">
        <v>2122.6999999999994</v>
      </c>
      <c r="H253">
        <f t="shared" si="35"/>
        <v>133.6</v>
      </c>
      <c r="I253" s="19" t="s">
        <v>38</v>
      </c>
      <c r="J253">
        <v>0</v>
      </c>
      <c r="K253">
        <f t="shared" si="31"/>
        <v>608</v>
      </c>
      <c r="L253">
        <v>3.8</v>
      </c>
      <c r="M253">
        <f t="shared" si="32"/>
        <v>318.69999999999987</v>
      </c>
      <c r="N253">
        <v>-3.8</v>
      </c>
      <c r="O253">
        <f t="shared" si="36"/>
        <v>103.10000000000001</v>
      </c>
      <c r="P253">
        <v>248</v>
      </c>
      <c r="Q253">
        <v>1.1499999999999999</v>
      </c>
      <c r="R253" s="6">
        <f t="shared" si="29"/>
        <v>4.3699999999999992</v>
      </c>
      <c r="S253" s="6">
        <f t="shared" si="30"/>
        <v>-4.3699999999999992</v>
      </c>
      <c r="T253" s="6">
        <f t="shared" si="33"/>
        <v>84.897682926829262</v>
      </c>
      <c r="U253" s="19" t="s">
        <v>39</v>
      </c>
      <c r="V253">
        <v>2596.1</v>
      </c>
      <c r="X253">
        <v>187258.70000000004</v>
      </c>
      <c r="Y253">
        <f t="shared" si="34"/>
        <v>12528.5</v>
      </c>
      <c r="AA253">
        <v>14.825593056412499</v>
      </c>
    </row>
    <row r="254" spans="1:27" x14ac:dyDescent="0.25">
      <c r="A254" s="51"/>
      <c r="B254" s="3"/>
      <c r="C254" s="4">
        <v>42135</v>
      </c>
      <c r="D254">
        <v>17.2</v>
      </c>
      <c r="E254">
        <v>9.6</v>
      </c>
      <c r="F254">
        <v>25.2</v>
      </c>
      <c r="G254" s="18">
        <v>2139.8999999999992</v>
      </c>
      <c r="H254" s="11">
        <f t="shared" si="35"/>
        <v>150.79999999999998</v>
      </c>
      <c r="I254">
        <v>3</v>
      </c>
      <c r="J254" s="11">
        <v>0</v>
      </c>
      <c r="K254" s="11">
        <f t="shared" si="31"/>
        <v>608</v>
      </c>
      <c r="L254" s="11">
        <v>4.4000000000000004</v>
      </c>
      <c r="M254" s="11">
        <f t="shared" si="32"/>
        <v>323.09999999999985</v>
      </c>
      <c r="N254">
        <v>-4.4000000000000004</v>
      </c>
      <c r="O254">
        <f t="shared" si="36"/>
        <v>98.7</v>
      </c>
      <c r="P254">
        <v>249</v>
      </c>
      <c r="Q254">
        <v>1.1499999999999999</v>
      </c>
      <c r="R254" s="6">
        <f t="shared" si="29"/>
        <v>5.0599999999999996</v>
      </c>
      <c r="S254" s="6">
        <f t="shared" si="30"/>
        <v>-5.0599999999999996</v>
      </c>
      <c r="T254" s="6">
        <f t="shared" si="33"/>
        <v>79.83768292682926</v>
      </c>
      <c r="U254" s="6">
        <f>MAX(T245:T265)</f>
        <v>103.25268292682927</v>
      </c>
      <c r="V254" s="11">
        <v>2730.2</v>
      </c>
      <c r="W254" s="11"/>
      <c r="X254" s="18">
        <v>189988.90000000005</v>
      </c>
      <c r="Y254">
        <f t="shared" si="34"/>
        <v>15258.7</v>
      </c>
      <c r="Z254" s="18"/>
      <c r="AA254">
        <v>14.870680861057499</v>
      </c>
    </row>
    <row r="255" spans="1:27" ht="15" customHeight="1" x14ac:dyDescent="0.25">
      <c r="A255" s="51"/>
      <c r="B255" s="3"/>
      <c r="C255" s="4">
        <v>42136</v>
      </c>
      <c r="D255">
        <v>19.7</v>
      </c>
      <c r="E255">
        <v>12.3</v>
      </c>
      <c r="F255">
        <v>26.9</v>
      </c>
      <c r="G255">
        <v>2159.599999999999</v>
      </c>
      <c r="H255">
        <f t="shared" si="35"/>
        <v>170.49999999999997</v>
      </c>
      <c r="I255" s="19" t="s">
        <v>40</v>
      </c>
      <c r="J255">
        <v>0</v>
      </c>
      <c r="K255">
        <f t="shared" si="31"/>
        <v>608</v>
      </c>
      <c r="L255">
        <v>4.9000000000000004</v>
      </c>
      <c r="M255">
        <f t="shared" si="32"/>
        <v>327.99999999999983</v>
      </c>
      <c r="N255">
        <v>-4.9000000000000004</v>
      </c>
      <c r="O255">
        <f t="shared" si="36"/>
        <v>93.8</v>
      </c>
      <c r="P255">
        <v>250</v>
      </c>
      <c r="Q255">
        <v>1.1499999999999999</v>
      </c>
      <c r="R255" s="6">
        <f t="shared" si="29"/>
        <v>5.6349999999999998</v>
      </c>
      <c r="S255" s="6">
        <f t="shared" si="30"/>
        <v>-5.6349999999999998</v>
      </c>
      <c r="T255" s="6">
        <f t="shared" si="33"/>
        <v>74.202682926829254</v>
      </c>
      <c r="U255" s="19" t="s">
        <v>41</v>
      </c>
      <c r="V255">
        <v>2602</v>
      </c>
      <c r="X255">
        <v>192590.90000000005</v>
      </c>
      <c r="Y255">
        <f t="shared" si="34"/>
        <v>17860.7</v>
      </c>
      <c r="AA255">
        <v>14.915159124471201</v>
      </c>
    </row>
    <row r="256" spans="1:27" x14ac:dyDescent="0.25">
      <c r="A256" s="51"/>
      <c r="B256" s="3"/>
      <c r="C256" s="4">
        <v>42137</v>
      </c>
      <c r="D256">
        <v>20</v>
      </c>
      <c r="E256">
        <v>13.2</v>
      </c>
      <c r="F256">
        <v>25.7</v>
      </c>
      <c r="G256">
        <v>2179.599999999999</v>
      </c>
      <c r="H256">
        <f t="shared" si="35"/>
        <v>190.49999999999997</v>
      </c>
      <c r="I256">
        <v>0</v>
      </c>
      <c r="J256">
        <v>0</v>
      </c>
      <c r="K256">
        <f t="shared" si="31"/>
        <v>608</v>
      </c>
      <c r="L256">
        <v>4.7</v>
      </c>
      <c r="M256">
        <f t="shared" si="32"/>
        <v>332.69999999999982</v>
      </c>
      <c r="N256">
        <v>-4.7</v>
      </c>
      <c r="O256">
        <f t="shared" si="36"/>
        <v>89.1</v>
      </c>
      <c r="P256">
        <v>251</v>
      </c>
      <c r="Q256">
        <v>1.1499999999999999</v>
      </c>
      <c r="R256" s="6">
        <f t="shared" si="29"/>
        <v>5.4049999999999994</v>
      </c>
      <c r="S256" s="6">
        <f t="shared" si="30"/>
        <v>-5.4049999999999994</v>
      </c>
      <c r="T256" s="6">
        <f t="shared" si="33"/>
        <v>68.797682926829253</v>
      </c>
      <c r="U256" s="40">
        <f>AVERAGE(T245:T265)</f>
        <v>74.342682926829269</v>
      </c>
      <c r="V256">
        <v>2421.6</v>
      </c>
      <c r="X256">
        <v>195012.50000000006</v>
      </c>
      <c r="Y256">
        <f t="shared" si="34"/>
        <v>20282.3</v>
      </c>
      <c r="AA256">
        <v>14.959005818845</v>
      </c>
    </row>
    <row r="257" spans="1:27" x14ac:dyDescent="0.25">
      <c r="A257" s="51"/>
      <c r="B257" s="3"/>
      <c r="C257" s="4">
        <v>42138</v>
      </c>
      <c r="D257">
        <v>15</v>
      </c>
      <c r="E257">
        <v>13.1</v>
      </c>
      <c r="F257">
        <v>20</v>
      </c>
      <c r="G257">
        <v>2194.599999999999</v>
      </c>
      <c r="H257">
        <f t="shared" si="35"/>
        <v>205.49999999999997</v>
      </c>
      <c r="I257" s="19" t="s">
        <v>42</v>
      </c>
      <c r="J257">
        <v>1.2</v>
      </c>
      <c r="K257">
        <f t="shared" si="31"/>
        <v>609.20000000000005</v>
      </c>
      <c r="L257">
        <v>3.1</v>
      </c>
      <c r="M257">
        <f t="shared" si="32"/>
        <v>335.79999999999984</v>
      </c>
      <c r="N257">
        <v>-1.9000000000000001</v>
      </c>
      <c r="O257">
        <f t="shared" si="36"/>
        <v>87.199999999999989</v>
      </c>
      <c r="P257">
        <v>252</v>
      </c>
      <c r="Q257">
        <v>1.1499999999999999</v>
      </c>
      <c r="R257" s="6">
        <f t="shared" si="29"/>
        <v>3.5649999999999999</v>
      </c>
      <c r="S257" s="6">
        <f t="shared" si="30"/>
        <v>-2.3650000000000002</v>
      </c>
      <c r="T257" s="6">
        <f t="shared" si="33"/>
        <v>66.432682926829258</v>
      </c>
      <c r="V257">
        <v>1498.2</v>
      </c>
      <c r="X257">
        <v>196510.70000000007</v>
      </c>
      <c r="Y257">
        <f t="shared" si="34"/>
        <v>21780.5</v>
      </c>
      <c r="AA257">
        <v>15.0021985416956</v>
      </c>
    </row>
    <row r="258" spans="1:27" x14ac:dyDescent="0.25">
      <c r="A258" s="51"/>
      <c r="B258" s="3"/>
      <c r="C258" s="4">
        <v>42139</v>
      </c>
      <c r="D258">
        <v>10.8</v>
      </c>
      <c r="E258">
        <v>9.3000000000000007</v>
      </c>
      <c r="F258">
        <v>12.2</v>
      </c>
      <c r="G258">
        <v>2205.3999999999992</v>
      </c>
      <c r="H258">
        <f t="shared" si="35"/>
        <v>216.29999999999998</v>
      </c>
      <c r="I258">
        <v>311.7</v>
      </c>
      <c r="J258">
        <v>1.5</v>
      </c>
      <c r="K258">
        <f t="shared" si="31"/>
        <v>610.70000000000005</v>
      </c>
      <c r="L258">
        <v>2.6</v>
      </c>
      <c r="M258">
        <f t="shared" si="32"/>
        <v>338.39999999999986</v>
      </c>
      <c r="N258">
        <v>-1.1000000000000001</v>
      </c>
      <c r="O258">
        <f t="shared" si="36"/>
        <v>86.1</v>
      </c>
      <c r="P258">
        <v>253</v>
      </c>
      <c r="Q258">
        <v>1.1499999999999999</v>
      </c>
      <c r="R258" s="6">
        <f t="shared" si="29"/>
        <v>2.9899999999999998</v>
      </c>
      <c r="S258" s="6">
        <f t="shared" si="30"/>
        <v>-1.4899999999999998</v>
      </c>
      <c r="T258" s="6">
        <f t="shared" si="33"/>
        <v>64.942682926829264</v>
      </c>
      <c r="U258">
        <f>(U256*100)/122.1</f>
        <v>60.886718203791375</v>
      </c>
      <c r="V258">
        <v>1646.6</v>
      </c>
      <c r="X258">
        <v>198157.30000000008</v>
      </c>
      <c r="Y258">
        <f t="shared" si="34"/>
        <v>23427.1</v>
      </c>
      <c r="AA258">
        <v>15.044714538702101</v>
      </c>
    </row>
    <row r="259" spans="1:27" x14ac:dyDescent="0.25">
      <c r="A259" s="51"/>
      <c r="B259" s="3"/>
      <c r="C259" s="4">
        <v>42140</v>
      </c>
      <c r="D259">
        <v>14.6</v>
      </c>
      <c r="E259">
        <v>9.8000000000000007</v>
      </c>
      <c r="F259">
        <v>19</v>
      </c>
      <c r="G259">
        <v>2219.9999999999991</v>
      </c>
      <c r="H259">
        <f t="shared" si="35"/>
        <v>230.89999999999998</v>
      </c>
      <c r="J259">
        <v>0</v>
      </c>
      <c r="K259">
        <f t="shared" si="31"/>
        <v>610.70000000000005</v>
      </c>
      <c r="L259">
        <v>2.8</v>
      </c>
      <c r="M259">
        <f t="shared" si="32"/>
        <v>341.19999999999987</v>
      </c>
      <c r="N259">
        <v>-2.8</v>
      </c>
      <c r="O259">
        <f t="shared" si="36"/>
        <v>83.3</v>
      </c>
      <c r="P259">
        <v>254</v>
      </c>
      <c r="Q259">
        <v>1.1499999999999999</v>
      </c>
      <c r="R259" s="6">
        <f t="shared" si="29"/>
        <v>3.2199999999999998</v>
      </c>
      <c r="S259" s="6">
        <f t="shared" si="30"/>
        <v>-3.2199999999999998</v>
      </c>
      <c r="T259" s="6">
        <f t="shared" si="33"/>
        <v>61.722682926829265</v>
      </c>
      <c r="V259">
        <v>1535.7</v>
      </c>
      <c r="X259">
        <v>199693.00000000009</v>
      </c>
      <c r="Y259">
        <f t="shared" si="34"/>
        <v>24962.799999999999</v>
      </c>
      <c r="AA259">
        <v>15.0865307289948</v>
      </c>
    </row>
    <row r="260" spans="1:27" x14ac:dyDescent="0.25">
      <c r="A260" s="51"/>
      <c r="B260" s="3"/>
      <c r="C260" s="4">
        <v>42141</v>
      </c>
      <c r="D260">
        <v>15.4</v>
      </c>
      <c r="E260">
        <v>12.9</v>
      </c>
      <c r="F260">
        <v>19.399999999999999</v>
      </c>
      <c r="G260">
        <v>2235.3999999999992</v>
      </c>
      <c r="H260">
        <f t="shared" si="35"/>
        <v>246.29999999999998</v>
      </c>
      <c r="J260">
        <v>0</v>
      </c>
      <c r="K260">
        <f t="shared" si="31"/>
        <v>610.70000000000005</v>
      </c>
      <c r="L260">
        <v>3.2</v>
      </c>
      <c r="M260">
        <f t="shared" si="32"/>
        <v>344.39999999999986</v>
      </c>
      <c r="N260">
        <v>-3.2</v>
      </c>
      <c r="O260">
        <f t="shared" si="36"/>
        <v>80.099999999999994</v>
      </c>
      <c r="P260">
        <v>255</v>
      </c>
      <c r="Q260">
        <v>1.1499999999999999</v>
      </c>
      <c r="R260" s="6">
        <f t="shared" si="29"/>
        <v>3.6799999999999997</v>
      </c>
      <c r="S260" s="6">
        <f t="shared" si="30"/>
        <v>-3.6799999999999997</v>
      </c>
      <c r="T260" s="6">
        <f t="shared" si="33"/>
        <v>58.042682926829265</v>
      </c>
      <c r="V260">
        <v>2017.6</v>
      </c>
      <c r="X260">
        <v>201710.60000000009</v>
      </c>
      <c r="Y260">
        <f t="shared" si="34"/>
        <v>26980.399999999998</v>
      </c>
      <c r="AA260">
        <v>15.127623732945301</v>
      </c>
    </row>
    <row r="261" spans="1:27" x14ac:dyDescent="0.25">
      <c r="A261" s="51"/>
      <c r="B261" s="3"/>
      <c r="C261" s="4">
        <v>42142</v>
      </c>
      <c r="D261">
        <v>15.6</v>
      </c>
      <c r="E261">
        <v>8.3000000000000007</v>
      </c>
      <c r="F261">
        <v>22.3</v>
      </c>
      <c r="G261">
        <v>2250.9999999999991</v>
      </c>
      <c r="H261">
        <f t="shared" si="35"/>
        <v>261.89999999999998</v>
      </c>
      <c r="J261">
        <v>0</v>
      </c>
      <c r="K261">
        <f t="shared" si="31"/>
        <v>610.70000000000005</v>
      </c>
      <c r="L261">
        <v>4.7</v>
      </c>
      <c r="M261">
        <f t="shared" si="32"/>
        <v>349.09999999999985</v>
      </c>
      <c r="N261">
        <v>-4.7</v>
      </c>
      <c r="O261">
        <f t="shared" si="36"/>
        <v>75.399999999999991</v>
      </c>
      <c r="P261">
        <v>256</v>
      </c>
      <c r="Q261">
        <v>1.1499999999999999</v>
      </c>
      <c r="R261" s="6">
        <f t="shared" si="29"/>
        <v>5.4049999999999994</v>
      </c>
      <c r="S261" s="6">
        <f t="shared" si="30"/>
        <v>-5.4049999999999994</v>
      </c>
      <c r="T261" s="6">
        <f t="shared" si="33"/>
        <v>52.637682926829264</v>
      </c>
      <c r="V261">
        <v>2668.7</v>
      </c>
      <c r="X261">
        <v>204379.3000000001</v>
      </c>
      <c r="Y261">
        <f t="shared" si="34"/>
        <v>29649.1</v>
      </c>
      <c r="AA261">
        <v>15.167969902495001</v>
      </c>
    </row>
    <row r="262" spans="1:27" x14ac:dyDescent="0.25">
      <c r="A262" s="51"/>
      <c r="B262" s="3"/>
      <c r="C262" s="4">
        <v>42143</v>
      </c>
      <c r="D262">
        <v>13.1</v>
      </c>
      <c r="E262">
        <v>10.3</v>
      </c>
      <c r="F262">
        <v>17.100000000000001</v>
      </c>
      <c r="G262">
        <v>2264.099999999999</v>
      </c>
      <c r="H262">
        <f t="shared" si="35"/>
        <v>275</v>
      </c>
      <c r="J262">
        <v>1.4</v>
      </c>
      <c r="K262">
        <f t="shared" si="31"/>
        <v>612.1</v>
      </c>
      <c r="L262">
        <v>3</v>
      </c>
      <c r="M262">
        <f t="shared" si="32"/>
        <v>352.09999999999985</v>
      </c>
      <c r="N262">
        <v>-1.6</v>
      </c>
      <c r="O262">
        <f t="shared" si="36"/>
        <v>73.8</v>
      </c>
      <c r="P262">
        <v>257</v>
      </c>
      <c r="Q262">
        <v>1.1499999999999999</v>
      </c>
      <c r="R262" s="6">
        <f t="shared" ref="R262:R313" si="37">Q262*L262</f>
        <v>3.4499999999999997</v>
      </c>
      <c r="S262" s="6">
        <f t="shared" ref="S262:S313" si="38">J262-R262</f>
        <v>-2.0499999999999998</v>
      </c>
      <c r="T262" s="6">
        <f t="shared" si="33"/>
        <v>50.587682926829267</v>
      </c>
      <c r="V262">
        <v>1468.3</v>
      </c>
      <c r="X262">
        <v>205847.60000000009</v>
      </c>
      <c r="Y262">
        <f t="shared" si="34"/>
        <v>31117.399999999998</v>
      </c>
      <c r="AA262">
        <v>15.207545354046101</v>
      </c>
    </row>
    <row r="263" spans="1:27" x14ac:dyDescent="0.25">
      <c r="A263" s="51"/>
      <c r="B263" s="3"/>
      <c r="C263" s="4">
        <v>42144</v>
      </c>
      <c r="D263">
        <v>10.6</v>
      </c>
      <c r="E263">
        <v>8.8000000000000007</v>
      </c>
      <c r="F263">
        <v>14.6</v>
      </c>
      <c r="G263">
        <v>2274.6999999999989</v>
      </c>
      <c r="H263">
        <f t="shared" si="35"/>
        <v>285.60000000000002</v>
      </c>
      <c r="J263">
        <v>1.7</v>
      </c>
      <c r="K263">
        <f t="shared" si="31"/>
        <v>613.80000000000007</v>
      </c>
      <c r="L263">
        <v>2.9</v>
      </c>
      <c r="M263">
        <f t="shared" si="32"/>
        <v>354.99999999999983</v>
      </c>
      <c r="N263">
        <v>-1.2</v>
      </c>
      <c r="O263">
        <f t="shared" si="36"/>
        <v>72.599999999999994</v>
      </c>
      <c r="P263">
        <v>258</v>
      </c>
      <c r="Q263">
        <v>1.1499999999999999</v>
      </c>
      <c r="R263" s="6">
        <f t="shared" si="37"/>
        <v>3.3349999999999995</v>
      </c>
      <c r="S263" s="6">
        <f t="shared" si="38"/>
        <v>-1.6349999999999996</v>
      </c>
      <c r="T263" s="6">
        <f t="shared" si="33"/>
        <v>48.952682926829269</v>
      </c>
      <c r="V263">
        <v>1666.5</v>
      </c>
      <c r="X263">
        <v>207514.10000000009</v>
      </c>
      <c r="Y263">
        <f t="shared" si="34"/>
        <v>32783.899999999994</v>
      </c>
      <c r="AA263">
        <v>15.246326003927299</v>
      </c>
    </row>
    <row r="264" spans="1:27" x14ac:dyDescent="0.25">
      <c r="A264" s="51"/>
      <c r="B264" s="3"/>
      <c r="C264" s="4">
        <v>42145</v>
      </c>
      <c r="D264">
        <v>11.7</v>
      </c>
      <c r="E264">
        <v>5.6</v>
      </c>
      <c r="F264">
        <v>16.7</v>
      </c>
      <c r="G264">
        <v>2286.3999999999987</v>
      </c>
      <c r="H264">
        <f t="shared" si="35"/>
        <v>297.3</v>
      </c>
      <c r="J264">
        <v>0</v>
      </c>
      <c r="K264">
        <f t="shared" ref="K264:K313" si="39">K263+J264</f>
        <v>613.80000000000007</v>
      </c>
      <c r="L264">
        <v>3.7</v>
      </c>
      <c r="M264">
        <f t="shared" ref="M264:M313" si="40">M263+L264</f>
        <v>358.69999999999982</v>
      </c>
      <c r="N264">
        <v>-3.7</v>
      </c>
      <c r="O264">
        <f t="shared" si="36"/>
        <v>68.899999999999991</v>
      </c>
      <c r="P264">
        <v>259</v>
      </c>
      <c r="Q264">
        <v>1.1499999999999999</v>
      </c>
      <c r="R264" s="6">
        <f t="shared" si="37"/>
        <v>4.2549999999999999</v>
      </c>
      <c r="S264" s="6">
        <f t="shared" si="38"/>
        <v>-4.2549999999999999</v>
      </c>
      <c r="T264" s="6">
        <f t="shared" ref="T264:T304" si="41">MIN(122.1,(T263+S264))</f>
        <v>44.697682926829266</v>
      </c>
      <c r="V264">
        <v>2157.9</v>
      </c>
      <c r="X264">
        <v>209672.00000000009</v>
      </c>
      <c r="Y264">
        <f t="shared" si="34"/>
        <v>34941.799999999996</v>
      </c>
      <c r="AA264">
        <v>15.284287606429199</v>
      </c>
    </row>
    <row r="265" spans="1:27" s="34" customFormat="1" ht="15.75" thickBot="1" x14ac:dyDescent="0.3">
      <c r="A265" s="51"/>
      <c r="B265" s="32">
        <v>300</v>
      </c>
      <c r="C265" s="33">
        <v>42146</v>
      </c>
      <c r="D265" s="34">
        <v>14.4</v>
      </c>
      <c r="E265" s="34">
        <v>7.9</v>
      </c>
      <c r="F265" s="34">
        <v>19.8</v>
      </c>
      <c r="G265" s="34">
        <v>2300.7999999999988</v>
      </c>
      <c r="H265" s="34">
        <f t="shared" si="35"/>
        <v>311.7</v>
      </c>
      <c r="J265" s="34">
        <v>0</v>
      </c>
      <c r="K265" s="34">
        <f t="shared" si="39"/>
        <v>613.80000000000007</v>
      </c>
      <c r="L265" s="34">
        <v>4.8</v>
      </c>
      <c r="M265" s="34">
        <f t="shared" si="40"/>
        <v>363.49999999999983</v>
      </c>
      <c r="N265" s="34">
        <v>-4.8</v>
      </c>
      <c r="O265" s="34">
        <f t="shared" si="36"/>
        <v>64.099999999999994</v>
      </c>
      <c r="P265" s="34">
        <v>260</v>
      </c>
      <c r="Q265" s="36">
        <v>1.1499999999999999</v>
      </c>
      <c r="R265" s="35">
        <f t="shared" si="37"/>
        <v>5.52</v>
      </c>
      <c r="S265" s="35">
        <f t="shared" si="38"/>
        <v>-5.52</v>
      </c>
      <c r="T265" s="37">
        <f t="shared" si="41"/>
        <v>39.177682926829263</v>
      </c>
      <c r="V265" s="34">
        <v>2541.4</v>
      </c>
      <c r="X265" s="34">
        <v>212213.40000000008</v>
      </c>
      <c r="Y265" s="36">
        <f t="shared" si="34"/>
        <v>37483.199999999997</v>
      </c>
      <c r="AA265" s="36">
        <v>15.321405794388999</v>
      </c>
    </row>
    <row r="266" spans="1:27" x14ac:dyDescent="0.25">
      <c r="A266" s="52">
        <v>600</v>
      </c>
      <c r="B266" s="3"/>
      <c r="C266" s="4">
        <v>42147</v>
      </c>
      <c r="D266">
        <v>15.9</v>
      </c>
      <c r="E266">
        <v>11.1</v>
      </c>
      <c r="F266">
        <v>20.8</v>
      </c>
      <c r="G266">
        <v>2316.6999999999989</v>
      </c>
      <c r="H266">
        <v>15.9</v>
      </c>
      <c r="I266" s="21" t="s">
        <v>27</v>
      </c>
      <c r="J266">
        <v>0</v>
      </c>
      <c r="K266">
        <f t="shared" si="39"/>
        <v>613.80000000000007</v>
      </c>
      <c r="L266">
        <v>4.5999999999999996</v>
      </c>
      <c r="M266">
        <f t="shared" si="40"/>
        <v>368.09999999999985</v>
      </c>
      <c r="N266">
        <v>-4.5999999999999996</v>
      </c>
      <c r="O266">
        <f t="shared" si="36"/>
        <v>59.499999999999993</v>
      </c>
      <c r="P266">
        <v>261</v>
      </c>
      <c r="Q266" s="7">
        <f>1.15+((P266-260)/48)*(0.35-1.15)</f>
        <v>1.1333333333333333</v>
      </c>
      <c r="R266" s="6">
        <f t="shared" si="37"/>
        <v>5.2133333333333329</v>
      </c>
      <c r="S266" s="6">
        <f t="shared" si="38"/>
        <v>-5.2133333333333329</v>
      </c>
      <c r="T266" s="6">
        <f t="shared" si="41"/>
        <v>33.964349593495932</v>
      </c>
      <c r="U266" s="21" t="s">
        <v>28</v>
      </c>
      <c r="V266">
        <v>2003.4</v>
      </c>
      <c r="X266">
        <v>214216.80000000008</v>
      </c>
      <c r="Y266">
        <v>2003.4</v>
      </c>
      <c r="Z266" s="21" t="s">
        <v>29</v>
      </c>
      <c r="AA266">
        <v>15.3576561222857</v>
      </c>
    </row>
    <row r="267" spans="1:27" x14ac:dyDescent="0.25">
      <c r="A267" s="52"/>
      <c r="B267" s="3"/>
      <c r="C267" s="4">
        <v>42148</v>
      </c>
      <c r="D267">
        <v>16.5</v>
      </c>
      <c r="E267">
        <v>11.2</v>
      </c>
      <c r="F267">
        <v>22</v>
      </c>
      <c r="G267">
        <v>2333.1999999999989</v>
      </c>
      <c r="H267">
        <f t="shared" si="35"/>
        <v>32.4</v>
      </c>
      <c r="I267">
        <f>MIN(E266:E282)</f>
        <v>5.9</v>
      </c>
      <c r="J267">
        <v>0</v>
      </c>
      <c r="K267">
        <f t="shared" si="39"/>
        <v>613.80000000000007</v>
      </c>
      <c r="L267">
        <v>3.2</v>
      </c>
      <c r="M267">
        <f t="shared" si="40"/>
        <v>371.29999999999984</v>
      </c>
      <c r="N267">
        <v>-3.2</v>
      </c>
      <c r="O267">
        <f t="shared" si="36"/>
        <v>56.29999999999999</v>
      </c>
      <c r="P267">
        <v>262</v>
      </c>
      <c r="Q267" s="7">
        <f t="shared" ref="Q267:Q313" si="42">1.15+((P267-260)/48)*(0.35-1.15)</f>
        <v>1.1166666666666667</v>
      </c>
      <c r="R267" s="6">
        <f t="shared" si="37"/>
        <v>3.5733333333333337</v>
      </c>
      <c r="S267" s="6">
        <f t="shared" si="38"/>
        <v>-3.5733333333333337</v>
      </c>
      <c r="T267" s="6">
        <f t="shared" si="41"/>
        <v>30.391016260162598</v>
      </c>
      <c r="U267">
        <v>16</v>
      </c>
      <c r="V267">
        <v>1139.2</v>
      </c>
      <c r="X267">
        <v>215356.00000000009</v>
      </c>
      <c r="Y267">
        <f t="shared" si="34"/>
        <v>3142.6000000000004</v>
      </c>
      <c r="Z267">
        <f>Y282</f>
        <v>35285.599999999999</v>
      </c>
      <c r="AA267">
        <v>15.3930141117888</v>
      </c>
    </row>
    <row r="268" spans="1:27" x14ac:dyDescent="0.25">
      <c r="A268" s="52"/>
      <c r="B268" s="3"/>
      <c r="C268" s="4">
        <v>42149</v>
      </c>
      <c r="D268">
        <v>14.9</v>
      </c>
      <c r="E268">
        <v>12.8</v>
      </c>
      <c r="F268">
        <v>17.399999999999999</v>
      </c>
      <c r="G268">
        <v>2348.099999999999</v>
      </c>
      <c r="H268">
        <f t="shared" si="35"/>
        <v>47.3</v>
      </c>
      <c r="I268" s="21" t="s">
        <v>30</v>
      </c>
      <c r="J268">
        <v>4</v>
      </c>
      <c r="K268">
        <f t="shared" si="39"/>
        <v>617.80000000000007</v>
      </c>
      <c r="L268">
        <v>3.2</v>
      </c>
      <c r="M268">
        <f t="shared" si="40"/>
        <v>374.49999999999983</v>
      </c>
      <c r="N268">
        <v>0.79999999999999982</v>
      </c>
      <c r="O268">
        <f t="shared" si="36"/>
        <v>57.099999999999987</v>
      </c>
      <c r="P268">
        <v>263</v>
      </c>
      <c r="Q268" s="7">
        <f t="shared" si="42"/>
        <v>1.0999999999999999</v>
      </c>
      <c r="R268" s="6">
        <f t="shared" si="37"/>
        <v>3.5199999999999996</v>
      </c>
      <c r="S268" s="6">
        <f t="shared" si="38"/>
        <v>0.48000000000000043</v>
      </c>
      <c r="T268" s="6">
        <f t="shared" si="41"/>
        <v>30.871016260162598</v>
      </c>
      <c r="U268" s="21" t="s">
        <v>31</v>
      </c>
      <c r="V268">
        <v>1837.2</v>
      </c>
      <c r="X268">
        <v>217193.2000000001</v>
      </c>
      <c r="Y268">
        <f t="shared" si="34"/>
        <v>4979.8</v>
      </c>
      <c r="Z268" s="21" t="s">
        <v>32</v>
      </c>
      <c r="AA268">
        <v>15.4274552996818</v>
      </c>
    </row>
    <row r="269" spans="1:27" x14ac:dyDescent="0.25">
      <c r="A269" s="52"/>
      <c r="B269" s="3"/>
      <c r="C269" s="4">
        <v>42150</v>
      </c>
      <c r="D269">
        <v>11.7</v>
      </c>
      <c r="E269">
        <v>9.6999999999999993</v>
      </c>
      <c r="F269">
        <v>14.9</v>
      </c>
      <c r="G269">
        <v>2359.7999999999988</v>
      </c>
      <c r="H269">
        <f t="shared" si="35"/>
        <v>59</v>
      </c>
      <c r="I269">
        <f>MAX(F266:F282)</f>
        <v>32.5</v>
      </c>
      <c r="J269">
        <v>0</v>
      </c>
      <c r="K269">
        <f t="shared" si="39"/>
        <v>617.80000000000007</v>
      </c>
      <c r="L269">
        <v>2.6</v>
      </c>
      <c r="M269">
        <f t="shared" si="40"/>
        <v>377.09999999999985</v>
      </c>
      <c r="N269">
        <v>-2.6</v>
      </c>
      <c r="O269">
        <f t="shared" si="36"/>
        <v>54.499999999999986</v>
      </c>
      <c r="P269">
        <v>264</v>
      </c>
      <c r="Q269" s="7">
        <f t="shared" si="42"/>
        <v>1.0833333333333333</v>
      </c>
      <c r="R269" s="6">
        <f t="shared" si="37"/>
        <v>2.8166666666666664</v>
      </c>
      <c r="S269" s="6">
        <f t="shared" si="38"/>
        <v>-2.8166666666666664</v>
      </c>
      <c r="T269" s="6">
        <f t="shared" si="41"/>
        <v>28.054349593495932</v>
      </c>
      <c r="U269">
        <v>5</v>
      </c>
      <c r="V269">
        <v>1243.3</v>
      </c>
      <c r="X269">
        <v>218436.50000000009</v>
      </c>
      <c r="Y269">
        <f t="shared" si="34"/>
        <v>6223.1</v>
      </c>
      <c r="Z269" s="7">
        <f>(Z267/100)/I279</f>
        <v>1.1408212091820238</v>
      </c>
      <c r="AA269">
        <v>15.460955288061101</v>
      </c>
    </row>
    <row r="270" spans="1:27" x14ac:dyDescent="0.25">
      <c r="A270" s="52"/>
      <c r="B270" s="3"/>
      <c r="C270" s="4">
        <v>42151</v>
      </c>
      <c r="D270">
        <v>13</v>
      </c>
      <c r="E270">
        <v>5.9</v>
      </c>
      <c r="F270">
        <v>18.3</v>
      </c>
      <c r="G270">
        <v>2372.7999999999988</v>
      </c>
      <c r="H270">
        <f t="shared" si="35"/>
        <v>72</v>
      </c>
      <c r="I270" s="21" t="s">
        <v>33</v>
      </c>
      <c r="J270">
        <v>0</v>
      </c>
      <c r="K270">
        <f t="shared" si="39"/>
        <v>617.80000000000007</v>
      </c>
      <c r="L270">
        <v>3.1</v>
      </c>
      <c r="M270">
        <f t="shared" si="40"/>
        <v>380.19999999999987</v>
      </c>
      <c r="N270">
        <v>-3.1</v>
      </c>
      <c r="O270">
        <f t="shared" si="36"/>
        <v>51.399999999999984</v>
      </c>
      <c r="P270">
        <v>265</v>
      </c>
      <c r="Q270" s="7">
        <f t="shared" si="42"/>
        <v>1.0666666666666667</v>
      </c>
      <c r="R270" s="6">
        <f t="shared" si="37"/>
        <v>3.3066666666666666</v>
      </c>
      <c r="S270" s="6">
        <f t="shared" si="38"/>
        <v>-3.3066666666666666</v>
      </c>
      <c r="T270" s="6">
        <f t="shared" si="41"/>
        <v>24.747682926829263</v>
      </c>
      <c r="U270" s="21" t="s">
        <v>34</v>
      </c>
      <c r="V270">
        <v>1945.2</v>
      </c>
      <c r="X270">
        <v>220381.7000000001</v>
      </c>
      <c r="Y270">
        <f t="shared" si="34"/>
        <v>8168.3</v>
      </c>
      <c r="Z270" s="21" t="s">
        <v>35</v>
      </c>
      <c r="AA270">
        <v>15.4934897966899</v>
      </c>
    </row>
    <row r="271" spans="1:27" x14ac:dyDescent="0.25">
      <c r="A271" s="52"/>
      <c r="B271" s="3"/>
      <c r="C271" s="4">
        <v>42152</v>
      </c>
      <c r="D271">
        <v>16</v>
      </c>
      <c r="E271">
        <v>7</v>
      </c>
      <c r="F271">
        <v>22.4</v>
      </c>
      <c r="G271">
        <v>2388.7999999999988</v>
      </c>
      <c r="H271">
        <f t="shared" si="35"/>
        <v>88</v>
      </c>
      <c r="I271" s="6">
        <f>AVERAGE(D266:D282)</f>
        <v>18.194117647058825</v>
      </c>
      <c r="J271">
        <v>0.1</v>
      </c>
      <c r="K271">
        <f t="shared" si="39"/>
        <v>617.90000000000009</v>
      </c>
      <c r="L271">
        <v>4.3</v>
      </c>
      <c r="M271">
        <f t="shared" si="40"/>
        <v>384.49999999999989</v>
      </c>
      <c r="N271">
        <v>-4.2</v>
      </c>
      <c r="O271">
        <f t="shared" si="36"/>
        <v>47.199999999999982</v>
      </c>
      <c r="P271">
        <v>266</v>
      </c>
      <c r="Q271" s="7">
        <f t="shared" si="42"/>
        <v>1.0499999999999998</v>
      </c>
      <c r="R271" s="6">
        <f t="shared" si="37"/>
        <v>4.5149999999999988</v>
      </c>
      <c r="S271" s="6">
        <f t="shared" si="38"/>
        <v>-4.4149999999999991</v>
      </c>
      <c r="T271" s="6">
        <f t="shared" si="41"/>
        <v>20.332682926829264</v>
      </c>
      <c r="U271">
        <v>12</v>
      </c>
      <c r="V271">
        <v>2518.1</v>
      </c>
      <c r="X271">
        <v>222899.8000000001</v>
      </c>
      <c r="Y271">
        <f t="shared" si="34"/>
        <v>10686.4</v>
      </c>
      <c r="Z271">
        <v>0</v>
      </c>
      <c r="AA271">
        <v>15.525034717362599</v>
      </c>
    </row>
    <row r="272" spans="1:27" x14ac:dyDescent="0.25">
      <c r="A272" s="52"/>
      <c r="B272" s="3"/>
      <c r="C272" s="4">
        <v>42153</v>
      </c>
      <c r="D272">
        <v>17.399999999999999</v>
      </c>
      <c r="E272">
        <v>12.9</v>
      </c>
      <c r="F272">
        <v>23.8</v>
      </c>
      <c r="G272">
        <v>2406.1999999999989</v>
      </c>
      <c r="H272">
        <f t="shared" si="35"/>
        <v>105.4</v>
      </c>
      <c r="I272" s="21" t="s">
        <v>36</v>
      </c>
      <c r="J272">
        <v>0</v>
      </c>
      <c r="K272">
        <f t="shared" si="39"/>
        <v>617.90000000000009</v>
      </c>
      <c r="L272">
        <v>3.9</v>
      </c>
      <c r="M272">
        <f t="shared" si="40"/>
        <v>388.39999999999986</v>
      </c>
      <c r="N272">
        <v>-3.9</v>
      </c>
      <c r="O272">
        <f t="shared" si="36"/>
        <v>43.299999999999983</v>
      </c>
      <c r="P272">
        <v>267</v>
      </c>
      <c r="Q272" s="7">
        <f t="shared" si="42"/>
        <v>1.0333333333333332</v>
      </c>
      <c r="R272" s="6">
        <f t="shared" si="37"/>
        <v>4.0299999999999994</v>
      </c>
      <c r="S272" s="6">
        <f t="shared" si="38"/>
        <v>-4.0299999999999994</v>
      </c>
      <c r="T272" s="6">
        <f t="shared" si="41"/>
        <v>16.302682926829263</v>
      </c>
      <c r="U272" s="21" t="s">
        <v>37</v>
      </c>
      <c r="V272">
        <v>1517</v>
      </c>
      <c r="X272">
        <v>224416.8000000001</v>
      </c>
      <c r="Y272">
        <f t="shared" si="34"/>
        <v>12203.4</v>
      </c>
      <c r="AA272">
        <v>15.555566170111399</v>
      </c>
    </row>
    <row r="273" spans="1:27" x14ac:dyDescent="0.25">
      <c r="A273" s="52"/>
      <c r="B273" s="3"/>
      <c r="C273" s="4">
        <v>42154</v>
      </c>
      <c r="D273">
        <v>15.6</v>
      </c>
      <c r="E273">
        <v>12.5</v>
      </c>
      <c r="F273">
        <v>18.600000000000001</v>
      </c>
      <c r="G273">
        <v>2421.7999999999988</v>
      </c>
      <c r="H273">
        <f t="shared" si="35"/>
        <v>121</v>
      </c>
      <c r="I273">
        <v>0</v>
      </c>
      <c r="J273">
        <v>0</v>
      </c>
      <c r="K273">
        <f t="shared" si="39"/>
        <v>617.90000000000009</v>
      </c>
      <c r="L273">
        <v>2.2000000000000002</v>
      </c>
      <c r="M273">
        <f t="shared" si="40"/>
        <v>390.59999999999985</v>
      </c>
      <c r="N273">
        <v>-2.2000000000000002</v>
      </c>
      <c r="O273">
        <f t="shared" si="36"/>
        <v>41.09999999999998</v>
      </c>
      <c r="P273">
        <v>268</v>
      </c>
      <c r="Q273" s="7">
        <f t="shared" si="42"/>
        <v>1.0166666666666666</v>
      </c>
      <c r="R273" s="6">
        <f t="shared" si="37"/>
        <v>2.2366666666666668</v>
      </c>
      <c r="S273" s="6">
        <f t="shared" si="38"/>
        <v>-2.2366666666666668</v>
      </c>
      <c r="T273" s="6">
        <f t="shared" si="41"/>
        <v>14.066016260162597</v>
      </c>
      <c r="U273">
        <v>0</v>
      </c>
      <c r="V273">
        <v>1272.5</v>
      </c>
      <c r="X273">
        <v>225689.3000000001</v>
      </c>
      <c r="Y273">
        <f t="shared" si="34"/>
        <v>13475.9</v>
      </c>
      <c r="AA273">
        <v>15.5850605610659</v>
      </c>
    </row>
    <row r="274" spans="1:27" x14ac:dyDescent="0.25">
      <c r="A274" s="52"/>
      <c r="B274" s="3"/>
      <c r="C274" s="4">
        <v>42155</v>
      </c>
      <c r="D274">
        <v>17.8</v>
      </c>
      <c r="E274">
        <v>9.8000000000000007</v>
      </c>
      <c r="F274">
        <v>22.9</v>
      </c>
      <c r="G274">
        <v>2439.599999999999</v>
      </c>
      <c r="H274">
        <f t="shared" si="35"/>
        <v>138.80000000000001</v>
      </c>
      <c r="I274" s="21" t="s">
        <v>38</v>
      </c>
      <c r="J274">
        <v>1.4</v>
      </c>
      <c r="K274">
        <f t="shared" si="39"/>
        <v>619.30000000000007</v>
      </c>
      <c r="L274">
        <v>2.6</v>
      </c>
      <c r="M274">
        <f t="shared" si="40"/>
        <v>393.19999999999987</v>
      </c>
      <c r="N274">
        <v>-1.2000000000000002</v>
      </c>
      <c r="O274">
        <f t="shared" si="36"/>
        <v>39.899999999999977</v>
      </c>
      <c r="P274">
        <v>269</v>
      </c>
      <c r="Q274" s="7">
        <f t="shared" si="42"/>
        <v>0.99999999999999989</v>
      </c>
      <c r="R274" s="6">
        <f t="shared" si="37"/>
        <v>2.5999999999999996</v>
      </c>
      <c r="S274" s="6">
        <f t="shared" si="38"/>
        <v>-1.1999999999999997</v>
      </c>
      <c r="T274" s="6">
        <f t="shared" si="41"/>
        <v>12.866016260162597</v>
      </c>
      <c r="U274" s="21" t="s">
        <v>39</v>
      </c>
      <c r="V274">
        <v>1469.7</v>
      </c>
      <c r="X274">
        <v>227159.00000000012</v>
      </c>
      <c r="Y274">
        <f t="shared" si="34"/>
        <v>14945.6</v>
      </c>
      <c r="AA274">
        <v>15.613494641750499</v>
      </c>
    </row>
    <row r="275" spans="1:27" x14ac:dyDescent="0.25">
      <c r="A275" s="52"/>
      <c r="B275" s="3"/>
      <c r="C275" s="4">
        <v>42156</v>
      </c>
      <c r="D275">
        <v>16.8</v>
      </c>
      <c r="E275">
        <v>15.3</v>
      </c>
      <c r="F275">
        <v>19.7</v>
      </c>
      <c r="G275" s="18">
        <v>2456.3999999999992</v>
      </c>
      <c r="H275" s="11">
        <f t="shared" si="35"/>
        <v>155.60000000000002</v>
      </c>
      <c r="I275">
        <v>6</v>
      </c>
      <c r="J275" s="11">
        <v>0.4</v>
      </c>
      <c r="K275" s="11">
        <f t="shared" si="39"/>
        <v>619.70000000000005</v>
      </c>
      <c r="L275" s="11">
        <v>2.2000000000000002</v>
      </c>
      <c r="M275" s="11">
        <f t="shared" si="40"/>
        <v>395.39999999999986</v>
      </c>
      <c r="N275" s="11">
        <v>-1.8000000000000003</v>
      </c>
      <c r="O275" s="11">
        <f t="shared" si="36"/>
        <v>38.09999999999998</v>
      </c>
      <c r="P275" s="11">
        <v>270</v>
      </c>
      <c r="Q275" s="7">
        <f t="shared" si="42"/>
        <v>0.98333333333333328</v>
      </c>
      <c r="R275" s="20">
        <f t="shared" si="37"/>
        <v>2.1633333333333336</v>
      </c>
      <c r="S275" s="20">
        <f t="shared" si="38"/>
        <v>-1.7633333333333336</v>
      </c>
      <c r="T275" s="6">
        <f t="shared" si="41"/>
        <v>11.102682926829264</v>
      </c>
      <c r="U275">
        <v>34</v>
      </c>
      <c r="V275" s="11">
        <v>935.8</v>
      </c>
      <c r="W275" s="11"/>
      <c r="X275" s="18">
        <v>228094.8000000001</v>
      </c>
      <c r="Y275">
        <f t="shared" si="34"/>
        <v>15881.4</v>
      </c>
      <c r="Z275" s="13"/>
      <c r="AA275">
        <v>15.6408455695819</v>
      </c>
    </row>
    <row r="276" spans="1:27" ht="15" customHeight="1" x14ac:dyDescent="0.25">
      <c r="A276" s="52"/>
      <c r="B276" s="3"/>
      <c r="C276" s="4">
        <v>42157</v>
      </c>
      <c r="D276">
        <v>20</v>
      </c>
      <c r="E276">
        <v>12.9</v>
      </c>
      <c r="F276">
        <v>25.9</v>
      </c>
      <c r="G276">
        <v>2476.3999999999992</v>
      </c>
      <c r="H276">
        <f t="shared" si="35"/>
        <v>175.60000000000002</v>
      </c>
      <c r="I276" s="21" t="s">
        <v>40</v>
      </c>
      <c r="J276">
        <v>0</v>
      </c>
      <c r="K276">
        <f t="shared" si="39"/>
        <v>619.70000000000005</v>
      </c>
      <c r="L276">
        <v>5.5</v>
      </c>
      <c r="M276">
        <f t="shared" si="40"/>
        <v>400.89999999999986</v>
      </c>
      <c r="N276">
        <v>-5.5</v>
      </c>
      <c r="O276">
        <f t="shared" si="36"/>
        <v>32.59999999999998</v>
      </c>
      <c r="P276">
        <v>271</v>
      </c>
      <c r="Q276" s="7">
        <f t="shared" si="42"/>
        <v>0.96666666666666656</v>
      </c>
      <c r="R276" s="6">
        <f t="shared" si="37"/>
        <v>5.3166666666666664</v>
      </c>
      <c r="S276" s="6">
        <f t="shared" si="38"/>
        <v>-5.3166666666666664</v>
      </c>
      <c r="T276" s="6">
        <f t="shared" si="41"/>
        <v>5.7860162601625973</v>
      </c>
      <c r="U276" s="21" t="s">
        <v>41</v>
      </c>
      <c r="V276">
        <v>2827.6</v>
      </c>
      <c r="X276">
        <v>230922.40000000011</v>
      </c>
      <c r="Y276">
        <f t="shared" si="34"/>
        <v>18709</v>
      </c>
      <c r="AA276">
        <v>15.667090969309101</v>
      </c>
    </row>
    <row r="277" spans="1:27" x14ac:dyDescent="0.25">
      <c r="A277" s="52"/>
      <c r="B277" s="3"/>
      <c r="C277" s="4">
        <v>42158</v>
      </c>
      <c r="D277">
        <v>21</v>
      </c>
      <c r="E277">
        <v>13.4</v>
      </c>
      <c r="F277">
        <v>27.1</v>
      </c>
      <c r="G277">
        <v>2497.3999999999992</v>
      </c>
      <c r="H277">
        <f t="shared" si="35"/>
        <v>196.60000000000002</v>
      </c>
      <c r="I277">
        <v>0</v>
      </c>
      <c r="J277">
        <v>0</v>
      </c>
      <c r="K277">
        <f t="shared" si="39"/>
        <v>619.70000000000005</v>
      </c>
      <c r="L277">
        <v>5.3</v>
      </c>
      <c r="M277">
        <f t="shared" si="40"/>
        <v>406.19999999999987</v>
      </c>
      <c r="N277">
        <v>-5.3</v>
      </c>
      <c r="O277">
        <f t="shared" si="36"/>
        <v>27.299999999999979</v>
      </c>
      <c r="P277">
        <v>272</v>
      </c>
      <c r="Q277" s="7">
        <f t="shared" si="42"/>
        <v>0.95</v>
      </c>
      <c r="R277" s="6">
        <f t="shared" si="37"/>
        <v>5.0349999999999993</v>
      </c>
      <c r="S277" s="6">
        <f t="shared" si="38"/>
        <v>-5.0349999999999993</v>
      </c>
      <c r="T277" s="6">
        <f t="shared" si="41"/>
        <v>0.75101626016259804</v>
      </c>
      <c r="U277" s="7">
        <f>AVERAGE(T266:T282)</f>
        <v>13.484442850310854</v>
      </c>
      <c r="V277">
        <v>2611.1</v>
      </c>
      <c r="X277">
        <v>233533.50000000012</v>
      </c>
      <c r="Y277">
        <f t="shared" si="34"/>
        <v>21320.1</v>
      </c>
      <c r="AA277">
        <v>15.6922089951128</v>
      </c>
    </row>
    <row r="278" spans="1:27" x14ac:dyDescent="0.25">
      <c r="A278" s="52"/>
      <c r="B278" s="3"/>
      <c r="C278" s="4">
        <v>42159</v>
      </c>
      <c r="D278">
        <v>22.7</v>
      </c>
      <c r="E278">
        <v>15.6</v>
      </c>
      <c r="F278">
        <v>28.6</v>
      </c>
      <c r="G278">
        <v>2520.099999999999</v>
      </c>
      <c r="H278">
        <f t="shared" si="35"/>
        <v>219.3</v>
      </c>
      <c r="I278" s="21" t="s">
        <v>42</v>
      </c>
      <c r="J278">
        <v>0</v>
      </c>
      <c r="K278">
        <f t="shared" si="39"/>
        <v>619.70000000000005</v>
      </c>
      <c r="L278">
        <v>6.8</v>
      </c>
      <c r="M278">
        <f t="shared" si="40"/>
        <v>412.99999999999989</v>
      </c>
      <c r="N278">
        <v>-6.8</v>
      </c>
      <c r="O278">
        <f t="shared" si="36"/>
        <v>20.499999999999979</v>
      </c>
      <c r="P278">
        <v>273</v>
      </c>
      <c r="Q278" s="7">
        <f t="shared" si="42"/>
        <v>0.93333333333333324</v>
      </c>
      <c r="R278" s="6">
        <f t="shared" si="37"/>
        <v>6.3466666666666658</v>
      </c>
      <c r="S278" s="6">
        <f t="shared" si="38"/>
        <v>-6.3466666666666658</v>
      </c>
      <c r="T278" s="6">
        <v>0</v>
      </c>
      <c r="U278">
        <f>(U277*100)/122.1</f>
        <v>11.043769738174328</v>
      </c>
      <c r="V278">
        <v>3258.5</v>
      </c>
      <c r="X278">
        <v>236792.00000000012</v>
      </c>
      <c r="Y278">
        <f t="shared" si="34"/>
        <v>24578.6</v>
      </c>
      <c r="AA278">
        <v>15.716178393065301</v>
      </c>
    </row>
    <row r="279" spans="1:27" x14ac:dyDescent="0.25">
      <c r="A279" s="52"/>
      <c r="B279" s="3"/>
      <c r="C279" s="4">
        <v>42160</v>
      </c>
      <c r="D279">
        <v>25.6</v>
      </c>
      <c r="E279">
        <v>17.600000000000001</v>
      </c>
      <c r="F279">
        <v>32.5</v>
      </c>
      <c r="G279">
        <v>2545.6999999999989</v>
      </c>
      <c r="H279">
        <f t="shared" si="35"/>
        <v>244.9</v>
      </c>
      <c r="I279">
        <v>309.3</v>
      </c>
      <c r="J279">
        <v>0</v>
      </c>
      <c r="K279">
        <f t="shared" si="39"/>
        <v>619.70000000000005</v>
      </c>
      <c r="L279">
        <v>7</v>
      </c>
      <c r="M279">
        <f t="shared" si="40"/>
        <v>419.99999999999989</v>
      </c>
      <c r="N279">
        <v>-7</v>
      </c>
      <c r="O279">
        <f t="shared" si="36"/>
        <v>13.499999999999979</v>
      </c>
      <c r="P279">
        <v>274</v>
      </c>
      <c r="Q279" s="7">
        <f t="shared" si="42"/>
        <v>0.91666666666666652</v>
      </c>
      <c r="R279" s="6">
        <f t="shared" si="37"/>
        <v>6.4166666666666661</v>
      </c>
      <c r="S279" s="6">
        <f t="shared" si="38"/>
        <v>-6.4166666666666661</v>
      </c>
      <c r="T279" s="6">
        <v>0</v>
      </c>
      <c r="V279">
        <v>3038.4</v>
      </c>
      <c r="X279">
        <v>239830.40000000011</v>
      </c>
      <c r="Y279">
        <f t="shared" si="34"/>
        <v>27617</v>
      </c>
      <c r="AA279">
        <v>15.7389785636304</v>
      </c>
    </row>
    <row r="280" spans="1:27" x14ac:dyDescent="0.25">
      <c r="A280" s="52"/>
      <c r="B280" s="3"/>
      <c r="C280" s="4">
        <v>42161</v>
      </c>
      <c r="D280">
        <v>23.3</v>
      </c>
      <c r="E280">
        <v>20.2</v>
      </c>
      <c r="F280">
        <v>28.1</v>
      </c>
      <c r="G280">
        <v>2568.9999999999991</v>
      </c>
      <c r="H280">
        <f t="shared" si="35"/>
        <v>268.2</v>
      </c>
      <c r="J280">
        <v>0</v>
      </c>
      <c r="K280">
        <f t="shared" si="39"/>
        <v>619.70000000000005</v>
      </c>
      <c r="L280">
        <v>6.8</v>
      </c>
      <c r="M280">
        <f t="shared" si="40"/>
        <v>426.7999999999999</v>
      </c>
      <c r="N280">
        <v>-6.8</v>
      </c>
      <c r="O280">
        <f t="shared" si="36"/>
        <v>6.6999999999999789</v>
      </c>
      <c r="P280">
        <v>275</v>
      </c>
      <c r="Q280" s="7">
        <f t="shared" si="42"/>
        <v>0.89999999999999991</v>
      </c>
      <c r="R280" s="6">
        <f t="shared" si="37"/>
        <v>6.1199999999999992</v>
      </c>
      <c r="S280" s="6">
        <f t="shared" si="38"/>
        <v>-6.1199999999999992</v>
      </c>
      <c r="T280" s="6">
        <v>0</v>
      </c>
      <c r="V280">
        <v>2747.6</v>
      </c>
      <c r="X280">
        <v>242578.00000000012</v>
      </c>
      <c r="Y280">
        <f t="shared" si="34"/>
        <v>30364.6</v>
      </c>
      <c r="AA280">
        <v>15.7605896238698</v>
      </c>
    </row>
    <row r="281" spans="1:27" x14ac:dyDescent="0.25">
      <c r="A281" s="52"/>
      <c r="B281" s="3"/>
      <c r="C281" s="4">
        <v>42162</v>
      </c>
      <c r="D281">
        <v>21.3</v>
      </c>
      <c r="E281">
        <v>15.9</v>
      </c>
      <c r="F281">
        <v>26.4</v>
      </c>
      <c r="G281">
        <v>2590.2999999999993</v>
      </c>
      <c r="H281">
        <f t="shared" si="35"/>
        <v>289.5</v>
      </c>
      <c r="J281">
        <v>0</v>
      </c>
      <c r="K281">
        <f t="shared" si="39"/>
        <v>619.70000000000005</v>
      </c>
      <c r="L281">
        <v>6.5</v>
      </c>
      <c r="M281">
        <f t="shared" si="40"/>
        <v>433.2999999999999</v>
      </c>
      <c r="N281">
        <v>-6.5</v>
      </c>
      <c r="O281">
        <f t="shared" si="36"/>
        <v>0.19999999999997886</v>
      </c>
      <c r="P281">
        <v>276</v>
      </c>
      <c r="Q281" s="7">
        <f t="shared" si="42"/>
        <v>0.8833333333333333</v>
      </c>
      <c r="R281" s="6">
        <f t="shared" si="37"/>
        <v>5.7416666666666663</v>
      </c>
      <c r="S281" s="6">
        <f t="shared" si="38"/>
        <v>-5.7416666666666663</v>
      </c>
      <c r="T281" s="6">
        <v>0</v>
      </c>
      <c r="V281">
        <v>2424.8000000000002</v>
      </c>
      <c r="X281">
        <v>245002.8000000001</v>
      </c>
      <c r="Y281">
        <f t="shared" si="34"/>
        <v>32789.4</v>
      </c>
      <c r="AA281">
        <v>15.780992469005801</v>
      </c>
    </row>
    <row r="282" spans="1:27" s="34" customFormat="1" ht="15.75" thickBot="1" x14ac:dyDescent="0.3">
      <c r="A282" s="52"/>
      <c r="B282" s="32">
        <v>600</v>
      </c>
      <c r="C282" s="33">
        <v>42163</v>
      </c>
      <c r="D282" s="34">
        <v>19.8</v>
      </c>
      <c r="E282" s="34">
        <v>16.100000000000001</v>
      </c>
      <c r="F282" s="34">
        <v>24.4</v>
      </c>
      <c r="G282" s="34">
        <v>2610.0999999999995</v>
      </c>
      <c r="H282" s="34">
        <f t="shared" si="35"/>
        <v>309.3</v>
      </c>
      <c r="J282" s="34">
        <v>0</v>
      </c>
      <c r="K282" s="34">
        <f t="shared" si="39"/>
        <v>619.70000000000005</v>
      </c>
      <c r="L282" s="34">
        <v>6.8</v>
      </c>
      <c r="M282" s="34">
        <f t="shared" si="40"/>
        <v>440.09999999999991</v>
      </c>
      <c r="N282" s="34">
        <v>-6.8</v>
      </c>
      <c r="O282" s="34">
        <v>0</v>
      </c>
      <c r="P282" s="34">
        <v>277</v>
      </c>
      <c r="Q282" s="41">
        <f t="shared" si="42"/>
        <v>0.86666666666666659</v>
      </c>
      <c r="R282" s="35">
        <f t="shared" si="37"/>
        <v>5.8933333333333326</v>
      </c>
      <c r="S282" s="35">
        <f t="shared" si="38"/>
        <v>-5.8933333333333326</v>
      </c>
      <c r="T282" s="37">
        <v>0</v>
      </c>
      <c r="V282" s="34">
        <v>2496.1999999999998</v>
      </c>
      <c r="X282" s="34">
        <v>247499.00000000012</v>
      </c>
      <c r="Y282" s="36">
        <f t="shared" si="34"/>
        <v>35285.599999999999</v>
      </c>
      <c r="AA282" s="36">
        <v>15.8001688329819</v>
      </c>
    </row>
    <row r="283" spans="1:27" x14ac:dyDescent="0.25">
      <c r="A283" s="45">
        <v>1000</v>
      </c>
      <c r="B283" s="3"/>
      <c r="C283" s="4">
        <v>42164</v>
      </c>
      <c r="D283">
        <v>17.7</v>
      </c>
      <c r="E283">
        <v>15.8</v>
      </c>
      <c r="F283">
        <v>21.6</v>
      </c>
      <c r="G283">
        <v>2627.7999999999993</v>
      </c>
      <c r="H283">
        <v>17.7</v>
      </c>
      <c r="I283" s="22" t="s">
        <v>27</v>
      </c>
      <c r="J283">
        <v>0</v>
      </c>
      <c r="K283">
        <f t="shared" si="39"/>
        <v>619.70000000000005</v>
      </c>
      <c r="L283">
        <v>4.5</v>
      </c>
      <c r="M283">
        <f t="shared" si="40"/>
        <v>444.59999999999991</v>
      </c>
      <c r="N283">
        <v>-4.5</v>
      </c>
      <c r="O283">
        <v>0</v>
      </c>
      <c r="P283">
        <v>278</v>
      </c>
      <c r="Q283" s="7">
        <f t="shared" si="42"/>
        <v>0.84999999999999987</v>
      </c>
      <c r="R283" s="6">
        <f t="shared" si="37"/>
        <v>3.8249999999999993</v>
      </c>
      <c r="S283" s="6">
        <f t="shared" si="38"/>
        <v>-3.8249999999999993</v>
      </c>
      <c r="T283" s="6">
        <v>0</v>
      </c>
      <c r="U283" s="22" t="s">
        <v>28</v>
      </c>
      <c r="V283">
        <v>1634.6</v>
      </c>
      <c r="X283">
        <v>249133.60000000012</v>
      </c>
      <c r="Y283">
        <v>1634.6</v>
      </c>
      <c r="Z283" s="22" t="s">
        <v>29</v>
      </c>
      <c r="AA283">
        <v>15.8181013476534</v>
      </c>
    </row>
    <row r="284" spans="1:27" x14ac:dyDescent="0.25">
      <c r="A284" s="45"/>
      <c r="B284" s="3"/>
      <c r="C284" s="4">
        <v>42165</v>
      </c>
      <c r="D284">
        <v>19.600000000000001</v>
      </c>
      <c r="E284">
        <v>14.3</v>
      </c>
      <c r="F284">
        <v>24.7</v>
      </c>
      <c r="G284">
        <v>2647.3999999999992</v>
      </c>
      <c r="H284">
        <f t="shared" si="35"/>
        <v>37.299999999999997</v>
      </c>
      <c r="I284">
        <f>MIN(E283:E303)</f>
        <v>9.1999999999999993</v>
      </c>
      <c r="J284">
        <v>0</v>
      </c>
      <c r="K284">
        <f t="shared" si="39"/>
        <v>619.70000000000005</v>
      </c>
      <c r="L284">
        <v>4.2</v>
      </c>
      <c r="M284">
        <f t="shared" si="40"/>
        <v>448.7999999999999</v>
      </c>
      <c r="N284">
        <v>-4.2</v>
      </c>
      <c r="O284">
        <v>0</v>
      </c>
      <c r="P284">
        <v>279</v>
      </c>
      <c r="Q284" s="7">
        <f t="shared" si="42"/>
        <v>0.83333333333333326</v>
      </c>
      <c r="R284" s="6">
        <f t="shared" si="37"/>
        <v>3.5</v>
      </c>
      <c r="S284" s="6">
        <f t="shared" si="38"/>
        <v>-3.5</v>
      </c>
      <c r="T284" s="6">
        <v>0</v>
      </c>
      <c r="U284">
        <v>17</v>
      </c>
      <c r="V284">
        <v>2037</v>
      </c>
      <c r="X284">
        <v>251170.60000000012</v>
      </c>
      <c r="Y284">
        <f t="shared" si="34"/>
        <v>3671.6</v>
      </c>
      <c r="Z284">
        <f>Y303</f>
        <v>39231.4</v>
      </c>
      <c r="AA284">
        <v>15.834773600236</v>
      </c>
    </row>
    <row r="285" spans="1:27" x14ac:dyDescent="0.25">
      <c r="A285" s="45"/>
      <c r="B285" s="3"/>
      <c r="C285" s="4">
        <v>42166</v>
      </c>
      <c r="D285">
        <v>23.1</v>
      </c>
      <c r="E285">
        <v>15.9</v>
      </c>
      <c r="F285">
        <v>30</v>
      </c>
      <c r="G285">
        <v>2670.4999999999991</v>
      </c>
      <c r="H285">
        <f t="shared" si="35"/>
        <v>60.4</v>
      </c>
      <c r="I285" s="22" t="s">
        <v>30</v>
      </c>
      <c r="J285">
        <v>0.1</v>
      </c>
      <c r="K285">
        <f t="shared" si="39"/>
        <v>619.80000000000007</v>
      </c>
      <c r="L285">
        <v>5.7</v>
      </c>
      <c r="M285">
        <f t="shared" si="40"/>
        <v>454.49999999999989</v>
      </c>
      <c r="N285">
        <v>-5.6000000000000005</v>
      </c>
      <c r="O285">
        <v>0</v>
      </c>
      <c r="P285">
        <v>280</v>
      </c>
      <c r="Q285" s="7">
        <f t="shared" si="42"/>
        <v>0.81666666666666665</v>
      </c>
      <c r="R285" s="6">
        <f t="shared" si="37"/>
        <v>4.6550000000000002</v>
      </c>
      <c r="S285" s="6">
        <f t="shared" si="38"/>
        <v>-4.5550000000000006</v>
      </c>
      <c r="T285" s="6">
        <v>0</v>
      </c>
      <c r="U285" s="22" t="s">
        <v>31</v>
      </c>
      <c r="V285">
        <v>2639.6</v>
      </c>
      <c r="X285">
        <v>253810.20000000013</v>
      </c>
      <c r="Y285">
        <f t="shared" ref="Y285:Y313" si="43">Y284+V285</f>
        <v>6311.2</v>
      </c>
      <c r="Z285" s="22" t="s">
        <v>32</v>
      </c>
      <c r="AA285">
        <v>15.850170188640201</v>
      </c>
    </row>
    <row r="286" spans="1:27" x14ac:dyDescent="0.25">
      <c r="A286" s="45"/>
      <c r="B286" s="3"/>
      <c r="C286" s="4">
        <v>42167</v>
      </c>
      <c r="D286">
        <v>21</v>
      </c>
      <c r="E286">
        <v>17.399999999999999</v>
      </c>
      <c r="F286">
        <v>25.9</v>
      </c>
      <c r="G286">
        <v>2691.4999999999991</v>
      </c>
      <c r="H286">
        <f t="shared" si="35"/>
        <v>81.400000000000006</v>
      </c>
      <c r="I286">
        <f>MAX(F283:F303)</f>
        <v>30.3</v>
      </c>
      <c r="J286">
        <v>8.4</v>
      </c>
      <c r="K286">
        <f t="shared" si="39"/>
        <v>628.20000000000005</v>
      </c>
      <c r="L286">
        <v>3.2</v>
      </c>
      <c r="M286">
        <f t="shared" si="40"/>
        <v>457.69999999999987</v>
      </c>
      <c r="N286">
        <v>5.2</v>
      </c>
      <c r="O286">
        <f t="shared" ref="O286:O299" si="44">O285+N286</f>
        <v>5.2</v>
      </c>
      <c r="P286">
        <v>281</v>
      </c>
      <c r="Q286" s="7">
        <f t="shared" si="42"/>
        <v>0.79999999999999993</v>
      </c>
      <c r="R286" s="6">
        <f t="shared" si="37"/>
        <v>2.56</v>
      </c>
      <c r="S286" s="6">
        <f t="shared" si="38"/>
        <v>5.84</v>
      </c>
      <c r="T286" s="6">
        <f t="shared" si="41"/>
        <v>5.84</v>
      </c>
      <c r="U286">
        <v>3</v>
      </c>
      <c r="V286">
        <v>1479.5</v>
      </c>
      <c r="X286">
        <v>255289.70000000013</v>
      </c>
      <c r="Y286">
        <f t="shared" si="43"/>
        <v>7790.7</v>
      </c>
      <c r="Z286" s="7">
        <f>(Z284/100)/I296</f>
        <v>0.97956054931335834</v>
      </c>
      <c r="AA286">
        <v>15.8642767743228</v>
      </c>
    </row>
    <row r="287" spans="1:27" x14ac:dyDescent="0.25">
      <c r="A287" s="45"/>
      <c r="B287" s="3"/>
      <c r="C287" s="4">
        <v>42168</v>
      </c>
      <c r="D287">
        <v>20.6</v>
      </c>
      <c r="E287">
        <v>16.600000000000001</v>
      </c>
      <c r="F287">
        <v>24.3</v>
      </c>
      <c r="G287">
        <v>2712.099999999999</v>
      </c>
      <c r="H287">
        <f t="shared" si="35"/>
        <v>102</v>
      </c>
      <c r="I287" s="22" t="s">
        <v>33</v>
      </c>
      <c r="J287">
        <v>0</v>
      </c>
      <c r="K287">
        <f t="shared" si="39"/>
        <v>628.20000000000005</v>
      </c>
      <c r="L287">
        <v>3.6</v>
      </c>
      <c r="M287">
        <f t="shared" si="40"/>
        <v>461.2999999999999</v>
      </c>
      <c r="N287">
        <v>-3.6</v>
      </c>
      <c r="O287">
        <f t="shared" si="44"/>
        <v>1.6</v>
      </c>
      <c r="P287">
        <v>282</v>
      </c>
      <c r="Q287" s="7">
        <f t="shared" si="42"/>
        <v>0.78333333333333321</v>
      </c>
      <c r="R287" s="6">
        <f t="shared" si="37"/>
        <v>2.82</v>
      </c>
      <c r="S287" s="6">
        <f t="shared" si="38"/>
        <v>-2.82</v>
      </c>
      <c r="T287" s="6">
        <f t="shared" si="41"/>
        <v>3.02</v>
      </c>
      <c r="U287" s="22" t="s">
        <v>34</v>
      </c>
      <c r="V287">
        <v>1721.9</v>
      </c>
      <c r="X287">
        <v>257011.60000000012</v>
      </c>
      <c r="Y287">
        <f t="shared" si="43"/>
        <v>9512.6</v>
      </c>
      <c r="Z287" s="22" t="s">
        <v>35</v>
      </c>
      <c r="AA287">
        <v>15.877080132290899</v>
      </c>
    </row>
    <row r="288" spans="1:27" x14ac:dyDescent="0.25">
      <c r="A288" s="45"/>
      <c r="B288" s="3"/>
      <c r="C288" s="4">
        <v>42169</v>
      </c>
      <c r="D288">
        <v>20.399999999999999</v>
      </c>
      <c r="E288">
        <v>17.5</v>
      </c>
      <c r="F288">
        <v>25.6</v>
      </c>
      <c r="G288">
        <v>2732.4999999999991</v>
      </c>
      <c r="H288">
        <f t="shared" si="35"/>
        <v>122.4</v>
      </c>
      <c r="I288" s="6">
        <f>AVERAGE(D283:D303)</f>
        <v>19.071428571428573</v>
      </c>
      <c r="J288">
        <v>23.6</v>
      </c>
      <c r="K288">
        <f t="shared" si="39"/>
        <v>651.80000000000007</v>
      </c>
      <c r="L288">
        <v>1.9</v>
      </c>
      <c r="M288">
        <f t="shared" si="40"/>
        <v>463.19999999999987</v>
      </c>
      <c r="N288">
        <v>21.700000000000003</v>
      </c>
      <c r="O288">
        <f t="shared" si="44"/>
        <v>23.300000000000004</v>
      </c>
      <c r="P288">
        <v>283</v>
      </c>
      <c r="Q288" s="7">
        <f t="shared" si="42"/>
        <v>0.76666666666666661</v>
      </c>
      <c r="R288" s="6">
        <f t="shared" si="37"/>
        <v>1.4566666666666666</v>
      </c>
      <c r="S288" s="6">
        <f t="shared" si="38"/>
        <v>22.143333333333334</v>
      </c>
      <c r="T288" s="6">
        <f t="shared" si="41"/>
        <v>25.163333333333334</v>
      </c>
      <c r="U288">
        <v>18</v>
      </c>
      <c r="V288">
        <v>967.3</v>
      </c>
      <c r="X288">
        <v>257978.90000000011</v>
      </c>
      <c r="Y288">
        <f t="shared" si="43"/>
        <v>10479.9</v>
      </c>
      <c r="Z288">
        <v>1</v>
      </c>
      <c r="AA288">
        <v>15.8885681979102</v>
      </c>
    </row>
    <row r="289" spans="1:27" x14ac:dyDescent="0.25">
      <c r="A289" s="45"/>
      <c r="B289" s="3"/>
      <c r="C289" s="4">
        <v>42170</v>
      </c>
      <c r="D289">
        <v>17</v>
      </c>
      <c r="E289">
        <v>16.3</v>
      </c>
      <c r="F289">
        <v>18.100000000000001</v>
      </c>
      <c r="G289">
        <v>2749.4999999999991</v>
      </c>
      <c r="H289">
        <f t="shared" ref="H289:H313" si="45">H288+D289</f>
        <v>139.4</v>
      </c>
      <c r="I289" s="22" t="s">
        <v>36</v>
      </c>
      <c r="J289">
        <v>10.1</v>
      </c>
      <c r="K289">
        <f t="shared" si="39"/>
        <v>661.90000000000009</v>
      </c>
      <c r="L289">
        <v>0.8</v>
      </c>
      <c r="M289">
        <f t="shared" si="40"/>
        <v>463.99999999999989</v>
      </c>
      <c r="N289">
        <v>9.2999999999999989</v>
      </c>
      <c r="O289">
        <f t="shared" si="44"/>
        <v>32.6</v>
      </c>
      <c r="P289">
        <v>284</v>
      </c>
      <c r="Q289" s="7">
        <f t="shared" si="42"/>
        <v>0.75</v>
      </c>
      <c r="R289" s="6">
        <f t="shared" si="37"/>
        <v>0.60000000000000009</v>
      </c>
      <c r="S289" s="6">
        <f t="shared" si="38"/>
        <v>9.5</v>
      </c>
      <c r="T289" s="6">
        <f t="shared" si="41"/>
        <v>34.663333333333334</v>
      </c>
      <c r="U289" s="22" t="s">
        <v>37</v>
      </c>
      <c r="V289">
        <v>530.4</v>
      </c>
      <c r="X289">
        <v>258509.3000000001</v>
      </c>
      <c r="Y289">
        <f t="shared" si="43"/>
        <v>11010.3</v>
      </c>
      <c r="AA289">
        <v>15.898730110178001</v>
      </c>
    </row>
    <row r="290" spans="1:27" x14ac:dyDescent="0.25">
      <c r="A290" s="45"/>
      <c r="B290" s="3"/>
      <c r="C290" s="4">
        <v>42171</v>
      </c>
      <c r="D290">
        <v>18.100000000000001</v>
      </c>
      <c r="E290">
        <v>16.3</v>
      </c>
      <c r="F290">
        <v>20.5</v>
      </c>
      <c r="G290">
        <v>2767.599999999999</v>
      </c>
      <c r="H290">
        <f t="shared" si="45"/>
        <v>157.5</v>
      </c>
      <c r="I290">
        <v>0</v>
      </c>
      <c r="J290">
        <v>0</v>
      </c>
      <c r="K290">
        <f t="shared" si="39"/>
        <v>661.90000000000009</v>
      </c>
      <c r="L290">
        <v>2.2000000000000002</v>
      </c>
      <c r="M290">
        <f t="shared" si="40"/>
        <v>466.19999999999987</v>
      </c>
      <c r="N290">
        <v>-2.2000000000000002</v>
      </c>
      <c r="O290">
        <f t="shared" si="44"/>
        <v>30.400000000000002</v>
      </c>
      <c r="P290">
        <v>285</v>
      </c>
      <c r="Q290" s="7">
        <f t="shared" si="42"/>
        <v>0.73333333333333317</v>
      </c>
      <c r="R290" s="6">
        <f t="shared" si="37"/>
        <v>1.6133333333333331</v>
      </c>
      <c r="S290" s="6">
        <f t="shared" si="38"/>
        <v>-1.6133333333333331</v>
      </c>
      <c r="T290" s="6">
        <f t="shared" si="41"/>
        <v>33.050000000000004</v>
      </c>
      <c r="U290" s="6">
        <v>0</v>
      </c>
      <c r="V290">
        <v>1259.7</v>
      </c>
      <c r="X290">
        <v>259769.00000000012</v>
      </c>
      <c r="Y290">
        <f t="shared" si="43"/>
        <v>12270</v>
      </c>
      <c r="AA290">
        <v>15.907556251147501</v>
      </c>
    </row>
    <row r="291" spans="1:27" x14ac:dyDescent="0.25">
      <c r="A291" s="45"/>
      <c r="B291" s="3"/>
      <c r="C291" s="4">
        <v>42172</v>
      </c>
      <c r="D291">
        <v>17.399999999999999</v>
      </c>
      <c r="E291">
        <v>13.3</v>
      </c>
      <c r="F291">
        <v>22.3</v>
      </c>
      <c r="G291">
        <v>2784.9999999999991</v>
      </c>
      <c r="H291">
        <f t="shared" si="45"/>
        <v>174.9</v>
      </c>
      <c r="I291" s="22" t="s">
        <v>38</v>
      </c>
      <c r="J291">
        <v>0</v>
      </c>
      <c r="K291">
        <f t="shared" si="39"/>
        <v>661.90000000000009</v>
      </c>
      <c r="L291">
        <v>6.3</v>
      </c>
      <c r="M291">
        <f t="shared" si="40"/>
        <v>472.49999999999989</v>
      </c>
      <c r="N291">
        <v>-6.3</v>
      </c>
      <c r="O291">
        <f t="shared" si="44"/>
        <v>24.1</v>
      </c>
      <c r="P291">
        <v>286</v>
      </c>
      <c r="Q291" s="7">
        <f t="shared" si="42"/>
        <v>0.71666666666666656</v>
      </c>
      <c r="R291" s="6">
        <f t="shared" si="37"/>
        <v>4.5149999999999988</v>
      </c>
      <c r="S291" s="6">
        <f t="shared" si="38"/>
        <v>-4.5149999999999988</v>
      </c>
      <c r="T291" s="6">
        <f t="shared" si="41"/>
        <v>28.535000000000004</v>
      </c>
      <c r="U291" s="22" t="s">
        <v>39</v>
      </c>
      <c r="V291">
        <v>3347.6</v>
      </c>
      <c r="X291">
        <v>263116.60000000009</v>
      </c>
      <c r="Y291">
        <f t="shared" si="43"/>
        <v>15617.6</v>
      </c>
      <c r="AA291">
        <v>15.915038281206501</v>
      </c>
    </row>
    <row r="292" spans="1:27" x14ac:dyDescent="0.25">
      <c r="A292" s="45"/>
      <c r="B292" s="3"/>
      <c r="C292" s="4">
        <v>42173</v>
      </c>
      <c r="D292">
        <v>17</v>
      </c>
      <c r="E292">
        <v>11.5</v>
      </c>
      <c r="F292">
        <v>21.3</v>
      </c>
      <c r="G292">
        <v>2801.9999999999991</v>
      </c>
      <c r="H292">
        <f t="shared" si="45"/>
        <v>191.9</v>
      </c>
      <c r="I292">
        <v>9</v>
      </c>
      <c r="J292">
        <v>2.8</v>
      </c>
      <c r="K292">
        <f t="shared" si="39"/>
        <v>664.7</v>
      </c>
      <c r="L292">
        <v>2.6</v>
      </c>
      <c r="M292">
        <f t="shared" si="40"/>
        <v>475.09999999999991</v>
      </c>
      <c r="N292">
        <v>0.19999999999999973</v>
      </c>
      <c r="O292">
        <f t="shared" si="44"/>
        <v>24.3</v>
      </c>
      <c r="P292">
        <v>287</v>
      </c>
      <c r="Q292" s="7">
        <f t="shared" si="42"/>
        <v>0.7</v>
      </c>
      <c r="R292" s="6">
        <f t="shared" si="37"/>
        <v>1.8199999999999998</v>
      </c>
      <c r="S292" s="6">
        <f t="shared" si="38"/>
        <v>0.98</v>
      </c>
      <c r="T292" s="6">
        <f t="shared" si="41"/>
        <v>29.515000000000004</v>
      </c>
      <c r="U292" s="6">
        <f>MAX(T283:T303)</f>
        <v>34.663333333333334</v>
      </c>
      <c r="V292">
        <v>1338.6</v>
      </c>
      <c r="X292">
        <v>264455.20000000007</v>
      </c>
      <c r="Y292">
        <f t="shared" si="43"/>
        <v>16956.2</v>
      </c>
      <c r="AA292">
        <v>15.9211691699458</v>
      </c>
    </row>
    <row r="293" spans="1:27" x14ac:dyDescent="0.25">
      <c r="A293" s="45"/>
      <c r="B293" s="3"/>
      <c r="C293" s="4">
        <v>42174</v>
      </c>
      <c r="D293">
        <v>16.8</v>
      </c>
      <c r="E293">
        <v>12.9</v>
      </c>
      <c r="F293">
        <v>21.1</v>
      </c>
      <c r="G293">
        <v>2818.7999999999993</v>
      </c>
      <c r="H293">
        <f t="shared" si="45"/>
        <v>208.70000000000002</v>
      </c>
      <c r="I293" s="22" t="s">
        <v>40</v>
      </c>
      <c r="J293">
        <v>0</v>
      </c>
      <c r="K293">
        <f t="shared" si="39"/>
        <v>664.7</v>
      </c>
      <c r="L293">
        <v>3.9</v>
      </c>
      <c r="M293">
        <f t="shared" si="40"/>
        <v>478.99999999999989</v>
      </c>
      <c r="N293">
        <v>-3.9</v>
      </c>
      <c r="O293">
        <f t="shared" si="44"/>
        <v>20.400000000000002</v>
      </c>
      <c r="P293">
        <v>288</v>
      </c>
      <c r="Q293" s="7">
        <f t="shared" si="42"/>
        <v>0.68333333333333324</v>
      </c>
      <c r="R293" s="6">
        <f t="shared" si="37"/>
        <v>2.6649999999999996</v>
      </c>
      <c r="S293" s="6">
        <f t="shared" si="38"/>
        <v>-2.6649999999999996</v>
      </c>
      <c r="T293" s="6">
        <f t="shared" si="41"/>
        <v>26.850000000000005</v>
      </c>
      <c r="U293" s="22" t="s">
        <v>41</v>
      </c>
      <c r="V293">
        <v>2022.6</v>
      </c>
      <c r="X293">
        <v>266477.80000000005</v>
      </c>
      <c r="Y293">
        <f t="shared" si="43"/>
        <v>18978.8</v>
      </c>
      <c r="AA293">
        <v>15.9259432223794</v>
      </c>
    </row>
    <row r="294" spans="1:27" x14ac:dyDescent="0.25">
      <c r="A294" s="45"/>
      <c r="B294" s="3"/>
      <c r="C294" s="4">
        <v>42175</v>
      </c>
      <c r="D294">
        <v>15.1</v>
      </c>
      <c r="E294">
        <v>11</v>
      </c>
      <c r="F294">
        <v>18.5</v>
      </c>
      <c r="G294">
        <v>2833.8999999999992</v>
      </c>
      <c r="H294">
        <f t="shared" si="45"/>
        <v>223.8</v>
      </c>
      <c r="I294">
        <v>0</v>
      </c>
      <c r="J294">
        <v>0</v>
      </c>
      <c r="K294">
        <f t="shared" si="39"/>
        <v>664.7</v>
      </c>
      <c r="L294">
        <v>2.6</v>
      </c>
      <c r="M294">
        <f t="shared" si="40"/>
        <v>481.59999999999991</v>
      </c>
      <c r="N294">
        <v>-2.6</v>
      </c>
      <c r="O294">
        <f t="shared" si="44"/>
        <v>17.8</v>
      </c>
      <c r="P294">
        <v>289</v>
      </c>
      <c r="Q294" s="7">
        <f t="shared" si="42"/>
        <v>0.66666666666666663</v>
      </c>
      <c r="R294" s="6">
        <f t="shared" si="37"/>
        <v>1.7333333333333334</v>
      </c>
      <c r="S294" s="6">
        <f t="shared" si="38"/>
        <v>-1.7333333333333334</v>
      </c>
      <c r="T294" s="6">
        <f t="shared" si="41"/>
        <v>25.116666666666671</v>
      </c>
      <c r="U294" s="7">
        <f>AVERAGE(T283:T303)</f>
        <v>16.752142857142857</v>
      </c>
      <c r="V294">
        <v>1425</v>
      </c>
      <c r="X294">
        <v>267902.80000000005</v>
      </c>
      <c r="Y294">
        <f t="shared" si="43"/>
        <v>20403.8</v>
      </c>
      <c r="AA294">
        <v>15.9293561003129</v>
      </c>
    </row>
    <row r="295" spans="1:27" x14ac:dyDescent="0.25">
      <c r="A295" s="45"/>
      <c r="B295" s="3"/>
      <c r="C295" s="4">
        <v>42176</v>
      </c>
      <c r="D295">
        <v>18.2</v>
      </c>
      <c r="E295">
        <v>13.7</v>
      </c>
      <c r="F295">
        <v>22</v>
      </c>
      <c r="G295">
        <v>2852.099999999999</v>
      </c>
      <c r="H295">
        <f t="shared" si="45"/>
        <v>242</v>
      </c>
      <c r="I295" s="22" t="s">
        <v>42</v>
      </c>
      <c r="J295">
        <v>0.6</v>
      </c>
      <c r="K295">
        <f t="shared" si="39"/>
        <v>665.30000000000007</v>
      </c>
      <c r="L295">
        <v>2</v>
      </c>
      <c r="M295">
        <f t="shared" si="40"/>
        <v>483.59999999999991</v>
      </c>
      <c r="N295">
        <v>-1.4</v>
      </c>
      <c r="O295">
        <f t="shared" si="44"/>
        <v>16.400000000000002</v>
      </c>
      <c r="P295">
        <v>290</v>
      </c>
      <c r="Q295" s="7">
        <f t="shared" si="42"/>
        <v>0.64999999999999991</v>
      </c>
      <c r="R295" s="6">
        <f t="shared" si="37"/>
        <v>1.2999999999999998</v>
      </c>
      <c r="S295" s="6">
        <f t="shared" si="38"/>
        <v>-0.69999999999999984</v>
      </c>
      <c r="T295" s="6">
        <f t="shared" si="41"/>
        <v>24.416666666666671</v>
      </c>
      <c r="V295">
        <v>1103.5</v>
      </c>
      <c r="X295">
        <v>269006.30000000005</v>
      </c>
      <c r="Y295">
        <f t="shared" si="43"/>
        <v>21507.3</v>
      </c>
      <c r="AA295">
        <v>15.9314048386947</v>
      </c>
    </row>
    <row r="296" spans="1:27" x14ac:dyDescent="0.25">
      <c r="A296" s="45"/>
      <c r="B296" s="3"/>
      <c r="C296" s="4">
        <v>42177</v>
      </c>
      <c r="D296">
        <v>19.5</v>
      </c>
      <c r="E296">
        <v>14.1</v>
      </c>
      <c r="F296">
        <v>25.1</v>
      </c>
      <c r="G296" s="18">
        <v>2871.599999999999</v>
      </c>
      <c r="H296" s="11">
        <f t="shared" si="45"/>
        <v>261.5</v>
      </c>
      <c r="I296">
        <v>400.5</v>
      </c>
      <c r="J296" s="11">
        <v>1.3</v>
      </c>
      <c r="K296" s="11">
        <f t="shared" si="39"/>
        <v>666.6</v>
      </c>
      <c r="L296">
        <v>3.3</v>
      </c>
      <c r="M296">
        <f t="shared" si="40"/>
        <v>486.89999999999992</v>
      </c>
      <c r="N296">
        <v>-1.9999999999999998</v>
      </c>
      <c r="O296">
        <f t="shared" si="44"/>
        <v>14.400000000000002</v>
      </c>
      <c r="P296">
        <v>291</v>
      </c>
      <c r="Q296" s="7">
        <f t="shared" si="42"/>
        <v>0.6333333333333333</v>
      </c>
      <c r="R296" s="6">
        <f t="shared" si="37"/>
        <v>2.09</v>
      </c>
      <c r="S296" s="6">
        <f t="shared" si="38"/>
        <v>-0.78999999999999981</v>
      </c>
      <c r="T296" s="6">
        <f t="shared" si="41"/>
        <v>23.626666666666672</v>
      </c>
      <c r="U296">
        <f>(U294*100)/122.1</f>
        <v>13.720018720018722</v>
      </c>
      <c r="V296">
        <v>1260.2</v>
      </c>
      <c r="X296" s="18">
        <v>270266.50000000006</v>
      </c>
      <c r="Y296">
        <f t="shared" si="43"/>
        <v>22767.5</v>
      </c>
      <c r="Z296" s="11"/>
      <c r="AA296">
        <v>15.9320878568184</v>
      </c>
    </row>
    <row r="297" spans="1:27" ht="15" customHeight="1" x14ac:dyDescent="0.25">
      <c r="A297" s="45"/>
      <c r="B297" s="23"/>
      <c r="C297" s="4">
        <v>42178</v>
      </c>
      <c r="D297">
        <v>15.1</v>
      </c>
      <c r="E297">
        <v>12.8</v>
      </c>
      <c r="F297">
        <v>18.3</v>
      </c>
      <c r="G297">
        <v>2886.6999999999989</v>
      </c>
      <c r="H297">
        <f t="shared" si="45"/>
        <v>276.60000000000002</v>
      </c>
      <c r="J297">
        <v>0</v>
      </c>
      <c r="K297">
        <f t="shared" si="39"/>
        <v>666.6</v>
      </c>
      <c r="L297">
        <v>3.6</v>
      </c>
      <c r="M297">
        <f t="shared" si="40"/>
        <v>490.49999999999994</v>
      </c>
      <c r="N297">
        <v>-3.6</v>
      </c>
      <c r="O297">
        <f t="shared" si="44"/>
        <v>10.800000000000002</v>
      </c>
      <c r="P297">
        <v>292</v>
      </c>
      <c r="Q297" s="7">
        <f t="shared" si="42"/>
        <v>0.6166666666666667</v>
      </c>
      <c r="R297" s="6">
        <f t="shared" si="37"/>
        <v>2.2200000000000002</v>
      </c>
      <c r="S297" s="6">
        <f t="shared" si="38"/>
        <v>-2.2200000000000002</v>
      </c>
      <c r="T297" s="6">
        <f t="shared" si="41"/>
        <v>21.406666666666673</v>
      </c>
      <c r="V297">
        <v>1868.2</v>
      </c>
      <c r="X297" s="11">
        <v>272134.70000000007</v>
      </c>
      <c r="Y297">
        <f t="shared" si="43"/>
        <v>24635.7</v>
      </c>
      <c r="Z297" s="11"/>
      <c r="AA297">
        <v>15.9314049642899</v>
      </c>
    </row>
    <row r="298" spans="1:27" x14ac:dyDescent="0.25">
      <c r="A298" s="45"/>
      <c r="B298" s="23"/>
      <c r="C298" s="4">
        <v>42179</v>
      </c>
      <c r="D298">
        <v>17.2</v>
      </c>
      <c r="E298">
        <v>9.1999999999999993</v>
      </c>
      <c r="F298">
        <v>23.1</v>
      </c>
      <c r="G298">
        <v>2903.8999999999987</v>
      </c>
      <c r="H298">
        <f t="shared" si="45"/>
        <v>293.8</v>
      </c>
      <c r="J298">
        <v>0</v>
      </c>
      <c r="K298">
        <f t="shared" si="39"/>
        <v>666.6</v>
      </c>
      <c r="L298">
        <v>5.4</v>
      </c>
      <c r="M298">
        <f t="shared" si="40"/>
        <v>495.89999999999992</v>
      </c>
      <c r="N298">
        <v>-5.4</v>
      </c>
      <c r="O298">
        <f t="shared" si="44"/>
        <v>5.4000000000000021</v>
      </c>
      <c r="P298">
        <v>293</v>
      </c>
      <c r="Q298" s="7">
        <f t="shared" si="42"/>
        <v>0.6</v>
      </c>
      <c r="R298" s="6">
        <f t="shared" si="37"/>
        <v>3.24</v>
      </c>
      <c r="S298" s="6">
        <f t="shared" si="38"/>
        <v>-3.24</v>
      </c>
      <c r="T298" s="6">
        <f t="shared" si="41"/>
        <v>18.166666666666671</v>
      </c>
      <c r="V298">
        <v>3133.4</v>
      </c>
      <c r="X298">
        <v>275268.10000000009</v>
      </c>
      <c r="Y298">
        <f t="shared" si="43"/>
        <v>27769.100000000002</v>
      </c>
      <c r="AA298">
        <v>15.9293573617103</v>
      </c>
    </row>
    <row r="299" spans="1:27" x14ac:dyDescent="0.25">
      <c r="A299" s="45"/>
      <c r="B299" s="23"/>
      <c r="C299" s="4">
        <v>42180</v>
      </c>
      <c r="D299">
        <v>19.399999999999999</v>
      </c>
      <c r="E299">
        <v>11.8</v>
      </c>
      <c r="F299">
        <v>25.5</v>
      </c>
      <c r="G299">
        <v>2923.2999999999988</v>
      </c>
      <c r="H299">
        <f t="shared" si="45"/>
        <v>313.2</v>
      </c>
      <c r="J299">
        <v>0</v>
      </c>
      <c r="K299">
        <f t="shared" si="39"/>
        <v>666.6</v>
      </c>
      <c r="L299">
        <v>3.8</v>
      </c>
      <c r="M299">
        <f t="shared" si="40"/>
        <v>499.69999999999993</v>
      </c>
      <c r="N299">
        <v>-3.8</v>
      </c>
      <c r="O299">
        <f t="shared" si="44"/>
        <v>1.6000000000000023</v>
      </c>
      <c r="P299">
        <v>294</v>
      </c>
      <c r="Q299" s="7">
        <f t="shared" si="42"/>
        <v>0.58333333333333326</v>
      </c>
      <c r="R299" s="6">
        <f t="shared" si="37"/>
        <v>2.2166666666666663</v>
      </c>
      <c r="S299" s="6">
        <f t="shared" si="38"/>
        <v>-2.2166666666666663</v>
      </c>
      <c r="T299" s="6">
        <f t="shared" si="41"/>
        <v>15.950000000000005</v>
      </c>
      <c r="V299">
        <v>2138.6999999999998</v>
      </c>
      <c r="X299">
        <v>277406.8000000001</v>
      </c>
      <c r="Y299">
        <f t="shared" si="43"/>
        <v>29907.800000000003</v>
      </c>
      <c r="AA299">
        <v>15.9259476360702</v>
      </c>
    </row>
    <row r="300" spans="1:27" x14ac:dyDescent="0.25">
      <c r="A300" s="45"/>
      <c r="B300" s="23"/>
      <c r="C300" s="4">
        <v>42181</v>
      </c>
      <c r="D300">
        <v>21.6</v>
      </c>
      <c r="E300">
        <v>13.7</v>
      </c>
      <c r="F300">
        <v>27.6</v>
      </c>
      <c r="G300">
        <v>2944.8999999999987</v>
      </c>
      <c r="H300">
        <f t="shared" si="45"/>
        <v>334.8</v>
      </c>
      <c r="J300">
        <v>0</v>
      </c>
      <c r="K300">
        <f t="shared" si="39"/>
        <v>666.6</v>
      </c>
      <c r="L300">
        <v>5.4</v>
      </c>
      <c r="M300">
        <f t="shared" si="40"/>
        <v>505.09999999999991</v>
      </c>
      <c r="N300">
        <v>-5.4</v>
      </c>
      <c r="O300">
        <v>0</v>
      </c>
      <c r="P300">
        <v>295</v>
      </c>
      <c r="Q300" s="7">
        <f t="shared" si="42"/>
        <v>0.56666666666666665</v>
      </c>
      <c r="R300" s="6">
        <f t="shared" si="37"/>
        <v>3.06</v>
      </c>
      <c r="S300" s="6">
        <f t="shared" si="38"/>
        <v>-3.06</v>
      </c>
      <c r="T300" s="6">
        <f t="shared" si="41"/>
        <v>12.890000000000004</v>
      </c>
      <c r="V300">
        <v>2654.1</v>
      </c>
      <c r="X300">
        <v>280060.90000000008</v>
      </c>
      <c r="Y300">
        <f t="shared" si="43"/>
        <v>32561.9</v>
      </c>
      <c r="AA300">
        <v>15.921179750890801</v>
      </c>
    </row>
    <row r="301" spans="1:27" x14ac:dyDescent="0.25">
      <c r="A301" s="45"/>
      <c r="B301" s="23"/>
      <c r="C301" s="4">
        <v>42182</v>
      </c>
      <c r="D301">
        <v>21.2</v>
      </c>
      <c r="E301">
        <v>16</v>
      </c>
      <c r="F301">
        <v>26.3</v>
      </c>
      <c r="G301">
        <v>2966.0999999999985</v>
      </c>
      <c r="H301">
        <f t="shared" si="45"/>
        <v>356</v>
      </c>
      <c r="J301">
        <v>0</v>
      </c>
      <c r="K301">
        <f t="shared" si="39"/>
        <v>666.6</v>
      </c>
      <c r="L301">
        <v>3.4</v>
      </c>
      <c r="M301">
        <f t="shared" si="40"/>
        <v>508.49999999999989</v>
      </c>
      <c r="N301">
        <v>-3.4</v>
      </c>
      <c r="O301">
        <v>0</v>
      </c>
      <c r="P301">
        <v>296</v>
      </c>
      <c r="Q301" s="7">
        <f t="shared" si="42"/>
        <v>0.54999999999999993</v>
      </c>
      <c r="R301" s="6">
        <f t="shared" si="37"/>
        <v>1.8699999999999997</v>
      </c>
      <c r="S301" s="6">
        <f t="shared" si="38"/>
        <v>-1.8699999999999997</v>
      </c>
      <c r="T301" s="6">
        <f t="shared" si="41"/>
        <v>11.020000000000005</v>
      </c>
      <c r="V301">
        <v>1332</v>
      </c>
      <c r="X301">
        <v>281392.90000000008</v>
      </c>
      <c r="Y301">
        <f t="shared" si="43"/>
        <v>33893.9</v>
      </c>
      <c r="AA301">
        <v>15.915059031190699</v>
      </c>
    </row>
    <row r="302" spans="1:27" x14ac:dyDescent="0.25">
      <c r="A302" s="45"/>
      <c r="B302" s="24"/>
      <c r="C302" s="4">
        <v>42183</v>
      </c>
      <c r="D302">
        <v>21.6</v>
      </c>
      <c r="E302">
        <v>13.3</v>
      </c>
      <c r="F302">
        <v>28</v>
      </c>
      <c r="G302">
        <v>2987.6999999999985</v>
      </c>
      <c r="H302">
        <f t="shared" si="45"/>
        <v>377.6</v>
      </c>
      <c r="J302">
        <v>0</v>
      </c>
      <c r="K302">
        <f t="shared" si="39"/>
        <v>666.6</v>
      </c>
      <c r="L302">
        <v>6.8</v>
      </c>
      <c r="M302">
        <f t="shared" si="40"/>
        <v>515.29999999999984</v>
      </c>
      <c r="N302">
        <v>-6.8</v>
      </c>
      <c r="O302">
        <v>0</v>
      </c>
      <c r="P302">
        <v>297</v>
      </c>
      <c r="Q302" s="7">
        <f t="shared" si="42"/>
        <v>0.53333333333333321</v>
      </c>
      <c r="R302" s="6">
        <f t="shared" si="37"/>
        <v>3.6266666666666656</v>
      </c>
      <c r="S302" s="6">
        <f t="shared" si="38"/>
        <v>-3.6266666666666656</v>
      </c>
      <c r="T302" s="6">
        <f t="shared" si="41"/>
        <v>7.3933333333333398</v>
      </c>
      <c r="V302">
        <v>3318.5</v>
      </c>
      <c r="X302">
        <v>284711.40000000008</v>
      </c>
      <c r="Y302">
        <f t="shared" si="43"/>
        <v>37212.400000000001</v>
      </c>
      <c r="AA302">
        <v>15.9075921433968</v>
      </c>
    </row>
    <row r="303" spans="1:27" s="34" customFormat="1" ht="15.75" thickBot="1" x14ac:dyDescent="0.3">
      <c r="A303" s="45"/>
      <c r="B303" s="42">
        <v>1000</v>
      </c>
      <c r="C303" s="33">
        <v>42184</v>
      </c>
      <c r="D303" s="34">
        <v>22.9</v>
      </c>
      <c r="E303" s="34">
        <v>14.6</v>
      </c>
      <c r="F303" s="34">
        <v>30.3</v>
      </c>
      <c r="G303" s="34">
        <v>3010.5999999999985</v>
      </c>
      <c r="H303" s="34">
        <f t="shared" si="45"/>
        <v>400.5</v>
      </c>
      <c r="J303" s="34">
        <v>0</v>
      </c>
      <c r="K303" s="34">
        <f t="shared" si="39"/>
        <v>666.6</v>
      </c>
      <c r="L303" s="34">
        <v>4.3</v>
      </c>
      <c r="M303" s="34">
        <f t="shared" si="40"/>
        <v>519.5999999999998</v>
      </c>
      <c r="N303" s="34">
        <v>-4.3</v>
      </c>
      <c r="O303" s="34">
        <v>0</v>
      </c>
      <c r="P303" s="34">
        <v>298</v>
      </c>
      <c r="Q303" s="41">
        <f t="shared" si="42"/>
        <v>0.51666666666666661</v>
      </c>
      <c r="R303" s="35">
        <f t="shared" si="37"/>
        <v>2.2216666666666662</v>
      </c>
      <c r="S303" s="35">
        <f t="shared" si="38"/>
        <v>-2.2216666666666662</v>
      </c>
      <c r="T303" s="37">
        <f t="shared" si="41"/>
        <v>5.171666666666674</v>
      </c>
      <c r="V303" s="34">
        <v>2019</v>
      </c>
      <c r="X303" s="34">
        <v>286730.40000000008</v>
      </c>
      <c r="Y303" s="36">
        <f t="shared" si="43"/>
        <v>39231.4</v>
      </c>
      <c r="AA303" s="36">
        <v>15.8987870703568</v>
      </c>
    </row>
    <row r="304" spans="1:27" x14ac:dyDescent="0.25">
      <c r="A304" s="25"/>
      <c r="B304" s="24"/>
      <c r="C304" s="4">
        <v>42185</v>
      </c>
      <c r="D304">
        <v>25.9</v>
      </c>
      <c r="E304">
        <v>18.7</v>
      </c>
      <c r="F304">
        <v>32.200000000000003</v>
      </c>
      <c r="G304">
        <v>3036.4999999999986</v>
      </c>
      <c r="H304">
        <f t="shared" si="45"/>
        <v>426.4</v>
      </c>
      <c r="J304">
        <v>0</v>
      </c>
      <c r="K304">
        <f t="shared" si="39"/>
        <v>666.6</v>
      </c>
      <c r="L304">
        <v>8.1999999999999993</v>
      </c>
      <c r="M304">
        <f t="shared" si="40"/>
        <v>527.79999999999984</v>
      </c>
      <c r="N304">
        <v>-8.1999999999999993</v>
      </c>
      <c r="O304">
        <v>0</v>
      </c>
      <c r="P304">
        <v>299</v>
      </c>
      <c r="Q304" s="7">
        <f t="shared" si="42"/>
        <v>0.5</v>
      </c>
      <c r="R304" s="6">
        <f t="shared" si="37"/>
        <v>4.0999999999999996</v>
      </c>
      <c r="S304" s="6">
        <f t="shared" si="38"/>
        <v>-4.0999999999999996</v>
      </c>
      <c r="T304" s="6">
        <f t="shared" si="41"/>
        <v>1.0716666666666743</v>
      </c>
      <c r="V304">
        <v>3287.8</v>
      </c>
      <c r="X304">
        <v>290018.20000000007</v>
      </c>
      <c r="Y304">
        <v>3287.8</v>
      </c>
      <c r="AA304">
        <v>15.8886530816473</v>
      </c>
    </row>
    <row r="305" spans="1:27" x14ac:dyDescent="0.25">
      <c r="A305" s="25"/>
      <c r="B305" s="24"/>
      <c r="C305" s="4">
        <v>42186</v>
      </c>
      <c r="D305">
        <v>27.2</v>
      </c>
      <c r="E305">
        <v>19.3</v>
      </c>
      <c r="F305">
        <v>34.4</v>
      </c>
      <c r="G305">
        <v>3063.6999999999985</v>
      </c>
      <c r="H305">
        <f t="shared" si="45"/>
        <v>453.59999999999997</v>
      </c>
      <c r="J305">
        <v>0</v>
      </c>
      <c r="K305">
        <f t="shared" si="39"/>
        <v>666.6</v>
      </c>
      <c r="L305">
        <v>8.5</v>
      </c>
      <c r="M305">
        <f t="shared" si="40"/>
        <v>536.29999999999984</v>
      </c>
      <c r="N305">
        <v>-8.5</v>
      </c>
      <c r="O305">
        <v>0</v>
      </c>
      <c r="P305">
        <v>300</v>
      </c>
      <c r="Q305" s="7">
        <f t="shared" si="42"/>
        <v>0.48333333333333328</v>
      </c>
      <c r="R305" s="6">
        <f t="shared" si="37"/>
        <v>4.1083333333333325</v>
      </c>
      <c r="S305" s="6">
        <f t="shared" si="38"/>
        <v>-4.1083333333333325</v>
      </c>
      <c r="T305" s="6">
        <v>0</v>
      </c>
      <c r="V305">
        <v>3272.4</v>
      </c>
      <c r="X305">
        <v>293290.60000000009</v>
      </c>
      <c r="Y305">
        <f t="shared" si="43"/>
        <v>6560.2000000000007</v>
      </c>
      <c r="AA305">
        <v>15.877200699406099</v>
      </c>
    </row>
    <row r="306" spans="1:27" x14ac:dyDescent="0.25">
      <c r="A306" s="25"/>
      <c r="B306" s="24"/>
      <c r="C306" s="4">
        <v>42187</v>
      </c>
      <c r="D306">
        <v>27.6</v>
      </c>
      <c r="E306">
        <v>19.899999999999999</v>
      </c>
      <c r="F306">
        <v>34.799999999999997</v>
      </c>
      <c r="G306">
        <v>3091.2999999999984</v>
      </c>
      <c r="H306">
        <f t="shared" si="45"/>
        <v>481.2</v>
      </c>
      <c r="J306">
        <v>0</v>
      </c>
      <c r="K306">
        <f t="shared" si="39"/>
        <v>666.6</v>
      </c>
      <c r="L306">
        <v>8.5</v>
      </c>
      <c r="M306">
        <f t="shared" si="40"/>
        <v>544.79999999999984</v>
      </c>
      <c r="N306">
        <v>-8.5</v>
      </c>
      <c r="O306">
        <v>0</v>
      </c>
      <c r="P306">
        <v>301</v>
      </c>
      <c r="Q306" s="7">
        <f t="shared" si="42"/>
        <v>0.46666666666666667</v>
      </c>
      <c r="R306" s="6">
        <f t="shared" si="37"/>
        <v>3.9666666666666668</v>
      </c>
      <c r="S306" s="6">
        <f t="shared" si="38"/>
        <v>-3.9666666666666668</v>
      </c>
      <c r="T306" s="6">
        <v>0</v>
      </c>
      <c r="V306">
        <v>3268.5</v>
      </c>
      <c r="X306">
        <v>296559.10000000009</v>
      </c>
      <c r="Y306">
        <f t="shared" si="43"/>
        <v>9828.7000000000007</v>
      </c>
      <c r="AA306">
        <v>15.864441659948399</v>
      </c>
    </row>
    <row r="307" spans="1:27" x14ac:dyDescent="0.25">
      <c r="A307" s="25"/>
      <c r="B307" s="24"/>
      <c r="C307" s="4">
        <v>42188</v>
      </c>
      <c r="D307">
        <v>28.7</v>
      </c>
      <c r="E307">
        <v>20.6</v>
      </c>
      <c r="F307">
        <v>34.700000000000003</v>
      </c>
      <c r="G307">
        <v>3119.9999999999982</v>
      </c>
      <c r="H307">
        <f t="shared" si="45"/>
        <v>509.9</v>
      </c>
      <c r="J307">
        <v>0</v>
      </c>
      <c r="K307">
        <f t="shared" si="39"/>
        <v>666.6</v>
      </c>
      <c r="L307">
        <v>7.7</v>
      </c>
      <c r="M307">
        <f t="shared" si="40"/>
        <v>552.49999999999989</v>
      </c>
      <c r="N307">
        <v>-7.7</v>
      </c>
      <c r="O307">
        <v>0</v>
      </c>
      <c r="P307">
        <v>302</v>
      </c>
      <c r="Q307" s="7">
        <f t="shared" si="42"/>
        <v>0.44999999999999996</v>
      </c>
      <c r="R307" s="6">
        <f t="shared" si="37"/>
        <v>3.4649999999999999</v>
      </c>
      <c r="S307" s="6">
        <f t="shared" si="38"/>
        <v>-3.4649999999999999</v>
      </c>
      <c r="T307" s="6">
        <v>0</v>
      </c>
      <c r="V307">
        <v>2947.3</v>
      </c>
      <c r="X307">
        <v>299506.40000000008</v>
      </c>
      <c r="Y307">
        <f t="shared" si="43"/>
        <v>12776</v>
      </c>
      <c r="AA307">
        <v>15.8503888714531</v>
      </c>
    </row>
    <row r="308" spans="1:27" x14ac:dyDescent="0.25">
      <c r="A308" s="25"/>
      <c r="B308" s="24"/>
      <c r="C308" s="4">
        <v>42189</v>
      </c>
      <c r="D308">
        <v>28.7</v>
      </c>
      <c r="E308">
        <v>23.9</v>
      </c>
      <c r="F308">
        <v>36.200000000000003</v>
      </c>
      <c r="G308">
        <v>3148.699999999998</v>
      </c>
      <c r="H308">
        <f t="shared" si="45"/>
        <v>538.6</v>
      </c>
      <c r="J308">
        <v>0</v>
      </c>
      <c r="K308">
        <f t="shared" si="39"/>
        <v>666.6</v>
      </c>
      <c r="L308">
        <v>8.1</v>
      </c>
      <c r="M308">
        <f t="shared" si="40"/>
        <v>560.59999999999991</v>
      </c>
      <c r="N308">
        <v>-8.1</v>
      </c>
      <c r="O308">
        <v>0</v>
      </c>
      <c r="P308">
        <v>303</v>
      </c>
      <c r="Q308" s="7">
        <f t="shared" si="42"/>
        <v>0.43333333333333324</v>
      </c>
      <c r="R308" s="6">
        <f t="shared" si="37"/>
        <v>3.5099999999999989</v>
      </c>
      <c r="S308" s="6">
        <f t="shared" si="38"/>
        <v>-3.5099999999999989</v>
      </c>
      <c r="T308" s="6">
        <v>0</v>
      </c>
      <c r="V308">
        <v>2763.9</v>
      </c>
      <c r="X308">
        <v>302270.3000000001</v>
      </c>
      <c r="Y308">
        <f t="shared" si="43"/>
        <v>15539.9</v>
      </c>
      <c r="AA308">
        <v>15.8350563680323</v>
      </c>
    </row>
    <row r="309" spans="1:27" x14ac:dyDescent="0.25">
      <c r="A309" s="25"/>
      <c r="B309" s="24"/>
      <c r="C309" s="4">
        <v>42190</v>
      </c>
      <c r="D309">
        <v>27.9</v>
      </c>
      <c r="E309">
        <v>21.5</v>
      </c>
      <c r="F309">
        <v>34.700000000000003</v>
      </c>
      <c r="G309">
        <v>3176.5999999999981</v>
      </c>
      <c r="H309">
        <f t="shared" si="45"/>
        <v>566.5</v>
      </c>
      <c r="J309">
        <v>1.4</v>
      </c>
      <c r="K309">
        <f t="shared" si="39"/>
        <v>668</v>
      </c>
      <c r="L309">
        <v>7</v>
      </c>
      <c r="M309">
        <f t="shared" si="40"/>
        <v>567.59999999999991</v>
      </c>
      <c r="N309">
        <v>-5.6</v>
      </c>
      <c r="O309">
        <v>0</v>
      </c>
      <c r="P309">
        <v>304</v>
      </c>
      <c r="Q309" s="7">
        <f t="shared" si="42"/>
        <v>0.41666666666666663</v>
      </c>
      <c r="R309" s="6">
        <f t="shared" si="37"/>
        <v>2.9166666666666665</v>
      </c>
      <c r="S309" s="6">
        <f t="shared" si="38"/>
        <v>-1.5166666666666666</v>
      </c>
      <c r="T309" s="6">
        <v>0</v>
      </c>
      <c r="V309">
        <v>2334.3000000000002</v>
      </c>
      <c r="X309">
        <v>304604.60000000009</v>
      </c>
      <c r="Y309">
        <f t="shared" si="43"/>
        <v>17874.2</v>
      </c>
      <c r="AA309">
        <v>15.8184592605141</v>
      </c>
    </row>
    <row r="310" spans="1:27" x14ac:dyDescent="0.25">
      <c r="A310" s="25"/>
      <c r="B310" s="24"/>
      <c r="C310" s="4">
        <v>42191</v>
      </c>
      <c r="D310">
        <v>25.6</v>
      </c>
      <c r="E310">
        <v>20.7</v>
      </c>
      <c r="F310">
        <v>30.6</v>
      </c>
      <c r="G310">
        <v>3202.199999999998</v>
      </c>
      <c r="H310">
        <f t="shared" si="45"/>
        <v>592.1</v>
      </c>
      <c r="J310">
        <v>0</v>
      </c>
      <c r="K310">
        <f t="shared" si="39"/>
        <v>668</v>
      </c>
      <c r="L310">
        <v>8</v>
      </c>
      <c r="M310">
        <f t="shared" si="40"/>
        <v>575.59999999999991</v>
      </c>
      <c r="N310">
        <v>-8</v>
      </c>
      <c r="O310">
        <v>0</v>
      </c>
      <c r="P310">
        <v>305</v>
      </c>
      <c r="Q310" s="7">
        <f t="shared" si="42"/>
        <v>0.4</v>
      </c>
      <c r="R310" s="6">
        <f t="shared" si="37"/>
        <v>3.2</v>
      </c>
      <c r="S310" s="6">
        <f t="shared" si="38"/>
        <v>-3.2</v>
      </c>
      <c r="T310" s="6">
        <v>0</v>
      </c>
      <c r="V310">
        <v>3246</v>
      </c>
      <c r="X310">
        <v>307850.60000000009</v>
      </c>
      <c r="Y310">
        <f t="shared" si="43"/>
        <v>21120.2</v>
      </c>
      <c r="AA310">
        <v>15.8006136842875</v>
      </c>
    </row>
    <row r="311" spans="1:27" x14ac:dyDescent="0.25">
      <c r="A311" s="25"/>
      <c r="B311" s="24"/>
      <c r="C311" s="4">
        <v>42192</v>
      </c>
      <c r="D311">
        <v>27.4</v>
      </c>
      <c r="E311">
        <v>20.7</v>
      </c>
      <c r="F311">
        <v>35.299999999999997</v>
      </c>
      <c r="G311">
        <v>3229.5999999999981</v>
      </c>
      <c r="H311">
        <f t="shared" si="45"/>
        <v>619.5</v>
      </c>
      <c r="J311">
        <v>0</v>
      </c>
      <c r="K311">
        <f t="shared" si="39"/>
        <v>668</v>
      </c>
      <c r="L311">
        <v>8.5</v>
      </c>
      <c r="M311">
        <f t="shared" si="40"/>
        <v>584.09999999999991</v>
      </c>
      <c r="N311">
        <v>-8.5</v>
      </c>
      <c r="O311">
        <v>0</v>
      </c>
      <c r="P311">
        <v>306</v>
      </c>
      <c r="Q311" s="7">
        <f t="shared" si="42"/>
        <v>0.3833333333333333</v>
      </c>
      <c r="R311" s="6">
        <f t="shared" si="37"/>
        <v>3.2583333333333329</v>
      </c>
      <c r="S311" s="6">
        <f t="shared" si="38"/>
        <v>-3.2583333333333329</v>
      </c>
      <c r="T311" s="6">
        <v>0</v>
      </c>
      <c r="V311">
        <v>2912.2</v>
      </c>
      <c r="X311">
        <v>310762.8000000001</v>
      </c>
      <c r="Y311">
        <f t="shared" si="43"/>
        <v>24032.400000000001</v>
      </c>
      <c r="AA311">
        <v>15.7815367445688</v>
      </c>
    </row>
    <row r="312" spans="1:27" x14ac:dyDescent="0.25">
      <c r="A312" s="25"/>
      <c r="B312" s="24"/>
      <c r="C312" s="4">
        <v>42193</v>
      </c>
      <c r="D312">
        <v>20.7</v>
      </c>
      <c r="E312">
        <v>18.7</v>
      </c>
      <c r="F312">
        <v>22.4</v>
      </c>
      <c r="G312">
        <v>3250.2999999999979</v>
      </c>
      <c r="H312">
        <f t="shared" si="45"/>
        <v>640.20000000000005</v>
      </c>
      <c r="J312">
        <v>0</v>
      </c>
      <c r="K312">
        <f t="shared" si="39"/>
        <v>668</v>
      </c>
      <c r="L312">
        <v>5.2</v>
      </c>
      <c r="M312">
        <f t="shared" si="40"/>
        <v>589.29999999999995</v>
      </c>
      <c r="N312">
        <v>-5.2</v>
      </c>
      <c r="O312">
        <v>0</v>
      </c>
      <c r="P312">
        <v>307</v>
      </c>
      <c r="Q312" s="7">
        <f t="shared" si="42"/>
        <v>0.3666666666666667</v>
      </c>
      <c r="R312" s="6">
        <f t="shared" si="37"/>
        <v>1.906666666666667</v>
      </c>
      <c r="S312" s="6">
        <f t="shared" si="38"/>
        <v>-1.906666666666667</v>
      </c>
      <c r="T312" s="6">
        <v>0</v>
      </c>
      <c r="V312">
        <v>1733.1</v>
      </c>
      <c r="X312">
        <v>312495.90000000008</v>
      </c>
      <c r="Y312">
        <f t="shared" si="43"/>
        <v>25765.5</v>
      </c>
      <c r="AA312">
        <v>15.761246459458899</v>
      </c>
    </row>
    <row r="313" spans="1:27" x14ac:dyDescent="0.25">
      <c r="A313" s="25"/>
      <c r="B313" s="24"/>
      <c r="C313" s="4">
        <v>42194</v>
      </c>
      <c r="D313">
        <v>19.899999999999999</v>
      </c>
      <c r="E313">
        <v>16.8</v>
      </c>
      <c r="F313">
        <v>23.7</v>
      </c>
      <c r="G313">
        <v>3270.199999999998</v>
      </c>
      <c r="H313">
        <f t="shared" si="45"/>
        <v>660.1</v>
      </c>
      <c r="J313">
        <v>0</v>
      </c>
      <c r="K313">
        <f t="shared" si="39"/>
        <v>668</v>
      </c>
      <c r="L313">
        <v>4.5999999999999996</v>
      </c>
      <c r="M313">
        <f t="shared" si="40"/>
        <v>593.9</v>
      </c>
      <c r="N313">
        <v>-4.5999999999999996</v>
      </c>
      <c r="O313">
        <v>0</v>
      </c>
      <c r="P313">
        <v>308</v>
      </c>
      <c r="Q313" s="7">
        <f t="shared" si="42"/>
        <v>0.35</v>
      </c>
      <c r="R313" s="6">
        <f t="shared" si="37"/>
        <v>1.6099999999999999</v>
      </c>
      <c r="S313" s="6">
        <f t="shared" si="38"/>
        <v>-1.6099999999999999</v>
      </c>
      <c r="T313" s="6">
        <v>0</v>
      </c>
      <c r="V313">
        <v>1855.6</v>
      </c>
      <c r="X313">
        <v>314351.50000000006</v>
      </c>
      <c r="Y313">
        <f t="shared" si="43"/>
        <v>27621.1</v>
      </c>
      <c r="AA313">
        <v>15.7397617011619</v>
      </c>
    </row>
    <row r="314" spans="1:27" x14ac:dyDescent="0.25">
      <c r="A314" s="46" t="s">
        <v>50</v>
      </c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</sheetData>
  <mergeCells count="14">
    <mergeCell ref="A283:A303"/>
    <mergeCell ref="A314:Z314"/>
    <mergeCell ref="A5:Z5"/>
    <mergeCell ref="A6:A90"/>
    <mergeCell ref="A91:A182"/>
    <mergeCell ref="A183:A223"/>
    <mergeCell ref="A245:A265"/>
    <mergeCell ref="A266:A282"/>
    <mergeCell ref="D1:I2"/>
    <mergeCell ref="J1:U2"/>
    <mergeCell ref="V1:Z2"/>
    <mergeCell ref="P3:T3"/>
    <mergeCell ref="G4:H4"/>
    <mergeCell ref="X4:Y4"/>
  </mergeCells>
  <conditionalFormatting sqref="T1:T4">
    <cfRule type="cellIs" dxfId="9" priority="10" operator="equal">
      <formula>0</formula>
    </cfRule>
    <cfRule type="cellIs" dxfId="8" priority="11" operator="lessThanOrEqual">
      <formula>40.7</formula>
    </cfRule>
  </conditionalFormatting>
  <conditionalFormatting sqref="D6:F313 I100 I102 I104 I196 I190 I192 I194 I231 I233 I235 I237 I252 I254 I256 I258 I273 I275 I277 I279 I290 I292 I294 I296">
    <cfRule type="cellIs" dxfId="7" priority="6" operator="greaterThanOrEqual">
      <formula>25</formula>
    </cfRule>
    <cfRule type="cellIs" priority="7" operator="greaterThanOrEqual">
      <formula>25</formula>
    </cfRule>
    <cfRule type="cellIs" dxfId="6" priority="8" operator="between">
      <formula>0</formula>
      <formula>5</formula>
    </cfRule>
    <cfRule type="cellIs" dxfId="5" priority="9" operator="lessThan">
      <formula>0</formula>
    </cfRule>
  </conditionalFormatting>
  <conditionalFormatting sqref="N6:N313 O7">
    <cfRule type="cellIs" dxfId="4" priority="5" operator="lessThanOrEqual">
      <formula>0</formula>
    </cfRule>
  </conditionalFormatting>
  <conditionalFormatting sqref="S6:S313">
    <cfRule type="cellIs" dxfId="3" priority="4" operator="lessThanOrEqual">
      <formula>0</formula>
    </cfRule>
  </conditionalFormatting>
  <conditionalFormatting sqref="T5:T314">
    <cfRule type="cellIs" dxfId="2" priority="2" operator="equal">
      <formula>0</formula>
    </cfRule>
    <cfRule type="cellIs" dxfId="1" priority="3" operator="lessThanOrEqual">
      <formula>40.7</formula>
    </cfRule>
  </conditionalFormatting>
  <conditionalFormatting sqref="V6:V313">
    <cfRule type="cellIs" dxfId="0" priority="1" operator="lessThanOrEqual">
      <formula>900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N+&amp;N-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2019-10-22T07:00:24Z</dcterms:created>
  <dcterms:modified xsi:type="dcterms:W3CDTF">2019-11-27T10:13:49Z</dcterms:modified>
</cp:coreProperties>
</file>