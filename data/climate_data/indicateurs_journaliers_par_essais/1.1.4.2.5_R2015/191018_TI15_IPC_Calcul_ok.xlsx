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+&amp;N-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<sst xmlns="http://schemas.openxmlformats.org/spreadsheetml/2006/main" count="172" uniqueCount="69">
  <si>
    <t xml:space="preserve">TEMPERATURE</t>
  </si>
  <si>
    <t xml:space="preserve">ETAT HYDRIQUE</t>
  </si>
  <si>
    <t xml:space="preserve">RAYONNEMENT</t>
  </si>
  <si>
    <t xml:space="preserve">BILAN HYDRIQUE</t>
  </si>
  <si>
    <t xml:space="preserve">Période</t>
  </si>
  <si>
    <t xml:space="preserve">DATE</t>
  </si>
  <si>
    <t xml:space="preserve">T_Q</t>
  </si>
  <si>
    <t xml:space="preserve">TINF_H_Q</t>
  </si>
  <si>
    <t xml:space="preserve">TSUP_H_Q</t>
  </si>
  <si>
    <t xml:space="preserve">GDD base 0°</t>
  </si>
  <si>
    <t xml:space="preserve">VAR</t>
  </si>
  <si>
    <t xml:space="preserve">PRELIQ_Q</t>
  </si>
  <si>
    <t xml:space="preserve">Cumul_P</t>
  </si>
  <si>
    <t xml:space="preserve">ETP_Q</t>
  </si>
  <si>
    <t xml:space="preserve">Cumul_ETP</t>
  </si>
  <si>
    <t xml:space="preserve">P-ETP</t>
  </si>
  <si>
    <t xml:space="preserve">ETAT RU_1</t>
  </si>
  <si>
    <t xml:space="preserve">i</t>
  </si>
  <si>
    <t xml:space="preserve">kc</t>
  </si>
  <si>
    <t xml:space="preserve">ETM</t>
  </si>
  <si>
    <t xml:space="preserve">P-ETM</t>
  </si>
  <si>
    <t xml:space="preserve">WSC</t>
  </si>
  <si>
    <t xml:space="preserve">SSI_Q</t>
  </si>
  <si>
    <t xml:space="preserve">QPT_Q</t>
  </si>
  <si>
    <t xml:space="preserve">Cumul_RG</t>
  </si>
  <si>
    <t xml:space="preserve">Photoperiode</t>
  </si>
  <si>
    <t xml:space="preserve">SEMIS TI15</t>
  </si>
  <si>
    <t xml:space="preserve">AUTOMNE</t>
  </si>
  <si>
    <t xml:space="preserve">Tmin</t>
  </si>
  <si>
    <t xml:space="preserve">nbj_sec</t>
  </si>
  <si>
    <t xml:space="preserve">crg</t>
  </si>
  <si>
    <t xml:space="preserve">Tmax</t>
  </si>
  <si>
    <t xml:space="preserve">nbj_water_deficit</t>
  </si>
  <si>
    <t xml:space="preserve">qpt_p</t>
  </si>
  <si>
    <t xml:space="preserve">Tmoy</t>
  </si>
  <si>
    <t xml:space="preserve">nbj_stress_hydro</t>
  </si>
  <si>
    <t xml:space="preserve">nbj_radinf_900</t>
  </si>
  <si>
    <t xml:space="preserve">nbj_tgel</t>
  </si>
  <si>
    <t xml:space="preserve">water_soil_content_min</t>
  </si>
  <si>
    <t xml:space="preserve">nbj_tsup25</t>
  </si>
  <si>
    <t xml:space="preserve">water_soil_content_max</t>
  </si>
  <si>
    <t xml:space="preserve">nbj_tinf5</t>
  </si>
  <si>
    <t xml:space="preserve">water_soil_content_moy</t>
  </si>
  <si>
    <t xml:space="preserve">gdd_p</t>
  </si>
  <si>
    <t xml:space="preserve">HIVER</t>
  </si>
  <si>
    <t xml:space="preserve">nbj_vern_opti</t>
  </si>
  <si>
    <t xml:space="preserve">WSC_I</t>
  </si>
  <si>
    <t xml:space="preserve">BI</t>
  </si>
  <si>
    <t xml:space="preserve">C1</t>
  </si>
  <si>
    <t xml:space="preserve">DRF</t>
  </si>
  <si>
    <t xml:space="preserve">TS</t>
  </si>
  <si>
    <t xml:space="preserve">IRF</t>
  </si>
  <si>
    <t xml:space="preserve">N1_30 N2_60</t>
  </si>
  <si>
    <t xml:space="preserve">WSC_I1</t>
  </si>
  <si>
    <t xml:space="preserve">WSC_I2</t>
  </si>
  <si>
    <t xml:space="preserve">BI1</t>
  </si>
  <si>
    <t xml:space="preserve">BI2</t>
  </si>
  <si>
    <t xml:space="preserve">DRF1</t>
  </si>
  <si>
    <t xml:space="preserve">DRF2</t>
  </si>
  <si>
    <t xml:space="preserve">TS1</t>
  </si>
  <si>
    <t xml:space="preserve">TS2</t>
  </si>
  <si>
    <t xml:space="preserve">MONTAISON</t>
  </si>
  <si>
    <t xml:space="preserve">IRF1</t>
  </si>
  <si>
    <t xml:space="preserve">IRF2</t>
  </si>
  <si>
    <t xml:space="preserve">N1_30 N2_80</t>
  </si>
  <si>
    <t xml:space="preserve">Montego</t>
  </si>
  <si>
    <t xml:space="preserve">Aviso</t>
  </si>
  <si>
    <t xml:space="preserve">Fin FLO</t>
  </si>
  <si>
    <t xml:space="preserve">RECOLTE TI15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</si>
</sst>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u val="singl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b val="true"/>
      <i val="true"/>
      <u val="single"/>
      <sz val="11"/>
      <color rgb="FFFFC0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theme="9" tint="0.7999"/>
        <bgColor rgb="FFDAE3F3"/>
      </patternFill>
    </fill>
    <fill>
      <patternFill patternType="solid">
        <fgColor theme="0" tint="-0.15"/>
        <bgColor rgb="FFD0CECE"/>
      </patternFill>
    </fill>
    <fill>
      <patternFill patternType="solid">
        <fgColor theme="2" tint="-0.1"/>
        <bgColor rgb="FFD9D9D9"/>
      </patternFill>
    </fill>
    <fill>
      <patternFill patternType="solid">
        <fgColor theme="0" tint="-0.25"/>
        <bgColor rgb="FFC0C0C0"/>
      </patternFill>
    </fill>
    <fill>
      <patternFill patternType="solid">
        <fgColor rgb="FF0070C0"/>
        <bgColor rgb="FF008080"/>
      </patternFill>
    </fill>
    <fill>
      <patternFill patternType="solid">
        <fgColor rgb="FFC0C0C0"/>
        <bgColor rgb="FFBFBFBF"/>
      </patternFill>
    </fill>
    <fill>
      <patternFill patternType="solid">
        <fgColor theme="3"/>
        <bgColor rgb="FF333399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9" tint="-0.25"/>
        <bgColor rgb="FF80808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4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4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1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theme="7" tint="0.3999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theme="5" tint="0.7999"/>
        </patternFill>
      </fill>
    </dxf>
    <dxf>
      <fill>
        <patternFill>
          <bgColor theme="5" tint="0.7999"/>
        </patternFill>
      </fill>
    </dxf>
    <dxf>
      <fill>
        <patternFill>
          <bgColor rgb="FFFFC000"/>
        </patternFill>
      </fill>
    </dxf>
    <dxf>
      <font>
        <name val="Calibri"/>
        <charset val="1"/>
        <family val="2"/>
        <color rgb="FF000000"/>
        <sz val="11"/>
      </font>
    </dxf>
    <dxf>
      <fill>
        <patternFill>
          <bgColor theme="8" tint="0.7999"/>
        </patternFill>
      </fill>
    </dxf>
    <dxf>
      <fill>
        <patternFill>
          <bgColor rgb="FF00B0F0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BE5D6"/>
      <rgbColor rgb="FFDAE3F3"/>
      <rgbColor rgb="FF660066"/>
      <rgbColor rgb="FFFF8080"/>
      <rgbColor rgb="FF0070C0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D9D9"/>
      <rgbColor rgb="FFE2F0D9"/>
      <rgbColor rgb="FFFFFF99"/>
      <rgbColor rgb="FFBFBFBF"/>
      <rgbColor rgb="FFF4B183"/>
      <rgbColor rgb="FFCC99FF"/>
      <rgbColor rgb="FFFFD966"/>
      <rgbColor rgb="FF3366FF"/>
      <rgbColor rgb="FF33CCCC"/>
      <rgbColor rgb="FF92D050"/>
      <rgbColor rgb="FFFFC000"/>
      <rgbColor rgb="FFFF9900"/>
      <rgbColor rgb="FFFF6600"/>
      <rgbColor rgb="FF44546A"/>
      <rgbColor rgb="FFA9D18E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14"/>
  <sheetViews>
    <sheetView showFormulas="false" showGridLines="true" showRowColHeaders="true" showZeros="true" rightToLeft="false" tabSelected="true" showOutlineSymbols="true" defaultGridColor="true" view="normal" topLeftCell="I1" colorId="64" zoomScale="80" zoomScaleNormal="80" zoomScalePageLayoutView="100" workbookViewId="0">
      <selection pane="topLeft" activeCell="X4" activeCellId="0" sqref="X4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</row>
    <row r="2" customFormat="false" ht="15" hidden="false" customHeight="false" outlineLevel="0" collapsed="false">
      <c r="B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B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 t="s">
        <v>3</v>
      </c>
      <c r="Q3" s="2"/>
      <c r="R3" s="2"/>
      <c r="S3" s="2"/>
      <c r="T3" s="2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4" t="s">
        <v>9</v>
      </c>
      <c r="H4" s="4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5" t="s">
        <v>21</v>
      </c>
      <c r="U4" s="1" t="s">
        <v>10</v>
      </c>
      <c r="V4" s="1" t="s">
        <v>22</v>
      </c>
      <c r="W4" s="1" t="s">
        <v>23</v>
      </c>
      <c r="X4" s="4" t="s">
        <v>24</v>
      </c>
      <c r="Y4" s="4"/>
      <c r="Z4" s="1" t="s">
        <v>10</v>
      </c>
      <c r="AA4" s="5" t="s">
        <v>25</v>
      </c>
    </row>
    <row r="5" customFormat="false" ht="15" hidden="false" customHeight="false" outlineLevel="0" collapsed="false">
      <c r="A5" s="6" t="s">
        <v>26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A6" s="7" t="s">
        <v>27</v>
      </c>
      <c r="B6" s="3"/>
      <c r="C6" s="8" t="n">
        <v>41887</v>
      </c>
      <c r="D6" s="1" t="n">
        <v>19.1</v>
      </c>
      <c r="E6" s="1" t="n">
        <v>13.5</v>
      </c>
      <c r="F6" s="1" t="n">
        <v>24.4</v>
      </c>
      <c r="G6" s="1" t="n">
        <v>19.1</v>
      </c>
      <c r="I6" s="9" t="s">
        <v>28</v>
      </c>
      <c r="J6" s="1" t="n">
        <v>0</v>
      </c>
      <c r="K6" s="1" t="n">
        <f aca="false">J6</f>
        <v>0</v>
      </c>
      <c r="L6" s="1" t="n">
        <v>3.3</v>
      </c>
      <c r="M6" s="1" t="n">
        <f aca="false">L6</f>
        <v>3.3</v>
      </c>
      <c r="N6" s="1" t="n">
        <v>-3.3</v>
      </c>
      <c r="O6" s="1" t="n">
        <v>7.5</v>
      </c>
      <c r="P6" s="1" t="n">
        <v>1</v>
      </c>
      <c r="Q6" s="1" t="n">
        <v>0.35</v>
      </c>
      <c r="R6" s="10" t="n">
        <f aca="false">Q6*L6</f>
        <v>1.155</v>
      </c>
      <c r="S6" s="10" t="n">
        <f aca="false">J6-R6</f>
        <v>-1.155</v>
      </c>
      <c r="T6" s="10" t="n">
        <v>9.6</v>
      </c>
      <c r="U6" s="9" t="s">
        <v>29</v>
      </c>
      <c r="V6" s="1" t="n">
        <v>1889.3</v>
      </c>
      <c r="X6" s="1" t="n">
        <v>1889.3</v>
      </c>
      <c r="Z6" s="9" t="s">
        <v>30</v>
      </c>
      <c r="AA6" s="1" t="n">
        <v>13.2026057528435</v>
      </c>
    </row>
    <row r="7" customFormat="false" ht="15" hidden="false" customHeight="false" outlineLevel="0" collapsed="false">
      <c r="A7" s="7"/>
      <c r="B7" s="3"/>
      <c r="C7" s="8" t="n">
        <v>41888</v>
      </c>
      <c r="D7" s="1" t="n">
        <v>19.6</v>
      </c>
      <c r="E7" s="1" t="n">
        <v>13.5</v>
      </c>
      <c r="F7" s="1" t="n">
        <v>25.8</v>
      </c>
      <c r="G7" s="1" t="n">
        <v>38.7</v>
      </c>
      <c r="I7" s="1" t="n">
        <v>0.7</v>
      </c>
      <c r="J7" s="1" t="n">
        <v>0</v>
      </c>
      <c r="K7" s="1" t="n">
        <f aca="false">K6+J7</f>
        <v>0</v>
      </c>
      <c r="L7" s="1" t="n">
        <v>2.5</v>
      </c>
      <c r="M7" s="1" t="n">
        <f aca="false">M6+L7</f>
        <v>5.8</v>
      </c>
      <c r="N7" s="1" t="n">
        <v>-2.5</v>
      </c>
      <c r="O7" s="1" t="n">
        <v>5</v>
      </c>
      <c r="P7" s="1" t="n">
        <v>2</v>
      </c>
      <c r="Q7" s="1" t="n">
        <v>0.35</v>
      </c>
      <c r="R7" s="10" t="n">
        <f aca="false">Q7*L7</f>
        <v>0.875</v>
      </c>
      <c r="S7" s="10" t="n">
        <f aca="false">J7-R7</f>
        <v>-0.875</v>
      </c>
      <c r="T7" s="10" t="n">
        <v>8.8</v>
      </c>
      <c r="U7" s="1" t="n">
        <v>48</v>
      </c>
      <c r="V7" s="1" t="n">
        <v>1424.1</v>
      </c>
      <c r="X7" s="1" t="n">
        <v>3313.4</v>
      </c>
      <c r="Z7" s="1" t="n">
        <f aca="false">X90</f>
        <v>61859.1</v>
      </c>
      <c r="AA7" s="1" t="n">
        <v>13.1476593234665</v>
      </c>
    </row>
    <row r="8" customFormat="false" ht="15" hidden="false" customHeight="false" outlineLevel="0" collapsed="false">
      <c r="A8" s="7"/>
      <c r="B8" s="3"/>
      <c r="C8" s="8" t="n">
        <v>41889</v>
      </c>
      <c r="D8" s="1" t="n">
        <v>19.8</v>
      </c>
      <c r="E8" s="1" t="n">
        <v>14.7</v>
      </c>
      <c r="F8" s="1" t="n">
        <v>25.9</v>
      </c>
      <c r="G8" s="1" t="n">
        <v>58.5</v>
      </c>
      <c r="I8" s="9" t="s">
        <v>31</v>
      </c>
      <c r="J8" s="1" t="n">
        <v>0</v>
      </c>
      <c r="K8" s="1" t="n">
        <f aca="false">K7+J8</f>
        <v>0</v>
      </c>
      <c r="L8" s="1" t="n">
        <v>2.5</v>
      </c>
      <c r="M8" s="1" t="n">
        <f aca="false">M7+L8</f>
        <v>8.3</v>
      </c>
      <c r="N8" s="1" t="n">
        <v>-2.5</v>
      </c>
      <c r="O8" s="1" t="n">
        <f aca="false">O7+N8</f>
        <v>2.5</v>
      </c>
      <c r="P8" s="1" t="n">
        <v>3</v>
      </c>
      <c r="Q8" s="1" t="n">
        <v>0.35</v>
      </c>
      <c r="R8" s="10" t="n">
        <f aca="false">Q8*L8</f>
        <v>0.875</v>
      </c>
      <c r="S8" s="10" t="n">
        <f aca="false">J8-R8</f>
        <v>-0.875</v>
      </c>
      <c r="T8" s="10" t="n">
        <f aca="false">MIN(122.1,(T7+S8))</f>
        <v>7.925</v>
      </c>
      <c r="U8" s="9" t="s">
        <v>32</v>
      </c>
      <c r="V8" s="1" t="n">
        <v>1352.8</v>
      </c>
      <c r="X8" s="1" t="n">
        <v>4666.2</v>
      </c>
      <c r="Z8" s="9" t="s">
        <v>33</v>
      </c>
      <c r="AA8" s="1" t="n">
        <v>13.0925908409129</v>
      </c>
    </row>
    <row r="9" customFormat="false" ht="15" hidden="false" customHeight="false" outlineLevel="0" collapsed="false">
      <c r="A9" s="7"/>
      <c r="B9" s="3"/>
      <c r="C9" s="8" t="n">
        <v>41890</v>
      </c>
      <c r="D9" s="1" t="n">
        <v>20.4</v>
      </c>
      <c r="E9" s="1" t="n">
        <v>14.2</v>
      </c>
      <c r="F9" s="1" t="n">
        <v>25.9</v>
      </c>
      <c r="G9" s="1" t="n">
        <v>78.9</v>
      </c>
      <c r="I9" s="1" t="n">
        <v>25.9</v>
      </c>
      <c r="J9" s="1" t="n">
        <v>0</v>
      </c>
      <c r="K9" s="1" t="n">
        <f aca="false">K8+J9</f>
        <v>0</v>
      </c>
      <c r="L9" s="1" t="n">
        <v>3.5</v>
      </c>
      <c r="M9" s="1" t="n">
        <f aca="false">M8+L9</f>
        <v>11.8</v>
      </c>
      <c r="N9" s="1" t="n">
        <v>-3.5</v>
      </c>
      <c r="O9" s="1" t="n">
        <v>0</v>
      </c>
      <c r="P9" s="1" t="n">
        <v>4</v>
      </c>
      <c r="Q9" s="1" t="n">
        <v>0.35</v>
      </c>
      <c r="R9" s="10" t="n">
        <f aca="false">Q9*L9</f>
        <v>1.225</v>
      </c>
      <c r="S9" s="10" t="n">
        <f aca="false">J9-R9</f>
        <v>-1.225</v>
      </c>
      <c r="T9" s="10" t="n">
        <f aca="false">MIN(122.1,(T8+S9))</f>
        <v>6.7</v>
      </c>
      <c r="U9" s="1" t="n">
        <v>2</v>
      </c>
      <c r="V9" s="1" t="n">
        <v>1954.4</v>
      </c>
      <c r="X9" s="1" t="n">
        <v>6620.6</v>
      </c>
      <c r="Z9" s="11" t="n">
        <f aca="false">(Z7/100)/I19</f>
        <v>0.571130089557751</v>
      </c>
      <c r="AA9" s="1" t="n">
        <v>13.0374076364789</v>
      </c>
    </row>
    <row r="10" customFormat="false" ht="15" hidden="false" customHeight="false" outlineLevel="0" collapsed="false">
      <c r="A10" s="7"/>
      <c r="B10" s="3"/>
      <c r="C10" s="8" t="n">
        <v>41891</v>
      </c>
      <c r="D10" s="1" t="n">
        <v>20</v>
      </c>
      <c r="E10" s="1" t="n">
        <v>17</v>
      </c>
      <c r="F10" s="1" t="n">
        <v>24.9</v>
      </c>
      <c r="G10" s="1" t="n">
        <v>98.9</v>
      </c>
      <c r="I10" s="9" t="s">
        <v>34</v>
      </c>
      <c r="J10" s="1" t="n">
        <v>1.2</v>
      </c>
      <c r="K10" s="1" t="n">
        <f aca="false">K9+J10</f>
        <v>1.2</v>
      </c>
      <c r="L10" s="1" t="n">
        <v>2.6</v>
      </c>
      <c r="M10" s="1" t="n">
        <f aca="false">M9+L10</f>
        <v>14.4</v>
      </c>
      <c r="N10" s="1" t="n">
        <v>-1.4</v>
      </c>
      <c r="O10" s="1" t="n">
        <v>0</v>
      </c>
      <c r="P10" s="1" t="n">
        <v>5</v>
      </c>
      <c r="Q10" s="1" t="n">
        <v>0.35</v>
      </c>
      <c r="R10" s="10" t="n">
        <f aca="false">Q10*L10</f>
        <v>0.91</v>
      </c>
      <c r="S10" s="10" t="n">
        <f aca="false">J10-R10</f>
        <v>0.29</v>
      </c>
      <c r="T10" s="10" t="n">
        <f aca="false">MIN(122.1,(T9+S10))</f>
        <v>6.99</v>
      </c>
      <c r="U10" s="9" t="s">
        <v>35</v>
      </c>
      <c r="V10" s="1" t="n">
        <v>1421.9</v>
      </c>
      <c r="X10" s="1" t="n">
        <v>8042.5</v>
      </c>
      <c r="Z10" s="9" t="s">
        <v>36</v>
      </c>
      <c r="AA10" s="1" t="n">
        <v>12.9821168102461</v>
      </c>
    </row>
    <row r="11" customFormat="false" ht="15" hidden="false" customHeight="false" outlineLevel="0" collapsed="false">
      <c r="A11" s="7"/>
      <c r="B11" s="3"/>
      <c r="C11" s="8" t="n">
        <v>41892</v>
      </c>
      <c r="D11" s="1" t="n">
        <v>18.9</v>
      </c>
      <c r="E11" s="1" t="n">
        <v>16.5</v>
      </c>
      <c r="F11" s="1" t="n">
        <v>22.9</v>
      </c>
      <c r="G11" s="1" t="n">
        <v>117.8</v>
      </c>
      <c r="I11" s="10" t="n">
        <v>12.7423529411765</v>
      </c>
      <c r="J11" s="1" t="n">
        <v>0</v>
      </c>
      <c r="K11" s="1" t="n">
        <f aca="false">K10+J11</f>
        <v>1.2</v>
      </c>
      <c r="L11" s="1" t="n">
        <v>2.6</v>
      </c>
      <c r="M11" s="1" t="n">
        <f aca="false">M10+L11</f>
        <v>17</v>
      </c>
      <c r="N11" s="1" t="n">
        <v>-2.6</v>
      </c>
      <c r="O11" s="1" t="n">
        <v>0</v>
      </c>
      <c r="P11" s="1" t="n">
        <v>6</v>
      </c>
      <c r="Q11" s="1" t="n">
        <v>0.35</v>
      </c>
      <c r="R11" s="10" t="n">
        <f aca="false">Q11*L11</f>
        <v>0.91</v>
      </c>
      <c r="S11" s="10" t="n">
        <f aca="false">J11-R11</f>
        <v>-0.91</v>
      </c>
      <c r="T11" s="10" t="n">
        <f aca="false">MIN(122.1,(T10+S11))</f>
        <v>6.08</v>
      </c>
      <c r="U11" s="1" t="n">
        <v>32</v>
      </c>
      <c r="V11" s="1" t="n">
        <v>995</v>
      </c>
      <c r="X11" s="1" t="n">
        <v>9037.5</v>
      </c>
      <c r="Z11" s="1" t="n">
        <v>57</v>
      </c>
      <c r="AA11" s="1" t="n">
        <v>12.926725245784</v>
      </c>
    </row>
    <row r="12" customFormat="false" ht="15" hidden="false" customHeight="false" outlineLevel="0" collapsed="false">
      <c r="A12" s="7"/>
      <c r="B12" s="3"/>
      <c r="C12" s="8" t="n">
        <v>41893</v>
      </c>
      <c r="D12" s="1" t="n">
        <v>15.7</v>
      </c>
      <c r="E12" s="1" t="n">
        <v>11.2</v>
      </c>
      <c r="F12" s="1" t="n">
        <v>20.3</v>
      </c>
      <c r="G12" s="1" t="n">
        <v>133.5</v>
      </c>
      <c r="I12" s="9" t="s">
        <v>37</v>
      </c>
      <c r="J12" s="1" t="n">
        <v>0</v>
      </c>
      <c r="K12" s="1" t="n">
        <f aca="false">K11+J12</f>
        <v>1.2</v>
      </c>
      <c r="L12" s="1" t="n">
        <v>3.4</v>
      </c>
      <c r="M12" s="1" t="n">
        <f aca="false">M11+L12</f>
        <v>20.4</v>
      </c>
      <c r="N12" s="1" t="n">
        <v>-3.4</v>
      </c>
      <c r="O12" s="1" t="n">
        <v>0</v>
      </c>
      <c r="P12" s="1" t="n">
        <v>7</v>
      </c>
      <c r="Q12" s="1" t="n">
        <v>0.35</v>
      </c>
      <c r="R12" s="10" t="n">
        <f aca="false">Q12*L12</f>
        <v>1.19</v>
      </c>
      <c r="S12" s="10" t="n">
        <f aca="false">J12-R12</f>
        <v>-1.19</v>
      </c>
      <c r="T12" s="10" t="n">
        <f aca="false">MIN(122.1,(T11+S12))</f>
        <v>4.89</v>
      </c>
      <c r="U12" s="9" t="s">
        <v>38</v>
      </c>
      <c r="V12" s="1" t="n">
        <v>1800.7</v>
      </c>
      <c r="X12" s="1" t="n">
        <v>10838.2</v>
      </c>
      <c r="AA12" s="1" t="n">
        <v>12.8712396249491</v>
      </c>
    </row>
    <row r="13" customFormat="false" ht="15" hidden="false" customHeight="false" outlineLevel="0" collapsed="false">
      <c r="A13" s="7"/>
      <c r="B13" s="3"/>
      <c r="C13" s="8" t="n">
        <v>41894</v>
      </c>
      <c r="D13" s="1" t="n">
        <v>15.2</v>
      </c>
      <c r="E13" s="1" t="n">
        <v>10.4</v>
      </c>
      <c r="F13" s="1" t="n">
        <v>19.2</v>
      </c>
      <c r="G13" s="1" t="n">
        <v>148.7</v>
      </c>
      <c r="I13" s="1" t="n">
        <v>0</v>
      </c>
      <c r="J13" s="1" t="n">
        <v>0</v>
      </c>
      <c r="K13" s="1" t="n">
        <f aca="false">K12+J13</f>
        <v>1.2</v>
      </c>
      <c r="L13" s="1" t="n">
        <v>3.1</v>
      </c>
      <c r="M13" s="1" t="n">
        <f aca="false">M12+L13</f>
        <v>23.5</v>
      </c>
      <c r="N13" s="1" t="n">
        <v>-3.1</v>
      </c>
      <c r="O13" s="1" t="n">
        <v>0</v>
      </c>
      <c r="P13" s="1" t="n">
        <v>8</v>
      </c>
      <c r="Q13" s="1" t="n">
        <v>0.35</v>
      </c>
      <c r="R13" s="10" t="n">
        <f aca="false">Q13*L13</f>
        <v>1.085</v>
      </c>
      <c r="S13" s="10" t="n">
        <f aca="false">J13-R13</f>
        <v>-1.085</v>
      </c>
      <c r="T13" s="10" t="n">
        <f aca="false">MIN(122.1,(T12+S13))</f>
        <v>3.805</v>
      </c>
      <c r="U13" s="10" t="n">
        <v>0</v>
      </c>
      <c r="V13" s="1" t="n">
        <v>1715.7</v>
      </c>
      <c r="X13" s="1" t="n">
        <v>12553.9</v>
      </c>
      <c r="AA13" s="1" t="n">
        <v>12.8156664427709</v>
      </c>
    </row>
    <row r="14" customFormat="false" ht="15" hidden="false" customHeight="false" outlineLevel="0" collapsed="false">
      <c r="A14" s="7"/>
      <c r="B14" s="3"/>
      <c r="C14" s="8" t="n">
        <v>41895</v>
      </c>
      <c r="D14" s="1" t="n">
        <v>17.9</v>
      </c>
      <c r="E14" s="1" t="n">
        <v>14.4</v>
      </c>
      <c r="F14" s="1" t="n">
        <v>21.5</v>
      </c>
      <c r="G14" s="1" t="n">
        <v>166.6</v>
      </c>
      <c r="I14" s="9" t="s">
        <v>39</v>
      </c>
      <c r="J14" s="1" t="n">
        <v>0</v>
      </c>
      <c r="K14" s="1" t="n">
        <f aca="false">K13+J14</f>
        <v>1.2</v>
      </c>
      <c r="L14" s="1" t="n">
        <v>2.5</v>
      </c>
      <c r="M14" s="1" t="n">
        <f aca="false">M13+L14</f>
        <v>26</v>
      </c>
      <c r="N14" s="1" t="n">
        <v>-2.5</v>
      </c>
      <c r="O14" s="1" t="n">
        <v>0</v>
      </c>
      <c r="P14" s="1" t="n">
        <v>9</v>
      </c>
      <c r="Q14" s="1" t="n">
        <f aca="false">0.35+((P14-8)/77)*(1-0.35)</f>
        <v>0.358441558441558</v>
      </c>
      <c r="R14" s="10" t="n">
        <f aca="false">Q14*L14</f>
        <v>0.896103896103896</v>
      </c>
      <c r="S14" s="10" t="n">
        <f aca="false">J14-R14</f>
        <v>-0.896103896103896</v>
      </c>
      <c r="T14" s="10" t="n">
        <f aca="false">MIN(122.1,(T13+S14))</f>
        <v>2.9088961038961</v>
      </c>
      <c r="U14" s="9" t="s">
        <v>40</v>
      </c>
      <c r="V14" s="1" t="n">
        <v>880</v>
      </c>
      <c r="X14" s="1" t="n">
        <v>13433.9</v>
      </c>
      <c r="AA14" s="1" t="n">
        <v>12.760012022418</v>
      </c>
    </row>
    <row r="15" customFormat="false" ht="15" hidden="false" customHeight="false" outlineLevel="0" collapsed="false">
      <c r="A15" s="7"/>
      <c r="B15" s="3"/>
      <c r="C15" s="8" t="n">
        <v>41896</v>
      </c>
      <c r="D15" s="1" t="n">
        <v>17.1</v>
      </c>
      <c r="E15" s="1" t="n">
        <v>13.9</v>
      </c>
      <c r="F15" s="1" t="n">
        <v>21.5</v>
      </c>
      <c r="G15" s="1" t="n">
        <v>183.7</v>
      </c>
      <c r="I15" s="1" t="n">
        <v>6</v>
      </c>
      <c r="J15" s="1" t="n">
        <v>0</v>
      </c>
      <c r="K15" s="1" t="n">
        <f aca="false">K14+J15</f>
        <v>1.2</v>
      </c>
      <c r="L15" s="1" t="n">
        <v>2.5</v>
      </c>
      <c r="M15" s="1" t="n">
        <f aca="false">M14+L15</f>
        <v>28.5</v>
      </c>
      <c r="N15" s="1" t="n">
        <v>-2.5</v>
      </c>
      <c r="O15" s="1" t="n">
        <v>0</v>
      </c>
      <c r="P15" s="1" t="n">
        <v>10</v>
      </c>
      <c r="Q15" s="1" t="n">
        <f aca="false">0.35+((P15-8)/77)*(1-0.35)</f>
        <v>0.366883116883117</v>
      </c>
      <c r="R15" s="10" t="n">
        <f aca="false">Q15*L15</f>
        <v>0.917207792207792</v>
      </c>
      <c r="S15" s="10" t="n">
        <f aca="false">J15-R15</f>
        <v>-0.917207792207792</v>
      </c>
      <c r="T15" s="10" t="n">
        <f aca="false">MIN(122.1,(T14+S15))</f>
        <v>1.99168831168831</v>
      </c>
      <c r="U15" s="10" t="n">
        <f aca="false">MAX(T6:T90)</f>
        <v>122.1</v>
      </c>
      <c r="V15" s="1" t="n">
        <v>1048.5</v>
      </c>
      <c r="X15" s="1" t="n">
        <v>14482.4</v>
      </c>
      <c r="AA15" s="1" t="n">
        <v>12.7042825302381</v>
      </c>
    </row>
    <row r="16" customFormat="false" ht="15" hidden="false" customHeight="false" outlineLevel="0" collapsed="false">
      <c r="A16" s="7"/>
      <c r="B16" s="3"/>
      <c r="C16" s="8" t="n">
        <v>41897</v>
      </c>
      <c r="D16" s="1" t="n">
        <v>17.3</v>
      </c>
      <c r="E16" s="1" t="n">
        <v>11.7</v>
      </c>
      <c r="F16" s="1" t="n">
        <v>23.5</v>
      </c>
      <c r="G16" s="1" t="n">
        <v>201</v>
      </c>
      <c r="I16" s="9" t="s">
        <v>41</v>
      </c>
      <c r="J16" s="1" t="n">
        <v>0</v>
      </c>
      <c r="K16" s="1" t="n">
        <f aca="false">K15+J16</f>
        <v>1.2</v>
      </c>
      <c r="L16" s="1" t="n">
        <v>2.6</v>
      </c>
      <c r="M16" s="1" t="n">
        <f aca="false">M15+L16</f>
        <v>31.1</v>
      </c>
      <c r="N16" s="1" t="n">
        <v>-2.6</v>
      </c>
      <c r="O16" s="1" t="n">
        <v>0</v>
      </c>
      <c r="P16" s="1" t="n">
        <v>11</v>
      </c>
      <c r="Q16" s="1" t="n">
        <f aca="false">0.35+((P16-8)/77)*(1-0.35)</f>
        <v>0.375324675324675</v>
      </c>
      <c r="R16" s="10" t="n">
        <f aca="false">Q16*L16</f>
        <v>0.975844155844156</v>
      </c>
      <c r="S16" s="10" t="n">
        <f aca="false">J16-R16</f>
        <v>-0.975844155844156</v>
      </c>
      <c r="T16" s="10" t="n">
        <f aca="false">MIN(122.1,(T15+S16))</f>
        <v>1.01584415584416</v>
      </c>
      <c r="U16" s="9" t="s">
        <v>42</v>
      </c>
      <c r="V16" s="1" t="n">
        <v>1670.8</v>
      </c>
      <c r="X16" s="1" t="n">
        <v>16153.2</v>
      </c>
      <c r="AA16" s="1" t="n">
        <v>12.6484839908678</v>
      </c>
    </row>
    <row r="17" customFormat="false" ht="15" hidden="false" customHeight="false" outlineLevel="0" collapsed="false">
      <c r="A17" s="7"/>
      <c r="B17" s="3"/>
      <c r="C17" s="8" t="n">
        <v>41898</v>
      </c>
      <c r="D17" s="1" t="n">
        <v>18</v>
      </c>
      <c r="E17" s="1" t="n">
        <v>11.6</v>
      </c>
      <c r="F17" s="1" t="n">
        <v>25.3</v>
      </c>
      <c r="G17" s="1" t="n">
        <v>219</v>
      </c>
      <c r="I17" s="1" t="n">
        <v>10</v>
      </c>
      <c r="J17" s="1" t="n">
        <v>0</v>
      </c>
      <c r="K17" s="1" t="n">
        <f aca="false">K16+J17</f>
        <v>1.2</v>
      </c>
      <c r="L17" s="1" t="n">
        <v>3.4</v>
      </c>
      <c r="M17" s="1" t="n">
        <f aca="false">M16+L17</f>
        <v>34.5</v>
      </c>
      <c r="N17" s="1" t="n">
        <v>-3.4</v>
      </c>
      <c r="O17" s="1" t="n">
        <v>0</v>
      </c>
      <c r="P17" s="1" t="n">
        <v>12</v>
      </c>
      <c r="Q17" s="1" t="n">
        <f aca="false">0.35+((P17-8)/77)*(1-0.35)</f>
        <v>0.383766233766234</v>
      </c>
      <c r="R17" s="10" t="n">
        <f aca="false">Q17*L17</f>
        <v>1.30480519480519</v>
      </c>
      <c r="S17" s="10" t="n">
        <f aca="false">J17-R17</f>
        <v>-1.30480519480519</v>
      </c>
      <c r="T17" s="10" t="n">
        <v>0</v>
      </c>
      <c r="U17" s="11" t="n">
        <f aca="false">AVERAGE(T6:T90)</f>
        <v>68.1091398013751</v>
      </c>
      <c r="V17" s="1" t="n">
        <v>1834.7</v>
      </c>
      <c r="X17" s="1" t="n">
        <v>17987.9</v>
      </c>
      <c r="AA17" s="1" t="n">
        <v>12.5926223024091</v>
      </c>
    </row>
    <row r="18" customFormat="false" ht="15" hidden="false" customHeight="false" outlineLevel="0" collapsed="false">
      <c r="A18" s="7"/>
      <c r="B18" s="3"/>
      <c r="C18" s="8" t="n">
        <v>41899</v>
      </c>
      <c r="D18" s="1" t="n">
        <v>19.7</v>
      </c>
      <c r="E18" s="1" t="n">
        <v>13.8</v>
      </c>
      <c r="F18" s="1" t="n">
        <v>25.6</v>
      </c>
      <c r="G18" s="1" t="n">
        <v>238.7</v>
      </c>
      <c r="I18" s="9" t="s">
        <v>43</v>
      </c>
      <c r="J18" s="1" t="n">
        <v>0</v>
      </c>
      <c r="K18" s="1" t="n">
        <f aca="false">K17+J18</f>
        <v>1.2</v>
      </c>
      <c r="L18" s="1" t="n">
        <v>1.9</v>
      </c>
      <c r="M18" s="1" t="n">
        <f aca="false">M17+L18</f>
        <v>36.4</v>
      </c>
      <c r="N18" s="1" t="n">
        <v>-1.9</v>
      </c>
      <c r="O18" s="1" t="n">
        <v>0</v>
      </c>
      <c r="P18" s="1" t="n">
        <v>13</v>
      </c>
      <c r="Q18" s="1" t="n">
        <f aca="false">0.35+((P18-8)/77)*(1-0.35)</f>
        <v>0.392207792207792</v>
      </c>
      <c r="R18" s="10" t="n">
        <f aca="false">Q18*L18</f>
        <v>0.745194805194805</v>
      </c>
      <c r="S18" s="10" t="n">
        <f aca="false">J18-R18</f>
        <v>-0.745194805194805</v>
      </c>
      <c r="T18" s="10" t="n">
        <v>0</v>
      </c>
      <c r="V18" s="1" t="n">
        <v>1015.4</v>
      </c>
      <c r="X18" s="1" t="n">
        <v>19003.3</v>
      </c>
      <c r="AA18" s="1" t="n">
        <v>12.5367032516716</v>
      </c>
    </row>
    <row r="19" customFormat="false" ht="15" hidden="false" customHeight="false" outlineLevel="0" collapsed="false">
      <c r="A19" s="7"/>
      <c r="B19" s="3"/>
      <c r="C19" s="8" t="n">
        <v>41900</v>
      </c>
      <c r="D19" s="1" t="n">
        <v>19.6</v>
      </c>
      <c r="E19" s="1" t="n">
        <v>15</v>
      </c>
      <c r="F19" s="1" t="n">
        <v>25.3</v>
      </c>
      <c r="G19" s="1" t="n">
        <v>258.3</v>
      </c>
      <c r="I19" s="1" t="n">
        <v>1083.1</v>
      </c>
      <c r="J19" s="1" t="n">
        <v>8.1</v>
      </c>
      <c r="K19" s="1" t="n">
        <f aca="false">K18+J19</f>
        <v>9.3</v>
      </c>
      <c r="L19" s="1" t="n">
        <v>2.6</v>
      </c>
      <c r="M19" s="1" t="n">
        <f aca="false">M18+L19</f>
        <v>39</v>
      </c>
      <c r="N19" s="1" t="n">
        <v>5.5</v>
      </c>
      <c r="O19" s="1" t="n">
        <f aca="false">O18+N19</f>
        <v>5.5</v>
      </c>
      <c r="P19" s="1" t="n">
        <v>14</v>
      </c>
      <c r="Q19" s="1" t="n">
        <f aca="false">0.35+((P19-8)/77)*(1-0.35)</f>
        <v>0.400649350649351</v>
      </c>
      <c r="R19" s="10" t="n">
        <f aca="false">Q19*L19</f>
        <v>1.04168831168831</v>
      </c>
      <c r="S19" s="10" t="n">
        <f aca="false">J19-R19</f>
        <v>7.05831168831169</v>
      </c>
      <c r="T19" s="10" t="n">
        <f aca="false">MIN(122.1,(T18+S19))</f>
        <v>7.05831168831169</v>
      </c>
      <c r="U19" s="1" t="n">
        <f aca="false">(U17*100)/122.1</f>
        <v>55.7814412787675</v>
      </c>
      <c r="V19" s="1" t="n">
        <v>1203.8</v>
      </c>
      <c r="X19" s="1" t="n">
        <v>20207.1</v>
      </c>
      <c r="AA19" s="1" t="n">
        <v>12.4807325294801</v>
      </c>
    </row>
    <row r="20" customFormat="false" ht="15" hidden="false" customHeight="false" outlineLevel="0" collapsed="false">
      <c r="A20" s="7"/>
      <c r="B20" s="3"/>
      <c r="C20" s="8" t="n">
        <v>41901</v>
      </c>
      <c r="D20" s="1" t="n">
        <v>16.4</v>
      </c>
      <c r="E20" s="1" t="n">
        <v>15</v>
      </c>
      <c r="F20" s="1" t="n">
        <v>17.6</v>
      </c>
      <c r="G20" s="1" t="n">
        <v>274.7</v>
      </c>
      <c r="J20" s="1" t="n">
        <v>2.8</v>
      </c>
      <c r="K20" s="1" t="n">
        <f aca="false">K19+J20</f>
        <v>12.1</v>
      </c>
      <c r="L20" s="1" t="n">
        <v>1</v>
      </c>
      <c r="M20" s="1" t="n">
        <f aca="false">M19+L20</f>
        <v>40</v>
      </c>
      <c r="N20" s="1" t="n">
        <v>1.8</v>
      </c>
      <c r="O20" s="1" t="n">
        <f aca="false">O19+N20</f>
        <v>7.3</v>
      </c>
      <c r="P20" s="1" t="n">
        <v>15</v>
      </c>
      <c r="Q20" s="1" t="n">
        <f aca="false">0.35+((P20-8)/77)*(1-0.35)</f>
        <v>0.409090909090909</v>
      </c>
      <c r="R20" s="10" t="n">
        <f aca="false">Q20*L20</f>
        <v>0.409090909090909</v>
      </c>
      <c r="S20" s="10" t="n">
        <f aca="false">J20-R20</f>
        <v>2.39090909090909</v>
      </c>
      <c r="T20" s="10" t="n">
        <f aca="false">MIN(122.1,(T19+S20))</f>
        <v>9.44922077922078</v>
      </c>
      <c r="V20" s="1" t="n">
        <v>481.6</v>
      </c>
      <c r="X20" s="1" t="n">
        <v>20688.7</v>
      </c>
      <c r="AA20" s="1" t="n">
        <v>12.4247157460469</v>
      </c>
    </row>
    <row r="21" customFormat="false" ht="15" hidden="false" customHeight="false" outlineLevel="0" collapsed="false">
      <c r="A21" s="7"/>
      <c r="B21" s="3"/>
      <c r="C21" s="8" t="n">
        <v>41902</v>
      </c>
      <c r="D21" s="1" t="n">
        <v>18.3</v>
      </c>
      <c r="E21" s="1" t="n">
        <v>14.7</v>
      </c>
      <c r="F21" s="1" t="n">
        <v>21.9</v>
      </c>
      <c r="G21" s="1" t="n">
        <v>293</v>
      </c>
      <c r="J21" s="1" t="n">
        <v>6.4</v>
      </c>
      <c r="K21" s="1" t="n">
        <f aca="false">K20+J21</f>
        <v>18.5</v>
      </c>
      <c r="L21" s="1" t="n">
        <v>2.1</v>
      </c>
      <c r="M21" s="1" t="n">
        <f aca="false">M20+L21</f>
        <v>42.1</v>
      </c>
      <c r="N21" s="1" t="n">
        <v>4.3</v>
      </c>
      <c r="O21" s="1" t="n">
        <f aca="false">O20+N21</f>
        <v>11.6</v>
      </c>
      <c r="P21" s="1" t="n">
        <v>16</v>
      </c>
      <c r="Q21" s="1" t="n">
        <f aca="false">0.35+((P21-8)/77)*(1-0.35)</f>
        <v>0.417532467532468</v>
      </c>
      <c r="R21" s="10" t="n">
        <f aca="false">Q21*L21</f>
        <v>0.876818181818182</v>
      </c>
      <c r="S21" s="10" t="n">
        <f aca="false">J21-R21</f>
        <v>5.52318181818182</v>
      </c>
      <c r="T21" s="10" t="n">
        <f aca="false">MIN(122.1,(T20+S21))</f>
        <v>14.9724025974026</v>
      </c>
      <c r="V21" s="1" t="n">
        <v>1186.6</v>
      </c>
      <c r="X21" s="1" t="n">
        <v>21875.3</v>
      </c>
      <c r="AA21" s="1" t="n">
        <v>12.3686584464126</v>
      </c>
    </row>
    <row r="22" customFormat="false" ht="15" hidden="false" customHeight="false" outlineLevel="0" collapsed="false">
      <c r="A22" s="7"/>
      <c r="B22" s="3"/>
      <c r="C22" s="8" t="n">
        <v>41903</v>
      </c>
      <c r="D22" s="1" t="n">
        <v>17.1</v>
      </c>
      <c r="E22" s="1" t="n">
        <v>14.8</v>
      </c>
      <c r="F22" s="1" t="n">
        <v>21.3</v>
      </c>
      <c r="G22" s="1" t="n">
        <v>310.1</v>
      </c>
      <c r="J22" s="1" t="n">
        <v>1.6</v>
      </c>
      <c r="K22" s="1" t="n">
        <f aca="false">K21+J22</f>
        <v>20.1</v>
      </c>
      <c r="L22" s="1" t="n">
        <v>1.9</v>
      </c>
      <c r="M22" s="1" t="n">
        <f aca="false">M21+L22</f>
        <v>44</v>
      </c>
      <c r="N22" s="1" t="n">
        <v>-0.3</v>
      </c>
      <c r="O22" s="1" t="n">
        <f aca="false">O21+N22</f>
        <v>11.3</v>
      </c>
      <c r="P22" s="1" t="n">
        <v>17</v>
      </c>
      <c r="Q22" s="1" t="n">
        <f aca="false">0.35+((P22-8)/77)*(1-0.35)</f>
        <v>0.425974025974026</v>
      </c>
      <c r="R22" s="10" t="n">
        <f aca="false">Q22*L22</f>
        <v>0.809350649350649</v>
      </c>
      <c r="S22" s="10" t="n">
        <f aca="false">J22-R22</f>
        <v>0.790649350649351</v>
      </c>
      <c r="T22" s="10" t="n">
        <f aca="false">MIN(122.1,(T21+S22))</f>
        <v>15.7630519480519</v>
      </c>
      <c r="V22" s="1" t="n">
        <v>855.5</v>
      </c>
      <c r="X22" s="1" t="n">
        <v>22730.8</v>
      </c>
      <c r="AA22" s="1" t="n">
        <v>12.3125661259556</v>
      </c>
    </row>
    <row r="23" customFormat="false" ht="15" hidden="false" customHeight="false" outlineLevel="0" collapsed="false">
      <c r="A23" s="7"/>
      <c r="B23" s="3"/>
      <c r="C23" s="8" t="n">
        <v>41904</v>
      </c>
      <c r="D23" s="1" t="n">
        <v>13.2</v>
      </c>
      <c r="E23" s="1" t="n">
        <v>10.2</v>
      </c>
      <c r="F23" s="1" t="n">
        <v>16.9</v>
      </c>
      <c r="G23" s="1" t="n">
        <v>323.3</v>
      </c>
      <c r="J23" s="1" t="n">
        <v>0</v>
      </c>
      <c r="K23" s="1" t="n">
        <f aca="false">K22+J23</f>
        <v>20.1</v>
      </c>
      <c r="L23" s="1" t="n">
        <v>2.4</v>
      </c>
      <c r="M23" s="1" t="n">
        <f aca="false">M22+L23</f>
        <v>46.4</v>
      </c>
      <c r="N23" s="1" t="n">
        <v>-2.4</v>
      </c>
      <c r="O23" s="1" t="n">
        <f aca="false">O22+N23</f>
        <v>8.9</v>
      </c>
      <c r="P23" s="1" t="n">
        <v>18</v>
      </c>
      <c r="Q23" s="1" t="n">
        <f aca="false">0.35+((P23-8)/77)*(1-0.35)</f>
        <v>0.434415584415584</v>
      </c>
      <c r="R23" s="10" t="n">
        <f aca="false">Q23*L23</f>
        <v>1.0425974025974</v>
      </c>
      <c r="S23" s="10" t="n">
        <f aca="false">J23-R23</f>
        <v>-1.0425974025974</v>
      </c>
      <c r="T23" s="10" t="n">
        <f aca="false">MIN(122.1,(T22+S23))</f>
        <v>14.7204545454545</v>
      </c>
      <c r="V23" s="1" t="n">
        <v>1296.3</v>
      </c>
      <c r="X23" s="1" t="n">
        <v>24027.1</v>
      </c>
      <c r="AA23" s="1" t="n">
        <v>12.2564442459744</v>
      </c>
    </row>
    <row r="24" customFormat="false" ht="15" hidden="false" customHeight="false" outlineLevel="0" collapsed="false">
      <c r="A24" s="7"/>
      <c r="B24" s="3"/>
      <c r="C24" s="8" t="n">
        <v>41905</v>
      </c>
      <c r="D24" s="1" t="n">
        <v>12.2</v>
      </c>
      <c r="E24" s="1" t="n">
        <v>8.1</v>
      </c>
      <c r="F24" s="1" t="n">
        <v>17.2</v>
      </c>
      <c r="G24" s="1" t="n">
        <v>335.5</v>
      </c>
      <c r="J24" s="1" t="n">
        <v>0</v>
      </c>
      <c r="K24" s="1" t="n">
        <f aca="false">K23+J24</f>
        <v>20.1</v>
      </c>
      <c r="L24" s="1" t="n">
        <v>3.1</v>
      </c>
      <c r="M24" s="1" t="n">
        <f aca="false">M23+L24</f>
        <v>49.5</v>
      </c>
      <c r="N24" s="1" t="n">
        <v>-3.1</v>
      </c>
      <c r="O24" s="1" t="n">
        <f aca="false">O23+N24</f>
        <v>5.8</v>
      </c>
      <c r="P24" s="1" t="n">
        <v>19</v>
      </c>
      <c r="Q24" s="1" t="n">
        <f aca="false">0.35+((P24-8)/77)*(1-0.35)</f>
        <v>0.442857142857143</v>
      </c>
      <c r="R24" s="10" t="n">
        <f aca="false">Q24*L24</f>
        <v>1.37285714285714</v>
      </c>
      <c r="S24" s="10" t="n">
        <f aca="false">J24-R24</f>
        <v>-1.37285714285714</v>
      </c>
      <c r="T24" s="10" t="n">
        <f aca="false">MIN(122.1,(T23+S24))</f>
        <v>13.3475974025974</v>
      </c>
      <c r="V24" s="1" t="n">
        <v>1768.5</v>
      </c>
      <c r="X24" s="1" t="n">
        <v>25795.6</v>
      </c>
      <c r="AA24" s="1" t="n">
        <v>12.2002982493455</v>
      </c>
    </row>
    <row r="25" customFormat="false" ht="15" hidden="false" customHeight="false" outlineLevel="0" collapsed="false">
      <c r="A25" s="7"/>
      <c r="B25" s="3"/>
      <c r="C25" s="8" t="n">
        <v>41906</v>
      </c>
      <c r="D25" s="1" t="n">
        <v>11.4</v>
      </c>
      <c r="E25" s="1" t="n">
        <v>6.9</v>
      </c>
      <c r="F25" s="1" t="n">
        <v>16.6</v>
      </c>
      <c r="G25" s="1" t="n">
        <v>346.9</v>
      </c>
      <c r="J25" s="1" t="n">
        <v>1.7</v>
      </c>
      <c r="K25" s="1" t="n">
        <f aca="false">K24+J25</f>
        <v>21.8</v>
      </c>
      <c r="L25" s="1" t="n">
        <v>0.9</v>
      </c>
      <c r="M25" s="1" t="n">
        <f aca="false">M24+L25</f>
        <v>50.4</v>
      </c>
      <c r="N25" s="1" t="n">
        <v>0.8</v>
      </c>
      <c r="O25" s="1" t="n">
        <f aca="false">O24+N25</f>
        <v>6.6</v>
      </c>
      <c r="P25" s="1" t="n">
        <v>20</v>
      </c>
      <c r="Q25" s="1" t="n">
        <f aca="false">0.35+((P25-8)/77)*(1-0.35)</f>
        <v>0.451298701298701</v>
      </c>
      <c r="R25" s="10" t="n">
        <f aca="false">Q25*L25</f>
        <v>0.406168831168831</v>
      </c>
      <c r="S25" s="10" t="n">
        <f aca="false">J25-R25</f>
        <v>1.29383116883117</v>
      </c>
      <c r="T25" s="10" t="n">
        <f aca="false">MIN(122.1,(T24+S25))</f>
        <v>14.6414285714286</v>
      </c>
      <c r="V25" s="1" t="n">
        <v>569</v>
      </c>
      <c r="X25" s="1" t="n">
        <v>26364.6</v>
      </c>
      <c r="AA25" s="1" t="n">
        <v>12.144133576261</v>
      </c>
    </row>
    <row r="26" customFormat="false" ht="15" hidden="false" customHeight="false" outlineLevel="0" collapsed="false">
      <c r="A26" s="7"/>
      <c r="B26" s="3"/>
      <c r="C26" s="8" t="n">
        <v>41907</v>
      </c>
      <c r="D26" s="1" t="n">
        <v>11.9</v>
      </c>
      <c r="E26" s="1" t="n">
        <v>9.7</v>
      </c>
      <c r="F26" s="1" t="n">
        <v>16.4</v>
      </c>
      <c r="G26" s="1" t="n">
        <v>358.8</v>
      </c>
      <c r="J26" s="1" t="n">
        <v>0</v>
      </c>
      <c r="K26" s="1" t="n">
        <f aca="false">K25+J26</f>
        <v>21.8</v>
      </c>
      <c r="L26" s="1" t="n">
        <v>2</v>
      </c>
      <c r="M26" s="1" t="n">
        <f aca="false">M25+L26</f>
        <v>52.4</v>
      </c>
      <c r="N26" s="1" t="n">
        <v>-2</v>
      </c>
      <c r="O26" s="1" t="n">
        <f aca="false">O25+N26</f>
        <v>4.6</v>
      </c>
      <c r="P26" s="1" t="n">
        <v>21</v>
      </c>
      <c r="Q26" s="1" t="n">
        <f aca="false">0.35+((P26-8)/77)*(1-0.35)</f>
        <v>0.45974025974026</v>
      </c>
      <c r="R26" s="10" t="n">
        <f aca="false">Q26*L26</f>
        <v>0.91948051948052</v>
      </c>
      <c r="S26" s="10" t="n">
        <f aca="false">J26-R26</f>
        <v>-0.91948051948052</v>
      </c>
      <c r="T26" s="10" t="n">
        <f aca="false">MIN(122.1,(T25+S26))</f>
        <v>13.7219480519481</v>
      </c>
      <c r="V26" s="1" t="n">
        <v>1357</v>
      </c>
      <c r="X26" s="1" t="n">
        <v>27721.6</v>
      </c>
      <c r="AA26" s="1" t="n">
        <v>12.0879556800494</v>
      </c>
    </row>
    <row r="27" customFormat="false" ht="15" hidden="false" customHeight="false" outlineLevel="0" collapsed="false">
      <c r="A27" s="7"/>
      <c r="B27" s="3"/>
      <c r="C27" s="8" t="n">
        <v>41908</v>
      </c>
      <c r="D27" s="1" t="n">
        <v>12.9</v>
      </c>
      <c r="E27" s="1" t="n">
        <v>7.2</v>
      </c>
      <c r="F27" s="1" t="n">
        <v>19.3</v>
      </c>
      <c r="G27" s="1" t="n">
        <v>371.7</v>
      </c>
      <c r="J27" s="1" t="n">
        <v>0</v>
      </c>
      <c r="K27" s="1" t="n">
        <f aca="false">K26+J27</f>
        <v>21.8</v>
      </c>
      <c r="L27" s="1" t="n">
        <v>2.4</v>
      </c>
      <c r="M27" s="1" t="n">
        <f aca="false">M26+L27</f>
        <v>54.8</v>
      </c>
      <c r="N27" s="1" t="n">
        <v>-2.4</v>
      </c>
      <c r="O27" s="1" t="n">
        <f aca="false">O26+N27</f>
        <v>2.2</v>
      </c>
      <c r="P27" s="1" t="n">
        <v>22</v>
      </c>
      <c r="Q27" s="1" t="n">
        <f aca="false">0.35+((P27-8)/77)*(1-0.35)</f>
        <v>0.468181818181818</v>
      </c>
      <c r="R27" s="10" t="n">
        <f aca="false">Q27*L27</f>
        <v>1.12363636363636</v>
      </c>
      <c r="S27" s="10" t="n">
        <f aca="false">J27-R27</f>
        <v>-1.12363636363636</v>
      </c>
      <c r="T27" s="10" t="n">
        <f aca="false">MIN(122.1,(T26+S27))</f>
        <v>12.5983116883117</v>
      </c>
      <c r="V27" s="1" t="n">
        <v>1506</v>
      </c>
      <c r="X27" s="1" t="n">
        <v>29227.6</v>
      </c>
      <c r="AA27" s="1" t="n">
        <v>12.0317700430846</v>
      </c>
    </row>
    <row r="28" customFormat="false" ht="15" hidden="false" customHeight="false" outlineLevel="0" collapsed="false">
      <c r="A28" s="7"/>
      <c r="B28" s="3"/>
      <c r="C28" s="8" t="n">
        <v>41909</v>
      </c>
      <c r="D28" s="1" t="n">
        <v>14.2</v>
      </c>
      <c r="E28" s="1" t="n">
        <v>9.5</v>
      </c>
      <c r="F28" s="1" t="n">
        <v>20.5</v>
      </c>
      <c r="G28" s="1" t="n">
        <v>385.9</v>
      </c>
      <c r="J28" s="1" t="n">
        <v>0</v>
      </c>
      <c r="K28" s="1" t="n">
        <f aca="false">K27+J28</f>
        <v>21.8</v>
      </c>
      <c r="L28" s="1" t="n">
        <v>2.8</v>
      </c>
      <c r="M28" s="1" t="n">
        <f aca="false">M27+L28</f>
        <v>57.6</v>
      </c>
      <c r="N28" s="1" t="n">
        <v>-2.8</v>
      </c>
      <c r="O28" s="1" t="n">
        <f aca="false">O27+N28</f>
        <v>-0.599999999999999</v>
      </c>
      <c r="P28" s="1" t="n">
        <v>23</v>
      </c>
      <c r="Q28" s="1" t="n">
        <f aca="false">0.35+((P28-8)/77)*(1-0.35)</f>
        <v>0.476623376623377</v>
      </c>
      <c r="R28" s="10" t="n">
        <f aca="false">Q28*L28</f>
        <v>1.33454545454545</v>
      </c>
      <c r="S28" s="10" t="n">
        <f aca="false">J28-R28</f>
        <v>-1.33454545454545</v>
      </c>
      <c r="T28" s="10" t="n">
        <f aca="false">MIN(122.1,(T27+S28))</f>
        <v>11.2637662337662</v>
      </c>
      <c r="V28" s="1" t="n">
        <v>1627.3</v>
      </c>
      <c r="X28" s="1" t="n">
        <v>30854.9</v>
      </c>
      <c r="AA28" s="1" t="n">
        <v>11.9755821927857</v>
      </c>
    </row>
    <row r="29" customFormat="false" ht="15" hidden="false" customHeight="false" outlineLevel="0" collapsed="false">
      <c r="A29" s="7"/>
      <c r="B29" s="3"/>
      <c r="C29" s="8" t="n">
        <v>41910</v>
      </c>
      <c r="D29" s="1" t="n">
        <v>16.5</v>
      </c>
      <c r="E29" s="1" t="n">
        <v>9.8</v>
      </c>
      <c r="F29" s="1" t="n">
        <v>23.4</v>
      </c>
      <c r="G29" s="1" t="n">
        <v>402.4</v>
      </c>
      <c r="J29" s="1" t="n">
        <v>0</v>
      </c>
      <c r="K29" s="1" t="n">
        <f aca="false">K28+J29</f>
        <v>21.8</v>
      </c>
      <c r="L29" s="1" t="n">
        <v>3</v>
      </c>
      <c r="M29" s="1" t="n">
        <f aca="false">M28+L29</f>
        <v>60.6</v>
      </c>
      <c r="N29" s="1" t="n">
        <v>-3</v>
      </c>
      <c r="O29" s="1" t="n">
        <f aca="false">O28+N29</f>
        <v>-3.6</v>
      </c>
      <c r="P29" s="1" t="n">
        <v>24</v>
      </c>
      <c r="Q29" s="1" t="n">
        <f aca="false">0.35+((P29-8)/77)*(1-0.35)</f>
        <v>0.485064935064935</v>
      </c>
      <c r="R29" s="10" t="n">
        <f aca="false">Q29*L29</f>
        <v>1.45519480519481</v>
      </c>
      <c r="S29" s="10" t="n">
        <f aca="false">J29-R29</f>
        <v>-1.45519480519481</v>
      </c>
      <c r="T29" s="10" t="n">
        <f aca="false">MIN(122.1,(T28+S29))</f>
        <v>9.80857142857143</v>
      </c>
      <c r="V29" s="1" t="n">
        <v>1547.2</v>
      </c>
      <c r="X29" s="1" t="n">
        <v>32402.1</v>
      </c>
      <c r="AA29" s="1" t="n">
        <v>11.9193977177122</v>
      </c>
    </row>
    <row r="30" customFormat="false" ht="15" hidden="false" customHeight="false" outlineLevel="0" collapsed="false">
      <c r="A30" s="7"/>
      <c r="B30" s="3"/>
      <c r="C30" s="8" t="n">
        <v>41911</v>
      </c>
      <c r="D30" s="1" t="n">
        <v>15.9</v>
      </c>
      <c r="E30" s="1" t="n">
        <v>11.2</v>
      </c>
      <c r="F30" s="1" t="n">
        <v>20.4</v>
      </c>
      <c r="G30" s="1" t="n">
        <v>418.3</v>
      </c>
      <c r="J30" s="1" t="n">
        <v>0</v>
      </c>
      <c r="K30" s="1" t="n">
        <f aca="false">K29+J30</f>
        <v>21.8</v>
      </c>
      <c r="L30" s="1" t="n">
        <v>0.7</v>
      </c>
      <c r="M30" s="1" t="n">
        <f aca="false">M29+L30</f>
        <v>61.3</v>
      </c>
      <c r="N30" s="1" t="n">
        <v>-0.7</v>
      </c>
      <c r="O30" s="1" t="n">
        <f aca="false">O29+N30</f>
        <v>-4.3</v>
      </c>
      <c r="P30" s="1" t="n">
        <v>25</v>
      </c>
      <c r="Q30" s="1" t="n">
        <f aca="false">0.35+((P30-8)/77)*(1-0.35)</f>
        <v>0.493506493506493</v>
      </c>
      <c r="R30" s="10" t="n">
        <f aca="false">Q30*L30</f>
        <v>0.345454545454545</v>
      </c>
      <c r="S30" s="10" t="n">
        <f aca="false">J30-R30</f>
        <v>-0.345454545454545</v>
      </c>
      <c r="T30" s="10" t="n">
        <f aca="false">MIN(122.1,(T29+S30))</f>
        <v>9.46311688311688</v>
      </c>
      <c r="V30" s="1" t="n">
        <v>327.3</v>
      </c>
      <c r="X30" s="1" t="n">
        <v>32729.4</v>
      </c>
      <c r="AA30" s="1" t="n">
        <v>11.8632222837584</v>
      </c>
    </row>
    <row r="31" customFormat="false" ht="15" hidden="false" customHeight="false" outlineLevel="0" collapsed="false">
      <c r="A31" s="7"/>
      <c r="B31" s="3"/>
      <c r="C31" s="8" t="n">
        <v>41912</v>
      </c>
      <c r="D31" s="1" t="n">
        <v>17.4</v>
      </c>
      <c r="E31" s="1" t="n">
        <v>14</v>
      </c>
      <c r="F31" s="1" t="n">
        <v>23.2</v>
      </c>
      <c r="G31" s="1" t="n">
        <v>435.7</v>
      </c>
      <c r="J31" s="1" t="n">
        <v>0</v>
      </c>
      <c r="K31" s="1" t="n">
        <f aca="false">K30+J31</f>
        <v>21.8</v>
      </c>
      <c r="L31" s="1" t="n">
        <v>0.9</v>
      </c>
      <c r="M31" s="1" t="n">
        <f aca="false">M30+L31</f>
        <v>62.2</v>
      </c>
      <c r="N31" s="1" t="n">
        <v>-0.9</v>
      </c>
      <c r="O31" s="1" t="n">
        <f aca="false">O30+N31</f>
        <v>-5.2</v>
      </c>
      <c r="P31" s="1" t="n">
        <v>26</v>
      </c>
      <c r="Q31" s="1" t="n">
        <f aca="false">0.35+((P31-8)/77)*(1-0.35)</f>
        <v>0.501948051948052</v>
      </c>
      <c r="R31" s="10" t="n">
        <f aca="false">Q31*L31</f>
        <v>0.451753246753247</v>
      </c>
      <c r="S31" s="10" t="n">
        <f aca="false">J31-R31</f>
        <v>-0.451753246753247</v>
      </c>
      <c r="T31" s="10" t="n">
        <f aca="false">MIN(122.1,(T30+S31))</f>
        <v>9.01136363636364</v>
      </c>
      <c r="V31" s="1" t="n">
        <v>488.5</v>
      </c>
      <c r="X31" s="1" t="n">
        <v>33217.9</v>
      </c>
      <c r="AA31" s="1" t="n">
        <v>11.8070616504488</v>
      </c>
    </row>
    <row r="32" customFormat="false" ht="15" hidden="false" customHeight="false" outlineLevel="0" collapsed="false">
      <c r="A32" s="7"/>
      <c r="B32" s="3"/>
      <c r="C32" s="8" t="n">
        <v>41913</v>
      </c>
      <c r="D32" s="1" t="n">
        <v>16</v>
      </c>
      <c r="E32" s="1" t="n">
        <v>11.4</v>
      </c>
      <c r="F32" s="1" t="n">
        <v>22.3</v>
      </c>
      <c r="G32" s="1" t="n">
        <v>451.7</v>
      </c>
      <c r="J32" s="1" t="n">
        <v>0</v>
      </c>
      <c r="K32" s="1" t="n">
        <f aca="false">K31+J32</f>
        <v>21.8</v>
      </c>
      <c r="L32" s="1" t="n">
        <v>2.5</v>
      </c>
      <c r="M32" s="1" t="n">
        <f aca="false">M31+L32</f>
        <v>64.7</v>
      </c>
      <c r="N32" s="1" t="n">
        <v>-2.5</v>
      </c>
      <c r="O32" s="1" t="n">
        <f aca="false">O31+N32</f>
        <v>-7.7</v>
      </c>
      <c r="P32" s="1" t="n">
        <v>27</v>
      </c>
      <c r="Q32" s="1" t="n">
        <f aca="false">0.35+((P32-8)/77)*(1-0.35)</f>
        <v>0.51038961038961</v>
      </c>
      <c r="R32" s="10" t="n">
        <f aca="false">Q32*L32</f>
        <v>1.27597402597403</v>
      </c>
      <c r="S32" s="10" t="n">
        <f aca="false">J32-R32</f>
        <v>-1.27597402597403</v>
      </c>
      <c r="T32" s="10" t="n">
        <f aca="false">MIN(122.1,(T31+S32))</f>
        <v>7.73538961038961</v>
      </c>
      <c r="V32" s="1" t="n">
        <v>1519.3</v>
      </c>
      <c r="X32" s="1" t="n">
        <v>34737.2</v>
      </c>
      <c r="AA32" s="1" t="n">
        <v>11.750921687338</v>
      </c>
    </row>
    <row r="33" customFormat="false" ht="15" hidden="false" customHeight="false" outlineLevel="0" collapsed="false">
      <c r="A33" s="7"/>
      <c r="B33" s="3"/>
      <c r="C33" s="8" t="n">
        <v>41914</v>
      </c>
      <c r="D33" s="1" t="n">
        <v>15.7</v>
      </c>
      <c r="E33" s="1" t="n">
        <v>10.2</v>
      </c>
      <c r="F33" s="1" t="n">
        <v>22.6</v>
      </c>
      <c r="G33" s="1" t="n">
        <v>467.4</v>
      </c>
      <c r="J33" s="1" t="n">
        <v>0</v>
      </c>
      <c r="K33" s="1" t="n">
        <f aca="false">K32+J33</f>
        <v>21.8</v>
      </c>
      <c r="L33" s="1" t="n">
        <v>2.5</v>
      </c>
      <c r="M33" s="1" t="n">
        <f aca="false">M32+L33</f>
        <v>67.2</v>
      </c>
      <c r="N33" s="1" t="n">
        <v>-2.5</v>
      </c>
      <c r="O33" s="1" t="n">
        <f aca="false">O32+N33</f>
        <v>-10.2</v>
      </c>
      <c r="P33" s="1" t="n">
        <v>28</v>
      </c>
      <c r="Q33" s="1" t="n">
        <f aca="false">0.35+((P33-8)/77)*(1-0.35)</f>
        <v>0.518831168831169</v>
      </c>
      <c r="R33" s="10" t="n">
        <f aca="false">Q33*L33</f>
        <v>1.29707792207792</v>
      </c>
      <c r="S33" s="10" t="n">
        <f aca="false">J33-R33</f>
        <v>-1.29707792207792</v>
      </c>
      <c r="T33" s="10" t="n">
        <f aca="false">MIN(122.1,(T32+S33))</f>
        <v>6.43831168831169</v>
      </c>
      <c r="V33" s="1" t="n">
        <v>1459.8</v>
      </c>
      <c r="X33" s="1" t="n">
        <v>36197</v>
      </c>
      <c r="AA33" s="1" t="n">
        <v>11.6948083905158</v>
      </c>
    </row>
    <row r="34" customFormat="false" ht="15" hidden="false" customHeight="false" outlineLevel="0" collapsed="false">
      <c r="A34" s="7"/>
      <c r="B34" s="3"/>
      <c r="C34" s="8" t="n">
        <v>41915</v>
      </c>
      <c r="D34" s="1" t="n">
        <v>14.9</v>
      </c>
      <c r="E34" s="1" t="n">
        <v>10.3</v>
      </c>
      <c r="F34" s="1" t="n">
        <v>21.4</v>
      </c>
      <c r="G34" s="1" t="n">
        <v>482.3</v>
      </c>
      <c r="J34" s="1" t="n">
        <v>0</v>
      </c>
      <c r="K34" s="1" t="n">
        <f aca="false">K33+J34</f>
        <v>21.8</v>
      </c>
      <c r="L34" s="1" t="n">
        <v>2.2</v>
      </c>
      <c r="M34" s="1" t="n">
        <f aca="false">M33+L34</f>
        <v>69.4</v>
      </c>
      <c r="N34" s="1" t="n">
        <v>-2.2</v>
      </c>
      <c r="O34" s="1" t="n">
        <f aca="false">O33+N34</f>
        <v>-12.4</v>
      </c>
      <c r="P34" s="1" t="n">
        <v>29</v>
      </c>
      <c r="Q34" s="1" t="n">
        <f aca="false">0.35+((P34-8)/77)*(1-0.35)</f>
        <v>0.527272727272727</v>
      </c>
      <c r="R34" s="10" t="n">
        <f aca="false">Q34*L34</f>
        <v>1.16</v>
      </c>
      <c r="S34" s="10" t="n">
        <f aca="false">J34-R34</f>
        <v>-1.16</v>
      </c>
      <c r="T34" s="10" t="n">
        <f aca="false">MIN(122.1,(T33+S34))</f>
        <v>5.27831168831169</v>
      </c>
      <c r="V34" s="1" t="n">
        <v>1463.6</v>
      </c>
      <c r="X34" s="1" t="n">
        <v>37660.6</v>
      </c>
      <c r="AA34" s="1" t="n">
        <v>11.6387278992187</v>
      </c>
    </row>
    <row r="35" customFormat="false" ht="15" hidden="false" customHeight="false" outlineLevel="0" collapsed="false">
      <c r="A35" s="7"/>
      <c r="B35" s="3"/>
      <c r="C35" s="8" t="n">
        <v>41916</v>
      </c>
      <c r="D35" s="1" t="n">
        <v>14.7</v>
      </c>
      <c r="E35" s="1" t="n">
        <v>8.3</v>
      </c>
      <c r="F35" s="1" t="n">
        <v>21.5</v>
      </c>
      <c r="G35" s="1" t="n">
        <v>497</v>
      </c>
      <c r="J35" s="1" t="n">
        <v>4.4</v>
      </c>
      <c r="K35" s="1" t="n">
        <f aca="false">K34+J35</f>
        <v>26.2</v>
      </c>
      <c r="L35" s="1" t="n">
        <v>2</v>
      </c>
      <c r="M35" s="1" t="n">
        <f aca="false">M34+L35</f>
        <v>71.4</v>
      </c>
      <c r="N35" s="1" t="n">
        <v>2.4</v>
      </c>
      <c r="O35" s="1" t="n">
        <f aca="false">O34+N35</f>
        <v>-10</v>
      </c>
      <c r="P35" s="1" t="n">
        <v>30</v>
      </c>
      <c r="Q35" s="1" t="n">
        <f aca="false">0.35+((P35-8)/77)*(1-0.35)</f>
        <v>0.535714285714286</v>
      </c>
      <c r="R35" s="10" t="n">
        <f aca="false">Q35*L35</f>
        <v>1.07142857142857</v>
      </c>
      <c r="S35" s="10" t="n">
        <f aca="false">J35-R35</f>
        <v>3.32857142857143</v>
      </c>
      <c r="T35" s="10" t="n">
        <f aca="false">MIN(122.1,(T34+S35))</f>
        <v>8.60688311688312</v>
      </c>
      <c r="V35" s="1" t="n">
        <v>1411.8</v>
      </c>
      <c r="X35" s="1" t="n">
        <v>39072.4</v>
      </c>
      <c r="AA35" s="1" t="n">
        <v>11.5826865125461</v>
      </c>
    </row>
    <row r="36" customFormat="false" ht="15" hidden="false" customHeight="false" outlineLevel="0" collapsed="false">
      <c r="A36" s="7"/>
      <c r="B36" s="3"/>
      <c r="C36" s="8" t="n">
        <v>41917</v>
      </c>
      <c r="D36" s="1" t="n">
        <v>13.6</v>
      </c>
      <c r="E36" s="1" t="n">
        <v>11.8</v>
      </c>
      <c r="F36" s="1" t="n">
        <v>14.4</v>
      </c>
      <c r="G36" s="1" t="n">
        <v>510.6</v>
      </c>
      <c r="J36" s="1" t="n">
        <v>24.3</v>
      </c>
      <c r="K36" s="1" t="n">
        <f aca="false">K35+J36</f>
        <v>50.5</v>
      </c>
      <c r="L36" s="1" t="n">
        <v>0.6</v>
      </c>
      <c r="M36" s="1" t="n">
        <f aca="false">M35+L36</f>
        <v>72</v>
      </c>
      <c r="N36" s="1" t="n">
        <v>23.7</v>
      </c>
      <c r="O36" s="1" t="n">
        <f aca="false">O35+N36</f>
        <v>13.7</v>
      </c>
      <c r="P36" s="1" t="n">
        <v>31</v>
      </c>
      <c r="Q36" s="1" t="n">
        <f aca="false">0.35+((P36-8)/77)*(1-0.35)</f>
        <v>0.544155844155844</v>
      </c>
      <c r="R36" s="10" t="n">
        <f aca="false">Q36*L36</f>
        <v>0.326493506493507</v>
      </c>
      <c r="S36" s="10" t="n">
        <f aca="false">J36-R36</f>
        <v>23.9735064935065</v>
      </c>
      <c r="T36" s="10" t="n">
        <f aca="false">MIN(122.1,(T35+S36))</f>
        <v>32.5803896103896</v>
      </c>
      <c r="V36" s="1" t="n">
        <v>307.4</v>
      </c>
      <c r="X36" s="1" t="n">
        <v>39379.8</v>
      </c>
      <c r="AA36" s="1" t="n">
        <v>11.5266907062811</v>
      </c>
    </row>
    <row r="37" customFormat="false" ht="15" hidden="false" customHeight="false" outlineLevel="0" collapsed="false">
      <c r="A37" s="7"/>
      <c r="B37" s="3"/>
      <c r="C37" s="8" t="n">
        <v>41918</v>
      </c>
      <c r="D37" s="1" t="n">
        <v>13.6</v>
      </c>
      <c r="E37" s="1" t="n">
        <v>8.1</v>
      </c>
      <c r="F37" s="1" t="n">
        <v>16.5</v>
      </c>
      <c r="G37" s="1" t="n">
        <v>524.2</v>
      </c>
      <c r="J37" s="1" t="n">
        <v>2.8</v>
      </c>
      <c r="K37" s="1" t="n">
        <f aca="false">K36+J37</f>
        <v>53.3</v>
      </c>
      <c r="L37" s="1" t="n">
        <v>0.5</v>
      </c>
      <c r="M37" s="1" t="n">
        <f aca="false">M36+L37</f>
        <v>72.5</v>
      </c>
      <c r="N37" s="1" t="n">
        <v>2.3</v>
      </c>
      <c r="O37" s="1" t="n">
        <f aca="false">O36+N37</f>
        <v>16</v>
      </c>
      <c r="P37" s="1" t="n">
        <v>32</v>
      </c>
      <c r="Q37" s="1" t="n">
        <f aca="false">0.35+((P37-8)/77)*(1-0.35)</f>
        <v>0.552597402597403</v>
      </c>
      <c r="R37" s="10" t="n">
        <f aca="false">Q37*L37</f>
        <v>0.276298701298701</v>
      </c>
      <c r="S37" s="10" t="n">
        <f aca="false">J37-R37</f>
        <v>2.5237012987013</v>
      </c>
      <c r="T37" s="10" t="n">
        <f aca="false">MIN(122.1,(T36+S37))</f>
        <v>35.1040909090909</v>
      </c>
      <c r="V37" s="1" t="n">
        <v>471.6</v>
      </c>
      <c r="X37" s="1" t="n">
        <v>39851.4</v>
      </c>
      <c r="AA37" s="1" t="n">
        <v>11.4707471498109</v>
      </c>
    </row>
    <row r="38" customFormat="false" ht="15" hidden="false" customHeight="false" outlineLevel="0" collapsed="false">
      <c r="A38" s="7"/>
      <c r="B38" s="3"/>
      <c r="C38" s="8" t="n">
        <v>41919</v>
      </c>
      <c r="D38" s="1" t="n">
        <v>15.1</v>
      </c>
      <c r="E38" s="1" t="n">
        <v>14.3</v>
      </c>
      <c r="F38" s="1" t="n">
        <v>16.3</v>
      </c>
      <c r="G38" s="1" t="n">
        <v>539.3</v>
      </c>
      <c r="J38" s="1" t="n">
        <v>4.2</v>
      </c>
      <c r="K38" s="1" t="n">
        <f aca="false">K37+J38</f>
        <v>57.5</v>
      </c>
      <c r="L38" s="1" t="n">
        <v>1</v>
      </c>
      <c r="M38" s="1" t="n">
        <f aca="false">M37+L38</f>
        <v>73.5</v>
      </c>
      <c r="N38" s="1" t="n">
        <v>3.2</v>
      </c>
      <c r="O38" s="1" t="n">
        <f aca="false">O37+N38</f>
        <v>19.2</v>
      </c>
      <c r="P38" s="1" t="n">
        <v>33</v>
      </c>
      <c r="Q38" s="1" t="n">
        <f aca="false">0.35+((P38-8)/77)*(1-0.35)</f>
        <v>0.561038961038961</v>
      </c>
      <c r="R38" s="10" t="n">
        <f aca="false">Q38*L38</f>
        <v>0.561038961038961</v>
      </c>
      <c r="S38" s="10" t="n">
        <f aca="false">J38-R38</f>
        <v>3.63896103896104</v>
      </c>
      <c r="T38" s="10" t="n">
        <f aca="false">MIN(122.1,(T37+S38))</f>
        <v>38.743051948052</v>
      </c>
      <c r="V38" s="1" t="n">
        <v>232.8</v>
      </c>
      <c r="X38" s="1" t="n">
        <v>40084.2</v>
      </c>
      <c r="AA38" s="1" t="n">
        <v>11.4148627231427</v>
      </c>
    </row>
    <row r="39" customFormat="false" ht="15" hidden="false" customHeight="false" outlineLevel="0" collapsed="false">
      <c r="A39" s="7"/>
      <c r="B39" s="3"/>
      <c r="C39" s="8" t="n">
        <v>41920</v>
      </c>
      <c r="D39" s="1" t="n">
        <v>18.4</v>
      </c>
      <c r="E39" s="1" t="n">
        <v>12.5</v>
      </c>
      <c r="F39" s="1" t="n">
        <v>22.4</v>
      </c>
      <c r="G39" s="1" t="n">
        <v>557.7</v>
      </c>
      <c r="J39" s="1" t="n">
        <v>0.1</v>
      </c>
      <c r="K39" s="1" t="n">
        <f aca="false">K38+J39</f>
        <v>57.6</v>
      </c>
      <c r="L39" s="1" t="n">
        <v>1.6</v>
      </c>
      <c r="M39" s="1" t="n">
        <f aca="false">M38+L39</f>
        <v>75.1</v>
      </c>
      <c r="N39" s="1" t="n">
        <v>-1.5</v>
      </c>
      <c r="O39" s="1" t="n">
        <f aca="false">O38+N39</f>
        <v>17.7</v>
      </c>
      <c r="P39" s="1" t="n">
        <v>34</v>
      </c>
      <c r="Q39" s="1" t="n">
        <f aca="false">0.35+((P39-8)/77)*(1-0.35)</f>
        <v>0.56948051948052</v>
      </c>
      <c r="R39" s="10" t="n">
        <f aca="false">Q39*L39</f>
        <v>0.911168831168831</v>
      </c>
      <c r="S39" s="10" t="n">
        <f aca="false">J39-R39</f>
        <v>-0.811168831168831</v>
      </c>
      <c r="T39" s="10" t="n">
        <f aca="false">MIN(122.1,(T38+S39))</f>
        <v>37.9318831168831</v>
      </c>
      <c r="V39" s="1" t="n">
        <v>646.1</v>
      </c>
      <c r="X39" s="1" t="n">
        <v>40730.3</v>
      </c>
      <c r="AA39" s="1" t="n">
        <v>11.3590445340079</v>
      </c>
    </row>
    <row r="40" customFormat="false" ht="15" hidden="false" customHeight="false" outlineLevel="0" collapsed="false">
      <c r="A40" s="7"/>
      <c r="B40" s="3"/>
      <c r="C40" s="8" t="n">
        <v>41921</v>
      </c>
      <c r="D40" s="1" t="n">
        <v>17.7</v>
      </c>
      <c r="E40" s="1" t="n">
        <v>15.6</v>
      </c>
      <c r="F40" s="1" t="n">
        <v>19.6</v>
      </c>
      <c r="G40" s="1" t="n">
        <v>575.4</v>
      </c>
      <c r="J40" s="1" t="n">
        <v>19</v>
      </c>
      <c r="K40" s="1" t="n">
        <f aca="false">K39+J40</f>
        <v>76.6</v>
      </c>
      <c r="L40" s="1" t="n">
        <v>1.5</v>
      </c>
      <c r="M40" s="1" t="n">
        <f aca="false">M39+L40</f>
        <v>76.6</v>
      </c>
      <c r="N40" s="1" t="n">
        <v>17.5</v>
      </c>
      <c r="O40" s="1" t="n">
        <f aca="false">O39+N40</f>
        <v>35.2</v>
      </c>
      <c r="P40" s="1" t="n">
        <v>35</v>
      </c>
      <c r="Q40" s="1" t="n">
        <f aca="false">0.35+((P40-8)/77)*(1-0.35)</f>
        <v>0.577922077922078</v>
      </c>
      <c r="R40" s="10" t="n">
        <f aca="false">Q40*L40</f>
        <v>0.866883116883117</v>
      </c>
      <c r="S40" s="10" t="n">
        <f aca="false">J40-R40</f>
        <v>18.1331168831169</v>
      </c>
      <c r="T40" s="10" t="n">
        <f aca="false">MIN(122.1,(T39+S40))</f>
        <v>56.065</v>
      </c>
      <c r="V40" s="1" t="n">
        <v>321.3</v>
      </c>
      <c r="X40" s="1" t="n">
        <v>41051.6</v>
      </c>
      <c r="AA40" s="1" t="n">
        <v>11.3032999350458</v>
      </c>
    </row>
    <row r="41" customFormat="false" ht="15" hidden="false" customHeight="false" outlineLevel="0" collapsed="false">
      <c r="A41" s="7"/>
      <c r="B41" s="3"/>
      <c r="C41" s="8" t="n">
        <v>41922</v>
      </c>
      <c r="D41" s="1" t="n">
        <v>15.1</v>
      </c>
      <c r="E41" s="1" t="n">
        <v>14.3</v>
      </c>
      <c r="F41" s="1" t="n">
        <v>16.3</v>
      </c>
      <c r="G41" s="1" t="n">
        <v>590.5</v>
      </c>
      <c r="J41" s="1" t="n">
        <v>8</v>
      </c>
      <c r="K41" s="1" t="n">
        <f aca="false">K40+J41</f>
        <v>84.6</v>
      </c>
      <c r="L41" s="1" t="n">
        <v>0.6</v>
      </c>
      <c r="M41" s="1" t="n">
        <f aca="false">M40+L41</f>
        <v>77.2</v>
      </c>
      <c r="N41" s="1" t="n">
        <v>7.4</v>
      </c>
      <c r="O41" s="1" t="n">
        <f aca="false">O40+N41</f>
        <v>42.6</v>
      </c>
      <c r="P41" s="1" t="n">
        <v>36</v>
      </c>
      <c r="Q41" s="1" t="n">
        <f aca="false">0.35+((P41-8)/77)*(1-0.35)</f>
        <v>0.586363636363636</v>
      </c>
      <c r="R41" s="10" t="n">
        <f aca="false">Q41*L41</f>
        <v>0.351818181818182</v>
      </c>
      <c r="S41" s="10" t="n">
        <f aca="false">J41-R41</f>
        <v>7.64818181818182</v>
      </c>
      <c r="T41" s="10" t="n">
        <f aca="false">MIN(122.1,(T40+S41))</f>
        <v>63.7131818181818</v>
      </c>
      <c r="V41" s="1" t="n">
        <v>282.5</v>
      </c>
      <c r="X41" s="1" t="n">
        <v>41334.1</v>
      </c>
      <c r="AA41" s="1" t="n">
        <v>11.2476365410563</v>
      </c>
    </row>
    <row r="42" customFormat="false" ht="15" hidden="false" customHeight="false" outlineLevel="0" collapsed="false">
      <c r="A42" s="7"/>
      <c r="B42" s="3"/>
      <c r="C42" s="8" t="n">
        <v>41923</v>
      </c>
      <c r="D42" s="1" t="n">
        <v>14</v>
      </c>
      <c r="E42" s="1" t="n">
        <v>13.2</v>
      </c>
      <c r="F42" s="1" t="n">
        <v>17</v>
      </c>
      <c r="G42" s="1" t="n">
        <v>604.5</v>
      </c>
      <c r="J42" s="1" t="n">
        <v>0.1</v>
      </c>
      <c r="K42" s="1" t="n">
        <f aca="false">K41+J42</f>
        <v>84.7</v>
      </c>
      <c r="L42" s="1" t="n">
        <v>0.5</v>
      </c>
      <c r="M42" s="1" t="n">
        <f aca="false">M41+L42</f>
        <v>77.7</v>
      </c>
      <c r="N42" s="1" t="n">
        <v>-0.4</v>
      </c>
      <c r="O42" s="1" t="n">
        <f aca="false">O41+N42</f>
        <v>42.2</v>
      </c>
      <c r="P42" s="1" t="n">
        <v>37</v>
      </c>
      <c r="Q42" s="1" t="n">
        <f aca="false">0.35+((P42-8)/77)*(1-0.35)</f>
        <v>0.594805194805195</v>
      </c>
      <c r="R42" s="10" t="n">
        <f aca="false">Q42*L42</f>
        <v>0.297402597402597</v>
      </c>
      <c r="S42" s="10" t="n">
        <f aca="false">J42-R42</f>
        <v>-0.197402597402597</v>
      </c>
      <c r="T42" s="10" t="n">
        <f aca="false">MIN(122.1,(T41+S42))</f>
        <v>63.5157792207792</v>
      </c>
      <c r="V42" s="1" t="n">
        <v>421.9</v>
      </c>
      <c r="X42" s="1" t="n">
        <v>41756</v>
      </c>
      <c r="AA42" s="1" t="n">
        <v>11.192062246306</v>
      </c>
    </row>
    <row r="43" customFormat="false" ht="15" hidden="false" customHeight="false" outlineLevel="0" collapsed="false">
      <c r="A43" s="7"/>
      <c r="B43" s="3"/>
      <c r="C43" s="8" t="n">
        <v>41924</v>
      </c>
      <c r="D43" s="1" t="n">
        <v>13.2</v>
      </c>
      <c r="E43" s="1" t="n">
        <v>9.5</v>
      </c>
      <c r="F43" s="1" t="n">
        <v>15.8</v>
      </c>
      <c r="G43" s="1" t="n">
        <v>617.7</v>
      </c>
      <c r="J43" s="1" t="n">
        <v>18.7</v>
      </c>
      <c r="K43" s="1" t="n">
        <f aca="false">K42+J43</f>
        <v>103.4</v>
      </c>
      <c r="L43" s="1" t="n">
        <v>0.6</v>
      </c>
      <c r="M43" s="1" t="n">
        <f aca="false">M42+L43</f>
        <v>78.3</v>
      </c>
      <c r="N43" s="1" t="n">
        <v>18.1</v>
      </c>
      <c r="O43" s="1" t="n">
        <f aca="false">O42+N43</f>
        <v>60.3</v>
      </c>
      <c r="P43" s="1" t="n">
        <v>38</v>
      </c>
      <c r="Q43" s="1" t="n">
        <f aca="false">0.35+((P43-8)/77)*(1-0.35)</f>
        <v>0.603246753246753</v>
      </c>
      <c r="R43" s="10" t="n">
        <f aca="false">Q43*L43</f>
        <v>0.361948051948052</v>
      </c>
      <c r="S43" s="10" t="n">
        <f aca="false">J43-R43</f>
        <v>18.3380519480519</v>
      </c>
      <c r="T43" s="10" t="n">
        <f aca="false">MIN(122.1,(T42+S43))</f>
        <v>81.8538311688312</v>
      </c>
      <c r="V43" s="1" t="n">
        <v>263.4</v>
      </c>
      <c r="X43" s="1" t="n">
        <v>42019.4</v>
      </c>
      <c r="AA43" s="1" t="n">
        <v>11.136585241874</v>
      </c>
    </row>
    <row r="44" customFormat="false" ht="15" hidden="false" customHeight="false" outlineLevel="0" collapsed="false">
      <c r="A44" s="7"/>
      <c r="B44" s="3"/>
      <c r="C44" s="8" t="n">
        <v>41925</v>
      </c>
      <c r="D44" s="1" t="n">
        <v>14.8</v>
      </c>
      <c r="E44" s="1" t="n">
        <v>13.3</v>
      </c>
      <c r="F44" s="1" t="n">
        <v>17.8</v>
      </c>
      <c r="G44" s="1" t="n">
        <v>632.5</v>
      </c>
      <c r="J44" s="1" t="n">
        <v>0.1</v>
      </c>
      <c r="K44" s="1" t="n">
        <f aca="false">K43+J44</f>
        <v>103.5</v>
      </c>
      <c r="L44" s="1" t="n">
        <v>1.3</v>
      </c>
      <c r="M44" s="1" t="n">
        <f aca="false">M43+L44</f>
        <v>79.6</v>
      </c>
      <c r="N44" s="1" t="n">
        <v>-1.2</v>
      </c>
      <c r="O44" s="1" t="n">
        <f aca="false">O43+N44</f>
        <v>59.1</v>
      </c>
      <c r="P44" s="1" t="n">
        <v>39</v>
      </c>
      <c r="Q44" s="1" t="n">
        <f aca="false">0.35+((P44-8)/77)*(1-0.35)</f>
        <v>0.611688311688312</v>
      </c>
      <c r="R44" s="10" t="n">
        <f aca="false">Q44*L44</f>
        <v>0.795194805194805</v>
      </c>
      <c r="S44" s="10" t="n">
        <f aca="false">J44-R44</f>
        <v>-0.695194805194805</v>
      </c>
      <c r="T44" s="10" t="n">
        <f aca="false">MIN(122.1,(T43+S44))</f>
        <v>81.1586363636364</v>
      </c>
      <c r="V44" s="1" t="n">
        <v>833.3</v>
      </c>
      <c r="X44" s="1" t="n">
        <v>42852.7</v>
      </c>
      <c r="AA44" s="1" t="n">
        <v>11.0812140330164</v>
      </c>
    </row>
    <row r="45" customFormat="false" ht="15" hidden="false" customHeight="false" outlineLevel="0" collapsed="false">
      <c r="A45" s="7"/>
      <c r="B45" s="3"/>
      <c r="C45" s="8" t="n">
        <v>41926</v>
      </c>
      <c r="D45" s="1" t="n">
        <v>13.5</v>
      </c>
      <c r="E45" s="1" t="n">
        <v>9.8</v>
      </c>
      <c r="F45" s="1" t="n">
        <v>17.3</v>
      </c>
      <c r="G45" s="1" t="n">
        <v>646</v>
      </c>
      <c r="J45" s="1" t="n">
        <v>0.1</v>
      </c>
      <c r="K45" s="1" t="n">
        <f aca="false">K44+J45</f>
        <v>103.6</v>
      </c>
      <c r="L45" s="1" t="n">
        <v>1.2</v>
      </c>
      <c r="M45" s="1" t="n">
        <f aca="false">M44+L45</f>
        <v>80.8</v>
      </c>
      <c r="N45" s="1" t="n">
        <v>-1.1</v>
      </c>
      <c r="O45" s="1" t="n">
        <f aca="false">O44+N45</f>
        <v>58</v>
      </c>
      <c r="P45" s="1" t="n">
        <v>40</v>
      </c>
      <c r="Q45" s="1" t="n">
        <f aca="false">0.35+((P45-8)/77)*(1-0.35)</f>
        <v>0.62012987012987</v>
      </c>
      <c r="R45" s="10" t="n">
        <f aca="false">Q45*L45</f>
        <v>0.744155844155844</v>
      </c>
      <c r="S45" s="10" t="n">
        <f aca="false">J45-R45</f>
        <v>-0.644155844155844</v>
      </c>
      <c r="T45" s="10" t="n">
        <f aca="false">MIN(122.1,(T44+S45))</f>
        <v>80.5144805194805</v>
      </c>
      <c r="V45" s="1" t="n">
        <v>899.6</v>
      </c>
      <c r="X45" s="1" t="n">
        <v>43752.3</v>
      </c>
      <c r="AA45" s="1" t="n">
        <v>11.0259574565276</v>
      </c>
    </row>
    <row r="46" customFormat="false" ht="15" hidden="false" customHeight="false" outlineLevel="0" collapsed="false">
      <c r="A46" s="7"/>
      <c r="B46" s="3"/>
      <c r="C46" s="8" t="n">
        <v>41927</v>
      </c>
      <c r="D46" s="1" t="n">
        <v>14.6</v>
      </c>
      <c r="E46" s="1" t="n">
        <v>10.9</v>
      </c>
      <c r="F46" s="1" t="n">
        <v>18.5</v>
      </c>
      <c r="G46" s="1" t="n">
        <v>660.6</v>
      </c>
      <c r="J46" s="1" t="n">
        <v>1.6</v>
      </c>
      <c r="K46" s="1" t="n">
        <f aca="false">K45+J46</f>
        <v>105.2</v>
      </c>
      <c r="L46" s="1" t="n">
        <v>1</v>
      </c>
      <c r="M46" s="1" t="n">
        <f aca="false">M45+L46</f>
        <v>81.8</v>
      </c>
      <c r="N46" s="1" t="n">
        <v>0.6</v>
      </c>
      <c r="O46" s="1" t="n">
        <f aca="false">O45+N46</f>
        <v>58.6</v>
      </c>
      <c r="P46" s="1" t="n">
        <v>41</v>
      </c>
      <c r="Q46" s="1" t="n">
        <f aca="false">0.35+((P46-8)/77)*(1-0.35)</f>
        <v>0.628571428571429</v>
      </c>
      <c r="R46" s="10" t="n">
        <f aca="false">Q46*L46</f>
        <v>0.628571428571429</v>
      </c>
      <c r="S46" s="10" t="n">
        <f aca="false">J46-R46</f>
        <v>0.971428571428572</v>
      </c>
      <c r="T46" s="10" t="n">
        <f aca="false">MIN(122.1,(T45+S46))</f>
        <v>81.4859090909091</v>
      </c>
      <c r="V46" s="1" t="n">
        <v>670.7</v>
      </c>
      <c r="X46" s="1" t="n">
        <v>44423</v>
      </c>
      <c r="AA46" s="1" t="n">
        <v>10.9708246980731</v>
      </c>
    </row>
    <row r="47" customFormat="false" ht="15" hidden="false" customHeight="false" outlineLevel="0" collapsed="false">
      <c r="A47" s="7"/>
      <c r="B47" s="3"/>
      <c r="C47" s="8" t="n">
        <v>41928</v>
      </c>
      <c r="D47" s="1" t="n">
        <v>15.7</v>
      </c>
      <c r="E47" s="1" t="n">
        <v>13</v>
      </c>
      <c r="F47" s="1" t="n">
        <v>17.4</v>
      </c>
      <c r="G47" s="1" t="n">
        <v>676.3</v>
      </c>
      <c r="J47" s="1" t="n">
        <v>12.3</v>
      </c>
      <c r="K47" s="1" t="n">
        <f aca="false">K46+J47</f>
        <v>117.5</v>
      </c>
      <c r="L47" s="1" t="n">
        <v>0.3</v>
      </c>
      <c r="M47" s="1" t="n">
        <f aca="false">M46+L47</f>
        <v>82.1</v>
      </c>
      <c r="N47" s="1" t="n">
        <v>12</v>
      </c>
      <c r="O47" s="1" t="n">
        <f aca="false">O46+N47</f>
        <v>70.6</v>
      </c>
      <c r="P47" s="1" t="n">
        <v>42</v>
      </c>
      <c r="Q47" s="1" t="n">
        <f aca="false">0.35+((P47-8)/77)*(1-0.35)</f>
        <v>0.637012987012987</v>
      </c>
      <c r="R47" s="10" t="n">
        <f aca="false">Q47*L47</f>
        <v>0.191103896103896</v>
      </c>
      <c r="S47" s="10" t="n">
        <f aca="false">J47-R47</f>
        <v>12.1088961038961</v>
      </c>
      <c r="T47" s="10" t="n">
        <f aca="false">MIN(122.1,(T46+S47))</f>
        <v>93.5948051948052</v>
      </c>
      <c r="V47" s="1" t="n">
        <v>180</v>
      </c>
      <c r="X47" s="1" t="n">
        <v>44603</v>
      </c>
      <c r="AA47" s="1" t="n">
        <v>10.9158253094635</v>
      </c>
    </row>
    <row r="48" customFormat="false" ht="15" hidden="false" customHeight="false" outlineLevel="0" collapsed="false">
      <c r="A48" s="7"/>
      <c r="B48" s="3"/>
      <c r="C48" s="8" t="n">
        <v>41929</v>
      </c>
      <c r="D48" s="1" t="n">
        <v>14.7</v>
      </c>
      <c r="E48" s="1" t="n">
        <v>12.8</v>
      </c>
      <c r="F48" s="1" t="n">
        <v>18.6</v>
      </c>
      <c r="G48" s="1" t="n">
        <v>691</v>
      </c>
      <c r="J48" s="1" t="n">
        <v>0.2</v>
      </c>
      <c r="K48" s="1" t="n">
        <f aca="false">K47+J48</f>
        <v>117.7</v>
      </c>
      <c r="L48" s="1" t="n">
        <v>1</v>
      </c>
      <c r="M48" s="1" t="n">
        <f aca="false">M47+L48</f>
        <v>83.1</v>
      </c>
      <c r="N48" s="1" t="n">
        <v>-0.8</v>
      </c>
      <c r="O48" s="1" t="n">
        <f aca="false">O47+N48</f>
        <v>69.8</v>
      </c>
      <c r="P48" s="1" t="n">
        <v>43</v>
      </c>
      <c r="Q48" s="1" t="n">
        <f aca="false">0.35+((P48-8)/77)*(1-0.35)</f>
        <v>0.645454545454546</v>
      </c>
      <c r="R48" s="10" t="n">
        <f aca="false">Q48*L48</f>
        <v>0.645454545454546</v>
      </c>
      <c r="S48" s="10" t="n">
        <f aca="false">J48-R48</f>
        <v>-0.445454545454546</v>
      </c>
      <c r="T48" s="10" t="n">
        <f aca="false">MIN(122.1,(T47+S48))</f>
        <v>93.1493506493507</v>
      </c>
      <c r="V48" s="1" t="n">
        <v>539.6</v>
      </c>
      <c r="X48" s="1" t="n">
        <v>45142.6</v>
      </c>
      <c r="AA48" s="1" t="n">
        <v>10.860969225838</v>
      </c>
    </row>
    <row r="49" customFormat="false" ht="15" hidden="false" customHeight="false" outlineLevel="0" collapsed="false">
      <c r="A49" s="7"/>
      <c r="B49" s="3"/>
      <c r="C49" s="8" t="n">
        <v>41930</v>
      </c>
      <c r="D49" s="1" t="n">
        <v>14.2</v>
      </c>
      <c r="E49" s="1" t="n">
        <v>9</v>
      </c>
      <c r="F49" s="1" t="n">
        <v>21.1</v>
      </c>
      <c r="G49" s="1" t="n">
        <v>705.2</v>
      </c>
      <c r="J49" s="1" t="n">
        <v>0.1</v>
      </c>
      <c r="K49" s="1" t="n">
        <f aca="false">K48+J49</f>
        <v>117.8</v>
      </c>
      <c r="L49" s="1" t="n">
        <v>2.1</v>
      </c>
      <c r="M49" s="1" t="n">
        <f aca="false">M48+L49</f>
        <v>85.2</v>
      </c>
      <c r="N49" s="1" t="n">
        <v>-2</v>
      </c>
      <c r="O49" s="1" t="n">
        <f aca="false">O48+N49</f>
        <v>67.8</v>
      </c>
      <c r="P49" s="1" t="n">
        <v>44</v>
      </c>
      <c r="Q49" s="1" t="n">
        <f aca="false">0.35+((P49-8)/77)*(1-0.35)</f>
        <v>0.653896103896104</v>
      </c>
      <c r="R49" s="10" t="n">
        <f aca="false">Q49*L49</f>
        <v>1.37318181818182</v>
      </c>
      <c r="S49" s="10" t="n">
        <f aca="false">J49-R49</f>
        <v>-1.27318181818182</v>
      </c>
      <c r="T49" s="10" t="n">
        <f aca="false">MIN(122.1,(T48+S49))</f>
        <v>91.8761688311688</v>
      </c>
      <c r="V49" s="1" t="n">
        <v>1319.1</v>
      </c>
      <c r="X49" s="1" t="n">
        <v>46461.7</v>
      </c>
      <c r="AA49" s="1" t="n">
        <v>10.8062667827186</v>
      </c>
    </row>
    <row r="50" customFormat="false" ht="15" hidden="false" customHeight="false" outlineLevel="0" collapsed="false">
      <c r="A50" s="7"/>
      <c r="B50" s="3"/>
      <c r="C50" s="8" t="n">
        <v>41931</v>
      </c>
      <c r="D50" s="1" t="n">
        <v>16.2</v>
      </c>
      <c r="E50" s="1" t="n">
        <v>11</v>
      </c>
      <c r="F50" s="1" t="n">
        <v>22.7</v>
      </c>
      <c r="G50" s="1" t="n">
        <v>721.4</v>
      </c>
      <c r="J50" s="1" t="n">
        <v>0</v>
      </c>
      <c r="K50" s="1" t="n">
        <f aca="false">K49+J50</f>
        <v>117.8</v>
      </c>
      <c r="L50" s="1" t="n">
        <v>2</v>
      </c>
      <c r="M50" s="1" t="n">
        <f aca="false">M49+L50</f>
        <v>87.2</v>
      </c>
      <c r="N50" s="1" t="n">
        <v>-2</v>
      </c>
      <c r="O50" s="1" t="n">
        <f aca="false">O49+N50</f>
        <v>65.8</v>
      </c>
      <c r="P50" s="1" t="n">
        <v>45</v>
      </c>
      <c r="Q50" s="1" t="n">
        <f aca="false">0.35+((P50-8)/77)*(1-0.35)</f>
        <v>0.662337662337662</v>
      </c>
      <c r="R50" s="10" t="n">
        <f aca="false">Q50*L50</f>
        <v>1.32467532467532</v>
      </c>
      <c r="S50" s="10" t="n">
        <f aca="false">J50-R50</f>
        <v>-1.32467532467532</v>
      </c>
      <c r="T50" s="10" t="n">
        <f aca="false">MIN(122.1,(T49+S50))</f>
        <v>90.5514935064935</v>
      </c>
      <c r="V50" s="1" t="n">
        <v>1123.2</v>
      </c>
      <c r="X50" s="1" t="n">
        <v>47584.9</v>
      </c>
      <c r="AA50" s="1" t="n">
        <v>10.7517287328947</v>
      </c>
    </row>
    <row r="51" customFormat="false" ht="15" hidden="false" customHeight="false" outlineLevel="0" collapsed="false">
      <c r="A51" s="7"/>
      <c r="B51" s="3"/>
      <c r="C51" s="8" t="n">
        <v>41932</v>
      </c>
      <c r="D51" s="1" t="n">
        <v>16.8</v>
      </c>
      <c r="E51" s="1" t="n">
        <v>13.8</v>
      </c>
      <c r="F51" s="1" t="n">
        <v>21.3</v>
      </c>
      <c r="G51" s="1" t="n">
        <v>738.2</v>
      </c>
      <c r="J51" s="1" t="n">
        <v>6.9</v>
      </c>
      <c r="K51" s="1" t="n">
        <f aca="false">K50+J51</f>
        <v>124.7</v>
      </c>
      <c r="L51" s="1" t="n">
        <v>0.6</v>
      </c>
      <c r="M51" s="1" t="n">
        <f aca="false">M50+L51</f>
        <v>87.8</v>
      </c>
      <c r="N51" s="1" t="n">
        <v>6.3</v>
      </c>
      <c r="O51" s="1" t="n">
        <f aca="false">O50+N51</f>
        <v>72.1</v>
      </c>
      <c r="P51" s="1" t="n">
        <v>46</v>
      </c>
      <c r="Q51" s="1" t="n">
        <f aca="false">0.35+((P51-8)/77)*(1-0.35)</f>
        <v>0.670779220779221</v>
      </c>
      <c r="R51" s="10" t="n">
        <f aca="false">Q51*L51</f>
        <v>0.402467532467532</v>
      </c>
      <c r="S51" s="10" t="n">
        <f aca="false">J51-R51</f>
        <v>6.49753246753247</v>
      </c>
      <c r="T51" s="10" t="n">
        <f aca="false">MIN(122.1,(T50+S51))</f>
        <v>97.049025974026</v>
      </c>
      <c r="V51" s="1" t="n">
        <v>502.6</v>
      </c>
      <c r="X51" s="1" t="n">
        <v>48087.5</v>
      </c>
      <c r="AA51" s="1" t="n">
        <v>10.6973662630909</v>
      </c>
    </row>
    <row r="52" customFormat="false" ht="15" hidden="false" customHeight="false" outlineLevel="0" collapsed="false">
      <c r="A52" s="7"/>
      <c r="B52" s="3"/>
      <c r="C52" s="8" t="n">
        <v>41933</v>
      </c>
      <c r="D52" s="1" t="n">
        <v>14.1</v>
      </c>
      <c r="E52" s="1" t="n">
        <v>12.2</v>
      </c>
      <c r="F52" s="1" t="n">
        <v>18.2</v>
      </c>
      <c r="G52" s="1" t="n">
        <v>752.3</v>
      </c>
      <c r="J52" s="1" t="n">
        <v>2.8</v>
      </c>
      <c r="K52" s="1" t="n">
        <f aca="false">K51+J52</f>
        <v>127.5</v>
      </c>
      <c r="L52" s="1" t="n">
        <v>1.3</v>
      </c>
      <c r="M52" s="1" t="n">
        <f aca="false">M51+L52</f>
        <v>89.1</v>
      </c>
      <c r="N52" s="1" t="n">
        <v>1.5</v>
      </c>
      <c r="O52" s="1" t="n">
        <f aca="false">O51+N52</f>
        <v>73.6</v>
      </c>
      <c r="P52" s="1" t="n">
        <v>47</v>
      </c>
      <c r="Q52" s="1" t="n">
        <f aca="false">0.35+((P52-8)/77)*(1-0.35)</f>
        <v>0.679220779220779</v>
      </c>
      <c r="R52" s="10" t="n">
        <f aca="false">Q52*L52</f>
        <v>0.882987012987013</v>
      </c>
      <c r="S52" s="10" t="n">
        <f aca="false">J52-R52</f>
        <v>1.91701298701299</v>
      </c>
      <c r="T52" s="10" t="n">
        <f aca="false">MIN(122.1,(T51+S52))</f>
        <v>98.966038961039</v>
      </c>
      <c r="V52" s="1" t="n">
        <v>481.4</v>
      </c>
      <c r="X52" s="1" t="n">
        <v>48568.9</v>
      </c>
      <c r="AA52" s="1" t="n">
        <v>10.6431910103682</v>
      </c>
    </row>
    <row r="53" customFormat="false" ht="15" hidden="false" customHeight="false" outlineLevel="0" collapsed="false">
      <c r="A53" s="7"/>
      <c r="B53" s="3"/>
      <c r="C53" s="8" t="n">
        <v>41934</v>
      </c>
      <c r="D53" s="1" t="n">
        <v>8.5</v>
      </c>
      <c r="E53" s="1" t="n">
        <v>6.8</v>
      </c>
      <c r="F53" s="1" t="n">
        <v>11.3</v>
      </c>
      <c r="G53" s="1" t="n">
        <v>760.8</v>
      </c>
      <c r="J53" s="1" t="n">
        <v>0.4</v>
      </c>
      <c r="K53" s="1" t="n">
        <f aca="false">K52+J53</f>
        <v>127.9</v>
      </c>
      <c r="L53" s="1" t="n">
        <v>1.2</v>
      </c>
      <c r="M53" s="1" t="n">
        <f aca="false">M52+L53</f>
        <v>90.3</v>
      </c>
      <c r="N53" s="1" t="n">
        <v>-0.8</v>
      </c>
      <c r="O53" s="1" t="n">
        <f aca="false">O52+N53</f>
        <v>72.8</v>
      </c>
      <c r="P53" s="1" t="n">
        <v>48</v>
      </c>
      <c r="Q53" s="1" t="n">
        <f aca="false">0.35+((P53-8)/77)*(1-0.35)</f>
        <v>0.687662337662338</v>
      </c>
      <c r="R53" s="10" t="n">
        <f aca="false">Q53*L53</f>
        <v>0.825194805194805</v>
      </c>
      <c r="S53" s="10" t="n">
        <f aca="false">J53-R53</f>
        <v>-0.425194805194805</v>
      </c>
      <c r="T53" s="10" t="n">
        <f aca="false">MIN(122.1,(T52+S53))</f>
        <v>98.5408441558442</v>
      </c>
      <c r="V53" s="1" t="n">
        <v>526.6</v>
      </c>
      <c r="X53" s="1" t="n">
        <v>49095.5</v>
      </c>
      <c r="AA53" s="1" t="n">
        <v>10.5892150782014</v>
      </c>
    </row>
    <row r="54" customFormat="false" ht="15" hidden="false" customHeight="false" outlineLevel="0" collapsed="false">
      <c r="A54" s="7"/>
      <c r="B54" s="3"/>
      <c r="C54" s="8" t="n">
        <v>41935</v>
      </c>
      <c r="D54" s="1" t="n">
        <v>7.8</v>
      </c>
      <c r="E54" s="1" t="n">
        <v>6</v>
      </c>
      <c r="F54" s="1" t="n">
        <v>10.9</v>
      </c>
      <c r="G54" s="1" t="n">
        <v>768.6</v>
      </c>
      <c r="J54" s="1" t="n">
        <v>0</v>
      </c>
      <c r="K54" s="1" t="n">
        <f aca="false">K53+J54</f>
        <v>127.9</v>
      </c>
      <c r="L54" s="1" t="n">
        <v>0.5</v>
      </c>
      <c r="M54" s="1" t="n">
        <f aca="false">M53+L54</f>
        <v>90.8</v>
      </c>
      <c r="N54" s="1" t="n">
        <v>-0.5</v>
      </c>
      <c r="O54" s="1" t="n">
        <f aca="false">O53+N54</f>
        <v>72.3</v>
      </c>
      <c r="P54" s="1" t="n">
        <v>49</v>
      </c>
      <c r="Q54" s="1" t="n">
        <f aca="false">0.35+((P54-8)/77)*(1-0.35)</f>
        <v>0.696103896103896</v>
      </c>
      <c r="R54" s="10" t="n">
        <f aca="false">Q54*L54</f>
        <v>0.348051948051948</v>
      </c>
      <c r="S54" s="10" t="n">
        <f aca="false">J54-R54</f>
        <v>-0.348051948051948</v>
      </c>
      <c r="T54" s="10" t="n">
        <f aca="false">MIN(122.1,(T53+S54))</f>
        <v>98.1927922077922</v>
      </c>
      <c r="V54" s="1" t="n">
        <v>376.8</v>
      </c>
      <c r="X54" s="1" t="n">
        <v>49472.3</v>
      </c>
      <c r="AA54" s="1" t="n">
        <v>10.5354510521725</v>
      </c>
    </row>
    <row r="55" customFormat="false" ht="15" hidden="false" customHeight="false" outlineLevel="0" collapsed="false">
      <c r="A55" s="7"/>
      <c r="B55" s="3"/>
      <c r="C55" s="8" t="n">
        <v>41936</v>
      </c>
      <c r="D55" s="1" t="n">
        <v>8.5</v>
      </c>
      <c r="E55" s="1" t="n">
        <v>3.7</v>
      </c>
      <c r="F55" s="1" t="n">
        <v>12.6</v>
      </c>
      <c r="G55" s="1" t="n">
        <v>777.1</v>
      </c>
      <c r="J55" s="1" t="n">
        <v>0</v>
      </c>
      <c r="K55" s="1" t="n">
        <f aca="false">K54+J55</f>
        <v>127.9</v>
      </c>
      <c r="L55" s="1" t="n">
        <v>1.1</v>
      </c>
      <c r="M55" s="1" t="n">
        <f aca="false">M54+L55</f>
        <v>91.9</v>
      </c>
      <c r="N55" s="1" t="n">
        <v>-1.1</v>
      </c>
      <c r="O55" s="1" t="n">
        <f aca="false">O54+N55</f>
        <v>71.2</v>
      </c>
      <c r="P55" s="1" t="n">
        <v>50</v>
      </c>
      <c r="Q55" s="1" t="n">
        <f aca="false">0.35+((P55-8)/77)*(1-0.35)</f>
        <v>0.704545454545455</v>
      </c>
      <c r="R55" s="10" t="n">
        <f aca="false">Q55*L55</f>
        <v>0.775</v>
      </c>
      <c r="S55" s="10" t="n">
        <f aca="false">J55-R55</f>
        <v>-0.775</v>
      </c>
      <c r="T55" s="10" t="n">
        <f aca="false">MIN(122.1,(T54+S55))</f>
        <v>97.4177922077922</v>
      </c>
      <c r="V55" s="1" t="n">
        <v>934.5</v>
      </c>
      <c r="X55" s="1" t="n">
        <v>50406.8</v>
      </c>
      <c r="AA55" s="1" t="n">
        <v>10.4819120152137</v>
      </c>
    </row>
    <row r="56" customFormat="false" ht="15" hidden="false" customHeight="false" outlineLevel="0" collapsed="false">
      <c r="A56" s="7"/>
      <c r="B56" s="3"/>
      <c r="C56" s="8" t="n">
        <v>41937</v>
      </c>
      <c r="D56" s="1" t="n">
        <v>10.9</v>
      </c>
      <c r="E56" s="1" t="n">
        <v>7</v>
      </c>
      <c r="F56" s="1" t="n">
        <v>15</v>
      </c>
      <c r="G56" s="1" t="n">
        <v>788</v>
      </c>
      <c r="J56" s="1" t="n">
        <v>0</v>
      </c>
      <c r="K56" s="1" t="n">
        <f aca="false">K55+J56</f>
        <v>127.9</v>
      </c>
      <c r="L56" s="1" t="n">
        <v>0.7</v>
      </c>
      <c r="M56" s="1" t="n">
        <f aca="false">M55+L56</f>
        <v>92.6</v>
      </c>
      <c r="N56" s="1" t="n">
        <v>-0.7</v>
      </c>
      <c r="O56" s="1" t="n">
        <f aca="false">O55+N56</f>
        <v>70.5</v>
      </c>
      <c r="P56" s="1" t="n">
        <v>51</v>
      </c>
      <c r="Q56" s="1" t="n">
        <f aca="false">0.35+((P56-8)/77)*(1-0.35)</f>
        <v>0.712987012987013</v>
      </c>
      <c r="R56" s="10" t="n">
        <f aca="false">Q56*L56</f>
        <v>0.499090909090909</v>
      </c>
      <c r="S56" s="10" t="n">
        <f aca="false">J56-R56</f>
        <v>-0.499090909090909</v>
      </c>
      <c r="T56" s="10" t="n">
        <f aca="false">MIN(122.1,(T55+S56))</f>
        <v>96.9187012987013</v>
      </c>
      <c r="V56" s="1" t="n">
        <v>502.8</v>
      </c>
      <c r="X56" s="1" t="n">
        <v>50909.6</v>
      </c>
      <c r="AA56" s="1" t="n">
        <v>10.4286115623264</v>
      </c>
    </row>
    <row r="57" customFormat="false" ht="15" hidden="false" customHeight="false" outlineLevel="0" collapsed="false">
      <c r="A57" s="7"/>
      <c r="B57" s="3"/>
      <c r="C57" s="8" t="n">
        <v>41938</v>
      </c>
      <c r="D57" s="1" t="n">
        <v>10.7</v>
      </c>
      <c r="E57" s="1" t="n">
        <v>6.8</v>
      </c>
      <c r="F57" s="1" t="n">
        <v>16.4</v>
      </c>
      <c r="G57" s="1" t="n">
        <v>798.7</v>
      </c>
      <c r="J57" s="1" t="n">
        <v>0</v>
      </c>
      <c r="K57" s="1" t="n">
        <f aca="false">K56+J57</f>
        <v>127.9</v>
      </c>
      <c r="L57" s="1" t="n">
        <v>1.3</v>
      </c>
      <c r="M57" s="1" t="n">
        <f aca="false">M56+L57</f>
        <v>93.9</v>
      </c>
      <c r="N57" s="1" t="n">
        <v>-1.3</v>
      </c>
      <c r="O57" s="1" t="n">
        <f aca="false">O56+N57</f>
        <v>69.2</v>
      </c>
      <c r="P57" s="1" t="n">
        <v>52</v>
      </c>
      <c r="Q57" s="1" t="n">
        <f aca="false">0.35+((P57-8)/77)*(1-0.35)</f>
        <v>0.721428571428571</v>
      </c>
      <c r="R57" s="10" t="n">
        <f aca="false">Q57*L57</f>
        <v>0.937857142857143</v>
      </c>
      <c r="S57" s="10" t="n">
        <f aca="false">J57-R57</f>
        <v>-0.937857142857143</v>
      </c>
      <c r="T57" s="10" t="n">
        <f aca="false">MIN(122.1,(T56+S57))</f>
        <v>95.9808441558442</v>
      </c>
      <c r="V57" s="1" t="n">
        <v>1021</v>
      </c>
      <c r="X57" s="1" t="n">
        <v>51930.6</v>
      </c>
      <c r="AA57" s="1" t="n">
        <v>10.3755638147004</v>
      </c>
    </row>
    <row r="58" customFormat="false" ht="15" hidden="false" customHeight="false" outlineLevel="0" collapsed="false">
      <c r="A58" s="7"/>
      <c r="B58" s="3"/>
      <c r="C58" s="8" t="n">
        <v>41939</v>
      </c>
      <c r="D58" s="1" t="n">
        <v>8.8</v>
      </c>
      <c r="E58" s="1" t="n">
        <v>7.3</v>
      </c>
      <c r="F58" s="1" t="n">
        <v>10.1</v>
      </c>
      <c r="G58" s="1" t="n">
        <v>807.5</v>
      </c>
      <c r="J58" s="1" t="n">
        <v>0</v>
      </c>
      <c r="K58" s="1" t="n">
        <f aca="false">K57+J58</f>
        <v>127.9</v>
      </c>
      <c r="L58" s="1" t="n">
        <v>0.2</v>
      </c>
      <c r="M58" s="1" t="n">
        <f aca="false">M57+L58</f>
        <v>94.1</v>
      </c>
      <c r="N58" s="1" t="n">
        <v>-0.2</v>
      </c>
      <c r="O58" s="1" t="n">
        <f aca="false">O57+N58</f>
        <v>69</v>
      </c>
      <c r="P58" s="1" t="n">
        <v>53</v>
      </c>
      <c r="Q58" s="1" t="n">
        <f aca="false">0.35+((P58-8)/77)*(1-0.35)</f>
        <v>0.72987012987013</v>
      </c>
      <c r="R58" s="10" t="n">
        <f aca="false">Q58*L58</f>
        <v>0.145974025974026</v>
      </c>
      <c r="S58" s="10" t="n">
        <f aca="false">J58-R58</f>
        <v>-0.145974025974026</v>
      </c>
      <c r="T58" s="10" t="n">
        <f aca="false">MIN(122.1,(T57+S58))</f>
        <v>95.8348701298701</v>
      </c>
      <c r="V58" s="1" t="n">
        <v>192.2</v>
      </c>
      <c r="X58" s="1" t="n">
        <v>52122.8</v>
      </c>
      <c r="AA58" s="1" t="n">
        <v>10.3227834331477</v>
      </c>
    </row>
    <row r="59" customFormat="false" ht="15" hidden="false" customHeight="false" outlineLevel="0" collapsed="false">
      <c r="A59" s="7"/>
      <c r="B59" s="3"/>
      <c r="C59" s="8" t="n">
        <v>41940</v>
      </c>
      <c r="D59" s="1" t="n">
        <v>8.9</v>
      </c>
      <c r="E59" s="1" t="n">
        <v>7.4</v>
      </c>
      <c r="F59" s="1" t="n">
        <v>11.6</v>
      </c>
      <c r="G59" s="1" t="n">
        <v>816.4</v>
      </c>
      <c r="J59" s="1" t="n">
        <v>0.4</v>
      </c>
      <c r="K59" s="1" t="n">
        <f aca="false">K58+J59</f>
        <v>128.3</v>
      </c>
      <c r="L59" s="1" t="n">
        <v>0.8</v>
      </c>
      <c r="M59" s="1" t="n">
        <f aca="false">M58+L59</f>
        <v>94.9</v>
      </c>
      <c r="N59" s="1" t="n">
        <v>-0.4</v>
      </c>
      <c r="O59" s="1" t="n">
        <f aca="false">O58+N59</f>
        <v>68.6</v>
      </c>
      <c r="P59" s="1" t="n">
        <v>54</v>
      </c>
      <c r="Q59" s="1" t="n">
        <f aca="false">0.35+((P59-8)/77)*(1-0.35)</f>
        <v>0.738311688311688</v>
      </c>
      <c r="R59" s="10" t="n">
        <f aca="false">Q59*L59</f>
        <v>0.590649350649351</v>
      </c>
      <c r="S59" s="10" t="n">
        <f aca="false">J59-R59</f>
        <v>-0.190649350649351</v>
      </c>
      <c r="T59" s="10" t="n">
        <f aca="false">MIN(122.1,(T58+S59))</f>
        <v>95.6442207792208</v>
      </c>
      <c r="V59" s="1" t="n">
        <v>449.5</v>
      </c>
      <c r="X59" s="1" t="n">
        <v>52572.3</v>
      </c>
      <c r="AA59" s="1" t="n">
        <v>10.2702856307623</v>
      </c>
    </row>
    <row r="60" customFormat="false" ht="15" hidden="false" customHeight="false" outlineLevel="0" collapsed="false">
      <c r="A60" s="7"/>
      <c r="B60" s="3"/>
      <c r="C60" s="8" t="n">
        <v>41941</v>
      </c>
      <c r="D60" s="1" t="n">
        <v>8</v>
      </c>
      <c r="E60" s="1" t="n">
        <v>5.7</v>
      </c>
      <c r="F60" s="1" t="n">
        <v>9.4</v>
      </c>
      <c r="G60" s="1" t="n">
        <v>824.4</v>
      </c>
      <c r="J60" s="1" t="n">
        <v>0.2</v>
      </c>
      <c r="K60" s="1" t="n">
        <f aca="false">K59+J60</f>
        <v>128.5</v>
      </c>
      <c r="L60" s="1" t="n">
        <v>0.3</v>
      </c>
      <c r="M60" s="1" t="n">
        <f aca="false">M59+L60</f>
        <v>95.2</v>
      </c>
      <c r="N60" s="1" t="n">
        <v>-0.1</v>
      </c>
      <c r="O60" s="1" t="n">
        <f aca="false">O59+N60</f>
        <v>68.5</v>
      </c>
      <c r="P60" s="1" t="n">
        <v>55</v>
      </c>
      <c r="Q60" s="1" t="n">
        <f aca="false">0.35+((P60-8)/77)*(1-0.35)</f>
        <v>0.746753246753247</v>
      </c>
      <c r="R60" s="10" t="n">
        <f aca="false">Q60*L60</f>
        <v>0.224025974025974</v>
      </c>
      <c r="S60" s="10" t="n">
        <f aca="false">J60-R60</f>
        <v>-0.024025974025974</v>
      </c>
      <c r="T60" s="10" t="n">
        <f aca="false">MIN(122.1,(T59+S60))</f>
        <v>95.6201948051948</v>
      </c>
      <c r="V60" s="1" t="n">
        <v>261.4</v>
      </c>
      <c r="X60" s="1" t="n">
        <v>52833.7</v>
      </c>
      <c r="AA60" s="1" t="n">
        <v>10.2180861847098</v>
      </c>
    </row>
    <row r="61" customFormat="false" ht="15" hidden="false" customHeight="false" outlineLevel="0" collapsed="false">
      <c r="A61" s="7"/>
      <c r="B61" s="3"/>
      <c r="C61" s="8" t="n">
        <v>41942</v>
      </c>
      <c r="D61" s="1" t="n">
        <v>9.4</v>
      </c>
      <c r="E61" s="1" t="n">
        <v>8.1</v>
      </c>
      <c r="F61" s="1" t="n">
        <v>11.9</v>
      </c>
      <c r="G61" s="1" t="n">
        <v>833.8</v>
      </c>
      <c r="J61" s="1" t="n">
        <v>0.5</v>
      </c>
      <c r="K61" s="1" t="n">
        <f aca="false">K60+J61</f>
        <v>129</v>
      </c>
      <c r="L61" s="1" t="n">
        <v>0.5</v>
      </c>
      <c r="M61" s="1" t="n">
        <f aca="false">M60+L61</f>
        <v>95.7</v>
      </c>
      <c r="N61" s="1" t="n">
        <v>0</v>
      </c>
      <c r="O61" s="1" t="n">
        <f aca="false">O60+N61</f>
        <v>68.5</v>
      </c>
      <c r="P61" s="1" t="n">
        <v>56</v>
      </c>
      <c r="Q61" s="1" t="n">
        <f aca="false">0.35+((P61-8)/77)*(1-0.35)</f>
        <v>0.755194805194805</v>
      </c>
      <c r="R61" s="10" t="n">
        <f aca="false">Q61*L61</f>
        <v>0.377597402597403</v>
      </c>
      <c r="S61" s="10" t="n">
        <f aca="false">J61-R61</f>
        <v>0.122402597402597</v>
      </c>
      <c r="T61" s="10" t="n">
        <f aca="false">MIN(122.1,(T60+S61))</f>
        <v>95.7425974025974</v>
      </c>
      <c r="V61" s="1" t="n">
        <v>395.6</v>
      </c>
      <c r="X61" s="1" t="n">
        <v>53229.3</v>
      </c>
      <c r="AA61" s="1" t="n">
        <v>10.166201447046</v>
      </c>
    </row>
    <row r="62" customFormat="false" ht="15" hidden="false" customHeight="false" outlineLevel="0" collapsed="false">
      <c r="A62" s="7"/>
      <c r="B62" s="3"/>
      <c r="C62" s="8" t="n">
        <v>41943</v>
      </c>
      <c r="D62" s="1" t="n">
        <v>8.1</v>
      </c>
      <c r="E62" s="1" t="n">
        <v>7.1</v>
      </c>
      <c r="F62" s="1" t="n">
        <v>9.2</v>
      </c>
      <c r="G62" s="1" t="n">
        <v>841.9</v>
      </c>
      <c r="J62" s="1" t="n">
        <v>0.1</v>
      </c>
      <c r="K62" s="1" t="n">
        <f aca="false">K61+J62</f>
        <v>129.1</v>
      </c>
      <c r="L62" s="1" t="n">
        <v>0.4</v>
      </c>
      <c r="M62" s="1" t="n">
        <f aca="false">M61+L62</f>
        <v>96.1</v>
      </c>
      <c r="N62" s="1" t="n">
        <v>-0.3</v>
      </c>
      <c r="O62" s="1" t="n">
        <f aca="false">O61+N62</f>
        <v>68.2</v>
      </c>
      <c r="P62" s="1" t="n">
        <v>57</v>
      </c>
      <c r="Q62" s="1" t="n">
        <f aca="false">0.35+((P62-8)/77)*(1-0.35)</f>
        <v>0.763636363636364</v>
      </c>
      <c r="R62" s="10" t="n">
        <f aca="false">Q62*L62</f>
        <v>0.305454545454546</v>
      </c>
      <c r="S62" s="10" t="n">
        <f aca="false">J62-R62</f>
        <v>-0.205454545454545</v>
      </c>
      <c r="T62" s="10" t="n">
        <f aca="false">MIN(122.1,(T61+S62))</f>
        <v>95.5371428571429</v>
      </c>
      <c r="V62" s="1" t="n">
        <v>308.4</v>
      </c>
      <c r="X62" s="1" t="n">
        <v>53537.7</v>
      </c>
      <c r="AA62" s="1" t="n">
        <v>10.1146483544551</v>
      </c>
    </row>
    <row r="63" customFormat="false" ht="15" hidden="false" customHeight="false" outlineLevel="0" collapsed="false">
      <c r="A63" s="7"/>
      <c r="B63" s="3"/>
      <c r="C63" s="8" t="n">
        <v>41944</v>
      </c>
      <c r="D63" s="1" t="n">
        <v>7.9</v>
      </c>
      <c r="E63" s="1" t="n">
        <v>5.8</v>
      </c>
      <c r="F63" s="1" t="n">
        <v>11</v>
      </c>
      <c r="G63" s="1" t="n">
        <v>849.8</v>
      </c>
      <c r="J63" s="1" t="n">
        <v>0.1</v>
      </c>
      <c r="K63" s="1" t="n">
        <f aca="false">K62+J63</f>
        <v>129.2</v>
      </c>
      <c r="L63" s="1" t="n">
        <v>0.8</v>
      </c>
      <c r="M63" s="1" t="n">
        <f aca="false">M62+L63</f>
        <v>96.9</v>
      </c>
      <c r="N63" s="1" t="n">
        <v>-0.7</v>
      </c>
      <c r="O63" s="1" t="n">
        <f aca="false">O62+N63</f>
        <v>67.5</v>
      </c>
      <c r="P63" s="1" t="n">
        <v>58</v>
      </c>
      <c r="Q63" s="1" t="n">
        <f aca="false">0.35+((P63-8)/77)*(1-0.35)</f>
        <v>0.772077922077922</v>
      </c>
      <c r="R63" s="10" t="n">
        <f aca="false">Q63*L63</f>
        <v>0.617662337662338</v>
      </c>
      <c r="S63" s="10" t="n">
        <f aca="false">J63-R63</f>
        <v>-0.517662337662338</v>
      </c>
      <c r="T63" s="10" t="n">
        <f aca="false">MIN(122.1,(T62+S63))</f>
        <v>95.0194805194805</v>
      </c>
      <c r="V63" s="1" t="n">
        <v>494.1</v>
      </c>
      <c r="X63" s="1" t="n">
        <v>54031.8</v>
      </c>
      <c r="AA63" s="1" t="n">
        <v>10.0634444367965</v>
      </c>
    </row>
    <row r="64" customFormat="false" ht="15" hidden="false" customHeight="false" outlineLevel="0" collapsed="false">
      <c r="A64" s="7"/>
      <c r="B64" s="3"/>
      <c r="C64" s="8" t="n">
        <v>41945</v>
      </c>
      <c r="D64" s="1" t="n">
        <v>10.5</v>
      </c>
      <c r="E64" s="1" t="n">
        <v>5.5</v>
      </c>
      <c r="F64" s="1" t="n">
        <v>15.2</v>
      </c>
      <c r="G64" s="1" t="n">
        <v>860.3</v>
      </c>
      <c r="J64" s="1" t="n">
        <v>7.5</v>
      </c>
      <c r="K64" s="1" t="n">
        <f aca="false">K63+J64</f>
        <v>136.7</v>
      </c>
      <c r="L64" s="1" t="n">
        <v>0.7</v>
      </c>
      <c r="M64" s="1" t="n">
        <f aca="false">M63+L64</f>
        <v>97.6</v>
      </c>
      <c r="N64" s="1" t="n">
        <v>6.8</v>
      </c>
      <c r="O64" s="1" t="n">
        <f aca="false">O63+N64</f>
        <v>74.3</v>
      </c>
      <c r="P64" s="1" t="n">
        <v>59</v>
      </c>
      <c r="Q64" s="1" t="n">
        <f aca="false">0.35+((P64-8)/77)*(1-0.35)</f>
        <v>0.780519480519481</v>
      </c>
      <c r="R64" s="10" t="n">
        <f aca="false">Q64*L64</f>
        <v>0.546363636363636</v>
      </c>
      <c r="S64" s="10" t="n">
        <f aca="false">J64-R64</f>
        <v>6.95363636363636</v>
      </c>
      <c r="T64" s="10" t="n">
        <f aca="false">MIN(122.1,(T63+S64))</f>
        <v>101.973116883117</v>
      </c>
      <c r="V64" s="1" t="n">
        <v>316.6</v>
      </c>
      <c r="X64" s="1" t="n">
        <v>54348.4</v>
      </c>
      <c r="AA64" s="1" t="n">
        <v>10.0126078243393</v>
      </c>
    </row>
    <row r="65" customFormat="false" ht="15" hidden="false" customHeight="false" outlineLevel="0" collapsed="false">
      <c r="A65" s="7"/>
      <c r="B65" s="3"/>
      <c r="C65" s="8" t="n">
        <v>41946</v>
      </c>
      <c r="D65" s="1" t="n">
        <v>13.3</v>
      </c>
      <c r="E65" s="1" t="n">
        <v>11.3</v>
      </c>
      <c r="F65" s="1" t="n">
        <v>15.2</v>
      </c>
      <c r="G65" s="1" t="n">
        <v>873.6</v>
      </c>
      <c r="J65" s="1" t="n">
        <v>54.3</v>
      </c>
      <c r="K65" s="1" t="n">
        <f aca="false">K64+J65</f>
        <v>191</v>
      </c>
      <c r="L65" s="1" t="n">
        <v>1</v>
      </c>
      <c r="M65" s="1" t="n">
        <f aca="false">M64+L65</f>
        <v>98.6</v>
      </c>
      <c r="N65" s="1" t="n">
        <v>53.3</v>
      </c>
      <c r="O65" s="1" t="n">
        <v>122.1</v>
      </c>
      <c r="P65" s="1" t="n">
        <v>60</v>
      </c>
      <c r="Q65" s="1" t="n">
        <f aca="false">0.35+((P65-8)/77)*(1-0.35)</f>
        <v>0.788961038961039</v>
      </c>
      <c r="R65" s="10" t="n">
        <f aca="false">Q65*L65</f>
        <v>0.788961038961039</v>
      </c>
      <c r="S65" s="10" t="n">
        <f aca="false">J65-R65</f>
        <v>53.511038961039</v>
      </c>
      <c r="T65" s="10" t="n">
        <f aca="false">MIN(122.1,(T64+S65))</f>
        <v>122.1</v>
      </c>
      <c r="V65" s="1" t="n">
        <v>134.2</v>
      </c>
      <c r="X65" s="1" t="n">
        <v>54482.6</v>
      </c>
      <c r="AA65" s="1" t="n">
        <v>9.96215725356092</v>
      </c>
    </row>
    <row r="66" customFormat="false" ht="15" hidden="false" customHeight="false" outlineLevel="0" collapsed="false">
      <c r="A66" s="7"/>
      <c r="B66" s="3"/>
      <c r="C66" s="8" t="n">
        <v>41947</v>
      </c>
      <c r="D66" s="1" t="n">
        <v>10.1</v>
      </c>
      <c r="E66" s="1" t="n">
        <v>8.5</v>
      </c>
      <c r="F66" s="1" t="n">
        <v>11.8</v>
      </c>
      <c r="G66" s="1" t="n">
        <v>883.7</v>
      </c>
      <c r="J66" s="1" t="n">
        <v>47.9</v>
      </c>
      <c r="K66" s="1" t="n">
        <f aca="false">K65+J66</f>
        <v>238.9</v>
      </c>
      <c r="L66" s="1" t="n">
        <v>0.5</v>
      </c>
      <c r="M66" s="1" t="n">
        <f aca="false">M65+L66</f>
        <v>99.1</v>
      </c>
      <c r="N66" s="1" t="n">
        <v>47.4</v>
      </c>
      <c r="O66" s="1" t="n">
        <v>122.1</v>
      </c>
      <c r="P66" s="1" t="n">
        <v>61</v>
      </c>
      <c r="Q66" s="1" t="n">
        <f aca="false">0.35+((P66-8)/77)*(1-0.35)</f>
        <v>0.797402597402597</v>
      </c>
      <c r="R66" s="10" t="n">
        <f aca="false">Q66*L66</f>
        <v>0.398701298701299</v>
      </c>
      <c r="S66" s="10" t="n">
        <f aca="false">J66-R66</f>
        <v>47.5012987012987</v>
      </c>
      <c r="T66" s="10" t="n">
        <f aca="false">MIN(122.1,(T65+S66))</f>
        <v>122.1</v>
      </c>
      <c r="V66" s="1" t="n">
        <v>136.6</v>
      </c>
      <c r="X66" s="1" t="n">
        <v>54619.2</v>
      </c>
      <c r="AA66" s="1" t="n">
        <v>9.91211207138021</v>
      </c>
    </row>
    <row r="67" customFormat="false" ht="15" hidden="false" customHeight="false" outlineLevel="0" collapsed="false">
      <c r="A67" s="7"/>
      <c r="B67" s="3"/>
      <c r="C67" s="8" t="n">
        <v>41948</v>
      </c>
      <c r="D67" s="1" t="n">
        <v>7.8</v>
      </c>
      <c r="E67" s="1" t="n">
        <v>7.7</v>
      </c>
      <c r="F67" s="1" t="n">
        <v>9.6</v>
      </c>
      <c r="G67" s="1" t="n">
        <v>891.5</v>
      </c>
      <c r="J67" s="1" t="n">
        <v>0.7</v>
      </c>
      <c r="K67" s="1" t="n">
        <f aca="false">K66+J67</f>
        <v>239.6</v>
      </c>
      <c r="L67" s="1" t="n">
        <v>0.3</v>
      </c>
      <c r="M67" s="1" t="n">
        <f aca="false">M66+L67</f>
        <v>99.4</v>
      </c>
      <c r="N67" s="1" t="n">
        <v>0.4</v>
      </c>
      <c r="O67" s="1" t="n">
        <v>122.1</v>
      </c>
      <c r="P67" s="1" t="n">
        <v>62</v>
      </c>
      <c r="Q67" s="1" t="n">
        <f aca="false">0.35+((P67-8)/77)*(1-0.35)</f>
        <v>0.805844155844156</v>
      </c>
      <c r="R67" s="10" t="n">
        <f aca="false">Q67*L67</f>
        <v>0.241753246753247</v>
      </c>
      <c r="S67" s="10" t="n">
        <f aca="false">J67-R67</f>
        <v>0.458246753246753</v>
      </c>
      <c r="T67" s="10" t="n">
        <f aca="false">MIN(122.1,(T66+S67))</f>
        <v>122.1</v>
      </c>
      <c r="V67" s="1" t="n">
        <v>377.8</v>
      </c>
      <c r="X67" s="1" t="n">
        <v>54997</v>
      </c>
      <c r="AA67" s="1" t="n">
        <v>9.86249223769184</v>
      </c>
    </row>
    <row r="68" customFormat="false" ht="15" hidden="false" customHeight="false" outlineLevel="0" collapsed="false">
      <c r="A68" s="7"/>
      <c r="B68" s="3"/>
      <c r="C68" s="8" t="n">
        <v>41949</v>
      </c>
      <c r="D68" s="1" t="n">
        <v>4</v>
      </c>
      <c r="E68" s="1" t="n">
        <v>0.7</v>
      </c>
      <c r="F68" s="1" t="n">
        <v>7.5</v>
      </c>
      <c r="G68" s="1" t="n">
        <v>895.5</v>
      </c>
      <c r="J68" s="1" t="n">
        <v>0.1</v>
      </c>
      <c r="K68" s="1" t="n">
        <f aca="false">K67+J68</f>
        <v>239.7</v>
      </c>
      <c r="L68" s="1" t="n">
        <v>0.3</v>
      </c>
      <c r="M68" s="1" t="n">
        <f aca="false">M67+L68</f>
        <v>99.7</v>
      </c>
      <c r="N68" s="1" t="n">
        <v>-0.2</v>
      </c>
      <c r="O68" s="1" t="n">
        <f aca="false">O67+N68</f>
        <v>121.9</v>
      </c>
      <c r="P68" s="1" t="n">
        <v>63</v>
      </c>
      <c r="Q68" s="1" t="n">
        <f aca="false">0.35+((P68-8)/77)*(1-0.35)</f>
        <v>0.814285714285714</v>
      </c>
      <c r="R68" s="10" t="n">
        <f aca="false">Q68*L68</f>
        <v>0.244285714285714</v>
      </c>
      <c r="S68" s="10" t="n">
        <f aca="false">J68-R68</f>
        <v>-0.144285714285714</v>
      </c>
      <c r="T68" s="10" t="n">
        <f aca="false">MIN(122.1,(T67+S68))</f>
        <v>121.955714285714</v>
      </c>
      <c r="V68" s="1" t="n">
        <v>382.4</v>
      </c>
      <c r="X68" s="1" t="n">
        <v>55379.4</v>
      </c>
      <c r="AA68" s="1" t="n">
        <v>9.81331832606298</v>
      </c>
    </row>
    <row r="69" customFormat="false" ht="15" hidden="false" customHeight="false" outlineLevel="0" collapsed="false">
      <c r="A69" s="7"/>
      <c r="B69" s="3"/>
      <c r="C69" s="8" t="n">
        <v>41950</v>
      </c>
      <c r="D69" s="1" t="n">
        <v>5.5</v>
      </c>
      <c r="E69" s="1" t="n">
        <v>2.6</v>
      </c>
      <c r="F69" s="1" t="n">
        <v>7.3</v>
      </c>
      <c r="G69" s="1" t="n">
        <v>901</v>
      </c>
      <c r="J69" s="1" t="n">
        <v>1.7</v>
      </c>
      <c r="K69" s="1" t="n">
        <f aca="false">K68+J69</f>
        <v>241.4</v>
      </c>
      <c r="L69" s="1" t="n">
        <v>0.2</v>
      </c>
      <c r="M69" s="1" t="n">
        <f aca="false">M68+L69</f>
        <v>99.9</v>
      </c>
      <c r="N69" s="1" t="n">
        <v>1.5</v>
      </c>
      <c r="O69" s="1" t="n">
        <v>122.1</v>
      </c>
      <c r="P69" s="1" t="n">
        <v>64</v>
      </c>
      <c r="Q69" s="1" t="n">
        <f aca="false">0.35+((P69-8)/77)*(1-0.35)</f>
        <v>0.822727272727273</v>
      </c>
      <c r="R69" s="10" t="n">
        <f aca="false">Q69*L69</f>
        <v>0.164545454545455</v>
      </c>
      <c r="S69" s="10" t="n">
        <f aca="false">J69-R69</f>
        <v>1.53545454545455</v>
      </c>
      <c r="T69" s="10" t="n">
        <f aca="false">MIN(122.1,(T68+S69))</f>
        <v>122.1</v>
      </c>
      <c r="V69" s="1" t="n">
        <v>143.1</v>
      </c>
      <c r="X69" s="1" t="n">
        <v>55522.5</v>
      </c>
      <c r="AA69" s="1" t="n">
        <v>9.76461152245181</v>
      </c>
    </row>
    <row r="70" customFormat="false" ht="15" hidden="false" customHeight="false" outlineLevel="0" collapsed="false">
      <c r="A70" s="7"/>
      <c r="B70" s="3"/>
      <c r="C70" s="8" t="n">
        <v>41951</v>
      </c>
      <c r="D70" s="1" t="n">
        <v>6</v>
      </c>
      <c r="E70" s="1" t="n">
        <v>1.3</v>
      </c>
      <c r="F70" s="1" t="n">
        <v>11.5</v>
      </c>
      <c r="G70" s="1" t="n">
        <v>907</v>
      </c>
      <c r="J70" s="1" t="n">
        <v>0.1</v>
      </c>
      <c r="K70" s="1" t="n">
        <f aca="false">K69+J70</f>
        <v>241.5</v>
      </c>
      <c r="L70" s="1" t="n">
        <v>0.6</v>
      </c>
      <c r="M70" s="1" t="n">
        <f aca="false">M69+L70</f>
        <v>100.5</v>
      </c>
      <c r="N70" s="1" t="n">
        <v>-0.5</v>
      </c>
      <c r="O70" s="1" t="n">
        <f aca="false">O69+N70</f>
        <v>121.6</v>
      </c>
      <c r="P70" s="1" t="n">
        <v>65</v>
      </c>
      <c r="Q70" s="1" t="n">
        <f aca="false">0.35+((P70-8)/77)*(1-0.35)</f>
        <v>0.831168831168831</v>
      </c>
      <c r="R70" s="10" t="n">
        <f aca="false">Q70*L70</f>
        <v>0.498701298701299</v>
      </c>
      <c r="S70" s="10" t="n">
        <f aca="false">J70-R70</f>
        <v>-0.398701298701299</v>
      </c>
      <c r="T70" s="10" t="n">
        <f aca="false">MIN(122.1,(T69+S70))</f>
        <v>121.701298701299</v>
      </c>
      <c r="V70" s="1" t="n">
        <v>812.8</v>
      </c>
      <c r="X70" s="1" t="n">
        <v>56335.3</v>
      </c>
      <c r="AA70" s="1" t="n">
        <v>9.71639362180369</v>
      </c>
    </row>
    <row r="71" customFormat="false" ht="15" hidden="false" customHeight="false" outlineLevel="0" collapsed="false">
      <c r="A71" s="7"/>
      <c r="B71" s="3"/>
      <c r="C71" s="8" t="n">
        <v>41952</v>
      </c>
      <c r="D71" s="1" t="n">
        <v>6.3</v>
      </c>
      <c r="E71" s="1" t="n">
        <v>3.5</v>
      </c>
      <c r="F71" s="1" t="n">
        <v>8.5</v>
      </c>
      <c r="G71" s="1" t="n">
        <v>913.3</v>
      </c>
      <c r="J71" s="1" t="n">
        <v>14.9</v>
      </c>
      <c r="K71" s="1" t="n">
        <f aca="false">K70+J71</f>
        <v>256.4</v>
      </c>
      <c r="L71" s="1" t="n">
        <v>0.1</v>
      </c>
      <c r="M71" s="1" t="n">
        <f aca="false">M70+L71</f>
        <v>100.6</v>
      </c>
      <c r="N71" s="1" t="n">
        <v>14.8</v>
      </c>
      <c r="O71" s="1" t="n">
        <v>122.1</v>
      </c>
      <c r="P71" s="1" t="n">
        <v>66</v>
      </c>
      <c r="Q71" s="1" t="n">
        <f aca="false">0.35+((P71-8)/77)*(1-0.35)</f>
        <v>0.83961038961039</v>
      </c>
      <c r="R71" s="10" t="n">
        <f aca="false">Q71*L71</f>
        <v>0.083961038961039</v>
      </c>
      <c r="S71" s="10" t="n">
        <f aca="false">J71-R71</f>
        <v>14.816038961039</v>
      </c>
      <c r="T71" s="10" t="n">
        <f aca="false">MIN(122.1,(T70+S71))</f>
        <v>122.1</v>
      </c>
      <c r="V71" s="1" t="n">
        <v>92.4</v>
      </c>
      <c r="X71" s="1" t="n">
        <v>56427.7</v>
      </c>
      <c r="AA71" s="1" t="n">
        <v>9.66868702237976</v>
      </c>
    </row>
    <row r="72" customFormat="false" ht="15" hidden="false" customHeight="false" outlineLevel="0" collapsed="false">
      <c r="A72" s="7"/>
      <c r="B72" s="3"/>
      <c r="C72" s="8" t="n">
        <v>41953</v>
      </c>
      <c r="D72" s="1" t="n">
        <v>8.2</v>
      </c>
      <c r="E72" s="1" t="n">
        <v>6</v>
      </c>
      <c r="F72" s="1" t="n">
        <v>11.3</v>
      </c>
      <c r="G72" s="1" t="n">
        <v>921.5</v>
      </c>
      <c r="J72" s="1" t="n">
        <v>1.1</v>
      </c>
      <c r="K72" s="1" t="n">
        <f aca="false">K71+J72</f>
        <v>257.5</v>
      </c>
      <c r="L72" s="1" t="n">
        <v>0.2</v>
      </c>
      <c r="M72" s="1" t="n">
        <f aca="false">M71+L72</f>
        <v>100.8</v>
      </c>
      <c r="N72" s="1" t="n">
        <v>0.9</v>
      </c>
      <c r="O72" s="1" t="n">
        <v>122.1</v>
      </c>
      <c r="P72" s="1" t="n">
        <v>67</v>
      </c>
      <c r="Q72" s="1" t="n">
        <f aca="false">0.35+((P72-8)/77)*(1-0.35)</f>
        <v>0.848051948051948</v>
      </c>
      <c r="R72" s="10" t="n">
        <f aca="false">Q72*L72</f>
        <v>0.16961038961039</v>
      </c>
      <c r="S72" s="10" t="n">
        <f aca="false">J72-R72</f>
        <v>0.93038961038961</v>
      </c>
      <c r="T72" s="10" t="n">
        <f aca="false">MIN(122.1,(T71+S72))</f>
        <v>122.1</v>
      </c>
      <c r="V72" s="1" t="n">
        <v>174</v>
      </c>
      <c r="X72" s="1" t="n">
        <v>56601.7</v>
      </c>
      <c r="AA72" s="1" t="n">
        <v>9.62151471767155</v>
      </c>
    </row>
    <row r="73" customFormat="false" ht="15" hidden="false" customHeight="false" outlineLevel="0" collapsed="false">
      <c r="A73" s="7"/>
      <c r="B73" s="3"/>
      <c r="C73" s="8" t="n">
        <v>41954</v>
      </c>
      <c r="D73" s="1" t="n">
        <v>11.3</v>
      </c>
      <c r="E73" s="1" t="n">
        <v>6.1</v>
      </c>
      <c r="F73" s="1" t="n">
        <v>15.2</v>
      </c>
      <c r="G73" s="1" t="n">
        <v>932.8</v>
      </c>
      <c r="J73" s="1" t="n">
        <v>2.7</v>
      </c>
      <c r="K73" s="1" t="n">
        <f aca="false">K72+J73</f>
        <v>260.2</v>
      </c>
      <c r="L73" s="1" t="n">
        <v>0.3</v>
      </c>
      <c r="M73" s="1" t="n">
        <f aca="false">M72+L73</f>
        <v>101.1</v>
      </c>
      <c r="N73" s="1" t="n">
        <v>2.4</v>
      </c>
      <c r="O73" s="1" t="n">
        <v>122.1</v>
      </c>
      <c r="P73" s="1" t="n">
        <v>68</v>
      </c>
      <c r="Q73" s="1" t="n">
        <f aca="false">0.35+((P73-8)/77)*(1-0.35)</f>
        <v>0.856493506493507</v>
      </c>
      <c r="R73" s="10" t="n">
        <f aca="false">Q73*L73</f>
        <v>0.256948051948052</v>
      </c>
      <c r="S73" s="10" t="n">
        <f aca="false">J73-R73</f>
        <v>2.44305194805195</v>
      </c>
      <c r="T73" s="10" t="n">
        <f aca="false">MIN(122.1,(T72+S73))</f>
        <v>122.1</v>
      </c>
      <c r="V73" s="1" t="n">
        <v>310.9</v>
      </c>
      <c r="X73" s="1" t="n">
        <v>56912.6</v>
      </c>
      <c r="AA73" s="1" t="n">
        <v>9.57490028575641</v>
      </c>
    </row>
    <row r="74" customFormat="false" ht="15" hidden="false" customHeight="false" outlineLevel="0" collapsed="false">
      <c r="A74" s="7"/>
      <c r="B74" s="3"/>
      <c r="C74" s="8" t="n">
        <v>41955</v>
      </c>
      <c r="D74" s="1" t="n">
        <v>10.1</v>
      </c>
      <c r="E74" s="1" t="n">
        <v>10.3</v>
      </c>
      <c r="F74" s="1" t="n">
        <v>12</v>
      </c>
      <c r="G74" s="1" t="n">
        <v>942.9</v>
      </c>
      <c r="J74" s="1" t="n">
        <v>1.3</v>
      </c>
      <c r="K74" s="1" t="n">
        <f aca="false">K73+J74</f>
        <v>261.5</v>
      </c>
      <c r="L74" s="1" t="n">
        <v>0.4</v>
      </c>
      <c r="M74" s="1" t="n">
        <f aca="false">M73+L74</f>
        <v>101.5</v>
      </c>
      <c r="N74" s="1" t="n">
        <v>0.9</v>
      </c>
      <c r="O74" s="1" t="n">
        <v>122.1</v>
      </c>
      <c r="P74" s="1" t="n">
        <v>69</v>
      </c>
      <c r="Q74" s="1" t="n">
        <f aca="false">0.35+((P74-8)/77)*(1-0.35)</f>
        <v>0.864935064935065</v>
      </c>
      <c r="R74" s="10" t="n">
        <f aca="false">Q74*L74</f>
        <v>0.345974025974026</v>
      </c>
      <c r="S74" s="10" t="n">
        <f aca="false">J74-R74</f>
        <v>0.954025974025974</v>
      </c>
      <c r="T74" s="10" t="n">
        <f aca="false">MIN(122.1,(T73+S74))</f>
        <v>122.1</v>
      </c>
      <c r="V74" s="1" t="n">
        <v>188.7</v>
      </c>
      <c r="X74" s="1" t="n">
        <v>57101.3</v>
      </c>
      <c r="AA74" s="1" t="n">
        <v>9.52886787594983</v>
      </c>
    </row>
    <row r="75" customFormat="false" ht="15" hidden="false" customHeight="false" outlineLevel="0" collapsed="false">
      <c r="A75" s="7"/>
      <c r="B75" s="3"/>
      <c r="C75" s="8" t="n">
        <v>41956</v>
      </c>
      <c r="D75" s="1" t="n">
        <v>6.7</v>
      </c>
      <c r="E75" s="1" t="n">
        <v>4.8</v>
      </c>
      <c r="F75" s="1" t="n">
        <v>8.5</v>
      </c>
      <c r="G75" s="1" t="n">
        <v>949.6</v>
      </c>
      <c r="J75" s="1" t="n">
        <v>0.1</v>
      </c>
      <c r="K75" s="1" t="n">
        <f aca="false">K74+J75</f>
        <v>261.6</v>
      </c>
      <c r="L75" s="1" t="n">
        <v>0.5</v>
      </c>
      <c r="M75" s="1" t="n">
        <f aca="false">M74+L75</f>
        <v>102</v>
      </c>
      <c r="N75" s="1" t="n">
        <v>-0.4</v>
      </c>
      <c r="O75" s="1" t="n">
        <f aca="false">O74+N75</f>
        <v>121.7</v>
      </c>
      <c r="P75" s="1" t="n">
        <v>70</v>
      </c>
      <c r="Q75" s="1" t="n">
        <f aca="false">0.35+((P75-8)/77)*(1-0.35)</f>
        <v>0.873376623376623</v>
      </c>
      <c r="R75" s="10" t="n">
        <f aca="false">Q75*L75</f>
        <v>0.436688311688312</v>
      </c>
      <c r="S75" s="10" t="n">
        <f aca="false">J75-R75</f>
        <v>-0.336688311688312</v>
      </c>
      <c r="T75" s="10" t="n">
        <f aca="false">MIN(122.1,(T74+S75))</f>
        <v>121.763311688312</v>
      </c>
      <c r="V75" s="1" t="n">
        <v>343.9</v>
      </c>
      <c r="X75" s="1" t="n">
        <v>57445.2</v>
      </c>
      <c r="AA75" s="1" t="n">
        <v>9.48344219261443</v>
      </c>
    </row>
    <row r="76" customFormat="false" ht="15" hidden="false" customHeight="false" outlineLevel="0" collapsed="false">
      <c r="A76" s="7"/>
      <c r="B76" s="3"/>
      <c r="C76" s="8" t="n">
        <v>41957</v>
      </c>
      <c r="D76" s="1" t="n">
        <v>9</v>
      </c>
      <c r="E76" s="1" t="n">
        <v>5.9</v>
      </c>
      <c r="F76" s="1" t="n">
        <v>10.7</v>
      </c>
      <c r="G76" s="1" t="n">
        <v>958.6</v>
      </c>
      <c r="J76" s="1" t="n">
        <v>23.9</v>
      </c>
      <c r="K76" s="1" t="n">
        <f aca="false">K75+J76</f>
        <v>285.5</v>
      </c>
      <c r="L76" s="1" t="n">
        <v>0.2</v>
      </c>
      <c r="M76" s="1" t="n">
        <f aca="false">M75+L76</f>
        <v>102.2</v>
      </c>
      <c r="N76" s="1" t="n">
        <v>23.7</v>
      </c>
      <c r="O76" s="1" t="n">
        <v>122.1</v>
      </c>
      <c r="P76" s="1" t="n">
        <v>71</v>
      </c>
      <c r="Q76" s="1" t="n">
        <f aca="false">0.35+((P76-8)/77)*(1-0.35)</f>
        <v>0.881818181818182</v>
      </c>
      <c r="R76" s="10" t="n">
        <f aca="false">Q76*L76</f>
        <v>0.176363636363636</v>
      </c>
      <c r="S76" s="10" t="n">
        <f aca="false">J76-R76</f>
        <v>23.7236363636364</v>
      </c>
      <c r="T76" s="10" t="n">
        <f aca="false">MIN(122.1,(T75+S76))</f>
        <v>122.1</v>
      </c>
      <c r="V76" s="1" t="n">
        <v>178.2</v>
      </c>
      <c r="X76" s="1" t="n">
        <v>57623.4</v>
      </c>
      <c r="AA76" s="1" t="n">
        <v>9.43864847599014</v>
      </c>
    </row>
    <row r="77" customFormat="false" ht="15" hidden="false" customHeight="false" outlineLevel="0" collapsed="false">
      <c r="A77" s="7"/>
      <c r="B77" s="3"/>
      <c r="C77" s="8" t="n">
        <v>41958</v>
      </c>
      <c r="D77" s="1" t="n">
        <v>9.8</v>
      </c>
      <c r="E77" s="1" t="n">
        <v>9.2</v>
      </c>
      <c r="F77" s="1" t="n">
        <v>11</v>
      </c>
      <c r="G77" s="1" t="n">
        <v>968.4</v>
      </c>
      <c r="J77" s="1" t="n">
        <v>1.4</v>
      </c>
      <c r="K77" s="1" t="n">
        <f aca="false">K76+J77</f>
        <v>286.9</v>
      </c>
      <c r="L77" s="1" t="n">
        <v>0.3</v>
      </c>
      <c r="M77" s="1" t="n">
        <f aca="false">M76+L77</f>
        <v>102.5</v>
      </c>
      <c r="N77" s="1" t="n">
        <v>1.1</v>
      </c>
      <c r="O77" s="1" t="n">
        <v>122.1</v>
      </c>
      <c r="P77" s="1" t="n">
        <v>72</v>
      </c>
      <c r="Q77" s="1" t="n">
        <f aca="false">0.35+((P77-8)/77)*(1-0.35)</f>
        <v>0.89025974025974</v>
      </c>
      <c r="R77" s="10" t="n">
        <f aca="false">Q77*L77</f>
        <v>0.267077922077922</v>
      </c>
      <c r="S77" s="10" t="n">
        <f aca="false">J77-R77</f>
        <v>1.13292207792208</v>
      </c>
      <c r="T77" s="10" t="n">
        <f aca="false">MIN(122.1,(T76+S77))</f>
        <v>122.1</v>
      </c>
      <c r="V77" s="1" t="n">
        <v>188.3</v>
      </c>
      <c r="X77" s="1" t="n">
        <v>57811.7</v>
      </c>
      <c r="AA77" s="1" t="n">
        <v>9.39451247991683</v>
      </c>
    </row>
    <row r="78" customFormat="false" ht="15" hidden="false" customHeight="false" outlineLevel="0" collapsed="false">
      <c r="A78" s="7"/>
      <c r="B78" s="3"/>
      <c r="C78" s="8" t="n">
        <v>41959</v>
      </c>
      <c r="D78" s="1" t="n">
        <v>9.3</v>
      </c>
      <c r="E78" s="1" t="n">
        <v>8.7</v>
      </c>
      <c r="F78" s="1" t="n">
        <v>10.1</v>
      </c>
      <c r="G78" s="1" t="n">
        <v>977.7</v>
      </c>
      <c r="J78" s="1" t="n">
        <v>3.3</v>
      </c>
      <c r="K78" s="1" t="n">
        <f aca="false">K77+J78</f>
        <v>290.2</v>
      </c>
      <c r="L78" s="1" t="n">
        <v>0.6</v>
      </c>
      <c r="M78" s="1" t="n">
        <f aca="false">M77+L78</f>
        <v>103.1</v>
      </c>
      <c r="N78" s="1" t="n">
        <v>2.7</v>
      </c>
      <c r="O78" s="1" t="n">
        <v>122.1</v>
      </c>
      <c r="P78" s="1" t="n">
        <v>73</v>
      </c>
      <c r="Q78" s="1" t="n">
        <f aca="false">0.35+((P78-8)/77)*(1-0.35)</f>
        <v>0.898701298701299</v>
      </c>
      <c r="R78" s="10" t="n">
        <f aca="false">Q78*L78</f>
        <v>0.539220779220779</v>
      </c>
      <c r="S78" s="10" t="n">
        <f aca="false">J78-R78</f>
        <v>2.76077922077922</v>
      </c>
      <c r="T78" s="10" t="n">
        <f aca="false">MIN(122.1,(T77+S78))</f>
        <v>122.1</v>
      </c>
      <c r="V78" s="1" t="n">
        <v>162.8</v>
      </c>
      <c r="X78" s="1" t="n">
        <v>57974.5</v>
      </c>
      <c r="AA78" s="1" t="n">
        <v>9.35106044632921</v>
      </c>
    </row>
    <row r="79" customFormat="false" ht="15" hidden="false" customHeight="false" outlineLevel="0" collapsed="false">
      <c r="A79" s="7"/>
      <c r="B79" s="3"/>
      <c r="C79" s="8" t="n">
        <v>41960</v>
      </c>
      <c r="D79" s="1" t="n">
        <v>8.6</v>
      </c>
      <c r="E79" s="1" t="n">
        <v>7.8</v>
      </c>
      <c r="F79" s="1" t="n">
        <v>10.3</v>
      </c>
      <c r="G79" s="1" t="n">
        <v>986.3</v>
      </c>
      <c r="J79" s="1" t="n">
        <v>1.9</v>
      </c>
      <c r="K79" s="1" t="n">
        <f aca="false">K78+J79</f>
        <v>292.1</v>
      </c>
      <c r="L79" s="1" t="n">
        <v>0.5</v>
      </c>
      <c r="M79" s="1" t="n">
        <f aca="false">M78+L79</f>
        <v>103.6</v>
      </c>
      <c r="N79" s="1" t="n">
        <v>1.4</v>
      </c>
      <c r="O79" s="1" t="n">
        <v>122.1</v>
      </c>
      <c r="P79" s="1" t="n">
        <v>74</v>
      </c>
      <c r="Q79" s="1" t="n">
        <f aca="false">0.35+((P79-8)/77)*(1-0.35)</f>
        <v>0.907142857142857</v>
      </c>
      <c r="R79" s="10" t="n">
        <f aca="false">Q79*L79</f>
        <v>0.453571428571429</v>
      </c>
      <c r="S79" s="10" t="n">
        <f aca="false">J79-R79</f>
        <v>1.44642857142857</v>
      </c>
      <c r="T79" s="10" t="n">
        <f aca="false">MIN(122.1,(T78+S79))</f>
        <v>122.1</v>
      </c>
      <c r="V79" s="1" t="n">
        <v>311.7</v>
      </c>
      <c r="X79" s="1" t="n">
        <v>58286.2</v>
      </c>
      <c r="AA79" s="1" t="n">
        <v>9.30831907641425</v>
      </c>
    </row>
    <row r="80" customFormat="false" ht="15" hidden="false" customHeight="false" outlineLevel="0" collapsed="false">
      <c r="A80" s="7"/>
      <c r="B80" s="3"/>
      <c r="C80" s="8" t="n">
        <v>41961</v>
      </c>
      <c r="D80" s="1" t="n">
        <v>8.1</v>
      </c>
      <c r="E80" s="1" t="n">
        <v>6.5</v>
      </c>
      <c r="F80" s="1" t="n">
        <v>10.3</v>
      </c>
      <c r="G80" s="1" t="n">
        <v>994.4</v>
      </c>
      <c r="J80" s="1" t="n">
        <v>0.4</v>
      </c>
      <c r="K80" s="1" t="n">
        <f aca="false">K79+J80</f>
        <v>292.5</v>
      </c>
      <c r="L80" s="1" t="n">
        <v>0.4</v>
      </c>
      <c r="M80" s="1" t="n">
        <f aca="false">M79+L80</f>
        <v>104</v>
      </c>
      <c r="N80" s="1" t="n">
        <v>0</v>
      </c>
      <c r="O80" s="1" t="n">
        <f aca="false">O79+N80</f>
        <v>122.1</v>
      </c>
      <c r="P80" s="1" t="n">
        <v>75</v>
      </c>
      <c r="Q80" s="1" t="n">
        <f aca="false">0.35+((P80-8)/77)*(1-0.35)</f>
        <v>0.915584415584416</v>
      </c>
      <c r="R80" s="10" t="n">
        <f aca="false">Q80*L80</f>
        <v>0.366233766233766</v>
      </c>
      <c r="S80" s="10" t="n">
        <f aca="false">J80-R80</f>
        <v>0.0337662337662338</v>
      </c>
      <c r="T80" s="10" t="n">
        <f aca="false">MIN(122.1,(T79+S80))</f>
        <v>122.1</v>
      </c>
      <c r="V80" s="1" t="n">
        <v>140.2</v>
      </c>
      <c r="X80" s="1" t="n">
        <v>58426.4</v>
      </c>
      <c r="AA80" s="1" t="n">
        <v>9.26631549833416</v>
      </c>
    </row>
    <row r="81" customFormat="false" ht="15" hidden="false" customHeight="false" outlineLevel="0" collapsed="false">
      <c r="A81" s="7"/>
      <c r="B81" s="3"/>
      <c r="C81" s="8" t="n">
        <v>41962</v>
      </c>
      <c r="D81" s="1" t="n">
        <v>5.7</v>
      </c>
      <c r="E81" s="1" t="n">
        <v>4.6</v>
      </c>
      <c r="F81" s="1" t="n">
        <v>6.8</v>
      </c>
      <c r="G81" s="1" t="n">
        <v>1000.1</v>
      </c>
      <c r="J81" s="1" t="n">
        <v>0.1</v>
      </c>
      <c r="K81" s="1" t="n">
        <f aca="false">K80+J81</f>
        <v>292.6</v>
      </c>
      <c r="L81" s="1" t="n">
        <v>0.1</v>
      </c>
      <c r="M81" s="1" t="n">
        <f aca="false">M80+L81</f>
        <v>104.1</v>
      </c>
      <c r="N81" s="1" t="n">
        <v>0</v>
      </c>
      <c r="O81" s="1" t="n">
        <f aca="false">O80+N81</f>
        <v>122.1</v>
      </c>
      <c r="P81" s="1" t="n">
        <v>76</v>
      </c>
      <c r="Q81" s="1" t="n">
        <f aca="false">0.35+((P81-8)/77)*(1-0.35)</f>
        <v>0.924025974025974</v>
      </c>
      <c r="R81" s="10" t="n">
        <f aca="false">Q81*L81</f>
        <v>0.0924025974025974</v>
      </c>
      <c r="S81" s="10" t="n">
        <f aca="false">J81-R81</f>
        <v>0.0075974025974026</v>
      </c>
      <c r="T81" s="10" t="n">
        <f aca="false">MIN(122.1,(T80+S81))</f>
        <v>122.1</v>
      </c>
      <c r="V81" s="1" t="n">
        <v>164.8</v>
      </c>
      <c r="X81" s="1" t="n">
        <v>58591.2</v>
      </c>
      <c r="AA81" s="1" t="n">
        <v>9.22507723143275</v>
      </c>
    </row>
    <row r="82" customFormat="false" ht="15" hidden="false" customHeight="false" outlineLevel="0" collapsed="false">
      <c r="A82" s="7"/>
      <c r="B82" s="3"/>
      <c r="C82" s="8" t="n">
        <v>41963</v>
      </c>
      <c r="D82" s="1" t="n">
        <v>5.9</v>
      </c>
      <c r="E82" s="1" t="n">
        <v>3.8</v>
      </c>
      <c r="F82" s="1" t="n">
        <v>6.9</v>
      </c>
      <c r="G82" s="1" t="n">
        <v>1006</v>
      </c>
      <c r="J82" s="1" t="n">
        <v>0</v>
      </c>
      <c r="K82" s="1" t="n">
        <f aca="false">K81+J82</f>
        <v>292.6</v>
      </c>
      <c r="L82" s="1" t="n">
        <v>0.4</v>
      </c>
      <c r="M82" s="1" t="n">
        <f aca="false">M81+L82</f>
        <v>104.5</v>
      </c>
      <c r="N82" s="1" t="n">
        <v>-0.4</v>
      </c>
      <c r="O82" s="1" t="n">
        <f aca="false">O81+N82</f>
        <v>121.7</v>
      </c>
      <c r="P82" s="1" t="n">
        <v>77</v>
      </c>
      <c r="Q82" s="1" t="n">
        <f aca="false">0.35+((P82-8)/77)*(1-0.35)</f>
        <v>0.932467532467532</v>
      </c>
      <c r="R82" s="10" t="n">
        <f aca="false">Q82*L82</f>
        <v>0.372987012987013</v>
      </c>
      <c r="S82" s="10" t="n">
        <f aca="false">J82-R82</f>
        <v>-0.372987012987013</v>
      </c>
      <c r="T82" s="10" t="n">
        <f aca="false">MIN(122.1,(T81+S82))</f>
        <v>121.727012987013</v>
      </c>
      <c r="V82" s="1" t="n">
        <v>325.2</v>
      </c>
      <c r="X82" s="1" t="n">
        <v>58916.4</v>
      </c>
      <c r="AA82" s="1" t="n">
        <v>9.18463214686021</v>
      </c>
    </row>
    <row r="83" customFormat="false" ht="15" hidden="false" customHeight="false" outlineLevel="0" collapsed="false">
      <c r="A83" s="7"/>
      <c r="B83" s="3"/>
      <c r="C83" s="8" t="n">
        <v>41964</v>
      </c>
      <c r="D83" s="1" t="n">
        <v>7.2</v>
      </c>
      <c r="E83" s="1" t="n">
        <v>4.7</v>
      </c>
      <c r="F83" s="1" t="n">
        <v>11.1</v>
      </c>
      <c r="G83" s="1" t="n">
        <v>1013.2</v>
      </c>
      <c r="J83" s="1" t="n">
        <v>0.2</v>
      </c>
      <c r="K83" s="1" t="n">
        <f aca="false">K82+J83</f>
        <v>292.8</v>
      </c>
      <c r="L83" s="1" t="n">
        <v>0.4</v>
      </c>
      <c r="M83" s="1" t="n">
        <f aca="false">M82+L83</f>
        <v>104.9</v>
      </c>
      <c r="N83" s="1" t="n">
        <v>-0.2</v>
      </c>
      <c r="O83" s="1" t="n">
        <f aca="false">O82+N83</f>
        <v>121.5</v>
      </c>
      <c r="P83" s="1" t="n">
        <v>78</v>
      </c>
      <c r="Q83" s="1" t="n">
        <f aca="false">0.35+((P83-8)/77)*(1-0.35)</f>
        <v>0.940909090909091</v>
      </c>
      <c r="R83" s="10" t="n">
        <f aca="false">Q83*L83</f>
        <v>0.376363636363636</v>
      </c>
      <c r="S83" s="10" t="n">
        <f aca="false">J83-R83</f>
        <v>-0.176363636363636</v>
      </c>
      <c r="T83" s="10" t="n">
        <f aca="false">MIN(122.1,(T82+S83))</f>
        <v>121.550649350649</v>
      </c>
      <c r="V83" s="1" t="n">
        <v>152.3</v>
      </c>
      <c r="X83" s="1" t="n">
        <v>59068.7</v>
      </c>
      <c r="AA83" s="1" t="n">
        <v>9.1450084245708</v>
      </c>
    </row>
    <row r="84" customFormat="false" ht="15" hidden="false" customHeight="false" outlineLevel="0" collapsed="false">
      <c r="A84" s="7"/>
      <c r="B84" s="3"/>
      <c r="C84" s="8" t="n">
        <v>41965</v>
      </c>
      <c r="D84" s="1" t="n">
        <v>8.3</v>
      </c>
      <c r="E84" s="1" t="n">
        <v>4.1</v>
      </c>
      <c r="F84" s="1" t="n">
        <v>14.3</v>
      </c>
      <c r="G84" s="1" t="n">
        <v>1021.5</v>
      </c>
      <c r="J84" s="1" t="n">
        <v>0</v>
      </c>
      <c r="K84" s="1" t="n">
        <f aca="false">K83+J84</f>
        <v>292.8</v>
      </c>
      <c r="L84" s="1" t="n">
        <v>1</v>
      </c>
      <c r="M84" s="1" t="n">
        <f aca="false">M83+L84</f>
        <v>105.9</v>
      </c>
      <c r="N84" s="1" t="n">
        <v>-1</v>
      </c>
      <c r="O84" s="1" t="n">
        <f aca="false">O83+N84</f>
        <v>120.5</v>
      </c>
      <c r="P84" s="1" t="n">
        <v>79</v>
      </c>
      <c r="Q84" s="1" t="n">
        <f aca="false">0.35+((P84-8)/77)*(1-0.35)</f>
        <v>0.949350649350649</v>
      </c>
      <c r="R84" s="10" t="n">
        <f aca="false">Q84*L84</f>
        <v>0.949350649350649</v>
      </c>
      <c r="S84" s="10" t="n">
        <f aca="false">J84-R84</f>
        <v>-0.949350649350649</v>
      </c>
      <c r="T84" s="10" t="n">
        <f aca="false">MIN(122.1,(T83+S84))</f>
        <v>120.601298701299</v>
      </c>
      <c r="V84" s="1" t="n">
        <v>618.4</v>
      </c>
      <c r="X84" s="1" t="n">
        <v>59687.1</v>
      </c>
      <c r="AA84" s="1" t="n">
        <v>9.10623450666983</v>
      </c>
    </row>
    <row r="85" customFormat="false" ht="15" hidden="false" customHeight="false" outlineLevel="0" collapsed="false">
      <c r="A85" s="7"/>
      <c r="B85" s="3"/>
      <c r="C85" s="8" t="n">
        <v>41966</v>
      </c>
      <c r="D85" s="1" t="n">
        <v>10.7</v>
      </c>
      <c r="E85" s="1" t="n">
        <v>6.5</v>
      </c>
      <c r="F85" s="1" t="n">
        <v>14.3</v>
      </c>
      <c r="G85" s="1" t="n">
        <v>1032.2</v>
      </c>
      <c r="J85" s="1" t="n">
        <v>0</v>
      </c>
      <c r="K85" s="1" t="n">
        <f aca="false">K84+J85</f>
        <v>292.8</v>
      </c>
      <c r="L85" s="1" t="n">
        <v>0.4</v>
      </c>
      <c r="M85" s="1" t="n">
        <f aca="false">M84+L85</f>
        <v>106.3</v>
      </c>
      <c r="N85" s="1" t="n">
        <v>-0.4</v>
      </c>
      <c r="O85" s="1" t="n">
        <f aca="false">O84+N85</f>
        <v>120.1</v>
      </c>
      <c r="P85" s="1" t="n">
        <v>80</v>
      </c>
      <c r="Q85" s="1" t="n">
        <f aca="false">0.35+((P85-8)/77)*(1-0.35)</f>
        <v>0.957792207792208</v>
      </c>
      <c r="R85" s="10" t="n">
        <f aca="false">Q85*L85</f>
        <v>0.383116883116883</v>
      </c>
      <c r="S85" s="10" t="n">
        <f aca="false">J85-R85</f>
        <v>-0.383116883116883</v>
      </c>
      <c r="T85" s="10" t="n">
        <f aca="false">MIN(122.1,(T84+S85))</f>
        <v>120.218181818182</v>
      </c>
      <c r="V85" s="1" t="n">
        <v>385</v>
      </c>
      <c r="X85" s="1" t="n">
        <v>60072.1</v>
      </c>
      <c r="AA85" s="1" t="n">
        <v>9.06833904711065</v>
      </c>
    </row>
    <row r="86" customFormat="false" ht="15" hidden="false" customHeight="false" outlineLevel="0" collapsed="false">
      <c r="A86" s="7"/>
      <c r="B86" s="3"/>
      <c r="C86" s="8" t="n">
        <v>41967</v>
      </c>
      <c r="D86" s="1" t="n">
        <v>11.8</v>
      </c>
      <c r="E86" s="1" t="n">
        <v>8.1</v>
      </c>
      <c r="F86" s="1" t="n">
        <v>15</v>
      </c>
      <c r="G86" s="1" t="n">
        <v>1044</v>
      </c>
      <c r="J86" s="1" t="n">
        <v>0</v>
      </c>
      <c r="K86" s="1" t="n">
        <f aca="false">K85+J86</f>
        <v>292.8</v>
      </c>
      <c r="L86" s="1" t="n">
        <v>0.7</v>
      </c>
      <c r="M86" s="1" t="n">
        <f aca="false">M85+L86</f>
        <v>107</v>
      </c>
      <c r="N86" s="1" t="n">
        <v>-0.7</v>
      </c>
      <c r="O86" s="1" t="n">
        <f aca="false">O85+N86</f>
        <v>119.4</v>
      </c>
      <c r="P86" s="1" t="n">
        <v>81</v>
      </c>
      <c r="Q86" s="1" t="n">
        <f aca="false">0.35+((P86-8)/77)*(1-0.35)</f>
        <v>0.966233766233766</v>
      </c>
      <c r="R86" s="10" t="n">
        <f aca="false">Q86*L86</f>
        <v>0.676363636363636</v>
      </c>
      <c r="S86" s="10" t="n">
        <f aca="false">J86-R86</f>
        <v>-0.676363636363636</v>
      </c>
      <c r="T86" s="10" t="n">
        <f aca="false">MIN(122.1,(T85+S86))</f>
        <v>119.541818181818</v>
      </c>
      <c r="V86" s="1" t="n">
        <v>708.5</v>
      </c>
      <c r="X86" s="1" t="n">
        <v>60780.6</v>
      </c>
      <c r="AA86" s="1" t="n">
        <v>9.0313508577686</v>
      </c>
    </row>
    <row r="87" customFormat="false" ht="15" hidden="false" customHeight="false" outlineLevel="0" collapsed="false">
      <c r="A87" s="7"/>
      <c r="B87" s="3"/>
      <c r="C87" s="8" t="n">
        <v>41968</v>
      </c>
      <c r="D87" s="1" t="n">
        <v>10.5</v>
      </c>
      <c r="E87" s="1" t="n">
        <v>9.1</v>
      </c>
      <c r="F87" s="1" t="n">
        <v>13.3</v>
      </c>
      <c r="G87" s="1" t="n">
        <v>1054.5</v>
      </c>
      <c r="J87" s="1" t="n">
        <v>1.7</v>
      </c>
      <c r="K87" s="1" t="n">
        <f aca="false">K86+J87</f>
        <v>294.5</v>
      </c>
      <c r="L87" s="1" t="n">
        <v>0.6</v>
      </c>
      <c r="M87" s="1" t="n">
        <f aca="false">M86+L87</f>
        <v>107.6</v>
      </c>
      <c r="N87" s="1" t="n">
        <v>1.1</v>
      </c>
      <c r="O87" s="1" t="n">
        <f aca="false">O86+N87</f>
        <v>120.5</v>
      </c>
      <c r="P87" s="1" t="n">
        <v>82</v>
      </c>
      <c r="Q87" s="1" t="n">
        <f aca="false">0.35+((P87-8)/77)*(1-0.35)</f>
        <v>0.974675324675325</v>
      </c>
      <c r="R87" s="10" t="n">
        <f aca="false">Q87*L87</f>
        <v>0.584805194805195</v>
      </c>
      <c r="S87" s="10" t="n">
        <f aca="false">J87-R87</f>
        <v>1.11519480519481</v>
      </c>
      <c r="T87" s="10" t="n">
        <f aca="false">MIN(122.1,(T86+S87))</f>
        <v>120.657012987013</v>
      </c>
      <c r="V87" s="1" t="n">
        <v>213.4</v>
      </c>
      <c r="X87" s="1" t="n">
        <v>60994</v>
      </c>
      <c r="AA87" s="12" t="n">
        <v>8.99529885094801</v>
      </c>
    </row>
    <row r="88" customFormat="false" ht="15" hidden="false" customHeight="false" outlineLevel="0" collapsed="false">
      <c r="A88" s="7"/>
      <c r="B88" s="3"/>
      <c r="C88" s="8" t="n">
        <v>41969</v>
      </c>
      <c r="D88" s="1" t="n">
        <v>10.2</v>
      </c>
      <c r="E88" s="1" t="n">
        <v>8.7</v>
      </c>
      <c r="F88" s="1" t="n">
        <v>11.1</v>
      </c>
      <c r="G88" s="1" t="n">
        <v>1064.7</v>
      </c>
      <c r="J88" s="1" t="n">
        <v>3.9</v>
      </c>
      <c r="K88" s="1" t="n">
        <f aca="false">K87+J88</f>
        <v>298.4</v>
      </c>
      <c r="L88" s="1" t="n">
        <v>0.3</v>
      </c>
      <c r="M88" s="1" t="n">
        <f aca="false">M87+L88</f>
        <v>107.9</v>
      </c>
      <c r="N88" s="1" t="n">
        <v>3.6</v>
      </c>
      <c r="O88" s="1" t="n">
        <v>122.1</v>
      </c>
      <c r="P88" s="1" t="n">
        <v>83</v>
      </c>
      <c r="Q88" s="1" t="n">
        <f aca="false">0.35+((P88-8)/77)*(1-0.35)</f>
        <v>0.983116883116883</v>
      </c>
      <c r="R88" s="10" t="n">
        <f aca="false">Q88*L88</f>
        <v>0.294935064935065</v>
      </c>
      <c r="S88" s="10" t="n">
        <f aca="false">J88-R88</f>
        <v>3.60506493506494</v>
      </c>
      <c r="T88" s="10" t="n">
        <f aca="false">MIN(122.1,(T87+S88))</f>
        <v>122.1</v>
      </c>
      <c r="V88" s="1" t="n">
        <v>140</v>
      </c>
      <c r="X88" s="1" t="n">
        <v>61134</v>
      </c>
      <c r="AA88" s="12" t="n">
        <v>8.96021197840891</v>
      </c>
    </row>
    <row r="89" customFormat="false" ht="15" hidden="false" customHeight="false" outlineLevel="0" collapsed="false">
      <c r="A89" s="7"/>
      <c r="B89" s="3"/>
      <c r="C89" s="8" t="n">
        <v>41970</v>
      </c>
      <c r="D89" s="1" t="n">
        <v>10.6</v>
      </c>
      <c r="E89" s="1" t="n">
        <v>9.7</v>
      </c>
      <c r="F89" s="1" t="n">
        <v>12.6</v>
      </c>
      <c r="G89" s="1" t="n">
        <v>1075.3</v>
      </c>
      <c r="J89" s="1" t="n">
        <v>4</v>
      </c>
      <c r="K89" s="1" t="n">
        <f aca="false">K88+J89</f>
        <v>302.4</v>
      </c>
      <c r="L89" s="1" t="n">
        <v>0.3</v>
      </c>
      <c r="M89" s="1" t="n">
        <f aca="false">M88+L89</f>
        <v>108.2</v>
      </c>
      <c r="N89" s="1" t="n">
        <v>3.7</v>
      </c>
      <c r="O89" s="1" t="n">
        <v>122.1</v>
      </c>
      <c r="P89" s="1" t="n">
        <v>84</v>
      </c>
      <c r="Q89" s="1" t="n">
        <f aca="false">0.35+((P89-8)/77)*(1-0.35)</f>
        <v>0.991558441558442</v>
      </c>
      <c r="R89" s="10" t="n">
        <f aca="false">Q89*L89</f>
        <v>0.297467532467532</v>
      </c>
      <c r="S89" s="10" t="n">
        <f aca="false">J89-R89</f>
        <v>3.70253246753247</v>
      </c>
      <c r="T89" s="10" t="n">
        <f aca="false">MIN(122.1,(T88+S89))</f>
        <v>122.1</v>
      </c>
      <c r="V89" s="1" t="n">
        <v>117</v>
      </c>
      <c r="X89" s="1" t="n">
        <v>61251</v>
      </c>
      <c r="AA89" s="12" t="n">
        <v>8.92611916703292</v>
      </c>
    </row>
    <row r="90" s="15" customFormat="true" ht="15" hidden="false" customHeight="false" outlineLevel="0" collapsed="false">
      <c r="A90" s="7"/>
      <c r="B90" s="13"/>
      <c r="C90" s="14" t="n">
        <v>41971</v>
      </c>
      <c r="D90" s="15" t="n">
        <v>7.8</v>
      </c>
      <c r="E90" s="15" t="n">
        <v>6.6</v>
      </c>
      <c r="F90" s="15" t="n">
        <v>11.7</v>
      </c>
      <c r="G90" s="16" t="n">
        <v>1083.1</v>
      </c>
      <c r="H90" s="16"/>
      <c r="I90" s="16"/>
      <c r="J90" s="15" t="n">
        <v>0.1</v>
      </c>
      <c r="K90" s="15" t="n">
        <f aca="false">K89+J90</f>
        <v>302.5</v>
      </c>
      <c r="L90" s="15" t="n">
        <v>1.1</v>
      </c>
      <c r="M90" s="15" t="n">
        <f aca="false">M89+L90</f>
        <v>109.3</v>
      </c>
      <c r="N90" s="15" t="n">
        <v>-1</v>
      </c>
      <c r="O90" s="15" t="n">
        <f aca="false">O89+N90</f>
        <v>121.1</v>
      </c>
      <c r="P90" s="15" t="n">
        <v>85</v>
      </c>
      <c r="Q90" s="15" t="n">
        <f aca="false">0.35+((P90-8)/77)*(1-0.35)</f>
        <v>1</v>
      </c>
      <c r="R90" s="17" t="n">
        <f aca="false">Q90*L90</f>
        <v>1.1</v>
      </c>
      <c r="S90" s="17" t="n">
        <f aca="false">J90-R90</f>
        <v>-1</v>
      </c>
      <c r="T90" s="17" t="n">
        <f aca="false">MIN(122.1,(T89+S90))</f>
        <v>121.1</v>
      </c>
      <c r="U90" s="16"/>
      <c r="V90" s="15" t="n">
        <v>608.1</v>
      </c>
      <c r="X90" s="16" t="n">
        <v>61859.1</v>
      </c>
      <c r="Y90" s="16"/>
      <c r="Z90" s="16"/>
      <c r="AA90" s="18" t="n">
        <v>8.89304925128208</v>
      </c>
    </row>
    <row r="91" customFormat="false" ht="15" hidden="false" customHeight="true" outlineLevel="0" collapsed="false">
      <c r="A91" s="19" t="s">
        <v>44</v>
      </c>
      <c r="B91" s="20"/>
      <c r="C91" s="8" t="n">
        <v>41972</v>
      </c>
      <c r="D91" s="1" t="n">
        <v>4.3</v>
      </c>
      <c r="E91" s="1" t="n">
        <v>2.7</v>
      </c>
      <c r="F91" s="1" t="n">
        <v>5.4</v>
      </c>
      <c r="G91" s="1" t="n">
        <v>1087.4</v>
      </c>
      <c r="H91" s="1" t="n">
        <v>4.3</v>
      </c>
      <c r="I91" s="21" t="s">
        <v>28</v>
      </c>
      <c r="J91" s="1" t="n">
        <v>0</v>
      </c>
      <c r="K91" s="1" t="n">
        <f aca="false">K90+J91</f>
        <v>302.5</v>
      </c>
      <c r="L91" s="1" t="n">
        <v>0.4</v>
      </c>
      <c r="M91" s="1" t="n">
        <f aca="false">M90+L91</f>
        <v>109.7</v>
      </c>
      <c r="N91" s="1" t="n">
        <v>-0.4</v>
      </c>
      <c r="O91" s="1" t="n">
        <f aca="false">O90+N91</f>
        <v>120.7</v>
      </c>
      <c r="P91" s="1" t="n">
        <v>86</v>
      </c>
      <c r="Q91" s="1" t="n">
        <v>1</v>
      </c>
      <c r="R91" s="10" t="n">
        <f aca="false">Q91*L91</f>
        <v>0.4</v>
      </c>
      <c r="S91" s="10" t="n">
        <f aca="false">J91-R91</f>
        <v>-0.4</v>
      </c>
      <c r="T91" s="10" t="n">
        <f aca="false">MIN(122.1,(T90+S91))</f>
        <v>120.7</v>
      </c>
      <c r="U91" s="21" t="s">
        <v>29</v>
      </c>
      <c r="V91" s="1" t="n">
        <v>162.8</v>
      </c>
      <c r="X91" s="1" t="n">
        <v>62021.9</v>
      </c>
      <c r="Y91" s="1" t="n">
        <v>162.8</v>
      </c>
      <c r="Z91" s="21" t="s">
        <v>30</v>
      </c>
      <c r="AA91" s="12" t="n">
        <v>8.86103090264026</v>
      </c>
    </row>
    <row r="92" customFormat="false" ht="15" hidden="false" customHeight="false" outlineLevel="0" collapsed="false">
      <c r="A92" s="19"/>
      <c r="B92" s="20"/>
      <c r="C92" s="8" t="n">
        <v>41973</v>
      </c>
      <c r="D92" s="1" t="n">
        <v>4</v>
      </c>
      <c r="E92" s="1" t="n">
        <v>3.6</v>
      </c>
      <c r="F92" s="1" t="n">
        <v>4.9</v>
      </c>
      <c r="G92" s="1" t="n">
        <v>1091.4</v>
      </c>
      <c r="H92" s="1" t="n">
        <v>8.3</v>
      </c>
      <c r="I92" s="1" t="n">
        <f aca="false">MIN(E91:E182)</f>
        <v>-6.9</v>
      </c>
      <c r="J92" s="1" t="n">
        <v>0.1</v>
      </c>
      <c r="K92" s="1" t="n">
        <f aca="false">K91+J92</f>
        <v>302.6</v>
      </c>
      <c r="L92" s="1" t="n">
        <v>0.3</v>
      </c>
      <c r="M92" s="1" t="n">
        <f aca="false">M91+L92</f>
        <v>110</v>
      </c>
      <c r="N92" s="1" t="n">
        <v>-0.2</v>
      </c>
      <c r="O92" s="1" t="n">
        <f aca="false">O91+N92</f>
        <v>120.5</v>
      </c>
      <c r="P92" s="1" t="n">
        <v>87</v>
      </c>
      <c r="Q92" s="1" t="n">
        <v>1</v>
      </c>
      <c r="R92" s="10" t="n">
        <f aca="false">Q92*L92</f>
        <v>0.3</v>
      </c>
      <c r="S92" s="10" t="n">
        <f aca="false">J92-R92</f>
        <v>-0.2</v>
      </c>
      <c r="T92" s="10" t="n">
        <f aca="false">MIN(122.1,(T91+S92))</f>
        <v>120.5</v>
      </c>
      <c r="U92" s="1" t="n">
        <v>48</v>
      </c>
      <c r="V92" s="1" t="n">
        <v>111.8</v>
      </c>
      <c r="X92" s="1" t="n">
        <v>62133.7</v>
      </c>
      <c r="Y92" s="1" t="n">
        <f aca="false">Y91+V92</f>
        <v>274.6</v>
      </c>
      <c r="Z92" s="1" t="n">
        <f aca="false">Y182</f>
        <v>31517.5</v>
      </c>
      <c r="AA92" s="12" t="n">
        <v>8.83009255626333</v>
      </c>
    </row>
    <row r="93" customFormat="false" ht="15" hidden="false" customHeight="false" outlineLevel="0" collapsed="false">
      <c r="A93" s="19"/>
      <c r="B93" s="20"/>
      <c r="C93" s="8" t="n">
        <v>41974</v>
      </c>
      <c r="D93" s="1" t="n">
        <v>3.2</v>
      </c>
      <c r="E93" s="1" t="n">
        <v>2</v>
      </c>
      <c r="F93" s="1" t="n">
        <v>4</v>
      </c>
      <c r="G93" s="1" t="n">
        <v>1094.6</v>
      </c>
      <c r="H93" s="1" t="n">
        <v>11.5</v>
      </c>
      <c r="I93" s="21" t="s">
        <v>31</v>
      </c>
      <c r="J93" s="1" t="n">
        <v>0</v>
      </c>
      <c r="K93" s="1" t="n">
        <f aca="false">K92+J93</f>
        <v>302.6</v>
      </c>
      <c r="L93" s="1" t="n">
        <v>0.3</v>
      </c>
      <c r="M93" s="1" t="n">
        <f aca="false">M92+L93</f>
        <v>110.3</v>
      </c>
      <c r="N93" s="1" t="n">
        <v>-0.3</v>
      </c>
      <c r="O93" s="1" t="n">
        <f aca="false">O92+N93</f>
        <v>120.2</v>
      </c>
      <c r="P93" s="1" t="n">
        <v>88</v>
      </c>
      <c r="Q93" s="1" t="n">
        <v>1</v>
      </c>
      <c r="R93" s="10" t="n">
        <f aca="false">Q93*L93</f>
        <v>0.3</v>
      </c>
      <c r="S93" s="10" t="n">
        <f aca="false">J93-R93</f>
        <v>-0.3</v>
      </c>
      <c r="T93" s="10" t="n">
        <f aca="false">MIN(122.1,(T92+S93))</f>
        <v>120.2</v>
      </c>
      <c r="U93" s="21" t="s">
        <v>32</v>
      </c>
      <c r="V93" s="1" t="n">
        <v>112.3</v>
      </c>
      <c r="X93" s="1" t="n">
        <v>62246</v>
      </c>
      <c r="Y93" s="1" t="n">
        <f aca="false">Y92+V93</f>
        <v>386.9</v>
      </c>
      <c r="Z93" s="21" t="s">
        <v>33</v>
      </c>
      <c r="AA93" s="12" t="n">
        <v>8.80026233510171</v>
      </c>
    </row>
    <row r="94" customFormat="false" ht="15" hidden="false" customHeight="false" outlineLevel="0" collapsed="false">
      <c r="A94" s="19"/>
      <c r="B94" s="20"/>
      <c r="C94" s="8" t="n">
        <v>41975</v>
      </c>
      <c r="D94" s="1" t="n">
        <v>3.5</v>
      </c>
      <c r="E94" s="1" t="n">
        <v>2.9</v>
      </c>
      <c r="F94" s="1" t="n">
        <v>4.1</v>
      </c>
      <c r="G94" s="1" t="n">
        <v>1098.1</v>
      </c>
      <c r="H94" s="1" t="n">
        <v>15</v>
      </c>
      <c r="I94" s="1" t="n">
        <f aca="false">MAX(F91:F182)</f>
        <v>13</v>
      </c>
      <c r="J94" s="1" t="n">
        <v>0.5</v>
      </c>
      <c r="K94" s="1" t="n">
        <f aca="false">K93+J94</f>
        <v>303.1</v>
      </c>
      <c r="L94" s="1" t="n">
        <v>0.2</v>
      </c>
      <c r="M94" s="1" t="n">
        <f aca="false">M93+L94</f>
        <v>110.5</v>
      </c>
      <c r="N94" s="1" t="n">
        <v>0.3</v>
      </c>
      <c r="O94" s="1" t="n">
        <f aca="false">O93+N94</f>
        <v>120.5</v>
      </c>
      <c r="P94" s="1" t="n">
        <v>89</v>
      </c>
      <c r="Q94" s="1" t="n">
        <v>1</v>
      </c>
      <c r="R94" s="10" t="n">
        <f aca="false">Q94*L94</f>
        <v>0.2</v>
      </c>
      <c r="S94" s="10" t="n">
        <f aca="false">J94-R94</f>
        <v>0.3</v>
      </c>
      <c r="T94" s="10" t="n">
        <f aca="false">MIN(122.1,(T93+S94))</f>
        <v>120.5</v>
      </c>
      <c r="U94" s="1" t="n">
        <v>0</v>
      </c>
      <c r="V94" s="1" t="n">
        <v>169.7</v>
      </c>
      <c r="X94" s="1" t="n">
        <v>62415.7</v>
      </c>
      <c r="Y94" s="1" t="n">
        <f aca="false">Y93+V94</f>
        <v>556.6</v>
      </c>
      <c r="Z94" s="11" t="n">
        <f aca="false">(Z92/100)/I104</f>
        <v>0.975471990095946</v>
      </c>
      <c r="AA94" s="12" t="n">
        <v>8.7715679717963</v>
      </c>
    </row>
    <row r="95" customFormat="false" ht="15" hidden="false" customHeight="false" outlineLevel="0" collapsed="false">
      <c r="A95" s="19"/>
      <c r="B95" s="20"/>
      <c r="C95" s="8" t="n">
        <v>41976</v>
      </c>
      <c r="D95" s="1" t="n">
        <v>3.5</v>
      </c>
      <c r="E95" s="1" t="n">
        <v>2.8</v>
      </c>
      <c r="F95" s="1" t="n">
        <v>4.2</v>
      </c>
      <c r="G95" s="1" t="n">
        <v>1101.6</v>
      </c>
      <c r="H95" s="1" t="n">
        <v>18.5</v>
      </c>
      <c r="I95" s="21" t="s">
        <v>34</v>
      </c>
      <c r="J95" s="1" t="n">
        <v>0.7</v>
      </c>
      <c r="K95" s="1" t="n">
        <f aca="false">K94+J95</f>
        <v>303.8</v>
      </c>
      <c r="L95" s="1" t="n">
        <v>0.4</v>
      </c>
      <c r="M95" s="1" t="n">
        <f aca="false">M94+L95</f>
        <v>110.9</v>
      </c>
      <c r="N95" s="1" t="n">
        <v>0.3</v>
      </c>
      <c r="O95" s="1" t="n">
        <f aca="false">O94+N95</f>
        <v>120.8</v>
      </c>
      <c r="P95" s="1" t="n">
        <v>90</v>
      </c>
      <c r="Q95" s="1" t="n">
        <v>1</v>
      </c>
      <c r="R95" s="10" t="n">
        <f aca="false">Q95*L95</f>
        <v>0.4</v>
      </c>
      <c r="S95" s="10" t="n">
        <f aca="false">J95-R95</f>
        <v>0.3</v>
      </c>
      <c r="T95" s="10" t="n">
        <f aca="false">MIN(122.1,(T94+S95))</f>
        <v>120.8</v>
      </c>
      <c r="U95" s="21" t="s">
        <v>35</v>
      </c>
      <c r="V95" s="1" t="n">
        <v>160.7</v>
      </c>
      <c r="X95" s="1" t="n">
        <v>62576.4</v>
      </c>
      <c r="Y95" s="1" t="n">
        <f aca="false">Y94+V95</f>
        <v>717.3</v>
      </c>
      <c r="Z95" s="21" t="s">
        <v>36</v>
      </c>
      <c r="AA95" s="12" t="n">
        <v>8.74403672868584</v>
      </c>
    </row>
    <row r="96" customFormat="false" ht="15" hidden="false" customHeight="false" outlineLevel="0" collapsed="false">
      <c r="A96" s="19"/>
      <c r="B96" s="20"/>
      <c r="C96" s="8" t="n">
        <v>41977</v>
      </c>
      <c r="D96" s="1" t="n">
        <v>4.5</v>
      </c>
      <c r="E96" s="1" t="n">
        <v>3.4</v>
      </c>
      <c r="F96" s="1" t="n">
        <v>5.2</v>
      </c>
      <c r="G96" s="1" t="n">
        <v>1106.1</v>
      </c>
      <c r="H96" s="1" t="n">
        <v>23</v>
      </c>
      <c r="I96" s="10" t="n">
        <f aca="false">AVERAGE(D91:D182)</f>
        <v>3.32608695652174</v>
      </c>
      <c r="J96" s="1" t="n">
        <v>3.2</v>
      </c>
      <c r="K96" s="1" t="n">
        <f aca="false">K95+J96</f>
        <v>307</v>
      </c>
      <c r="L96" s="1" t="n">
        <v>0.2</v>
      </c>
      <c r="M96" s="1" t="n">
        <f aca="false">M95+L96</f>
        <v>111.1</v>
      </c>
      <c r="N96" s="1" t="n">
        <v>3</v>
      </c>
      <c r="O96" s="1" t="n">
        <v>122.1</v>
      </c>
      <c r="P96" s="1" t="n">
        <v>91</v>
      </c>
      <c r="Q96" s="1" t="n">
        <v>1</v>
      </c>
      <c r="R96" s="10" t="n">
        <f aca="false">Q96*L96</f>
        <v>0.2</v>
      </c>
      <c r="S96" s="10" t="n">
        <f aca="false">J96-R96</f>
        <v>3</v>
      </c>
      <c r="T96" s="10" t="n">
        <f aca="false">MIN(122.1,(T95+S96))</f>
        <v>122.1</v>
      </c>
      <c r="U96" s="1" t="n">
        <v>0</v>
      </c>
      <c r="V96" s="1" t="n">
        <v>128.3</v>
      </c>
      <c r="X96" s="1" t="n">
        <v>62704.7</v>
      </c>
      <c r="Y96" s="1" t="n">
        <f aca="false">Y95+V96</f>
        <v>845.6</v>
      </c>
      <c r="Z96" s="1" t="n">
        <v>84</v>
      </c>
      <c r="AA96" s="12" t="n">
        <v>8.71769531630004</v>
      </c>
    </row>
    <row r="97" customFormat="false" ht="15" hidden="false" customHeight="false" outlineLevel="0" collapsed="false">
      <c r="A97" s="19"/>
      <c r="B97" s="20"/>
      <c r="C97" s="8" t="n">
        <v>41978</v>
      </c>
      <c r="D97" s="1" t="n">
        <v>5.2</v>
      </c>
      <c r="E97" s="1" t="n">
        <v>4.8</v>
      </c>
      <c r="F97" s="1" t="n">
        <v>6.2</v>
      </c>
      <c r="G97" s="1" t="n">
        <v>1111.3</v>
      </c>
      <c r="H97" s="1" t="n">
        <v>28.2</v>
      </c>
      <c r="I97" s="21" t="s">
        <v>37</v>
      </c>
      <c r="J97" s="1" t="n">
        <v>0</v>
      </c>
      <c r="K97" s="1" t="n">
        <f aca="false">K96+J97</f>
        <v>307</v>
      </c>
      <c r="L97" s="1" t="n">
        <v>0.5</v>
      </c>
      <c r="M97" s="1" t="n">
        <f aca="false">M96+L97</f>
        <v>111.6</v>
      </c>
      <c r="N97" s="1" t="n">
        <v>-0.5</v>
      </c>
      <c r="O97" s="1" t="n">
        <f aca="false">O96+N97</f>
        <v>121.6</v>
      </c>
      <c r="P97" s="1" t="n">
        <v>92</v>
      </c>
      <c r="Q97" s="1" t="n">
        <v>1</v>
      </c>
      <c r="R97" s="10" t="n">
        <f aca="false">Q97*L97</f>
        <v>0.5</v>
      </c>
      <c r="S97" s="10" t="n">
        <f aca="false">J97-R97</f>
        <v>-0.5</v>
      </c>
      <c r="T97" s="10" t="n">
        <f aca="false">MIN(122.1,(T96+S97))</f>
        <v>121.6</v>
      </c>
      <c r="U97" s="21" t="s">
        <v>38</v>
      </c>
      <c r="V97" s="1" t="n">
        <v>89.5</v>
      </c>
      <c r="X97" s="1" t="n">
        <v>62794.2</v>
      </c>
      <c r="Y97" s="1" t="n">
        <f aca="false">Y96+V97</f>
        <v>935.1</v>
      </c>
      <c r="AA97" s="12" t="n">
        <v>8.69256981074726</v>
      </c>
    </row>
    <row r="98" customFormat="false" ht="15" hidden="false" customHeight="false" outlineLevel="0" collapsed="false">
      <c r="A98" s="19"/>
      <c r="B98" s="20"/>
      <c r="C98" s="8" t="n">
        <v>41979</v>
      </c>
      <c r="D98" s="1" t="n">
        <v>4.7</v>
      </c>
      <c r="E98" s="1" t="n">
        <v>4.1</v>
      </c>
      <c r="F98" s="1" t="n">
        <v>5</v>
      </c>
      <c r="G98" s="1" t="n">
        <v>1116</v>
      </c>
      <c r="H98" s="1" t="n">
        <v>32.9</v>
      </c>
      <c r="I98" s="1" t="n">
        <v>32</v>
      </c>
      <c r="J98" s="1" t="n">
        <v>0</v>
      </c>
      <c r="K98" s="1" t="n">
        <f aca="false">K97+J98</f>
        <v>307</v>
      </c>
      <c r="L98" s="1" t="n">
        <v>0.6</v>
      </c>
      <c r="M98" s="1" t="n">
        <f aca="false">M97+L98</f>
        <v>112.2</v>
      </c>
      <c r="N98" s="1" t="n">
        <v>-0.6</v>
      </c>
      <c r="O98" s="1" t="n">
        <f aca="false">O97+N98</f>
        <v>121</v>
      </c>
      <c r="P98" s="1" t="n">
        <v>93</v>
      </c>
      <c r="Q98" s="1" t="n">
        <v>1</v>
      </c>
      <c r="R98" s="10" t="n">
        <f aca="false">Q98*L98</f>
        <v>0.6</v>
      </c>
      <c r="S98" s="10" t="n">
        <f aca="false">J98-R98</f>
        <v>-0.6</v>
      </c>
      <c r="T98" s="10" t="n">
        <f aca="false">MIN(122.1,(T97+S98))</f>
        <v>121</v>
      </c>
      <c r="U98" s="10" t="n">
        <f aca="false">MIN(T91:T182)</f>
        <v>110.5</v>
      </c>
      <c r="V98" s="1" t="n">
        <v>145.3</v>
      </c>
      <c r="X98" s="1" t="n">
        <v>62939.5</v>
      </c>
      <c r="Y98" s="1" t="n">
        <f aca="false">Y97+V98</f>
        <v>1080.4</v>
      </c>
      <c r="AA98" s="12" t="n">
        <v>8.66868557043816</v>
      </c>
    </row>
    <row r="99" customFormat="false" ht="15" hidden="false" customHeight="false" outlineLevel="0" collapsed="false">
      <c r="A99" s="19"/>
      <c r="B99" s="20"/>
      <c r="C99" s="8" t="n">
        <v>41980</v>
      </c>
      <c r="D99" s="1" t="n">
        <v>4.3</v>
      </c>
      <c r="E99" s="1" t="n">
        <v>2.9</v>
      </c>
      <c r="F99" s="1" t="n">
        <v>5.7</v>
      </c>
      <c r="G99" s="1" t="n">
        <v>1120.3</v>
      </c>
      <c r="H99" s="1" t="n">
        <v>37.2</v>
      </c>
      <c r="I99" s="21" t="s">
        <v>39</v>
      </c>
      <c r="J99" s="1" t="n">
        <v>1.8</v>
      </c>
      <c r="K99" s="1" t="n">
        <f aca="false">K98+J99</f>
        <v>308.8</v>
      </c>
      <c r="L99" s="1" t="n">
        <v>0.5</v>
      </c>
      <c r="M99" s="1" t="n">
        <f aca="false">M98+L99</f>
        <v>112.7</v>
      </c>
      <c r="N99" s="1" t="n">
        <v>1.3</v>
      </c>
      <c r="O99" s="1" t="n">
        <v>122.1</v>
      </c>
      <c r="P99" s="1" t="n">
        <v>94</v>
      </c>
      <c r="Q99" s="1" t="n">
        <v>1</v>
      </c>
      <c r="R99" s="10" t="n">
        <f aca="false">Q99*L99</f>
        <v>0.5</v>
      </c>
      <c r="S99" s="10" t="n">
        <f aca="false">J99-R99</f>
        <v>1.3</v>
      </c>
      <c r="T99" s="10" t="n">
        <f aca="false">MIN(122.1,(T98+S99))</f>
        <v>122.1</v>
      </c>
      <c r="U99" s="21" t="s">
        <v>40</v>
      </c>
      <c r="V99" s="1" t="n">
        <v>132.6</v>
      </c>
      <c r="X99" s="1" t="n">
        <v>63072.1</v>
      </c>
      <c r="Y99" s="1" t="n">
        <f aca="false">Y98+V99</f>
        <v>1213</v>
      </c>
      <c r="AA99" s="12" t="n">
        <v>8.64606715261643</v>
      </c>
    </row>
    <row r="100" customFormat="false" ht="15" hidden="false" customHeight="false" outlineLevel="0" collapsed="false">
      <c r="A100" s="19"/>
      <c r="B100" s="20"/>
      <c r="C100" s="8" t="n">
        <v>41981</v>
      </c>
      <c r="D100" s="1" t="n">
        <v>4.3</v>
      </c>
      <c r="E100" s="1" t="n">
        <v>2.8</v>
      </c>
      <c r="F100" s="1" t="n">
        <v>5.7</v>
      </c>
      <c r="G100" s="1" t="n">
        <v>1124.6</v>
      </c>
      <c r="H100" s="1" t="n">
        <v>41.5</v>
      </c>
      <c r="I100" s="1" t="n">
        <v>0</v>
      </c>
      <c r="J100" s="1" t="n">
        <v>4.7</v>
      </c>
      <c r="K100" s="1" t="n">
        <f aca="false">K99+J100</f>
        <v>313.5</v>
      </c>
      <c r="L100" s="1" t="n">
        <v>0.3</v>
      </c>
      <c r="M100" s="1" t="n">
        <f aca="false">M99+L100</f>
        <v>113</v>
      </c>
      <c r="N100" s="1" t="n">
        <v>4.4</v>
      </c>
      <c r="O100" s="1" t="n">
        <v>122.1</v>
      </c>
      <c r="P100" s="1" t="n">
        <v>95</v>
      </c>
      <c r="Q100" s="1" t="n">
        <v>1</v>
      </c>
      <c r="R100" s="10" t="n">
        <f aca="false">Q100*L100</f>
        <v>0.3</v>
      </c>
      <c r="S100" s="10" t="n">
        <f aca="false">J100-R100</f>
        <v>4.4</v>
      </c>
      <c r="T100" s="10" t="n">
        <f aca="false">MIN(122.1,(T99+S100))</f>
        <v>122.1</v>
      </c>
      <c r="U100" s="1" t="n">
        <v>122.1</v>
      </c>
      <c r="V100" s="1" t="n">
        <v>285.5</v>
      </c>
      <c r="X100" s="1" t="n">
        <v>63357.6</v>
      </c>
      <c r="Y100" s="1" t="n">
        <f aca="false">Y99+V100</f>
        <v>1498.5</v>
      </c>
      <c r="AA100" s="12" t="n">
        <v>8.62473823019423</v>
      </c>
    </row>
    <row r="101" customFormat="false" ht="15" hidden="false" customHeight="false" outlineLevel="0" collapsed="false">
      <c r="A101" s="19"/>
      <c r="B101" s="20"/>
      <c r="C101" s="8" t="n">
        <v>41982</v>
      </c>
      <c r="D101" s="1" t="n">
        <v>2.7</v>
      </c>
      <c r="E101" s="1" t="n">
        <v>2.5</v>
      </c>
      <c r="F101" s="1" t="n">
        <v>4.6</v>
      </c>
      <c r="G101" s="1" t="n">
        <v>1127.3</v>
      </c>
      <c r="H101" s="1" t="n">
        <v>44.2</v>
      </c>
      <c r="I101" s="21" t="s">
        <v>41</v>
      </c>
      <c r="J101" s="1" t="n">
        <v>0</v>
      </c>
      <c r="K101" s="1" t="n">
        <f aca="false">K100+J101</f>
        <v>313.5</v>
      </c>
      <c r="L101" s="1" t="n">
        <v>0.6</v>
      </c>
      <c r="M101" s="1" t="n">
        <f aca="false">M100+L101</f>
        <v>113.6</v>
      </c>
      <c r="N101" s="1" t="n">
        <v>-0.6</v>
      </c>
      <c r="O101" s="1" t="n">
        <f aca="false">O100+N101</f>
        <v>121.5</v>
      </c>
      <c r="P101" s="1" t="n">
        <v>96</v>
      </c>
      <c r="Q101" s="1" t="n">
        <v>1</v>
      </c>
      <c r="R101" s="10" t="n">
        <f aca="false">Q101*L101</f>
        <v>0.6</v>
      </c>
      <c r="S101" s="10" t="n">
        <f aca="false">J101-R101</f>
        <v>-0.6</v>
      </c>
      <c r="T101" s="10" t="n">
        <f aca="false">MIN(122.1,(T100+S101))</f>
        <v>121.5</v>
      </c>
      <c r="U101" s="21" t="s">
        <v>42</v>
      </c>
      <c r="V101" s="1" t="n">
        <v>149.4</v>
      </c>
      <c r="X101" s="1" t="n">
        <v>63507</v>
      </c>
      <c r="Y101" s="1" t="n">
        <f aca="false">Y100+V101</f>
        <v>1647.9</v>
      </c>
      <c r="AA101" s="12" t="n">
        <v>8.60472150941196</v>
      </c>
    </row>
    <row r="102" customFormat="false" ht="15" hidden="false" customHeight="false" outlineLevel="0" collapsed="false">
      <c r="A102" s="19"/>
      <c r="B102" s="20"/>
      <c r="C102" s="8" t="n">
        <v>41983</v>
      </c>
      <c r="D102" s="1" t="n">
        <v>1.6</v>
      </c>
      <c r="E102" s="1" t="n">
        <v>-1.1</v>
      </c>
      <c r="F102" s="1" t="n">
        <v>5.4</v>
      </c>
      <c r="G102" s="1" t="n">
        <v>1128.9</v>
      </c>
      <c r="H102" s="1" t="n">
        <v>45.8</v>
      </c>
      <c r="I102" s="1" t="n">
        <v>49</v>
      </c>
      <c r="J102" s="1" t="n">
        <v>4.3</v>
      </c>
      <c r="K102" s="1" t="n">
        <f aca="false">K101+J102</f>
        <v>317.8</v>
      </c>
      <c r="L102" s="1" t="n">
        <v>0.3</v>
      </c>
      <c r="M102" s="1" t="n">
        <f aca="false">M101+L102</f>
        <v>113.9</v>
      </c>
      <c r="N102" s="1" t="n">
        <v>4</v>
      </c>
      <c r="O102" s="1" t="n">
        <v>122.1</v>
      </c>
      <c r="P102" s="1" t="n">
        <v>97</v>
      </c>
      <c r="Q102" s="1" t="n">
        <v>1</v>
      </c>
      <c r="R102" s="10" t="n">
        <f aca="false">Q102*L102</f>
        <v>0.3</v>
      </c>
      <c r="S102" s="10" t="n">
        <f aca="false">J102-R102</f>
        <v>4</v>
      </c>
      <c r="T102" s="10" t="n">
        <f aca="false">MIN(122.1,(T101+S102))</f>
        <v>122.1</v>
      </c>
      <c r="U102" s="10" t="n">
        <f aca="false">AVERAGE(T91:T182)</f>
        <v>120.690217391304</v>
      </c>
      <c r="V102" s="1" t="n">
        <v>98.2</v>
      </c>
      <c r="X102" s="1" t="n">
        <v>63605.2</v>
      </c>
      <c r="Y102" s="1" t="n">
        <f aca="false">Y101+V102</f>
        <v>1746.1</v>
      </c>
      <c r="AA102" s="12" t="n">
        <v>8.58603864886015</v>
      </c>
    </row>
    <row r="103" customFormat="false" ht="15" hidden="false" customHeight="false" outlineLevel="0" collapsed="false">
      <c r="A103" s="19"/>
      <c r="B103" s="20"/>
      <c r="C103" s="8" t="n">
        <v>41984</v>
      </c>
      <c r="D103" s="1" t="n">
        <v>6</v>
      </c>
      <c r="E103" s="1" t="n">
        <v>2.8</v>
      </c>
      <c r="F103" s="1" t="n">
        <v>7.2</v>
      </c>
      <c r="G103" s="1" t="n">
        <v>1134.9</v>
      </c>
      <c r="H103" s="1" t="n">
        <v>51.8</v>
      </c>
      <c r="I103" s="21" t="s">
        <v>43</v>
      </c>
      <c r="J103" s="1" t="n">
        <v>0.8</v>
      </c>
      <c r="K103" s="1" t="n">
        <f aca="false">K102+J103</f>
        <v>318.6</v>
      </c>
      <c r="L103" s="1" t="n">
        <v>0.2</v>
      </c>
      <c r="M103" s="1" t="n">
        <f aca="false">M102+L103</f>
        <v>114.1</v>
      </c>
      <c r="N103" s="1" t="n">
        <v>0.6</v>
      </c>
      <c r="O103" s="1" t="n">
        <v>122.1</v>
      </c>
      <c r="P103" s="1" t="n">
        <v>98</v>
      </c>
      <c r="Q103" s="1" t="n">
        <v>1</v>
      </c>
      <c r="R103" s="10" t="n">
        <f aca="false">Q103*L103</f>
        <v>0.2</v>
      </c>
      <c r="S103" s="10" t="n">
        <f aca="false">J103-R103</f>
        <v>0.6</v>
      </c>
      <c r="T103" s="10" t="n">
        <f aca="false">MIN(122.1,(T102+S103))</f>
        <v>122.1</v>
      </c>
      <c r="U103" s="21" t="s">
        <v>45</v>
      </c>
      <c r="V103" s="1" t="n">
        <v>164.4</v>
      </c>
      <c r="X103" s="1" t="n">
        <v>63769.6</v>
      </c>
      <c r="Y103" s="1" t="n">
        <f aca="false">Y102+V103</f>
        <v>1910.5</v>
      </c>
      <c r="AA103" s="12" t="n">
        <v>8.56871018041351</v>
      </c>
    </row>
    <row r="104" customFormat="false" ht="15" hidden="false" customHeight="false" outlineLevel="0" collapsed="false">
      <c r="A104" s="19"/>
      <c r="B104" s="3"/>
      <c r="C104" s="8" t="n">
        <v>41985</v>
      </c>
      <c r="D104" s="1" t="n">
        <v>6.6</v>
      </c>
      <c r="E104" s="1" t="n">
        <v>5.3</v>
      </c>
      <c r="F104" s="1" t="n">
        <v>7.6</v>
      </c>
      <c r="G104" s="1" t="n">
        <v>1141.5</v>
      </c>
      <c r="H104" s="1" t="n">
        <v>58.4</v>
      </c>
      <c r="I104" s="1" t="n">
        <v>323.1</v>
      </c>
      <c r="J104" s="1" t="n">
        <v>0</v>
      </c>
      <c r="K104" s="1" t="n">
        <f aca="false">K103+J104</f>
        <v>318.6</v>
      </c>
      <c r="L104" s="1" t="n">
        <v>0.9</v>
      </c>
      <c r="M104" s="1" t="n">
        <f aca="false">M103+L104</f>
        <v>115</v>
      </c>
      <c r="N104" s="1" t="n">
        <v>-0.9</v>
      </c>
      <c r="O104" s="1" t="n">
        <f aca="false">O103+N104</f>
        <v>121.2</v>
      </c>
      <c r="P104" s="1" t="n">
        <v>99</v>
      </c>
      <c r="Q104" s="1" t="n">
        <v>1</v>
      </c>
      <c r="R104" s="10" t="n">
        <f aca="false">Q104*L104</f>
        <v>0.9</v>
      </c>
      <c r="S104" s="10" t="n">
        <f aca="false">J104-R104</f>
        <v>-0.9</v>
      </c>
      <c r="T104" s="10" t="n">
        <f aca="false">MIN(122.1,(T103+S104))</f>
        <v>121.2</v>
      </c>
      <c r="U104" s="10" t="n">
        <v>40</v>
      </c>
      <c r="V104" s="1" t="n">
        <v>109.9</v>
      </c>
      <c r="X104" s="1" t="n">
        <v>63879.5</v>
      </c>
      <c r="Y104" s="1" t="n">
        <f aca="false">Y103+V104</f>
        <v>2020.4</v>
      </c>
      <c r="AA104" s="12" t="n">
        <v>8.55275543263421</v>
      </c>
    </row>
    <row r="105" customFormat="false" ht="15" hidden="false" customHeight="false" outlineLevel="0" collapsed="false">
      <c r="A105" s="19"/>
      <c r="B105" s="3"/>
      <c r="C105" s="8" t="n">
        <v>41986</v>
      </c>
      <c r="D105" s="1" t="n">
        <v>8.9</v>
      </c>
      <c r="E105" s="1" t="n">
        <v>6.5</v>
      </c>
      <c r="F105" s="1" t="n">
        <v>11.7</v>
      </c>
      <c r="G105" s="1" t="n">
        <v>1150.4</v>
      </c>
      <c r="H105" s="1" t="n">
        <v>67.3</v>
      </c>
      <c r="J105" s="1" t="n">
        <v>5.7</v>
      </c>
      <c r="K105" s="1" t="n">
        <f aca="false">K104+J105</f>
        <v>324.3</v>
      </c>
      <c r="L105" s="1" t="n">
        <v>1</v>
      </c>
      <c r="M105" s="1" t="n">
        <f aca="false">M104+L105</f>
        <v>116</v>
      </c>
      <c r="N105" s="1" t="n">
        <v>4.7</v>
      </c>
      <c r="O105" s="1" t="n">
        <v>122.1</v>
      </c>
      <c r="P105" s="1" t="n">
        <v>100</v>
      </c>
      <c r="Q105" s="1" t="n">
        <v>1</v>
      </c>
      <c r="R105" s="10" t="n">
        <f aca="false">Q105*L105</f>
        <v>1</v>
      </c>
      <c r="S105" s="10" t="n">
        <f aca="false">J105-R105</f>
        <v>4.7</v>
      </c>
      <c r="T105" s="10" t="n">
        <f aca="false">MIN(122.1,(T104+S105))</f>
        <v>122.1</v>
      </c>
      <c r="V105" s="1" t="n">
        <v>246.5</v>
      </c>
      <c r="X105" s="1" t="n">
        <v>64126</v>
      </c>
      <c r="Y105" s="1" t="n">
        <f aca="false">Y104+V105</f>
        <v>2266.9</v>
      </c>
      <c r="AA105" s="12" t="n">
        <v>8.53819245720233</v>
      </c>
    </row>
    <row r="106" customFormat="false" ht="15" hidden="false" customHeight="false" outlineLevel="0" collapsed="false">
      <c r="A106" s="19"/>
      <c r="B106" s="3"/>
      <c r="C106" s="8" t="n">
        <v>41987</v>
      </c>
      <c r="D106" s="1" t="n">
        <v>8.2</v>
      </c>
      <c r="E106" s="1" t="n">
        <v>7.3</v>
      </c>
      <c r="F106" s="1" t="n">
        <v>10.4</v>
      </c>
      <c r="G106" s="1" t="n">
        <v>1158.6</v>
      </c>
      <c r="H106" s="1" t="n">
        <v>75.5</v>
      </c>
      <c r="J106" s="1" t="n">
        <v>0.9</v>
      </c>
      <c r="K106" s="1" t="n">
        <f aca="false">K105+J106</f>
        <v>325.2</v>
      </c>
      <c r="L106" s="1" t="n">
        <v>0.3</v>
      </c>
      <c r="M106" s="1" t="n">
        <f aca="false">M105+L106</f>
        <v>116.3</v>
      </c>
      <c r="N106" s="1" t="n">
        <v>0.6</v>
      </c>
      <c r="O106" s="1" t="n">
        <v>122.1</v>
      </c>
      <c r="P106" s="1" t="n">
        <v>101</v>
      </c>
      <c r="Q106" s="1" t="n">
        <v>1</v>
      </c>
      <c r="R106" s="10" t="n">
        <f aca="false">Q106*L106</f>
        <v>0.3</v>
      </c>
      <c r="S106" s="10" t="n">
        <f aca="false">J106-R106</f>
        <v>0.6</v>
      </c>
      <c r="T106" s="10" t="n">
        <f aca="false">MIN(122.1,(T105+S106))</f>
        <v>122.1</v>
      </c>
      <c r="U106" s="1" t="n">
        <f aca="false">(U102*100)/122.1</f>
        <v>98.8453868888652</v>
      </c>
      <c r="V106" s="1" t="n">
        <v>273.4</v>
      </c>
      <c r="X106" s="1" t="n">
        <v>64399.4</v>
      </c>
      <c r="Y106" s="1" t="n">
        <f aca="false">Y105+V106</f>
        <v>2540.3</v>
      </c>
      <c r="AA106" s="12" t="n">
        <v>8.52503795892559</v>
      </c>
    </row>
    <row r="107" customFormat="false" ht="15" hidden="false" customHeight="false" outlineLevel="0" collapsed="false">
      <c r="A107" s="19"/>
      <c r="B107" s="3"/>
      <c r="C107" s="8" t="n">
        <v>41988</v>
      </c>
      <c r="D107" s="1" t="n">
        <v>7.1</v>
      </c>
      <c r="E107" s="1" t="n">
        <v>6.5</v>
      </c>
      <c r="F107" s="1" t="n">
        <v>9</v>
      </c>
      <c r="G107" s="1" t="n">
        <v>1165.7</v>
      </c>
      <c r="H107" s="1" t="n">
        <v>82.6</v>
      </c>
      <c r="J107" s="1" t="n">
        <v>1.8</v>
      </c>
      <c r="K107" s="1" t="n">
        <f aca="false">K106+J107</f>
        <v>327</v>
      </c>
      <c r="L107" s="1" t="n">
        <v>0.2</v>
      </c>
      <c r="M107" s="1" t="n">
        <f aca="false">M106+L107</f>
        <v>116.5</v>
      </c>
      <c r="N107" s="1" t="n">
        <v>1.6</v>
      </c>
      <c r="O107" s="1" t="n">
        <v>122.1</v>
      </c>
      <c r="P107" s="1" t="n">
        <v>102</v>
      </c>
      <c r="Q107" s="1" t="n">
        <v>1</v>
      </c>
      <c r="R107" s="10" t="n">
        <f aca="false">Q107*L107</f>
        <v>0.2</v>
      </c>
      <c r="S107" s="10" t="n">
        <f aca="false">J107-R107</f>
        <v>1.6</v>
      </c>
      <c r="T107" s="10" t="n">
        <f aca="false">MIN(122.1,(T106+S107))</f>
        <v>122.1</v>
      </c>
      <c r="V107" s="1" t="n">
        <v>144.4</v>
      </c>
      <c r="X107" s="1" t="n">
        <v>64543.8</v>
      </c>
      <c r="Y107" s="1" t="n">
        <f aca="false">Y106+V107</f>
        <v>2684.7</v>
      </c>
      <c r="AA107" s="12" t="n">
        <v>8.51330722986839</v>
      </c>
    </row>
    <row r="108" customFormat="false" ht="15" hidden="false" customHeight="false" outlineLevel="0" collapsed="false">
      <c r="A108" s="19"/>
      <c r="B108" s="20"/>
      <c r="C108" s="8" t="n">
        <v>41989</v>
      </c>
      <c r="D108" s="1" t="n">
        <v>5.2</v>
      </c>
      <c r="E108" s="1" t="n">
        <v>3.1</v>
      </c>
      <c r="F108" s="1" t="n">
        <v>7.2</v>
      </c>
      <c r="G108" s="1" t="n">
        <v>1170.9</v>
      </c>
      <c r="H108" s="1" t="n">
        <v>87.8</v>
      </c>
      <c r="J108" s="1" t="n">
        <v>0.1</v>
      </c>
      <c r="K108" s="1" t="n">
        <f aca="false">K107+J108</f>
        <v>327.1</v>
      </c>
      <c r="L108" s="1" t="n">
        <v>0.1</v>
      </c>
      <c r="M108" s="1" t="n">
        <f aca="false">M107+L108</f>
        <v>116.6</v>
      </c>
      <c r="N108" s="1" t="n">
        <v>0</v>
      </c>
      <c r="O108" s="1" t="n">
        <f aca="false">O107+N108</f>
        <v>122.1</v>
      </c>
      <c r="P108" s="1" t="n">
        <v>103</v>
      </c>
      <c r="Q108" s="1" t="n">
        <v>1</v>
      </c>
      <c r="R108" s="10" t="n">
        <f aca="false">Q108*L108</f>
        <v>0.1</v>
      </c>
      <c r="S108" s="10" t="n">
        <f aca="false">J108-R108</f>
        <v>0</v>
      </c>
      <c r="T108" s="10" t="n">
        <f aca="false">MIN(122.1,(T107+S108))</f>
        <v>122.1</v>
      </c>
      <c r="V108" s="1" t="n">
        <v>107.2</v>
      </c>
      <c r="X108" s="1" t="n">
        <v>64651</v>
      </c>
      <c r="Y108" s="1" t="n">
        <f aca="false">Y107+V108</f>
        <v>2791.9</v>
      </c>
      <c r="AA108" s="12" t="n">
        <v>8.50301408812104</v>
      </c>
    </row>
    <row r="109" customFormat="false" ht="15" hidden="false" customHeight="false" outlineLevel="0" collapsed="false">
      <c r="A109" s="19"/>
      <c r="B109" s="20"/>
      <c r="C109" s="8" t="n">
        <v>41990</v>
      </c>
      <c r="D109" s="1" t="n">
        <v>3.9</v>
      </c>
      <c r="E109" s="1" t="n">
        <v>1.2</v>
      </c>
      <c r="F109" s="1" t="n">
        <v>7.8</v>
      </c>
      <c r="G109" s="1" t="n">
        <v>1174.8</v>
      </c>
      <c r="H109" s="1" t="n">
        <v>91.7</v>
      </c>
      <c r="J109" s="1" t="n">
        <v>21.3</v>
      </c>
      <c r="K109" s="1" t="n">
        <f aca="false">K108+J109</f>
        <v>348.4</v>
      </c>
      <c r="L109" s="1" t="n">
        <v>0.4</v>
      </c>
      <c r="M109" s="1" t="n">
        <f aca="false">M108+L109</f>
        <v>117</v>
      </c>
      <c r="N109" s="1" t="n">
        <v>20.9</v>
      </c>
      <c r="O109" s="1" t="n">
        <v>122.1</v>
      </c>
      <c r="P109" s="1" t="n">
        <v>104</v>
      </c>
      <c r="Q109" s="1" t="n">
        <v>1</v>
      </c>
      <c r="R109" s="10" t="n">
        <f aca="false">Q109*L109</f>
        <v>0.4</v>
      </c>
      <c r="S109" s="10" t="n">
        <f aca="false">J109-R109</f>
        <v>20.9</v>
      </c>
      <c r="T109" s="10" t="n">
        <f aca="false">MIN(122.1,(T108+S109))</f>
        <v>122.1</v>
      </c>
      <c r="V109" s="1" t="n">
        <v>96.9</v>
      </c>
      <c r="X109" s="1" t="n">
        <v>64747.9</v>
      </c>
      <c r="Y109" s="1" t="n">
        <f aca="false">Y108+V109</f>
        <v>2888.8</v>
      </c>
      <c r="AA109" s="12" t="n">
        <v>8.49417082170416</v>
      </c>
    </row>
    <row r="110" customFormat="false" ht="15" hidden="false" customHeight="false" outlineLevel="0" collapsed="false">
      <c r="A110" s="19"/>
      <c r="B110" s="3"/>
      <c r="C110" s="8" t="n">
        <v>41991</v>
      </c>
      <c r="D110" s="1" t="n">
        <v>9.6</v>
      </c>
      <c r="E110" s="1" t="n">
        <v>5.5</v>
      </c>
      <c r="F110" s="1" t="n">
        <v>11.4</v>
      </c>
      <c r="G110" s="1" t="n">
        <v>1184.4</v>
      </c>
      <c r="H110" s="1" t="n">
        <v>101.3</v>
      </c>
      <c r="J110" s="1" t="n">
        <v>1.4</v>
      </c>
      <c r="K110" s="1" t="n">
        <f aca="false">K109+J110</f>
        <v>349.8</v>
      </c>
      <c r="L110" s="1" t="n">
        <v>0.1</v>
      </c>
      <c r="M110" s="1" t="n">
        <f aca="false">M109+L110</f>
        <v>117.1</v>
      </c>
      <c r="N110" s="1" t="n">
        <v>1.3</v>
      </c>
      <c r="O110" s="1" t="n">
        <v>122.1</v>
      </c>
      <c r="P110" s="1" t="n">
        <v>105</v>
      </c>
      <c r="Q110" s="1" t="n">
        <v>1</v>
      </c>
      <c r="R110" s="10" t="n">
        <f aca="false">Q110*L110</f>
        <v>0.1</v>
      </c>
      <c r="S110" s="10" t="n">
        <f aca="false">J110-R110</f>
        <v>1.3</v>
      </c>
      <c r="T110" s="10" t="n">
        <f aca="false">MIN(122.1,(T109+S110))</f>
        <v>122.1</v>
      </c>
      <c r="V110" s="1" t="n">
        <v>101.3</v>
      </c>
      <c r="X110" s="1" t="n">
        <v>64849.2</v>
      </c>
      <c r="Y110" s="1" t="n">
        <f aca="false">Y109+V110</f>
        <v>2990.1</v>
      </c>
      <c r="AA110" s="12" t="n">
        <v>8.48678813807072</v>
      </c>
    </row>
    <row r="111" customFormat="false" ht="15" hidden="false" customHeight="false" outlineLevel="0" collapsed="false">
      <c r="A111" s="19"/>
      <c r="B111" s="3"/>
      <c r="C111" s="8" t="n">
        <v>41992</v>
      </c>
      <c r="D111" s="1" t="n">
        <v>10.7</v>
      </c>
      <c r="E111" s="1" t="n">
        <v>10</v>
      </c>
      <c r="F111" s="1" t="n">
        <v>11.8</v>
      </c>
      <c r="G111" s="1" t="n">
        <v>1195.1</v>
      </c>
      <c r="H111" s="1" t="n">
        <v>112</v>
      </c>
      <c r="J111" s="1" t="n">
        <v>2.2</v>
      </c>
      <c r="K111" s="1" t="n">
        <f aca="false">K110+J111</f>
        <v>352</v>
      </c>
      <c r="L111" s="1" t="n">
        <v>1</v>
      </c>
      <c r="M111" s="1" t="n">
        <f aca="false">M110+L111</f>
        <v>118.1</v>
      </c>
      <c r="N111" s="1" t="n">
        <v>1.2</v>
      </c>
      <c r="O111" s="1" t="n">
        <v>122.1</v>
      </c>
      <c r="P111" s="1" t="n">
        <v>106</v>
      </c>
      <c r="Q111" s="1" t="n">
        <v>1</v>
      </c>
      <c r="R111" s="10" t="n">
        <f aca="false">Q111*L111</f>
        <v>1</v>
      </c>
      <c r="S111" s="10" t="n">
        <f aca="false">J111-R111</f>
        <v>1.2</v>
      </c>
      <c r="T111" s="10" t="n">
        <f aca="false">MIN(122.1,(T110+S111))</f>
        <v>122.1</v>
      </c>
      <c r="V111" s="1" t="n">
        <v>84.7</v>
      </c>
      <c r="X111" s="1" t="n">
        <v>64933.9</v>
      </c>
      <c r="Y111" s="1" t="n">
        <f aca="false">Y110+V111</f>
        <v>3074.8</v>
      </c>
      <c r="AA111" s="12" t="n">
        <v>8.48087511962942</v>
      </c>
    </row>
    <row r="112" customFormat="false" ht="15" hidden="false" customHeight="false" outlineLevel="0" collapsed="false">
      <c r="A112" s="19"/>
      <c r="B112" s="3"/>
      <c r="C112" s="8" t="n">
        <v>41993</v>
      </c>
      <c r="D112" s="1" t="n">
        <v>6.3</v>
      </c>
      <c r="E112" s="1" t="n">
        <v>5.7</v>
      </c>
      <c r="F112" s="1" t="n">
        <v>7.4</v>
      </c>
      <c r="G112" s="1" t="n">
        <v>1201.4</v>
      </c>
      <c r="H112" s="1" t="n">
        <v>118.3</v>
      </c>
      <c r="J112" s="1" t="n">
        <v>0.1</v>
      </c>
      <c r="K112" s="1" t="n">
        <f aca="false">K111+J112</f>
        <v>352.1</v>
      </c>
      <c r="L112" s="1" t="n">
        <v>0.8</v>
      </c>
      <c r="M112" s="1" t="n">
        <f aca="false">M111+L112</f>
        <v>118.9</v>
      </c>
      <c r="N112" s="1" t="n">
        <v>-0.7</v>
      </c>
      <c r="O112" s="1" t="n">
        <f aca="false">O111+N112</f>
        <v>121.4</v>
      </c>
      <c r="P112" s="1" t="n">
        <v>107</v>
      </c>
      <c r="Q112" s="1" t="n">
        <v>1</v>
      </c>
      <c r="R112" s="10" t="n">
        <f aca="false">Q112*L112</f>
        <v>0.8</v>
      </c>
      <c r="S112" s="10" t="n">
        <f aca="false">J112-R112</f>
        <v>-0.7</v>
      </c>
      <c r="T112" s="10" t="n">
        <f aca="false">MIN(122.1,(T111+S112))</f>
        <v>121.4</v>
      </c>
      <c r="V112" s="1" t="n">
        <v>201.5</v>
      </c>
      <c r="X112" s="1" t="n">
        <v>65135.4</v>
      </c>
      <c r="Y112" s="1" t="n">
        <f aca="false">Y111+V112</f>
        <v>3276.3</v>
      </c>
      <c r="AA112" s="12" t="n">
        <v>8.47643918566801</v>
      </c>
    </row>
    <row r="113" customFormat="false" ht="15" hidden="false" customHeight="false" outlineLevel="0" collapsed="false">
      <c r="A113" s="19"/>
      <c r="B113" s="20"/>
      <c r="C113" s="8" t="n">
        <v>41994</v>
      </c>
      <c r="D113" s="1" t="n">
        <v>6.1</v>
      </c>
      <c r="E113" s="1" t="n">
        <v>3.4</v>
      </c>
      <c r="F113" s="1" t="n">
        <v>8.8</v>
      </c>
      <c r="G113" s="1" t="n">
        <v>1207.5</v>
      </c>
      <c r="H113" s="1" t="n">
        <v>124.4</v>
      </c>
      <c r="J113" s="1" t="n">
        <v>0</v>
      </c>
      <c r="K113" s="1" t="n">
        <f aca="false">K112+J113</f>
        <v>352.1</v>
      </c>
      <c r="L113" s="1" t="n">
        <v>0.6</v>
      </c>
      <c r="M113" s="1" t="n">
        <f aca="false">M112+L113</f>
        <v>119.5</v>
      </c>
      <c r="N113" s="1" t="n">
        <v>-0.6</v>
      </c>
      <c r="O113" s="1" t="n">
        <f aca="false">O112+N113</f>
        <v>120.8</v>
      </c>
      <c r="P113" s="1" t="n">
        <v>108</v>
      </c>
      <c r="Q113" s="1" t="n">
        <v>1</v>
      </c>
      <c r="R113" s="10" t="n">
        <f aca="false">Q113*L113</f>
        <v>0.6</v>
      </c>
      <c r="S113" s="10" t="n">
        <f aca="false">J113-R113</f>
        <v>-0.6</v>
      </c>
      <c r="T113" s="10" t="n">
        <f aca="false">MIN(122.1,(T112+S113))</f>
        <v>120.8</v>
      </c>
      <c r="V113" s="1" t="n">
        <v>175.1</v>
      </c>
      <c r="X113" s="1" t="n">
        <v>65310.5</v>
      </c>
      <c r="Y113" s="1" t="n">
        <f aca="false">Y112+V113</f>
        <v>3451.4</v>
      </c>
      <c r="AA113" s="12" t="n">
        <v>8.47348606100485</v>
      </c>
    </row>
    <row r="114" customFormat="false" ht="15" hidden="false" customHeight="false" outlineLevel="0" collapsed="false">
      <c r="A114" s="19"/>
      <c r="B114" s="20"/>
      <c r="C114" s="8" t="n">
        <v>41995</v>
      </c>
      <c r="D114" s="1" t="n">
        <v>3.5</v>
      </c>
      <c r="E114" s="1" t="n">
        <v>1.9</v>
      </c>
      <c r="F114" s="1" t="n">
        <v>7.6</v>
      </c>
      <c r="G114" s="1" t="n">
        <v>1211</v>
      </c>
      <c r="H114" s="1" t="n">
        <v>127.9</v>
      </c>
      <c r="J114" s="1" t="n">
        <v>0</v>
      </c>
      <c r="K114" s="1" t="n">
        <f aca="false">K113+J114</f>
        <v>352.1</v>
      </c>
      <c r="L114" s="1" t="n">
        <v>0.7</v>
      </c>
      <c r="M114" s="1" t="n">
        <f aca="false">M113+L114</f>
        <v>120.2</v>
      </c>
      <c r="N114" s="1" t="n">
        <v>-0.7</v>
      </c>
      <c r="O114" s="1" t="n">
        <f aca="false">O113+N114</f>
        <v>120.1</v>
      </c>
      <c r="P114" s="1" t="n">
        <v>109</v>
      </c>
      <c r="Q114" s="1" t="n">
        <v>1</v>
      </c>
      <c r="R114" s="10" t="n">
        <f aca="false">Q114*L114</f>
        <v>0.7</v>
      </c>
      <c r="S114" s="10" t="n">
        <f aca="false">J114-R114</f>
        <v>-0.7</v>
      </c>
      <c r="T114" s="10" t="n">
        <f aca="false">MIN(122.1,(T113+S114))</f>
        <v>120.1</v>
      </c>
      <c r="V114" s="1" t="n">
        <v>434.5</v>
      </c>
      <c r="X114" s="1" t="n">
        <v>65745</v>
      </c>
      <c r="Y114" s="1" t="n">
        <f aca="false">Y113+V114</f>
        <v>3885.9</v>
      </c>
      <c r="AA114" s="12" t="n">
        <v>8.47201975164208</v>
      </c>
    </row>
    <row r="115" customFormat="false" ht="15" hidden="false" customHeight="false" outlineLevel="0" collapsed="false">
      <c r="A115" s="19"/>
      <c r="B115" s="20"/>
      <c r="C115" s="8" t="n">
        <v>41996</v>
      </c>
      <c r="D115" s="1" t="n">
        <v>-1.4</v>
      </c>
      <c r="E115" s="1" t="n">
        <v>-1.9</v>
      </c>
      <c r="F115" s="1" t="n">
        <v>-0.1</v>
      </c>
      <c r="G115" s="1" t="n">
        <v>1211</v>
      </c>
      <c r="H115" s="1" t="n">
        <v>127.9</v>
      </c>
      <c r="J115" s="1" t="n">
        <v>0.1</v>
      </c>
      <c r="K115" s="1" t="n">
        <f aca="false">K114+J115</f>
        <v>352.2</v>
      </c>
      <c r="L115" s="1" t="n">
        <v>0.6</v>
      </c>
      <c r="M115" s="1" t="n">
        <f aca="false">M114+L115</f>
        <v>120.8</v>
      </c>
      <c r="N115" s="1" t="n">
        <v>-0.5</v>
      </c>
      <c r="O115" s="1" t="n">
        <f aca="false">O114+N115</f>
        <v>119.6</v>
      </c>
      <c r="P115" s="1" t="n">
        <v>110</v>
      </c>
      <c r="Q115" s="1" t="n">
        <v>1</v>
      </c>
      <c r="R115" s="10" t="n">
        <f aca="false">Q115*L115</f>
        <v>0.6</v>
      </c>
      <c r="S115" s="10" t="n">
        <f aca="false">J115-R115</f>
        <v>-0.5</v>
      </c>
      <c r="T115" s="10" t="n">
        <f aca="false">MIN(122.1,(T114+S115))</f>
        <v>119.6</v>
      </c>
      <c r="V115" s="1" t="n">
        <v>269.1</v>
      </c>
      <c r="X115" s="1" t="n">
        <v>66014.1</v>
      </c>
      <c r="Y115" s="1" t="n">
        <f aca="false">Y114+V115</f>
        <v>4155</v>
      </c>
      <c r="AA115" s="12" t="n">
        <v>8.47204252763407</v>
      </c>
    </row>
    <row r="116" customFormat="false" ht="15" hidden="false" customHeight="false" outlineLevel="0" collapsed="false">
      <c r="A116" s="19"/>
      <c r="B116" s="20"/>
      <c r="C116" s="8" t="n">
        <v>41997</v>
      </c>
      <c r="D116" s="1" t="n">
        <v>4</v>
      </c>
      <c r="E116" s="1" t="n">
        <v>-2.4</v>
      </c>
      <c r="F116" s="1" t="n">
        <v>7.2</v>
      </c>
      <c r="G116" s="1" t="n">
        <v>1215</v>
      </c>
      <c r="H116" s="1" t="n">
        <v>131.9</v>
      </c>
      <c r="J116" s="1" t="n">
        <v>1</v>
      </c>
      <c r="K116" s="1" t="n">
        <f aca="false">K115+J116</f>
        <v>353.2</v>
      </c>
      <c r="L116" s="1" t="n">
        <v>0.2</v>
      </c>
      <c r="M116" s="1" t="n">
        <f aca="false">M115+L116</f>
        <v>121</v>
      </c>
      <c r="N116" s="1" t="n">
        <v>0.8</v>
      </c>
      <c r="O116" s="1" t="n">
        <f aca="false">O115+N116</f>
        <v>120.4</v>
      </c>
      <c r="P116" s="1" t="n">
        <v>111</v>
      </c>
      <c r="Q116" s="1" t="n">
        <v>1</v>
      </c>
      <c r="R116" s="10" t="n">
        <f aca="false">Q116*L116</f>
        <v>0.2</v>
      </c>
      <c r="S116" s="10" t="n">
        <f aca="false">J116-R116</f>
        <v>0.8</v>
      </c>
      <c r="T116" s="10" t="n">
        <f aca="false">MIN(122.1,(T115+S116))</f>
        <v>120.4</v>
      </c>
      <c r="V116" s="1" t="n">
        <v>412.9</v>
      </c>
      <c r="X116" s="1" t="n">
        <v>66427</v>
      </c>
      <c r="Y116" s="1" t="n">
        <f aca="false">Y115+V116</f>
        <v>4567.9</v>
      </c>
      <c r="AA116" s="12" t="n">
        <v>8.47355491332281</v>
      </c>
    </row>
    <row r="117" customFormat="false" ht="15" hidden="false" customHeight="false" outlineLevel="0" collapsed="false">
      <c r="A117" s="19"/>
      <c r="B117" s="20"/>
      <c r="C117" s="8" t="n">
        <v>41998</v>
      </c>
      <c r="D117" s="1" t="n">
        <v>4.7</v>
      </c>
      <c r="E117" s="1" t="n">
        <v>2.2</v>
      </c>
      <c r="F117" s="1" t="n">
        <v>8.3</v>
      </c>
      <c r="G117" s="1" t="n">
        <v>1219.7</v>
      </c>
      <c r="H117" s="1" t="n">
        <v>136.6</v>
      </c>
      <c r="J117" s="1" t="n">
        <v>0.2</v>
      </c>
      <c r="K117" s="1" t="n">
        <f aca="false">K116+J117</f>
        <v>353.4</v>
      </c>
      <c r="L117" s="1" t="n">
        <v>0.4</v>
      </c>
      <c r="M117" s="1" t="n">
        <f aca="false">M116+L117</f>
        <v>121.4</v>
      </c>
      <c r="N117" s="1" t="n">
        <v>-0.2</v>
      </c>
      <c r="O117" s="1" t="n">
        <f aca="false">O116+N117</f>
        <v>120.2</v>
      </c>
      <c r="P117" s="1" t="n">
        <v>112</v>
      </c>
      <c r="Q117" s="1" t="n">
        <v>1</v>
      </c>
      <c r="R117" s="10" t="n">
        <f aca="false">Q117*L117</f>
        <v>0.4</v>
      </c>
      <c r="S117" s="10" t="n">
        <f aca="false">J117-R117</f>
        <v>-0.2</v>
      </c>
      <c r="T117" s="10" t="n">
        <f aca="false">MIN(122.1,(T116+S117))</f>
        <v>120.2</v>
      </c>
      <c r="V117" s="1" t="n">
        <v>308.5</v>
      </c>
      <c r="X117" s="1" t="n">
        <v>66735.5</v>
      </c>
      <c r="Y117" s="1" t="n">
        <f aca="false">Y116+V117</f>
        <v>4876.4</v>
      </c>
      <c r="AA117" s="12" t="n">
        <v>8.4765556850269</v>
      </c>
    </row>
    <row r="118" customFormat="false" ht="15" hidden="false" customHeight="false" outlineLevel="0" collapsed="false">
      <c r="A118" s="19"/>
      <c r="B118" s="20"/>
      <c r="C118" s="8" t="n">
        <v>41999</v>
      </c>
      <c r="D118" s="1" t="n">
        <v>1.2</v>
      </c>
      <c r="E118" s="1" t="n">
        <v>-1.6</v>
      </c>
      <c r="F118" s="1" t="n">
        <v>4.7</v>
      </c>
      <c r="G118" s="1" t="n">
        <v>1220.9</v>
      </c>
      <c r="H118" s="1" t="n">
        <v>137.8</v>
      </c>
      <c r="J118" s="1" t="n">
        <v>2.1</v>
      </c>
      <c r="K118" s="1" t="n">
        <f aca="false">K117+J118</f>
        <v>355.5</v>
      </c>
      <c r="L118" s="1" t="n">
        <v>0.3</v>
      </c>
      <c r="M118" s="1" t="n">
        <f aca="false">M117+L118</f>
        <v>121.7</v>
      </c>
      <c r="N118" s="1" t="n">
        <v>1.8</v>
      </c>
      <c r="O118" s="1" t="n">
        <f aca="false">O117+N118</f>
        <v>122</v>
      </c>
      <c r="P118" s="1" t="n">
        <v>113</v>
      </c>
      <c r="Q118" s="1" t="n">
        <v>1</v>
      </c>
      <c r="R118" s="10" t="n">
        <f aca="false">Q118*L118</f>
        <v>0.3</v>
      </c>
      <c r="S118" s="10" t="n">
        <f aca="false">J118-R118</f>
        <v>1.8</v>
      </c>
      <c r="T118" s="10" t="n">
        <f aca="false">MIN(122.1,(T117+S118))</f>
        <v>122</v>
      </c>
      <c r="V118" s="1" t="n">
        <v>128.5</v>
      </c>
      <c r="X118" s="1" t="n">
        <v>66864</v>
      </c>
      <c r="Y118" s="1" t="n">
        <f aca="false">Y117+V118</f>
        <v>5004.9</v>
      </c>
      <c r="AA118" s="12" t="n">
        <v>8.48104187620463</v>
      </c>
    </row>
    <row r="119" customFormat="false" ht="15" hidden="false" customHeight="false" outlineLevel="0" collapsed="false">
      <c r="A119" s="19"/>
      <c r="B119" s="20"/>
      <c r="C119" s="8" t="n">
        <v>42000</v>
      </c>
      <c r="D119" s="1" t="n">
        <v>3.2</v>
      </c>
      <c r="E119" s="1" t="n">
        <v>0.8</v>
      </c>
      <c r="F119" s="1" t="n">
        <v>5.8</v>
      </c>
      <c r="G119" s="1" t="n">
        <v>1224.1</v>
      </c>
      <c r="H119" s="1" t="n">
        <v>141</v>
      </c>
      <c r="J119" s="1" t="n">
        <v>6.5</v>
      </c>
      <c r="K119" s="1" t="n">
        <f aca="false">K118+J119</f>
        <v>362</v>
      </c>
      <c r="L119" s="1" t="n">
        <v>0.9</v>
      </c>
      <c r="M119" s="1" t="n">
        <f aca="false">M118+L119</f>
        <v>122.6</v>
      </c>
      <c r="N119" s="1" t="n">
        <v>5.6</v>
      </c>
      <c r="O119" s="1" t="n">
        <v>122.1</v>
      </c>
      <c r="P119" s="1" t="n">
        <v>114</v>
      </c>
      <c r="Q119" s="1" t="n">
        <v>1</v>
      </c>
      <c r="R119" s="10" t="n">
        <f aca="false">Q119*L119</f>
        <v>0.9</v>
      </c>
      <c r="S119" s="10" t="n">
        <f aca="false">J119-R119</f>
        <v>5.6</v>
      </c>
      <c r="T119" s="10" t="n">
        <f aca="false">MIN(122.1,(T118+S119))</f>
        <v>122.1</v>
      </c>
      <c r="V119" s="1" t="n">
        <v>161.1</v>
      </c>
      <c r="X119" s="1" t="n">
        <v>67025.1</v>
      </c>
      <c r="Y119" s="1" t="n">
        <f aca="false">Y118+V119</f>
        <v>5166</v>
      </c>
      <c r="AA119" s="12" t="n">
        <v>8.48700879004572</v>
      </c>
    </row>
    <row r="120" customFormat="false" ht="15" hidden="false" customHeight="false" outlineLevel="0" collapsed="false">
      <c r="A120" s="19"/>
      <c r="B120" s="20"/>
      <c r="C120" s="8" t="n">
        <v>42001</v>
      </c>
      <c r="D120" s="1" t="n">
        <v>-0.8</v>
      </c>
      <c r="E120" s="1" t="n">
        <v>-1.9</v>
      </c>
      <c r="F120" s="1" t="n">
        <v>0.9</v>
      </c>
      <c r="G120" s="1" t="n">
        <v>1224.1</v>
      </c>
      <c r="H120" s="1" t="n">
        <v>141</v>
      </c>
      <c r="J120" s="1" t="n">
        <v>0</v>
      </c>
      <c r="K120" s="1" t="n">
        <f aca="false">K119+J120</f>
        <v>362</v>
      </c>
      <c r="L120" s="1" t="n">
        <v>0.7</v>
      </c>
      <c r="M120" s="1" t="n">
        <f aca="false">M119+L120</f>
        <v>123.3</v>
      </c>
      <c r="N120" s="1" t="n">
        <v>-0.7</v>
      </c>
      <c r="O120" s="1" t="n">
        <f aca="false">O119+N120</f>
        <v>121.4</v>
      </c>
      <c r="P120" s="1" t="n">
        <v>115</v>
      </c>
      <c r="Q120" s="1" t="n">
        <v>1</v>
      </c>
      <c r="R120" s="10" t="n">
        <f aca="false">Q120*L120</f>
        <v>0.7</v>
      </c>
      <c r="S120" s="10" t="n">
        <f aca="false">J120-R120</f>
        <v>-0.7</v>
      </c>
      <c r="T120" s="10" t="n">
        <f aca="false">MIN(122.1,(T119+S120))</f>
        <v>121.4</v>
      </c>
      <c r="V120" s="1" t="n">
        <v>105.8</v>
      </c>
      <c r="X120" s="1" t="n">
        <v>67130.9</v>
      </c>
      <c r="Y120" s="1" t="n">
        <f aca="false">Y119+V120</f>
        <v>5271.8</v>
      </c>
      <c r="AA120" s="12" t="n">
        <v>8.49445001937997</v>
      </c>
    </row>
    <row r="121" customFormat="false" ht="15" hidden="false" customHeight="false" outlineLevel="0" collapsed="false">
      <c r="A121" s="19"/>
      <c r="B121" s="20"/>
      <c r="C121" s="8" t="n">
        <v>42002</v>
      </c>
      <c r="D121" s="1" t="n">
        <v>-3.2</v>
      </c>
      <c r="E121" s="1" t="n">
        <v>-6.9</v>
      </c>
      <c r="F121" s="1" t="n">
        <v>-1.2</v>
      </c>
      <c r="G121" s="1" t="n">
        <v>1224.1</v>
      </c>
      <c r="H121" s="1" t="n">
        <v>141</v>
      </c>
      <c r="J121" s="1" t="n">
        <v>0</v>
      </c>
      <c r="K121" s="1" t="n">
        <f aca="false">K120+J121</f>
        <v>362</v>
      </c>
      <c r="L121" s="1" t="n">
        <v>0.3</v>
      </c>
      <c r="M121" s="1" t="n">
        <f aca="false">M120+L121</f>
        <v>123.6</v>
      </c>
      <c r="N121" s="1" t="n">
        <v>-0.3</v>
      </c>
      <c r="O121" s="1" t="n">
        <f aca="false">O120+N121</f>
        <v>121.1</v>
      </c>
      <c r="P121" s="1" t="n">
        <v>116</v>
      </c>
      <c r="Q121" s="1" t="n">
        <v>1</v>
      </c>
      <c r="R121" s="10" t="n">
        <f aca="false">Q121*L121</f>
        <v>0.3</v>
      </c>
      <c r="S121" s="10" t="n">
        <f aca="false">J121-R121</f>
        <v>-0.3</v>
      </c>
      <c r="T121" s="10" t="n">
        <f aca="false">MIN(122.1,(T120+S121))</f>
        <v>121.1</v>
      </c>
      <c r="V121" s="1" t="n">
        <v>166.4</v>
      </c>
      <c r="X121" s="1" t="n">
        <v>67297.3</v>
      </c>
      <c r="Y121" s="1" t="n">
        <f aca="false">Y120+V121</f>
        <v>5438.2</v>
      </c>
      <c r="AA121" s="12" t="n">
        <v>8.50335747372761</v>
      </c>
    </row>
    <row r="122" customFormat="false" ht="15" hidden="false" customHeight="false" outlineLevel="0" collapsed="false">
      <c r="A122" s="19"/>
      <c r="B122" s="20"/>
      <c r="C122" s="8" t="n">
        <v>42003</v>
      </c>
      <c r="D122" s="1" t="n">
        <v>-0.4</v>
      </c>
      <c r="E122" s="1" t="n">
        <v>-2.3</v>
      </c>
      <c r="F122" s="1" t="n">
        <v>1.2</v>
      </c>
      <c r="G122" s="1" t="n">
        <v>1224.1</v>
      </c>
      <c r="H122" s="1" t="n">
        <v>141</v>
      </c>
      <c r="J122" s="1" t="n">
        <v>0</v>
      </c>
      <c r="K122" s="1" t="n">
        <f aca="false">K121+J122</f>
        <v>362</v>
      </c>
      <c r="L122" s="1" t="n">
        <v>0.2</v>
      </c>
      <c r="M122" s="1" t="n">
        <f aca="false">M121+L122</f>
        <v>123.8</v>
      </c>
      <c r="N122" s="1" t="n">
        <v>-0.2</v>
      </c>
      <c r="O122" s="1" t="n">
        <f aca="false">O121+N122</f>
        <v>120.9</v>
      </c>
      <c r="P122" s="1" t="n">
        <v>117</v>
      </c>
      <c r="Q122" s="1" t="n">
        <v>1</v>
      </c>
      <c r="R122" s="10" t="n">
        <f aca="false">Q122*L122</f>
        <v>0.2</v>
      </c>
      <c r="S122" s="10" t="n">
        <f aca="false">J122-R122</f>
        <v>-0.2</v>
      </c>
      <c r="T122" s="10" t="n">
        <f aca="false">MIN(122.1,(T121+S122))</f>
        <v>120.9</v>
      </c>
      <c r="V122" s="1" t="n">
        <v>115.4</v>
      </c>
      <c r="X122" s="1" t="n">
        <v>67412.7</v>
      </c>
      <c r="Y122" s="1" t="n">
        <f aca="false">Y121+V122</f>
        <v>5553.6</v>
      </c>
      <c r="AA122" s="12" t="n">
        <v>8.51372141325442</v>
      </c>
    </row>
    <row r="123" customFormat="false" ht="15" hidden="false" customHeight="false" outlineLevel="0" collapsed="false">
      <c r="A123" s="19"/>
      <c r="B123" s="20"/>
      <c r="C123" s="8" t="n">
        <v>42004</v>
      </c>
      <c r="D123" s="1" t="n">
        <v>0.4</v>
      </c>
      <c r="E123" s="1" t="n">
        <v>-1.4</v>
      </c>
      <c r="F123" s="1" t="n">
        <v>3.3</v>
      </c>
      <c r="G123" s="1" t="n">
        <v>1224.5</v>
      </c>
      <c r="H123" s="1" t="n">
        <v>141.4</v>
      </c>
      <c r="J123" s="1" t="n">
        <v>0</v>
      </c>
      <c r="K123" s="1" t="n">
        <f aca="false">K122+J123</f>
        <v>362</v>
      </c>
      <c r="L123" s="1" t="n">
        <v>0.7</v>
      </c>
      <c r="M123" s="1" t="n">
        <f aca="false">M122+L123</f>
        <v>124.5</v>
      </c>
      <c r="N123" s="1" t="n">
        <v>-0.7</v>
      </c>
      <c r="O123" s="1" t="n">
        <f aca="false">O122+N123</f>
        <v>120.2</v>
      </c>
      <c r="P123" s="1" t="n">
        <v>118</v>
      </c>
      <c r="Q123" s="1" t="n">
        <v>1</v>
      </c>
      <c r="R123" s="10" t="n">
        <f aca="false">Q123*L123</f>
        <v>0.7</v>
      </c>
      <c r="S123" s="10" t="n">
        <f aca="false">J123-R123</f>
        <v>-0.7</v>
      </c>
      <c r="T123" s="10" t="n">
        <f aca="false">MIN(122.1,(T122+S123))</f>
        <v>120.2</v>
      </c>
      <c r="V123" s="1" t="n">
        <v>309.8</v>
      </c>
      <c r="X123" s="1" t="n">
        <v>67722.5</v>
      </c>
      <c r="Y123" s="1" t="n">
        <f aca="false">Y122+V123</f>
        <v>5863.4</v>
      </c>
      <c r="AA123" s="12" t="n">
        <v>8.52553048933725</v>
      </c>
    </row>
    <row r="124" customFormat="false" ht="15" hidden="false" customHeight="false" outlineLevel="0" collapsed="false">
      <c r="A124" s="19"/>
      <c r="B124" s="20"/>
      <c r="C124" s="8" t="n">
        <v>42005</v>
      </c>
      <c r="D124" s="1" t="n">
        <v>-2.5</v>
      </c>
      <c r="E124" s="1" t="n">
        <v>-3.7</v>
      </c>
      <c r="F124" s="1" t="n">
        <v>-2</v>
      </c>
      <c r="G124" s="1" t="n">
        <v>1224.5</v>
      </c>
      <c r="H124" s="1" t="n">
        <v>141.4</v>
      </c>
      <c r="J124" s="1" t="n">
        <v>0</v>
      </c>
      <c r="K124" s="1" t="n">
        <f aca="false">K123+J124</f>
        <v>362</v>
      </c>
      <c r="L124" s="1" t="n">
        <v>0.4</v>
      </c>
      <c r="M124" s="1" t="n">
        <f aca="false">M123+L124</f>
        <v>124.9</v>
      </c>
      <c r="N124" s="1" t="n">
        <v>-0.4</v>
      </c>
      <c r="O124" s="1" t="n">
        <f aca="false">O123+N124</f>
        <v>119.8</v>
      </c>
      <c r="P124" s="1" t="n">
        <v>119</v>
      </c>
      <c r="Q124" s="1" t="n">
        <v>1</v>
      </c>
      <c r="R124" s="10" t="n">
        <f aca="false">Q124*L124</f>
        <v>0.4</v>
      </c>
      <c r="S124" s="10" t="n">
        <f aca="false">J124-R124</f>
        <v>-0.4</v>
      </c>
      <c r="T124" s="10" t="n">
        <f aca="false">MIN(122.1,(T123+S124))</f>
        <v>119.8</v>
      </c>
      <c r="V124" s="1" t="n">
        <v>223.3</v>
      </c>
      <c r="X124" s="1" t="n">
        <v>67945.8</v>
      </c>
      <c r="Y124" s="1" t="n">
        <f aca="false">Y123+V124</f>
        <v>6086.7</v>
      </c>
      <c r="AA124" s="12" t="n">
        <v>8.54304250452668</v>
      </c>
    </row>
    <row r="125" customFormat="false" ht="15" hidden="false" customHeight="false" outlineLevel="0" collapsed="false">
      <c r="A125" s="19"/>
      <c r="B125" s="20"/>
      <c r="C125" s="8" t="n">
        <v>42006</v>
      </c>
      <c r="D125" s="1" t="n">
        <v>-0.4</v>
      </c>
      <c r="E125" s="1" t="n">
        <v>-2.7</v>
      </c>
      <c r="F125" s="1" t="n">
        <v>1.9</v>
      </c>
      <c r="G125" s="1" t="n">
        <v>1224.5</v>
      </c>
      <c r="H125" s="1" t="n">
        <v>141.4</v>
      </c>
      <c r="J125" s="1" t="n">
        <v>2.6</v>
      </c>
      <c r="K125" s="1" t="n">
        <f aca="false">K124+J125</f>
        <v>364.6</v>
      </c>
      <c r="L125" s="1" t="n">
        <v>0.3</v>
      </c>
      <c r="M125" s="1" t="n">
        <f aca="false">M124+L125</f>
        <v>125.2</v>
      </c>
      <c r="N125" s="1" t="n">
        <v>2.3</v>
      </c>
      <c r="O125" s="1" t="n">
        <f aca="false">O124+N125</f>
        <v>122.1</v>
      </c>
      <c r="P125" s="1" t="n">
        <v>120</v>
      </c>
      <c r="Q125" s="1" t="n">
        <v>1</v>
      </c>
      <c r="R125" s="10" t="n">
        <f aca="false">Q125*L125</f>
        <v>0.3</v>
      </c>
      <c r="S125" s="10" t="n">
        <f aca="false">J125-R125</f>
        <v>2.3</v>
      </c>
      <c r="T125" s="10" t="n">
        <f aca="false">MIN(122.1,(T124+S125))</f>
        <v>122.1</v>
      </c>
      <c r="V125" s="1" t="n">
        <v>94.2</v>
      </c>
      <c r="X125" s="1" t="n">
        <v>68040</v>
      </c>
      <c r="Y125" s="1" t="n">
        <f aca="false">Y124+V125</f>
        <v>6180.9</v>
      </c>
      <c r="AA125" s="12" t="n">
        <v>8.55812599175033</v>
      </c>
    </row>
    <row r="126" customFormat="false" ht="15" hidden="false" customHeight="false" outlineLevel="0" collapsed="false">
      <c r="A126" s="19"/>
      <c r="B126" s="20"/>
      <c r="C126" s="8" t="n">
        <v>42007</v>
      </c>
      <c r="D126" s="1" t="n">
        <v>5.9</v>
      </c>
      <c r="E126" s="1" t="n">
        <v>1.5</v>
      </c>
      <c r="F126" s="1" t="n">
        <v>10.5</v>
      </c>
      <c r="G126" s="1" t="n">
        <v>1230.4</v>
      </c>
      <c r="H126" s="1" t="n">
        <v>147.3</v>
      </c>
      <c r="J126" s="1" t="n">
        <v>3.7</v>
      </c>
      <c r="K126" s="1" t="n">
        <f aca="false">K125+J126</f>
        <v>368.3</v>
      </c>
      <c r="L126" s="1" t="n">
        <v>0.4</v>
      </c>
      <c r="M126" s="1" t="n">
        <f aca="false">M125+L126</f>
        <v>125.6</v>
      </c>
      <c r="N126" s="1" t="n">
        <v>3.3</v>
      </c>
      <c r="O126" s="1" t="n">
        <v>122.1</v>
      </c>
      <c r="P126" s="1" t="n">
        <v>121</v>
      </c>
      <c r="Q126" s="1" t="n">
        <v>1</v>
      </c>
      <c r="R126" s="10" t="n">
        <f aca="false">Q126*L126</f>
        <v>0.4</v>
      </c>
      <c r="S126" s="10" t="n">
        <f aca="false">J126-R126</f>
        <v>3.3</v>
      </c>
      <c r="T126" s="10" t="n">
        <f aca="false">MIN(122.1,(T125+S126))</f>
        <v>122.1</v>
      </c>
      <c r="V126" s="1" t="n">
        <v>104</v>
      </c>
      <c r="X126" s="1" t="n">
        <v>68144</v>
      </c>
      <c r="Y126" s="1" t="n">
        <f aca="false">Y125+V126</f>
        <v>6284.9</v>
      </c>
      <c r="AA126" s="12" t="n">
        <v>8.57460635413208</v>
      </c>
    </row>
    <row r="127" customFormat="false" ht="15" hidden="false" customHeight="false" outlineLevel="0" collapsed="false">
      <c r="A127" s="19"/>
      <c r="B127" s="20"/>
      <c r="C127" s="8" t="n">
        <v>42008</v>
      </c>
      <c r="D127" s="1" t="n">
        <v>4.1</v>
      </c>
      <c r="E127" s="1" t="n">
        <v>0.7</v>
      </c>
      <c r="F127" s="1" t="n">
        <v>7.4</v>
      </c>
      <c r="G127" s="1" t="n">
        <v>1234.5</v>
      </c>
      <c r="H127" s="1" t="n">
        <v>151.4</v>
      </c>
      <c r="J127" s="1" t="n">
        <v>0</v>
      </c>
      <c r="K127" s="1" t="n">
        <f aca="false">K126+J127</f>
        <v>368.3</v>
      </c>
      <c r="L127" s="1" t="n">
        <v>0.2</v>
      </c>
      <c r="M127" s="1" t="n">
        <f aca="false">M126+L127</f>
        <v>125.8</v>
      </c>
      <c r="N127" s="1" t="n">
        <v>-0.2</v>
      </c>
      <c r="O127" s="1" t="n">
        <f aca="false">O126+N127</f>
        <v>121.9</v>
      </c>
      <c r="P127" s="1" t="n">
        <v>122</v>
      </c>
      <c r="Q127" s="1" t="n">
        <v>1</v>
      </c>
      <c r="R127" s="10" t="n">
        <f aca="false">Q127*L127</f>
        <v>0.2</v>
      </c>
      <c r="S127" s="10" t="n">
        <f aca="false">J127-R127</f>
        <v>-0.2</v>
      </c>
      <c r="T127" s="10" t="n">
        <f aca="false">MIN(122.1,(T126+S127))</f>
        <v>121.9</v>
      </c>
      <c r="V127" s="1" t="n">
        <v>320</v>
      </c>
      <c r="X127" s="1" t="n">
        <v>68464</v>
      </c>
      <c r="Y127" s="1" t="n">
        <f aca="false">Y126+V127</f>
        <v>6604.9</v>
      </c>
      <c r="AA127" s="12" t="n">
        <v>8.59246592719072</v>
      </c>
    </row>
    <row r="128" customFormat="false" ht="15" hidden="false" customHeight="false" outlineLevel="0" collapsed="false">
      <c r="A128" s="19"/>
      <c r="B128" s="20"/>
      <c r="C128" s="8" t="n">
        <v>42009</v>
      </c>
      <c r="D128" s="1" t="n">
        <v>-2</v>
      </c>
      <c r="E128" s="1" t="n">
        <v>-4.1</v>
      </c>
      <c r="F128" s="1" t="n">
        <v>0.6</v>
      </c>
      <c r="G128" s="1" t="n">
        <v>1234.5</v>
      </c>
      <c r="H128" s="1" t="n">
        <v>151.4</v>
      </c>
      <c r="J128" s="1" t="n">
        <v>0</v>
      </c>
      <c r="K128" s="1" t="n">
        <f aca="false">K127+J128</f>
        <v>368.3</v>
      </c>
      <c r="L128" s="1" t="n">
        <v>0.6</v>
      </c>
      <c r="M128" s="1" t="n">
        <f aca="false">M127+L128</f>
        <v>126.4</v>
      </c>
      <c r="N128" s="1" t="n">
        <v>-0.6</v>
      </c>
      <c r="O128" s="1" t="n">
        <f aca="false">O127+N128</f>
        <v>121.3</v>
      </c>
      <c r="P128" s="1" t="n">
        <v>123</v>
      </c>
      <c r="Q128" s="1" t="n">
        <v>1</v>
      </c>
      <c r="R128" s="10" t="n">
        <f aca="false">Q128*L128</f>
        <v>0.6</v>
      </c>
      <c r="S128" s="10" t="n">
        <f aca="false">J128-R128</f>
        <v>-0.6</v>
      </c>
      <c r="T128" s="10" t="n">
        <f aca="false">MIN(122.1,(T127+S128))</f>
        <v>121.3</v>
      </c>
      <c r="V128" s="1" t="n">
        <v>640.9</v>
      </c>
      <c r="X128" s="1" t="n">
        <v>69104.9</v>
      </c>
      <c r="Y128" s="1" t="n">
        <f aca="false">Y127+V128</f>
        <v>7245.8</v>
      </c>
      <c r="AA128" s="12" t="n">
        <v>8.61168574703658</v>
      </c>
    </row>
    <row r="129" customFormat="false" ht="15" hidden="false" customHeight="false" outlineLevel="0" collapsed="false">
      <c r="A129" s="19"/>
      <c r="B129" s="20"/>
      <c r="C129" s="8" t="n">
        <v>42010</v>
      </c>
      <c r="D129" s="1" t="n">
        <v>-1.7</v>
      </c>
      <c r="E129" s="1" t="n">
        <v>-2.4</v>
      </c>
      <c r="F129" s="1" t="n">
        <v>0.5</v>
      </c>
      <c r="G129" s="1" t="n">
        <v>1234.5</v>
      </c>
      <c r="H129" s="1" t="n">
        <v>151.4</v>
      </c>
      <c r="J129" s="1" t="n">
        <v>1</v>
      </c>
      <c r="K129" s="1" t="n">
        <f aca="false">K128+J129</f>
        <v>369.3</v>
      </c>
      <c r="L129" s="1" t="n">
        <v>0.4</v>
      </c>
      <c r="M129" s="1" t="n">
        <f aca="false">M128+L129</f>
        <v>126.8</v>
      </c>
      <c r="N129" s="1" t="n">
        <v>0.6</v>
      </c>
      <c r="O129" s="1" t="n">
        <f aca="false">O128+N129</f>
        <v>121.9</v>
      </c>
      <c r="P129" s="1" t="n">
        <v>124</v>
      </c>
      <c r="Q129" s="1" t="n">
        <v>1</v>
      </c>
      <c r="R129" s="10" t="n">
        <f aca="false">Q129*L129</f>
        <v>0.4</v>
      </c>
      <c r="S129" s="10" t="n">
        <f aca="false">J129-R129</f>
        <v>0.6</v>
      </c>
      <c r="T129" s="10" t="n">
        <f aca="false">MIN(122.1,(T128+S129))</f>
        <v>121.9</v>
      </c>
      <c r="V129" s="1" t="n">
        <v>207.6</v>
      </c>
      <c r="X129" s="1" t="n">
        <v>69312.5</v>
      </c>
      <c r="Y129" s="1" t="n">
        <f aca="false">Y128+V129</f>
        <v>7453.4</v>
      </c>
      <c r="AA129" s="12" t="n">
        <v>8.63224562288088</v>
      </c>
    </row>
    <row r="130" customFormat="false" ht="15" hidden="false" customHeight="false" outlineLevel="0" collapsed="false">
      <c r="A130" s="19"/>
      <c r="B130" s="20"/>
      <c r="C130" s="8" t="n">
        <v>42011</v>
      </c>
      <c r="D130" s="1" t="n">
        <v>2.8</v>
      </c>
      <c r="E130" s="1" t="n">
        <v>-1.1</v>
      </c>
      <c r="F130" s="1" t="n">
        <v>5.2</v>
      </c>
      <c r="G130" s="1" t="n">
        <v>1237.3</v>
      </c>
      <c r="H130" s="1" t="n">
        <v>154.2</v>
      </c>
      <c r="J130" s="1" t="n">
        <v>0.4</v>
      </c>
      <c r="K130" s="1" t="n">
        <f aca="false">K129+J130</f>
        <v>369.7</v>
      </c>
      <c r="L130" s="1" t="n">
        <v>0.2</v>
      </c>
      <c r="M130" s="1" t="n">
        <f aca="false">M129+L130</f>
        <v>127</v>
      </c>
      <c r="N130" s="1" t="n">
        <v>0.2</v>
      </c>
      <c r="O130" s="1" t="n">
        <f aca="false">O129+N130</f>
        <v>122.1</v>
      </c>
      <c r="P130" s="1" t="n">
        <v>125</v>
      </c>
      <c r="Q130" s="1" t="n">
        <v>1</v>
      </c>
      <c r="R130" s="10" t="n">
        <f aca="false">Q130*L130</f>
        <v>0.2</v>
      </c>
      <c r="S130" s="10" t="n">
        <f aca="false">J130-R130</f>
        <v>0.2</v>
      </c>
      <c r="T130" s="10" t="n">
        <f aca="false">MIN(122.1,(T129+S130))</f>
        <v>122.1</v>
      </c>
      <c r="V130" s="1" t="n">
        <v>189.8</v>
      </c>
      <c r="X130" s="1" t="n">
        <v>69502.3</v>
      </c>
      <c r="Y130" s="1" t="n">
        <f aca="false">Y129+V130</f>
        <v>7643.2</v>
      </c>
      <c r="AA130" s="12" t="n">
        <v>8.65412421275026</v>
      </c>
    </row>
    <row r="131" customFormat="false" ht="15" hidden="false" customHeight="false" outlineLevel="0" collapsed="false">
      <c r="A131" s="19"/>
      <c r="B131" s="20"/>
      <c r="C131" s="8" t="n">
        <v>42012</v>
      </c>
      <c r="D131" s="1" t="n">
        <v>7</v>
      </c>
      <c r="E131" s="1" t="n">
        <v>4.6</v>
      </c>
      <c r="F131" s="1" t="n">
        <v>9.3</v>
      </c>
      <c r="G131" s="1" t="n">
        <v>1244.3</v>
      </c>
      <c r="H131" s="1" t="n">
        <v>161.2</v>
      </c>
      <c r="J131" s="1" t="n">
        <v>2.8</v>
      </c>
      <c r="K131" s="1" t="n">
        <f aca="false">K130+J131</f>
        <v>372.5</v>
      </c>
      <c r="L131" s="1" t="n">
        <v>0.5</v>
      </c>
      <c r="M131" s="1" t="n">
        <f aca="false">M130+L131</f>
        <v>127.5</v>
      </c>
      <c r="N131" s="1" t="n">
        <v>2.3</v>
      </c>
      <c r="O131" s="1" t="n">
        <v>122.1</v>
      </c>
      <c r="P131" s="1" t="n">
        <v>126</v>
      </c>
      <c r="Q131" s="1" t="n">
        <v>1</v>
      </c>
      <c r="R131" s="10" t="n">
        <f aca="false">Q131*L131</f>
        <v>0.5</v>
      </c>
      <c r="S131" s="10" t="n">
        <f aca="false">J131-R131</f>
        <v>2.3</v>
      </c>
      <c r="T131" s="10" t="n">
        <f aca="false">MIN(122.1,(T130+S131))</f>
        <v>122.1</v>
      </c>
      <c r="V131" s="1" t="n">
        <v>114.9</v>
      </c>
      <c r="X131" s="1" t="n">
        <v>69617.2</v>
      </c>
      <c r="Y131" s="1" t="n">
        <f aca="false">Y130+V131</f>
        <v>7758.1</v>
      </c>
      <c r="AA131" s="12" t="n">
        <v>8.67729910184935</v>
      </c>
    </row>
    <row r="132" customFormat="false" ht="15" hidden="false" customHeight="false" outlineLevel="0" collapsed="false">
      <c r="A132" s="19"/>
      <c r="B132" s="20"/>
      <c r="C132" s="8" t="n">
        <v>42013</v>
      </c>
      <c r="D132" s="1" t="n">
        <v>7.9</v>
      </c>
      <c r="E132" s="1" t="n">
        <v>5</v>
      </c>
      <c r="F132" s="1" t="n">
        <v>11.9</v>
      </c>
      <c r="G132" s="1" t="n">
        <v>1252.2</v>
      </c>
      <c r="H132" s="1" t="n">
        <v>169.1</v>
      </c>
      <c r="J132" s="1" t="n">
        <v>1.5</v>
      </c>
      <c r="K132" s="1" t="n">
        <f aca="false">K131+J132</f>
        <v>374</v>
      </c>
      <c r="L132" s="1" t="n">
        <v>0.9</v>
      </c>
      <c r="M132" s="1" t="n">
        <f aca="false">M131+L132</f>
        <v>128.4</v>
      </c>
      <c r="N132" s="1" t="n">
        <v>0.6</v>
      </c>
      <c r="O132" s="1" t="n">
        <v>122.1</v>
      </c>
      <c r="P132" s="1" t="n">
        <v>127</v>
      </c>
      <c r="Q132" s="1" t="n">
        <v>1</v>
      </c>
      <c r="R132" s="10" t="n">
        <f aca="false">Q132*L132</f>
        <v>0.9</v>
      </c>
      <c r="S132" s="10" t="n">
        <f aca="false">J132-R132</f>
        <v>0.6</v>
      </c>
      <c r="T132" s="10" t="n">
        <f aca="false">MIN(122.1,(T131+S132))</f>
        <v>122.1</v>
      </c>
      <c r="V132" s="1" t="n">
        <v>116.7</v>
      </c>
      <c r="X132" s="1" t="n">
        <v>69733.9</v>
      </c>
      <c r="Y132" s="1" t="n">
        <f aca="false">Y131+V132</f>
        <v>7874.8</v>
      </c>
      <c r="AA132" s="12" t="n">
        <v>8.70174688301341</v>
      </c>
    </row>
    <row r="133" customFormat="false" ht="15" hidden="false" customHeight="false" outlineLevel="0" collapsed="false">
      <c r="A133" s="19"/>
      <c r="B133" s="3"/>
      <c r="C133" s="8" t="n">
        <v>42014</v>
      </c>
      <c r="D133" s="1" t="n">
        <v>12.1</v>
      </c>
      <c r="E133" s="1" t="n">
        <v>9.1</v>
      </c>
      <c r="F133" s="1" t="n">
        <v>13</v>
      </c>
      <c r="G133" s="1" t="n">
        <v>1264.3</v>
      </c>
      <c r="H133" s="1" t="n">
        <v>181.2</v>
      </c>
      <c r="J133" s="1" t="n">
        <v>5</v>
      </c>
      <c r="K133" s="1" t="n">
        <f aca="false">K132+J133</f>
        <v>379</v>
      </c>
      <c r="L133" s="1" t="n">
        <v>0.5</v>
      </c>
      <c r="M133" s="1" t="n">
        <f aca="false">M132+L133</f>
        <v>128.9</v>
      </c>
      <c r="N133" s="1" t="n">
        <v>4.5</v>
      </c>
      <c r="O133" s="1" t="n">
        <v>122.1</v>
      </c>
      <c r="P133" s="1" t="n">
        <v>128</v>
      </c>
      <c r="Q133" s="1" t="n">
        <v>1</v>
      </c>
      <c r="R133" s="10" t="n">
        <f aca="false">Q133*L133</f>
        <v>0.5</v>
      </c>
      <c r="S133" s="10" t="n">
        <f aca="false">J133-R133</f>
        <v>4.5</v>
      </c>
      <c r="T133" s="10" t="n">
        <f aca="false">MIN(122.1,(T132+S133))</f>
        <v>122.1</v>
      </c>
      <c r="V133" s="1" t="n">
        <v>118.1</v>
      </c>
      <c r="X133" s="1" t="n">
        <v>69852</v>
      </c>
      <c r="Y133" s="1" t="n">
        <f aca="false">Y132+V133</f>
        <v>7992.9</v>
      </c>
      <c r="AA133" s="12" t="n">
        <v>8.72744323869805</v>
      </c>
    </row>
    <row r="134" customFormat="false" ht="15" hidden="false" customHeight="false" outlineLevel="0" collapsed="false">
      <c r="A134" s="19"/>
      <c r="B134" s="20"/>
      <c r="C134" s="8" t="n">
        <v>42015</v>
      </c>
      <c r="D134" s="1" t="n">
        <v>5.4</v>
      </c>
      <c r="E134" s="1" t="n">
        <v>4.1</v>
      </c>
      <c r="F134" s="1" t="n">
        <v>7.2</v>
      </c>
      <c r="G134" s="1" t="n">
        <v>1269.7</v>
      </c>
      <c r="H134" s="1" t="n">
        <v>186.6</v>
      </c>
      <c r="J134" s="1" t="n">
        <v>0</v>
      </c>
      <c r="K134" s="1" t="n">
        <f aca="false">K133+J134</f>
        <v>379</v>
      </c>
      <c r="L134" s="1" t="n">
        <v>0.8</v>
      </c>
      <c r="M134" s="1" t="n">
        <f aca="false">M133+L134</f>
        <v>129.7</v>
      </c>
      <c r="N134" s="1" t="n">
        <v>-0.8</v>
      </c>
      <c r="O134" s="1" t="n">
        <f aca="false">O133+N134</f>
        <v>121.3</v>
      </c>
      <c r="P134" s="1" t="n">
        <v>129</v>
      </c>
      <c r="Q134" s="1" t="n">
        <v>1</v>
      </c>
      <c r="R134" s="10" t="n">
        <f aca="false">Q134*L134</f>
        <v>0.8</v>
      </c>
      <c r="S134" s="10" t="n">
        <f aca="false">J134-R134</f>
        <v>-0.8</v>
      </c>
      <c r="T134" s="10" t="n">
        <f aca="false">MIN(122.1,(T133+S134))</f>
        <v>121.3</v>
      </c>
      <c r="V134" s="1" t="n">
        <v>174.1</v>
      </c>
      <c r="X134" s="1" t="n">
        <v>70026.1</v>
      </c>
      <c r="Y134" s="1" t="n">
        <f aca="false">Y133+V134</f>
        <v>8167</v>
      </c>
      <c r="AA134" s="12" t="n">
        <v>8.75436302396349</v>
      </c>
    </row>
    <row r="135" customFormat="false" ht="15" hidden="false" customHeight="false" outlineLevel="0" collapsed="false">
      <c r="A135" s="19"/>
      <c r="B135" s="20"/>
      <c r="C135" s="8" t="n">
        <v>42016</v>
      </c>
      <c r="D135" s="1" t="n">
        <v>3</v>
      </c>
      <c r="E135" s="1" t="n">
        <v>0.9</v>
      </c>
      <c r="F135" s="1" t="n">
        <v>6.2</v>
      </c>
      <c r="G135" s="1" t="n">
        <v>1272.7</v>
      </c>
      <c r="H135" s="1" t="n">
        <v>189.6</v>
      </c>
      <c r="J135" s="1" t="n">
        <v>0</v>
      </c>
      <c r="K135" s="1" t="n">
        <f aca="false">K134+J135</f>
        <v>379</v>
      </c>
      <c r="L135" s="1" t="n">
        <v>0.9</v>
      </c>
      <c r="M135" s="1" t="n">
        <f aca="false">M134+L135</f>
        <v>130.6</v>
      </c>
      <c r="N135" s="1" t="n">
        <v>-0.9</v>
      </c>
      <c r="O135" s="1" t="n">
        <f aca="false">O134+N135</f>
        <v>120.4</v>
      </c>
      <c r="P135" s="1" t="n">
        <v>130</v>
      </c>
      <c r="Q135" s="1" t="n">
        <v>1</v>
      </c>
      <c r="R135" s="10" t="n">
        <f aca="false">Q135*L135</f>
        <v>0.9</v>
      </c>
      <c r="S135" s="10" t="n">
        <f aca="false">J135-R135</f>
        <v>-0.9</v>
      </c>
      <c r="T135" s="10" t="n">
        <f aca="false">MIN(122.1,(T134+S135))</f>
        <v>120.4</v>
      </c>
      <c r="V135" s="1" t="n">
        <v>308</v>
      </c>
      <c r="X135" s="1" t="n">
        <v>70334.1</v>
      </c>
      <c r="Y135" s="1" t="n">
        <f aca="false">Y134+V135</f>
        <v>8475</v>
      </c>
      <c r="AA135" s="12" t="n">
        <v>8.78248034992729</v>
      </c>
    </row>
    <row r="136" customFormat="false" ht="15" hidden="false" customHeight="false" outlineLevel="0" collapsed="false">
      <c r="A136" s="19"/>
      <c r="B136" s="20"/>
      <c r="C136" s="8" t="n">
        <v>42017</v>
      </c>
      <c r="D136" s="1" t="n">
        <v>7.5</v>
      </c>
      <c r="E136" s="1" t="n">
        <v>1.7</v>
      </c>
      <c r="F136" s="1" t="n">
        <v>11.3</v>
      </c>
      <c r="G136" s="1" t="n">
        <v>1280.2</v>
      </c>
      <c r="H136" s="1" t="n">
        <v>197.1</v>
      </c>
      <c r="J136" s="1" t="n">
        <v>5.6</v>
      </c>
      <c r="K136" s="1" t="n">
        <f aca="false">K135+J136</f>
        <v>384.6</v>
      </c>
      <c r="L136" s="1" t="n">
        <v>1.3</v>
      </c>
      <c r="M136" s="1" t="n">
        <f aca="false">M135+L136</f>
        <v>131.9</v>
      </c>
      <c r="N136" s="1" t="n">
        <v>4.3</v>
      </c>
      <c r="O136" s="1" t="n">
        <v>122.1</v>
      </c>
      <c r="P136" s="1" t="n">
        <v>131</v>
      </c>
      <c r="Q136" s="1" t="n">
        <v>1</v>
      </c>
      <c r="R136" s="10" t="n">
        <f aca="false">Q136*L136</f>
        <v>1.3</v>
      </c>
      <c r="S136" s="10" t="n">
        <f aca="false">J136-R136</f>
        <v>4.3</v>
      </c>
      <c r="T136" s="10" t="n">
        <f aca="false">MIN(122.1,(T135+S136))</f>
        <v>122.1</v>
      </c>
      <c r="V136" s="1" t="n">
        <v>696.7</v>
      </c>
      <c r="X136" s="1" t="n">
        <v>71030.8</v>
      </c>
      <c r="Y136" s="1" t="n">
        <f aca="false">Y135+V136</f>
        <v>9171.7</v>
      </c>
      <c r="AA136" s="12" t="n">
        <v>8.81176866718012</v>
      </c>
    </row>
    <row r="137" customFormat="false" ht="15" hidden="false" customHeight="false" outlineLevel="0" collapsed="false">
      <c r="A137" s="19"/>
      <c r="B137" s="3"/>
      <c r="C137" s="8" t="n">
        <v>42018</v>
      </c>
      <c r="D137" s="1" t="n">
        <v>7.5</v>
      </c>
      <c r="E137" s="1" t="n">
        <v>6.8</v>
      </c>
      <c r="F137" s="1" t="n">
        <v>8.7</v>
      </c>
      <c r="G137" s="1" t="n">
        <v>1287.7</v>
      </c>
      <c r="H137" s="1" t="n">
        <v>204.6</v>
      </c>
      <c r="J137" s="1" t="n">
        <v>2.2</v>
      </c>
      <c r="K137" s="1" t="n">
        <f aca="false">K136+J137</f>
        <v>386.8</v>
      </c>
      <c r="L137" s="1" t="n">
        <v>0.9</v>
      </c>
      <c r="M137" s="1" t="n">
        <f aca="false">M136+L137</f>
        <v>132.8</v>
      </c>
      <c r="N137" s="1" t="n">
        <v>1.3</v>
      </c>
      <c r="O137" s="1" t="n">
        <v>122.1</v>
      </c>
      <c r="P137" s="1" t="n">
        <v>132</v>
      </c>
      <c r="Q137" s="1" t="n">
        <v>1</v>
      </c>
      <c r="R137" s="10" t="n">
        <f aca="false">Q137*L137</f>
        <v>0.9</v>
      </c>
      <c r="S137" s="10" t="n">
        <f aca="false">J137-R137</f>
        <v>1.3</v>
      </c>
      <c r="T137" s="10" t="n">
        <f aca="false">MIN(122.1,(T136+S137))</f>
        <v>122.1</v>
      </c>
      <c r="V137" s="1" t="n">
        <v>115</v>
      </c>
      <c r="X137" s="1" t="n">
        <v>71145.8</v>
      </c>
      <c r="Y137" s="1" t="n">
        <f aca="false">Y136+V137</f>
        <v>9286.7</v>
      </c>
      <c r="AA137" s="12" t="n">
        <v>8.84220084868418</v>
      </c>
    </row>
    <row r="138" customFormat="false" ht="15" hidden="false" customHeight="false" outlineLevel="0" collapsed="false">
      <c r="A138" s="19"/>
      <c r="B138" s="3"/>
      <c r="C138" s="8" t="n">
        <v>42019</v>
      </c>
      <c r="D138" s="1" t="n">
        <v>8.7</v>
      </c>
      <c r="E138" s="1" t="n">
        <v>6</v>
      </c>
      <c r="F138" s="1" t="n">
        <v>10.4</v>
      </c>
      <c r="G138" s="1" t="n">
        <v>1296.4</v>
      </c>
      <c r="H138" s="1" t="n">
        <v>213.3</v>
      </c>
      <c r="J138" s="1" t="n">
        <v>4.9</v>
      </c>
      <c r="K138" s="1" t="n">
        <f aca="false">K137+J138</f>
        <v>391.7</v>
      </c>
      <c r="L138" s="1" t="n">
        <v>1.4</v>
      </c>
      <c r="M138" s="1" t="n">
        <f aca="false">M137+L138</f>
        <v>134.2</v>
      </c>
      <c r="N138" s="1" t="n">
        <v>3.5</v>
      </c>
      <c r="O138" s="1" t="n">
        <v>122.1</v>
      </c>
      <c r="P138" s="1" t="n">
        <v>133</v>
      </c>
      <c r="Q138" s="1" t="n">
        <v>1</v>
      </c>
      <c r="R138" s="10" t="n">
        <f aca="false">Q138*L138</f>
        <v>1.4</v>
      </c>
      <c r="S138" s="10" t="n">
        <f aca="false">J138-R138</f>
        <v>3.5</v>
      </c>
      <c r="T138" s="10" t="n">
        <f aca="false">MIN(122.1,(T137+S138))</f>
        <v>122.1</v>
      </c>
      <c r="V138" s="1" t="n">
        <v>100.7</v>
      </c>
      <c r="X138" s="1" t="n">
        <v>71246.5</v>
      </c>
      <c r="Y138" s="1" t="n">
        <f aca="false">Y137+V138</f>
        <v>9387.4</v>
      </c>
      <c r="AA138" s="12" t="n">
        <v>8.87374927170292</v>
      </c>
    </row>
    <row r="139" customFormat="false" ht="15" hidden="false" customHeight="false" outlineLevel="0" collapsed="false">
      <c r="A139" s="19"/>
      <c r="B139" s="3"/>
      <c r="C139" s="8" t="n">
        <v>42020</v>
      </c>
      <c r="D139" s="1" t="n">
        <v>5.8</v>
      </c>
      <c r="E139" s="1" t="n">
        <v>5.1</v>
      </c>
      <c r="F139" s="1" t="n">
        <v>5.9</v>
      </c>
      <c r="G139" s="1" t="n">
        <v>1302.2</v>
      </c>
      <c r="H139" s="1" t="n">
        <v>219.1</v>
      </c>
      <c r="J139" s="1" t="n">
        <v>9.4</v>
      </c>
      <c r="K139" s="1" t="n">
        <f aca="false">K138+J139</f>
        <v>401.1</v>
      </c>
      <c r="L139" s="1" t="n">
        <v>0.3</v>
      </c>
      <c r="M139" s="1" t="n">
        <f aca="false">M138+L139</f>
        <v>134.5</v>
      </c>
      <c r="N139" s="1" t="n">
        <v>9.1</v>
      </c>
      <c r="O139" s="1" t="n">
        <v>122.1</v>
      </c>
      <c r="P139" s="1" t="n">
        <v>134</v>
      </c>
      <c r="Q139" s="1" t="n">
        <v>1</v>
      </c>
      <c r="R139" s="10" t="n">
        <f aca="false">Q139*L139</f>
        <v>0.3</v>
      </c>
      <c r="S139" s="10" t="n">
        <f aca="false">J139-R139</f>
        <v>9.1</v>
      </c>
      <c r="T139" s="10" t="n">
        <f aca="false">MIN(122.1,(T138+S139))</f>
        <v>122.1</v>
      </c>
      <c r="V139" s="1" t="n">
        <v>89.2</v>
      </c>
      <c r="X139" s="1" t="n">
        <v>71335.7</v>
      </c>
      <c r="Y139" s="1" t="n">
        <f aca="false">Y138+V139</f>
        <v>9476.6</v>
      </c>
      <c r="AA139" s="12" t="n">
        <v>8.90638589834182</v>
      </c>
    </row>
    <row r="140" customFormat="false" ht="15" hidden="false" customHeight="false" outlineLevel="0" collapsed="false">
      <c r="A140" s="19"/>
      <c r="B140" s="20"/>
      <c r="C140" s="8" t="n">
        <v>42021</v>
      </c>
      <c r="D140" s="1" t="n">
        <v>3.7</v>
      </c>
      <c r="E140" s="1" t="n">
        <v>3.2</v>
      </c>
      <c r="F140" s="1" t="n">
        <v>6.4</v>
      </c>
      <c r="G140" s="1" t="n">
        <v>1305.9</v>
      </c>
      <c r="H140" s="1" t="n">
        <v>222.8</v>
      </c>
      <c r="J140" s="1" t="n">
        <v>0.1</v>
      </c>
      <c r="K140" s="1" t="n">
        <f aca="false">K139+J140</f>
        <v>401.2</v>
      </c>
      <c r="L140" s="1" t="n">
        <v>0.5</v>
      </c>
      <c r="M140" s="1" t="n">
        <f aca="false">M139+L140</f>
        <v>135</v>
      </c>
      <c r="N140" s="1" t="n">
        <v>-0.4</v>
      </c>
      <c r="O140" s="1" t="n">
        <f aca="false">O139+N140</f>
        <v>121.7</v>
      </c>
      <c r="P140" s="1" t="n">
        <v>135</v>
      </c>
      <c r="Q140" s="1" t="n">
        <v>1</v>
      </c>
      <c r="R140" s="10" t="n">
        <f aca="false">Q140*L140</f>
        <v>0.5</v>
      </c>
      <c r="S140" s="10" t="n">
        <f aca="false">J140-R140</f>
        <v>-0.4</v>
      </c>
      <c r="T140" s="10" t="n">
        <f aca="false">MIN(122.1,(T139+S140))</f>
        <v>121.7</v>
      </c>
      <c r="V140" s="1" t="n">
        <v>169.5</v>
      </c>
      <c r="X140" s="1" t="n">
        <v>71505.2</v>
      </c>
      <c r="Y140" s="1" t="n">
        <f aca="false">Y139+V140</f>
        <v>9646.1</v>
      </c>
      <c r="AA140" s="12" t="n">
        <v>8.94008235431446</v>
      </c>
    </row>
    <row r="141" customFormat="false" ht="15" hidden="false" customHeight="false" outlineLevel="0" collapsed="false">
      <c r="A141" s="19"/>
      <c r="B141" s="20"/>
      <c r="C141" s="8" t="n">
        <v>42022</v>
      </c>
      <c r="D141" s="1" t="n">
        <v>-1.7</v>
      </c>
      <c r="E141" s="1" t="n">
        <v>-3.5</v>
      </c>
      <c r="F141" s="1" t="n">
        <v>-0.3</v>
      </c>
      <c r="G141" s="1" t="n">
        <v>1305.9</v>
      </c>
      <c r="H141" s="1" t="n">
        <v>222.8</v>
      </c>
      <c r="J141" s="1" t="n">
        <v>0.1</v>
      </c>
      <c r="K141" s="1" t="n">
        <f aca="false">K140+J141</f>
        <v>401.3</v>
      </c>
      <c r="L141" s="1" t="n">
        <v>0.3</v>
      </c>
      <c r="M141" s="1" t="n">
        <f aca="false">M140+L141</f>
        <v>135.3</v>
      </c>
      <c r="N141" s="1" t="n">
        <v>-0.2</v>
      </c>
      <c r="O141" s="1" t="n">
        <f aca="false">O140+N141</f>
        <v>121.5</v>
      </c>
      <c r="P141" s="1" t="n">
        <v>136</v>
      </c>
      <c r="Q141" s="1" t="n">
        <v>1</v>
      </c>
      <c r="R141" s="10" t="n">
        <f aca="false">Q141*L141</f>
        <v>0.3</v>
      </c>
      <c r="S141" s="10" t="n">
        <f aca="false">J141-R141</f>
        <v>-0.2</v>
      </c>
      <c r="T141" s="10" t="n">
        <f aca="false">MIN(122.1,(T140+S141))</f>
        <v>121.5</v>
      </c>
      <c r="V141" s="1" t="n">
        <v>337.4</v>
      </c>
      <c r="X141" s="1" t="n">
        <v>71842.6</v>
      </c>
      <c r="Y141" s="1" t="n">
        <f aca="false">Y140+V141</f>
        <v>9983.5</v>
      </c>
      <c r="AA141" s="12" t="n">
        <v>8.97481000558343</v>
      </c>
    </row>
    <row r="142" customFormat="false" ht="15" hidden="false" customHeight="false" outlineLevel="0" collapsed="false">
      <c r="A142" s="19"/>
      <c r="B142" s="3" t="n">
        <v>7</v>
      </c>
      <c r="C142" s="8" t="n">
        <v>42023</v>
      </c>
      <c r="D142" s="1" t="n">
        <v>1.4</v>
      </c>
      <c r="E142" s="1" t="n">
        <v>-1.7</v>
      </c>
      <c r="F142" s="1" t="n">
        <v>2.8</v>
      </c>
      <c r="G142" s="1" t="n">
        <v>1307.3</v>
      </c>
      <c r="H142" s="1" t="n">
        <v>224.2</v>
      </c>
      <c r="J142" s="1" t="n">
        <v>0.1</v>
      </c>
      <c r="K142" s="1" t="n">
        <f aca="false">K141+J142</f>
        <v>401.4</v>
      </c>
      <c r="L142" s="1" t="n">
        <v>0</v>
      </c>
      <c r="M142" s="1" t="n">
        <f aca="false">M141+L142</f>
        <v>135.3</v>
      </c>
      <c r="N142" s="1" t="n">
        <v>0.1</v>
      </c>
      <c r="O142" s="1" t="n">
        <f aca="false">O141+N142</f>
        <v>121.6</v>
      </c>
      <c r="P142" s="1" t="n">
        <v>137</v>
      </c>
      <c r="Q142" s="1" t="n">
        <v>1</v>
      </c>
      <c r="R142" s="10" t="n">
        <f aca="false">Q142*L142</f>
        <v>0</v>
      </c>
      <c r="S142" s="10" t="n">
        <f aca="false">J142-R142</f>
        <v>0.1</v>
      </c>
      <c r="T142" s="10" t="n">
        <f aca="false">MIN(122.1,(T141+S142))</f>
        <v>121.6</v>
      </c>
      <c r="V142" s="1" t="n">
        <v>107.5</v>
      </c>
      <c r="X142" s="1" t="n">
        <v>71950.1</v>
      </c>
      <c r="Y142" s="1" t="n">
        <f aca="false">Y141+V142</f>
        <v>10091</v>
      </c>
      <c r="AA142" s="1" t="n">
        <v>9.01054003256259</v>
      </c>
    </row>
    <row r="143" customFormat="false" ht="15" hidden="false" customHeight="false" outlineLevel="0" collapsed="false">
      <c r="A143" s="19"/>
      <c r="B143" s="3"/>
      <c r="C143" s="8" t="n">
        <v>42024</v>
      </c>
      <c r="D143" s="1" t="n">
        <v>1.6</v>
      </c>
      <c r="E143" s="1" t="n">
        <v>1.3</v>
      </c>
      <c r="F143" s="1" t="n">
        <v>2.3</v>
      </c>
      <c r="G143" s="1" t="n">
        <v>1308.9</v>
      </c>
      <c r="H143" s="1" t="n">
        <v>225.8</v>
      </c>
      <c r="J143" s="1" t="n">
        <v>0</v>
      </c>
      <c r="K143" s="1" t="n">
        <f aca="false">K142+J143</f>
        <v>401.4</v>
      </c>
      <c r="L143" s="1" t="n">
        <v>0.4</v>
      </c>
      <c r="M143" s="1" t="n">
        <f aca="false">M142+L143</f>
        <v>135.7</v>
      </c>
      <c r="N143" s="1" t="n">
        <v>-0.4</v>
      </c>
      <c r="O143" s="1" t="n">
        <f aca="false">O142+N143</f>
        <v>121.2</v>
      </c>
      <c r="P143" s="1" t="n">
        <v>138</v>
      </c>
      <c r="Q143" s="1" t="n">
        <v>1</v>
      </c>
      <c r="R143" s="10" t="n">
        <f aca="false">Q143*L143</f>
        <v>0.4</v>
      </c>
      <c r="S143" s="10" t="n">
        <f aca="false">J143-R143</f>
        <v>-0.4</v>
      </c>
      <c r="T143" s="10" t="n">
        <f aca="false">MIN(122.1,(T142+S143))</f>
        <v>121.2</v>
      </c>
      <c r="V143" s="1" t="n">
        <v>127.4</v>
      </c>
      <c r="X143" s="1" t="n">
        <v>72077.5</v>
      </c>
      <c r="Y143" s="1" t="n">
        <f aca="false">Y142+V143</f>
        <v>10218.4</v>
      </c>
      <c r="AA143" s="1" t="n">
        <v>9.04724350160456</v>
      </c>
    </row>
    <row r="144" customFormat="false" ht="15" hidden="false" customHeight="false" outlineLevel="0" collapsed="false">
      <c r="A144" s="19"/>
      <c r="B144" s="3"/>
      <c r="C144" s="8" t="n">
        <v>42025</v>
      </c>
      <c r="D144" s="1" t="n">
        <v>2</v>
      </c>
      <c r="E144" s="1" t="n">
        <v>0</v>
      </c>
      <c r="F144" s="1" t="n">
        <v>3.5</v>
      </c>
      <c r="G144" s="1" t="n">
        <v>1310.9</v>
      </c>
      <c r="H144" s="1" t="n">
        <v>227.8</v>
      </c>
      <c r="J144" s="1" t="n">
        <v>1</v>
      </c>
      <c r="K144" s="1" t="n">
        <f aca="false">K143+J144</f>
        <v>402.4</v>
      </c>
      <c r="L144" s="1" t="n">
        <v>0.3</v>
      </c>
      <c r="M144" s="1" t="n">
        <f aca="false">M143+L144</f>
        <v>136</v>
      </c>
      <c r="N144" s="1" t="n">
        <v>0.7</v>
      </c>
      <c r="O144" s="1" t="n">
        <f aca="false">O143+N144</f>
        <v>121.9</v>
      </c>
      <c r="P144" s="1" t="n">
        <v>139</v>
      </c>
      <c r="Q144" s="1" t="n">
        <v>1</v>
      </c>
      <c r="R144" s="10" t="n">
        <f aca="false">Q144*L144</f>
        <v>0.3</v>
      </c>
      <c r="S144" s="10" t="n">
        <f aca="false">J144-R144</f>
        <v>0.7</v>
      </c>
      <c r="T144" s="10" t="n">
        <f aca="false">MIN(122.1,(T143+S144))</f>
        <v>121.9</v>
      </c>
      <c r="V144" s="1" t="n">
        <v>336.8</v>
      </c>
      <c r="X144" s="1" t="n">
        <v>72414.3</v>
      </c>
      <c r="Y144" s="1" t="n">
        <f aca="false">Y143+V144</f>
        <v>10555.2</v>
      </c>
      <c r="AA144" s="1" t="n">
        <v>9.08489143353448</v>
      </c>
    </row>
    <row r="145" customFormat="false" ht="15" hidden="false" customHeight="false" outlineLevel="0" collapsed="false">
      <c r="A145" s="19"/>
      <c r="B145" s="3"/>
      <c r="C145" s="8" t="n">
        <v>42026</v>
      </c>
      <c r="D145" s="1" t="n">
        <v>2.1</v>
      </c>
      <c r="E145" s="1" t="n">
        <v>1.2</v>
      </c>
      <c r="F145" s="1" t="n">
        <v>3.3</v>
      </c>
      <c r="G145" s="1" t="n">
        <v>1313</v>
      </c>
      <c r="H145" s="1" t="n">
        <v>229.9</v>
      </c>
      <c r="J145" s="1" t="n">
        <v>0</v>
      </c>
      <c r="K145" s="1" t="n">
        <f aca="false">K144+J145</f>
        <v>402.4</v>
      </c>
      <c r="L145" s="1" t="n">
        <v>0.5</v>
      </c>
      <c r="M145" s="1" t="n">
        <f aca="false">M144+L145</f>
        <v>136.5</v>
      </c>
      <c r="N145" s="1" t="n">
        <v>-0.5</v>
      </c>
      <c r="O145" s="1" t="n">
        <f aca="false">O144+N145</f>
        <v>121.4</v>
      </c>
      <c r="P145" s="1" t="n">
        <v>140</v>
      </c>
      <c r="Q145" s="1" t="n">
        <v>1</v>
      </c>
      <c r="R145" s="10" t="n">
        <f aca="false">Q145*L145</f>
        <v>0.5</v>
      </c>
      <c r="S145" s="10" t="n">
        <f aca="false">J145-R145</f>
        <v>-0.5</v>
      </c>
      <c r="T145" s="10" t="n">
        <f aca="false">MIN(122.1,(T144+S145))</f>
        <v>121.4</v>
      </c>
      <c r="V145" s="1" t="n">
        <v>150</v>
      </c>
      <c r="X145" s="1" t="n">
        <v>72564.3</v>
      </c>
      <c r="Y145" s="1" t="n">
        <f aca="false">Y144+V145</f>
        <v>10705.2</v>
      </c>
      <c r="AA145" s="1" t="n">
        <v>9.12345486902835</v>
      </c>
    </row>
    <row r="146" customFormat="false" ht="15" hidden="false" customHeight="false" outlineLevel="0" collapsed="false">
      <c r="A146" s="19"/>
      <c r="B146" s="3"/>
      <c r="C146" s="8" t="n">
        <v>42027</v>
      </c>
      <c r="D146" s="1" t="n">
        <v>2</v>
      </c>
      <c r="E146" s="1" t="n">
        <v>1.1</v>
      </c>
      <c r="F146" s="1" t="n">
        <v>2.7</v>
      </c>
      <c r="G146" s="1" t="n">
        <v>1315</v>
      </c>
      <c r="H146" s="1" t="n">
        <v>231.9</v>
      </c>
      <c r="J146" s="1" t="n">
        <v>0</v>
      </c>
      <c r="K146" s="1" t="n">
        <f aca="false">K145+J146</f>
        <v>402.4</v>
      </c>
      <c r="L146" s="1" t="n">
        <v>0.6</v>
      </c>
      <c r="M146" s="1" t="n">
        <f aca="false">M145+L146</f>
        <v>137.1</v>
      </c>
      <c r="N146" s="1" t="n">
        <v>-0.6</v>
      </c>
      <c r="O146" s="1" t="n">
        <f aca="false">O145+N146</f>
        <v>120.8</v>
      </c>
      <c r="P146" s="1" t="n">
        <v>141</v>
      </c>
      <c r="Q146" s="1" t="n">
        <v>1</v>
      </c>
      <c r="R146" s="10" t="n">
        <f aca="false">Q146*L146</f>
        <v>0.6</v>
      </c>
      <c r="S146" s="10" t="n">
        <f aca="false">J146-R146</f>
        <v>-0.6</v>
      </c>
      <c r="T146" s="10" t="n">
        <f aca="false">MIN(122.1,(T145+S146))</f>
        <v>120.8</v>
      </c>
      <c r="V146" s="1" t="n">
        <v>179.2</v>
      </c>
      <c r="X146" s="1" t="n">
        <v>72743.5</v>
      </c>
      <c r="Y146" s="1" t="n">
        <f aca="false">Y145+V146</f>
        <v>10884.4</v>
      </c>
      <c r="AA146" s="1" t="n">
        <v>9.16290493066994</v>
      </c>
    </row>
    <row r="147" customFormat="false" ht="15" hidden="false" customHeight="false" outlineLevel="0" collapsed="false">
      <c r="A147" s="19"/>
      <c r="B147" s="3"/>
      <c r="C147" s="8" t="n">
        <v>42028</v>
      </c>
      <c r="D147" s="1" t="n">
        <v>0.6</v>
      </c>
      <c r="E147" s="1" t="n">
        <v>-0.4</v>
      </c>
      <c r="F147" s="1" t="n">
        <v>1.3</v>
      </c>
      <c r="G147" s="1" t="n">
        <v>1315.6</v>
      </c>
      <c r="H147" s="1" t="n">
        <v>232.5</v>
      </c>
      <c r="J147" s="1" t="n">
        <v>1.2</v>
      </c>
      <c r="K147" s="1" t="n">
        <f aca="false">K146+J147</f>
        <v>403.6</v>
      </c>
      <c r="L147" s="1" t="n">
        <v>0.3</v>
      </c>
      <c r="M147" s="1" t="n">
        <f aca="false">M146+L147</f>
        <v>137.4</v>
      </c>
      <c r="N147" s="1" t="n">
        <v>0.9</v>
      </c>
      <c r="O147" s="1" t="n">
        <f aca="false">O146+N147</f>
        <v>121.7</v>
      </c>
      <c r="P147" s="1" t="n">
        <v>142</v>
      </c>
      <c r="Q147" s="1" t="n">
        <v>1</v>
      </c>
      <c r="R147" s="10" t="n">
        <f aca="false">Q147*L147</f>
        <v>0.3</v>
      </c>
      <c r="S147" s="10" t="n">
        <f aca="false">J147-R147</f>
        <v>0.9</v>
      </c>
      <c r="T147" s="10" t="n">
        <f aca="false">MIN(122.1,(T146+S147))</f>
        <v>121.7</v>
      </c>
      <c r="V147" s="1" t="n">
        <v>92</v>
      </c>
      <c r="X147" s="1" t="n">
        <v>72835.5</v>
      </c>
      <c r="Y147" s="1" t="n">
        <f aca="false">Y146+V147</f>
        <v>10976.4</v>
      </c>
      <c r="AA147" s="1" t="n">
        <v>9.20321288155533</v>
      </c>
    </row>
    <row r="148" customFormat="false" ht="15" hidden="false" customHeight="false" outlineLevel="0" collapsed="false">
      <c r="A148" s="19"/>
      <c r="B148" s="3"/>
      <c r="C148" s="8" t="n">
        <v>42029</v>
      </c>
      <c r="D148" s="1" t="n">
        <v>1.4</v>
      </c>
      <c r="E148" s="1" t="n">
        <v>-0.5</v>
      </c>
      <c r="F148" s="1" t="n">
        <v>2.8</v>
      </c>
      <c r="G148" s="1" t="n">
        <v>1317</v>
      </c>
      <c r="H148" s="1" t="n">
        <v>233.9</v>
      </c>
      <c r="J148" s="1" t="n">
        <v>0.2</v>
      </c>
      <c r="K148" s="1" t="n">
        <f aca="false">K147+J148</f>
        <v>403.8</v>
      </c>
      <c r="L148" s="1" t="n">
        <v>0.3</v>
      </c>
      <c r="M148" s="1" t="n">
        <f aca="false">M147+L148</f>
        <v>137.7</v>
      </c>
      <c r="N148" s="1" t="n">
        <v>-0.1</v>
      </c>
      <c r="O148" s="1" t="n">
        <f aca="false">O147+N148</f>
        <v>121.6</v>
      </c>
      <c r="P148" s="1" t="n">
        <v>143</v>
      </c>
      <c r="Q148" s="1" t="n">
        <v>1</v>
      </c>
      <c r="R148" s="10" t="n">
        <f aca="false">Q148*L148</f>
        <v>0.3</v>
      </c>
      <c r="S148" s="10" t="n">
        <f aca="false">J148-R148</f>
        <v>-0.1</v>
      </c>
      <c r="T148" s="10" t="n">
        <f aca="false">MIN(122.1,(T147+S148))</f>
        <v>121.6</v>
      </c>
      <c r="V148" s="1" t="n">
        <v>555.8</v>
      </c>
      <c r="X148" s="1" t="n">
        <v>73391.3</v>
      </c>
      <c r="Y148" s="1" t="n">
        <f aca="false">Y147+V148</f>
        <v>11532.2</v>
      </c>
      <c r="AA148" s="1" t="n">
        <v>9.24435018034748</v>
      </c>
    </row>
    <row r="149" customFormat="false" ht="15" hidden="false" customHeight="false" outlineLevel="0" collapsed="false">
      <c r="A149" s="19"/>
      <c r="B149" s="3" t="n">
        <v>8</v>
      </c>
      <c r="C149" s="8" t="n">
        <v>42030</v>
      </c>
      <c r="D149" s="1" t="n">
        <v>1.3</v>
      </c>
      <c r="E149" s="1" t="n">
        <v>0.1</v>
      </c>
      <c r="F149" s="1" t="n">
        <v>2.3</v>
      </c>
      <c r="G149" s="1" t="n">
        <v>1318.3</v>
      </c>
      <c r="H149" s="1" t="n">
        <v>235.2</v>
      </c>
      <c r="J149" s="1" t="n">
        <v>4.6</v>
      </c>
      <c r="K149" s="1" t="n">
        <f aca="false">K148+J149</f>
        <v>408.4</v>
      </c>
      <c r="L149" s="1" t="n">
        <v>0.2</v>
      </c>
      <c r="M149" s="1" t="n">
        <f aca="false">M148+L149</f>
        <v>137.9</v>
      </c>
      <c r="N149" s="1" t="n">
        <v>4.4</v>
      </c>
      <c r="O149" s="1" t="n">
        <v>122.1</v>
      </c>
      <c r="P149" s="1" t="n">
        <v>144</v>
      </c>
      <c r="Q149" s="1" t="n">
        <v>1</v>
      </c>
      <c r="R149" s="10" t="n">
        <f aca="false">Q149*L149</f>
        <v>0.2</v>
      </c>
      <c r="S149" s="10" t="n">
        <f aca="false">J149-R149</f>
        <v>4.4</v>
      </c>
      <c r="T149" s="10" t="n">
        <f aca="false">MIN(122.1,(T148+S149))</f>
        <v>122.1</v>
      </c>
      <c r="V149" s="1" t="n">
        <v>101.2</v>
      </c>
      <c r="X149" s="1" t="n">
        <v>73492.5</v>
      </c>
      <c r="Y149" s="1" t="n">
        <f aca="false">Y148+V149</f>
        <v>11633.4</v>
      </c>
      <c r="AA149" s="1" t="n">
        <v>9.28628853271427</v>
      </c>
    </row>
    <row r="150" customFormat="false" ht="15" hidden="false" customHeight="false" outlineLevel="0" collapsed="false">
      <c r="A150" s="19"/>
      <c r="B150" s="3"/>
      <c r="C150" s="8" t="n">
        <v>42031</v>
      </c>
      <c r="D150" s="1" t="n">
        <v>2.7</v>
      </c>
      <c r="E150" s="1" t="n">
        <v>1.4</v>
      </c>
      <c r="F150" s="1" t="n">
        <v>4.6</v>
      </c>
      <c r="G150" s="1" t="n">
        <v>1321</v>
      </c>
      <c r="H150" s="1" t="n">
        <v>237.9</v>
      </c>
      <c r="J150" s="1" t="n">
        <v>0</v>
      </c>
      <c r="K150" s="1" t="n">
        <f aca="false">K149+J150</f>
        <v>408.4</v>
      </c>
      <c r="L150" s="1" t="n">
        <v>0.4</v>
      </c>
      <c r="M150" s="1" t="n">
        <f aca="false">M149+L150</f>
        <v>138.3</v>
      </c>
      <c r="N150" s="1" t="n">
        <v>-0.4</v>
      </c>
      <c r="O150" s="1" t="n">
        <f aca="false">O149+N150</f>
        <v>121.7</v>
      </c>
      <c r="P150" s="1" t="n">
        <v>145</v>
      </c>
      <c r="Q150" s="1" t="n">
        <v>1</v>
      </c>
      <c r="R150" s="10" t="n">
        <f aca="false">Q150*L150</f>
        <v>0.4</v>
      </c>
      <c r="S150" s="10" t="n">
        <f aca="false">J150-R150</f>
        <v>-0.4</v>
      </c>
      <c r="T150" s="10" t="n">
        <f aca="false">MIN(122.1,(T149+S150))</f>
        <v>121.7</v>
      </c>
      <c r="V150" s="1" t="n">
        <v>398.7</v>
      </c>
      <c r="X150" s="1" t="n">
        <v>73891.2</v>
      </c>
      <c r="Y150" s="1" t="n">
        <f aca="false">Y149+V150</f>
        <v>12032.1</v>
      </c>
      <c r="AA150" s="1" t="n">
        <v>9.32899993911346</v>
      </c>
    </row>
    <row r="151" customFormat="false" ht="15" hidden="false" customHeight="false" outlineLevel="0" collapsed="false">
      <c r="A151" s="19"/>
      <c r="B151" s="3"/>
      <c r="C151" s="8" t="n">
        <v>42032</v>
      </c>
      <c r="D151" s="1" t="n">
        <v>3.1</v>
      </c>
      <c r="E151" s="1" t="n">
        <v>1.5</v>
      </c>
      <c r="F151" s="1" t="n">
        <v>4.3</v>
      </c>
      <c r="G151" s="1" t="n">
        <v>1324.1</v>
      </c>
      <c r="H151" s="1" t="n">
        <v>241</v>
      </c>
      <c r="J151" s="1" t="n">
        <v>8.2</v>
      </c>
      <c r="K151" s="1" t="n">
        <f aca="false">K150+J151</f>
        <v>416.6</v>
      </c>
      <c r="L151" s="1" t="n">
        <v>0.4</v>
      </c>
      <c r="M151" s="1" t="n">
        <f aca="false">M150+L151</f>
        <v>138.7</v>
      </c>
      <c r="N151" s="1" t="n">
        <v>7.8</v>
      </c>
      <c r="O151" s="1" t="n">
        <v>122.1</v>
      </c>
      <c r="P151" s="1" t="n">
        <v>146</v>
      </c>
      <c r="Q151" s="1" t="n">
        <v>1</v>
      </c>
      <c r="R151" s="10" t="n">
        <f aca="false">Q151*L151</f>
        <v>0.4</v>
      </c>
      <c r="S151" s="10" t="n">
        <f aca="false">J151-R151</f>
        <v>7.8</v>
      </c>
      <c r="T151" s="10" t="n">
        <f aca="false">MIN(122.1,(T150+S151))</f>
        <v>122.1</v>
      </c>
      <c r="V151" s="1" t="n">
        <v>176.9</v>
      </c>
      <c r="X151" s="1" t="n">
        <v>74068.1</v>
      </c>
      <c r="Y151" s="1" t="n">
        <f aca="false">Y150+V151</f>
        <v>12209</v>
      </c>
      <c r="AA151" s="1" t="n">
        <v>9.37245673891483</v>
      </c>
    </row>
    <row r="152" customFormat="false" ht="15" hidden="false" customHeight="false" outlineLevel="0" collapsed="false">
      <c r="A152" s="19"/>
      <c r="B152" s="3"/>
      <c r="C152" s="8" t="n">
        <v>42033</v>
      </c>
      <c r="D152" s="1" t="n">
        <v>3.9</v>
      </c>
      <c r="E152" s="1" t="n">
        <v>3</v>
      </c>
      <c r="F152" s="1" t="n">
        <v>4.8</v>
      </c>
      <c r="G152" s="1" t="n">
        <v>1328</v>
      </c>
      <c r="H152" s="1" t="n">
        <v>244.9</v>
      </c>
      <c r="J152" s="1" t="n">
        <v>7.7</v>
      </c>
      <c r="K152" s="1" t="n">
        <f aca="false">K151+J152</f>
        <v>424.3</v>
      </c>
      <c r="L152" s="1" t="n">
        <v>0.5</v>
      </c>
      <c r="M152" s="1" t="n">
        <f aca="false">M151+L152</f>
        <v>139.2</v>
      </c>
      <c r="N152" s="1" t="n">
        <v>7.2</v>
      </c>
      <c r="O152" s="1" t="n">
        <v>122.1</v>
      </c>
      <c r="P152" s="1" t="n">
        <v>147</v>
      </c>
      <c r="Q152" s="1" t="n">
        <v>1</v>
      </c>
      <c r="R152" s="10" t="n">
        <f aca="false">Q152*L152</f>
        <v>0.5</v>
      </c>
      <c r="S152" s="10" t="n">
        <f aca="false">J152-R152</f>
        <v>7.2</v>
      </c>
      <c r="T152" s="10" t="n">
        <f aca="false">MIN(122.1,(T151+S152))</f>
        <v>122.1</v>
      </c>
      <c r="V152" s="1" t="n">
        <v>116.9</v>
      </c>
      <c r="X152" s="1" t="n">
        <v>74185</v>
      </c>
      <c r="Y152" s="1" t="n">
        <f aca="false">Y151+V152</f>
        <v>12325.9</v>
      </c>
      <c r="AA152" s="1" t="n">
        <v>9.41663165087511</v>
      </c>
    </row>
    <row r="153" customFormat="false" ht="15" hidden="false" customHeight="false" outlineLevel="0" collapsed="false">
      <c r="A153" s="19"/>
      <c r="B153" s="3"/>
      <c r="C153" s="8" t="n">
        <v>42034</v>
      </c>
      <c r="D153" s="1" t="n">
        <v>2.2</v>
      </c>
      <c r="E153" s="1" t="n">
        <v>0.1</v>
      </c>
      <c r="F153" s="1" t="n">
        <v>4.7</v>
      </c>
      <c r="G153" s="1" t="n">
        <v>1330.2</v>
      </c>
      <c r="H153" s="1" t="n">
        <v>247.1</v>
      </c>
      <c r="J153" s="1" t="n">
        <v>1.6</v>
      </c>
      <c r="K153" s="1" t="n">
        <f aca="false">K152+J153</f>
        <v>425.9</v>
      </c>
      <c r="L153" s="1" t="n">
        <v>0.8</v>
      </c>
      <c r="M153" s="1" t="n">
        <f aca="false">M152+L153</f>
        <v>140</v>
      </c>
      <c r="N153" s="1" t="n">
        <v>0.8</v>
      </c>
      <c r="O153" s="1" t="n">
        <v>122.1</v>
      </c>
      <c r="P153" s="1" t="n">
        <v>148</v>
      </c>
      <c r="Q153" s="1" t="n">
        <v>1</v>
      </c>
      <c r="R153" s="10" t="n">
        <f aca="false">Q153*L153</f>
        <v>0.8</v>
      </c>
      <c r="S153" s="10" t="n">
        <f aca="false">J153-R153</f>
        <v>0.8</v>
      </c>
      <c r="T153" s="10" t="n">
        <f aca="false">MIN(122.1,(T152+S153))</f>
        <v>122.1</v>
      </c>
      <c r="V153" s="1" t="n">
        <v>477.5</v>
      </c>
      <c r="X153" s="1" t="n">
        <v>74662.5</v>
      </c>
      <c r="Y153" s="1" t="n">
        <f aca="false">Y152+V153</f>
        <v>12803.4</v>
      </c>
      <c r="AA153" s="1" t="n">
        <v>9.46149781000361</v>
      </c>
    </row>
    <row r="154" customFormat="false" ht="15" hidden="false" customHeight="false" outlineLevel="0" collapsed="false">
      <c r="A154" s="19"/>
      <c r="B154" s="3"/>
      <c r="C154" s="8" t="n">
        <v>42035</v>
      </c>
      <c r="D154" s="1" t="n">
        <v>1.4</v>
      </c>
      <c r="E154" s="1" t="n">
        <v>0</v>
      </c>
      <c r="F154" s="1" t="n">
        <v>3.5</v>
      </c>
      <c r="G154" s="1" t="n">
        <v>1331.6</v>
      </c>
      <c r="H154" s="1" t="n">
        <v>248.5</v>
      </c>
      <c r="J154" s="1" t="n">
        <v>1.2</v>
      </c>
      <c r="K154" s="1" t="n">
        <f aca="false">K153+J154</f>
        <v>427.1</v>
      </c>
      <c r="L154" s="1" t="n">
        <v>0.3</v>
      </c>
      <c r="M154" s="1" t="n">
        <f aca="false">M153+L154</f>
        <v>140.3</v>
      </c>
      <c r="N154" s="1" t="n">
        <v>0.9</v>
      </c>
      <c r="O154" s="1" t="n">
        <v>122.1</v>
      </c>
      <c r="P154" s="1" t="n">
        <v>149</v>
      </c>
      <c r="Q154" s="1" t="n">
        <v>1</v>
      </c>
      <c r="R154" s="10" t="n">
        <f aca="false">Q154*L154</f>
        <v>0.3</v>
      </c>
      <c r="S154" s="10" t="n">
        <f aca="false">J154-R154</f>
        <v>0.9</v>
      </c>
      <c r="T154" s="10" t="n">
        <f aca="false">MIN(122.1,(T153+S154))</f>
        <v>122.1</v>
      </c>
      <c r="V154" s="1" t="n">
        <v>125.4</v>
      </c>
      <c r="X154" s="1" t="n">
        <v>74787.9</v>
      </c>
      <c r="Y154" s="1" t="n">
        <f aca="false">Y153+V154</f>
        <v>12928.8</v>
      </c>
      <c r="AA154" s="1" t="n">
        <v>9.50702880087715</v>
      </c>
    </row>
    <row r="155" customFormat="false" ht="15" hidden="false" customHeight="false" outlineLevel="0" collapsed="false">
      <c r="A155" s="19"/>
      <c r="B155" s="3"/>
      <c r="C155" s="8" t="n">
        <v>42036</v>
      </c>
      <c r="D155" s="1" t="n">
        <v>2</v>
      </c>
      <c r="E155" s="1" t="n">
        <v>1</v>
      </c>
      <c r="F155" s="1" t="n">
        <v>3</v>
      </c>
      <c r="G155" s="1" t="n">
        <v>1333.6</v>
      </c>
      <c r="H155" s="1" t="n">
        <v>250.5</v>
      </c>
      <c r="J155" s="1" t="n">
        <v>1.8</v>
      </c>
      <c r="K155" s="1" t="n">
        <f aca="false">K154+J155</f>
        <v>428.9</v>
      </c>
      <c r="L155" s="1" t="n">
        <v>0.5</v>
      </c>
      <c r="M155" s="1" t="n">
        <f aca="false">M154+L155</f>
        <v>140.8</v>
      </c>
      <c r="N155" s="1" t="n">
        <v>1.3</v>
      </c>
      <c r="O155" s="1" t="n">
        <v>122.1</v>
      </c>
      <c r="P155" s="1" t="n">
        <v>150</v>
      </c>
      <c r="Q155" s="1" t="n">
        <v>1</v>
      </c>
      <c r="R155" s="10" t="n">
        <f aca="false">Q155*L155</f>
        <v>0.5</v>
      </c>
      <c r="S155" s="10" t="n">
        <f aca="false">J155-R155</f>
        <v>1.3</v>
      </c>
      <c r="T155" s="10" t="n">
        <f aca="false">MIN(122.1,(T154+S155))</f>
        <v>122.1</v>
      </c>
      <c r="V155" s="1" t="n">
        <v>151.2</v>
      </c>
      <c r="X155" s="1" t="n">
        <v>74939.1</v>
      </c>
      <c r="Y155" s="1" t="n">
        <f aca="false">Y154+V155</f>
        <v>13080</v>
      </c>
      <c r="AA155" s="1" t="n">
        <v>9.55319868748051</v>
      </c>
    </row>
    <row r="156" customFormat="false" ht="15" hidden="false" customHeight="false" outlineLevel="0" collapsed="false">
      <c r="A156" s="19"/>
      <c r="B156" s="3" t="n">
        <v>9</v>
      </c>
      <c r="C156" s="8" t="n">
        <v>42037</v>
      </c>
      <c r="D156" s="1" t="n">
        <v>1.8</v>
      </c>
      <c r="E156" s="1" t="n">
        <v>1.4</v>
      </c>
      <c r="F156" s="1" t="n">
        <v>3.7</v>
      </c>
      <c r="G156" s="1" t="n">
        <v>1335.4</v>
      </c>
      <c r="H156" s="1" t="n">
        <v>252.3</v>
      </c>
      <c r="J156" s="1" t="n">
        <v>1.3</v>
      </c>
      <c r="K156" s="1" t="n">
        <f aca="false">K155+J156</f>
        <v>430.2</v>
      </c>
      <c r="L156" s="1" t="n">
        <v>0.4</v>
      </c>
      <c r="M156" s="1" t="n">
        <f aca="false">M155+L156</f>
        <v>141.2</v>
      </c>
      <c r="N156" s="1" t="n">
        <v>0.9</v>
      </c>
      <c r="O156" s="1" t="n">
        <v>122.1</v>
      </c>
      <c r="P156" s="1" t="n">
        <v>151</v>
      </c>
      <c r="Q156" s="1" t="n">
        <v>1</v>
      </c>
      <c r="R156" s="10" t="n">
        <f aca="false">Q156*L156</f>
        <v>0.4</v>
      </c>
      <c r="S156" s="10" t="n">
        <f aca="false">J156-R156</f>
        <v>0.9</v>
      </c>
      <c r="T156" s="10" t="n">
        <f aca="false">MIN(122.1,(T155+S156))</f>
        <v>122.1</v>
      </c>
      <c r="V156" s="1" t="n">
        <v>315.6</v>
      </c>
      <c r="X156" s="1" t="n">
        <v>75254.7</v>
      </c>
      <c r="Y156" s="1" t="n">
        <f aca="false">Y155+V156</f>
        <v>13395.6</v>
      </c>
      <c r="AA156" s="1" t="n">
        <v>9.59998203966452</v>
      </c>
    </row>
    <row r="157" customFormat="false" ht="15" hidden="false" customHeight="false" outlineLevel="0" collapsed="false">
      <c r="A157" s="19"/>
      <c r="B157" s="3"/>
      <c r="C157" s="8" t="n">
        <v>42038</v>
      </c>
      <c r="D157" s="1" t="n">
        <v>0.5</v>
      </c>
      <c r="E157" s="1" t="n">
        <v>-0.4</v>
      </c>
      <c r="F157" s="1" t="n">
        <v>1.6</v>
      </c>
      <c r="G157" s="1" t="n">
        <v>1335.9</v>
      </c>
      <c r="H157" s="1" t="n">
        <v>252.8</v>
      </c>
      <c r="J157" s="1" t="n">
        <v>0</v>
      </c>
      <c r="K157" s="1" t="n">
        <f aca="false">K156+J157</f>
        <v>430.2</v>
      </c>
      <c r="L157" s="1" t="n">
        <v>0.4</v>
      </c>
      <c r="M157" s="1" t="n">
        <f aca="false">M156+L157</f>
        <v>141.6</v>
      </c>
      <c r="N157" s="1" t="n">
        <v>-0.4</v>
      </c>
      <c r="O157" s="1" t="n">
        <f aca="false">O156+N157</f>
        <v>121.7</v>
      </c>
      <c r="P157" s="1" t="n">
        <v>152</v>
      </c>
      <c r="Q157" s="1" t="n">
        <v>1</v>
      </c>
      <c r="R157" s="10" t="n">
        <f aca="false">Q157*L157</f>
        <v>0.4</v>
      </c>
      <c r="S157" s="10" t="n">
        <f aca="false">J157-R157</f>
        <v>-0.4</v>
      </c>
      <c r="T157" s="10" t="n">
        <f aca="false">MIN(122.1,(T156+S157))</f>
        <v>121.7</v>
      </c>
      <c r="V157" s="1" t="n">
        <v>253.6</v>
      </c>
      <c r="X157" s="1" t="n">
        <v>75508.3</v>
      </c>
      <c r="Y157" s="1" t="n">
        <f aca="false">Y156+V157</f>
        <v>13649.2</v>
      </c>
      <c r="AA157" s="1" t="n">
        <v>9.647353956327</v>
      </c>
    </row>
    <row r="158" customFormat="false" ht="15" hidden="false" customHeight="false" outlineLevel="0" collapsed="false">
      <c r="A158" s="19"/>
      <c r="B158" s="3"/>
      <c r="C158" s="8" t="n">
        <v>42039</v>
      </c>
      <c r="D158" s="1" t="n">
        <v>-0.6</v>
      </c>
      <c r="E158" s="1" t="n">
        <v>-1.9</v>
      </c>
      <c r="F158" s="1" t="n">
        <v>1.4</v>
      </c>
      <c r="G158" s="1" t="n">
        <v>1335.9</v>
      </c>
      <c r="H158" s="1" t="n">
        <v>252.8</v>
      </c>
      <c r="J158" s="1" t="n">
        <v>0</v>
      </c>
      <c r="K158" s="1" t="n">
        <f aca="false">K157+J158</f>
        <v>430.2</v>
      </c>
      <c r="L158" s="1" t="n">
        <v>1</v>
      </c>
      <c r="M158" s="1" t="n">
        <f aca="false">M157+L158</f>
        <v>142.6</v>
      </c>
      <c r="N158" s="1" t="n">
        <v>-1</v>
      </c>
      <c r="O158" s="1" t="n">
        <f aca="false">O157+N158</f>
        <v>120.7</v>
      </c>
      <c r="P158" s="1" t="n">
        <v>153</v>
      </c>
      <c r="Q158" s="1" t="n">
        <v>1</v>
      </c>
      <c r="R158" s="10" t="n">
        <f aca="false">Q158*L158</f>
        <v>1</v>
      </c>
      <c r="S158" s="10" t="n">
        <f aca="false">J158-R158</f>
        <v>-1</v>
      </c>
      <c r="T158" s="10" t="n">
        <f aca="false">MIN(122.1,(T157+S158))</f>
        <v>120.7</v>
      </c>
      <c r="V158" s="1" t="n">
        <v>659</v>
      </c>
      <c r="X158" s="1" t="n">
        <v>76167.3</v>
      </c>
      <c r="Y158" s="1" t="n">
        <f aca="false">Y157+V158</f>
        <v>14308.2</v>
      </c>
      <c r="AA158" s="1" t="n">
        <v>9.69529008543343</v>
      </c>
    </row>
    <row r="159" customFormat="false" ht="15" hidden="false" customHeight="false" outlineLevel="0" collapsed="false">
      <c r="A159" s="19"/>
      <c r="B159" s="3"/>
      <c r="C159" s="8" t="n">
        <v>42040</v>
      </c>
      <c r="D159" s="1" t="n">
        <v>-0.9</v>
      </c>
      <c r="E159" s="1" t="n">
        <v>-2.5</v>
      </c>
      <c r="F159" s="1" t="n">
        <v>0.8</v>
      </c>
      <c r="G159" s="1" t="n">
        <v>1335.9</v>
      </c>
      <c r="H159" s="1" t="n">
        <v>252.8</v>
      </c>
      <c r="J159" s="1" t="n">
        <v>0</v>
      </c>
      <c r="K159" s="1" t="n">
        <f aca="false">K158+J159</f>
        <v>430.2</v>
      </c>
      <c r="L159" s="1" t="n">
        <v>1.3</v>
      </c>
      <c r="M159" s="1" t="n">
        <f aca="false">M158+L159</f>
        <v>143.9</v>
      </c>
      <c r="N159" s="1" t="n">
        <v>-1.3</v>
      </c>
      <c r="O159" s="1" t="n">
        <f aca="false">O158+N159</f>
        <v>119.4</v>
      </c>
      <c r="P159" s="1" t="n">
        <v>154</v>
      </c>
      <c r="Q159" s="1" t="n">
        <v>1</v>
      </c>
      <c r="R159" s="10" t="n">
        <f aca="false">Q159*L159</f>
        <v>1.3</v>
      </c>
      <c r="S159" s="10" t="n">
        <f aca="false">J159-R159</f>
        <v>-1.3</v>
      </c>
      <c r="T159" s="10" t="n">
        <f aca="false">MIN(122.1,(T158+S159))</f>
        <v>119.4</v>
      </c>
      <c r="V159" s="1" t="n">
        <v>413.8</v>
      </c>
      <c r="X159" s="1" t="n">
        <v>76581.1</v>
      </c>
      <c r="Y159" s="1" t="n">
        <f aca="false">Y158+V159</f>
        <v>14722</v>
      </c>
      <c r="AA159" s="1" t="n">
        <v>9.74376664100304</v>
      </c>
    </row>
    <row r="160" customFormat="false" ht="15" hidden="false" customHeight="false" outlineLevel="0" collapsed="false">
      <c r="A160" s="19"/>
      <c r="B160" s="3"/>
      <c r="C160" s="8" t="n">
        <v>42041</v>
      </c>
      <c r="D160" s="1" t="n">
        <v>0.5</v>
      </c>
      <c r="E160" s="1" t="n">
        <v>-0.7</v>
      </c>
      <c r="F160" s="1" t="n">
        <v>2.1</v>
      </c>
      <c r="G160" s="1" t="n">
        <v>1336.4</v>
      </c>
      <c r="H160" s="1" t="n">
        <v>253.3</v>
      </c>
      <c r="J160" s="1" t="n">
        <v>0</v>
      </c>
      <c r="K160" s="1" t="n">
        <f aca="false">K159+J160</f>
        <v>430.2</v>
      </c>
      <c r="L160" s="1" t="n">
        <v>1.6</v>
      </c>
      <c r="M160" s="1" t="n">
        <f aca="false">M159+L160</f>
        <v>145.5</v>
      </c>
      <c r="N160" s="1" t="n">
        <v>-1.6</v>
      </c>
      <c r="O160" s="1" t="n">
        <f aca="false">O159+N160</f>
        <v>117.8</v>
      </c>
      <c r="P160" s="1" t="n">
        <v>155</v>
      </c>
      <c r="Q160" s="1" t="n">
        <v>1</v>
      </c>
      <c r="R160" s="10" t="n">
        <f aca="false">Q160*L160</f>
        <v>1.6</v>
      </c>
      <c r="S160" s="10" t="n">
        <f aca="false">J160-R160</f>
        <v>-1.6</v>
      </c>
      <c r="T160" s="10" t="n">
        <f aca="false">MIN(122.1,(T159+S160))</f>
        <v>117.8</v>
      </c>
      <c r="V160" s="1" t="n">
        <v>712.8</v>
      </c>
      <c r="X160" s="1" t="n">
        <v>77293.9</v>
      </c>
      <c r="Y160" s="1" t="n">
        <f aca="false">Y159+V160</f>
        <v>15434.8</v>
      </c>
      <c r="AA160" s="1" t="n">
        <v>9.79276041719366</v>
      </c>
    </row>
    <row r="161" customFormat="false" ht="15" hidden="false" customHeight="false" outlineLevel="0" collapsed="false">
      <c r="A161" s="19"/>
      <c r="B161" s="3"/>
      <c r="C161" s="8" t="n">
        <v>42042</v>
      </c>
      <c r="D161" s="1" t="n">
        <v>-1.2</v>
      </c>
      <c r="E161" s="1" t="n">
        <v>-2.9</v>
      </c>
      <c r="F161" s="1" t="n">
        <v>1.4</v>
      </c>
      <c r="G161" s="1" t="n">
        <v>1336.4</v>
      </c>
      <c r="H161" s="1" t="n">
        <v>253.3</v>
      </c>
      <c r="J161" s="1" t="n">
        <v>0</v>
      </c>
      <c r="K161" s="1" t="n">
        <f aca="false">K160+J161</f>
        <v>430.2</v>
      </c>
      <c r="L161" s="1" t="n">
        <v>1.5</v>
      </c>
      <c r="M161" s="1" t="n">
        <f aca="false">M160+L161</f>
        <v>147</v>
      </c>
      <c r="N161" s="1" t="n">
        <v>-1.5</v>
      </c>
      <c r="O161" s="1" t="n">
        <f aca="false">O160+N161</f>
        <v>116.3</v>
      </c>
      <c r="P161" s="1" t="n">
        <v>156</v>
      </c>
      <c r="Q161" s="1" t="n">
        <v>1</v>
      </c>
      <c r="R161" s="10" t="n">
        <f aca="false">Q161*L161</f>
        <v>1.5</v>
      </c>
      <c r="S161" s="10" t="n">
        <f aca="false">J161-R161</f>
        <v>-1.5</v>
      </c>
      <c r="T161" s="10" t="n">
        <f aca="false">MIN(122.1,(T160+S161))</f>
        <v>116.3</v>
      </c>
      <c r="V161" s="1" t="n">
        <v>1154.6</v>
      </c>
      <c r="X161" s="1" t="n">
        <v>78448.5</v>
      </c>
      <c r="Y161" s="1" t="n">
        <f aca="false">Y160+V161</f>
        <v>16589.4</v>
      </c>
      <c r="AA161" s="1" t="n">
        <v>9.84224879962381</v>
      </c>
    </row>
    <row r="162" customFormat="false" ht="15" hidden="false" customHeight="false" outlineLevel="0" collapsed="false">
      <c r="A162" s="19"/>
      <c r="B162" s="3"/>
      <c r="C162" s="8" t="n">
        <v>42043</v>
      </c>
      <c r="D162" s="1" t="n">
        <v>1.7</v>
      </c>
      <c r="E162" s="1" t="n">
        <v>-2.4</v>
      </c>
      <c r="F162" s="1" t="n">
        <v>5</v>
      </c>
      <c r="G162" s="1" t="n">
        <v>1338.1</v>
      </c>
      <c r="H162" s="1" t="n">
        <v>255</v>
      </c>
      <c r="J162" s="1" t="n">
        <v>0</v>
      </c>
      <c r="K162" s="1" t="n">
        <f aca="false">K161+J162</f>
        <v>430.2</v>
      </c>
      <c r="L162" s="1" t="n">
        <v>1</v>
      </c>
      <c r="M162" s="1" t="n">
        <f aca="false">M161+L162</f>
        <v>148</v>
      </c>
      <c r="N162" s="1" t="n">
        <v>-1</v>
      </c>
      <c r="O162" s="1" t="n">
        <f aca="false">O161+N162</f>
        <v>115.3</v>
      </c>
      <c r="P162" s="1" t="n">
        <v>157</v>
      </c>
      <c r="Q162" s="1" t="n">
        <v>1</v>
      </c>
      <c r="R162" s="10" t="n">
        <f aca="false">Q162*L162</f>
        <v>1</v>
      </c>
      <c r="S162" s="10" t="n">
        <f aca="false">J162-R162</f>
        <v>-1</v>
      </c>
      <c r="T162" s="10" t="n">
        <f aca="false">MIN(122.1,(T161+S162))</f>
        <v>115.3</v>
      </c>
      <c r="V162" s="1" t="n">
        <v>809.6</v>
      </c>
      <c r="X162" s="1" t="n">
        <v>79258.1</v>
      </c>
      <c r="Y162" s="1" t="n">
        <f aca="false">Y161+V162</f>
        <v>17399</v>
      </c>
      <c r="AA162" s="1" t="n">
        <v>9.89220977407483</v>
      </c>
    </row>
    <row r="163" customFormat="false" ht="15" hidden="false" customHeight="false" outlineLevel="0" collapsed="false">
      <c r="A163" s="19"/>
      <c r="B163" s="3" t="n">
        <v>10</v>
      </c>
      <c r="C163" s="8" t="n">
        <v>42044</v>
      </c>
      <c r="D163" s="1" t="n">
        <v>1.8</v>
      </c>
      <c r="E163" s="1" t="n">
        <v>-2.5</v>
      </c>
      <c r="F163" s="1" t="n">
        <v>5.8</v>
      </c>
      <c r="G163" s="1" t="n">
        <v>1339.9</v>
      </c>
      <c r="H163" s="1" t="n">
        <v>256.8</v>
      </c>
      <c r="J163" s="22" t="n">
        <v>0</v>
      </c>
      <c r="K163" s="1" t="n">
        <f aca="false">K162+J163</f>
        <v>430.2</v>
      </c>
      <c r="L163" s="1" t="n">
        <v>1.2</v>
      </c>
      <c r="M163" s="1" t="n">
        <f aca="false">M162+L163</f>
        <v>149.2</v>
      </c>
      <c r="N163" s="1" t="n">
        <v>-1.2</v>
      </c>
      <c r="O163" s="1" t="n">
        <f aca="false">O162+N163</f>
        <v>114.1</v>
      </c>
      <c r="P163" s="1" t="n">
        <v>158</v>
      </c>
      <c r="Q163" s="1" t="n">
        <v>1</v>
      </c>
      <c r="R163" s="10" t="n">
        <f aca="false">Q163*L163</f>
        <v>1.2</v>
      </c>
      <c r="S163" s="10" t="n">
        <f aca="false">J163-R163</f>
        <v>-1.2</v>
      </c>
      <c r="T163" s="10" t="n">
        <f aca="false">MIN(122.1,(T162+S163))</f>
        <v>114.1</v>
      </c>
      <c r="V163" s="1" t="n">
        <v>978.7</v>
      </c>
      <c r="X163" s="1" t="n">
        <v>80236.8</v>
      </c>
      <c r="Y163" s="1" t="n">
        <f aca="false">Y162+V163</f>
        <v>18377.7</v>
      </c>
      <c r="AA163" s="1" t="n">
        <v>9.94262193271781</v>
      </c>
      <c r="AB163" s="23" t="s">
        <v>46</v>
      </c>
    </row>
    <row r="164" customFormat="false" ht="15" hidden="false" customHeight="false" outlineLevel="0" collapsed="false">
      <c r="A164" s="19"/>
      <c r="B164" s="3"/>
      <c r="C164" s="8" t="n">
        <v>42045</v>
      </c>
      <c r="D164" s="1" t="n">
        <v>2.4</v>
      </c>
      <c r="E164" s="1" t="n">
        <v>0</v>
      </c>
      <c r="F164" s="1" t="n">
        <v>6.8</v>
      </c>
      <c r="G164" s="1" t="n">
        <v>1342.3</v>
      </c>
      <c r="H164" s="1" t="n">
        <v>259.2</v>
      </c>
      <c r="J164" s="22" t="n">
        <v>0</v>
      </c>
      <c r="K164" s="1" t="n">
        <f aca="false">K163+J164</f>
        <v>430.2</v>
      </c>
      <c r="L164" s="1" t="n">
        <v>1.5</v>
      </c>
      <c r="M164" s="1" t="n">
        <f aca="false">M163+L164</f>
        <v>150.7</v>
      </c>
      <c r="N164" s="1" t="n">
        <v>-1.5</v>
      </c>
      <c r="O164" s="1" t="n">
        <f aca="false">O163+N164</f>
        <v>112.6</v>
      </c>
      <c r="P164" s="1" t="n">
        <v>159</v>
      </c>
      <c r="Q164" s="1" t="n">
        <v>1</v>
      </c>
      <c r="R164" s="10" t="n">
        <f aca="false">Q164*L164</f>
        <v>1.5</v>
      </c>
      <c r="S164" s="10" t="n">
        <f aca="false">J164-R164</f>
        <v>-1.5</v>
      </c>
      <c r="T164" s="10" t="n">
        <f aca="false">MIN(122.1,(T163+S164))</f>
        <v>112.6</v>
      </c>
      <c r="V164" s="1" t="n">
        <v>1108.7</v>
      </c>
      <c r="X164" s="1" t="n">
        <v>81345.5</v>
      </c>
      <c r="Y164" s="1" t="n">
        <f aca="false">Y163+V164</f>
        <v>19486.4</v>
      </c>
      <c r="AA164" s="1" t="n">
        <v>9.99346447801124</v>
      </c>
      <c r="AB164" s="10" t="n">
        <f aca="false">AVERAGE(T170:T183)</f>
        <v>120.935714285714</v>
      </c>
    </row>
    <row r="165" customFormat="false" ht="15" hidden="false" customHeight="false" outlineLevel="0" collapsed="false">
      <c r="A165" s="19"/>
      <c r="B165" s="3"/>
      <c r="C165" s="8" t="n">
        <v>42046</v>
      </c>
      <c r="D165" s="1" t="n">
        <v>-0.3</v>
      </c>
      <c r="E165" s="1" t="n">
        <v>-4.8</v>
      </c>
      <c r="F165" s="1" t="n">
        <v>4.7</v>
      </c>
      <c r="G165" s="1" t="n">
        <v>1342.3</v>
      </c>
      <c r="H165" s="1" t="n">
        <v>259.2</v>
      </c>
      <c r="J165" s="22" t="n">
        <v>0</v>
      </c>
      <c r="K165" s="1" t="n">
        <f aca="false">K164+J165</f>
        <v>430.2</v>
      </c>
      <c r="L165" s="1" t="n">
        <v>1</v>
      </c>
      <c r="M165" s="1" t="n">
        <f aca="false">M164+L165</f>
        <v>151.7</v>
      </c>
      <c r="N165" s="1" t="n">
        <v>-1</v>
      </c>
      <c r="O165" s="1" t="n">
        <f aca="false">O164+N165</f>
        <v>111.6</v>
      </c>
      <c r="P165" s="1" t="n">
        <v>160</v>
      </c>
      <c r="Q165" s="1" t="n">
        <v>1</v>
      </c>
      <c r="R165" s="10" t="n">
        <f aca="false">Q165*L165</f>
        <v>1</v>
      </c>
      <c r="S165" s="10" t="n">
        <f aca="false">J165-R165</f>
        <v>-1</v>
      </c>
      <c r="T165" s="10" t="n">
        <f aca="false">MIN(122.1,(T164+S165))</f>
        <v>111.6</v>
      </c>
      <c r="V165" s="1" t="n">
        <v>1116.9</v>
      </c>
      <c r="X165" s="1" t="n">
        <v>82462.4</v>
      </c>
      <c r="Y165" s="1" t="n">
        <f aca="false">Y164+V165</f>
        <v>20603.3</v>
      </c>
      <c r="AA165" s="1" t="n">
        <v>10.0447172244153</v>
      </c>
      <c r="AB165" s="23" t="s">
        <v>47</v>
      </c>
    </row>
    <row r="166" customFormat="false" ht="15" hidden="false" customHeight="false" outlineLevel="0" collapsed="false">
      <c r="A166" s="19"/>
      <c r="B166" s="3" t="s">
        <v>48</v>
      </c>
      <c r="C166" s="8" t="n">
        <v>42047</v>
      </c>
      <c r="D166" s="1" t="n">
        <v>0.7</v>
      </c>
      <c r="E166" s="1" t="n">
        <v>-4.8</v>
      </c>
      <c r="F166" s="1" t="n">
        <v>7.4</v>
      </c>
      <c r="G166" s="1" t="n">
        <v>1343</v>
      </c>
      <c r="H166" s="1" t="n">
        <v>259.9</v>
      </c>
      <c r="J166" s="22" t="n">
        <v>0</v>
      </c>
      <c r="K166" s="1" t="n">
        <f aca="false">K165+J166</f>
        <v>430.2</v>
      </c>
      <c r="L166" s="1" t="n">
        <v>1.1</v>
      </c>
      <c r="M166" s="1" t="n">
        <f aca="false">M165+L166</f>
        <v>152.8</v>
      </c>
      <c r="N166" s="1" t="n">
        <v>-1.1</v>
      </c>
      <c r="O166" s="1" t="n">
        <f aca="false">O165+N166</f>
        <v>110.5</v>
      </c>
      <c r="P166" s="1" t="n">
        <v>161</v>
      </c>
      <c r="Q166" s="1" t="n">
        <v>1</v>
      </c>
      <c r="R166" s="10" t="n">
        <f aca="false">Q166*L166</f>
        <v>1.1</v>
      </c>
      <c r="S166" s="10" t="n">
        <f aca="false">J166-R166</f>
        <v>-1.1</v>
      </c>
      <c r="T166" s="10" t="n">
        <f aca="false">MIN(122.1,(T165+S166))</f>
        <v>110.5</v>
      </c>
      <c r="V166" s="1" t="n">
        <v>1035</v>
      </c>
      <c r="X166" s="1" t="n">
        <v>83497.4</v>
      </c>
      <c r="Y166" s="1" t="n">
        <f aca="false">Y165+V166</f>
        <v>21638.3</v>
      </c>
      <c r="AA166" s="1" t="n">
        <v>10.0963605980666</v>
      </c>
      <c r="AB166" s="1" t="n">
        <v>4</v>
      </c>
    </row>
    <row r="167" customFormat="false" ht="15" hidden="false" customHeight="false" outlineLevel="0" collapsed="false">
      <c r="A167" s="19"/>
      <c r="B167" s="3"/>
      <c r="C167" s="8" t="n">
        <v>42048</v>
      </c>
      <c r="D167" s="1" t="n">
        <v>4.7</v>
      </c>
      <c r="E167" s="1" t="n">
        <v>-3.3</v>
      </c>
      <c r="F167" s="1" t="n">
        <v>10.2</v>
      </c>
      <c r="G167" s="1" t="n">
        <v>1347.7</v>
      </c>
      <c r="H167" s="1" t="n">
        <v>264.6</v>
      </c>
      <c r="J167" s="22" t="n">
        <v>2.3</v>
      </c>
      <c r="K167" s="1" t="n">
        <f aca="false">K166+J167</f>
        <v>432.5</v>
      </c>
      <c r="L167" s="1" t="n">
        <v>0.8</v>
      </c>
      <c r="M167" s="1" t="n">
        <f aca="false">M166+L167</f>
        <v>153.6</v>
      </c>
      <c r="N167" s="1" t="n">
        <v>1.5</v>
      </c>
      <c r="O167" s="1" t="n">
        <f aca="false">O166+N167</f>
        <v>112</v>
      </c>
      <c r="P167" s="1" t="n">
        <v>162</v>
      </c>
      <c r="Q167" s="1" t="n">
        <v>1</v>
      </c>
      <c r="R167" s="10" t="n">
        <f aca="false">Q167*L167</f>
        <v>0.8</v>
      </c>
      <c r="S167" s="10" t="n">
        <f aca="false">J167-R167</f>
        <v>1.5</v>
      </c>
      <c r="T167" s="10" t="n">
        <f aca="false">MIN(122.1,(T166+S167))</f>
        <v>112</v>
      </c>
      <c r="V167" s="1" t="n">
        <v>911.8</v>
      </c>
      <c r="X167" s="1" t="n">
        <v>84409.2</v>
      </c>
      <c r="Y167" s="1" t="n">
        <f aca="false">Y166+V167</f>
        <v>22550.1</v>
      </c>
      <c r="AA167" s="1" t="n">
        <v>10.1483756345569</v>
      </c>
      <c r="AB167" s="23" t="s">
        <v>49</v>
      </c>
    </row>
    <row r="168" customFormat="false" ht="15" hidden="false" customHeight="false" outlineLevel="0" collapsed="false">
      <c r="A168" s="19"/>
      <c r="B168" s="3"/>
      <c r="C168" s="8" t="n">
        <v>42049</v>
      </c>
      <c r="D168" s="1" t="n">
        <v>6</v>
      </c>
      <c r="E168" s="1" t="n">
        <v>4.1</v>
      </c>
      <c r="F168" s="1" t="n">
        <v>8.2</v>
      </c>
      <c r="G168" s="1" t="n">
        <v>1353.7</v>
      </c>
      <c r="H168" s="1" t="n">
        <v>270.6</v>
      </c>
      <c r="J168" s="22" t="n">
        <v>8</v>
      </c>
      <c r="K168" s="1" t="n">
        <f aca="false">K167+J168</f>
        <v>440.5</v>
      </c>
      <c r="L168" s="1" t="n">
        <v>0.5</v>
      </c>
      <c r="M168" s="1" t="n">
        <f aca="false">M167+L168</f>
        <v>154.1</v>
      </c>
      <c r="N168" s="1" t="n">
        <v>7.5</v>
      </c>
      <c r="O168" s="1" t="n">
        <f aca="false">O167+N168</f>
        <v>119.5</v>
      </c>
      <c r="P168" s="1" t="n">
        <v>163</v>
      </c>
      <c r="Q168" s="1" t="n">
        <v>1</v>
      </c>
      <c r="R168" s="10" t="n">
        <f aca="false">Q168*L168</f>
        <v>0.5</v>
      </c>
      <c r="S168" s="10" t="n">
        <f aca="false">J168-R168</f>
        <v>7.5</v>
      </c>
      <c r="T168" s="10" t="n">
        <f aca="false">MIN(122.1,(T167+S168))</f>
        <v>119.5</v>
      </c>
      <c r="V168" s="1" t="n">
        <v>156.8</v>
      </c>
      <c r="X168" s="1" t="n">
        <v>84566</v>
      </c>
      <c r="Y168" s="1" t="n">
        <f aca="false">Y167+V168</f>
        <v>22706.9</v>
      </c>
      <c r="AA168" s="1" t="n">
        <v>10.2007439749524</v>
      </c>
      <c r="AB168" s="1" t="n">
        <v>1</v>
      </c>
    </row>
    <row r="169" customFormat="false" ht="15" hidden="false" customHeight="false" outlineLevel="0" collapsed="false">
      <c r="A169" s="19"/>
      <c r="B169" s="3"/>
      <c r="C169" s="8" t="n">
        <v>42050</v>
      </c>
      <c r="D169" s="1" t="n">
        <v>5.5</v>
      </c>
      <c r="E169" s="1" t="n">
        <v>3.9</v>
      </c>
      <c r="F169" s="1" t="n">
        <v>8</v>
      </c>
      <c r="G169" s="1" t="n">
        <v>1359.2</v>
      </c>
      <c r="H169" s="1" t="n">
        <v>276.1</v>
      </c>
      <c r="J169" s="22" t="n">
        <v>1.3</v>
      </c>
      <c r="K169" s="1" t="n">
        <f aca="false">K168+J169</f>
        <v>441.8</v>
      </c>
      <c r="L169" s="1" t="n">
        <v>0.6</v>
      </c>
      <c r="M169" s="1" t="n">
        <f aca="false">M168+L169</f>
        <v>154.7</v>
      </c>
      <c r="N169" s="1" t="n">
        <v>0.7</v>
      </c>
      <c r="O169" s="1" t="n">
        <f aca="false">O168+N169</f>
        <v>120.2</v>
      </c>
      <c r="P169" s="1" t="n">
        <v>164</v>
      </c>
      <c r="Q169" s="1" t="n">
        <v>1</v>
      </c>
      <c r="R169" s="10" t="n">
        <f aca="false">Q169*L169</f>
        <v>0.6</v>
      </c>
      <c r="S169" s="10" t="n">
        <f aca="false">J169-R169</f>
        <v>0.7</v>
      </c>
      <c r="T169" s="10" t="n">
        <f aca="false">MIN(122.1,(T168+S169))</f>
        <v>120.2</v>
      </c>
      <c r="V169" s="1" t="n">
        <v>480.7</v>
      </c>
      <c r="X169" s="1" t="n">
        <v>85046.7</v>
      </c>
      <c r="Y169" s="1" t="n">
        <f aca="false">Y168+V169</f>
        <v>23187.6</v>
      </c>
      <c r="AA169" s="1" t="n">
        <v>10.2534478601918</v>
      </c>
      <c r="AB169" s="23" t="s">
        <v>50</v>
      </c>
    </row>
    <row r="170" customFormat="false" ht="15" hidden="false" customHeight="false" outlineLevel="0" collapsed="false">
      <c r="A170" s="19"/>
      <c r="B170" s="3"/>
      <c r="C170" s="8" t="n">
        <v>42051</v>
      </c>
      <c r="D170" s="1" t="n">
        <v>2.5</v>
      </c>
      <c r="E170" s="1" t="n">
        <v>1.7</v>
      </c>
      <c r="F170" s="1" t="n">
        <v>3.2</v>
      </c>
      <c r="G170" s="1" t="n">
        <v>1361.7</v>
      </c>
      <c r="H170" s="1" t="n">
        <v>278.6</v>
      </c>
      <c r="J170" s="22" t="n">
        <v>0</v>
      </c>
      <c r="K170" s="1" t="n">
        <f aca="false">K169+J170</f>
        <v>441.8</v>
      </c>
      <c r="L170" s="1" t="n">
        <v>0.5</v>
      </c>
      <c r="M170" s="1" t="n">
        <f aca="false">M169+L170</f>
        <v>155.2</v>
      </c>
      <c r="N170" s="1" t="n">
        <v>-0.5</v>
      </c>
      <c r="O170" s="1" t="n">
        <f aca="false">O169+N170</f>
        <v>119.7</v>
      </c>
      <c r="P170" s="1" t="n">
        <v>165</v>
      </c>
      <c r="Q170" s="1" t="n">
        <v>1</v>
      </c>
      <c r="R170" s="10" t="n">
        <f aca="false">Q170*L170</f>
        <v>0.5</v>
      </c>
      <c r="S170" s="10" t="n">
        <f aca="false">J170-R170</f>
        <v>-0.5</v>
      </c>
      <c r="T170" s="24" t="n">
        <f aca="false">MIN(122.1,(T169+S170))</f>
        <v>119.7</v>
      </c>
      <c r="V170" s="1" t="n">
        <v>510.8</v>
      </c>
      <c r="X170" s="1" t="n">
        <v>85557.5</v>
      </c>
      <c r="Y170" s="1" t="n">
        <f aca="false">Y169+V170</f>
        <v>23698.4</v>
      </c>
      <c r="AA170" s="1" t="n">
        <v>10.3064701239922</v>
      </c>
      <c r="AB170" s="1" t="n">
        <v>6</v>
      </c>
    </row>
    <row r="171" customFormat="false" ht="15" hidden="false" customHeight="false" outlineLevel="0" collapsed="false">
      <c r="A171" s="19"/>
      <c r="B171" s="3"/>
      <c r="C171" s="8" t="n">
        <v>42052</v>
      </c>
      <c r="D171" s="1" t="n">
        <v>3.2</v>
      </c>
      <c r="E171" s="1" t="n">
        <v>2.4</v>
      </c>
      <c r="F171" s="1" t="n">
        <v>4.1</v>
      </c>
      <c r="G171" s="1" t="n">
        <v>1364.9</v>
      </c>
      <c r="H171" s="1" t="n">
        <v>281.8</v>
      </c>
      <c r="J171" s="22" t="n">
        <v>0</v>
      </c>
      <c r="K171" s="1" t="n">
        <f aca="false">K170+J171</f>
        <v>441.8</v>
      </c>
      <c r="L171" s="1" t="n">
        <v>0.4</v>
      </c>
      <c r="M171" s="1" t="n">
        <f aca="false">M170+L171</f>
        <v>155.6</v>
      </c>
      <c r="N171" s="1" t="n">
        <v>-0.4</v>
      </c>
      <c r="O171" s="1" t="n">
        <f aca="false">O170+N171</f>
        <v>119.3</v>
      </c>
      <c r="P171" s="1" t="n">
        <v>166</v>
      </c>
      <c r="Q171" s="1" t="n">
        <v>1</v>
      </c>
      <c r="R171" s="10" t="n">
        <f aca="false">Q171*L171</f>
        <v>0.4</v>
      </c>
      <c r="S171" s="10" t="n">
        <f aca="false">J171-R171</f>
        <v>-0.4</v>
      </c>
      <c r="T171" s="24" t="n">
        <f aca="false">MIN(122.1,(T170+S171))</f>
        <v>119.3</v>
      </c>
      <c r="V171" s="1" t="n">
        <v>174.8</v>
      </c>
      <c r="X171" s="1" t="n">
        <v>85732.3</v>
      </c>
      <c r="Y171" s="1" t="n">
        <f aca="false">Y170+V171</f>
        <v>23873.2</v>
      </c>
      <c r="AA171" s="1" t="n">
        <v>10.3597941843887</v>
      </c>
      <c r="AB171" s="23" t="s">
        <v>51</v>
      </c>
    </row>
    <row r="172" customFormat="false" ht="15" hidden="false" customHeight="false" outlineLevel="0" collapsed="false">
      <c r="A172" s="19"/>
      <c r="B172" s="3"/>
      <c r="C172" s="8" t="n">
        <v>42053</v>
      </c>
      <c r="D172" s="1" t="n">
        <v>2.8</v>
      </c>
      <c r="E172" s="1" t="n">
        <v>1.3</v>
      </c>
      <c r="F172" s="1" t="n">
        <v>5.1</v>
      </c>
      <c r="G172" s="1" t="n">
        <v>1367.7</v>
      </c>
      <c r="H172" s="1" t="n">
        <v>284.6</v>
      </c>
      <c r="J172" s="22" t="n">
        <v>0</v>
      </c>
      <c r="K172" s="1" t="n">
        <f aca="false">K171+J172</f>
        <v>441.8</v>
      </c>
      <c r="L172" s="1" t="n">
        <v>1.1</v>
      </c>
      <c r="M172" s="1" t="n">
        <f aca="false">M171+L172</f>
        <v>156.7</v>
      </c>
      <c r="N172" s="1" t="n">
        <v>-1.1</v>
      </c>
      <c r="O172" s="1" t="n">
        <f aca="false">O171+N172</f>
        <v>118.2</v>
      </c>
      <c r="P172" s="1" t="n">
        <v>167</v>
      </c>
      <c r="Q172" s="1" t="n">
        <v>1</v>
      </c>
      <c r="R172" s="10" t="n">
        <f aca="false">Q172*L172</f>
        <v>1.1</v>
      </c>
      <c r="S172" s="10" t="n">
        <f aca="false">J172-R172</f>
        <v>-1.1</v>
      </c>
      <c r="T172" s="24" t="n">
        <f aca="false">MIN(122.1,(T171+S172))</f>
        <v>118.2</v>
      </c>
      <c r="V172" s="1" t="n">
        <v>812.8</v>
      </c>
      <c r="X172" s="1" t="n">
        <v>86545.1</v>
      </c>
      <c r="Y172" s="1" t="n">
        <f aca="false">Y171+V172</f>
        <v>24686</v>
      </c>
      <c r="AA172" s="1" t="n">
        <v>10.4134040340304</v>
      </c>
      <c r="AB172" s="1" t="n">
        <f aca="false">SUM(J174:J183)</f>
        <v>30.9</v>
      </c>
    </row>
    <row r="173" s="27" customFormat="true" ht="15" hidden="false" customHeight="false" outlineLevel="0" collapsed="false">
      <c r="A173" s="19"/>
      <c r="B173" s="25" t="s">
        <v>52</v>
      </c>
      <c r="C173" s="26" t="n">
        <v>42054</v>
      </c>
      <c r="D173" s="27" t="n">
        <v>3.1</v>
      </c>
      <c r="E173" s="27" t="n">
        <v>1.2</v>
      </c>
      <c r="F173" s="27" t="n">
        <v>6.6</v>
      </c>
      <c r="G173" s="27" t="n">
        <v>1370.8</v>
      </c>
      <c r="H173" s="27" t="n">
        <v>287.7</v>
      </c>
      <c r="J173" s="27" t="n">
        <v>0</v>
      </c>
      <c r="K173" s="27" t="n">
        <f aca="false">K172+J173</f>
        <v>441.8</v>
      </c>
      <c r="L173" s="27" t="n">
        <v>1</v>
      </c>
      <c r="M173" s="27" t="n">
        <f aca="false">M172+L173</f>
        <v>157.7</v>
      </c>
      <c r="N173" s="27" t="n">
        <v>-1</v>
      </c>
      <c r="O173" s="27" t="n">
        <f aca="false">O172+N173</f>
        <v>117.2</v>
      </c>
      <c r="P173" s="27" t="n">
        <v>168</v>
      </c>
      <c r="Q173" s="27" t="n">
        <v>1</v>
      </c>
      <c r="R173" s="28" t="n">
        <f aca="false">Q173*L173</f>
        <v>1</v>
      </c>
      <c r="S173" s="28" t="n">
        <f aca="false">J173-R173</f>
        <v>-1</v>
      </c>
      <c r="T173" s="28" t="n">
        <f aca="false">MIN(122.1,(T172+S173))</f>
        <v>117.2</v>
      </c>
      <c r="V173" s="27" t="n">
        <v>631.5</v>
      </c>
      <c r="X173" s="27" t="n">
        <v>87176.6</v>
      </c>
      <c r="Y173" s="27" t="n">
        <f aca="false">Y172+V173</f>
        <v>25317.5</v>
      </c>
      <c r="AA173" s="27" t="n">
        <v>10.4672842293458</v>
      </c>
    </row>
    <row r="174" customFormat="false" ht="15" hidden="false" customHeight="false" outlineLevel="0" collapsed="false">
      <c r="A174" s="19"/>
      <c r="B174" s="3"/>
      <c r="C174" s="8" t="n">
        <v>42055</v>
      </c>
      <c r="D174" s="1" t="n">
        <v>5.3</v>
      </c>
      <c r="E174" s="1" t="n">
        <v>-2.3</v>
      </c>
      <c r="F174" s="1" t="n">
        <v>11.1</v>
      </c>
      <c r="G174" s="1" t="n">
        <v>1376.1</v>
      </c>
      <c r="H174" s="1" t="n">
        <v>293</v>
      </c>
      <c r="J174" s="22" t="n">
        <v>7</v>
      </c>
      <c r="K174" s="1" t="n">
        <f aca="false">K173+J174</f>
        <v>448.8</v>
      </c>
      <c r="L174" s="1" t="n">
        <v>1.6</v>
      </c>
      <c r="M174" s="1" t="n">
        <f aca="false">M173+L174</f>
        <v>159.3</v>
      </c>
      <c r="N174" s="1" t="n">
        <v>5.4</v>
      </c>
      <c r="O174" s="1" t="n">
        <v>122.1</v>
      </c>
      <c r="P174" s="1" t="n">
        <v>169</v>
      </c>
      <c r="Q174" s="1" t="n">
        <v>1</v>
      </c>
      <c r="R174" s="10" t="n">
        <f aca="false">Q174*L174</f>
        <v>1.6</v>
      </c>
      <c r="S174" s="10" t="n">
        <f aca="false">J174-R174</f>
        <v>5.4</v>
      </c>
      <c r="T174" s="24" t="n">
        <f aca="false">MIN(122.1,(T173+S174))</f>
        <v>122.1</v>
      </c>
      <c r="V174" s="1" t="n">
        <v>1107.1</v>
      </c>
      <c r="X174" s="1" t="n">
        <v>88283.7</v>
      </c>
      <c r="Y174" s="1" t="n">
        <f aca="false">Y173+V174</f>
        <v>26424.6</v>
      </c>
      <c r="AA174" s="1" t="n">
        <v>10.5214198786888</v>
      </c>
    </row>
    <row r="175" customFormat="false" ht="15" hidden="false" customHeight="false" outlineLevel="0" collapsed="false">
      <c r="A175" s="19"/>
      <c r="B175" s="3"/>
      <c r="C175" s="8" t="n">
        <v>42056</v>
      </c>
      <c r="D175" s="1" t="n">
        <v>4.5</v>
      </c>
      <c r="E175" s="1" t="n">
        <v>4</v>
      </c>
      <c r="F175" s="1" t="n">
        <v>5.3</v>
      </c>
      <c r="G175" s="1" t="n">
        <v>1380.6</v>
      </c>
      <c r="H175" s="1" t="n">
        <v>297.5</v>
      </c>
      <c r="J175" s="22" t="n">
        <v>0.3</v>
      </c>
      <c r="K175" s="1" t="n">
        <f aca="false">K174+J175</f>
        <v>449.1</v>
      </c>
      <c r="L175" s="1" t="n">
        <v>0.7</v>
      </c>
      <c r="M175" s="1" t="n">
        <f aca="false">M174+L175</f>
        <v>160</v>
      </c>
      <c r="N175" s="1" t="n">
        <v>-0.4</v>
      </c>
      <c r="O175" s="1" t="n">
        <f aca="false">O174+N175</f>
        <v>121.7</v>
      </c>
      <c r="P175" s="1" t="n">
        <v>170</v>
      </c>
      <c r="Q175" s="1" t="n">
        <v>1</v>
      </c>
      <c r="R175" s="10" t="n">
        <f aca="false">Q175*L175</f>
        <v>0.7</v>
      </c>
      <c r="S175" s="10" t="n">
        <f aca="false">J175-R175</f>
        <v>-0.4</v>
      </c>
      <c r="T175" s="24" t="n">
        <f aca="false">MIN(122.1,(T174+S175))</f>
        <v>121.7</v>
      </c>
      <c r="V175" s="1" t="n">
        <v>709.1</v>
      </c>
      <c r="X175" s="1" t="n">
        <v>88992.8</v>
      </c>
      <c r="Y175" s="1" t="n">
        <f aca="false">Y174+V175</f>
        <v>27133.7</v>
      </c>
      <c r="AA175" s="1" t="n">
        <v>10.5757966295688</v>
      </c>
    </row>
    <row r="176" customFormat="false" ht="15" hidden="false" customHeight="false" outlineLevel="0" collapsed="false">
      <c r="A176" s="19"/>
      <c r="B176" s="3"/>
      <c r="C176" s="8" t="n">
        <v>42057</v>
      </c>
      <c r="D176" s="1" t="n">
        <v>2.9</v>
      </c>
      <c r="E176" s="1" t="n">
        <v>2.2</v>
      </c>
      <c r="F176" s="1" t="n">
        <v>5.9</v>
      </c>
      <c r="G176" s="1" t="n">
        <v>1383.5</v>
      </c>
      <c r="H176" s="1" t="n">
        <v>300.4</v>
      </c>
      <c r="J176" s="22" t="n">
        <v>0.7</v>
      </c>
      <c r="K176" s="1" t="n">
        <f aca="false">K175+J176</f>
        <v>449.8</v>
      </c>
      <c r="L176" s="1" t="n">
        <v>0.9</v>
      </c>
      <c r="M176" s="1" t="n">
        <f aca="false">M175+L176</f>
        <v>160.9</v>
      </c>
      <c r="N176" s="1" t="n">
        <v>-0.2</v>
      </c>
      <c r="O176" s="1" t="n">
        <f aca="false">O175+N176</f>
        <v>121.5</v>
      </c>
      <c r="P176" s="1" t="n">
        <v>171</v>
      </c>
      <c r="Q176" s="1" t="n">
        <v>1</v>
      </c>
      <c r="R176" s="10" t="n">
        <f aca="false">Q176*L176</f>
        <v>0.9</v>
      </c>
      <c r="S176" s="10" t="n">
        <f aca="false">J176-R176</f>
        <v>-0.2</v>
      </c>
      <c r="T176" s="24" t="n">
        <f aca="false">MIN(122.1,(T175+S176))</f>
        <v>121.5</v>
      </c>
      <c r="V176" s="1" t="n">
        <v>460.2</v>
      </c>
      <c r="X176" s="1" t="n">
        <v>89453</v>
      </c>
      <c r="Y176" s="1" t="n">
        <f aca="false">Y175+V176</f>
        <v>27593.9</v>
      </c>
      <c r="AA176" s="1" t="n">
        <v>10.630400655061</v>
      </c>
      <c r="AC176" s="23" t="s">
        <v>53</v>
      </c>
      <c r="AD176" s="23" t="s">
        <v>54</v>
      </c>
    </row>
    <row r="177" customFormat="false" ht="15" hidden="false" customHeight="false" outlineLevel="0" collapsed="false">
      <c r="A177" s="19"/>
      <c r="B177" s="3"/>
      <c r="C177" s="8" t="n">
        <v>42058</v>
      </c>
      <c r="D177" s="1" t="n">
        <v>3.5</v>
      </c>
      <c r="E177" s="1" t="n">
        <v>-0.5</v>
      </c>
      <c r="F177" s="1" t="n">
        <v>6.2</v>
      </c>
      <c r="G177" s="1" t="n">
        <v>1387</v>
      </c>
      <c r="H177" s="1" t="n">
        <v>303.9</v>
      </c>
      <c r="J177" s="22" t="n">
        <v>4</v>
      </c>
      <c r="K177" s="1" t="n">
        <f aca="false">K176+J177</f>
        <v>453.8</v>
      </c>
      <c r="L177" s="1" t="n">
        <v>0.4</v>
      </c>
      <c r="M177" s="1" t="n">
        <f aca="false">M176+L177</f>
        <v>161.3</v>
      </c>
      <c r="N177" s="1" t="n">
        <v>3.6</v>
      </c>
      <c r="O177" s="1" t="n">
        <v>122.1</v>
      </c>
      <c r="P177" s="1" t="n">
        <v>172</v>
      </c>
      <c r="Q177" s="1" t="n">
        <v>1</v>
      </c>
      <c r="R177" s="10" t="n">
        <f aca="false">Q177*L177</f>
        <v>0.4</v>
      </c>
      <c r="S177" s="10" t="n">
        <f aca="false">J177-R177</f>
        <v>3.6</v>
      </c>
      <c r="T177" s="24" t="n">
        <f aca="false">MIN(122.1,(T176+S177))</f>
        <v>122.1</v>
      </c>
      <c r="V177" s="1" t="n">
        <v>235.2</v>
      </c>
      <c r="X177" s="1" t="n">
        <v>89688.2</v>
      </c>
      <c r="Y177" s="1" t="n">
        <f aca="false">Y176+V177</f>
        <v>27829.1</v>
      </c>
      <c r="AA177" s="1" t="n">
        <v>10.6852186394912</v>
      </c>
      <c r="AC177" s="11" t="n">
        <f aca="false">(AB164*(30/60))+(AB186*(30/60))</f>
        <v>110.251367595819</v>
      </c>
      <c r="AD177" s="11" t="n">
        <f aca="false">(AB164*(60/140))+(AB186*(80/140))</f>
        <v>108.725032354405</v>
      </c>
    </row>
    <row r="178" customFormat="false" ht="15" hidden="false" customHeight="false" outlineLevel="0" collapsed="false">
      <c r="A178" s="19"/>
      <c r="B178" s="3"/>
      <c r="C178" s="8" t="n">
        <v>42059</v>
      </c>
      <c r="D178" s="1" t="n">
        <v>4.1</v>
      </c>
      <c r="E178" s="1" t="n">
        <v>0.7</v>
      </c>
      <c r="F178" s="1" t="n">
        <v>8.5</v>
      </c>
      <c r="G178" s="1" t="n">
        <v>1391.1</v>
      </c>
      <c r="H178" s="1" t="n">
        <v>308</v>
      </c>
      <c r="J178" s="22" t="n">
        <v>0.7</v>
      </c>
      <c r="K178" s="1" t="n">
        <f aca="false">K177+J178</f>
        <v>454.5</v>
      </c>
      <c r="L178" s="1" t="n">
        <v>0.7</v>
      </c>
      <c r="M178" s="1" t="n">
        <f aca="false">M177+L178</f>
        <v>162</v>
      </c>
      <c r="N178" s="1" t="n">
        <v>0</v>
      </c>
      <c r="O178" s="1" t="n">
        <f aca="false">O177+N178</f>
        <v>122.1</v>
      </c>
      <c r="P178" s="1" t="n">
        <v>173</v>
      </c>
      <c r="Q178" s="1" t="n">
        <v>1</v>
      </c>
      <c r="R178" s="10" t="n">
        <f aca="false">Q178*L178</f>
        <v>0.7</v>
      </c>
      <c r="S178" s="10" t="n">
        <f aca="false">J178-R178</f>
        <v>0</v>
      </c>
      <c r="T178" s="24" t="n">
        <f aca="false">MIN(122.1,(T177+S178))</f>
        <v>122.1</v>
      </c>
      <c r="V178" s="1" t="n">
        <v>559.9</v>
      </c>
      <c r="X178" s="1" t="n">
        <v>90248.1</v>
      </c>
      <c r="Y178" s="1" t="n">
        <f aca="false">Y177+V178</f>
        <v>28389</v>
      </c>
      <c r="AA178" s="1" t="n">
        <v>10.7402377634786</v>
      </c>
      <c r="AC178" s="23" t="s">
        <v>55</v>
      </c>
      <c r="AD178" s="23" t="s">
        <v>56</v>
      </c>
    </row>
    <row r="179" customFormat="false" ht="15" hidden="false" customHeight="false" outlineLevel="0" collapsed="false">
      <c r="A179" s="19"/>
      <c r="B179" s="3"/>
      <c r="C179" s="8" t="n">
        <v>42060</v>
      </c>
      <c r="D179" s="1" t="n">
        <v>3.5</v>
      </c>
      <c r="E179" s="1" t="n">
        <v>-1.3</v>
      </c>
      <c r="F179" s="1" t="n">
        <v>8.3</v>
      </c>
      <c r="G179" s="1" t="n">
        <v>1394.6</v>
      </c>
      <c r="H179" s="1" t="n">
        <v>311.5</v>
      </c>
      <c r="J179" s="22" t="n">
        <v>0</v>
      </c>
      <c r="K179" s="1" t="n">
        <f aca="false">K178+J179</f>
        <v>454.5</v>
      </c>
      <c r="L179" s="1" t="n">
        <v>1.1</v>
      </c>
      <c r="M179" s="1" t="n">
        <f aca="false">M178+L179</f>
        <v>163.1</v>
      </c>
      <c r="N179" s="1" t="n">
        <v>-1.1</v>
      </c>
      <c r="O179" s="1" t="n">
        <f aca="false">O178+N179</f>
        <v>121</v>
      </c>
      <c r="P179" s="1" t="n">
        <v>174</v>
      </c>
      <c r="Q179" s="1" t="n">
        <v>1</v>
      </c>
      <c r="R179" s="10" t="n">
        <f aca="false">Q179*L179</f>
        <v>1.1</v>
      </c>
      <c r="S179" s="10" t="n">
        <f aca="false">J179-R179</f>
        <v>-1.1</v>
      </c>
      <c r="T179" s="24" t="n">
        <f aca="false">MIN(122.1,(T178+S179))</f>
        <v>121</v>
      </c>
      <c r="V179" s="1" t="n">
        <v>1119.8</v>
      </c>
      <c r="X179" s="1" t="n">
        <v>91367.9</v>
      </c>
      <c r="Y179" s="1" t="n">
        <f aca="false">Y178+V179</f>
        <v>29508.8</v>
      </c>
      <c r="AA179" s="1" t="n">
        <v>10.7954456884178</v>
      </c>
      <c r="AC179" s="10" t="n">
        <f aca="false">(AB166*(30/60))+(AB188*(30/60))</f>
        <v>6</v>
      </c>
      <c r="AD179" s="10" t="n">
        <f aca="false">(AB166*(60/140))+(AB188*(80/140))</f>
        <v>6.28571428571429</v>
      </c>
    </row>
    <row r="180" customFormat="false" ht="15" hidden="false" customHeight="false" outlineLevel="0" collapsed="false">
      <c r="A180" s="19"/>
      <c r="B180" s="3"/>
      <c r="C180" s="8" t="n">
        <v>42061</v>
      </c>
      <c r="D180" s="1" t="n">
        <v>4.6</v>
      </c>
      <c r="E180" s="1" t="n">
        <v>-0.8</v>
      </c>
      <c r="F180" s="1" t="n">
        <v>7.8</v>
      </c>
      <c r="G180" s="1" t="n">
        <v>1399.2</v>
      </c>
      <c r="H180" s="1" t="n">
        <v>316.1</v>
      </c>
      <c r="J180" s="22" t="n">
        <v>9.5</v>
      </c>
      <c r="K180" s="1" t="n">
        <f aca="false">K179+J180</f>
        <v>464</v>
      </c>
      <c r="L180" s="1" t="n">
        <v>0.6</v>
      </c>
      <c r="M180" s="1" t="n">
        <f aca="false">M179+L180</f>
        <v>163.7</v>
      </c>
      <c r="N180" s="1" t="n">
        <v>8.9</v>
      </c>
      <c r="O180" s="1" t="n">
        <v>122.1</v>
      </c>
      <c r="P180" s="1" t="n">
        <v>175</v>
      </c>
      <c r="Q180" s="1" t="n">
        <v>1</v>
      </c>
      <c r="R180" s="10" t="n">
        <f aca="false">Q180*L180</f>
        <v>0.6</v>
      </c>
      <c r="S180" s="10" t="n">
        <f aca="false">J180-R180</f>
        <v>8.9</v>
      </c>
      <c r="T180" s="24" t="n">
        <f aca="false">MIN(122.1,(T179+S180))</f>
        <v>122.1</v>
      </c>
      <c r="V180" s="1" t="n">
        <v>742.2</v>
      </c>
      <c r="X180" s="1" t="n">
        <v>92110.1</v>
      </c>
      <c r="Y180" s="1" t="n">
        <f aca="false">Y179+V180</f>
        <v>30251</v>
      </c>
      <c r="AA180" s="1" t="n">
        <v>10.8508305404732</v>
      </c>
      <c r="AC180" s="23" t="s">
        <v>57</v>
      </c>
      <c r="AD180" s="23" t="s">
        <v>58</v>
      </c>
    </row>
    <row r="181" customFormat="false" ht="15" hidden="false" customHeight="false" outlineLevel="0" collapsed="false">
      <c r="A181" s="19"/>
      <c r="B181" s="3"/>
      <c r="C181" s="8" t="n">
        <v>42062</v>
      </c>
      <c r="D181" s="1" t="n">
        <v>4.7</v>
      </c>
      <c r="E181" s="1" t="n">
        <v>4.7</v>
      </c>
      <c r="F181" s="1" t="n">
        <v>6.4</v>
      </c>
      <c r="G181" s="1" t="n">
        <v>1403.9</v>
      </c>
      <c r="H181" s="1" t="n">
        <v>320.8</v>
      </c>
      <c r="J181" s="22" t="n">
        <v>0.5</v>
      </c>
      <c r="K181" s="1" t="n">
        <f aca="false">K180+J181</f>
        <v>464.5</v>
      </c>
      <c r="L181" s="1" t="n">
        <v>0.7</v>
      </c>
      <c r="M181" s="1" t="n">
        <f aca="false">M180+L181</f>
        <v>164.4</v>
      </c>
      <c r="N181" s="1" t="n">
        <v>-0.2</v>
      </c>
      <c r="O181" s="1" t="n">
        <f aca="false">O180+N181</f>
        <v>121.9</v>
      </c>
      <c r="P181" s="1" t="n">
        <v>176</v>
      </c>
      <c r="Q181" s="1" t="n">
        <v>1</v>
      </c>
      <c r="R181" s="10" t="n">
        <f aca="false">Q181*L181</f>
        <v>0.7</v>
      </c>
      <c r="S181" s="10" t="n">
        <f aca="false">J181-R181</f>
        <v>-0.2</v>
      </c>
      <c r="T181" s="24" t="n">
        <f aca="false">MIN(122.1,(T180+S181))</f>
        <v>121.9</v>
      </c>
      <c r="V181" s="1" t="n">
        <v>386.5</v>
      </c>
      <c r="X181" s="1" t="n">
        <v>92496.6</v>
      </c>
      <c r="Y181" s="1" t="n">
        <f aca="false">Y180+V181</f>
        <v>30637.5</v>
      </c>
      <c r="AA181" s="1" t="n">
        <v>10.9063808941549</v>
      </c>
      <c r="AC181" s="10" t="n">
        <f aca="false">(AB168*(30/60))+(AB190*(30/60))</f>
        <v>4.5</v>
      </c>
      <c r="AD181" s="10" t="n">
        <f aca="false">(AB168*(60/140))+(AB190*(80/140))</f>
        <v>5</v>
      </c>
    </row>
    <row r="182" s="31" customFormat="true" ht="15" hidden="false" customHeight="false" outlineLevel="0" collapsed="false">
      <c r="A182" s="19"/>
      <c r="B182" s="29"/>
      <c r="C182" s="30" t="n">
        <v>42063</v>
      </c>
      <c r="D182" s="31" t="n">
        <v>2.3</v>
      </c>
      <c r="E182" s="31" t="n">
        <v>-3.2</v>
      </c>
      <c r="F182" s="31" t="n">
        <v>7.4</v>
      </c>
      <c r="G182" s="31" t="n">
        <v>1406.2</v>
      </c>
      <c r="H182" s="31" t="n">
        <v>323.1</v>
      </c>
      <c r="J182" s="32" t="n">
        <v>4.9</v>
      </c>
      <c r="K182" s="31" t="n">
        <f aca="false">K181+J182</f>
        <v>469.4</v>
      </c>
      <c r="L182" s="31" t="n">
        <v>0.9</v>
      </c>
      <c r="M182" s="31" t="n">
        <f aca="false">M181+L182</f>
        <v>165.3</v>
      </c>
      <c r="N182" s="31" t="n">
        <v>4</v>
      </c>
      <c r="O182" s="31" t="n">
        <v>122.1</v>
      </c>
      <c r="P182" s="31" t="n">
        <v>177</v>
      </c>
      <c r="Q182" s="33" t="n">
        <v>1</v>
      </c>
      <c r="R182" s="34" t="n">
        <f aca="false">Q182*L182</f>
        <v>0.9</v>
      </c>
      <c r="S182" s="34" t="n">
        <f aca="false">J182-R182</f>
        <v>4</v>
      </c>
      <c r="T182" s="35" t="n">
        <f aca="false">MIN(122.1,(T181+S182))</f>
        <v>122.1</v>
      </c>
      <c r="V182" s="31" t="n">
        <v>880</v>
      </c>
      <c r="X182" s="31" t="n">
        <v>93376.6</v>
      </c>
      <c r="Y182" s="33" t="n">
        <f aca="false">Y181+V182</f>
        <v>31517.5</v>
      </c>
      <c r="AA182" s="33" t="n">
        <v>10.9620857555387</v>
      </c>
      <c r="AC182" s="23" t="s">
        <v>59</v>
      </c>
      <c r="AD182" s="23" t="s">
        <v>60</v>
      </c>
    </row>
    <row r="183" customFormat="false" ht="15" hidden="false" customHeight="false" outlineLevel="0" collapsed="false">
      <c r="A183" s="36" t="s">
        <v>61</v>
      </c>
      <c r="B183" s="3"/>
      <c r="C183" s="8" t="n">
        <v>42064</v>
      </c>
      <c r="D183" s="1" t="n">
        <v>6.4</v>
      </c>
      <c r="E183" s="1" t="n">
        <v>3.2</v>
      </c>
      <c r="F183" s="1" t="n">
        <v>9</v>
      </c>
      <c r="G183" s="1" t="n">
        <v>1412.6</v>
      </c>
      <c r="H183" s="1" t="n">
        <v>6.4</v>
      </c>
      <c r="I183" s="37" t="s">
        <v>28</v>
      </c>
      <c r="J183" s="22" t="n">
        <v>3.3</v>
      </c>
      <c r="K183" s="1" t="n">
        <f aca="false">K182+J183</f>
        <v>472.7</v>
      </c>
      <c r="L183" s="1" t="n">
        <v>0.7</v>
      </c>
      <c r="M183" s="1" t="n">
        <f aca="false">M182+L183</f>
        <v>166</v>
      </c>
      <c r="N183" s="1" t="n">
        <v>2.6</v>
      </c>
      <c r="O183" s="1" t="n">
        <v>122.1</v>
      </c>
      <c r="P183" s="1" t="n">
        <v>178</v>
      </c>
      <c r="Q183" s="1" t="n">
        <f aca="false">1+((P183-177)/41)*(1.15-1)</f>
        <v>1.00365853658537</v>
      </c>
      <c r="R183" s="10" t="n">
        <f aca="false">Q183*L183</f>
        <v>0.702560975609756</v>
      </c>
      <c r="S183" s="10" t="n">
        <f aca="false">J183-R183</f>
        <v>2.59743902439024</v>
      </c>
      <c r="T183" s="24" t="n">
        <f aca="false">MIN(122.1,(T182+S183))</f>
        <v>122.1</v>
      </c>
      <c r="U183" s="37" t="s">
        <v>29</v>
      </c>
      <c r="V183" s="1" t="n">
        <v>387.5</v>
      </c>
      <c r="X183" s="1" t="n">
        <v>93764.1</v>
      </c>
      <c r="Y183" s="1" t="n">
        <v>387.5</v>
      </c>
      <c r="Z183" s="37" t="s">
        <v>30</v>
      </c>
      <c r="AA183" s="1" t="n">
        <v>11.0179345451881</v>
      </c>
      <c r="AC183" s="10" t="n">
        <f aca="false">(AB170*(30/60))+(AB192*(30/60))</f>
        <v>3</v>
      </c>
      <c r="AD183" s="10" t="n">
        <f aca="false">(AB170*(60/140))+(AB192*(80/140))</f>
        <v>2.57142857142857</v>
      </c>
    </row>
    <row r="184" customFormat="false" ht="15" hidden="false" customHeight="false" outlineLevel="0" collapsed="false">
      <c r="A184" s="36"/>
      <c r="B184" s="3"/>
      <c r="C184" s="8" t="n">
        <v>42065</v>
      </c>
      <c r="D184" s="1" t="n">
        <v>8.4</v>
      </c>
      <c r="E184" s="1" t="n">
        <v>8.2</v>
      </c>
      <c r="F184" s="1" t="n">
        <v>11.6</v>
      </c>
      <c r="G184" s="1" t="n">
        <v>1421</v>
      </c>
      <c r="H184" s="1" t="n">
        <f aca="false">H183+D184</f>
        <v>14.8</v>
      </c>
      <c r="I184" s="1" t="n">
        <f aca="false">MIN(E183:E223)</f>
        <v>-2.7</v>
      </c>
      <c r="J184" s="1" t="n">
        <v>2.6</v>
      </c>
      <c r="K184" s="1" t="n">
        <f aca="false">K183+J184</f>
        <v>475.3</v>
      </c>
      <c r="L184" s="1" t="n">
        <v>1.9</v>
      </c>
      <c r="M184" s="1" t="n">
        <f aca="false">M183+L184</f>
        <v>167.9</v>
      </c>
      <c r="N184" s="1" t="n">
        <v>0.7</v>
      </c>
      <c r="O184" s="1" t="n">
        <v>122.1</v>
      </c>
      <c r="P184" s="1" t="n">
        <v>179</v>
      </c>
      <c r="Q184" s="1" t="n">
        <f aca="false">1+((P184-177)/41)*(1.15-1)</f>
        <v>1.00731707317073</v>
      </c>
      <c r="R184" s="10" t="n">
        <f aca="false">Q184*L184</f>
        <v>1.91390243902439</v>
      </c>
      <c r="S184" s="10" t="n">
        <f aca="false">J184-R184</f>
        <v>0.68609756097561</v>
      </c>
      <c r="T184" s="10" t="n">
        <f aca="false">MIN(122.1,(T183+S184))</f>
        <v>122.1</v>
      </c>
      <c r="U184" s="1" t="n">
        <v>28</v>
      </c>
      <c r="V184" s="1" t="n">
        <v>821.3</v>
      </c>
      <c r="X184" s="1" t="n">
        <v>94585.4</v>
      </c>
      <c r="Y184" s="1" t="n">
        <f aca="false">Y183+V184</f>
        <v>1208.8</v>
      </c>
      <c r="Z184" s="1" t="n">
        <f aca="false">Y223</f>
        <v>46956.4</v>
      </c>
      <c r="AA184" s="1" t="n">
        <v>11.0739170808304</v>
      </c>
      <c r="AC184" s="23" t="s">
        <v>62</v>
      </c>
      <c r="AD184" s="23" t="s">
        <v>63</v>
      </c>
    </row>
    <row r="185" customFormat="false" ht="15" hidden="false" customHeight="false" outlineLevel="0" collapsed="false">
      <c r="A185" s="36"/>
      <c r="B185" s="3"/>
      <c r="C185" s="8" t="n">
        <v>42066</v>
      </c>
      <c r="D185" s="1" t="n">
        <v>6.4</v>
      </c>
      <c r="E185" s="1" t="n">
        <v>1.1</v>
      </c>
      <c r="F185" s="1" t="n">
        <v>11.3</v>
      </c>
      <c r="G185" s="1" t="n">
        <v>1427.4</v>
      </c>
      <c r="H185" s="1" t="n">
        <f aca="false">H184+D185</f>
        <v>21.2</v>
      </c>
      <c r="I185" s="37" t="s">
        <v>31</v>
      </c>
      <c r="J185" s="22" t="n">
        <v>2</v>
      </c>
      <c r="K185" s="1" t="n">
        <f aca="false">K184+J185</f>
        <v>477.3</v>
      </c>
      <c r="L185" s="1" t="n">
        <v>1.3</v>
      </c>
      <c r="M185" s="1" t="n">
        <f aca="false">M184+L185</f>
        <v>169.2</v>
      </c>
      <c r="N185" s="1" t="n">
        <v>0.7</v>
      </c>
      <c r="O185" s="1" t="n">
        <v>122.1</v>
      </c>
      <c r="P185" s="1" t="n">
        <v>180</v>
      </c>
      <c r="Q185" s="1" t="n">
        <f aca="false">1+((P185-177)/41)*(1.15-1)</f>
        <v>1.0109756097561</v>
      </c>
      <c r="R185" s="10" t="n">
        <f aca="false">Q185*L185</f>
        <v>1.31426829268293</v>
      </c>
      <c r="S185" s="10" t="n">
        <f aca="false">J185-R185</f>
        <v>0.685731707317073</v>
      </c>
      <c r="T185" s="10" t="n">
        <f aca="false">MIN(122.1,(T184+S185))</f>
        <v>122.1</v>
      </c>
      <c r="U185" s="37" t="s">
        <v>32</v>
      </c>
      <c r="V185" s="1" t="n">
        <v>981.8</v>
      </c>
      <c r="X185" s="1" t="n">
        <v>95567.2</v>
      </c>
      <c r="Y185" s="1" t="n">
        <f aca="false">Y184+V185</f>
        <v>2190.6</v>
      </c>
      <c r="Z185" s="37" t="s">
        <v>33</v>
      </c>
      <c r="AA185" s="1" t="n">
        <v>11.1300235598356</v>
      </c>
      <c r="AB185" s="23" t="s">
        <v>46</v>
      </c>
      <c r="AC185" s="10" t="n">
        <f aca="false">(AB172*(30/60))+(AB194*(30/60))</f>
        <v>17.05</v>
      </c>
      <c r="AD185" s="10" t="n">
        <f aca="false">(AB172*(60/140))+(AB194*(80/140))</f>
        <v>15.0714285714286</v>
      </c>
    </row>
    <row r="186" customFormat="false" ht="15" hidden="false" customHeight="false" outlineLevel="0" collapsed="false">
      <c r="A186" s="36"/>
      <c r="B186" s="3"/>
      <c r="C186" s="8" t="n">
        <v>42067</v>
      </c>
      <c r="D186" s="1" t="n">
        <v>4.1</v>
      </c>
      <c r="E186" s="1" t="n">
        <v>1.4</v>
      </c>
      <c r="F186" s="1" t="n">
        <v>7</v>
      </c>
      <c r="G186" s="1" t="n">
        <v>1431.5</v>
      </c>
      <c r="H186" s="1" t="n">
        <f aca="false">H185+D186</f>
        <v>25.3</v>
      </c>
      <c r="I186" s="1" t="n">
        <f aca="false">MAX(F183:F223)</f>
        <v>19.4</v>
      </c>
      <c r="J186" s="22" t="n">
        <v>1</v>
      </c>
      <c r="K186" s="1" t="n">
        <f aca="false">K185+J186</f>
        <v>478.3</v>
      </c>
      <c r="L186" s="1" t="n">
        <v>0.8</v>
      </c>
      <c r="M186" s="1" t="n">
        <f aca="false">M185+L186</f>
        <v>170</v>
      </c>
      <c r="N186" s="1" t="n">
        <v>0.2</v>
      </c>
      <c r="O186" s="1" t="n">
        <v>122.1</v>
      </c>
      <c r="P186" s="1" t="n">
        <v>181</v>
      </c>
      <c r="Q186" s="1" t="n">
        <f aca="false">1+((P186-177)/41)*(1.15-1)</f>
        <v>1.01463414634146</v>
      </c>
      <c r="R186" s="10" t="n">
        <f aca="false">Q186*L186</f>
        <v>0.811707317073171</v>
      </c>
      <c r="S186" s="10" t="n">
        <f aca="false">J186-R186</f>
        <v>0.188292682926829</v>
      </c>
      <c r="T186" s="10" t="n">
        <f aca="false">MIN(122.1,(T185+S186))</f>
        <v>122.1</v>
      </c>
      <c r="U186" s="1" t="n">
        <v>0</v>
      </c>
      <c r="V186" s="1" t="n">
        <v>448.4</v>
      </c>
      <c r="X186" s="1" t="n">
        <v>96015.6</v>
      </c>
      <c r="Y186" s="1" t="n">
        <f aca="false">Y185+V186</f>
        <v>2639</v>
      </c>
      <c r="Z186" s="11" t="n">
        <f aca="false">(Z184/100)/I196</f>
        <v>1.51913296667745</v>
      </c>
      <c r="AA186" s="1" t="n">
        <v>11.1862445415401</v>
      </c>
      <c r="AB186" s="10" t="n">
        <f aca="false">AVERAGE(T192:T205)</f>
        <v>99.5670209059233</v>
      </c>
    </row>
    <row r="187" customFormat="false" ht="15" hidden="false" customHeight="false" outlineLevel="0" collapsed="false">
      <c r="A187" s="36"/>
      <c r="B187" s="3"/>
      <c r="C187" s="8" t="n">
        <v>42068</v>
      </c>
      <c r="D187" s="1" t="n">
        <v>4</v>
      </c>
      <c r="E187" s="1" t="n">
        <v>1.3</v>
      </c>
      <c r="F187" s="1" t="n">
        <v>7.4</v>
      </c>
      <c r="G187" s="1" t="n">
        <v>1435.5</v>
      </c>
      <c r="H187" s="1" t="n">
        <f aca="false">H186+D187</f>
        <v>29.3</v>
      </c>
      <c r="I187" s="37" t="s">
        <v>34</v>
      </c>
      <c r="J187" s="22" t="n">
        <v>0</v>
      </c>
      <c r="K187" s="1" t="n">
        <f aca="false">K186+J187</f>
        <v>478.3</v>
      </c>
      <c r="L187" s="1" t="n">
        <v>1.5</v>
      </c>
      <c r="M187" s="1" t="n">
        <f aca="false">M186+L187</f>
        <v>171.5</v>
      </c>
      <c r="N187" s="1" t="n">
        <v>-1.5</v>
      </c>
      <c r="O187" s="1" t="n">
        <f aca="false">O186+N187</f>
        <v>120.6</v>
      </c>
      <c r="P187" s="1" t="n">
        <v>182</v>
      </c>
      <c r="Q187" s="1" t="n">
        <f aca="false">1+((P187-177)/41)*(1.15-1)</f>
        <v>1.01829268292683</v>
      </c>
      <c r="R187" s="10" t="n">
        <f aca="false">Q187*L187</f>
        <v>1.52743902439024</v>
      </c>
      <c r="S187" s="10" t="n">
        <f aca="false">J187-R187</f>
        <v>-1.52743902439024</v>
      </c>
      <c r="T187" s="10" t="n">
        <f aca="false">MIN(122.1,(T186+S187))</f>
        <v>120.57256097561</v>
      </c>
      <c r="U187" s="37" t="s">
        <v>35</v>
      </c>
      <c r="V187" s="1" t="n">
        <v>1011.2</v>
      </c>
      <c r="X187" s="1" t="n">
        <v>97026.8</v>
      </c>
      <c r="Y187" s="1" t="n">
        <f aca="false">Y186+V187</f>
        <v>3650.2</v>
      </c>
      <c r="Z187" s="37" t="s">
        <v>36</v>
      </c>
      <c r="AA187" s="1" t="n">
        <v>11.2425709294546</v>
      </c>
      <c r="AB187" s="23" t="s">
        <v>47</v>
      </c>
    </row>
    <row r="188" customFormat="false" ht="15" hidden="false" customHeight="false" outlineLevel="0" collapsed="false">
      <c r="A188" s="36"/>
      <c r="B188" s="3"/>
      <c r="C188" s="8" t="n">
        <v>42069</v>
      </c>
      <c r="D188" s="1" t="n">
        <v>4</v>
      </c>
      <c r="E188" s="1" t="n">
        <v>-1.5</v>
      </c>
      <c r="F188" s="1" t="n">
        <v>9.9</v>
      </c>
      <c r="G188" s="1" t="n">
        <v>1439.5</v>
      </c>
      <c r="H188" s="1" t="n">
        <f aca="false">H187+D188</f>
        <v>33.3</v>
      </c>
      <c r="I188" s="10" t="n">
        <f aca="false">AVERAGE(D183:D223)</f>
        <v>7.5390243902439</v>
      </c>
      <c r="J188" s="22" t="n">
        <v>0</v>
      </c>
      <c r="K188" s="1" t="n">
        <f aca="false">K187+J188</f>
        <v>478.3</v>
      </c>
      <c r="L188" s="1" t="n">
        <v>2.1</v>
      </c>
      <c r="M188" s="1" t="n">
        <f aca="false">M187+L188</f>
        <v>173.6</v>
      </c>
      <c r="N188" s="1" t="n">
        <v>-2.1</v>
      </c>
      <c r="O188" s="1" t="n">
        <f aca="false">O187+N188</f>
        <v>118.5</v>
      </c>
      <c r="P188" s="1" t="n">
        <v>183</v>
      </c>
      <c r="Q188" s="1" t="n">
        <f aca="false">1+((P188-177)/41)*(1.15-1)</f>
        <v>1.0219512195122</v>
      </c>
      <c r="R188" s="10" t="n">
        <f aca="false">Q188*L188</f>
        <v>2.14609756097561</v>
      </c>
      <c r="S188" s="10" t="n">
        <f aca="false">J188-R188</f>
        <v>-2.14609756097561</v>
      </c>
      <c r="T188" s="10" t="n">
        <f aca="false">MIN(122.1,(T187+S188))</f>
        <v>118.426463414634</v>
      </c>
      <c r="U188" s="1" t="n">
        <v>0</v>
      </c>
      <c r="V188" s="1" t="n">
        <v>1588.9</v>
      </c>
      <c r="X188" s="1" t="n">
        <v>98615.7</v>
      </c>
      <c r="Y188" s="1" t="n">
        <f aca="false">Y187+V188</f>
        <v>5239.1</v>
      </c>
      <c r="Z188" s="1" t="n">
        <v>16</v>
      </c>
      <c r="AA188" s="1" t="n">
        <v>11.2989939533909</v>
      </c>
      <c r="AB188" s="1" t="n">
        <v>8</v>
      </c>
    </row>
    <row r="189" customFormat="false" ht="15" hidden="false" customHeight="false" outlineLevel="0" collapsed="false">
      <c r="A189" s="36"/>
      <c r="B189" s="3"/>
      <c r="C189" s="8" t="n">
        <v>42070</v>
      </c>
      <c r="D189" s="1" t="n">
        <v>4.4</v>
      </c>
      <c r="E189" s="1" t="n">
        <v>-2.7</v>
      </c>
      <c r="F189" s="1" t="n">
        <v>11.2</v>
      </c>
      <c r="G189" s="1" t="n">
        <v>1443.9</v>
      </c>
      <c r="H189" s="1" t="n">
        <f aca="false">H188+D189</f>
        <v>37.7</v>
      </c>
      <c r="I189" s="37" t="s">
        <v>37</v>
      </c>
      <c r="J189" s="22" t="n">
        <v>0</v>
      </c>
      <c r="K189" s="1" t="n">
        <f aca="false">K188+J189</f>
        <v>478.3</v>
      </c>
      <c r="L189" s="1" t="n">
        <v>1.6</v>
      </c>
      <c r="M189" s="1" t="n">
        <f aca="false">M188+L189</f>
        <v>175.2</v>
      </c>
      <c r="N189" s="1" t="n">
        <v>-1.6</v>
      </c>
      <c r="O189" s="1" t="n">
        <f aca="false">O188+N189</f>
        <v>116.9</v>
      </c>
      <c r="P189" s="1" t="n">
        <v>184</v>
      </c>
      <c r="Q189" s="1" t="n">
        <f aca="false">1+((P189-177)/41)*(1.15-1)</f>
        <v>1.02560975609756</v>
      </c>
      <c r="R189" s="10" t="n">
        <f aca="false">Q189*L189</f>
        <v>1.6409756097561</v>
      </c>
      <c r="S189" s="10" t="n">
        <f aca="false">J189-R189</f>
        <v>-1.6409756097561</v>
      </c>
      <c r="T189" s="10" t="n">
        <f aca="false">MIN(122.1,(T188+S189))</f>
        <v>116.785487804878</v>
      </c>
      <c r="U189" s="37" t="s">
        <v>38</v>
      </c>
      <c r="V189" s="1" t="n">
        <v>1141.6</v>
      </c>
      <c r="X189" s="1" t="n">
        <v>99757.3</v>
      </c>
      <c r="Y189" s="1" t="n">
        <f aca="false">Y188+V189</f>
        <v>6380.7</v>
      </c>
      <c r="AA189" s="1" t="n">
        <v>11.3555051515375</v>
      </c>
      <c r="AB189" s="23" t="s">
        <v>49</v>
      </c>
    </row>
    <row r="190" customFormat="false" ht="15" hidden="false" customHeight="false" outlineLevel="0" collapsed="false">
      <c r="A190" s="36"/>
      <c r="B190" s="3"/>
      <c r="C190" s="8" t="n">
        <v>42071</v>
      </c>
      <c r="D190" s="1" t="n">
        <v>6.4</v>
      </c>
      <c r="E190" s="1" t="n">
        <v>-0.6</v>
      </c>
      <c r="F190" s="1" t="n">
        <v>13.1</v>
      </c>
      <c r="G190" s="38" t="n">
        <v>1450.3</v>
      </c>
      <c r="H190" s="1" t="n">
        <f aca="false">H189+D190</f>
        <v>44.1</v>
      </c>
      <c r="I190" s="1" t="n">
        <v>6</v>
      </c>
      <c r="J190" s="22" t="n">
        <v>0</v>
      </c>
      <c r="K190" s="1" t="n">
        <f aca="false">K189+J190</f>
        <v>478.3</v>
      </c>
      <c r="L190" s="1" t="n">
        <v>2.1</v>
      </c>
      <c r="M190" s="1" t="n">
        <f aca="false">M189+L190</f>
        <v>177.3</v>
      </c>
      <c r="N190" s="1" t="n">
        <v>-2.1</v>
      </c>
      <c r="O190" s="1" t="n">
        <f aca="false">O189+N190</f>
        <v>114.8</v>
      </c>
      <c r="P190" s="1" t="n">
        <v>185</v>
      </c>
      <c r="Q190" s="1" t="n">
        <f aca="false">1+((P190-177)/41)*(1.15-1)</f>
        <v>1.02926829268293</v>
      </c>
      <c r="R190" s="10" t="n">
        <f aca="false">Q190*L190</f>
        <v>2.16146341463415</v>
      </c>
      <c r="S190" s="10" t="n">
        <f aca="false">J190-R190</f>
        <v>-2.16146341463415</v>
      </c>
      <c r="T190" s="10" t="n">
        <f aca="false">MIN(122.1,(T189+S190))</f>
        <v>114.624024390244</v>
      </c>
      <c r="U190" s="10" t="n">
        <f aca="false">MIN(T183:T223)</f>
        <v>83.5826829268293</v>
      </c>
      <c r="V190" s="1" t="n">
        <v>1423.2</v>
      </c>
      <c r="X190" s="38" t="n">
        <v>101180.5</v>
      </c>
      <c r="Y190" s="1" t="n">
        <f aca="false">Y189+V190</f>
        <v>7803.9</v>
      </c>
      <c r="Z190" s="38"/>
      <c r="AA190" s="1" t="n">
        <v>11.4120963525122</v>
      </c>
      <c r="AB190" s="1" t="n">
        <v>8</v>
      </c>
    </row>
    <row r="191" customFormat="false" ht="15" hidden="false" customHeight="true" outlineLevel="0" collapsed="false">
      <c r="A191" s="36"/>
      <c r="B191" s="3"/>
      <c r="C191" s="8" t="n">
        <v>42072</v>
      </c>
      <c r="D191" s="1" t="n">
        <v>8.5</v>
      </c>
      <c r="E191" s="1" t="n">
        <v>2.4</v>
      </c>
      <c r="F191" s="1" t="n">
        <v>14.4</v>
      </c>
      <c r="G191" s="1" t="n">
        <v>1458.8</v>
      </c>
      <c r="H191" s="1" t="n">
        <f aca="false">H190+D191</f>
        <v>52.6</v>
      </c>
      <c r="I191" s="37" t="s">
        <v>39</v>
      </c>
      <c r="J191" s="22" t="n">
        <v>0</v>
      </c>
      <c r="K191" s="1" t="n">
        <f aca="false">K190+J191</f>
        <v>478.3</v>
      </c>
      <c r="L191" s="1" t="n">
        <v>2.2</v>
      </c>
      <c r="M191" s="1" t="n">
        <f aca="false">M190+L191</f>
        <v>179.5</v>
      </c>
      <c r="N191" s="1" t="n">
        <v>-2.2</v>
      </c>
      <c r="O191" s="1" t="n">
        <f aca="false">O190+N191</f>
        <v>112.6</v>
      </c>
      <c r="P191" s="1" t="n">
        <v>186</v>
      </c>
      <c r="Q191" s="1" t="n">
        <f aca="false">1+((P191-177)/41)*(1.15-1)</f>
        <v>1.03292682926829</v>
      </c>
      <c r="R191" s="10" t="n">
        <f aca="false">Q191*L191</f>
        <v>2.27243902439024</v>
      </c>
      <c r="S191" s="10" t="n">
        <f aca="false">J191-R191</f>
        <v>-2.27243902439024</v>
      </c>
      <c r="T191" s="10" t="n">
        <f aca="false">MIN(122.1,(T190+S191))</f>
        <v>112.351585365854</v>
      </c>
      <c r="U191" s="37" t="s">
        <v>40</v>
      </c>
      <c r="V191" s="1" t="n">
        <v>1391.2</v>
      </c>
      <c r="X191" s="1" t="n">
        <v>102571.7</v>
      </c>
      <c r="Y191" s="1" t="n">
        <f aca="false">Y190+V191</f>
        <v>9195.1</v>
      </c>
      <c r="AA191" s="1" t="n">
        <v>11.4687596574135</v>
      </c>
      <c r="AB191" s="23" t="s">
        <v>50</v>
      </c>
    </row>
    <row r="192" customFormat="false" ht="15" hidden="false" customHeight="false" outlineLevel="0" collapsed="false">
      <c r="A192" s="36"/>
      <c r="B192" s="3"/>
      <c r="C192" s="8" t="n">
        <v>42073</v>
      </c>
      <c r="D192" s="1" t="n">
        <v>8.4</v>
      </c>
      <c r="E192" s="1" t="n">
        <v>0.6</v>
      </c>
      <c r="F192" s="1" t="n">
        <v>12.8</v>
      </c>
      <c r="G192" s="1" t="n">
        <v>1467.2</v>
      </c>
      <c r="H192" s="1" t="n">
        <f aca="false">H191+D192</f>
        <v>61</v>
      </c>
      <c r="I192" s="1" t="n">
        <v>0</v>
      </c>
      <c r="J192" s="22" t="n">
        <v>0</v>
      </c>
      <c r="K192" s="1" t="n">
        <f aca="false">K191+J192</f>
        <v>478.3</v>
      </c>
      <c r="L192" s="1" t="n">
        <v>0.6</v>
      </c>
      <c r="M192" s="1" t="n">
        <f aca="false">M191+L192</f>
        <v>180.1</v>
      </c>
      <c r="N192" s="1" t="n">
        <v>-0.6</v>
      </c>
      <c r="O192" s="1" t="n">
        <f aca="false">O191+N192</f>
        <v>112</v>
      </c>
      <c r="P192" s="1" t="n">
        <v>187</v>
      </c>
      <c r="Q192" s="1" t="n">
        <f aca="false">1+((P192-177)/41)*(1.15-1)</f>
        <v>1.03658536585366</v>
      </c>
      <c r="R192" s="10" t="n">
        <f aca="false">Q192*L192</f>
        <v>0.621951219512195</v>
      </c>
      <c r="S192" s="10" t="n">
        <f aca="false">J192-R192</f>
        <v>-0.621951219512195</v>
      </c>
      <c r="T192" s="24" t="n">
        <f aca="false">MIN(122.1,(T191+S192))</f>
        <v>111.729634146341</v>
      </c>
      <c r="U192" s="10" t="n">
        <v>122.1</v>
      </c>
      <c r="V192" s="1" t="n">
        <v>627.1</v>
      </c>
      <c r="X192" s="1" t="n">
        <v>103198.8</v>
      </c>
      <c r="Y192" s="1" t="n">
        <f aca="false">Y191+V192</f>
        <v>9822.2</v>
      </c>
      <c r="AA192" s="1" t="n">
        <v>11.5254874218939</v>
      </c>
      <c r="AB192" s="1" t="n">
        <v>0</v>
      </c>
    </row>
    <row r="193" customFormat="false" ht="15" hidden="false" customHeight="false" outlineLevel="0" collapsed="false">
      <c r="A193" s="36"/>
      <c r="B193" s="3"/>
      <c r="C193" s="8" t="n">
        <v>42074</v>
      </c>
      <c r="D193" s="1" t="n">
        <v>9.3</v>
      </c>
      <c r="E193" s="1" t="n">
        <v>8</v>
      </c>
      <c r="F193" s="1" t="n">
        <v>12.6</v>
      </c>
      <c r="G193" s="1" t="n">
        <v>1476.5</v>
      </c>
      <c r="H193" s="1" t="n">
        <f aca="false">H192+D193</f>
        <v>70.3</v>
      </c>
      <c r="I193" s="37" t="s">
        <v>41</v>
      </c>
      <c r="J193" s="22" t="n">
        <v>0</v>
      </c>
      <c r="K193" s="1" t="n">
        <f aca="false">K192+J193</f>
        <v>478.3</v>
      </c>
      <c r="L193" s="1" t="n">
        <v>1.7</v>
      </c>
      <c r="M193" s="1" t="n">
        <f aca="false">M192+L193</f>
        <v>181.8</v>
      </c>
      <c r="N193" s="1" t="n">
        <v>-1.7</v>
      </c>
      <c r="O193" s="1" t="n">
        <f aca="false">O192+N193</f>
        <v>110.3</v>
      </c>
      <c r="P193" s="1" t="n">
        <v>188</v>
      </c>
      <c r="Q193" s="1" t="n">
        <f aca="false">1+((P193-177)/41)*(1.15-1)</f>
        <v>1.04024390243902</v>
      </c>
      <c r="R193" s="10" t="n">
        <f aca="false">Q193*L193</f>
        <v>1.76841463414634</v>
      </c>
      <c r="S193" s="10" t="n">
        <f aca="false">J193-R193</f>
        <v>-1.76841463414634</v>
      </c>
      <c r="T193" s="24" t="n">
        <f aca="false">MIN(122.1,(T192+S193))</f>
        <v>109.961219512195</v>
      </c>
      <c r="U193" s="37" t="s">
        <v>42</v>
      </c>
      <c r="V193" s="1" t="n">
        <v>1132.5</v>
      </c>
      <c r="X193" s="1" t="n">
        <v>104331.3</v>
      </c>
      <c r="Y193" s="1" t="n">
        <f aca="false">Y192+V193</f>
        <v>10954.7</v>
      </c>
      <c r="AA193" s="1" t="n">
        <v>11.5822722382692</v>
      </c>
      <c r="AB193" s="23" t="s">
        <v>51</v>
      </c>
    </row>
    <row r="194" customFormat="false" ht="15" hidden="false" customHeight="false" outlineLevel="0" collapsed="false">
      <c r="A194" s="36"/>
      <c r="B194" s="3"/>
      <c r="C194" s="8" t="n">
        <v>42075</v>
      </c>
      <c r="D194" s="1" t="n">
        <v>7</v>
      </c>
      <c r="E194" s="1" t="n">
        <v>1.7</v>
      </c>
      <c r="F194" s="1" t="n">
        <v>12.9</v>
      </c>
      <c r="G194" s="1" t="n">
        <v>1483.5</v>
      </c>
      <c r="H194" s="1" t="n">
        <f aca="false">H193+D194</f>
        <v>77.3</v>
      </c>
      <c r="I194" s="1" t="n">
        <v>23</v>
      </c>
      <c r="J194" s="22" t="n">
        <v>0</v>
      </c>
      <c r="K194" s="1" t="n">
        <f aca="false">K193+J194</f>
        <v>478.3</v>
      </c>
      <c r="L194" s="1" t="n">
        <v>3.2</v>
      </c>
      <c r="M194" s="1" t="n">
        <f aca="false">M193+L194</f>
        <v>185</v>
      </c>
      <c r="N194" s="1" t="n">
        <v>-3.2</v>
      </c>
      <c r="O194" s="1" t="n">
        <f aca="false">O193+N194</f>
        <v>107.1</v>
      </c>
      <c r="P194" s="1" t="n">
        <v>189</v>
      </c>
      <c r="Q194" s="1" t="n">
        <f aca="false">1+((P194-177)/41)*(1.15-1)</f>
        <v>1.04390243902439</v>
      </c>
      <c r="R194" s="10" t="n">
        <f aca="false">Q194*L194</f>
        <v>3.34048780487805</v>
      </c>
      <c r="S194" s="10" t="n">
        <f aca="false">J194-R194</f>
        <v>-3.34048780487805</v>
      </c>
      <c r="T194" s="24" t="n">
        <f aca="false">MIN(122.1,(T193+S194))</f>
        <v>106.620731707317</v>
      </c>
      <c r="U194" s="11" t="n">
        <f aca="false">AVERAGE(T183:T223)</f>
        <v>102.858893515764</v>
      </c>
      <c r="V194" s="1" t="n">
        <v>1833.1</v>
      </c>
      <c r="X194" s="1" t="n">
        <v>106164.4</v>
      </c>
      <c r="Y194" s="1" t="n">
        <f aca="false">Y193+V194</f>
        <v>12787.8</v>
      </c>
      <c r="AA194" s="1" t="n">
        <v>11.6391069176819</v>
      </c>
      <c r="AB194" s="1" t="n">
        <f aca="false">SUM(J196:J205)</f>
        <v>3.2</v>
      </c>
    </row>
    <row r="195" s="27" customFormat="true" ht="15" hidden="false" customHeight="false" outlineLevel="0" collapsed="false">
      <c r="A195" s="36"/>
      <c r="B195" s="25" t="s">
        <v>64</v>
      </c>
      <c r="C195" s="26" t="n">
        <v>42076</v>
      </c>
      <c r="D195" s="27" t="n">
        <v>4.8</v>
      </c>
      <c r="E195" s="27" t="n">
        <v>-1.3</v>
      </c>
      <c r="F195" s="27" t="n">
        <v>9.5</v>
      </c>
      <c r="G195" s="27" t="n">
        <v>1488.3</v>
      </c>
      <c r="H195" s="27" t="n">
        <f aca="false">H194+D195</f>
        <v>82.1</v>
      </c>
      <c r="I195" s="39" t="s">
        <v>43</v>
      </c>
      <c r="J195" s="27" t="n">
        <v>0</v>
      </c>
      <c r="K195" s="27" t="n">
        <f aca="false">K194+J195</f>
        <v>478.3</v>
      </c>
      <c r="L195" s="27" t="n">
        <v>0.8</v>
      </c>
      <c r="M195" s="27" t="n">
        <f aca="false">M194+L195</f>
        <v>185.8</v>
      </c>
      <c r="N195" s="27" t="n">
        <v>-0.8</v>
      </c>
      <c r="O195" s="27" t="n">
        <f aca="false">O194+N195</f>
        <v>106.3</v>
      </c>
      <c r="P195" s="27" t="n">
        <v>190</v>
      </c>
      <c r="Q195" s="27" t="n">
        <f aca="false">1+((P195-177)/41)*(1.15-1)</f>
        <v>1.04756097560976</v>
      </c>
      <c r="R195" s="28" t="n">
        <f aca="false">Q195*L195</f>
        <v>0.838048780487805</v>
      </c>
      <c r="S195" s="28" t="n">
        <f aca="false">J195-R195</f>
        <v>-0.838048780487805</v>
      </c>
      <c r="T195" s="28" t="n">
        <f aca="false">MIN(122.1,(T194+S195))</f>
        <v>105.782682926829</v>
      </c>
      <c r="U195" s="27" t="n">
        <f aca="false">(U194*100)/122.1</f>
        <v>84.2415180309291</v>
      </c>
      <c r="V195" s="27" t="n">
        <v>664.1</v>
      </c>
      <c r="X195" s="27" t="n">
        <v>106828.5</v>
      </c>
      <c r="Y195" s="27" t="n">
        <f aca="false">Y194+V195</f>
        <v>13451.9</v>
      </c>
      <c r="AA195" s="27" t="n">
        <v>11.6959844723282</v>
      </c>
    </row>
    <row r="196" customFormat="false" ht="15" hidden="false" customHeight="false" outlineLevel="0" collapsed="false">
      <c r="A196" s="36"/>
      <c r="B196" s="3"/>
      <c r="C196" s="8" t="n">
        <v>42077</v>
      </c>
      <c r="D196" s="1" t="n">
        <v>5.4</v>
      </c>
      <c r="E196" s="1" t="n">
        <v>-0.6</v>
      </c>
      <c r="F196" s="1" t="n">
        <v>10.8</v>
      </c>
      <c r="G196" s="1" t="n">
        <v>1493.7</v>
      </c>
      <c r="H196" s="1" t="n">
        <f aca="false">H195+D196</f>
        <v>87.5</v>
      </c>
      <c r="I196" s="1" t="n">
        <v>309.1</v>
      </c>
      <c r="J196" s="22" t="n">
        <v>0</v>
      </c>
      <c r="K196" s="1" t="n">
        <f aca="false">K195+J196</f>
        <v>478.3</v>
      </c>
      <c r="L196" s="1" t="n">
        <v>1.9</v>
      </c>
      <c r="M196" s="1" t="n">
        <f aca="false">M195+L196</f>
        <v>187.7</v>
      </c>
      <c r="N196" s="1" t="n">
        <v>-1.9</v>
      </c>
      <c r="O196" s="1" t="n">
        <f aca="false">O195+N196</f>
        <v>104.4</v>
      </c>
      <c r="P196" s="1" t="n">
        <v>191</v>
      </c>
      <c r="Q196" s="1" t="n">
        <f aca="false">1+((P196-177)/41)*(1.15-1)</f>
        <v>1.05121951219512</v>
      </c>
      <c r="R196" s="10" t="n">
        <f aca="false">Q196*L196</f>
        <v>1.99731707317073</v>
      </c>
      <c r="S196" s="10" t="n">
        <f aca="false">J196-R196</f>
        <v>-1.99731707317073</v>
      </c>
      <c r="T196" s="24" t="n">
        <f aca="false">MIN(122.1,(T195+S196))</f>
        <v>103.785365853659</v>
      </c>
      <c r="V196" s="1" t="n">
        <v>1504.5</v>
      </c>
      <c r="X196" s="1" t="n">
        <v>108333</v>
      </c>
      <c r="Y196" s="1" t="n">
        <f aca="false">Y195+V196</f>
        <v>14956.4</v>
      </c>
      <c r="AA196" s="1" t="n">
        <v>11.7528980977609</v>
      </c>
    </row>
    <row r="197" customFormat="false" ht="15" hidden="false" customHeight="false" outlineLevel="0" collapsed="false">
      <c r="A197" s="36"/>
      <c r="B197" s="3"/>
      <c r="C197" s="8" t="n">
        <v>42078</v>
      </c>
      <c r="D197" s="1" t="n">
        <v>6</v>
      </c>
      <c r="E197" s="1" t="n">
        <v>0.5</v>
      </c>
      <c r="F197" s="1" t="n">
        <v>9.9</v>
      </c>
      <c r="G197" s="1" t="n">
        <v>1499.7</v>
      </c>
      <c r="H197" s="1" t="n">
        <f aca="false">H196+D197</f>
        <v>93.5</v>
      </c>
      <c r="J197" s="22" t="n">
        <v>0</v>
      </c>
      <c r="K197" s="1" t="n">
        <f aca="false">K196+J197</f>
        <v>478.3</v>
      </c>
      <c r="L197" s="1" t="n">
        <v>1.9</v>
      </c>
      <c r="M197" s="1" t="n">
        <f aca="false">M196+L197</f>
        <v>189.6</v>
      </c>
      <c r="N197" s="1" t="n">
        <v>-1.9</v>
      </c>
      <c r="O197" s="1" t="n">
        <f aca="false">O196+N197</f>
        <v>102.5</v>
      </c>
      <c r="P197" s="1" t="n">
        <v>192</v>
      </c>
      <c r="Q197" s="1" t="n">
        <f aca="false">1+((P197-177)/41)*(1.15-1)</f>
        <v>1.05487804878049</v>
      </c>
      <c r="R197" s="10" t="n">
        <f aca="false">Q197*L197</f>
        <v>2.00426829268293</v>
      </c>
      <c r="S197" s="10" t="n">
        <f aca="false">J197-R197</f>
        <v>-2.00426829268293</v>
      </c>
      <c r="T197" s="24" t="n">
        <f aca="false">MIN(122.1,(T196+S197))</f>
        <v>101.781097560976</v>
      </c>
      <c r="V197" s="1" t="n">
        <v>1567.9</v>
      </c>
      <c r="X197" s="1" t="n">
        <v>109900.9</v>
      </c>
      <c r="Y197" s="1" t="n">
        <f aca="false">Y196+V197</f>
        <v>16524.3</v>
      </c>
      <c r="AA197" s="1" t="n">
        <v>11.8098411552736</v>
      </c>
    </row>
    <row r="198" customFormat="false" ht="15" hidden="false" customHeight="false" outlineLevel="0" collapsed="false">
      <c r="A198" s="36"/>
      <c r="B198" s="3"/>
      <c r="C198" s="8" t="n">
        <v>42079</v>
      </c>
      <c r="D198" s="1" t="n">
        <v>7.1</v>
      </c>
      <c r="E198" s="1" t="n">
        <v>2.3</v>
      </c>
      <c r="F198" s="1" t="n">
        <v>12.1</v>
      </c>
      <c r="G198" s="1" t="n">
        <v>1506.8</v>
      </c>
      <c r="H198" s="1" t="n">
        <f aca="false">H197+D198</f>
        <v>100.6</v>
      </c>
      <c r="J198" s="22" t="n">
        <v>0</v>
      </c>
      <c r="K198" s="1" t="n">
        <f aca="false">K197+J198</f>
        <v>478.3</v>
      </c>
      <c r="L198" s="1" t="n">
        <v>1.6</v>
      </c>
      <c r="M198" s="1" t="n">
        <f aca="false">M197+L198</f>
        <v>191.2</v>
      </c>
      <c r="N198" s="1" t="n">
        <v>-1.6</v>
      </c>
      <c r="O198" s="1" t="n">
        <f aca="false">O197+N198</f>
        <v>100.9</v>
      </c>
      <c r="P198" s="1" t="n">
        <v>193</v>
      </c>
      <c r="Q198" s="1" t="n">
        <f aca="false">1+((P198-177)/41)*(1.15-1)</f>
        <v>1.05853658536585</v>
      </c>
      <c r="R198" s="10" t="n">
        <f aca="false">Q198*L198</f>
        <v>1.69365853658537</v>
      </c>
      <c r="S198" s="10" t="n">
        <f aca="false">J198-R198</f>
        <v>-1.69365853658537</v>
      </c>
      <c r="T198" s="24" t="n">
        <f aca="false">MIN(122.1,(T197+S198))</f>
        <v>100.08743902439</v>
      </c>
      <c r="V198" s="1" t="n">
        <v>1364.2</v>
      </c>
      <c r="X198" s="1" t="n">
        <v>111265.1</v>
      </c>
      <c r="Y198" s="1" t="n">
        <f aca="false">Y197+V198</f>
        <v>17888.5</v>
      </c>
      <c r="AA198" s="1" t="n">
        <v>11.8668071543759</v>
      </c>
    </row>
    <row r="199" customFormat="false" ht="15" hidden="false" customHeight="false" outlineLevel="0" collapsed="false">
      <c r="A199" s="36"/>
      <c r="B199" s="3"/>
      <c r="C199" s="8" t="n">
        <v>42080</v>
      </c>
      <c r="D199" s="1" t="n">
        <v>8.3</v>
      </c>
      <c r="E199" s="1" t="n">
        <v>1.8</v>
      </c>
      <c r="F199" s="1" t="n">
        <v>15.6</v>
      </c>
      <c r="G199" s="1" t="n">
        <v>1515.1</v>
      </c>
      <c r="H199" s="1" t="n">
        <f aca="false">H198+D199</f>
        <v>108.9</v>
      </c>
      <c r="J199" s="22" t="n">
        <v>0</v>
      </c>
      <c r="K199" s="1" t="n">
        <f aca="false">K198+J199</f>
        <v>478.3</v>
      </c>
      <c r="L199" s="1" t="n">
        <v>1.2</v>
      </c>
      <c r="M199" s="1" t="n">
        <f aca="false">M198+L199</f>
        <v>192.4</v>
      </c>
      <c r="N199" s="1" t="n">
        <v>-1.2</v>
      </c>
      <c r="O199" s="1" t="n">
        <f aca="false">O198+N199</f>
        <v>99.7</v>
      </c>
      <c r="P199" s="1" t="n">
        <v>194</v>
      </c>
      <c r="Q199" s="1" t="n">
        <f aca="false">1+((P199-177)/41)*(1.15-1)</f>
        <v>1.06219512195122</v>
      </c>
      <c r="R199" s="10" t="n">
        <f aca="false">Q199*L199</f>
        <v>1.27463414634146</v>
      </c>
      <c r="S199" s="10" t="n">
        <f aca="false">J199-R199</f>
        <v>-1.27463414634146</v>
      </c>
      <c r="T199" s="24" t="n">
        <f aca="false">MIN(122.1,(T198+S199))</f>
        <v>98.8128048780488</v>
      </c>
      <c r="V199" s="1" t="n">
        <v>894.7</v>
      </c>
      <c r="X199" s="1" t="n">
        <v>112159.8</v>
      </c>
      <c r="Y199" s="1" t="n">
        <f aca="false">Y198+V199</f>
        <v>18783.2</v>
      </c>
      <c r="AA199" s="1" t="n">
        <v>11.9237897353595</v>
      </c>
    </row>
    <row r="200" customFormat="false" ht="15" hidden="false" customHeight="false" outlineLevel="0" collapsed="false">
      <c r="A200" s="36"/>
      <c r="B200" s="3"/>
      <c r="C200" s="8" t="n">
        <v>42081</v>
      </c>
      <c r="D200" s="1" t="n">
        <v>10.4</v>
      </c>
      <c r="E200" s="1" t="n">
        <v>1.6</v>
      </c>
      <c r="F200" s="1" t="n">
        <v>17.7</v>
      </c>
      <c r="G200" s="1" t="n">
        <v>1525.5</v>
      </c>
      <c r="H200" s="1" t="n">
        <f aca="false">H199+D200</f>
        <v>119.3</v>
      </c>
      <c r="J200" s="22" t="n">
        <v>0</v>
      </c>
      <c r="K200" s="1" t="n">
        <f aca="false">K199+J200</f>
        <v>478.3</v>
      </c>
      <c r="L200" s="1" t="n">
        <v>2.6</v>
      </c>
      <c r="M200" s="1" t="n">
        <f aca="false">M199+L200</f>
        <v>195</v>
      </c>
      <c r="N200" s="1" t="n">
        <v>-2.6</v>
      </c>
      <c r="O200" s="1" t="n">
        <f aca="false">O199+N200</f>
        <v>97.1</v>
      </c>
      <c r="P200" s="1" t="n">
        <v>195</v>
      </c>
      <c r="Q200" s="1" t="n">
        <f aca="false">1+((P200-177)/41)*(1.15-1)</f>
        <v>1.06585365853659</v>
      </c>
      <c r="R200" s="10" t="n">
        <f aca="false">Q200*L200</f>
        <v>2.77121951219512</v>
      </c>
      <c r="S200" s="10" t="n">
        <f aca="false">J200-R200</f>
        <v>-2.77121951219512</v>
      </c>
      <c r="T200" s="24" t="n">
        <f aca="false">MIN(122.1,(T199+S200))</f>
        <v>96.0415853658537</v>
      </c>
      <c r="V200" s="1" t="n">
        <v>1654.3</v>
      </c>
      <c r="X200" s="1" t="n">
        <v>113814.1</v>
      </c>
      <c r="Y200" s="1" t="n">
        <f aca="false">Y199+V200</f>
        <v>20437.5</v>
      </c>
      <c r="AA200" s="1" t="n">
        <v>11.980782651963</v>
      </c>
    </row>
    <row r="201" customFormat="false" ht="15" hidden="false" customHeight="false" outlineLevel="0" collapsed="false">
      <c r="A201" s="36"/>
      <c r="B201" s="3"/>
      <c r="C201" s="8" t="n">
        <v>42082</v>
      </c>
      <c r="D201" s="1" t="n">
        <v>9.2</v>
      </c>
      <c r="E201" s="1" t="n">
        <v>6.5</v>
      </c>
      <c r="F201" s="1" t="n">
        <v>13.6</v>
      </c>
      <c r="G201" s="1" t="n">
        <v>1534.7</v>
      </c>
      <c r="H201" s="1" t="n">
        <f aca="false">H200+D201</f>
        <v>128.5</v>
      </c>
      <c r="J201" s="22" t="n">
        <v>0</v>
      </c>
      <c r="K201" s="1" t="n">
        <f aca="false">K200+J201</f>
        <v>478.3</v>
      </c>
      <c r="L201" s="1" t="n">
        <v>2.7</v>
      </c>
      <c r="M201" s="1" t="n">
        <f aca="false">M200+L201</f>
        <v>197.7</v>
      </c>
      <c r="N201" s="1" t="n">
        <v>-2.7</v>
      </c>
      <c r="O201" s="1" t="n">
        <f aca="false">O200+N201</f>
        <v>94.4</v>
      </c>
      <c r="P201" s="1" t="n">
        <v>196</v>
      </c>
      <c r="Q201" s="1" t="n">
        <f aca="false">1+((P201-177)/41)*(1.15-1)</f>
        <v>1.06951219512195</v>
      </c>
      <c r="R201" s="10" t="n">
        <f aca="false">Q201*L201</f>
        <v>2.88768292682927</v>
      </c>
      <c r="S201" s="10" t="n">
        <f aca="false">J201-R201</f>
        <v>-2.88768292682927</v>
      </c>
      <c r="T201" s="24" t="n">
        <f aca="false">MIN(122.1,(T200+S201))</f>
        <v>93.1539024390244</v>
      </c>
      <c r="V201" s="1" t="n">
        <v>1266.3</v>
      </c>
      <c r="X201" s="1" t="n">
        <v>115080.4</v>
      </c>
      <c r="Y201" s="1" t="n">
        <f aca="false">Y200+V201</f>
        <v>21703.8</v>
      </c>
      <c r="AA201" s="1" t="n">
        <v>12.037779754133</v>
      </c>
    </row>
    <row r="202" customFormat="false" ht="15" hidden="false" customHeight="false" outlineLevel="0" collapsed="false">
      <c r="A202" s="36"/>
      <c r="B202" s="3"/>
      <c r="C202" s="8" t="n">
        <v>42083</v>
      </c>
      <c r="D202" s="1" t="n">
        <v>9.5</v>
      </c>
      <c r="E202" s="1" t="n">
        <v>5.2</v>
      </c>
      <c r="F202" s="1" t="n">
        <v>13.1</v>
      </c>
      <c r="G202" s="1" t="n">
        <v>1544.2</v>
      </c>
      <c r="H202" s="1" t="n">
        <f aca="false">H201+D202</f>
        <v>138</v>
      </c>
      <c r="J202" s="22" t="n">
        <v>0</v>
      </c>
      <c r="K202" s="1" t="n">
        <f aca="false">K201+J202</f>
        <v>478.3</v>
      </c>
      <c r="L202" s="1" t="n">
        <v>1.7</v>
      </c>
      <c r="M202" s="1" t="n">
        <f aca="false">M201+L202</f>
        <v>199.4</v>
      </c>
      <c r="N202" s="1" t="n">
        <v>-1.7</v>
      </c>
      <c r="O202" s="1" t="n">
        <f aca="false">O201+N202</f>
        <v>92.7</v>
      </c>
      <c r="P202" s="1" t="n">
        <v>197</v>
      </c>
      <c r="Q202" s="1" t="n">
        <f aca="false">1+((P202-177)/41)*(1.15-1)</f>
        <v>1.07317073170732</v>
      </c>
      <c r="R202" s="10" t="n">
        <f aca="false">Q202*L202</f>
        <v>1.82439024390244</v>
      </c>
      <c r="S202" s="10" t="n">
        <f aca="false">J202-R202</f>
        <v>-1.82439024390244</v>
      </c>
      <c r="T202" s="24" t="n">
        <f aca="false">MIN(122.1,(T201+S202))</f>
        <v>91.329512195122</v>
      </c>
      <c r="V202" s="1" t="n">
        <v>1273.2</v>
      </c>
      <c r="X202" s="1" t="n">
        <v>116353.6</v>
      </c>
      <c r="Y202" s="1" t="n">
        <f aca="false">Y201+V202</f>
        <v>22977</v>
      </c>
      <c r="AA202" s="1" t="n">
        <v>12.0947749708855</v>
      </c>
    </row>
    <row r="203" customFormat="false" ht="15" hidden="false" customHeight="false" outlineLevel="0" collapsed="false">
      <c r="A203" s="36"/>
      <c r="B203" s="3"/>
      <c r="C203" s="8" t="n">
        <v>42084</v>
      </c>
      <c r="D203" s="1" t="n">
        <v>7.1</v>
      </c>
      <c r="E203" s="1" t="n">
        <v>6.5</v>
      </c>
      <c r="F203" s="1" t="n">
        <v>9</v>
      </c>
      <c r="G203" s="1" t="n">
        <v>1551.3</v>
      </c>
      <c r="H203" s="1" t="n">
        <f aca="false">H202+D203</f>
        <v>145.1</v>
      </c>
      <c r="J203" s="22" t="n">
        <v>3.1</v>
      </c>
      <c r="K203" s="1" t="n">
        <f aca="false">K202+J203</f>
        <v>481.4</v>
      </c>
      <c r="L203" s="1" t="n">
        <v>0.7</v>
      </c>
      <c r="M203" s="1" t="n">
        <f aca="false">M202+L203</f>
        <v>200.1</v>
      </c>
      <c r="N203" s="1" t="n">
        <v>2.4</v>
      </c>
      <c r="O203" s="1" t="n">
        <f aca="false">O202+N203</f>
        <v>95.1</v>
      </c>
      <c r="P203" s="1" t="n">
        <v>198</v>
      </c>
      <c r="Q203" s="1" t="n">
        <f aca="false">1+((P203-177)/41)*(1.15-1)</f>
        <v>1.07682926829268</v>
      </c>
      <c r="R203" s="10" t="n">
        <f aca="false">Q203*L203</f>
        <v>0.753780487804878</v>
      </c>
      <c r="S203" s="10" t="n">
        <f aca="false">J203-R203</f>
        <v>2.34621951219512</v>
      </c>
      <c r="T203" s="24" t="n">
        <f aca="false">MIN(122.1,(T202+S203))</f>
        <v>93.6757317073171</v>
      </c>
      <c r="V203" s="1" t="n">
        <v>364.5</v>
      </c>
      <c r="X203" s="1" t="n">
        <v>116718.1</v>
      </c>
      <c r="Y203" s="1" t="n">
        <f aca="false">Y202+V203</f>
        <v>23341.5</v>
      </c>
      <c r="AA203" s="1" t="n">
        <v>12.1517622932651</v>
      </c>
    </row>
    <row r="204" customFormat="false" ht="15" hidden="false" customHeight="false" outlineLevel="0" collapsed="false">
      <c r="A204" s="36"/>
      <c r="B204" s="3"/>
      <c r="C204" s="8" t="n">
        <v>42085</v>
      </c>
      <c r="D204" s="1" t="n">
        <v>5.7</v>
      </c>
      <c r="E204" s="1" t="n">
        <v>2.2</v>
      </c>
      <c r="F204" s="1" t="n">
        <v>8.9</v>
      </c>
      <c r="G204" s="1" t="n">
        <v>1557</v>
      </c>
      <c r="H204" s="1" t="n">
        <f aca="false">H203+D204</f>
        <v>150.8</v>
      </c>
      <c r="J204" s="22" t="n">
        <v>0</v>
      </c>
      <c r="K204" s="1" t="n">
        <f aca="false">K203+J204</f>
        <v>481.4</v>
      </c>
      <c r="L204" s="1" t="n">
        <v>1.8</v>
      </c>
      <c r="M204" s="1" t="n">
        <f aca="false">M203+L204</f>
        <v>201.9</v>
      </c>
      <c r="N204" s="1" t="n">
        <v>-1.8</v>
      </c>
      <c r="O204" s="1" t="n">
        <f aca="false">O203+N204</f>
        <v>93.3</v>
      </c>
      <c r="P204" s="1" t="n">
        <v>199</v>
      </c>
      <c r="Q204" s="1" t="n">
        <f aca="false">1+((P204-177)/41)*(1.15-1)</f>
        <v>1.08048780487805</v>
      </c>
      <c r="R204" s="10" t="n">
        <f aca="false">Q204*L204</f>
        <v>1.94487804878049</v>
      </c>
      <c r="S204" s="10" t="n">
        <f aca="false">J204-R204</f>
        <v>-1.94487804878049</v>
      </c>
      <c r="T204" s="24" t="n">
        <f aca="false">MIN(122.1,(T203+S204))</f>
        <v>91.7308536585366</v>
      </c>
      <c r="U204" s="10"/>
      <c r="V204" s="1" t="n">
        <v>1157.8</v>
      </c>
      <c r="X204" s="1" t="n">
        <v>117875.9</v>
      </c>
      <c r="Y204" s="1" t="n">
        <f aca="false">Y203+V204</f>
        <v>24499.3</v>
      </c>
      <c r="AA204" s="1" t="n">
        <v>12.2087357574025</v>
      </c>
    </row>
    <row r="205" customFormat="false" ht="15" hidden="false" customHeight="false" outlineLevel="0" collapsed="false">
      <c r="A205" s="36"/>
      <c r="B205" s="3"/>
      <c r="C205" s="8" t="n">
        <v>42086</v>
      </c>
      <c r="D205" s="1" t="n">
        <v>6.6</v>
      </c>
      <c r="E205" s="1" t="n">
        <v>-0.9</v>
      </c>
      <c r="F205" s="1" t="n">
        <v>13.2</v>
      </c>
      <c r="G205" s="1" t="n">
        <v>1563.6</v>
      </c>
      <c r="H205" s="1" t="n">
        <f aca="false">H204+D205</f>
        <v>157.4</v>
      </c>
      <c r="J205" s="22" t="n">
        <v>0.1</v>
      </c>
      <c r="K205" s="1" t="n">
        <f aca="false">K204+J205</f>
        <v>481.5</v>
      </c>
      <c r="L205" s="1" t="n">
        <v>2.2</v>
      </c>
      <c r="M205" s="1" t="n">
        <f aca="false">M204+L205</f>
        <v>204.1</v>
      </c>
      <c r="N205" s="1" t="n">
        <v>-2.1</v>
      </c>
      <c r="O205" s="1" t="n">
        <f aca="false">O204+N205</f>
        <v>91.2</v>
      </c>
      <c r="P205" s="1" t="n">
        <v>200</v>
      </c>
      <c r="Q205" s="1" t="n">
        <f aca="false">1+((P205-177)/41)*(1.15-1)</f>
        <v>1.08414634146341</v>
      </c>
      <c r="R205" s="10" t="n">
        <f aca="false">Q205*L205</f>
        <v>2.38512195121951</v>
      </c>
      <c r="S205" s="10" t="n">
        <f aca="false">J205-R205</f>
        <v>-2.28512195121951</v>
      </c>
      <c r="T205" s="24" t="n">
        <f aca="false">MIN(122.1,(T204+S205))</f>
        <v>89.4457317073171</v>
      </c>
      <c r="V205" s="1" t="n">
        <v>1782</v>
      </c>
      <c r="X205" s="1" t="n">
        <v>119657.9</v>
      </c>
      <c r="Y205" s="1" t="n">
        <f aca="false">Y204+V205</f>
        <v>26281.3</v>
      </c>
      <c r="AA205" s="1" t="n">
        <v>12.2656894276683</v>
      </c>
    </row>
    <row r="206" customFormat="false" ht="15" hidden="false" customHeight="false" outlineLevel="0" collapsed="false">
      <c r="A206" s="36"/>
      <c r="B206" s="3"/>
      <c r="C206" s="8" t="n">
        <v>42087</v>
      </c>
      <c r="D206" s="1" t="n">
        <v>8</v>
      </c>
      <c r="E206" s="1" t="n">
        <v>1</v>
      </c>
      <c r="F206" s="1" t="n">
        <v>12.6</v>
      </c>
      <c r="G206" s="1" t="n">
        <v>1571.6</v>
      </c>
      <c r="H206" s="1" t="n">
        <f aca="false">H205+D206</f>
        <v>165.4</v>
      </c>
      <c r="J206" s="1" t="n">
        <v>6.2</v>
      </c>
      <c r="K206" s="1" t="n">
        <f aca="false">K205+J206</f>
        <v>487.7</v>
      </c>
      <c r="L206" s="1" t="n">
        <v>0.4</v>
      </c>
      <c r="M206" s="1" t="n">
        <f aca="false">M205+L206</f>
        <v>204.5</v>
      </c>
      <c r="N206" s="1" t="n">
        <v>5.8</v>
      </c>
      <c r="O206" s="1" t="n">
        <f aca="false">O205+N206</f>
        <v>97</v>
      </c>
      <c r="P206" s="1" t="n">
        <v>201</v>
      </c>
      <c r="Q206" s="1" t="n">
        <f aca="false">1+((P206-177)/41)*(1.15-1)</f>
        <v>1.08780487804878</v>
      </c>
      <c r="R206" s="10" t="n">
        <f aca="false">Q206*L206</f>
        <v>0.435121951219512</v>
      </c>
      <c r="S206" s="10" t="n">
        <f aca="false">J206-R206</f>
        <v>5.76487804878049</v>
      </c>
      <c r="T206" s="10" t="n">
        <f aca="false">MIN(122.1,(T205+S206))</f>
        <v>95.2106097560976</v>
      </c>
      <c r="V206" s="1" t="n">
        <v>421.2</v>
      </c>
      <c r="X206" s="1" t="n">
        <v>120079.1</v>
      </c>
      <c r="Y206" s="1" t="n">
        <f aca="false">Y205+V206</f>
        <v>26702.5</v>
      </c>
      <c r="AA206" s="1" t="n">
        <v>12.3226173799212</v>
      </c>
    </row>
    <row r="207" customFormat="false" ht="15" hidden="false" customHeight="false" outlineLevel="0" collapsed="false">
      <c r="A207" s="36"/>
      <c r="B207" s="3"/>
      <c r="C207" s="8" t="n">
        <v>42088</v>
      </c>
      <c r="D207" s="1" t="n">
        <v>5.4</v>
      </c>
      <c r="E207" s="1" t="n">
        <v>3.8</v>
      </c>
      <c r="F207" s="1" t="n">
        <v>5.8</v>
      </c>
      <c r="G207" s="1" t="n">
        <v>1577</v>
      </c>
      <c r="H207" s="1" t="n">
        <f aca="false">H206+D207</f>
        <v>170.8</v>
      </c>
      <c r="J207" s="1" t="n">
        <v>0.6</v>
      </c>
      <c r="K207" s="1" t="n">
        <f aca="false">K206+J207</f>
        <v>488.3</v>
      </c>
      <c r="L207" s="1" t="n">
        <v>0.4</v>
      </c>
      <c r="M207" s="1" t="n">
        <f aca="false">M206+L207</f>
        <v>204.9</v>
      </c>
      <c r="N207" s="1" t="n">
        <v>0.2</v>
      </c>
      <c r="O207" s="1" t="n">
        <f aca="false">O206+N207</f>
        <v>97.2</v>
      </c>
      <c r="P207" s="1" t="n">
        <v>202</v>
      </c>
      <c r="Q207" s="1" t="n">
        <f aca="false">1+((P207-177)/41)*(1.15-1)</f>
        <v>1.09146341463415</v>
      </c>
      <c r="R207" s="10" t="n">
        <f aca="false">Q207*L207</f>
        <v>0.436585365853659</v>
      </c>
      <c r="S207" s="10" t="n">
        <f aca="false">J207-R207</f>
        <v>0.163414634146342</v>
      </c>
      <c r="T207" s="10" t="n">
        <f aca="false">MIN(122.1,(T206+S207))</f>
        <v>95.3740243902439</v>
      </c>
      <c r="V207" s="1" t="n">
        <v>332.3</v>
      </c>
      <c r="X207" s="1" t="n">
        <v>120411.4</v>
      </c>
      <c r="Y207" s="1" t="n">
        <f aca="false">Y206+V207</f>
        <v>27034.8</v>
      </c>
      <c r="AA207" s="1" t="n">
        <v>12.3795136848488</v>
      </c>
    </row>
    <row r="208" customFormat="false" ht="15" hidden="false" customHeight="false" outlineLevel="0" collapsed="false">
      <c r="A208" s="36"/>
      <c r="B208" s="3"/>
      <c r="C208" s="8" t="n">
        <v>42089</v>
      </c>
      <c r="D208" s="1" t="n">
        <v>6.9</v>
      </c>
      <c r="E208" s="1" t="n">
        <v>4.6</v>
      </c>
      <c r="F208" s="1" t="n">
        <v>10.4</v>
      </c>
      <c r="G208" s="1" t="n">
        <v>1583.9</v>
      </c>
      <c r="H208" s="1" t="n">
        <f aca="false">H207+D208</f>
        <v>177.7</v>
      </c>
      <c r="J208" s="1" t="n">
        <v>0.1</v>
      </c>
      <c r="K208" s="1" t="n">
        <f aca="false">K207+J208</f>
        <v>488.4</v>
      </c>
      <c r="L208" s="1" t="n">
        <v>2</v>
      </c>
      <c r="M208" s="1" t="n">
        <f aca="false">M207+L208</f>
        <v>206.9</v>
      </c>
      <c r="N208" s="1" t="n">
        <v>-1.9</v>
      </c>
      <c r="O208" s="1" t="n">
        <f aca="false">O207+N208</f>
        <v>95.3</v>
      </c>
      <c r="P208" s="1" t="n">
        <v>203</v>
      </c>
      <c r="Q208" s="1" t="n">
        <f aca="false">1+((P208-177)/41)*(1.15-1)</f>
        <v>1.09512195121951</v>
      </c>
      <c r="R208" s="10" t="n">
        <f aca="false">Q208*L208</f>
        <v>2.19024390243902</v>
      </c>
      <c r="S208" s="10" t="n">
        <f aca="false">J208-R208</f>
        <v>-2.09024390243902</v>
      </c>
      <c r="T208" s="10" t="n">
        <f aca="false">MIN(122.1,(T207+S208))</f>
        <v>93.2837804878049</v>
      </c>
      <c r="V208" s="1" t="n">
        <v>1421.7</v>
      </c>
      <c r="X208" s="1" t="n">
        <v>121833.1</v>
      </c>
      <c r="Y208" s="1" t="n">
        <f aca="false">Y207+V208</f>
        <v>28456.5</v>
      </c>
      <c r="AA208" s="1" t="n">
        <v>12.4363723913994</v>
      </c>
    </row>
    <row r="209" customFormat="false" ht="15" hidden="false" customHeight="false" outlineLevel="0" collapsed="false">
      <c r="A209" s="36"/>
      <c r="B209" s="3"/>
      <c r="C209" s="8" t="n">
        <v>42090</v>
      </c>
      <c r="D209" s="1" t="n">
        <v>7.4</v>
      </c>
      <c r="E209" s="1" t="n">
        <v>4.9</v>
      </c>
      <c r="F209" s="1" t="n">
        <v>11.9</v>
      </c>
      <c r="G209" s="1" t="n">
        <v>1591.3</v>
      </c>
      <c r="H209" s="1" t="n">
        <f aca="false">H208+D209</f>
        <v>185.1</v>
      </c>
      <c r="J209" s="1" t="n">
        <v>0</v>
      </c>
      <c r="K209" s="1" t="n">
        <f aca="false">K208+J209</f>
        <v>488.4</v>
      </c>
      <c r="L209" s="1" t="n">
        <v>2.1</v>
      </c>
      <c r="M209" s="1" t="n">
        <f aca="false">M208+L209</f>
        <v>209</v>
      </c>
      <c r="N209" s="1" t="n">
        <v>-2.1</v>
      </c>
      <c r="O209" s="1" t="n">
        <f aca="false">O208+N209</f>
        <v>93.2</v>
      </c>
      <c r="P209" s="1" t="n">
        <v>204</v>
      </c>
      <c r="Q209" s="1" t="n">
        <f aca="false">1+((P209-177)/41)*(1.15-1)</f>
        <v>1.09878048780488</v>
      </c>
      <c r="R209" s="10" t="n">
        <f aca="false">Q209*L209</f>
        <v>2.30743902439024</v>
      </c>
      <c r="S209" s="10" t="n">
        <f aca="false">J209-R209</f>
        <v>-2.30743902439024</v>
      </c>
      <c r="T209" s="10" t="n">
        <f aca="false">MIN(122.1,(T208+S209))</f>
        <v>90.9763414634146</v>
      </c>
      <c r="V209" s="1" t="n">
        <v>1525.1</v>
      </c>
      <c r="X209" s="1" t="n">
        <v>123358.2</v>
      </c>
      <c r="Y209" s="1" t="n">
        <f aca="false">Y208+V209</f>
        <v>29981.6</v>
      </c>
      <c r="AA209" s="1" t="n">
        <v>12.4931875103012</v>
      </c>
    </row>
    <row r="210" customFormat="false" ht="15" hidden="false" customHeight="false" outlineLevel="0" collapsed="false">
      <c r="A210" s="36"/>
      <c r="B210" s="3"/>
      <c r="C210" s="8" t="n">
        <v>42091</v>
      </c>
      <c r="D210" s="1" t="n">
        <v>6.8</v>
      </c>
      <c r="E210" s="1" t="n">
        <v>0.8</v>
      </c>
      <c r="F210" s="1" t="n">
        <v>10.8</v>
      </c>
      <c r="G210" s="1" t="n">
        <v>1598.1</v>
      </c>
      <c r="H210" s="1" t="n">
        <f aca="false">H209+D210</f>
        <v>191.9</v>
      </c>
      <c r="J210" s="1" t="n">
        <v>1.2</v>
      </c>
      <c r="K210" s="1" t="n">
        <f aca="false">K209+J210</f>
        <v>489.6</v>
      </c>
      <c r="L210" s="1" t="n">
        <v>0.6</v>
      </c>
      <c r="M210" s="1" t="n">
        <f aca="false">M209+L210</f>
        <v>209.6</v>
      </c>
      <c r="N210" s="1" t="n">
        <v>0.6</v>
      </c>
      <c r="O210" s="1" t="n">
        <f aca="false">O209+N210</f>
        <v>93.8</v>
      </c>
      <c r="P210" s="1" t="n">
        <v>205</v>
      </c>
      <c r="Q210" s="1" t="n">
        <f aca="false">1+((P210-177)/41)*(1.15-1)</f>
        <v>1.10243902439024</v>
      </c>
      <c r="R210" s="10" t="n">
        <f aca="false">Q210*L210</f>
        <v>0.661463414634146</v>
      </c>
      <c r="S210" s="10" t="n">
        <f aca="false">J210-R210</f>
        <v>0.538536585365854</v>
      </c>
      <c r="T210" s="10" t="n">
        <f aca="false">MIN(122.1,(T209+S210))</f>
        <v>91.5148780487805</v>
      </c>
      <c r="V210" s="1" t="n">
        <v>488.5</v>
      </c>
      <c r="X210" s="1" t="n">
        <v>123846.7</v>
      </c>
      <c r="Y210" s="1" t="n">
        <f aca="false">Y209+V210</f>
        <v>30470.1</v>
      </c>
      <c r="AA210" s="1" t="n">
        <v>12.5499529976693</v>
      </c>
    </row>
    <row r="211" customFormat="false" ht="15" hidden="false" customHeight="false" outlineLevel="0" collapsed="false">
      <c r="A211" s="36"/>
      <c r="B211" s="3"/>
      <c r="C211" s="8" t="n">
        <v>42092</v>
      </c>
      <c r="D211" s="1" t="n">
        <v>10.3</v>
      </c>
      <c r="E211" s="1" t="n">
        <v>9.1</v>
      </c>
      <c r="F211" s="1" t="n">
        <v>11</v>
      </c>
      <c r="G211" s="1" t="n">
        <v>1608.4</v>
      </c>
      <c r="H211" s="1" t="n">
        <f aca="false">H210+D211</f>
        <v>202.2</v>
      </c>
      <c r="J211" s="1" t="n">
        <v>11.1</v>
      </c>
      <c r="K211" s="1" t="n">
        <f aca="false">K210+J211</f>
        <v>500.7</v>
      </c>
      <c r="L211" s="1" t="n">
        <v>0.9</v>
      </c>
      <c r="M211" s="1" t="n">
        <f aca="false">M210+L211</f>
        <v>210.5</v>
      </c>
      <c r="N211" s="1" t="n">
        <v>10.2</v>
      </c>
      <c r="O211" s="1" t="n">
        <f aca="false">O210+N211</f>
        <v>104</v>
      </c>
      <c r="P211" s="1" t="n">
        <v>206</v>
      </c>
      <c r="Q211" s="1" t="n">
        <f aca="false">1+((P211-177)/41)*(1.15-1)</f>
        <v>1.10609756097561</v>
      </c>
      <c r="R211" s="10" t="n">
        <f aca="false">Q211*L211</f>
        <v>0.995487804878049</v>
      </c>
      <c r="S211" s="10" t="n">
        <f aca="false">J211-R211</f>
        <v>10.104512195122</v>
      </c>
      <c r="T211" s="10" t="n">
        <f aca="false">MIN(122.1,(T210+S211))</f>
        <v>101.619390243902</v>
      </c>
      <c r="V211" s="1" t="n">
        <v>369.1</v>
      </c>
      <c r="X211" s="1" t="n">
        <v>124215.8</v>
      </c>
      <c r="Y211" s="1" t="n">
        <f aca="false">Y210+V211</f>
        <v>30839.2</v>
      </c>
      <c r="AA211" s="1" t="n">
        <v>12.6066627386971</v>
      </c>
    </row>
    <row r="212" customFormat="false" ht="15" hidden="false" customHeight="false" outlineLevel="0" collapsed="false">
      <c r="A212" s="36"/>
      <c r="B212" s="3"/>
      <c r="C212" s="8" t="n">
        <v>42093</v>
      </c>
      <c r="D212" s="1" t="n">
        <v>11.7</v>
      </c>
      <c r="E212" s="1" t="n">
        <v>10.6</v>
      </c>
      <c r="F212" s="1" t="n">
        <v>12.8</v>
      </c>
      <c r="G212" s="1" t="n">
        <v>1620.1</v>
      </c>
      <c r="H212" s="1" t="n">
        <f aca="false">H211+D212</f>
        <v>213.9</v>
      </c>
      <c r="J212" s="1" t="n">
        <v>1.3</v>
      </c>
      <c r="K212" s="1" t="n">
        <f aca="false">K211+J212</f>
        <v>502</v>
      </c>
      <c r="L212" s="1" t="n">
        <v>1.2</v>
      </c>
      <c r="M212" s="1" t="n">
        <f aca="false">M211+L212</f>
        <v>211.7</v>
      </c>
      <c r="N212" s="1" t="n">
        <v>0.1</v>
      </c>
      <c r="O212" s="1" t="n">
        <f aca="false">O211+N212</f>
        <v>104.1</v>
      </c>
      <c r="P212" s="1" t="n">
        <v>207</v>
      </c>
      <c r="Q212" s="1" t="n">
        <f aca="false">1+((P212-177)/41)*(1.15-1)</f>
        <v>1.10975609756098</v>
      </c>
      <c r="R212" s="10" t="n">
        <f aca="false">Q212*L212</f>
        <v>1.33170731707317</v>
      </c>
      <c r="S212" s="10" t="n">
        <f aca="false">J212-R212</f>
        <v>-0.0317073170731705</v>
      </c>
      <c r="T212" s="10" t="n">
        <f aca="false">MIN(122.1,(T211+S212))</f>
        <v>101.587682926829</v>
      </c>
      <c r="V212" s="1" t="n">
        <v>382.6</v>
      </c>
      <c r="X212" s="1" t="n">
        <v>124598.4</v>
      </c>
      <c r="Y212" s="1" t="n">
        <f aca="false">Y211+V212</f>
        <v>31221.8</v>
      </c>
      <c r="AA212" s="1" t="n">
        <v>12.6633105314329</v>
      </c>
    </row>
    <row r="213" customFormat="false" ht="15" hidden="false" customHeight="false" outlineLevel="0" collapsed="false">
      <c r="A213" s="36"/>
      <c r="B213" s="3"/>
      <c r="C213" s="8" t="n">
        <v>42094</v>
      </c>
      <c r="D213" s="1" t="n">
        <v>11.4</v>
      </c>
      <c r="E213" s="1" t="n">
        <v>11.3</v>
      </c>
      <c r="F213" s="1" t="n">
        <v>12.6</v>
      </c>
      <c r="G213" s="38" t="n">
        <v>1631.5</v>
      </c>
      <c r="H213" s="1" t="n">
        <f aca="false">H212+D213</f>
        <v>225.3</v>
      </c>
      <c r="I213" s="38"/>
      <c r="J213" s="1" t="n">
        <v>2.9</v>
      </c>
      <c r="K213" s="1" t="n">
        <f aca="false">K212+J213</f>
        <v>504.9</v>
      </c>
      <c r="L213" s="1" t="n">
        <v>1.7</v>
      </c>
      <c r="M213" s="1" t="n">
        <f aca="false">M212+L213</f>
        <v>213.4</v>
      </c>
      <c r="N213" s="1" t="n">
        <v>1.2</v>
      </c>
      <c r="O213" s="1" t="n">
        <f aca="false">O212+N213</f>
        <v>105.3</v>
      </c>
      <c r="P213" s="1" t="n">
        <v>208</v>
      </c>
      <c r="Q213" s="1" t="n">
        <f aca="false">1+((P213-177)/41)*(1.15-1)</f>
        <v>1.11341463414634</v>
      </c>
      <c r="R213" s="10" t="n">
        <f aca="false">Q213*L213</f>
        <v>1.89280487804878</v>
      </c>
      <c r="S213" s="10" t="n">
        <f aca="false">J213-R213</f>
        <v>1.00719512195122</v>
      </c>
      <c r="T213" s="10" t="n">
        <f aca="false">MIN(122.1,(T212+S213))</f>
        <v>102.59487804878</v>
      </c>
      <c r="U213" s="38"/>
      <c r="V213" s="1" t="n">
        <v>629.7</v>
      </c>
      <c r="X213" s="38" t="n">
        <v>125228.1</v>
      </c>
      <c r="Y213" s="1" t="n">
        <f aca="false">Y212+V213</f>
        <v>31851.5</v>
      </c>
      <c r="Z213" s="38"/>
      <c r="AA213" s="1" t="n">
        <v>12.719890070641</v>
      </c>
    </row>
    <row r="214" customFormat="false" ht="15" hidden="false" customHeight="true" outlineLevel="0" collapsed="false">
      <c r="A214" s="36"/>
      <c r="B214" s="3"/>
      <c r="C214" s="8" t="n">
        <v>42095</v>
      </c>
      <c r="D214" s="1" t="n">
        <v>7.8</v>
      </c>
      <c r="E214" s="1" t="n">
        <v>5.9</v>
      </c>
      <c r="F214" s="1" t="n">
        <v>9.6</v>
      </c>
      <c r="G214" s="1" t="n">
        <v>1639.3</v>
      </c>
      <c r="H214" s="1" t="n">
        <f aca="false">H213+D214</f>
        <v>233.1</v>
      </c>
      <c r="I214" s="1"/>
      <c r="J214" s="1" t="n">
        <v>0</v>
      </c>
      <c r="K214" s="1" t="n">
        <f aca="false">K213+J214</f>
        <v>504.9</v>
      </c>
      <c r="L214" s="1" t="n">
        <v>2.1</v>
      </c>
      <c r="M214" s="1" t="n">
        <f aca="false">M213+L214</f>
        <v>215.5</v>
      </c>
      <c r="N214" s="1" t="n">
        <v>-2.1</v>
      </c>
      <c r="O214" s="1" t="n">
        <f aca="false">O213+N214</f>
        <v>103.2</v>
      </c>
      <c r="P214" s="1" t="n">
        <v>209</v>
      </c>
      <c r="Q214" s="1" t="n">
        <f aca="false">1+((P214-177)/41)*(1.15-1)</f>
        <v>1.11707317073171</v>
      </c>
      <c r="R214" s="10" t="n">
        <f aca="false">Q214*L214</f>
        <v>2.34585365853659</v>
      </c>
      <c r="S214" s="10" t="n">
        <f aca="false">J214-R214</f>
        <v>-2.34585365853659</v>
      </c>
      <c r="T214" s="10" t="n">
        <f aca="false">MIN(122.1,(T213+S214))</f>
        <v>100.249024390244</v>
      </c>
      <c r="U214" s="1"/>
      <c r="V214" s="1" t="n">
        <v>1054.4</v>
      </c>
      <c r="W214" s="1"/>
      <c r="X214" s="1" t="n">
        <v>126282.5</v>
      </c>
      <c r="Y214" s="1" t="n">
        <f aca="false">Y213+V214</f>
        <v>32905.9</v>
      </c>
      <c r="Z214" s="1"/>
      <c r="AA214" s="1" t="n">
        <v>12.7763949317472</v>
      </c>
    </row>
    <row r="215" customFormat="false" ht="15" hidden="false" customHeight="false" outlineLevel="0" collapsed="false">
      <c r="A215" s="36"/>
      <c r="B215" s="3"/>
      <c r="C215" s="8" t="n">
        <v>42096</v>
      </c>
      <c r="D215" s="1" t="n">
        <v>7.4</v>
      </c>
      <c r="E215" s="1" t="n">
        <v>6</v>
      </c>
      <c r="F215" s="1" t="n">
        <v>9.7</v>
      </c>
      <c r="G215" s="1" t="n">
        <v>1646.7</v>
      </c>
      <c r="H215" s="1" t="n">
        <f aca="false">H214+D215</f>
        <v>240.5</v>
      </c>
      <c r="J215" s="1" t="n">
        <v>2.7</v>
      </c>
      <c r="K215" s="1" t="n">
        <f aca="false">K214+J215</f>
        <v>507.6</v>
      </c>
      <c r="L215" s="1" t="n">
        <v>1</v>
      </c>
      <c r="M215" s="1" t="n">
        <f aca="false">M214+L215</f>
        <v>216.5</v>
      </c>
      <c r="N215" s="1" t="n">
        <v>1.7</v>
      </c>
      <c r="O215" s="1" t="n">
        <f aca="false">O214+N215</f>
        <v>104.9</v>
      </c>
      <c r="P215" s="1" t="n">
        <v>210</v>
      </c>
      <c r="Q215" s="1" t="n">
        <f aca="false">1+((P215-177)/41)*(1.15-1)</f>
        <v>1.12073170731707</v>
      </c>
      <c r="R215" s="10" t="n">
        <f aca="false">Q215*L215</f>
        <v>1.12073170731707</v>
      </c>
      <c r="S215" s="10" t="n">
        <f aca="false">J215-R215</f>
        <v>1.57926829268293</v>
      </c>
      <c r="T215" s="10" t="n">
        <f aca="false">MIN(122.1,(T214+S215))</f>
        <v>101.828292682927</v>
      </c>
      <c r="U215" s="23"/>
      <c r="V215" s="1" t="n">
        <v>384.5</v>
      </c>
      <c r="X215" s="1" t="n">
        <v>126667</v>
      </c>
      <c r="Y215" s="1" t="n">
        <f aca="false">Y214+V215</f>
        <v>33290.4</v>
      </c>
      <c r="AA215" s="1" t="n">
        <v>12.832818554872</v>
      </c>
    </row>
    <row r="216" customFormat="false" ht="15" hidden="false" customHeight="false" outlineLevel="0" collapsed="false">
      <c r="A216" s="36"/>
      <c r="B216" s="3"/>
      <c r="C216" s="8" t="n">
        <v>42097</v>
      </c>
      <c r="D216" s="1" t="n">
        <v>8.4</v>
      </c>
      <c r="E216" s="1" t="n">
        <v>5.4</v>
      </c>
      <c r="F216" s="1" t="n">
        <v>10.6</v>
      </c>
      <c r="G216" s="1" t="n">
        <v>1655.1</v>
      </c>
      <c r="H216" s="1" t="n">
        <f aca="false">H215+D216</f>
        <v>248.9</v>
      </c>
      <c r="J216" s="1" t="n">
        <v>4.2</v>
      </c>
      <c r="K216" s="1" t="n">
        <f aca="false">K215+J216</f>
        <v>511.8</v>
      </c>
      <c r="L216" s="1" t="n">
        <v>0.4</v>
      </c>
      <c r="M216" s="1" t="n">
        <f aca="false">M215+L216</f>
        <v>216.9</v>
      </c>
      <c r="N216" s="1" t="n">
        <v>3.8</v>
      </c>
      <c r="O216" s="1" t="n">
        <f aca="false">O215+N216</f>
        <v>108.7</v>
      </c>
      <c r="P216" s="1" t="n">
        <v>211</v>
      </c>
      <c r="Q216" s="1" t="n">
        <f aca="false">1+((P216-177)/41)*(1.15-1)</f>
        <v>1.12439024390244</v>
      </c>
      <c r="R216" s="10" t="n">
        <f aca="false">Q216*L216</f>
        <v>0.449756097560976</v>
      </c>
      <c r="S216" s="10" t="n">
        <f aca="false">J216-R216</f>
        <v>3.75024390243902</v>
      </c>
      <c r="T216" s="10" t="n">
        <f aca="false">MIN(122.1,(T215+S216))</f>
        <v>105.578536585366</v>
      </c>
      <c r="U216" s="1"/>
      <c r="V216" s="1" t="n">
        <v>540.9</v>
      </c>
      <c r="X216" s="1" t="n">
        <v>127207.9</v>
      </c>
      <c r="Y216" s="1" t="n">
        <f aca="false">Y215+V216</f>
        <v>33831.3</v>
      </c>
      <c r="AA216" s="1" t="n">
        <v>12.8891542289532</v>
      </c>
    </row>
    <row r="217" customFormat="false" ht="15" hidden="false" customHeight="false" outlineLevel="0" collapsed="false">
      <c r="A217" s="36"/>
      <c r="B217" s="3"/>
      <c r="C217" s="8" t="n">
        <v>42098</v>
      </c>
      <c r="D217" s="1" t="n">
        <v>7.8</v>
      </c>
      <c r="E217" s="1" t="n">
        <v>6</v>
      </c>
      <c r="F217" s="1" t="n">
        <v>10.8</v>
      </c>
      <c r="G217" s="1" t="n">
        <v>1662.9</v>
      </c>
      <c r="H217" s="1" t="n">
        <f aca="false">H216+D217</f>
        <v>256.7</v>
      </c>
      <c r="J217" s="1" t="n">
        <v>2.3</v>
      </c>
      <c r="K217" s="1" t="n">
        <f aca="false">K216+J217</f>
        <v>514.1</v>
      </c>
      <c r="L217" s="1" t="n">
        <v>0.8</v>
      </c>
      <c r="M217" s="1" t="n">
        <f aca="false">M216+L217</f>
        <v>217.7</v>
      </c>
      <c r="N217" s="1" t="n">
        <v>1.5</v>
      </c>
      <c r="O217" s="1" t="n">
        <f aca="false">O216+N217</f>
        <v>110.2</v>
      </c>
      <c r="P217" s="1" t="n">
        <v>212</v>
      </c>
      <c r="Q217" s="1" t="n">
        <f aca="false">1+((P217-177)/41)*(1.15-1)</f>
        <v>1.1280487804878</v>
      </c>
      <c r="R217" s="10" t="n">
        <f aca="false">Q217*L217</f>
        <v>0.902439024390244</v>
      </c>
      <c r="S217" s="10" t="n">
        <f aca="false">J217-R217</f>
        <v>1.39756097560976</v>
      </c>
      <c r="T217" s="10" t="n">
        <f aca="false">MIN(122.1,(T216+S217))</f>
        <v>106.976097560976</v>
      </c>
      <c r="V217" s="1" t="n">
        <v>398</v>
      </c>
      <c r="X217" s="1" t="n">
        <v>127605.9</v>
      </c>
      <c r="Y217" s="1" t="n">
        <f aca="false">Y216+V217</f>
        <v>34229.3</v>
      </c>
      <c r="AA217" s="1" t="n">
        <v>12.9453950759628</v>
      </c>
    </row>
    <row r="218" customFormat="false" ht="15" hidden="false" customHeight="false" outlineLevel="0" collapsed="false">
      <c r="A218" s="36"/>
      <c r="B218" s="3"/>
      <c r="C218" s="8" t="n">
        <v>42099</v>
      </c>
      <c r="D218" s="1" t="n">
        <v>5.6</v>
      </c>
      <c r="E218" s="1" t="n">
        <v>1.3</v>
      </c>
      <c r="F218" s="1" t="n">
        <v>9.9</v>
      </c>
      <c r="G218" s="1" t="n">
        <v>1668.5</v>
      </c>
      <c r="H218" s="1" t="n">
        <f aca="false">H217+D218</f>
        <v>262.3</v>
      </c>
      <c r="J218" s="1" t="n">
        <v>0</v>
      </c>
      <c r="K218" s="1" t="n">
        <f aca="false">K217+J218</f>
        <v>514.1</v>
      </c>
      <c r="L218" s="1" t="n">
        <v>2.5</v>
      </c>
      <c r="M218" s="1" t="n">
        <f aca="false">M217+L218</f>
        <v>220.2</v>
      </c>
      <c r="N218" s="1" t="n">
        <v>-2.5</v>
      </c>
      <c r="O218" s="1" t="n">
        <f aca="false">O217+N218</f>
        <v>107.7</v>
      </c>
      <c r="P218" s="1" t="n">
        <v>213</v>
      </c>
      <c r="Q218" s="1" t="n">
        <f aca="false">1+((P218-177)/41)*(1.15-1)</f>
        <v>1.13170731707317</v>
      </c>
      <c r="R218" s="10" t="n">
        <f aca="false">Q218*L218</f>
        <v>2.82926829268293</v>
      </c>
      <c r="S218" s="10" t="n">
        <f aca="false">J218-R218</f>
        <v>-2.82926829268293</v>
      </c>
      <c r="T218" s="10" t="n">
        <f aca="false">MIN(122.1,(T217+S218))</f>
        <v>104.146829268293</v>
      </c>
      <c r="V218" s="1" t="n">
        <v>1444</v>
      </c>
      <c r="X218" s="1" t="n">
        <v>129049.9</v>
      </c>
      <c r="Y218" s="1" t="n">
        <f aca="false">Y217+V218</f>
        <v>35673.3</v>
      </c>
      <c r="AA218" s="1" t="n">
        <v>13.0015340352227</v>
      </c>
    </row>
    <row r="219" customFormat="false" ht="15" hidden="false" customHeight="false" outlineLevel="0" collapsed="false">
      <c r="A219" s="36"/>
      <c r="B219" s="3"/>
      <c r="C219" s="8" t="n">
        <v>42100</v>
      </c>
      <c r="D219" s="1" t="n">
        <v>6.3</v>
      </c>
      <c r="E219" s="1" t="n">
        <v>0.8</v>
      </c>
      <c r="F219" s="1" t="n">
        <v>11.8</v>
      </c>
      <c r="G219" s="1" t="n">
        <v>1674.8</v>
      </c>
      <c r="H219" s="1" t="n">
        <f aca="false">H218+D219</f>
        <v>268.6</v>
      </c>
      <c r="J219" s="1" t="n">
        <v>0</v>
      </c>
      <c r="K219" s="1" t="n">
        <f aca="false">K218+J219</f>
        <v>514.1</v>
      </c>
      <c r="L219" s="1" t="n">
        <v>2.9</v>
      </c>
      <c r="M219" s="1" t="n">
        <f aca="false">M218+L219</f>
        <v>223.1</v>
      </c>
      <c r="N219" s="1" t="n">
        <v>-2.9</v>
      </c>
      <c r="O219" s="1" t="n">
        <f aca="false">O218+N219</f>
        <v>104.8</v>
      </c>
      <c r="P219" s="1" t="n">
        <v>214</v>
      </c>
      <c r="Q219" s="1" t="n">
        <f aca="false">1+((P219-177)/41)*(1.15-1)</f>
        <v>1.13536585365854</v>
      </c>
      <c r="R219" s="10" t="n">
        <f aca="false">Q219*L219</f>
        <v>3.29256097560976</v>
      </c>
      <c r="S219" s="10" t="n">
        <f aca="false">J219-R219</f>
        <v>-3.29256097560976</v>
      </c>
      <c r="T219" s="10" t="n">
        <f aca="false">MIN(122.1,(T218+S219))</f>
        <v>100.854268292683</v>
      </c>
      <c r="V219" s="1" t="n">
        <v>1906.2</v>
      </c>
      <c r="X219" s="1" t="n">
        <v>130956.1</v>
      </c>
      <c r="Y219" s="1" t="n">
        <f aca="false">Y218+V219</f>
        <v>37579.5</v>
      </c>
      <c r="AA219" s="1" t="n">
        <v>13.0575638478277</v>
      </c>
    </row>
    <row r="220" customFormat="false" ht="15" hidden="false" customHeight="false" outlineLevel="0" collapsed="false">
      <c r="A220" s="36"/>
      <c r="B220" s="3"/>
      <c r="C220" s="8" t="n">
        <v>42101</v>
      </c>
      <c r="D220" s="1" t="n">
        <v>7.4</v>
      </c>
      <c r="E220" s="1" t="n">
        <v>2.2</v>
      </c>
      <c r="F220" s="1" t="n">
        <v>12.6</v>
      </c>
      <c r="G220" s="1" t="n">
        <v>1682.2</v>
      </c>
      <c r="H220" s="1" t="n">
        <f aca="false">H219+D220</f>
        <v>276</v>
      </c>
      <c r="J220" s="1" t="n">
        <v>0</v>
      </c>
      <c r="K220" s="1" t="n">
        <f aca="false">K219+J220</f>
        <v>514.1</v>
      </c>
      <c r="L220" s="1" t="n">
        <v>3.8</v>
      </c>
      <c r="M220" s="1" t="n">
        <f aca="false">M219+L220</f>
        <v>226.9</v>
      </c>
      <c r="N220" s="1" t="n">
        <v>-3.8</v>
      </c>
      <c r="O220" s="1" t="n">
        <f aca="false">O219+N220</f>
        <v>101</v>
      </c>
      <c r="P220" s="1" t="n">
        <v>215</v>
      </c>
      <c r="Q220" s="1" t="n">
        <f aca="false">1+((P220-177)/41)*(1.15-1)</f>
        <v>1.1390243902439</v>
      </c>
      <c r="R220" s="10" t="n">
        <f aca="false">Q220*L220</f>
        <v>4.32829268292683</v>
      </c>
      <c r="S220" s="10" t="n">
        <f aca="false">J220-R220</f>
        <v>-4.32829268292683</v>
      </c>
      <c r="T220" s="10" t="n">
        <f aca="false">MIN(122.1,(T219+S220))</f>
        <v>96.5259756097561</v>
      </c>
      <c r="V220" s="1" t="n">
        <v>2442.4</v>
      </c>
      <c r="X220" s="1" t="n">
        <v>133398.5</v>
      </c>
      <c r="Y220" s="1" t="n">
        <f aca="false">Y219+V220</f>
        <v>40021.9</v>
      </c>
      <c r="AA220" s="1" t="n">
        <v>13.1134770411841</v>
      </c>
    </row>
    <row r="221" customFormat="false" ht="15" hidden="false" customHeight="false" outlineLevel="0" collapsed="false">
      <c r="A221" s="36"/>
      <c r="B221" s="3"/>
      <c r="C221" s="8" t="n">
        <v>42102</v>
      </c>
      <c r="D221" s="1" t="n">
        <v>9.7</v>
      </c>
      <c r="E221" s="1" t="n">
        <v>2.7</v>
      </c>
      <c r="F221" s="1" t="n">
        <v>16.4</v>
      </c>
      <c r="G221" s="1" t="n">
        <v>1691.9</v>
      </c>
      <c r="H221" s="1" t="n">
        <f aca="false">H220+D221</f>
        <v>285.7</v>
      </c>
      <c r="J221" s="1" t="n">
        <v>0</v>
      </c>
      <c r="K221" s="1" t="n">
        <f aca="false">K220+J221</f>
        <v>514.1</v>
      </c>
      <c r="L221" s="1" t="n">
        <v>4</v>
      </c>
      <c r="M221" s="1" t="n">
        <f aca="false">M220+L221</f>
        <v>230.9</v>
      </c>
      <c r="N221" s="1" t="n">
        <v>-4</v>
      </c>
      <c r="O221" s="1" t="n">
        <f aca="false">O220+N221</f>
        <v>97</v>
      </c>
      <c r="P221" s="1" t="n">
        <v>216</v>
      </c>
      <c r="Q221" s="1" t="n">
        <f aca="false">1+((P221-177)/41)*(1.15-1)</f>
        <v>1.14268292682927</v>
      </c>
      <c r="R221" s="10" t="n">
        <f aca="false">Q221*L221</f>
        <v>4.57073170731707</v>
      </c>
      <c r="S221" s="10" t="n">
        <f aca="false">J221-R221</f>
        <v>-4.57073170731707</v>
      </c>
      <c r="T221" s="10" t="n">
        <f aca="false">MIN(122.1,(T220+S221))</f>
        <v>91.955243902439</v>
      </c>
      <c r="V221" s="1" t="n">
        <v>2377</v>
      </c>
      <c r="X221" s="1" t="n">
        <v>135775.5</v>
      </c>
      <c r="Y221" s="1" t="n">
        <f aca="false">Y220+V221</f>
        <v>42398.9</v>
      </c>
      <c r="AA221" s="1" t="n">
        <v>13.1692659136741</v>
      </c>
    </row>
    <row r="222" customFormat="false" ht="15" hidden="false" customHeight="false" outlineLevel="0" collapsed="false">
      <c r="A222" s="36"/>
      <c r="B222" s="3"/>
      <c r="C222" s="8" t="n">
        <v>42103</v>
      </c>
      <c r="D222" s="1" t="n">
        <v>10.6</v>
      </c>
      <c r="E222" s="1" t="n">
        <v>1.5</v>
      </c>
      <c r="F222" s="1" t="n">
        <v>18.2</v>
      </c>
      <c r="G222" s="1" t="n">
        <v>1702.5</v>
      </c>
      <c r="H222" s="1" t="n">
        <f aca="false">H221+D222</f>
        <v>296.3</v>
      </c>
      <c r="J222" s="1" t="n">
        <v>0.2</v>
      </c>
      <c r="K222" s="1" t="n">
        <f aca="false">K221+J222</f>
        <v>514.3</v>
      </c>
      <c r="L222" s="1" t="n">
        <v>3.4</v>
      </c>
      <c r="M222" s="1" t="n">
        <f aca="false">M221+L222</f>
        <v>234.3</v>
      </c>
      <c r="N222" s="1" t="n">
        <v>-3.2</v>
      </c>
      <c r="O222" s="1" t="n">
        <f aca="false">O221+N222</f>
        <v>93.8</v>
      </c>
      <c r="P222" s="1" t="n">
        <v>217</v>
      </c>
      <c r="Q222" s="1" t="n">
        <f aca="false">1+((P222-177)/41)*(1.15-1)</f>
        <v>1.14634146341463</v>
      </c>
      <c r="R222" s="10" t="n">
        <f aca="false">Q222*L222</f>
        <v>3.89756097560976</v>
      </c>
      <c r="S222" s="10" t="n">
        <f aca="false">J222-R222</f>
        <v>-3.69756097560976</v>
      </c>
      <c r="T222" s="10" t="n">
        <f aca="false">MIN(122.1,(T221+S222))</f>
        <v>88.2576829268293</v>
      </c>
      <c r="V222" s="1" t="n">
        <v>2357.1</v>
      </c>
      <c r="X222" s="1" t="n">
        <v>138132.6</v>
      </c>
      <c r="Y222" s="1" t="n">
        <f aca="false">Y221+V222</f>
        <v>44756</v>
      </c>
      <c r="AA222" s="1" t="n">
        <v>13.2249225194602</v>
      </c>
    </row>
    <row r="223" s="31" customFormat="true" ht="15" hidden="false" customHeight="false" outlineLevel="0" collapsed="false">
      <c r="A223" s="36"/>
      <c r="B223" s="29"/>
      <c r="C223" s="30" t="n">
        <v>42104</v>
      </c>
      <c r="D223" s="31" t="n">
        <v>12.8</v>
      </c>
      <c r="E223" s="31" t="n">
        <v>3.8</v>
      </c>
      <c r="F223" s="31" t="n">
        <v>19.4</v>
      </c>
      <c r="G223" s="31" t="n">
        <v>1715.3</v>
      </c>
      <c r="H223" s="31" t="n">
        <f aca="false">H222+D223</f>
        <v>309.1</v>
      </c>
      <c r="J223" s="31" t="n">
        <v>0.5</v>
      </c>
      <c r="K223" s="31" t="n">
        <f aca="false">K222+J223</f>
        <v>514.8</v>
      </c>
      <c r="L223" s="31" t="n">
        <v>4.5</v>
      </c>
      <c r="M223" s="31" t="n">
        <f aca="false">M222+L223</f>
        <v>238.8</v>
      </c>
      <c r="N223" s="31" t="n">
        <v>-4</v>
      </c>
      <c r="O223" s="31" t="n">
        <f aca="false">O222+N223</f>
        <v>89.8</v>
      </c>
      <c r="P223" s="31" t="n">
        <v>218</v>
      </c>
      <c r="Q223" s="15" t="n">
        <f aca="false">1+((P223-177)/41)*(1.15-1)</f>
        <v>1.15</v>
      </c>
      <c r="R223" s="34" t="n">
        <f aca="false">Q223*L223</f>
        <v>5.175</v>
      </c>
      <c r="S223" s="34" t="n">
        <f aca="false">J223-R223</f>
        <v>-4.675</v>
      </c>
      <c r="T223" s="17" t="n">
        <f aca="false">MIN(122.1,(T222+S223))</f>
        <v>83.5826829268293</v>
      </c>
      <c r="V223" s="31" t="n">
        <v>2200.4</v>
      </c>
      <c r="X223" s="31" t="n">
        <v>140333</v>
      </c>
      <c r="Y223" s="15" t="n">
        <f aca="false">Y222+V223</f>
        <v>46956.4</v>
      </c>
      <c r="AA223" s="15" t="n">
        <v>13.2804386534427</v>
      </c>
    </row>
    <row r="224" customFormat="false" ht="15" hidden="false" customHeight="false" outlineLevel="0" collapsed="false">
      <c r="A224" s="40" t="s">
        <v>65</v>
      </c>
      <c r="B224" s="1"/>
      <c r="C224" s="8" t="n">
        <v>42105</v>
      </c>
      <c r="D224" s="1" t="n">
        <v>12.2</v>
      </c>
      <c r="E224" s="1" t="n">
        <v>8.7</v>
      </c>
      <c r="F224" s="1" t="n">
        <v>15.2</v>
      </c>
      <c r="G224" s="1" t="n">
        <v>1727.5</v>
      </c>
      <c r="H224" s="1" t="n">
        <v>12.2</v>
      </c>
      <c r="I224" s="41" t="s">
        <v>28</v>
      </c>
      <c r="J224" s="1" t="n">
        <v>0.1</v>
      </c>
      <c r="K224" s="1" t="n">
        <f aca="false">K223+J224</f>
        <v>514.9</v>
      </c>
      <c r="L224" s="1" t="n">
        <v>1.6</v>
      </c>
      <c r="M224" s="1" t="n">
        <f aca="false">M223+L224</f>
        <v>240.4</v>
      </c>
      <c r="N224" s="1" t="n">
        <v>-1.5</v>
      </c>
      <c r="O224" s="1" t="n">
        <f aca="false">O223+N224</f>
        <v>88.3</v>
      </c>
      <c r="P224" s="1" t="n">
        <v>219</v>
      </c>
      <c r="Q224" s="1" t="n">
        <v>1.15</v>
      </c>
      <c r="R224" s="10" t="n">
        <f aca="false">Q224*L224</f>
        <v>1.84</v>
      </c>
      <c r="S224" s="10" t="n">
        <f aca="false">J224-R224</f>
        <v>-1.74</v>
      </c>
      <c r="T224" s="10" t="n">
        <f aca="false">MIN(122.1,(T223+S224))</f>
        <v>81.8426829268293</v>
      </c>
      <c r="U224" s="41" t="s">
        <v>29</v>
      </c>
      <c r="V224" s="1" t="n">
        <v>668.1</v>
      </c>
      <c r="X224" s="1" t="n">
        <v>141001.1</v>
      </c>
      <c r="Y224" s="1" t="n">
        <v>668.1</v>
      </c>
      <c r="Z224" s="41" t="s">
        <v>30</v>
      </c>
      <c r="AA224" s="1" t="n">
        <v>13.3358058363897</v>
      </c>
    </row>
    <row r="225" customFormat="false" ht="15" hidden="false" customHeight="false" outlineLevel="0" collapsed="false">
      <c r="A225" s="40"/>
      <c r="B225" s="1"/>
      <c r="C225" s="8" t="n">
        <v>42106</v>
      </c>
      <c r="D225" s="1" t="n">
        <v>12.8</v>
      </c>
      <c r="E225" s="1" t="n">
        <v>6.5</v>
      </c>
      <c r="F225" s="1" t="n">
        <v>19</v>
      </c>
      <c r="G225" s="1" t="n">
        <v>1740.3</v>
      </c>
      <c r="H225" s="1" t="n">
        <f aca="false">H224+D225</f>
        <v>25</v>
      </c>
      <c r="I225" s="1" t="n">
        <f aca="false">MIN(E224:E244)</f>
        <v>2.8</v>
      </c>
      <c r="J225" s="1" t="n">
        <v>0</v>
      </c>
      <c r="K225" s="1" t="n">
        <f aca="false">K224+J225</f>
        <v>514.9</v>
      </c>
      <c r="L225" s="1" t="n">
        <v>2.8</v>
      </c>
      <c r="M225" s="1" t="n">
        <f aca="false">M224+L225</f>
        <v>243.2</v>
      </c>
      <c r="N225" s="1" t="n">
        <v>-2.8</v>
      </c>
      <c r="O225" s="1" t="n">
        <f aca="false">O224+N225</f>
        <v>85.5</v>
      </c>
      <c r="P225" s="1" t="n">
        <v>220</v>
      </c>
      <c r="Q225" s="1" t="n">
        <v>1.15</v>
      </c>
      <c r="R225" s="10" t="n">
        <f aca="false">Q225*L225</f>
        <v>3.22</v>
      </c>
      <c r="S225" s="10" t="n">
        <f aca="false">J225-R225</f>
        <v>-3.22</v>
      </c>
      <c r="T225" s="10" t="n">
        <f aca="false">MIN(122.1,(T224+S225))</f>
        <v>78.6226829268293</v>
      </c>
      <c r="U225" s="1" t="n">
        <v>16</v>
      </c>
      <c r="V225" s="1" t="n">
        <v>1871.1</v>
      </c>
      <c r="X225" s="1" t="n">
        <v>142872.2</v>
      </c>
      <c r="Y225" s="1" t="n">
        <f aca="false">Y224+V225</f>
        <v>2539.2</v>
      </c>
      <c r="Z225" s="1" t="n">
        <f aca="false">Y244</f>
        <v>34397.2</v>
      </c>
      <c r="AA225" s="1" t="n">
        <v>13.3910153002577</v>
      </c>
    </row>
    <row r="226" customFormat="false" ht="15" hidden="false" customHeight="false" outlineLevel="0" collapsed="false">
      <c r="A226" s="40" t="s">
        <v>66</v>
      </c>
      <c r="B226" s="1"/>
      <c r="C226" s="8" t="n">
        <v>42107</v>
      </c>
      <c r="D226" s="1" t="n">
        <v>13.1</v>
      </c>
      <c r="E226" s="1" t="n">
        <v>5.7</v>
      </c>
      <c r="F226" s="1" t="n">
        <v>20.1</v>
      </c>
      <c r="G226" s="1" t="n">
        <v>1753.4</v>
      </c>
      <c r="H226" s="1" t="n">
        <f aca="false">H225+D226</f>
        <v>38.1</v>
      </c>
      <c r="I226" s="41" t="s">
        <v>31</v>
      </c>
      <c r="J226" s="1" t="n">
        <v>0</v>
      </c>
      <c r="K226" s="1" t="n">
        <f aca="false">K225+J226</f>
        <v>514.9</v>
      </c>
      <c r="L226" s="1" t="n">
        <v>3.5</v>
      </c>
      <c r="M226" s="1" t="n">
        <f aca="false">M225+L226</f>
        <v>246.7</v>
      </c>
      <c r="N226" s="1" t="n">
        <v>-3.5</v>
      </c>
      <c r="O226" s="1" t="n">
        <f aca="false">O225+N226</f>
        <v>82</v>
      </c>
      <c r="P226" s="1" t="n">
        <v>221</v>
      </c>
      <c r="Q226" s="1" t="n">
        <v>1.15</v>
      </c>
      <c r="R226" s="10" t="n">
        <f aca="false">Q226*L226</f>
        <v>4.025</v>
      </c>
      <c r="S226" s="10" t="n">
        <f aca="false">J226-R226</f>
        <v>-4.025</v>
      </c>
      <c r="T226" s="10" t="n">
        <f aca="false">MIN(122.1,(T225+S226))</f>
        <v>74.5976829268293</v>
      </c>
      <c r="U226" s="41" t="s">
        <v>32</v>
      </c>
      <c r="V226" s="1" t="n">
        <v>2248.2</v>
      </c>
      <c r="X226" s="1" t="n">
        <v>145120.4</v>
      </c>
      <c r="Y226" s="1" t="n">
        <f aca="false">Y225+V226</f>
        <v>4787.4</v>
      </c>
      <c r="Z226" s="41" t="s">
        <v>33</v>
      </c>
      <c r="AA226" s="1" t="n">
        <v>13.4460579737258</v>
      </c>
    </row>
    <row r="227" customFormat="false" ht="15" hidden="false" customHeight="false" outlineLevel="0" collapsed="false">
      <c r="A227" s="40"/>
      <c r="B227" s="1"/>
      <c r="C227" s="8" t="n">
        <v>42108</v>
      </c>
      <c r="D227" s="1" t="n">
        <v>14.7</v>
      </c>
      <c r="E227" s="1" t="n">
        <v>7</v>
      </c>
      <c r="F227" s="1" t="n">
        <v>22.6</v>
      </c>
      <c r="G227" s="1" t="n">
        <v>1768.1</v>
      </c>
      <c r="H227" s="1" t="n">
        <f aca="false">H226+D227</f>
        <v>52.8</v>
      </c>
      <c r="I227" s="1" t="n">
        <f aca="false">MAX(F224:F244)</f>
        <v>23.6</v>
      </c>
      <c r="J227" s="1" t="n">
        <v>0</v>
      </c>
      <c r="K227" s="1" t="n">
        <f aca="false">K226+J227</f>
        <v>514.9</v>
      </c>
      <c r="L227" s="1" t="n">
        <v>4.3</v>
      </c>
      <c r="M227" s="1" t="n">
        <f aca="false">M226+L227</f>
        <v>251</v>
      </c>
      <c r="N227" s="1" t="n">
        <v>-4.3</v>
      </c>
      <c r="O227" s="1" t="n">
        <f aca="false">O226+N227</f>
        <v>77.7</v>
      </c>
      <c r="P227" s="1" t="n">
        <v>222</v>
      </c>
      <c r="Q227" s="1" t="n">
        <v>1.15</v>
      </c>
      <c r="R227" s="10" t="n">
        <f aca="false">Q227*L227</f>
        <v>4.945</v>
      </c>
      <c r="S227" s="10" t="n">
        <f aca="false">J227-R227</f>
        <v>-4.945</v>
      </c>
      <c r="T227" s="10" t="n">
        <f aca="false">MIN(122.1,(T226+S227))</f>
        <v>69.6526829268293</v>
      </c>
      <c r="U227" s="1" t="n">
        <v>0</v>
      </c>
      <c r="V227" s="1" t="n">
        <v>2333.2</v>
      </c>
      <c r="X227" s="1" t="n">
        <v>147453.6</v>
      </c>
      <c r="Y227" s="1" t="n">
        <f aca="false">Y226+V227</f>
        <v>7120.6</v>
      </c>
      <c r="Z227" s="11" t="n">
        <f aca="false">(Z225/100)/I237</f>
        <v>1.25628926223521</v>
      </c>
      <c r="AA227" s="1" t="n">
        <v>13.5009244679692</v>
      </c>
    </row>
    <row r="228" customFormat="false" ht="15" hidden="false" customHeight="false" outlineLevel="0" collapsed="false">
      <c r="A228" s="40"/>
      <c r="B228" s="1"/>
      <c r="C228" s="8" t="n">
        <v>42109</v>
      </c>
      <c r="D228" s="1" t="n">
        <v>14.7</v>
      </c>
      <c r="E228" s="1" t="n">
        <v>5.1</v>
      </c>
      <c r="F228" s="1" t="n">
        <v>23.1</v>
      </c>
      <c r="G228" s="1" t="n">
        <v>1782.8</v>
      </c>
      <c r="H228" s="1" t="n">
        <f aca="false">H227+D228</f>
        <v>67.5</v>
      </c>
      <c r="I228" s="41" t="s">
        <v>34</v>
      </c>
      <c r="J228" s="1" t="n">
        <v>0</v>
      </c>
      <c r="K228" s="1" t="n">
        <f aca="false">K227+J228</f>
        <v>514.9</v>
      </c>
      <c r="L228" s="1" t="n">
        <v>4.2</v>
      </c>
      <c r="M228" s="1" t="n">
        <f aca="false">M227+L228</f>
        <v>255.2</v>
      </c>
      <c r="N228" s="1" t="n">
        <v>-4.2</v>
      </c>
      <c r="O228" s="1" t="n">
        <f aca="false">O227+N228</f>
        <v>73.5</v>
      </c>
      <c r="P228" s="1" t="n">
        <v>223</v>
      </c>
      <c r="Q228" s="1" t="n">
        <v>1.15</v>
      </c>
      <c r="R228" s="10" t="n">
        <f aca="false">Q228*L228</f>
        <v>4.83</v>
      </c>
      <c r="S228" s="10" t="n">
        <f aca="false">J228-R228</f>
        <v>-4.83</v>
      </c>
      <c r="T228" s="10" t="n">
        <f aca="false">MIN(122.1,(T227+S228))</f>
        <v>64.8226829268293</v>
      </c>
      <c r="U228" s="41" t="s">
        <v>35</v>
      </c>
      <c r="V228" s="1" t="n">
        <v>2078.9</v>
      </c>
      <c r="X228" s="1" t="n">
        <v>149532.5</v>
      </c>
      <c r="Y228" s="1" t="n">
        <f aca="false">Y227+V228</f>
        <v>9199.5</v>
      </c>
      <c r="Z228" s="41" t="s">
        <v>36</v>
      </c>
      <c r="AA228" s="1" t="n">
        <v>13.5556050626987</v>
      </c>
    </row>
    <row r="229" customFormat="false" ht="15" hidden="false" customHeight="false" outlineLevel="0" collapsed="false">
      <c r="A229" s="40"/>
      <c r="B229" s="1"/>
      <c r="C229" s="8" t="n">
        <v>42110</v>
      </c>
      <c r="D229" s="1" t="n">
        <v>15.1</v>
      </c>
      <c r="E229" s="1" t="n">
        <v>10.5</v>
      </c>
      <c r="F229" s="1" t="n">
        <v>19.4</v>
      </c>
      <c r="G229" s="1" t="n">
        <v>1797.9</v>
      </c>
      <c r="H229" s="1" t="n">
        <f aca="false">H228+D229</f>
        <v>82.6</v>
      </c>
      <c r="I229" s="10" t="n">
        <f aca="false">AVERAGE(D224:D244)</f>
        <v>13.0380952380952</v>
      </c>
      <c r="J229" s="1" t="n">
        <v>0.1</v>
      </c>
      <c r="K229" s="1" t="n">
        <f aca="false">K228+J229</f>
        <v>515</v>
      </c>
      <c r="L229" s="1" t="n">
        <v>3</v>
      </c>
      <c r="M229" s="1" t="n">
        <f aca="false">M228+L229</f>
        <v>258.2</v>
      </c>
      <c r="N229" s="1" t="n">
        <v>-2.9</v>
      </c>
      <c r="O229" s="1" t="n">
        <f aca="false">O228+N229</f>
        <v>70.6</v>
      </c>
      <c r="P229" s="1" t="n">
        <v>224</v>
      </c>
      <c r="Q229" s="1" t="n">
        <v>1.15</v>
      </c>
      <c r="R229" s="10" t="n">
        <f aca="false">Q229*L229</f>
        <v>3.45</v>
      </c>
      <c r="S229" s="10" t="n">
        <f aca="false">J229-R229</f>
        <v>-3.35</v>
      </c>
      <c r="T229" s="10" t="n">
        <f aca="false">MIN(122.1,(T228+S229))</f>
        <v>61.4726829268293</v>
      </c>
      <c r="U229" s="1" t="n">
        <v>1</v>
      </c>
      <c r="V229" s="1" t="n">
        <v>1267</v>
      </c>
      <c r="X229" s="1" t="n">
        <v>150799.5</v>
      </c>
      <c r="Y229" s="1" t="n">
        <f aca="false">Y228+V229</f>
        <v>10466.5</v>
      </c>
      <c r="Z229" s="1" t="n">
        <v>5</v>
      </c>
      <c r="AA229" s="1" t="n">
        <v>13.6100896924989</v>
      </c>
    </row>
    <row r="230" customFormat="false" ht="15" hidden="false" customHeight="false" outlineLevel="0" collapsed="false">
      <c r="A230" s="40"/>
      <c r="B230" s="1"/>
      <c r="C230" s="8" t="n">
        <v>42111</v>
      </c>
      <c r="D230" s="1" t="n">
        <v>13.6</v>
      </c>
      <c r="E230" s="1" t="n">
        <v>12.6</v>
      </c>
      <c r="F230" s="1" t="n">
        <v>15.6</v>
      </c>
      <c r="G230" s="1" t="n">
        <v>1811.5</v>
      </c>
      <c r="H230" s="1" t="n">
        <f aca="false">H229+D230</f>
        <v>96.2</v>
      </c>
      <c r="I230" s="41" t="s">
        <v>37</v>
      </c>
      <c r="J230" s="1" t="n">
        <v>11.8</v>
      </c>
      <c r="K230" s="1" t="n">
        <f aca="false">K229+J230</f>
        <v>526.8</v>
      </c>
      <c r="L230" s="1" t="n">
        <v>0.9</v>
      </c>
      <c r="M230" s="1" t="n">
        <f aca="false">M229+L230</f>
        <v>259.1</v>
      </c>
      <c r="N230" s="1" t="n">
        <v>10.9</v>
      </c>
      <c r="O230" s="1" t="n">
        <f aca="false">O229+N230</f>
        <v>81.5</v>
      </c>
      <c r="P230" s="1" t="n">
        <v>225</v>
      </c>
      <c r="Q230" s="1" t="n">
        <v>1.15</v>
      </c>
      <c r="R230" s="10" t="n">
        <f aca="false">Q230*L230</f>
        <v>1.035</v>
      </c>
      <c r="S230" s="10" t="n">
        <f aca="false">J230-R230</f>
        <v>10.765</v>
      </c>
      <c r="T230" s="10" t="n">
        <f aca="false">MIN(122.1,(T229+S230))</f>
        <v>72.2376829268293</v>
      </c>
      <c r="U230" s="41" t="s">
        <v>38</v>
      </c>
      <c r="V230" s="1" t="n">
        <v>380.6</v>
      </c>
      <c r="X230" s="1" t="n">
        <v>151180.1</v>
      </c>
      <c r="Y230" s="1" t="n">
        <f aca="false">Y229+V230</f>
        <v>10847.1</v>
      </c>
      <c r="AA230" s="1" t="n">
        <v>13.6643679334979</v>
      </c>
    </row>
    <row r="231" customFormat="false" ht="15" hidden="false" customHeight="false" outlineLevel="0" collapsed="false">
      <c r="A231" s="40"/>
      <c r="B231" s="1"/>
      <c r="C231" s="8" t="n">
        <v>42112</v>
      </c>
      <c r="D231" s="1" t="n">
        <v>11</v>
      </c>
      <c r="E231" s="1" t="n">
        <v>7.7</v>
      </c>
      <c r="F231" s="1" t="n">
        <v>14.9</v>
      </c>
      <c r="G231" s="1" t="n">
        <v>1822.5</v>
      </c>
      <c r="H231" s="1" t="n">
        <f aca="false">H230+D231</f>
        <v>107.2</v>
      </c>
      <c r="I231" s="1" t="n">
        <v>0</v>
      </c>
      <c r="J231" s="1" t="n">
        <v>0</v>
      </c>
      <c r="K231" s="1" t="n">
        <f aca="false">K230+J231</f>
        <v>526.8</v>
      </c>
      <c r="L231" s="1" t="n">
        <v>3.7</v>
      </c>
      <c r="M231" s="1" t="n">
        <f aca="false">M230+L231</f>
        <v>262.8</v>
      </c>
      <c r="N231" s="1" t="n">
        <v>-3.7</v>
      </c>
      <c r="O231" s="1" t="n">
        <f aca="false">O230+N231</f>
        <v>77.8</v>
      </c>
      <c r="P231" s="1" t="n">
        <v>226</v>
      </c>
      <c r="Q231" s="1" t="n">
        <v>1.15</v>
      </c>
      <c r="R231" s="10" t="n">
        <f aca="false">Q231*L231</f>
        <v>4.255</v>
      </c>
      <c r="S231" s="10" t="n">
        <f aca="false">J231-R231</f>
        <v>-4.255</v>
      </c>
      <c r="T231" s="10" t="n">
        <f aca="false">MIN(122.1,(T230+S231))</f>
        <v>67.9826829268293</v>
      </c>
      <c r="U231" s="10" t="n">
        <v>38.1</v>
      </c>
      <c r="V231" s="1" t="n">
        <v>2438.8</v>
      </c>
      <c r="X231" s="1" t="n">
        <v>153618.9</v>
      </c>
      <c r="Y231" s="1" t="n">
        <f aca="false">Y230+V231</f>
        <v>13285.9</v>
      </c>
      <c r="AA231" s="1" t="n">
        <v>13.7184289904069</v>
      </c>
    </row>
    <row r="232" customFormat="false" ht="15" hidden="false" customHeight="false" outlineLevel="0" collapsed="false">
      <c r="A232" s="40"/>
      <c r="B232" s="1"/>
      <c r="C232" s="8" t="n">
        <v>42113</v>
      </c>
      <c r="D232" s="1" t="n">
        <v>11.8</v>
      </c>
      <c r="E232" s="1" t="n">
        <v>6</v>
      </c>
      <c r="F232" s="1" t="n">
        <v>16.9</v>
      </c>
      <c r="G232" s="42" t="n">
        <v>1834.3</v>
      </c>
      <c r="H232" s="1" t="n">
        <f aca="false">H231+D232</f>
        <v>119</v>
      </c>
      <c r="I232" s="41" t="s">
        <v>39</v>
      </c>
      <c r="J232" s="1" t="n">
        <v>0</v>
      </c>
      <c r="K232" s="1" t="n">
        <f aca="false">K231+J232</f>
        <v>526.8</v>
      </c>
      <c r="L232" s="1" t="n">
        <v>3.9</v>
      </c>
      <c r="M232" s="1" t="n">
        <f aca="false">M231+L232</f>
        <v>266.7</v>
      </c>
      <c r="N232" s="1" t="n">
        <v>-3.9</v>
      </c>
      <c r="O232" s="1" t="n">
        <f aca="false">O231+N232</f>
        <v>73.9</v>
      </c>
      <c r="P232" s="1" t="n">
        <v>227</v>
      </c>
      <c r="Q232" s="1" t="n">
        <v>1.15</v>
      </c>
      <c r="R232" s="10" t="n">
        <f aca="false">Q232*L232</f>
        <v>4.485</v>
      </c>
      <c r="S232" s="10" t="n">
        <f aca="false">J232-R232</f>
        <v>-4.485</v>
      </c>
      <c r="T232" s="10" t="n">
        <f aca="false">MIN(122.1,(T231+S232))</f>
        <v>63.4976829268293</v>
      </c>
      <c r="U232" s="41" t="s">
        <v>40</v>
      </c>
      <c r="V232" s="1" t="n">
        <v>2515.1</v>
      </c>
      <c r="W232" s="1"/>
      <c r="X232" s="42" t="n">
        <v>156134</v>
      </c>
      <c r="Y232" s="1" t="n">
        <f aca="false">Y231+V232</f>
        <v>15801</v>
      </c>
      <c r="Z232" s="38"/>
      <c r="AA232" s="1" t="n">
        <v>13.7722616839705</v>
      </c>
    </row>
    <row r="233" customFormat="false" ht="15" hidden="false" customHeight="true" outlineLevel="0" collapsed="false">
      <c r="A233" s="40"/>
      <c r="B233" s="1"/>
      <c r="C233" s="8" t="n">
        <v>42114</v>
      </c>
      <c r="D233" s="1" t="n">
        <v>13</v>
      </c>
      <c r="E233" s="1" t="n">
        <v>7</v>
      </c>
      <c r="F233" s="1" t="n">
        <v>18.9</v>
      </c>
      <c r="G233" s="1" t="n">
        <v>1847.3</v>
      </c>
      <c r="H233" s="1" t="n">
        <f aca="false">H232+D233</f>
        <v>132</v>
      </c>
      <c r="I233" s="1" t="n">
        <v>0</v>
      </c>
      <c r="J233" s="1" t="n">
        <v>0</v>
      </c>
      <c r="K233" s="1" t="n">
        <f aca="false">K232+J233</f>
        <v>526.8</v>
      </c>
      <c r="L233" s="1" t="n">
        <v>3.9</v>
      </c>
      <c r="M233" s="1" t="n">
        <f aca="false">M232+L233</f>
        <v>270.6</v>
      </c>
      <c r="N233" s="1" t="n">
        <v>-3.9</v>
      </c>
      <c r="O233" s="1" t="n">
        <f aca="false">O232+N233</f>
        <v>70</v>
      </c>
      <c r="P233" s="1" t="n">
        <v>228</v>
      </c>
      <c r="Q233" s="1" t="n">
        <v>1.15</v>
      </c>
      <c r="R233" s="10" t="n">
        <f aca="false">Q233*L233</f>
        <v>4.485</v>
      </c>
      <c r="S233" s="10" t="n">
        <f aca="false">J233-R233</f>
        <v>-4.485</v>
      </c>
      <c r="T233" s="10" t="n">
        <f aca="false">MIN(122.1,(T232+S233))</f>
        <v>59.0126829268293</v>
      </c>
      <c r="U233" s="10" t="n">
        <f aca="false">MAX(T224:T244)</f>
        <v>87.1376829268293</v>
      </c>
      <c r="V233" s="1" t="n">
        <v>2112.4</v>
      </c>
      <c r="X233" s="1" t="n">
        <v>158246.4</v>
      </c>
      <c r="Y233" s="1" t="n">
        <f aca="false">Y232+V233</f>
        <v>17913.4</v>
      </c>
      <c r="AA233" s="1" t="n">
        <v>13.8258544388717</v>
      </c>
    </row>
    <row r="234" customFormat="false" ht="15" hidden="false" customHeight="false" outlineLevel="0" collapsed="false">
      <c r="A234" s="40"/>
      <c r="B234" s="1"/>
      <c r="C234" s="8" t="n">
        <v>42115</v>
      </c>
      <c r="D234" s="1" t="n">
        <v>15.3</v>
      </c>
      <c r="E234" s="1" t="n">
        <v>7.9</v>
      </c>
      <c r="F234" s="1" t="n">
        <v>21.3</v>
      </c>
      <c r="G234" s="1" t="n">
        <v>1862.6</v>
      </c>
      <c r="H234" s="1" t="n">
        <f aca="false">H233+D234</f>
        <v>147.3</v>
      </c>
      <c r="I234" s="41" t="s">
        <v>41</v>
      </c>
      <c r="J234" s="1" t="n">
        <v>0</v>
      </c>
      <c r="K234" s="1" t="n">
        <f aca="false">K233+J234</f>
        <v>526.8</v>
      </c>
      <c r="L234" s="1" t="n">
        <v>5.1</v>
      </c>
      <c r="M234" s="1" t="n">
        <f aca="false">M233+L234</f>
        <v>275.7</v>
      </c>
      <c r="N234" s="1" t="n">
        <v>-5.1</v>
      </c>
      <c r="O234" s="1" t="n">
        <f aca="false">O233+N234</f>
        <v>64.9</v>
      </c>
      <c r="P234" s="1" t="n">
        <v>229</v>
      </c>
      <c r="Q234" s="1" t="n">
        <v>1.15</v>
      </c>
      <c r="R234" s="10" t="n">
        <f aca="false">Q234*L234</f>
        <v>5.865</v>
      </c>
      <c r="S234" s="10" t="n">
        <f aca="false">J234-R234</f>
        <v>-5.865</v>
      </c>
      <c r="T234" s="10" t="n">
        <f aca="false">MIN(122.1,(T233+S234))</f>
        <v>53.1476829268293</v>
      </c>
      <c r="U234" s="41" t="s">
        <v>42</v>
      </c>
      <c r="V234" s="1" t="n">
        <v>2619</v>
      </c>
      <c r="X234" s="1" t="n">
        <v>160865.4</v>
      </c>
      <c r="Y234" s="1" t="n">
        <f aca="false">Y233+V234</f>
        <v>20532.4</v>
      </c>
      <c r="AA234" s="1" t="n">
        <v>13.8791952721396</v>
      </c>
    </row>
    <row r="235" customFormat="false" ht="15" hidden="false" customHeight="false" outlineLevel="0" collapsed="false">
      <c r="A235" s="40"/>
      <c r="B235" s="1"/>
      <c r="C235" s="8" t="n">
        <v>42116</v>
      </c>
      <c r="D235" s="1" t="n">
        <v>16.1</v>
      </c>
      <c r="E235" s="1" t="n">
        <v>9.7</v>
      </c>
      <c r="F235" s="1" t="n">
        <v>23.6</v>
      </c>
      <c r="G235" s="1" t="n">
        <v>1878.7</v>
      </c>
      <c r="H235" s="1" t="n">
        <f aca="false">H234+D235</f>
        <v>163.4</v>
      </c>
      <c r="I235" s="1" t="n">
        <v>1</v>
      </c>
      <c r="J235" s="1" t="n">
        <v>0</v>
      </c>
      <c r="K235" s="1" t="n">
        <f aca="false">K234+J235</f>
        <v>526.8</v>
      </c>
      <c r="L235" s="1" t="n">
        <v>5.4</v>
      </c>
      <c r="M235" s="1" t="n">
        <f aca="false">M234+L235</f>
        <v>281.1</v>
      </c>
      <c r="N235" s="1" t="n">
        <v>-5.4</v>
      </c>
      <c r="O235" s="1" t="n">
        <f aca="false">O234+N235</f>
        <v>59.5</v>
      </c>
      <c r="P235" s="1" t="n">
        <v>230</v>
      </c>
      <c r="Q235" s="1" t="n">
        <v>1.15</v>
      </c>
      <c r="R235" s="10" t="n">
        <f aca="false">Q235*L235</f>
        <v>6.21</v>
      </c>
      <c r="S235" s="10" t="n">
        <f aca="false">J235-R235</f>
        <v>-6.21</v>
      </c>
      <c r="T235" s="10" t="n">
        <f aca="false">MIN(122.1,(T234+S235))</f>
        <v>46.9376829268293</v>
      </c>
      <c r="U235" s="11" t="n">
        <f aca="false">AVERAGE(T224:T244)</f>
        <v>59.9781591173055</v>
      </c>
      <c r="V235" s="1" t="n">
        <v>2640.1</v>
      </c>
      <c r="X235" s="1" t="n">
        <v>163505.5</v>
      </c>
      <c r="Y235" s="1" t="n">
        <f aca="false">Y234+V235</f>
        <v>23172.5</v>
      </c>
      <c r="AA235" s="1" t="n">
        <v>13.9322717821123</v>
      </c>
    </row>
    <row r="236" customFormat="false" ht="15" hidden="false" customHeight="false" outlineLevel="0" collapsed="false">
      <c r="A236" s="40"/>
      <c r="B236" s="1"/>
      <c r="C236" s="8" t="n">
        <v>42117</v>
      </c>
      <c r="D236" s="1" t="n">
        <v>13.6</v>
      </c>
      <c r="E236" s="1" t="n">
        <v>7.4</v>
      </c>
      <c r="F236" s="1" t="n">
        <v>20.2</v>
      </c>
      <c r="G236" s="1" t="n">
        <v>1892.3</v>
      </c>
      <c r="H236" s="1" t="n">
        <f aca="false">H235+D236</f>
        <v>177</v>
      </c>
      <c r="I236" s="41" t="s">
        <v>43</v>
      </c>
      <c r="J236" s="1" t="n">
        <v>0</v>
      </c>
      <c r="K236" s="1" t="n">
        <f aca="false">K235+J236</f>
        <v>526.8</v>
      </c>
      <c r="L236" s="1" t="n">
        <v>4.3</v>
      </c>
      <c r="M236" s="1" t="n">
        <f aca="false">M235+L236</f>
        <v>285.4</v>
      </c>
      <c r="N236" s="1" t="n">
        <v>-4.3</v>
      </c>
      <c r="O236" s="1" t="n">
        <f aca="false">O235+N236</f>
        <v>55.2</v>
      </c>
      <c r="P236" s="1" t="n">
        <v>231</v>
      </c>
      <c r="Q236" s="1" t="n">
        <v>1.15</v>
      </c>
      <c r="R236" s="10" t="n">
        <f aca="false">Q236*L236</f>
        <v>4.945</v>
      </c>
      <c r="S236" s="10" t="n">
        <f aca="false">J236-R236</f>
        <v>-4.945</v>
      </c>
      <c r="T236" s="10" t="n">
        <f aca="false">MIN(122.1,(T235+S236))</f>
        <v>41.9926829268293</v>
      </c>
      <c r="V236" s="1" t="n">
        <v>2749.9</v>
      </c>
      <c r="X236" s="1" t="n">
        <v>166255.4</v>
      </c>
      <c r="Y236" s="1" t="n">
        <f aca="false">Y235+V236</f>
        <v>25922.4</v>
      </c>
      <c r="AA236" s="1" t="n">
        <v>13.985071138009</v>
      </c>
    </row>
    <row r="237" customFormat="false" ht="15" hidden="false" customHeight="false" outlineLevel="0" collapsed="false">
      <c r="A237" s="40"/>
      <c r="B237" s="1"/>
      <c r="C237" s="8" t="n">
        <v>42118</v>
      </c>
      <c r="D237" s="1" t="n">
        <v>13.7</v>
      </c>
      <c r="E237" s="1" t="n">
        <v>5.5</v>
      </c>
      <c r="F237" s="1" t="n">
        <v>21</v>
      </c>
      <c r="G237" s="1" t="n">
        <v>1906</v>
      </c>
      <c r="H237" s="1" t="n">
        <f aca="false">H236+D237</f>
        <v>190.7</v>
      </c>
      <c r="I237" s="1" t="n">
        <v>273.8</v>
      </c>
      <c r="J237" s="1" t="n">
        <v>0</v>
      </c>
      <c r="K237" s="1" t="n">
        <f aca="false">K236+J237</f>
        <v>526.8</v>
      </c>
      <c r="L237" s="1" t="n">
        <v>3.4</v>
      </c>
      <c r="M237" s="1" t="n">
        <f aca="false">M236+L237</f>
        <v>288.8</v>
      </c>
      <c r="N237" s="1" t="n">
        <v>-3.4</v>
      </c>
      <c r="O237" s="1" t="n">
        <f aca="false">O236+N237</f>
        <v>51.8</v>
      </c>
      <c r="P237" s="1" t="n">
        <v>232</v>
      </c>
      <c r="Q237" s="1" t="n">
        <v>1.15</v>
      </c>
      <c r="R237" s="10" t="n">
        <f aca="false">Q237*L237</f>
        <v>3.91</v>
      </c>
      <c r="S237" s="10" t="n">
        <f aca="false">J237-R237</f>
        <v>-3.91</v>
      </c>
      <c r="T237" s="10" t="n">
        <f aca="false">MIN(122.1,(T236+S237))</f>
        <v>38.0826829268293</v>
      </c>
      <c r="U237" s="1" t="n">
        <f aca="false">(U235*100)/122.1</f>
        <v>49.1221614392346</v>
      </c>
      <c r="V237" s="1" t="n">
        <v>2268.4</v>
      </c>
      <c r="X237" s="1" t="n">
        <v>168523.8</v>
      </c>
      <c r="Y237" s="1" t="n">
        <f aca="false">Y236+V237</f>
        <v>28190.8</v>
      </c>
      <c r="AA237" s="1" t="n">
        <v>14.0375800701713</v>
      </c>
    </row>
    <row r="238" customFormat="false" ht="15" hidden="false" customHeight="false" outlineLevel="0" collapsed="false">
      <c r="A238" s="40"/>
      <c r="B238" s="1"/>
      <c r="C238" s="8" t="n">
        <v>42119</v>
      </c>
      <c r="D238" s="1" t="n">
        <v>13.6</v>
      </c>
      <c r="E238" s="1" t="n">
        <v>11.1</v>
      </c>
      <c r="F238" s="1" t="n">
        <v>16.9</v>
      </c>
      <c r="G238" s="1" t="n">
        <v>1919.6</v>
      </c>
      <c r="H238" s="1" t="n">
        <f aca="false">H237+D238</f>
        <v>204.3</v>
      </c>
      <c r="J238" s="1" t="n">
        <v>5</v>
      </c>
      <c r="K238" s="1" t="n">
        <f aca="false">K237+J238</f>
        <v>531.8</v>
      </c>
      <c r="L238" s="1" t="n">
        <v>1.4</v>
      </c>
      <c r="M238" s="1" t="n">
        <f aca="false">M237+L238</f>
        <v>290.2</v>
      </c>
      <c r="N238" s="1" t="n">
        <v>3.6</v>
      </c>
      <c r="O238" s="1" t="n">
        <f aca="false">O237+N238</f>
        <v>55.4</v>
      </c>
      <c r="P238" s="1" t="n">
        <v>233</v>
      </c>
      <c r="Q238" s="1" t="n">
        <v>1.15</v>
      </c>
      <c r="R238" s="10" t="n">
        <f aca="false">Q238*L238</f>
        <v>1.61</v>
      </c>
      <c r="S238" s="10" t="n">
        <f aca="false">J238-R238</f>
        <v>3.39</v>
      </c>
      <c r="T238" s="10" t="n">
        <f aca="false">MIN(122.1,(T237+S238))</f>
        <v>41.4726829268293</v>
      </c>
      <c r="V238" s="1" t="n">
        <v>800.5</v>
      </c>
      <c r="X238" s="1" t="n">
        <v>169324.3</v>
      </c>
      <c r="Y238" s="1" t="n">
        <f aca="false">Y237+V238</f>
        <v>28991.3</v>
      </c>
      <c r="AA238" s="1" t="n">
        <v>14.0897848610359</v>
      </c>
    </row>
    <row r="239" customFormat="false" ht="15" hidden="false" customHeight="false" outlineLevel="0" collapsed="false">
      <c r="A239" s="40"/>
      <c r="B239" s="1"/>
      <c r="C239" s="8" t="n">
        <v>42120</v>
      </c>
      <c r="D239" s="1" t="n">
        <v>15.1</v>
      </c>
      <c r="E239" s="1" t="n">
        <v>11.1</v>
      </c>
      <c r="F239" s="1" t="n">
        <v>19.2</v>
      </c>
      <c r="G239" s="1" t="n">
        <v>1934.7</v>
      </c>
      <c r="H239" s="1" t="n">
        <f aca="false">H238+D239</f>
        <v>219.4</v>
      </c>
      <c r="J239" s="1" t="n">
        <v>8.1</v>
      </c>
      <c r="K239" s="1" t="n">
        <f aca="false">K238+J239</f>
        <v>539.9</v>
      </c>
      <c r="L239" s="1" t="n">
        <v>2.1</v>
      </c>
      <c r="M239" s="1" t="n">
        <f aca="false">M238+L239</f>
        <v>292.3</v>
      </c>
      <c r="N239" s="1" t="n">
        <v>6</v>
      </c>
      <c r="O239" s="1" t="n">
        <f aca="false">O238+N239</f>
        <v>61.4</v>
      </c>
      <c r="P239" s="1" t="n">
        <v>234</v>
      </c>
      <c r="Q239" s="1" t="n">
        <v>1.15</v>
      </c>
      <c r="R239" s="10" t="n">
        <f aca="false">Q239*L239</f>
        <v>2.415</v>
      </c>
      <c r="S239" s="10" t="n">
        <f aca="false">J239-R239</f>
        <v>5.685</v>
      </c>
      <c r="T239" s="10" t="n">
        <f aca="false">MIN(122.1,(T238+S239))</f>
        <v>47.1576829268293</v>
      </c>
      <c r="V239" s="1" t="n">
        <v>1258.4</v>
      </c>
      <c r="X239" s="1" t="n">
        <v>170582.7</v>
      </c>
      <c r="Y239" s="1" t="n">
        <f aca="false">Y238+V239</f>
        <v>30249.7</v>
      </c>
      <c r="AA239" s="1" t="n">
        <v>14.1416713369059</v>
      </c>
    </row>
    <row r="240" customFormat="false" ht="15" hidden="false" customHeight="false" outlineLevel="0" collapsed="false">
      <c r="A240" s="40"/>
      <c r="B240" s="1"/>
      <c r="C240" s="8" t="n">
        <v>42121</v>
      </c>
      <c r="D240" s="1" t="n">
        <v>12</v>
      </c>
      <c r="E240" s="1" t="n">
        <v>10.1</v>
      </c>
      <c r="F240" s="1" t="n">
        <v>16.1</v>
      </c>
      <c r="G240" s="1" t="n">
        <v>1946.7</v>
      </c>
      <c r="H240" s="1" t="n">
        <f aca="false">H239+D240</f>
        <v>231.4</v>
      </c>
      <c r="J240" s="1" t="n">
        <v>4.1</v>
      </c>
      <c r="K240" s="1" t="n">
        <f aca="false">K239+J240</f>
        <v>544</v>
      </c>
      <c r="L240" s="1" t="n">
        <v>1</v>
      </c>
      <c r="M240" s="1" t="n">
        <f aca="false">M239+L240</f>
        <v>293.3</v>
      </c>
      <c r="N240" s="1" t="n">
        <v>3.1</v>
      </c>
      <c r="O240" s="1" t="n">
        <f aca="false">O239+N240</f>
        <v>64.5</v>
      </c>
      <c r="P240" s="1" t="n">
        <v>235</v>
      </c>
      <c r="Q240" s="1" t="n">
        <v>1.15</v>
      </c>
      <c r="R240" s="10" t="n">
        <f aca="false">Q240*L240</f>
        <v>1.15</v>
      </c>
      <c r="S240" s="10" t="n">
        <f aca="false">J240-R240</f>
        <v>2.95</v>
      </c>
      <c r="T240" s="10" t="n">
        <f aca="false">MIN(122.1,(T239+S240))</f>
        <v>50.1076829268293</v>
      </c>
      <c r="V240" s="1" t="n">
        <v>390.7</v>
      </c>
      <c r="X240" s="1" t="n">
        <v>170973.4</v>
      </c>
      <c r="Y240" s="1" t="n">
        <f aca="false">Y239+V240</f>
        <v>30640.4</v>
      </c>
      <c r="AA240" s="1" t="n">
        <v>14.1932248605896</v>
      </c>
    </row>
    <row r="241" customFormat="false" ht="15" hidden="false" customHeight="false" outlineLevel="0" collapsed="false">
      <c r="A241" s="40"/>
      <c r="B241" s="1"/>
      <c r="C241" s="8" t="n">
        <v>42122</v>
      </c>
      <c r="D241" s="1" t="n">
        <v>8.8</v>
      </c>
      <c r="E241" s="1" t="n">
        <v>6.8</v>
      </c>
      <c r="F241" s="1" t="n">
        <v>12.6</v>
      </c>
      <c r="G241" s="1" t="n">
        <v>1955.5</v>
      </c>
      <c r="H241" s="1" t="n">
        <f aca="false">H240+D241</f>
        <v>240.2</v>
      </c>
      <c r="J241" s="1" t="n">
        <v>0</v>
      </c>
      <c r="K241" s="1" t="n">
        <f aca="false">K240+J241</f>
        <v>544</v>
      </c>
      <c r="L241" s="1" t="n">
        <v>2.1</v>
      </c>
      <c r="M241" s="1" t="n">
        <f aca="false">M240+L241</f>
        <v>295.4</v>
      </c>
      <c r="N241" s="1" t="n">
        <v>-2.1</v>
      </c>
      <c r="O241" s="1" t="n">
        <f aca="false">O240+N241</f>
        <v>62.4</v>
      </c>
      <c r="P241" s="1" t="n">
        <v>236</v>
      </c>
      <c r="Q241" s="1" t="n">
        <v>1.15</v>
      </c>
      <c r="R241" s="10" t="n">
        <f aca="false">Q241*L241</f>
        <v>2.415</v>
      </c>
      <c r="S241" s="10" t="n">
        <f aca="false">J241-R241</f>
        <v>-2.415</v>
      </c>
      <c r="T241" s="10" t="n">
        <f aca="false">MIN(122.1,(T240+S241))</f>
        <v>47.6926829268293</v>
      </c>
      <c r="V241" s="1" t="n">
        <v>1104</v>
      </c>
      <c r="X241" s="1" t="n">
        <v>172077.4</v>
      </c>
      <c r="Y241" s="1" t="n">
        <f aca="false">Y240+V241</f>
        <v>31744.4</v>
      </c>
      <c r="AA241" s="1" t="n">
        <v>14.2444303249817</v>
      </c>
    </row>
    <row r="242" customFormat="false" ht="15" hidden="false" customHeight="false" outlineLevel="0" collapsed="false">
      <c r="A242" s="40"/>
      <c r="B242" s="1"/>
      <c r="C242" s="8" t="n">
        <v>42123</v>
      </c>
      <c r="D242" s="1" t="n">
        <v>9.5</v>
      </c>
      <c r="E242" s="1" t="n">
        <v>2.8</v>
      </c>
      <c r="F242" s="1" t="n">
        <v>15.8</v>
      </c>
      <c r="G242" s="1" t="n">
        <v>1965</v>
      </c>
      <c r="H242" s="1" t="n">
        <f aca="false">H241+D242</f>
        <v>249.7</v>
      </c>
      <c r="J242" s="1" t="n">
        <v>0</v>
      </c>
      <c r="K242" s="1" t="n">
        <f aca="false">K241+J242</f>
        <v>544</v>
      </c>
      <c r="L242" s="1" t="n">
        <v>1.1</v>
      </c>
      <c r="M242" s="1" t="n">
        <f aca="false">M241+L242</f>
        <v>296.5</v>
      </c>
      <c r="N242" s="1" t="n">
        <v>-1.1</v>
      </c>
      <c r="O242" s="1" t="n">
        <f aca="false">O241+N242</f>
        <v>61.3</v>
      </c>
      <c r="P242" s="1" t="n">
        <v>237</v>
      </c>
      <c r="Q242" s="1" t="n">
        <v>1.15</v>
      </c>
      <c r="R242" s="10" t="n">
        <f aca="false">Q242*L242</f>
        <v>1.265</v>
      </c>
      <c r="S242" s="10" t="n">
        <f aca="false">J242-R242</f>
        <v>-1.265</v>
      </c>
      <c r="T242" s="10" t="n">
        <f aca="false">MIN(122.1,(T241+S242))</f>
        <v>46.4276829268293</v>
      </c>
      <c r="V242" s="1" t="n">
        <v>921.4</v>
      </c>
      <c r="X242" s="1" t="n">
        <v>172998.8</v>
      </c>
      <c r="Y242" s="1" t="n">
        <f aca="false">Y241+V242</f>
        <v>32665.8</v>
      </c>
      <c r="AA242" s="1" t="n">
        <v>14.2952721476636</v>
      </c>
    </row>
    <row r="243" customFormat="false" ht="15" hidden="false" customHeight="false" outlineLevel="0" collapsed="false">
      <c r="A243" s="40"/>
      <c r="B243" s="1"/>
      <c r="C243" s="8" t="n">
        <v>42124</v>
      </c>
      <c r="D243" s="1" t="n">
        <v>11.1</v>
      </c>
      <c r="E243" s="1" t="n">
        <v>6.5</v>
      </c>
      <c r="F243" s="1" t="n">
        <v>16.5</v>
      </c>
      <c r="G243" s="1" t="n">
        <v>1976.1</v>
      </c>
      <c r="H243" s="1" t="n">
        <f aca="false">H242+D243</f>
        <v>260.8</v>
      </c>
      <c r="J243" s="1" t="n">
        <v>21.4</v>
      </c>
      <c r="K243" s="1" t="n">
        <f aca="false">K242+J243</f>
        <v>565.4</v>
      </c>
      <c r="L243" s="1" t="n">
        <v>1.9</v>
      </c>
      <c r="M243" s="1" t="n">
        <f aca="false">M242+L243</f>
        <v>298.4</v>
      </c>
      <c r="N243" s="1" t="n">
        <v>19.5</v>
      </c>
      <c r="O243" s="1" t="n">
        <f aca="false">O242+N243</f>
        <v>80.8</v>
      </c>
      <c r="P243" s="1" t="n">
        <v>238</v>
      </c>
      <c r="Q243" s="1" t="n">
        <v>1.15</v>
      </c>
      <c r="R243" s="10" t="n">
        <f aca="false">Q243*L243</f>
        <v>2.185</v>
      </c>
      <c r="S243" s="10" t="n">
        <f aca="false">J243-R243</f>
        <v>19.215</v>
      </c>
      <c r="T243" s="10" t="n">
        <f aca="false">MIN(122.1,(T242+S243))</f>
        <v>65.6426829268293</v>
      </c>
      <c r="V243" s="1" t="n">
        <v>1224.2</v>
      </c>
      <c r="X243" s="1" t="n">
        <v>174223</v>
      </c>
      <c r="Y243" s="1" t="n">
        <f aca="false">Y242+V243</f>
        <v>33890</v>
      </c>
      <c r="AA243" s="1" t="n">
        <v>14.3457342666027</v>
      </c>
    </row>
    <row r="244" s="31" customFormat="true" ht="15" hidden="false" customHeight="false" outlineLevel="0" collapsed="false">
      <c r="A244" s="43" t="s">
        <v>67</v>
      </c>
      <c r="C244" s="30" t="n">
        <v>42125</v>
      </c>
      <c r="D244" s="31" t="n">
        <v>13</v>
      </c>
      <c r="E244" s="31" t="n">
        <v>9.9</v>
      </c>
      <c r="F244" s="31" t="n">
        <v>14.2</v>
      </c>
      <c r="G244" s="31" t="n">
        <v>1989.1</v>
      </c>
      <c r="H244" s="31" t="n">
        <f aca="false">H243+D244</f>
        <v>273.8</v>
      </c>
      <c r="J244" s="31" t="n">
        <v>22.3</v>
      </c>
      <c r="K244" s="31" t="n">
        <f aca="false">K243+J244</f>
        <v>587.7</v>
      </c>
      <c r="L244" s="31" t="n">
        <v>0.7</v>
      </c>
      <c r="M244" s="31" t="n">
        <f aca="false">M243+L244</f>
        <v>299.1</v>
      </c>
      <c r="N244" s="31" t="n">
        <v>21.6</v>
      </c>
      <c r="O244" s="31" t="n">
        <f aca="false">O243+N244</f>
        <v>102.4</v>
      </c>
      <c r="P244" s="31" t="n">
        <v>239</v>
      </c>
      <c r="Q244" s="15" t="n">
        <v>1.15</v>
      </c>
      <c r="R244" s="34" t="n">
        <f aca="false">Q244*L244</f>
        <v>0.805</v>
      </c>
      <c r="S244" s="34" t="n">
        <f aca="false">J244-R244</f>
        <v>21.495</v>
      </c>
      <c r="T244" s="17" t="n">
        <f aca="false">MIN(122.1,(T243+S244))</f>
        <v>87.1376829268293</v>
      </c>
      <c r="V244" s="31" t="n">
        <v>507.2</v>
      </c>
      <c r="X244" s="31" t="n">
        <v>174730.2</v>
      </c>
      <c r="Y244" s="15" t="n">
        <f aca="false">Y243+V244</f>
        <v>34397.2</v>
      </c>
      <c r="AA244" s="15" t="n">
        <v>14.3958001370346</v>
      </c>
    </row>
    <row r="245" customFormat="false" ht="15" hidden="false" customHeight="false" outlineLevel="0" collapsed="false">
      <c r="A245" s="44" t="n">
        <v>300</v>
      </c>
      <c r="B245" s="3"/>
      <c r="C245" s="8" t="n">
        <v>42126</v>
      </c>
      <c r="D245" s="1" t="n">
        <v>14.2</v>
      </c>
      <c r="E245" s="1" t="n">
        <v>12.8</v>
      </c>
      <c r="F245" s="1" t="n">
        <v>17</v>
      </c>
      <c r="G245" s="1" t="n">
        <v>2003.3</v>
      </c>
      <c r="H245" s="1" t="n">
        <v>14.2</v>
      </c>
      <c r="I245" s="45" t="s">
        <v>28</v>
      </c>
      <c r="J245" s="1" t="n">
        <v>9</v>
      </c>
      <c r="K245" s="1" t="n">
        <f aca="false">K244+J245</f>
        <v>596.7</v>
      </c>
      <c r="L245" s="1" t="n">
        <v>1</v>
      </c>
      <c r="M245" s="1" t="n">
        <f aca="false">M244+L245</f>
        <v>300.1</v>
      </c>
      <c r="N245" s="1" t="n">
        <v>8</v>
      </c>
      <c r="O245" s="1" t="n">
        <f aca="false">O244+N245</f>
        <v>110.4</v>
      </c>
      <c r="P245" s="1" t="n">
        <v>240</v>
      </c>
      <c r="Q245" s="1" t="n">
        <v>1.15</v>
      </c>
      <c r="R245" s="10" t="n">
        <f aca="false">Q245*L245</f>
        <v>1.15</v>
      </c>
      <c r="S245" s="10" t="n">
        <f aca="false">J245-R245</f>
        <v>7.85</v>
      </c>
      <c r="T245" s="10" t="n">
        <f aca="false">MIN(122.1,(T244+S245))</f>
        <v>94.9876829268293</v>
      </c>
      <c r="U245" s="45" t="s">
        <v>29</v>
      </c>
      <c r="V245" s="1" t="n">
        <v>418.3</v>
      </c>
      <c r="X245" s="1" t="n">
        <v>175148.5</v>
      </c>
      <c r="Y245" s="1" t="n">
        <v>418.3</v>
      </c>
      <c r="Z245" s="45" t="s">
        <v>30</v>
      </c>
      <c r="AA245" s="1" t="n">
        <v>14.4454527296138</v>
      </c>
    </row>
    <row r="246" customFormat="false" ht="15" hidden="false" customHeight="false" outlineLevel="0" collapsed="false">
      <c r="A246" s="44"/>
      <c r="B246" s="3"/>
      <c r="C246" s="8" t="n">
        <v>42127</v>
      </c>
      <c r="D246" s="1" t="n">
        <v>16.6</v>
      </c>
      <c r="E246" s="1" t="n">
        <v>13.2</v>
      </c>
      <c r="F246" s="1" t="n">
        <v>18.8</v>
      </c>
      <c r="G246" s="1" t="n">
        <v>2019.9</v>
      </c>
      <c r="H246" s="1" t="n">
        <f aca="false">H245+D246</f>
        <v>30.8</v>
      </c>
      <c r="I246" s="1" t="n">
        <f aca="false">MIN(E245:E265)</f>
        <v>5.6</v>
      </c>
      <c r="J246" s="1" t="n">
        <v>9.3</v>
      </c>
      <c r="K246" s="1" t="n">
        <f aca="false">K245+J246</f>
        <v>606</v>
      </c>
      <c r="L246" s="1" t="n">
        <v>0.9</v>
      </c>
      <c r="M246" s="1" t="n">
        <f aca="false">M245+L246</f>
        <v>301</v>
      </c>
      <c r="N246" s="1" t="n">
        <v>8.4</v>
      </c>
      <c r="O246" s="1" t="n">
        <f aca="false">O245+N246</f>
        <v>118.8</v>
      </c>
      <c r="P246" s="1" t="n">
        <v>241</v>
      </c>
      <c r="Q246" s="1" t="n">
        <v>1.15</v>
      </c>
      <c r="R246" s="10" t="n">
        <f aca="false">Q246*L246</f>
        <v>1.035</v>
      </c>
      <c r="S246" s="10" t="n">
        <f aca="false">J246-R246</f>
        <v>8.265</v>
      </c>
      <c r="T246" s="10" t="n">
        <f aca="false">MIN(122.1,(T245+S246))</f>
        <v>103.252682926829</v>
      </c>
      <c r="U246" s="1" t="n">
        <v>19</v>
      </c>
      <c r="V246" s="1" t="n">
        <v>596.1</v>
      </c>
      <c r="X246" s="1" t="n">
        <v>175744.6</v>
      </c>
      <c r="Y246" s="1" t="n">
        <f aca="false">Y245+V246</f>
        <v>1014.4</v>
      </c>
      <c r="Z246" s="1" t="n">
        <f aca="false">Y265</f>
        <v>37483.2</v>
      </c>
      <c r="AA246" s="1" t="n">
        <v>14.494674529923</v>
      </c>
    </row>
    <row r="247" customFormat="false" ht="15" hidden="false" customHeight="false" outlineLevel="0" collapsed="false">
      <c r="A247" s="44"/>
      <c r="B247" s="3"/>
      <c r="C247" s="8" t="n">
        <v>42128</v>
      </c>
      <c r="D247" s="1" t="n">
        <v>18.7</v>
      </c>
      <c r="E247" s="1" t="n">
        <v>15.2</v>
      </c>
      <c r="F247" s="1" t="n">
        <v>21.8</v>
      </c>
      <c r="G247" s="1" t="n">
        <v>2038.6</v>
      </c>
      <c r="H247" s="1" t="n">
        <f aca="false">H246+D247</f>
        <v>49.5</v>
      </c>
      <c r="I247" s="45" t="s">
        <v>31</v>
      </c>
      <c r="J247" s="1" t="n">
        <v>0.1</v>
      </c>
      <c r="K247" s="1" t="n">
        <f aca="false">K246+J247</f>
        <v>606.1</v>
      </c>
      <c r="L247" s="1" t="n">
        <v>1.1</v>
      </c>
      <c r="M247" s="1" t="n">
        <f aca="false">M246+L247</f>
        <v>302.1</v>
      </c>
      <c r="N247" s="1" t="n">
        <v>-1</v>
      </c>
      <c r="O247" s="1" t="n">
        <f aca="false">O246+N247</f>
        <v>117.8</v>
      </c>
      <c r="P247" s="1" t="n">
        <v>242</v>
      </c>
      <c r="Q247" s="1" t="n">
        <v>1.15</v>
      </c>
      <c r="R247" s="10" t="n">
        <f aca="false">Q247*L247</f>
        <v>1.265</v>
      </c>
      <c r="S247" s="10" t="n">
        <f aca="false">J247-R247</f>
        <v>-1.165</v>
      </c>
      <c r="T247" s="10" t="n">
        <f aca="false">MIN(122.1,(T246+S247))</f>
        <v>102.087682926829</v>
      </c>
      <c r="U247" s="45" t="s">
        <v>32</v>
      </c>
      <c r="V247" s="1" t="n">
        <v>520</v>
      </c>
      <c r="X247" s="1" t="n">
        <v>176264.6</v>
      </c>
      <c r="Y247" s="1" t="n">
        <f aca="false">Y246+V247</f>
        <v>1534.4</v>
      </c>
      <c r="Z247" s="45" t="s">
        <v>33</v>
      </c>
      <c r="AA247" s="1" t="n">
        <v>14.5434475394284</v>
      </c>
    </row>
    <row r="248" customFormat="false" ht="15" hidden="false" customHeight="false" outlineLevel="0" collapsed="false">
      <c r="A248" s="44"/>
      <c r="B248" s="3"/>
      <c r="C248" s="8" t="n">
        <v>42129</v>
      </c>
      <c r="D248" s="1" t="n">
        <v>17.3</v>
      </c>
      <c r="E248" s="1" t="n">
        <v>17.6</v>
      </c>
      <c r="F248" s="1" t="n">
        <v>19.3</v>
      </c>
      <c r="G248" s="1" t="n">
        <v>2055.9</v>
      </c>
      <c r="H248" s="1" t="n">
        <f aca="false">H247+D248</f>
        <v>66.8</v>
      </c>
      <c r="I248" s="1" t="n">
        <f aca="false">MAX(F245:F265)</f>
        <v>26.9</v>
      </c>
      <c r="J248" s="1" t="n">
        <v>0</v>
      </c>
      <c r="K248" s="1" t="n">
        <f aca="false">K247+J248</f>
        <v>606.1</v>
      </c>
      <c r="L248" s="1" t="n">
        <v>3</v>
      </c>
      <c r="M248" s="1" t="n">
        <f aca="false">M247+L248</f>
        <v>305.1</v>
      </c>
      <c r="N248" s="1" t="n">
        <v>-3</v>
      </c>
      <c r="O248" s="1" t="n">
        <f aca="false">O247+N248</f>
        <v>114.8</v>
      </c>
      <c r="P248" s="1" t="n">
        <v>243</v>
      </c>
      <c r="Q248" s="1" t="n">
        <v>1.15</v>
      </c>
      <c r="R248" s="10" t="n">
        <f aca="false">Q248*L248</f>
        <v>3.45</v>
      </c>
      <c r="S248" s="10" t="n">
        <f aca="false">J248-R248</f>
        <v>-3.45</v>
      </c>
      <c r="T248" s="10" t="n">
        <f aca="false">MIN(122.1,(T247+S248))</f>
        <v>98.6376829268293</v>
      </c>
      <c r="U248" s="1" t="n">
        <v>0</v>
      </c>
      <c r="V248" s="1" t="n">
        <v>1346.8</v>
      </c>
      <c r="X248" s="1" t="n">
        <v>177611.4</v>
      </c>
      <c r="Y248" s="1" t="n">
        <f aca="false">Y247+V248</f>
        <v>2881.2</v>
      </c>
      <c r="Z248" s="11" t="n">
        <f aca="false">(Z246/100)/I258</f>
        <v>1.20254090471607</v>
      </c>
      <c r="AA248" s="1" t="n">
        <v>14.591753277977</v>
      </c>
    </row>
    <row r="249" customFormat="false" ht="15" hidden="false" customHeight="false" outlineLevel="0" collapsed="false">
      <c r="A249" s="44"/>
      <c r="B249" s="3"/>
      <c r="C249" s="8" t="n">
        <v>42130</v>
      </c>
      <c r="D249" s="1" t="n">
        <v>12.7</v>
      </c>
      <c r="E249" s="1" t="n">
        <v>10.6</v>
      </c>
      <c r="F249" s="1" t="n">
        <v>15.8</v>
      </c>
      <c r="G249" s="1" t="n">
        <v>2068.6</v>
      </c>
      <c r="H249" s="1" t="n">
        <f aca="false">H248+D249</f>
        <v>79.5</v>
      </c>
      <c r="I249" s="45" t="s">
        <v>34</v>
      </c>
      <c r="J249" s="1" t="n">
        <v>0</v>
      </c>
      <c r="K249" s="1" t="n">
        <f aca="false">K248+J249</f>
        <v>606.1</v>
      </c>
      <c r="L249" s="1" t="n">
        <v>2.9</v>
      </c>
      <c r="M249" s="1" t="n">
        <f aca="false">M248+L249</f>
        <v>308</v>
      </c>
      <c r="N249" s="1" t="n">
        <v>-2.9</v>
      </c>
      <c r="O249" s="1" t="n">
        <f aca="false">O248+N249</f>
        <v>111.9</v>
      </c>
      <c r="P249" s="1" t="n">
        <v>244</v>
      </c>
      <c r="Q249" s="1" t="n">
        <v>1.15</v>
      </c>
      <c r="R249" s="10" t="n">
        <f aca="false">Q249*L249</f>
        <v>3.335</v>
      </c>
      <c r="S249" s="10" t="n">
        <f aca="false">J249-R249</f>
        <v>-3.335</v>
      </c>
      <c r="T249" s="10" t="n">
        <f aca="false">MIN(122.1,(T248+S249))</f>
        <v>95.3026829268293</v>
      </c>
      <c r="U249" s="45" t="s">
        <v>35</v>
      </c>
      <c r="V249" s="1" t="n">
        <v>1831.1</v>
      </c>
      <c r="X249" s="1" t="n">
        <v>179442.5</v>
      </c>
      <c r="Y249" s="1" t="n">
        <f aca="false">Y248+V249</f>
        <v>4712.3</v>
      </c>
      <c r="Z249" s="45" t="s">
        <v>36</v>
      </c>
      <c r="AA249" s="1" t="n">
        <v>14.6395727879261</v>
      </c>
    </row>
    <row r="250" customFormat="false" ht="15" hidden="false" customHeight="false" outlineLevel="0" collapsed="false">
      <c r="A250" s="44"/>
      <c r="B250" s="3"/>
      <c r="C250" s="8" t="n">
        <v>42131</v>
      </c>
      <c r="D250" s="1" t="n">
        <v>11.7</v>
      </c>
      <c r="E250" s="1" t="n">
        <v>6.9</v>
      </c>
      <c r="F250" s="1" t="n">
        <v>17</v>
      </c>
      <c r="G250" s="1" t="n">
        <v>2080.3</v>
      </c>
      <c r="H250" s="1" t="n">
        <f aca="false">H249+D250</f>
        <v>91.2</v>
      </c>
      <c r="I250" s="10" t="n">
        <f aca="false">AVERAGE(D245:D265)</f>
        <v>14.8428571428571</v>
      </c>
      <c r="J250" s="1" t="n">
        <v>0</v>
      </c>
      <c r="K250" s="1" t="n">
        <f aca="false">K249+J250</f>
        <v>606.1</v>
      </c>
      <c r="L250" s="1" t="n">
        <v>3.4</v>
      </c>
      <c r="M250" s="1" t="n">
        <f aca="false">M249+L250</f>
        <v>311.4</v>
      </c>
      <c r="N250" s="1" t="n">
        <v>-3.4</v>
      </c>
      <c r="O250" s="1" t="n">
        <f aca="false">O249+N250</f>
        <v>108.5</v>
      </c>
      <c r="P250" s="1" t="n">
        <v>245</v>
      </c>
      <c r="Q250" s="1" t="n">
        <v>1.15</v>
      </c>
      <c r="R250" s="10" t="n">
        <f aca="false">Q250*L250</f>
        <v>3.91</v>
      </c>
      <c r="S250" s="10" t="n">
        <f aca="false">J250-R250</f>
        <v>-3.91</v>
      </c>
      <c r="T250" s="10" t="n">
        <f aca="false">MIN(122.1,(T249+S250))</f>
        <v>91.3926829268293</v>
      </c>
      <c r="U250" s="1" t="n">
        <v>1</v>
      </c>
      <c r="V250" s="1" t="n">
        <v>2592.5</v>
      </c>
      <c r="X250" s="1" t="n">
        <v>182035</v>
      </c>
      <c r="Y250" s="1" t="n">
        <f aca="false">Y249+V250</f>
        <v>7304.8</v>
      </c>
      <c r="Z250" s="1" t="n">
        <v>3</v>
      </c>
      <c r="AA250" s="1" t="n">
        <v>14.6868866400001</v>
      </c>
    </row>
    <row r="251" customFormat="false" ht="15" hidden="false" customHeight="false" outlineLevel="0" collapsed="false">
      <c r="A251" s="44"/>
      <c r="B251" s="3"/>
      <c r="C251" s="8" t="n">
        <v>42132</v>
      </c>
      <c r="D251" s="1" t="n">
        <v>12.4</v>
      </c>
      <c r="E251" s="1" t="n">
        <v>6.6</v>
      </c>
      <c r="F251" s="1" t="n">
        <v>16.5</v>
      </c>
      <c r="G251" s="1" t="n">
        <v>2092.7</v>
      </c>
      <c r="H251" s="1" t="n">
        <f aca="false">H250+D251</f>
        <v>103.6</v>
      </c>
      <c r="I251" s="45" t="s">
        <v>37</v>
      </c>
      <c r="J251" s="1" t="n">
        <v>1.9</v>
      </c>
      <c r="K251" s="1" t="n">
        <f aca="false">K250+J251</f>
        <v>608</v>
      </c>
      <c r="L251" s="1" t="n">
        <v>1.7</v>
      </c>
      <c r="M251" s="1" t="n">
        <f aca="false">M250+L251</f>
        <v>313.1</v>
      </c>
      <c r="N251" s="1" t="n">
        <v>0.2</v>
      </c>
      <c r="O251" s="1" t="n">
        <f aca="false">O250+N251</f>
        <v>108.7</v>
      </c>
      <c r="P251" s="1" t="n">
        <v>246</v>
      </c>
      <c r="Q251" s="1" t="n">
        <v>1.15</v>
      </c>
      <c r="R251" s="10" t="n">
        <f aca="false">Q251*L251</f>
        <v>1.955</v>
      </c>
      <c r="S251" s="10" t="n">
        <f aca="false">J251-R251</f>
        <v>-0.0549999999999999</v>
      </c>
      <c r="T251" s="10" t="n">
        <f aca="false">MIN(122.1,(T250+S251))</f>
        <v>91.3376829268293</v>
      </c>
      <c r="U251" s="45" t="s">
        <v>38</v>
      </c>
      <c r="V251" s="1" t="n">
        <v>1482.2</v>
      </c>
      <c r="X251" s="1" t="n">
        <v>183517.2</v>
      </c>
      <c r="Y251" s="1" t="n">
        <f aca="false">Y250+V251</f>
        <v>8787</v>
      </c>
      <c r="AA251" s="1" t="n">
        <v>14.733674940967</v>
      </c>
    </row>
    <row r="252" customFormat="false" ht="15" hidden="false" customHeight="false" outlineLevel="0" collapsed="false">
      <c r="A252" s="44"/>
      <c r="B252" s="3"/>
      <c r="C252" s="8" t="n">
        <v>42133</v>
      </c>
      <c r="D252" s="1" t="n">
        <v>14.6</v>
      </c>
      <c r="E252" s="1" t="n">
        <v>12.3</v>
      </c>
      <c r="F252" s="1" t="n">
        <v>18.7</v>
      </c>
      <c r="G252" s="1" t="n">
        <v>2107.3</v>
      </c>
      <c r="H252" s="1" t="n">
        <f aca="false">H251+D252</f>
        <v>118.2</v>
      </c>
      <c r="I252" s="1" t="n">
        <v>0</v>
      </c>
      <c r="J252" s="1" t="n">
        <v>0</v>
      </c>
      <c r="K252" s="1" t="n">
        <f aca="false">K251+J252</f>
        <v>608</v>
      </c>
      <c r="L252" s="1" t="n">
        <v>1.8</v>
      </c>
      <c r="M252" s="1" t="n">
        <f aca="false">M251+L252</f>
        <v>314.9</v>
      </c>
      <c r="N252" s="1" t="n">
        <v>-1.8</v>
      </c>
      <c r="O252" s="1" t="n">
        <f aca="false">O251+N252</f>
        <v>106.9</v>
      </c>
      <c r="P252" s="1" t="n">
        <v>247</v>
      </c>
      <c r="Q252" s="1" t="n">
        <v>1.15</v>
      </c>
      <c r="R252" s="10" t="n">
        <f aca="false">Q252*L252</f>
        <v>2.07</v>
      </c>
      <c r="S252" s="10" t="n">
        <f aca="false">J252-R252</f>
        <v>-2.07</v>
      </c>
      <c r="T252" s="10" t="n">
        <f aca="false">MIN(122.1,(T251+S252))</f>
        <v>89.2676829268293</v>
      </c>
      <c r="U252" s="10" t="n">
        <v>39.2</v>
      </c>
      <c r="V252" s="1" t="n">
        <v>1145.4</v>
      </c>
      <c r="X252" s="1" t="n">
        <v>184662.6</v>
      </c>
      <c r="Y252" s="1" t="n">
        <f aca="false">Y251+V252</f>
        <v>9932.4</v>
      </c>
      <c r="AA252" s="1" t="n">
        <v>14.7799173432285</v>
      </c>
    </row>
    <row r="253" customFormat="false" ht="15" hidden="false" customHeight="false" outlineLevel="0" collapsed="false">
      <c r="A253" s="44"/>
      <c r="B253" s="3"/>
      <c r="C253" s="8" t="n">
        <v>42134</v>
      </c>
      <c r="D253" s="1" t="n">
        <v>15.4</v>
      </c>
      <c r="E253" s="1" t="n">
        <v>8.2</v>
      </c>
      <c r="F253" s="1" t="n">
        <v>21.5</v>
      </c>
      <c r="G253" s="1" t="n">
        <v>2122.7</v>
      </c>
      <c r="H253" s="1" t="n">
        <f aca="false">H252+D253</f>
        <v>133.6</v>
      </c>
      <c r="I253" s="45" t="s">
        <v>39</v>
      </c>
      <c r="J253" s="1" t="n">
        <v>0</v>
      </c>
      <c r="K253" s="1" t="n">
        <f aca="false">K252+J253</f>
        <v>608</v>
      </c>
      <c r="L253" s="1" t="n">
        <v>3.8</v>
      </c>
      <c r="M253" s="1" t="n">
        <f aca="false">M252+L253</f>
        <v>318.7</v>
      </c>
      <c r="N253" s="1" t="n">
        <v>-3.8</v>
      </c>
      <c r="O253" s="1" t="n">
        <f aca="false">O252+N253</f>
        <v>103.1</v>
      </c>
      <c r="P253" s="1" t="n">
        <v>248</v>
      </c>
      <c r="Q253" s="1" t="n">
        <v>1.15</v>
      </c>
      <c r="R253" s="10" t="n">
        <f aca="false">Q253*L253</f>
        <v>4.37</v>
      </c>
      <c r="S253" s="10" t="n">
        <f aca="false">J253-R253</f>
        <v>-4.37</v>
      </c>
      <c r="T253" s="10" t="n">
        <f aca="false">MIN(122.1,(T252+S253))</f>
        <v>84.8976829268293</v>
      </c>
      <c r="U253" s="45" t="s">
        <v>40</v>
      </c>
      <c r="V253" s="1" t="n">
        <v>2596.1</v>
      </c>
      <c r="X253" s="1" t="n">
        <v>187258.7</v>
      </c>
      <c r="Y253" s="1" t="n">
        <f aca="false">Y252+V253</f>
        <v>12528.5</v>
      </c>
      <c r="AA253" s="1" t="n">
        <v>14.8255930564125</v>
      </c>
    </row>
    <row r="254" customFormat="false" ht="15" hidden="false" customHeight="false" outlineLevel="0" collapsed="false">
      <c r="A254" s="44"/>
      <c r="B254" s="3"/>
      <c r="C254" s="8" t="n">
        <v>42135</v>
      </c>
      <c r="D254" s="1" t="n">
        <v>17.2</v>
      </c>
      <c r="E254" s="1" t="n">
        <v>9.6</v>
      </c>
      <c r="F254" s="1" t="n">
        <v>25.2</v>
      </c>
      <c r="G254" s="42" t="n">
        <v>2139.9</v>
      </c>
      <c r="H254" s="1" t="n">
        <f aca="false">H253+D254</f>
        <v>150.8</v>
      </c>
      <c r="I254" s="1" t="n">
        <v>3</v>
      </c>
      <c r="J254" s="1" t="n">
        <v>0</v>
      </c>
      <c r="K254" s="1" t="n">
        <f aca="false">K253+J254</f>
        <v>608</v>
      </c>
      <c r="L254" s="1" t="n">
        <v>4.4</v>
      </c>
      <c r="M254" s="1" t="n">
        <f aca="false">M253+L254</f>
        <v>323.1</v>
      </c>
      <c r="N254" s="1" t="n">
        <v>-4.4</v>
      </c>
      <c r="O254" s="1" t="n">
        <f aca="false">O253+N254</f>
        <v>98.7</v>
      </c>
      <c r="P254" s="1" t="n">
        <v>249</v>
      </c>
      <c r="Q254" s="1" t="n">
        <v>1.15</v>
      </c>
      <c r="R254" s="10" t="n">
        <f aca="false">Q254*L254</f>
        <v>5.06</v>
      </c>
      <c r="S254" s="10" t="n">
        <f aca="false">J254-R254</f>
        <v>-5.06</v>
      </c>
      <c r="T254" s="10" t="n">
        <f aca="false">MIN(122.1,(T253+S254))</f>
        <v>79.8376829268293</v>
      </c>
      <c r="U254" s="10" t="n">
        <f aca="false">MAX(T245:T265)</f>
        <v>103.252682926829</v>
      </c>
      <c r="V254" s="1" t="n">
        <v>2730.2</v>
      </c>
      <c r="W254" s="1"/>
      <c r="X254" s="42" t="n">
        <v>189988.9</v>
      </c>
      <c r="Y254" s="1" t="n">
        <f aca="false">Y253+V254</f>
        <v>15258.7</v>
      </c>
      <c r="Z254" s="42"/>
      <c r="AA254" s="1" t="n">
        <v>14.8706808610575</v>
      </c>
    </row>
    <row r="255" customFormat="false" ht="15" hidden="false" customHeight="true" outlineLevel="0" collapsed="false">
      <c r="A255" s="44"/>
      <c r="B255" s="3"/>
      <c r="C255" s="8" t="n">
        <v>42136</v>
      </c>
      <c r="D255" s="1" t="n">
        <v>19.7</v>
      </c>
      <c r="E255" s="1" t="n">
        <v>12.3</v>
      </c>
      <c r="F255" s="1" t="n">
        <v>26.9</v>
      </c>
      <c r="G255" s="1" t="n">
        <v>2159.6</v>
      </c>
      <c r="H255" s="1" t="n">
        <f aca="false">H254+D255</f>
        <v>170.5</v>
      </c>
      <c r="I255" s="45" t="s">
        <v>41</v>
      </c>
      <c r="J255" s="1" t="n">
        <v>0</v>
      </c>
      <c r="K255" s="1" t="n">
        <f aca="false">K254+J255</f>
        <v>608</v>
      </c>
      <c r="L255" s="1" t="n">
        <v>4.9</v>
      </c>
      <c r="M255" s="1" t="n">
        <f aca="false">M254+L255</f>
        <v>328</v>
      </c>
      <c r="N255" s="1" t="n">
        <v>-4.9</v>
      </c>
      <c r="O255" s="1" t="n">
        <f aca="false">O254+N255</f>
        <v>93.8</v>
      </c>
      <c r="P255" s="1" t="n">
        <v>250</v>
      </c>
      <c r="Q255" s="1" t="n">
        <v>1.15</v>
      </c>
      <c r="R255" s="10" t="n">
        <f aca="false">Q255*L255</f>
        <v>5.635</v>
      </c>
      <c r="S255" s="10" t="n">
        <f aca="false">J255-R255</f>
        <v>-5.635</v>
      </c>
      <c r="T255" s="10" t="n">
        <f aca="false">MIN(122.1,(T254+S255))</f>
        <v>74.2026829268293</v>
      </c>
      <c r="U255" s="45" t="s">
        <v>42</v>
      </c>
      <c r="V255" s="1" t="n">
        <v>2602</v>
      </c>
      <c r="X255" s="1" t="n">
        <v>192590.9</v>
      </c>
      <c r="Y255" s="1" t="n">
        <f aca="false">Y254+V255</f>
        <v>17860.7</v>
      </c>
      <c r="AA255" s="1" t="n">
        <v>14.9151591244712</v>
      </c>
    </row>
    <row r="256" customFormat="false" ht="15" hidden="false" customHeight="false" outlineLevel="0" collapsed="false">
      <c r="A256" s="44"/>
      <c r="B256" s="3"/>
      <c r="C256" s="8" t="n">
        <v>42137</v>
      </c>
      <c r="D256" s="1" t="n">
        <v>20</v>
      </c>
      <c r="E256" s="1" t="n">
        <v>13.2</v>
      </c>
      <c r="F256" s="1" t="n">
        <v>25.7</v>
      </c>
      <c r="G256" s="1" t="n">
        <v>2179.6</v>
      </c>
      <c r="H256" s="1" t="n">
        <f aca="false">H255+D256</f>
        <v>190.5</v>
      </c>
      <c r="I256" s="1" t="n">
        <v>0</v>
      </c>
      <c r="J256" s="1" t="n">
        <v>0</v>
      </c>
      <c r="K256" s="1" t="n">
        <f aca="false">K255+J256</f>
        <v>608</v>
      </c>
      <c r="L256" s="1" t="n">
        <v>4.7</v>
      </c>
      <c r="M256" s="1" t="n">
        <f aca="false">M255+L256</f>
        <v>332.7</v>
      </c>
      <c r="N256" s="1" t="n">
        <v>-4.7</v>
      </c>
      <c r="O256" s="1" t="n">
        <f aca="false">O255+N256</f>
        <v>89.1</v>
      </c>
      <c r="P256" s="1" t="n">
        <v>251</v>
      </c>
      <c r="Q256" s="1" t="n">
        <v>1.15</v>
      </c>
      <c r="R256" s="10" t="n">
        <f aca="false">Q256*L256</f>
        <v>5.405</v>
      </c>
      <c r="S256" s="10" t="n">
        <f aca="false">J256-R256</f>
        <v>-5.405</v>
      </c>
      <c r="T256" s="10" t="n">
        <f aca="false">MIN(122.1,(T255+S256))</f>
        <v>68.7976829268293</v>
      </c>
      <c r="U256" s="11" t="n">
        <f aca="false">AVERAGE(T245:T265)</f>
        <v>74.3426829268293</v>
      </c>
      <c r="V256" s="1" t="n">
        <v>2421.6</v>
      </c>
      <c r="X256" s="1" t="n">
        <v>195012.5</v>
      </c>
      <c r="Y256" s="1" t="n">
        <f aca="false">Y255+V256</f>
        <v>20282.3</v>
      </c>
      <c r="AA256" s="1" t="n">
        <v>14.959005818845</v>
      </c>
    </row>
    <row r="257" customFormat="false" ht="15" hidden="false" customHeight="false" outlineLevel="0" collapsed="false">
      <c r="A257" s="44"/>
      <c r="B257" s="3"/>
      <c r="C257" s="8" t="n">
        <v>42138</v>
      </c>
      <c r="D257" s="1" t="n">
        <v>15</v>
      </c>
      <c r="E257" s="1" t="n">
        <v>13.1</v>
      </c>
      <c r="F257" s="1" t="n">
        <v>20</v>
      </c>
      <c r="G257" s="1" t="n">
        <v>2194.6</v>
      </c>
      <c r="H257" s="1" t="n">
        <f aca="false">H256+D257</f>
        <v>205.5</v>
      </c>
      <c r="I257" s="45" t="s">
        <v>43</v>
      </c>
      <c r="J257" s="1" t="n">
        <v>1.2</v>
      </c>
      <c r="K257" s="1" t="n">
        <f aca="false">K256+J257</f>
        <v>609.2</v>
      </c>
      <c r="L257" s="1" t="n">
        <v>3.1</v>
      </c>
      <c r="M257" s="1" t="n">
        <f aca="false">M256+L257</f>
        <v>335.8</v>
      </c>
      <c r="N257" s="1" t="n">
        <v>-1.9</v>
      </c>
      <c r="O257" s="1" t="n">
        <f aca="false">O256+N257</f>
        <v>87.2</v>
      </c>
      <c r="P257" s="1" t="n">
        <v>252</v>
      </c>
      <c r="Q257" s="1" t="n">
        <v>1.15</v>
      </c>
      <c r="R257" s="10" t="n">
        <f aca="false">Q257*L257</f>
        <v>3.565</v>
      </c>
      <c r="S257" s="10" t="n">
        <f aca="false">J257-R257</f>
        <v>-2.365</v>
      </c>
      <c r="T257" s="10" t="n">
        <f aca="false">MIN(122.1,(T256+S257))</f>
        <v>66.4326829268293</v>
      </c>
      <c r="V257" s="1" t="n">
        <v>1498.2</v>
      </c>
      <c r="X257" s="1" t="n">
        <v>196510.7</v>
      </c>
      <c r="Y257" s="1" t="n">
        <f aca="false">Y256+V257</f>
        <v>21780.5</v>
      </c>
      <c r="AA257" s="1" t="n">
        <v>15.0021985416956</v>
      </c>
    </row>
    <row r="258" customFormat="false" ht="15" hidden="false" customHeight="false" outlineLevel="0" collapsed="false">
      <c r="A258" s="44"/>
      <c r="B258" s="3"/>
      <c r="C258" s="8" t="n">
        <v>42139</v>
      </c>
      <c r="D258" s="1" t="n">
        <v>10.8</v>
      </c>
      <c r="E258" s="1" t="n">
        <v>9.3</v>
      </c>
      <c r="F258" s="1" t="n">
        <v>12.2</v>
      </c>
      <c r="G258" s="1" t="n">
        <v>2205.4</v>
      </c>
      <c r="H258" s="1" t="n">
        <f aca="false">H257+D258</f>
        <v>216.3</v>
      </c>
      <c r="I258" s="1" t="n">
        <v>311.7</v>
      </c>
      <c r="J258" s="1" t="n">
        <v>1.5</v>
      </c>
      <c r="K258" s="1" t="n">
        <f aca="false">K257+J258</f>
        <v>610.7</v>
      </c>
      <c r="L258" s="1" t="n">
        <v>2.6</v>
      </c>
      <c r="M258" s="1" t="n">
        <f aca="false">M257+L258</f>
        <v>338.4</v>
      </c>
      <c r="N258" s="1" t="n">
        <v>-1.1</v>
      </c>
      <c r="O258" s="1" t="n">
        <f aca="false">O257+N258</f>
        <v>86.1</v>
      </c>
      <c r="P258" s="1" t="n">
        <v>253</v>
      </c>
      <c r="Q258" s="1" t="n">
        <v>1.15</v>
      </c>
      <c r="R258" s="10" t="n">
        <f aca="false">Q258*L258</f>
        <v>2.99</v>
      </c>
      <c r="S258" s="10" t="n">
        <f aca="false">J258-R258</f>
        <v>-1.49</v>
      </c>
      <c r="T258" s="10" t="n">
        <f aca="false">MIN(122.1,(T257+S258))</f>
        <v>64.9426829268293</v>
      </c>
      <c r="U258" s="1" t="n">
        <f aca="false">(U256*100)/122.1</f>
        <v>60.8867182037914</v>
      </c>
      <c r="V258" s="1" t="n">
        <v>1646.6</v>
      </c>
      <c r="X258" s="1" t="n">
        <v>198157.3</v>
      </c>
      <c r="Y258" s="1" t="n">
        <f aca="false">Y257+V258</f>
        <v>23427.1</v>
      </c>
      <c r="AA258" s="1" t="n">
        <v>15.0447145387021</v>
      </c>
    </row>
    <row r="259" customFormat="false" ht="15" hidden="false" customHeight="false" outlineLevel="0" collapsed="false">
      <c r="A259" s="44"/>
      <c r="B259" s="3"/>
      <c r="C259" s="8" t="n">
        <v>42140</v>
      </c>
      <c r="D259" s="1" t="n">
        <v>14.6</v>
      </c>
      <c r="E259" s="1" t="n">
        <v>9.8</v>
      </c>
      <c r="F259" s="1" t="n">
        <v>19</v>
      </c>
      <c r="G259" s="1" t="n">
        <v>2220</v>
      </c>
      <c r="H259" s="1" t="n">
        <f aca="false">H258+D259</f>
        <v>230.9</v>
      </c>
      <c r="J259" s="1" t="n">
        <v>0</v>
      </c>
      <c r="K259" s="1" t="n">
        <f aca="false">K258+J259</f>
        <v>610.7</v>
      </c>
      <c r="L259" s="1" t="n">
        <v>2.8</v>
      </c>
      <c r="M259" s="1" t="n">
        <f aca="false">M258+L259</f>
        <v>341.2</v>
      </c>
      <c r="N259" s="1" t="n">
        <v>-2.8</v>
      </c>
      <c r="O259" s="1" t="n">
        <f aca="false">O258+N259</f>
        <v>83.3</v>
      </c>
      <c r="P259" s="1" t="n">
        <v>254</v>
      </c>
      <c r="Q259" s="1" t="n">
        <v>1.15</v>
      </c>
      <c r="R259" s="10" t="n">
        <f aca="false">Q259*L259</f>
        <v>3.22</v>
      </c>
      <c r="S259" s="10" t="n">
        <f aca="false">J259-R259</f>
        <v>-3.22</v>
      </c>
      <c r="T259" s="10" t="n">
        <f aca="false">MIN(122.1,(T258+S259))</f>
        <v>61.7226829268293</v>
      </c>
      <c r="V259" s="1" t="n">
        <v>1535.7</v>
      </c>
      <c r="X259" s="1" t="n">
        <v>199693</v>
      </c>
      <c r="Y259" s="1" t="n">
        <f aca="false">Y258+V259</f>
        <v>24962.8</v>
      </c>
      <c r="AA259" s="1" t="n">
        <v>15.0865307289948</v>
      </c>
    </row>
    <row r="260" customFormat="false" ht="15" hidden="false" customHeight="false" outlineLevel="0" collapsed="false">
      <c r="A260" s="44"/>
      <c r="B260" s="3"/>
      <c r="C260" s="8" t="n">
        <v>42141</v>
      </c>
      <c r="D260" s="1" t="n">
        <v>15.4</v>
      </c>
      <c r="E260" s="1" t="n">
        <v>12.9</v>
      </c>
      <c r="F260" s="1" t="n">
        <v>19.4</v>
      </c>
      <c r="G260" s="1" t="n">
        <v>2235.4</v>
      </c>
      <c r="H260" s="1" t="n">
        <f aca="false">H259+D260</f>
        <v>246.3</v>
      </c>
      <c r="J260" s="1" t="n">
        <v>0</v>
      </c>
      <c r="K260" s="1" t="n">
        <f aca="false">K259+J260</f>
        <v>610.7</v>
      </c>
      <c r="L260" s="1" t="n">
        <v>3.2</v>
      </c>
      <c r="M260" s="1" t="n">
        <f aca="false">M259+L260</f>
        <v>344.4</v>
      </c>
      <c r="N260" s="1" t="n">
        <v>-3.2</v>
      </c>
      <c r="O260" s="1" t="n">
        <f aca="false">O259+N260</f>
        <v>80.1</v>
      </c>
      <c r="P260" s="1" t="n">
        <v>255</v>
      </c>
      <c r="Q260" s="1" t="n">
        <v>1.15</v>
      </c>
      <c r="R260" s="10" t="n">
        <f aca="false">Q260*L260</f>
        <v>3.68</v>
      </c>
      <c r="S260" s="10" t="n">
        <f aca="false">J260-R260</f>
        <v>-3.68</v>
      </c>
      <c r="T260" s="10" t="n">
        <f aca="false">MIN(122.1,(T259+S260))</f>
        <v>58.0426829268293</v>
      </c>
      <c r="V260" s="1" t="n">
        <v>2017.6</v>
      </c>
      <c r="X260" s="1" t="n">
        <v>201710.6</v>
      </c>
      <c r="Y260" s="1" t="n">
        <f aca="false">Y259+V260</f>
        <v>26980.4</v>
      </c>
      <c r="AA260" s="1" t="n">
        <v>15.1276237329453</v>
      </c>
    </row>
    <row r="261" customFormat="false" ht="15" hidden="false" customHeight="false" outlineLevel="0" collapsed="false">
      <c r="A261" s="44"/>
      <c r="B261" s="3"/>
      <c r="C261" s="8" t="n">
        <v>42142</v>
      </c>
      <c r="D261" s="1" t="n">
        <v>15.6</v>
      </c>
      <c r="E261" s="1" t="n">
        <v>8.3</v>
      </c>
      <c r="F261" s="1" t="n">
        <v>22.3</v>
      </c>
      <c r="G261" s="1" t="n">
        <v>2251</v>
      </c>
      <c r="H261" s="1" t="n">
        <f aca="false">H260+D261</f>
        <v>261.9</v>
      </c>
      <c r="J261" s="1" t="n">
        <v>0</v>
      </c>
      <c r="K261" s="1" t="n">
        <f aca="false">K260+J261</f>
        <v>610.7</v>
      </c>
      <c r="L261" s="1" t="n">
        <v>4.7</v>
      </c>
      <c r="M261" s="1" t="n">
        <f aca="false">M260+L261</f>
        <v>349.1</v>
      </c>
      <c r="N261" s="1" t="n">
        <v>-4.7</v>
      </c>
      <c r="O261" s="1" t="n">
        <f aca="false">O260+N261</f>
        <v>75.4</v>
      </c>
      <c r="P261" s="1" t="n">
        <v>256</v>
      </c>
      <c r="Q261" s="1" t="n">
        <v>1.15</v>
      </c>
      <c r="R261" s="10" t="n">
        <f aca="false">Q261*L261</f>
        <v>5.405</v>
      </c>
      <c r="S261" s="10" t="n">
        <f aca="false">J261-R261</f>
        <v>-5.405</v>
      </c>
      <c r="T261" s="10" t="n">
        <f aca="false">MIN(122.1,(T260+S261))</f>
        <v>52.6376829268293</v>
      </c>
      <c r="V261" s="1" t="n">
        <v>2668.7</v>
      </c>
      <c r="X261" s="1" t="n">
        <v>204379.3</v>
      </c>
      <c r="Y261" s="1" t="n">
        <f aca="false">Y260+V261</f>
        <v>29649.1</v>
      </c>
      <c r="AA261" s="1" t="n">
        <v>15.167969902495</v>
      </c>
    </row>
    <row r="262" customFormat="false" ht="15" hidden="false" customHeight="false" outlineLevel="0" collapsed="false">
      <c r="A262" s="44"/>
      <c r="B262" s="3"/>
      <c r="C262" s="8" t="n">
        <v>42143</v>
      </c>
      <c r="D262" s="1" t="n">
        <v>13.1</v>
      </c>
      <c r="E262" s="1" t="n">
        <v>10.3</v>
      </c>
      <c r="F262" s="1" t="n">
        <v>17.1</v>
      </c>
      <c r="G262" s="1" t="n">
        <v>2264.1</v>
      </c>
      <c r="H262" s="1" t="n">
        <f aca="false">H261+D262</f>
        <v>275</v>
      </c>
      <c r="J262" s="1" t="n">
        <v>1.4</v>
      </c>
      <c r="K262" s="1" t="n">
        <f aca="false">K261+J262</f>
        <v>612.1</v>
      </c>
      <c r="L262" s="1" t="n">
        <v>3</v>
      </c>
      <c r="M262" s="1" t="n">
        <f aca="false">M261+L262</f>
        <v>352.1</v>
      </c>
      <c r="N262" s="1" t="n">
        <v>-1.6</v>
      </c>
      <c r="O262" s="1" t="n">
        <f aca="false">O261+N262</f>
        <v>73.8</v>
      </c>
      <c r="P262" s="1" t="n">
        <v>257</v>
      </c>
      <c r="Q262" s="1" t="n">
        <v>1.15</v>
      </c>
      <c r="R262" s="10" t="n">
        <f aca="false">Q262*L262</f>
        <v>3.45</v>
      </c>
      <c r="S262" s="10" t="n">
        <f aca="false">J262-R262</f>
        <v>-2.05</v>
      </c>
      <c r="T262" s="10" t="n">
        <f aca="false">MIN(122.1,(T261+S262))</f>
        <v>50.5876829268293</v>
      </c>
      <c r="V262" s="1" t="n">
        <v>1468.3</v>
      </c>
      <c r="X262" s="1" t="n">
        <v>205847.6</v>
      </c>
      <c r="Y262" s="1" t="n">
        <f aca="false">Y261+V262</f>
        <v>31117.4</v>
      </c>
      <c r="AA262" s="1" t="n">
        <v>15.2075453540461</v>
      </c>
    </row>
    <row r="263" customFormat="false" ht="15" hidden="false" customHeight="false" outlineLevel="0" collapsed="false">
      <c r="A263" s="44"/>
      <c r="B263" s="3"/>
      <c r="C263" s="8" t="n">
        <v>42144</v>
      </c>
      <c r="D263" s="1" t="n">
        <v>10.6</v>
      </c>
      <c r="E263" s="1" t="n">
        <v>8.8</v>
      </c>
      <c r="F263" s="1" t="n">
        <v>14.6</v>
      </c>
      <c r="G263" s="1" t="n">
        <v>2274.7</v>
      </c>
      <c r="H263" s="1" t="n">
        <f aca="false">H262+D263</f>
        <v>285.6</v>
      </c>
      <c r="J263" s="1" t="n">
        <v>1.7</v>
      </c>
      <c r="K263" s="1" t="n">
        <f aca="false">K262+J263</f>
        <v>613.8</v>
      </c>
      <c r="L263" s="1" t="n">
        <v>2.9</v>
      </c>
      <c r="M263" s="1" t="n">
        <f aca="false">M262+L263</f>
        <v>355</v>
      </c>
      <c r="N263" s="1" t="n">
        <v>-1.2</v>
      </c>
      <c r="O263" s="1" t="n">
        <f aca="false">O262+N263</f>
        <v>72.6</v>
      </c>
      <c r="P263" s="1" t="n">
        <v>258</v>
      </c>
      <c r="Q263" s="1" t="n">
        <v>1.15</v>
      </c>
      <c r="R263" s="10" t="n">
        <f aca="false">Q263*L263</f>
        <v>3.335</v>
      </c>
      <c r="S263" s="10" t="n">
        <f aca="false">J263-R263</f>
        <v>-1.635</v>
      </c>
      <c r="T263" s="10" t="n">
        <f aca="false">MIN(122.1,(T262+S263))</f>
        <v>48.9526829268293</v>
      </c>
      <c r="V263" s="1" t="n">
        <v>1666.5</v>
      </c>
      <c r="X263" s="1" t="n">
        <v>207514.1</v>
      </c>
      <c r="Y263" s="1" t="n">
        <f aca="false">Y262+V263</f>
        <v>32783.9</v>
      </c>
      <c r="AA263" s="1" t="n">
        <v>15.2463260039273</v>
      </c>
    </row>
    <row r="264" customFormat="false" ht="15" hidden="false" customHeight="false" outlineLevel="0" collapsed="false">
      <c r="A264" s="44"/>
      <c r="B264" s="3"/>
      <c r="C264" s="8" t="n">
        <v>42145</v>
      </c>
      <c r="D264" s="1" t="n">
        <v>11.7</v>
      </c>
      <c r="E264" s="1" t="n">
        <v>5.6</v>
      </c>
      <c r="F264" s="1" t="n">
        <v>16.7</v>
      </c>
      <c r="G264" s="1" t="n">
        <v>2286.4</v>
      </c>
      <c r="H264" s="1" t="n">
        <f aca="false">H263+D264</f>
        <v>297.3</v>
      </c>
      <c r="J264" s="1" t="n">
        <v>0</v>
      </c>
      <c r="K264" s="1" t="n">
        <f aca="false">K263+J264</f>
        <v>613.8</v>
      </c>
      <c r="L264" s="1" t="n">
        <v>3.7</v>
      </c>
      <c r="M264" s="1" t="n">
        <f aca="false">M263+L264</f>
        <v>358.7</v>
      </c>
      <c r="N264" s="1" t="n">
        <v>-3.7</v>
      </c>
      <c r="O264" s="1" t="n">
        <f aca="false">O263+N264</f>
        <v>68.9</v>
      </c>
      <c r="P264" s="1" t="n">
        <v>259</v>
      </c>
      <c r="Q264" s="1" t="n">
        <v>1.15</v>
      </c>
      <c r="R264" s="10" t="n">
        <f aca="false">Q264*L264</f>
        <v>4.255</v>
      </c>
      <c r="S264" s="10" t="n">
        <f aca="false">J264-R264</f>
        <v>-4.255</v>
      </c>
      <c r="T264" s="10" t="n">
        <f aca="false">MIN(122.1,(T263+S264))</f>
        <v>44.6976829268293</v>
      </c>
      <c r="V264" s="1" t="n">
        <v>2157.9</v>
      </c>
      <c r="X264" s="1" t="n">
        <v>209672</v>
      </c>
      <c r="Y264" s="1" t="n">
        <f aca="false">Y263+V264</f>
        <v>34941.8</v>
      </c>
      <c r="AA264" s="1" t="n">
        <v>15.2842876064292</v>
      </c>
    </row>
    <row r="265" s="31" customFormat="true" ht="15" hidden="false" customHeight="false" outlineLevel="0" collapsed="false">
      <c r="A265" s="44"/>
      <c r="B265" s="29" t="n">
        <v>300</v>
      </c>
      <c r="C265" s="30" t="n">
        <v>42146</v>
      </c>
      <c r="D265" s="31" t="n">
        <v>14.4</v>
      </c>
      <c r="E265" s="31" t="n">
        <v>7.9</v>
      </c>
      <c r="F265" s="31" t="n">
        <v>19.8</v>
      </c>
      <c r="G265" s="31" t="n">
        <v>2300.8</v>
      </c>
      <c r="H265" s="31" t="n">
        <f aca="false">H264+D265</f>
        <v>311.7</v>
      </c>
      <c r="J265" s="31" t="n">
        <v>0</v>
      </c>
      <c r="K265" s="31" t="n">
        <f aca="false">K264+J265</f>
        <v>613.8</v>
      </c>
      <c r="L265" s="31" t="n">
        <v>4.8</v>
      </c>
      <c r="M265" s="31" t="n">
        <f aca="false">M264+L265</f>
        <v>363.5</v>
      </c>
      <c r="N265" s="31" t="n">
        <v>-4.8</v>
      </c>
      <c r="O265" s="31" t="n">
        <f aca="false">O264+N265</f>
        <v>64.1</v>
      </c>
      <c r="P265" s="31" t="n">
        <v>260</v>
      </c>
      <c r="Q265" s="33" t="n">
        <v>1.15</v>
      </c>
      <c r="R265" s="34" t="n">
        <f aca="false">Q265*L265</f>
        <v>5.52</v>
      </c>
      <c r="S265" s="34" t="n">
        <f aca="false">J265-R265</f>
        <v>-5.52</v>
      </c>
      <c r="T265" s="46" t="n">
        <f aca="false">MIN(122.1,(T264+S265))</f>
        <v>39.1776829268293</v>
      </c>
      <c r="V265" s="31" t="n">
        <v>2541.4</v>
      </c>
      <c r="X265" s="31" t="n">
        <v>212213.4</v>
      </c>
      <c r="Y265" s="33" t="n">
        <f aca="false">Y264+V265</f>
        <v>37483.2</v>
      </c>
      <c r="AA265" s="33" t="n">
        <v>15.321405794389</v>
      </c>
    </row>
    <row r="266" customFormat="false" ht="15" hidden="false" customHeight="false" outlineLevel="0" collapsed="false">
      <c r="A266" s="47" t="n">
        <v>600</v>
      </c>
      <c r="B266" s="3"/>
      <c r="C266" s="8" t="n">
        <v>42147</v>
      </c>
      <c r="D266" s="1" t="n">
        <v>15.9</v>
      </c>
      <c r="E266" s="1" t="n">
        <v>11.1</v>
      </c>
      <c r="F266" s="1" t="n">
        <v>20.8</v>
      </c>
      <c r="G266" s="1" t="n">
        <v>2316.7</v>
      </c>
      <c r="H266" s="1" t="n">
        <v>15.9</v>
      </c>
      <c r="I266" s="48" t="s">
        <v>28</v>
      </c>
      <c r="J266" s="1" t="n">
        <v>0</v>
      </c>
      <c r="K266" s="1" t="n">
        <f aca="false">K265+J266</f>
        <v>613.8</v>
      </c>
      <c r="L266" s="1" t="n">
        <v>4.6</v>
      </c>
      <c r="M266" s="1" t="n">
        <f aca="false">M265+L266</f>
        <v>368.1</v>
      </c>
      <c r="N266" s="1" t="n">
        <v>-4.6</v>
      </c>
      <c r="O266" s="1" t="n">
        <f aca="false">O265+N266</f>
        <v>59.5</v>
      </c>
      <c r="P266" s="1" t="n">
        <v>261</v>
      </c>
      <c r="Q266" s="11" t="n">
        <f aca="false">1.15+((P266-260)/48)*(0.35-1.15)</f>
        <v>1.13333333333333</v>
      </c>
      <c r="R266" s="10" t="n">
        <f aca="false">Q266*L266</f>
        <v>5.21333333333333</v>
      </c>
      <c r="S266" s="10" t="n">
        <f aca="false">J266-R266</f>
        <v>-5.21333333333333</v>
      </c>
      <c r="T266" s="10" t="n">
        <f aca="false">MIN(122.1,(T265+S266))</f>
        <v>33.9643495934959</v>
      </c>
      <c r="U266" s="48" t="s">
        <v>29</v>
      </c>
      <c r="V266" s="1" t="n">
        <v>2003.4</v>
      </c>
      <c r="X266" s="1" t="n">
        <v>214216.8</v>
      </c>
      <c r="Y266" s="1" t="n">
        <v>2003.4</v>
      </c>
      <c r="Z266" s="48" t="s">
        <v>30</v>
      </c>
      <c r="AA266" s="1" t="n">
        <v>15.3576561222857</v>
      </c>
    </row>
    <row r="267" customFormat="false" ht="15" hidden="false" customHeight="false" outlineLevel="0" collapsed="false">
      <c r="A267" s="47"/>
      <c r="B267" s="3"/>
      <c r="C267" s="8" t="n">
        <v>42148</v>
      </c>
      <c r="D267" s="1" t="n">
        <v>16.5</v>
      </c>
      <c r="E267" s="1" t="n">
        <v>11.2</v>
      </c>
      <c r="F267" s="1" t="n">
        <v>22</v>
      </c>
      <c r="G267" s="1" t="n">
        <v>2333.2</v>
      </c>
      <c r="H267" s="1" t="n">
        <f aca="false">H266+D267</f>
        <v>32.4</v>
      </c>
      <c r="I267" s="1" t="n">
        <f aca="false">MIN(E266:E282)</f>
        <v>5.9</v>
      </c>
      <c r="J267" s="1" t="n">
        <v>0</v>
      </c>
      <c r="K267" s="1" t="n">
        <f aca="false">K266+J267</f>
        <v>613.8</v>
      </c>
      <c r="L267" s="1" t="n">
        <v>3.2</v>
      </c>
      <c r="M267" s="1" t="n">
        <f aca="false">M266+L267</f>
        <v>371.3</v>
      </c>
      <c r="N267" s="1" t="n">
        <v>-3.2</v>
      </c>
      <c r="O267" s="1" t="n">
        <f aca="false">O266+N267</f>
        <v>56.3</v>
      </c>
      <c r="P267" s="1" t="n">
        <v>262</v>
      </c>
      <c r="Q267" s="11" t="n">
        <f aca="false">1.15+((P267-260)/48)*(0.35-1.15)</f>
        <v>1.11666666666667</v>
      </c>
      <c r="R267" s="10" t="n">
        <f aca="false">Q267*L267</f>
        <v>3.57333333333333</v>
      </c>
      <c r="S267" s="10" t="n">
        <f aca="false">J267-R267</f>
        <v>-3.57333333333333</v>
      </c>
      <c r="T267" s="10" t="n">
        <f aca="false">MIN(122.1,(T266+S267))</f>
        <v>30.3910162601626</v>
      </c>
      <c r="U267" s="1" t="n">
        <v>16</v>
      </c>
      <c r="V267" s="1" t="n">
        <v>1139.2</v>
      </c>
      <c r="X267" s="1" t="n">
        <v>215356</v>
      </c>
      <c r="Y267" s="1" t="n">
        <f aca="false">Y266+V267</f>
        <v>3142.6</v>
      </c>
      <c r="Z267" s="1" t="n">
        <f aca="false">Y282</f>
        <v>35285.6</v>
      </c>
      <c r="AA267" s="1" t="n">
        <v>15.3930141117888</v>
      </c>
    </row>
    <row r="268" customFormat="false" ht="15" hidden="false" customHeight="false" outlineLevel="0" collapsed="false">
      <c r="A268" s="47"/>
      <c r="B268" s="3"/>
      <c r="C268" s="8" t="n">
        <v>42149</v>
      </c>
      <c r="D268" s="1" t="n">
        <v>14.9</v>
      </c>
      <c r="E268" s="1" t="n">
        <v>12.8</v>
      </c>
      <c r="F268" s="1" t="n">
        <v>17.4</v>
      </c>
      <c r="G268" s="1" t="n">
        <v>2348.1</v>
      </c>
      <c r="H268" s="1" t="n">
        <f aca="false">H267+D268</f>
        <v>47.3</v>
      </c>
      <c r="I268" s="48" t="s">
        <v>31</v>
      </c>
      <c r="J268" s="1" t="n">
        <v>4</v>
      </c>
      <c r="K268" s="1" t="n">
        <f aca="false">K267+J268</f>
        <v>617.8</v>
      </c>
      <c r="L268" s="1" t="n">
        <v>3.2</v>
      </c>
      <c r="M268" s="1" t="n">
        <f aca="false">M267+L268</f>
        <v>374.5</v>
      </c>
      <c r="N268" s="1" t="n">
        <v>0.8</v>
      </c>
      <c r="O268" s="1" t="n">
        <f aca="false">O267+N268</f>
        <v>57.1</v>
      </c>
      <c r="P268" s="1" t="n">
        <v>263</v>
      </c>
      <c r="Q268" s="11" t="n">
        <f aca="false">1.15+((P268-260)/48)*(0.35-1.15)</f>
        <v>1.1</v>
      </c>
      <c r="R268" s="10" t="n">
        <f aca="false">Q268*L268</f>
        <v>3.52</v>
      </c>
      <c r="S268" s="10" t="n">
        <f aca="false">J268-R268</f>
        <v>0.48</v>
      </c>
      <c r="T268" s="10" t="n">
        <f aca="false">MIN(122.1,(T267+S268))</f>
        <v>30.8710162601626</v>
      </c>
      <c r="U268" s="48" t="s">
        <v>32</v>
      </c>
      <c r="V268" s="1" t="n">
        <v>1837.2</v>
      </c>
      <c r="X268" s="1" t="n">
        <v>217193.2</v>
      </c>
      <c r="Y268" s="1" t="n">
        <f aca="false">Y267+V268</f>
        <v>4979.8</v>
      </c>
      <c r="Z268" s="48" t="s">
        <v>33</v>
      </c>
      <c r="AA268" s="1" t="n">
        <v>15.4274552996818</v>
      </c>
    </row>
    <row r="269" customFormat="false" ht="15" hidden="false" customHeight="false" outlineLevel="0" collapsed="false">
      <c r="A269" s="47"/>
      <c r="B269" s="3"/>
      <c r="C269" s="8" t="n">
        <v>42150</v>
      </c>
      <c r="D269" s="1" t="n">
        <v>11.7</v>
      </c>
      <c r="E269" s="1" t="n">
        <v>9.7</v>
      </c>
      <c r="F269" s="1" t="n">
        <v>14.9</v>
      </c>
      <c r="G269" s="1" t="n">
        <v>2359.8</v>
      </c>
      <c r="H269" s="1" t="n">
        <f aca="false">H268+D269</f>
        <v>59</v>
      </c>
      <c r="I269" s="1" t="n">
        <f aca="false">MAX(F266:F282)</f>
        <v>32.5</v>
      </c>
      <c r="J269" s="1" t="n">
        <v>0</v>
      </c>
      <c r="K269" s="1" t="n">
        <f aca="false">K268+J269</f>
        <v>617.8</v>
      </c>
      <c r="L269" s="1" t="n">
        <v>2.6</v>
      </c>
      <c r="M269" s="1" t="n">
        <f aca="false">M268+L269</f>
        <v>377.1</v>
      </c>
      <c r="N269" s="1" t="n">
        <v>-2.6</v>
      </c>
      <c r="O269" s="1" t="n">
        <f aca="false">O268+N269</f>
        <v>54.5</v>
      </c>
      <c r="P269" s="1" t="n">
        <v>264</v>
      </c>
      <c r="Q269" s="11" t="n">
        <f aca="false">1.15+((P269-260)/48)*(0.35-1.15)</f>
        <v>1.08333333333333</v>
      </c>
      <c r="R269" s="10" t="n">
        <f aca="false">Q269*L269</f>
        <v>2.81666666666667</v>
      </c>
      <c r="S269" s="10" t="n">
        <f aca="false">J269-R269</f>
        <v>-2.81666666666667</v>
      </c>
      <c r="T269" s="10" t="n">
        <f aca="false">MIN(122.1,(T268+S269))</f>
        <v>28.0543495934959</v>
      </c>
      <c r="U269" s="1" t="n">
        <v>5</v>
      </c>
      <c r="V269" s="1" t="n">
        <v>1243.3</v>
      </c>
      <c r="X269" s="1" t="n">
        <v>218436.5</v>
      </c>
      <c r="Y269" s="1" t="n">
        <f aca="false">Y268+V269</f>
        <v>6223.1</v>
      </c>
      <c r="Z269" s="11" t="n">
        <f aca="false">(Z267/100)/I279</f>
        <v>1.14082120918202</v>
      </c>
      <c r="AA269" s="1" t="n">
        <v>15.4609552880611</v>
      </c>
    </row>
    <row r="270" customFormat="false" ht="15" hidden="false" customHeight="false" outlineLevel="0" collapsed="false">
      <c r="A270" s="47"/>
      <c r="B270" s="3"/>
      <c r="C270" s="8" t="n">
        <v>42151</v>
      </c>
      <c r="D270" s="1" t="n">
        <v>13</v>
      </c>
      <c r="E270" s="1" t="n">
        <v>5.9</v>
      </c>
      <c r="F270" s="1" t="n">
        <v>18.3</v>
      </c>
      <c r="G270" s="1" t="n">
        <v>2372.8</v>
      </c>
      <c r="H270" s="1" t="n">
        <f aca="false">H269+D270</f>
        <v>72</v>
      </c>
      <c r="I270" s="48" t="s">
        <v>34</v>
      </c>
      <c r="J270" s="1" t="n">
        <v>0</v>
      </c>
      <c r="K270" s="1" t="n">
        <f aca="false">K269+J270</f>
        <v>617.8</v>
      </c>
      <c r="L270" s="1" t="n">
        <v>3.1</v>
      </c>
      <c r="M270" s="1" t="n">
        <f aca="false">M269+L270</f>
        <v>380.2</v>
      </c>
      <c r="N270" s="1" t="n">
        <v>-3.1</v>
      </c>
      <c r="O270" s="1" t="n">
        <f aca="false">O269+N270</f>
        <v>51.4</v>
      </c>
      <c r="P270" s="1" t="n">
        <v>265</v>
      </c>
      <c r="Q270" s="11" t="n">
        <f aca="false">1.15+((P270-260)/48)*(0.35-1.15)</f>
        <v>1.06666666666667</v>
      </c>
      <c r="R270" s="10" t="n">
        <f aca="false">Q270*L270</f>
        <v>3.30666666666667</v>
      </c>
      <c r="S270" s="10" t="n">
        <f aca="false">J270-R270</f>
        <v>-3.30666666666667</v>
      </c>
      <c r="T270" s="10" t="n">
        <f aca="false">MIN(122.1,(T269+S270))</f>
        <v>24.7476829268293</v>
      </c>
      <c r="U270" s="48" t="s">
        <v>35</v>
      </c>
      <c r="V270" s="1" t="n">
        <v>1945.2</v>
      </c>
      <c r="X270" s="1" t="n">
        <v>220381.7</v>
      </c>
      <c r="Y270" s="1" t="n">
        <f aca="false">Y269+V270</f>
        <v>8168.3</v>
      </c>
      <c r="Z270" s="48" t="s">
        <v>36</v>
      </c>
      <c r="AA270" s="1" t="n">
        <v>15.4934897966899</v>
      </c>
    </row>
    <row r="271" customFormat="false" ht="15" hidden="false" customHeight="false" outlineLevel="0" collapsed="false">
      <c r="A271" s="47"/>
      <c r="B271" s="3"/>
      <c r="C271" s="8" t="n">
        <v>42152</v>
      </c>
      <c r="D271" s="1" t="n">
        <v>16</v>
      </c>
      <c r="E271" s="1" t="n">
        <v>7</v>
      </c>
      <c r="F271" s="1" t="n">
        <v>22.4</v>
      </c>
      <c r="G271" s="1" t="n">
        <v>2388.8</v>
      </c>
      <c r="H271" s="1" t="n">
        <f aca="false">H270+D271</f>
        <v>88</v>
      </c>
      <c r="I271" s="10" t="n">
        <f aca="false">AVERAGE(D266:D282)</f>
        <v>18.1941176470588</v>
      </c>
      <c r="J271" s="1" t="n">
        <v>0.1</v>
      </c>
      <c r="K271" s="1" t="n">
        <f aca="false">K270+J271</f>
        <v>617.9</v>
      </c>
      <c r="L271" s="1" t="n">
        <v>4.3</v>
      </c>
      <c r="M271" s="1" t="n">
        <f aca="false">M270+L271</f>
        <v>384.5</v>
      </c>
      <c r="N271" s="1" t="n">
        <v>-4.2</v>
      </c>
      <c r="O271" s="1" t="n">
        <f aca="false">O270+N271</f>
        <v>47.2</v>
      </c>
      <c r="P271" s="1" t="n">
        <v>266</v>
      </c>
      <c r="Q271" s="11" t="n">
        <f aca="false">1.15+((P271-260)/48)*(0.35-1.15)</f>
        <v>1.05</v>
      </c>
      <c r="R271" s="10" t="n">
        <f aca="false">Q271*L271</f>
        <v>4.515</v>
      </c>
      <c r="S271" s="10" t="n">
        <f aca="false">J271-R271</f>
        <v>-4.415</v>
      </c>
      <c r="T271" s="10" t="n">
        <f aca="false">MIN(122.1,(T270+S271))</f>
        <v>20.3326829268293</v>
      </c>
      <c r="U271" s="1" t="n">
        <v>12</v>
      </c>
      <c r="V271" s="1" t="n">
        <v>2518.1</v>
      </c>
      <c r="X271" s="1" t="n">
        <v>222899.8</v>
      </c>
      <c r="Y271" s="1" t="n">
        <f aca="false">Y270+V271</f>
        <v>10686.4</v>
      </c>
      <c r="Z271" s="1" t="n">
        <v>0</v>
      </c>
      <c r="AA271" s="1" t="n">
        <v>15.5250347173626</v>
      </c>
    </row>
    <row r="272" customFormat="false" ht="15" hidden="false" customHeight="false" outlineLevel="0" collapsed="false">
      <c r="A272" s="47"/>
      <c r="B272" s="3"/>
      <c r="C272" s="8" t="n">
        <v>42153</v>
      </c>
      <c r="D272" s="1" t="n">
        <v>17.4</v>
      </c>
      <c r="E272" s="1" t="n">
        <v>12.9</v>
      </c>
      <c r="F272" s="1" t="n">
        <v>23.8</v>
      </c>
      <c r="G272" s="1" t="n">
        <v>2406.2</v>
      </c>
      <c r="H272" s="1" t="n">
        <f aca="false">H271+D272</f>
        <v>105.4</v>
      </c>
      <c r="I272" s="48" t="s">
        <v>37</v>
      </c>
      <c r="J272" s="1" t="n">
        <v>0</v>
      </c>
      <c r="K272" s="1" t="n">
        <f aca="false">K271+J272</f>
        <v>617.9</v>
      </c>
      <c r="L272" s="1" t="n">
        <v>3.9</v>
      </c>
      <c r="M272" s="1" t="n">
        <f aca="false">M271+L272</f>
        <v>388.4</v>
      </c>
      <c r="N272" s="1" t="n">
        <v>-3.9</v>
      </c>
      <c r="O272" s="1" t="n">
        <f aca="false">O271+N272</f>
        <v>43.3</v>
      </c>
      <c r="P272" s="1" t="n">
        <v>267</v>
      </c>
      <c r="Q272" s="11" t="n">
        <f aca="false">1.15+((P272-260)/48)*(0.35-1.15)</f>
        <v>1.03333333333333</v>
      </c>
      <c r="R272" s="10" t="n">
        <f aca="false">Q272*L272</f>
        <v>4.03</v>
      </c>
      <c r="S272" s="10" t="n">
        <f aca="false">J272-R272</f>
        <v>-4.03</v>
      </c>
      <c r="T272" s="10" t="n">
        <f aca="false">MIN(122.1,(T271+S272))</f>
        <v>16.3026829268293</v>
      </c>
      <c r="U272" s="48" t="s">
        <v>38</v>
      </c>
      <c r="V272" s="1" t="n">
        <v>1517</v>
      </c>
      <c r="X272" s="1" t="n">
        <v>224416.8</v>
      </c>
      <c r="Y272" s="1" t="n">
        <f aca="false">Y271+V272</f>
        <v>12203.4</v>
      </c>
      <c r="AA272" s="1" t="n">
        <v>15.5555661701114</v>
      </c>
    </row>
    <row r="273" customFormat="false" ht="15" hidden="false" customHeight="false" outlineLevel="0" collapsed="false">
      <c r="A273" s="47"/>
      <c r="B273" s="3"/>
      <c r="C273" s="8" t="n">
        <v>42154</v>
      </c>
      <c r="D273" s="1" t="n">
        <v>15.6</v>
      </c>
      <c r="E273" s="1" t="n">
        <v>12.5</v>
      </c>
      <c r="F273" s="1" t="n">
        <v>18.6</v>
      </c>
      <c r="G273" s="1" t="n">
        <v>2421.8</v>
      </c>
      <c r="H273" s="1" t="n">
        <f aca="false">H272+D273</f>
        <v>121</v>
      </c>
      <c r="I273" s="1" t="n">
        <v>0</v>
      </c>
      <c r="J273" s="1" t="n">
        <v>0</v>
      </c>
      <c r="K273" s="1" t="n">
        <f aca="false">K272+J273</f>
        <v>617.9</v>
      </c>
      <c r="L273" s="1" t="n">
        <v>2.2</v>
      </c>
      <c r="M273" s="1" t="n">
        <f aca="false">M272+L273</f>
        <v>390.6</v>
      </c>
      <c r="N273" s="1" t="n">
        <v>-2.2</v>
      </c>
      <c r="O273" s="1" t="n">
        <f aca="false">O272+N273</f>
        <v>41.1</v>
      </c>
      <c r="P273" s="1" t="n">
        <v>268</v>
      </c>
      <c r="Q273" s="11" t="n">
        <f aca="false">1.15+((P273-260)/48)*(0.35-1.15)</f>
        <v>1.01666666666667</v>
      </c>
      <c r="R273" s="10" t="n">
        <f aca="false">Q273*L273</f>
        <v>2.23666666666667</v>
      </c>
      <c r="S273" s="10" t="n">
        <f aca="false">J273-R273</f>
        <v>-2.23666666666667</v>
      </c>
      <c r="T273" s="10" t="n">
        <f aca="false">MIN(122.1,(T272+S273))</f>
        <v>14.0660162601626</v>
      </c>
      <c r="U273" s="1" t="n">
        <v>0</v>
      </c>
      <c r="V273" s="1" t="n">
        <v>1272.5</v>
      </c>
      <c r="X273" s="1" t="n">
        <v>225689.3</v>
      </c>
      <c r="Y273" s="1" t="n">
        <f aca="false">Y272+V273</f>
        <v>13475.9</v>
      </c>
      <c r="AA273" s="1" t="n">
        <v>15.5850605610659</v>
      </c>
    </row>
    <row r="274" customFormat="false" ht="15" hidden="false" customHeight="false" outlineLevel="0" collapsed="false">
      <c r="A274" s="47"/>
      <c r="B274" s="3"/>
      <c r="C274" s="8" t="n">
        <v>42155</v>
      </c>
      <c r="D274" s="1" t="n">
        <v>17.8</v>
      </c>
      <c r="E274" s="1" t="n">
        <v>9.8</v>
      </c>
      <c r="F274" s="1" t="n">
        <v>22.9</v>
      </c>
      <c r="G274" s="1" t="n">
        <v>2439.6</v>
      </c>
      <c r="H274" s="1" t="n">
        <f aca="false">H273+D274</f>
        <v>138.8</v>
      </c>
      <c r="I274" s="48" t="s">
        <v>39</v>
      </c>
      <c r="J274" s="1" t="n">
        <v>1.4</v>
      </c>
      <c r="K274" s="1" t="n">
        <f aca="false">K273+J274</f>
        <v>619.3</v>
      </c>
      <c r="L274" s="1" t="n">
        <v>2.6</v>
      </c>
      <c r="M274" s="1" t="n">
        <f aca="false">M273+L274</f>
        <v>393.2</v>
      </c>
      <c r="N274" s="1" t="n">
        <v>-1.2</v>
      </c>
      <c r="O274" s="1" t="n">
        <f aca="false">O273+N274</f>
        <v>39.9</v>
      </c>
      <c r="P274" s="1" t="n">
        <v>269</v>
      </c>
      <c r="Q274" s="11" t="n">
        <f aca="false">1.15+((P274-260)/48)*(0.35-1.15)</f>
        <v>1</v>
      </c>
      <c r="R274" s="10" t="n">
        <f aca="false">Q274*L274</f>
        <v>2.6</v>
      </c>
      <c r="S274" s="10" t="n">
        <f aca="false">J274-R274</f>
        <v>-1.2</v>
      </c>
      <c r="T274" s="10" t="n">
        <f aca="false">MIN(122.1,(T273+S274))</f>
        <v>12.8660162601626</v>
      </c>
      <c r="U274" s="48" t="s">
        <v>40</v>
      </c>
      <c r="V274" s="1" t="n">
        <v>1469.7</v>
      </c>
      <c r="X274" s="1" t="n">
        <v>227159</v>
      </c>
      <c r="Y274" s="1" t="n">
        <f aca="false">Y273+V274</f>
        <v>14945.6</v>
      </c>
      <c r="AA274" s="1" t="n">
        <v>15.6134946417505</v>
      </c>
    </row>
    <row r="275" customFormat="false" ht="15" hidden="false" customHeight="false" outlineLevel="0" collapsed="false">
      <c r="A275" s="47"/>
      <c r="B275" s="3"/>
      <c r="C275" s="8" t="n">
        <v>42156</v>
      </c>
      <c r="D275" s="1" t="n">
        <v>16.8</v>
      </c>
      <c r="E275" s="1" t="n">
        <v>15.3</v>
      </c>
      <c r="F275" s="1" t="n">
        <v>19.7</v>
      </c>
      <c r="G275" s="42" t="n">
        <v>2456.4</v>
      </c>
      <c r="H275" s="1" t="n">
        <f aca="false">H274+D275</f>
        <v>155.6</v>
      </c>
      <c r="I275" s="1" t="n">
        <v>6</v>
      </c>
      <c r="J275" s="1" t="n">
        <v>0.4</v>
      </c>
      <c r="K275" s="1" t="n">
        <f aca="false">K274+J275</f>
        <v>619.7</v>
      </c>
      <c r="L275" s="1" t="n">
        <v>2.2</v>
      </c>
      <c r="M275" s="1" t="n">
        <f aca="false">M274+L275</f>
        <v>395.4</v>
      </c>
      <c r="N275" s="1" t="n">
        <v>-1.8</v>
      </c>
      <c r="O275" s="1" t="n">
        <f aca="false">O274+N275</f>
        <v>38.1</v>
      </c>
      <c r="P275" s="1" t="n">
        <v>270</v>
      </c>
      <c r="Q275" s="11" t="n">
        <f aca="false">1.15+((P275-260)/48)*(0.35-1.15)</f>
        <v>0.983333333333333</v>
      </c>
      <c r="R275" s="10" t="n">
        <f aca="false">Q275*L275</f>
        <v>2.16333333333333</v>
      </c>
      <c r="S275" s="10" t="n">
        <f aca="false">J275-R275</f>
        <v>-1.76333333333333</v>
      </c>
      <c r="T275" s="10" t="n">
        <f aca="false">MIN(122.1,(T274+S275))</f>
        <v>11.1026829268293</v>
      </c>
      <c r="U275" s="1" t="n">
        <v>34</v>
      </c>
      <c r="V275" s="1" t="n">
        <v>935.8</v>
      </c>
      <c r="W275" s="1"/>
      <c r="X275" s="42" t="n">
        <v>228094.8</v>
      </c>
      <c r="Y275" s="1" t="n">
        <f aca="false">Y274+V275</f>
        <v>15881.4</v>
      </c>
      <c r="Z275" s="38"/>
      <c r="AA275" s="1" t="n">
        <v>15.6408455695819</v>
      </c>
    </row>
    <row r="276" customFormat="false" ht="15" hidden="false" customHeight="true" outlineLevel="0" collapsed="false">
      <c r="A276" s="47"/>
      <c r="B276" s="3"/>
      <c r="C276" s="8" t="n">
        <v>42157</v>
      </c>
      <c r="D276" s="1" t="n">
        <v>20</v>
      </c>
      <c r="E276" s="1" t="n">
        <v>12.9</v>
      </c>
      <c r="F276" s="1" t="n">
        <v>25.9</v>
      </c>
      <c r="G276" s="1" t="n">
        <v>2476.4</v>
      </c>
      <c r="H276" s="1" t="n">
        <f aca="false">H275+D276</f>
        <v>175.6</v>
      </c>
      <c r="I276" s="48" t="s">
        <v>41</v>
      </c>
      <c r="J276" s="1" t="n">
        <v>0</v>
      </c>
      <c r="K276" s="1" t="n">
        <f aca="false">K275+J276</f>
        <v>619.7</v>
      </c>
      <c r="L276" s="1" t="n">
        <v>5.5</v>
      </c>
      <c r="M276" s="1" t="n">
        <f aca="false">M275+L276</f>
        <v>400.9</v>
      </c>
      <c r="N276" s="1" t="n">
        <v>-5.5</v>
      </c>
      <c r="O276" s="1" t="n">
        <f aca="false">O275+N276</f>
        <v>32.6</v>
      </c>
      <c r="P276" s="1" t="n">
        <v>271</v>
      </c>
      <c r="Q276" s="11" t="n">
        <f aca="false">1.15+((P276-260)/48)*(0.35-1.15)</f>
        <v>0.966666666666667</v>
      </c>
      <c r="R276" s="10" t="n">
        <f aca="false">Q276*L276</f>
        <v>5.31666666666667</v>
      </c>
      <c r="S276" s="10" t="n">
        <f aca="false">J276-R276</f>
        <v>-5.31666666666667</v>
      </c>
      <c r="T276" s="10" t="n">
        <f aca="false">MIN(122.1,(T275+S276))</f>
        <v>5.7860162601626</v>
      </c>
      <c r="U276" s="48" t="s">
        <v>42</v>
      </c>
      <c r="V276" s="1" t="n">
        <v>2827.6</v>
      </c>
      <c r="X276" s="1" t="n">
        <v>230922.4</v>
      </c>
      <c r="Y276" s="1" t="n">
        <f aca="false">Y275+V276</f>
        <v>18709</v>
      </c>
      <c r="AA276" s="1" t="n">
        <v>15.6670909693091</v>
      </c>
    </row>
    <row r="277" customFormat="false" ht="15" hidden="false" customHeight="false" outlineLevel="0" collapsed="false">
      <c r="A277" s="47"/>
      <c r="B277" s="3"/>
      <c r="C277" s="8" t="n">
        <v>42158</v>
      </c>
      <c r="D277" s="1" t="n">
        <v>21</v>
      </c>
      <c r="E277" s="1" t="n">
        <v>13.4</v>
      </c>
      <c r="F277" s="1" t="n">
        <v>27.1</v>
      </c>
      <c r="G277" s="1" t="n">
        <v>2497.4</v>
      </c>
      <c r="H277" s="1" t="n">
        <f aca="false">H276+D277</f>
        <v>196.6</v>
      </c>
      <c r="I277" s="1" t="n">
        <v>0</v>
      </c>
      <c r="J277" s="1" t="n">
        <v>0</v>
      </c>
      <c r="K277" s="1" t="n">
        <f aca="false">K276+J277</f>
        <v>619.7</v>
      </c>
      <c r="L277" s="1" t="n">
        <v>5.3</v>
      </c>
      <c r="M277" s="1" t="n">
        <f aca="false">M276+L277</f>
        <v>406.2</v>
      </c>
      <c r="N277" s="1" t="n">
        <v>-5.3</v>
      </c>
      <c r="O277" s="1" t="n">
        <f aca="false">O276+N277</f>
        <v>27.3</v>
      </c>
      <c r="P277" s="1" t="n">
        <v>272</v>
      </c>
      <c r="Q277" s="11" t="n">
        <f aca="false">1.15+((P277-260)/48)*(0.35-1.15)</f>
        <v>0.95</v>
      </c>
      <c r="R277" s="10" t="n">
        <f aca="false">Q277*L277</f>
        <v>5.035</v>
      </c>
      <c r="S277" s="10" t="n">
        <f aca="false">J277-R277</f>
        <v>-5.035</v>
      </c>
      <c r="T277" s="10" t="n">
        <f aca="false">MIN(122.1,(T276+S277))</f>
        <v>0.751016260162598</v>
      </c>
      <c r="U277" s="11" t="n">
        <f aca="false">AVERAGE(T266:T282)</f>
        <v>13.4844428503109</v>
      </c>
      <c r="V277" s="1" t="n">
        <v>2611.1</v>
      </c>
      <c r="X277" s="1" t="n">
        <v>233533.5</v>
      </c>
      <c r="Y277" s="1" t="n">
        <f aca="false">Y276+V277</f>
        <v>21320.1</v>
      </c>
      <c r="AA277" s="1" t="n">
        <v>15.6922089951128</v>
      </c>
    </row>
    <row r="278" customFormat="false" ht="15" hidden="false" customHeight="false" outlineLevel="0" collapsed="false">
      <c r="A278" s="47"/>
      <c r="B278" s="3"/>
      <c r="C278" s="8" t="n">
        <v>42159</v>
      </c>
      <c r="D278" s="1" t="n">
        <v>22.7</v>
      </c>
      <c r="E278" s="1" t="n">
        <v>15.6</v>
      </c>
      <c r="F278" s="1" t="n">
        <v>28.6</v>
      </c>
      <c r="G278" s="1" t="n">
        <v>2520.1</v>
      </c>
      <c r="H278" s="1" t="n">
        <f aca="false">H277+D278</f>
        <v>219.3</v>
      </c>
      <c r="I278" s="48" t="s">
        <v>43</v>
      </c>
      <c r="J278" s="1" t="n">
        <v>0</v>
      </c>
      <c r="K278" s="1" t="n">
        <f aca="false">K277+J278</f>
        <v>619.7</v>
      </c>
      <c r="L278" s="1" t="n">
        <v>6.8</v>
      </c>
      <c r="M278" s="1" t="n">
        <f aca="false">M277+L278</f>
        <v>413</v>
      </c>
      <c r="N278" s="1" t="n">
        <v>-6.8</v>
      </c>
      <c r="O278" s="1" t="n">
        <f aca="false">O277+N278</f>
        <v>20.5</v>
      </c>
      <c r="P278" s="1" t="n">
        <v>273</v>
      </c>
      <c r="Q278" s="11" t="n">
        <f aca="false">1.15+((P278-260)/48)*(0.35-1.15)</f>
        <v>0.933333333333333</v>
      </c>
      <c r="R278" s="10" t="n">
        <f aca="false">Q278*L278</f>
        <v>6.34666666666667</v>
      </c>
      <c r="S278" s="10" t="n">
        <f aca="false">J278-R278</f>
        <v>-6.34666666666667</v>
      </c>
      <c r="T278" s="10" t="n">
        <v>0</v>
      </c>
      <c r="U278" s="1" t="n">
        <f aca="false">(U277*100)/122.1</f>
        <v>11.0437697381743</v>
      </c>
      <c r="V278" s="1" t="n">
        <v>3258.5</v>
      </c>
      <c r="X278" s="1" t="n">
        <v>236792</v>
      </c>
      <c r="Y278" s="1" t="n">
        <f aca="false">Y277+V278</f>
        <v>24578.6</v>
      </c>
      <c r="AA278" s="1" t="n">
        <v>15.7161783930653</v>
      </c>
    </row>
    <row r="279" customFormat="false" ht="15" hidden="false" customHeight="false" outlineLevel="0" collapsed="false">
      <c r="A279" s="47"/>
      <c r="B279" s="3"/>
      <c r="C279" s="8" t="n">
        <v>42160</v>
      </c>
      <c r="D279" s="1" t="n">
        <v>25.6</v>
      </c>
      <c r="E279" s="1" t="n">
        <v>17.6</v>
      </c>
      <c r="F279" s="1" t="n">
        <v>32.5</v>
      </c>
      <c r="G279" s="1" t="n">
        <v>2545.7</v>
      </c>
      <c r="H279" s="1" t="n">
        <f aca="false">H278+D279</f>
        <v>244.9</v>
      </c>
      <c r="I279" s="1" t="n">
        <v>309.3</v>
      </c>
      <c r="J279" s="1" t="n">
        <v>0</v>
      </c>
      <c r="K279" s="1" t="n">
        <f aca="false">K278+J279</f>
        <v>619.7</v>
      </c>
      <c r="L279" s="1" t="n">
        <v>7</v>
      </c>
      <c r="M279" s="1" t="n">
        <f aca="false">M278+L279</f>
        <v>420</v>
      </c>
      <c r="N279" s="1" t="n">
        <v>-7</v>
      </c>
      <c r="O279" s="1" t="n">
        <f aca="false">O278+N279</f>
        <v>13.5</v>
      </c>
      <c r="P279" s="1" t="n">
        <v>274</v>
      </c>
      <c r="Q279" s="11" t="n">
        <f aca="false">1.15+((P279-260)/48)*(0.35-1.15)</f>
        <v>0.916666666666667</v>
      </c>
      <c r="R279" s="10" t="n">
        <f aca="false">Q279*L279</f>
        <v>6.41666666666667</v>
      </c>
      <c r="S279" s="10" t="n">
        <f aca="false">J279-R279</f>
        <v>-6.41666666666667</v>
      </c>
      <c r="T279" s="10" t="n">
        <v>0</v>
      </c>
      <c r="V279" s="1" t="n">
        <v>3038.4</v>
      </c>
      <c r="X279" s="1" t="n">
        <v>239830.4</v>
      </c>
      <c r="Y279" s="1" t="n">
        <f aca="false">Y278+V279</f>
        <v>27617</v>
      </c>
      <c r="AA279" s="1" t="n">
        <v>15.7389785636304</v>
      </c>
    </row>
    <row r="280" customFormat="false" ht="15" hidden="false" customHeight="false" outlineLevel="0" collapsed="false">
      <c r="A280" s="47"/>
      <c r="B280" s="3"/>
      <c r="C280" s="8" t="n">
        <v>42161</v>
      </c>
      <c r="D280" s="1" t="n">
        <v>23.3</v>
      </c>
      <c r="E280" s="1" t="n">
        <v>20.2</v>
      </c>
      <c r="F280" s="1" t="n">
        <v>28.1</v>
      </c>
      <c r="G280" s="1" t="n">
        <v>2569</v>
      </c>
      <c r="H280" s="1" t="n">
        <f aca="false">H279+D280</f>
        <v>268.2</v>
      </c>
      <c r="J280" s="1" t="n">
        <v>0</v>
      </c>
      <c r="K280" s="1" t="n">
        <f aca="false">K279+J280</f>
        <v>619.7</v>
      </c>
      <c r="L280" s="1" t="n">
        <v>6.8</v>
      </c>
      <c r="M280" s="1" t="n">
        <f aca="false">M279+L280</f>
        <v>426.8</v>
      </c>
      <c r="N280" s="1" t="n">
        <v>-6.8</v>
      </c>
      <c r="O280" s="1" t="n">
        <f aca="false">O279+N280</f>
        <v>6.69999999999998</v>
      </c>
      <c r="P280" s="1" t="n">
        <v>275</v>
      </c>
      <c r="Q280" s="11" t="n">
        <f aca="false">1.15+((P280-260)/48)*(0.35-1.15)</f>
        <v>0.9</v>
      </c>
      <c r="R280" s="10" t="n">
        <f aca="false">Q280*L280</f>
        <v>6.12</v>
      </c>
      <c r="S280" s="10" t="n">
        <f aca="false">J280-R280</f>
        <v>-6.12</v>
      </c>
      <c r="T280" s="10" t="n">
        <v>0</v>
      </c>
      <c r="V280" s="1" t="n">
        <v>2747.6</v>
      </c>
      <c r="X280" s="1" t="n">
        <v>242578</v>
      </c>
      <c r="Y280" s="1" t="n">
        <f aca="false">Y279+V280</f>
        <v>30364.6</v>
      </c>
      <c r="AA280" s="1" t="n">
        <v>15.7605896238698</v>
      </c>
    </row>
    <row r="281" customFormat="false" ht="15" hidden="false" customHeight="false" outlineLevel="0" collapsed="false">
      <c r="A281" s="47"/>
      <c r="B281" s="3"/>
      <c r="C281" s="8" t="n">
        <v>42162</v>
      </c>
      <c r="D281" s="1" t="n">
        <v>21.3</v>
      </c>
      <c r="E281" s="1" t="n">
        <v>15.9</v>
      </c>
      <c r="F281" s="1" t="n">
        <v>26.4</v>
      </c>
      <c r="G281" s="1" t="n">
        <v>2590.3</v>
      </c>
      <c r="H281" s="1" t="n">
        <f aca="false">H280+D281</f>
        <v>289.5</v>
      </c>
      <c r="J281" s="1" t="n">
        <v>0</v>
      </c>
      <c r="K281" s="1" t="n">
        <f aca="false">K280+J281</f>
        <v>619.7</v>
      </c>
      <c r="L281" s="1" t="n">
        <v>6.5</v>
      </c>
      <c r="M281" s="1" t="n">
        <f aca="false">M280+L281</f>
        <v>433.3</v>
      </c>
      <c r="N281" s="1" t="n">
        <v>-6.5</v>
      </c>
      <c r="O281" s="1" t="n">
        <f aca="false">O280+N281</f>
        <v>0.199999999999979</v>
      </c>
      <c r="P281" s="1" t="n">
        <v>276</v>
      </c>
      <c r="Q281" s="11" t="n">
        <f aca="false">1.15+((P281-260)/48)*(0.35-1.15)</f>
        <v>0.883333333333333</v>
      </c>
      <c r="R281" s="10" t="n">
        <f aca="false">Q281*L281</f>
        <v>5.74166666666667</v>
      </c>
      <c r="S281" s="10" t="n">
        <f aca="false">J281-R281</f>
        <v>-5.74166666666667</v>
      </c>
      <c r="T281" s="10" t="n">
        <v>0</v>
      </c>
      <c r="V281" s="1" t="n">
        <v>2424.8</v>
      </c>
      <c r="X281" s="1" t="n">
        <v>245002.8</v>
      </c>
      <c r="Y281" s="1" t="n">
        <f aca="false">Y280+V281</f>
        <v>32789.4</v>
      </c>
      <c r="AA281" s="1" t="n">
        <v>15.7809924690058</v>
      </c>
    </row>
    <row r="282" s="31" customFormat="true" ht="15" hidden="false" customHeight="false" outlineLevel="0" collapsed="false">
      <c r="A282" s="47"/>
      <c r="B282" s="29" t="n">
        <v>600</v>
      </c>
      <c r="C282" s="30" t="n">
        <v>42163</v>
      </c>
      <c r="D282" s="31" t="n">
        <v>19.8</v>
      </c>
      <c r="E282" s="31" t="n">
        <v>16.1</v>
      </c>
      <c r="F282" s="31" t="n">
        <v>24.4</v>
      </c>
      <c r="G282" s="31" t="n">
        <v>2610.1</v>
      </c>
      <c r="H282" s="31" t="n">
        <f aca="false">H281+D282</f>
        <v>309.3</v>
      </c>
      <c r="J282" s="31" t="n">
        <v>0</v>
      </c>
      <c r="K282" s="31" t="n">
        <f aca="false">K281+J282</f>
        <v>619.7</v>
      </c>
      <c r="L282" s="31" t="n">
        <v>6.8</v>
      </c>
      <c r="M282" s="31" t="n">
        <f aca="false">M281+L282</f>
        <v>440.1</v>
      </c>
      <c r="N282" s="31" t="n">
        <v>-6.8</v>
      </c>
      <c r="O282" s="31" t="n">
        <v>0</v>
      </c>
      <c r="P282" s="31" t="n">
        <v>277</v>
      </c>
      <c r="Q282" s="49" t="n">
        <f aca="false">1.15+((P282-260)/48)*(0.35-1.15)</f>
        <v>0.866666666666667</v>
      </c>
      <c r="R282" s="34" t="n">
        <f aca="false">Q282*L282</f>
        <v>5.89333333333333</v>
      </c>
      <c r="S282" s="34" t="n">
        <f aca="false">J282-R282</f>
        <v>-5.89333333333333</v>
      </c>
      <c r="T282" s="46" t="n">
        <v>0</v>
      </c>
      <c r="V282" s="31" t="n">
        <v>2496.2</v>
      </c>
      <c r="X282" s="31" t="n">
        <v>247499</v>
      </c>
      <c r="Y282" s="33" t="n">
        <f aca="false">Y281+V282</f>
        <v>35285.6</v>
      </c>
      <c r="AA282" s="33" t="n">
        <v>15.8001688329819</v>
      </c>
    </row>
    <row r="283" customFormat="false" ht="15" hidden="false" customHeight="false" outlineLevel="0" collapsed="false">
      <c r="A283" s="50" t="n">
        <v>1000</v>
      </c>
      <c r="B283" s="3"/>
      <c r="C283" s="8" t="n">
        <v>42164</v>
      </c>
      <c r="D283" s="1" t="n">
        <v>17.7</v>
      </c>
      <c r="E283" s="1" t="n">
        <v>15.8</v>
      </c>
      <c r="F283" s="1" t="n">
        <v>21.6</v>
      </c>
      <c r="G283" s="1" t="n">
        <v>2627.8</v>
      </c>
      <c r="H283" s="1" t="n">
        <v>17.7</v>
      </c>
      <c r="I283" s="51" t="s">
        <v>28</v>
      </c>
      <c r="J283" s="1" t="n">
        <v>0</v>
      </c>
      <c r="K283" s="1" t="n">
        <f aca="false">K282+J283</f>
        <v>619.7</v>
      </c>
      <c r="L283" s="1" t="n">
        <v>4.5</v>
      </c>
      <c r="M283" s="1" t="n">
        <f aca="false">M282+L283</f>
        <v>444.6</v>
      </c>
      <c r="N283" s="1" t="n">
        <v>-4.5</v>
      </c>
      <c r="O283" s="1" t="n">
        <v>0</v>
      </c>
      <c r="P283" s="1" t="n">
        <v>278</v>
      </c>
      <c r="Q283" s="11" t="n">
        <f aca="false">1.15+((P283-260)/48)*(0.35-1.15)</f>
        <v>0.85</v>
      </c>
      <c r="R283" s="10" t="n">
        <f aca="false">Q283*L283</f>
        <v>3.825</v>
      </c>
      <c r="S283" s="10" t="n">
        <f aca="false">J283-R283</f>
        <v>-3.825</v>
      </c>
      <c r="T283" s="10" t="n">
        <v>0</v>
      </c>
      <c r="U283" s="51" t="s">
        <v>29</v>
      </c>
      <c r="V283" s="1" t="n">
        <v>1634.6</v>
      </c>
      <c r="X283" s="1" t="n">
        <v>249133.6</v>
      </c>
      <c r="Y283" s="1" t="n">
        <v>1634.6</v>
      </c>
      <c r="Z283" s="51" t="s">
        <v>30</v>
      </c>
      <c r="AA283" s="1" t="n">
        <v>15.8181013476534</v>
      </c>
    </row>
    <row r="284" customFormat="false" ht="15" hidden="false" customHeight="false" outlineLevel="0" collapsed="false">
      <c r="A284" s="50"/>
      <c r="B284" s="3"/>
      <c r="C284" s="8" t="n">
        <v>42165</v>
      </c>
      <c r="D284" s="1" t="n">
        <v>19.6</v>
      </c>
      <c r="E284" s="1" t="n">
        <v>14.3</v>
      </c>
      <c r="F284" s="1" t="n">
        <v>24.7</v>
      </c>
      <c r="G284" s="1" t="n">
        <v>2647.4</v>
      </c>
      <c r="H284" s="1" t="n">
        <f aca="false">H283+D284</f>
        <v>37.3</v>
      </c>
      <c r="I284" s="1" t="n">
        <f aca="false">MIN(E283:E303)</f>
        <v>9.2</v>
      </c>
      <c r="J284" s="1" t="n">
        <v>0</v>
      </c>
      <c r="K284" s="1" t="n">
        <f aca="false">K283+J284</f>
        <v>619.7</v>
      </c>
      <c r="L284" s="1" t="n">
        <v>4.2</v>
      </c>
      <c r="M284" s="1" t="n">
        <f aca="false">M283+L284</f>
        <v>448.8</v>
      </c>
      <c r="N284" s="1" t="n">
        <v>-4.2</v>
      </c>
      <c r="O284" s="1" t="n">
        <v>0</v>
      </c>
      <c r="P284" s="1" t="n">
        <v>279</v>
      </c>
      <c r="Q284" s="11" t="n">
        <f aca="false">1.15+((P284-260)/48)*(0.35-1.15)</f>
        <v>0.833333333333333</v>
      </c>
      <c r="R284" s="10" t="n">
        <f aca="false">Q284*L284</f>
        <v>3.5</v>
      </c>
      <c r="S284" s="10" t="n">
        <f aca="false">J284-R284</f>
        <v>-3.5</v>
      </c>
      <c r="T284" s="10" t="n">
        <v>0</v>
      </c>
      <c r="U284" s="1" t="n">
        <v>17</v>
      </c>
      <c r="V284" s="1" t="n">
        <v>2037</v>
      </c>
      <c r="X284" s="1" t="n">
        <v>251170.6</v>
      </c>
      <c r="Y284" s="1" t="n">
        <f aca="false">Y283+V284</f>
        <v>3671.6</v>
      </c>
      <c r="Z284" s="1" t="n">
        <f aca="false">Y303</f>
        <v>39231.4</v>
      </c>
      <c r="AA284" s="1" t="n">
        <v>15.834773600236</v>
      </c>
    </row>
    <row r="285" customFormat="false" ht="15" hidden="false" customHeight="false" outlineLevel="0" collapsed="false">
      <c r="A285" s="50"/>
      <c r="B285" s="3"/>
      <c r="C285" s="8" t="n">
        <v>42166</v>
      </c>
      <c r="D285" s="1" t="n">
        <v>23.1</v>
      </c>
      <c r="E285" s="1" t="n">
        <v>15.9</v>
      </c>
      <c r="F285" s="1" t="n">
        <v>30</v>
      </c>
      <c r="G285" s="1" t="n">
        <v>2670.5</v>
      </c>
      <c r="H285" s="1" t="n">
        <f aca="false">H284+D285</f>
        <v>60.4</v>
      </c>
      <c r="I285" s="51" t="s">
        <v>31</v>
      </c>
      <c r="J285" s="1" t="n">
        <v>0.1</v>
      </c>
      <c r="K285" s="1" t="n">
        <f aca="false">K284+J285</f>
        <v>619.8</v>
      </c>
      <c r="L285" s="1" t="n">
        <v>5.7</v>
      </c>
      <c r="M285" s="1" t="n">
        <f aca="false">M284+L285</f>
        <v>454.5</v>
      </c>
      <c r="N285" s="1" t="n">
        <v>-5.6</v>
      </c>
      <c r="O285" s="1" t="n">
        <v>0</v>
      </c>
      <c r="P285" s="1" t="n">
        <v>280</v>
      </c>
      <c r="Q285" s="11" t="n">
        <f aca="false">1.15+((P285-260)/48)*(0.35-1.15)</f>
        <v>0.816666666666667</v>
      </c>
      <c r="R285" s="10" t="n">
        <f aca="false">Q285*L285</f>
        <v>4.655</v>
      </c>
      <c r="S285" s="10" t="n">
        <f aca="false">J285-R285</f>
        <v>-4.555</v>
      </c>
      <c r="T285" s="10" t="n">
        <v>0</v>
      </c>
      <c r="U285" s="51" t="s">
        <v>32</v>
      </c>
      <c r="V285" s="1" t="n">
        <v>2639.6</v>
      </c>
      <c r="X285" s="1" t="n">
        <v>253810.2</v>
      </c>
      <c r="Y285" s="1" t="n">
        <f aca="false">Y284+V285</f>
        <v>6311.2</v>
      </c>
      <c r="Z285" s="51" t="s">
        <v>33</v>
      </c>
      <c r="AA285" s="1" t="n">
        <v>15.8501701886402</v>
      </c>
    </row>
    <row r="286" customFormat="false" ht="15" hidden="false" customHeight="false" outlineLevel="0" collapsed="false">
      <c r="A286" s="50"/>
      <c r="B286" s="3"/>
      <c r="C286" s="8" t="n">
        <v>42167</v>
      </c>
      <c r="D286" s="1" t="n">
        <v>21</v>
      </c>
      <c r="E286" s="1" t="n">
        <v>17.4</v>
      </c>
      <c r="F286" s="1" t="n">
        <v>25.9</v>
      </c>
      <c r="G286" s="1" t="n">
        <v>2691.5</v>
      </c>
      <c r="H286" s="1" t="n">
        <f aca="false">H285+D286</f>
        <v>81.4</v>
      </c>
      <c r="I286" s="1" t="n">
        <f aca="false">MAX(F283:F303)</f>
        <v>30.3</v>
      </c>
      <c r="J286" s="1" t="n">
        <v>8.4</v>
      </c>
      <c r="K286" s="1" t="n">
        <f aca="false">K285+J286</f>
        <v>628.2</v>
      </c>
      <c r="L286" s="1" t="n">
        <v>3.2</v>
      </c>
      <c r="M286" s="1" t="n">
        <f aca="false">M285+L286</f>
        <v>457.7</v>
      </c>
      <c r="N286" s="1" t="n">
        <v>5.2</v>
      </c>
      <c r="O286" s="1" t="n">
        <f aca="false">O285+N286</f>
        <v>5.2</v>
      </c>
      <c r="P286" s="1" t="n">
        <v>281</v>
      </c>
      <c r="Q286" s="11" t="n">
        <f aca="false">1.15+((P286-260)/48)*(0.35-1.15)</f>
        <v>0.8</v>
      </c>
      <c r="R286" s="10" t="n">
        <f aca="false">Q286*L286</f>
        <v>2.56</v>
      </c>
      <c r="S286" s="10" t="n">
        <f aca="false">J286-R286</f>
        <v>5.84</v>
      </c>
      <c r="T286" s="10" t="n">
        <f aca="false">MIN(122.1,(T285+S286))</f>
        <v>5.84</v>
      </c>
      <c r="U286" s="1" t="n">
        <v>3</v>
      </c>
      <c r="V286" s="1" t="n">
        <v>1479.5</v>
      </c>
      <c r="X286" s="1" t="n">
        <v>255289.7</v>
      </c>
      <c r="Y286" s="1" t="n">
        <f aca="false">Y285+V286</f>
        <v>7790.7</v>
      </c>
      <c r="Z286" s="11" t="n">
        <f aca="false">(Z284/100)/I296</f>
        <v>0.979560549313358</v>
      </c>
      <c r="AA286" s="1" t="n">
        <v>15.8642767743228</v>
      </c>
    </row>
    <row r="287" customFormat="false" ht="15" hidden="false" customHeight="false" outlineLevel="0" collapsed="false">
      <c r="A287" s="50"/>
      <c r="B287" s="3"/>
      <c r="C287" s="8" t="n">
        <v>42168</v>
      </c>
      <c r="D287" s="1" t="n">
        <v>20.6</v>
      </c>
      <c r="E287" s="1" t="n">
        <v>16.6</v>
      </c>
      <c r="F287" s="1" t="n">
        <v>24.3</v>
      </c>
      <c r="G287" s="1" t="n">
        <v>2712.1</v>
      </c>
      <c r="H287" s="1" t="n">
        <f aca="false">H286+D287</f>
        <v>102</v>
      </c>
      <c r="I287" s="51" t="s">
        <v>34</v>
      </c>
      <c r="J287" s="1" t="n">
        <v>0</v>
      </c>
      <c r="K287" s="1" t="n">
        <f aca="false">K286+J287</f>
        <v>628.2</v>
      </c>
      <c r="L287" s="1" t="n">
        <v>3.6</v>
      </c>
      <c r="M287" s="1" t="n">
        <f aca="false">M286+L287</f>
        <v>461.3</v>
      </c>
      <c r="N287" s="1" t="n">
        <v>-3.6</v>
      </c>
      <c r="O287" s="1" t="n">
        <f aca="false">O286+N287</f>
        <v>1.6</v>
      </c>
      <c r="P287" s="1" t="n">
        <v>282</v>
      </c>
      <c r="Q287" s="11" t="n">
        <f aca="false">1.15+((P287-260)/48)*(0.35-1.15)</f>
        <v>0.783333333333333</v>
      </c>
      <c r="R287" s="10" t="n">
        <f aca="false">Q287*L287</f>
        <v>2.82</v>
      </c>
      <c r="S287" s="10" t="n">
        <f aca="false">J287-R287</f>
        <v>-2.82</v>
      </c>
      <c r="T287" s="10" t="n">
        <f aca="false">MIN(122.1,(T286+S287))</f>
        <v>3.02</v>
      </c>
      <c r="U287" s="51" t="s">
        <v>35</v>
      </c>
      <c r="V287" s="1" t="n">
        <v>1721.9</v>
      </c>
      <c r="X287" s="1" t="n">
        <v>257011.6</v>
      </c>
      <c r="Y287" s="1" t="n">
        <f aca="false">Y286+V287</f>
        <v>9512.6</v>
      </c>
      <c r="Z287" s="51" t="s">
        <v>36</v>
      </c>
      <c r="AA287" s="1" t="n">
        <v>15.8770801322909</v>
      </c>
    </row>
    <row r="288" customFormat="false" ht="15" hidden="false" customHeight="false" outlineLevel="0" collapsed="false">
      <c r="A288" s="50"/>
      <c r="B288" s="3"/>
      <c r="C288" s="8" t="n">
        <v>42169</v>
      </c>
      <c r="D288" s="1" t="n">
        <v>20.4</v>
      </c>
      <c r="E288" s="1" t="n">
        <v>17.5</v>
      </c>
      <c r="F288" s="1" t="n">
        <v>25.6</v>
      </c>
      <c r="G288" s="1" t="n">
        <v>2732.5</v>
      </c>
      <c r="H288" s="1" t="n">
        <f aca="false">H287+D288</f>
        <v>122.4</v>
      </c>
      <c r="I288" s="10" t="n">
        <f aca="false">AVERAGE(D283:D303)</f>
        <v>19.0714285714286</v>
      </c>
      <c r="J288" s="1" t="n">
        <v>23.6</v>
      </c>
      <c r="K288" s="1" t="n">
        <f aca="false">K287+J288</f>
        <v>651.8</v>
      </c>
      <c r="L288" s="1" t="n">
        <v>1.9</v>
      </c>
      <c r="M288" s="1" t="n">
        <f aca="false">M287+L288</f>
        <v>463.2</v>
      </c>
      <c r="N288" s="1" t="n">
        <v>21.7</v>
      </c>
      <c r="O288" s="1" t="n">
        <f aca="false">O287+N288</f>
        <v>23.3</v>
      </c>
      <c r="P288" s="1" t="n">
        <v>283</v>
      </c>
      <c r="Q288" s="11" t="n">
        <f aca="false">1.15+((P288-260)/48)*(0.35-1.15)</f>
        <v>0.766666666666667</v>
      </c>
      <c r="R288" s="10" t="n">
        <f aca="false">Q288*L288</f>
        <v>1.45666666666667</v>
      </c>
      <c r="S288" s="10" t="n">
        <f aca="false">J288-R288</f>
        <v>22.1433333333333</v>
      </c>
      <c r="T288" s="10" t="n">
        <f aca="false">MIN(122.1,(T287+S288))</f>
        <v>25.1633333333333</v>
      </c>
      <c r="U288" s="1" t="n">
        <v>18</v>
      </c>
      <c r="V288" s="1" t="n">
        <v>967.3</v>
      </c>
      <c r="X288" s="1" t="n">
        <v>257978.9</v>
      </c>
      <c r="Y288" s="1" t="n">
        <f aca="false">Y287+V288</f>
        <v>10479.9</v>
      </c>
      <c r="Z288" s="1" t="n">
        <v>1</v>
      </c>
      <c r="AA288" s="1" t="n">
        <v>15.8885681979102</v>
      </c>
    </row>
    <row r="289" customFormat="false" ht="15" hidden="false" customHeight="false" outlineLevel="0" collapsed="false">
      <c r="A289" s="50"/>
      <c r="B289" s="3"/>
      <c r="C289" s="8" t="n">
        <v>42170</v>
      </c>
      <c r="D289" s="1" t="n">
        <v>17</v>
      </c>
      <c r="E289" s="1" t="n">
        <v>16.3</v>
      </c>
      <c r="F289" s="1" t="n">
        <v>18.1</v>
      </c>
      <c r="G289" s="1" t="n">
        <v>2749.5</v>
      </c>
      <c r="H289" s="1" t="n">
        <f aca="false">H288+D289</f>
        <v>139.4</v>
      </c>
      <c r="I289" s="51" t="s">
        <v>37</v>
      </c>
      <c r="J289" s="1" t="n">
        <v>10.1</v>
      </c>
      <c r="K289" s="1" t="n">
        <f aca="false">K288+J289</f>
        <v>661.9</v>
      </c>
      <c r="L289" s="1" t="n">
        <v>0.8</v>
      </c>
      <c r="M289" s="1" t="n">
        <f aca="false">M288+L289</f>
        <v>464</v>
      </c>
      <c r="N289" s="1" t="n">
        <v>9.3</v>
      </c>
      <c r="O289" s="1" t="n">
        <f aca="false">O288+N289</f>
        <v>32.6</v>
      </c>
      <c r="P289" s="1" t="n">
        <v>284</v>
      </c>
      <c r="Q289" s="11" t="n">
        <f aca="false">1.15+((P289-260)/48)*(0.35-1.15)</f>
        <v>0.75</v>
      </c>
      <c r="R289" s="10" t="n">
        <f aca="false">Q289*L289</f>
        <v>0.6</v>
      </c>
      <c r="S289" s="10" t="n">
        <f aca="false">J289-R289</f>
        <v>9.5</v>
      </c>
      <c r="T289" s="10" t="n">
        <f aca="false">MIN(122.1,(T288+S289))</f>
        <v>34.6633333333333</v>
      </c>
      <c r="U289" s="51" t="s">
        <v>38</v>
      </c>
      <c r="V289" s="1" t="n">
        <v>530.4</v>
      </c>
      <c r="X289" s="1" t="n">
        <v>258509.3</v>
      </c>
      <c r="Y289" s="1" t="n">
        <f aca="false">Y288+V289</f>
        <v>11010.3</v>
      </c>
      <c r="AA289" s="1" t="n">
        <v>15.898730110178</v>
      </c>
    </row>
    <row r="290" customFormat="false" ht="15" hidden="false" customHeight="false" outlineLevel="0" collapsed="false">
      <c r="A290" s="50"/>
      <c r="B290" s="3"/>
      <c r="C290" s="8" t="n">
        <v>42171</v>
      </c>
      <c r="D290" s="1" t="n">
        <v>18.1</v>
      </c>
      <c r="E290" s="1" t="n">
        <v>16.3</v>
      </c>
      <c r="F290" s="1" t="n">
        <v>20.5</v>
      </c>
      <c r="G290" s="1" t="n">
        <v>2767.6</v>
      </c>
      <c r="H290" s="1" t="n">
        <f aca="false">H289+D290</f>
        <v>157.5</v>
      </c>
      <c r="I290" s="1" t="n">
        <v>0</v>
      </c>
      <c r="J290" s="1" t="n">
        <v>0</v>
      </c>
      <c r="K290" s="1" t="n">
        <f aca="false">K289+J290</f>
        <v>661.9</v>
      </c>
      <c r="L290" s="1" t="n">
        <v>2.2</v>
      </c>
      <c r="M290" s="1" t="n">
        <f aca="false">M289+L290</f>
        <v>466.2</v>
      </c>
      <c r="N290" s="1" t="n">
        <v>-2.2</v>
      </c>
      <c r="O290" s="1" t="n">
        <f aca="false">O289+N290</f>
        <v>30.4</v>
      </c>
      <c r="P290" s="1" t="n">
        <v>285</v>
      </c>
      <c r="Q290" s="11" t="n">
        <f aca="false">1.15+((P290-260)/48)*(0.35-1.15)</f>
        <v>0.733333333333333</v>
      </c>
      <c r="R290" s="10" t="n">
        <f aca="false">Q290*L290</f>
        <v>1.61333333333333</v>
      </c>
      <c r="S290" s="10" t="n">
        <f aca="false">J290-R290</f>
        <v>-1.61333333333333</v>
      </c>
      <c r="T290" s="10" t="n">
        <f aca="false">MIN(122.1,(T289+S290))</f>
        <v>33.05</v>
      </c>
      <c r="U290" s="10" t="n">
        <v>0</v>
      </c>
      <c r="V290" s="1" t="n">
        <v>1259.7</v>
      </c>
      <c r="X290" s="1" t="n">
        <v>259769</v>
      </c>
      <c r="Y290" s="1" t="n">
        <f aca="false">Y289+V290</f>
        <v>12270</v>
      </c>
      <c r="AA290" s="1" t="n">
        <v>15.9075562511475</v>
      </c>
    </row>
    <row r="291" customFormat="false" ht="15" hidden="false" customHeight="false" outlineLevel="0" collapsed="false">
      <c r="A291" s="50"/>
      <c r="B291" s="3"/>
      <c r="C291" s="8" t="n">
        <v>42172</v>
      </c>
      <c r="D291" s="1" t="n">
        <v>17.4</v>
      </c>
      <c r="E291" s="1" t="n">
        <v>13.3</v>
      </c>
      <c r="F291" s="1" t="n">
        <v>22.3</v>
      </c>
      <c r="G291" s="1" t="n">
        <v>2785</v>
      </c>
      <c r="H291" s="1" t="n">
        <f aca="false">H290+D291</f>
        <v>174.9</v>
      </c>
      <c r="I291" s="51" t="s">
        <v>39</v>
      </c>
      <c r="J291" s="1" t="n">
        <v>0</v>
      </c>
      <c r="K291" s="1" t="n">
        <f aca="false">K290+J291</f>
        <v>661.9</v>
      </c>
      <c r="L291" s="1" t="n">
        <v>6.3</v>
      </c>
      <c r="M291" s="1" t="n">
        <f aca="false">M290+L291</f>
        <v>472.5</v>
      </c>
      <c r="N291" s="1" t="n">
        <v>-6.3</v>
      </c>
      <c r="O291" s="1" t="n">
        <f aca="false">O290+N291</f>
        <v>24.1</v>
      </c>
      <c r="P291" s="1" t="n">
        <v>286</v>
      </c>
      <c r="Q291" s="11" t="n">
        <f aca="false">1.15+((P291-260)/48)*(0.35-1.15)</f>
        <v>0.716666666666667</v>
      </c>
      <c r="R291" s="10" t="n">
        <f aca="false">Q291*L291</f>
        <v>4.515</v>
      </c>
      <c r="S291" s="10" t="n">
        <f aca="false">J291-R291</f>
        <v>-4.515</v>
      </c>
      <c r="T291" s="10" t="n">
        <f aca="false">MIN(122.1,(T290+S291))</f>
        <v>28.535</v>
      </c>
      <c r="U291" s="51" t="s">
        <v>40</v>
      </c>
      <c r="V291" s="1" t="n">
        <v>3347.6</v>
      </c>
      <c r="X291" s="1" t="n">
        <v>263116.6</v>
      </c>
      <c r="Y291" s="1" t="n">
        <f aca="false">Y290+V291</f>
        <v>15617.6</v>
      </c>
      <c r="AA291" s="1" t="n">
        <v>15.9150382812065</v>
      </c>
    </row>
    <row r="292" customFormat="false" ht="15" hidden="false" customHeight="false" outlineLevel="0" collapsed="false">
      <c r="A292" s="50"/>
      <c r="B292" s="3"/>
      <c r="C292" s="8" t="n">
        <v>42173</v>
      </c>
      <c r="D292" s="1" t="n">
        <v>17</v>
      </c>
      <c r="E292" s="1" t="n">
        <v>11.5</v>
      </c>
      <c r="F292" s="1" t="n">
        <v>21.3</v>
      </c>
      <c r="G292" s="1" t="n">
        <v>2802</v>
      </c>
      <c r="H292" s="1" t="n">
        <f aca="false">H291+D292</f>
        <v>191.9</v>
      </c>
      <c r="I292" s="1" t="n">
        <v>9</v>
      </c>
      <c r="J292" s="1" t="n">
        <v>2.8</v>
      </c>
      <c r="K292" s="1" t="n">
        <f aca="false">K291+J292</f>
        <v>664.7</v>
      </c>
      <c r="L292" s="1" t="n">
        <v>2.6</v>
      </c>
      <c r="M292" s="1" t="n">
        <f aca="false">M291+L292</f>
        <v>475.1</v>
      </c>
      <c r="N292" s="1" t="n">
        <v>0.2</v>
      </c>
      <c r="O292" s="1" t="n">
        <f aca="false">O291+N292</f>
        <v>24.3</v>
      </c>
      <c r="P292" s="1" t="n">
        <v>287</v>
      </c>
      <c r="Q292" s="11" t="n">
        <f aca="false">1.15+((P292-260)/48)*(0.35-1.15)</f>
        <v>0.7</v>
      </c>
      <c r="R292" s="10" t="n">
        <f aca="false">Q292*L292</f>
        <v>1.82</v>
      </c>
      <c r="S292" s="10" t="n">
        <f aca="false">J292-R292</f>
        <v>0.98</v>
      </c>
      <c r="T292" s="10" t="n">
        <f aca="false">MIN(122.1,(T291+S292))</f>
        <v>29.515</v>
      </c>
      <c r="U292" s="10" t="n">
        <f aca="false">MAX(T283:T303)</f>
        <v>34.6633333333333</v>
      </c>
      <c r="V292" s="1" t="n">
        <v>1338.6</v>
      </c>
      <c r="X292" s="1" t="n">
        <v>264455.2</v>
      </c>
      <c r="Y292" s="1" t="n">
        <f aca="false">Y291+V292</f>
        <v>16956.2</v>
      </c>
      <c r="AA292" s="1" t="n">
        <v>15.9211691699458</v>
      </c>
    </row>
    <row r="293" customFormat="false" ht="15" hidden="false" customHeight="false" outlineLevel="0" collapsed="false">
      <c r="A293" s="50"/>
      <c r="B293" s="3"/>
      <c r="C293" s="8" t="n">
        <v>42174</v>
      </c>
      <c r="D293" s="1" t="n">
        <v>16.8</v>
      </c>
      <c r="E293" s="1" t="n">
        <v>12.9</v>
      </c>
      <c r="F293" s="1" t="n">
        <v>21.1</v>
      </c>
      <c r="G293" s="1" t="n">
        <v>2818.8</v>
      </c>
      <c r="H293" s="1" t="n">
        <f aca="false">H292+D293</f>
        <v>208.7</v>
      </c>
      <c r="I293" s="51" t="s">
        <v>41</v>
      </c>
      <c r="J293" s="1" t="n">
        <v>0</v>
      </c>
      <c r="K293" s="1" t="n">
        <f aca="false">K292+J293</f>
        <v>664.7</v>
      </c>
      <c r="L293" s="1" t="n">
        <v>3.9</v>
      </c>
      <c r="M293" s="1" t="n">
        <f aca="false">M292+L293</f>
        <v>479</v>
      </c>
      <c r="N293" s="1" t="n">
        <v>-3.9</v>
      </c>
      <c r="O293" s="1" t="n">
        <f aca="false">O292+N293</f>
        <v>20.4</v>
      </c>
      <c r="P293" s="1" t="n">
        <v>288</v>
      </c>
      <c r="Q293" s="11" t="n">
        <f aca="false">1.15+((P293-260)/48)*(0.35-1.15)</f>
        <v>0.683333333333333</v>
      </c>
      <c r="R293" s="10" t="n">
        <f aca="false">Q293*L293</f>
        <v>2.665</v>
      </c>
      <c r="S293" s="10" t="n">
        <f aca="false">J293-R293</f>
        <v>-2.665</v>
      </c>
      <c r="T293" s="10" t="n">
        <f aca="false">MIN(122.1,(T292+S293))</f>
        <v>26.85</v>
      </c>
      <c r="U293" s="51" t="s">
        <v>42</v>
      </c>
      <c r="V293" s="1" t="n">
        <v>2022.6</v>
      </c>
      <c r="X293" s="1" t="n">
        <v>266477.8</v>
      </c>
      <c r="Y293" s="1" t="n">
        <f aca="false">Y292+V293</f>
        <v>18978.8</v>
      </c>
      <c r="AA293" s="1" t="n">
        <v>15.9259432223794</v>
      </c>
    </row>
    <row r="294" customFormat="false" ht="15" hidden="false" customHeight="false" outlineLevel="0" collapsed="false">
      <c r="A294" s="50"/>
      <c r="B294" s="3"/>
      <c r="C294" s="8" t="n">
        <v>42175</v>
      </c>
      <c r="D294" s="1" t="n">
        <v>15.1</v>
      </c>
      <c r="E294" s="1" t="n">
        <v>11</v>
      </c>
      <c r="F294" s="1" t="n">
        <v>18.5</v>
      </c>
      <c r="G294" s="1" t="n">
        <v>2833.9</v>
      </c>
      <c r="H294" s="1" t="n">
        <f aca="false">H293+D294</f>
        <v>223.8</v>
      </c>
      <c r="I294" s="1" t="n">
        <v>0</v>
      </c>
      <c r="J294" s="1" t="n">
        <v>0</v>
      </c>
      <c r="K294" s="1" t="n">
        <f aca="false">K293+J294</f>
        <v>664.7</v>
      </c>
      <c r="L294" s="1" t="n">
        <v>2.6</v>
      </c>
      <c r="M294" s="1" t="n">
        <f aca="false">M293+L294</f>
        <v>481.6</v>
      </c>
      <c r="N294" s="1" t="n">
        <v>-2.6</v>
      </c>
      <c r="O294" s="1" t="n">
        <f aca="false">O293+N294</f>
        <v>17.8</v>
      </c>
      <c r="P294" s="1" t="n">
        <v>289</v>
      </c>
      <c r="Q294" s="11" t="n">
        <f aca="false">1.15+((P294-260)/48)*(0.35-1.15)</f>
        <v>0.666666666666667</v>
      </c>
      <c r="R294" s="10" t="n">
        <f aca="false">Q294*L294</f>
        <v>1.73333333333333</v>
      </c>
      <c r="S294" s="10" t="n">
        <f aca="false">J294-R294</f>
        <v>-1.73333333333333</v>
      </c>
      <c r="T294" s="10" t="n">
        <f aca="false">MIN(122.1,(T293+S294))</f>
        <v>25.1166666666667</v>
      </c>
      <c r="U294" s="11" t="n">
        <f aca="false">AVERAGE(T283:T303)</f>
        <v>16.7521428571429</v>
      </c>
      <c r="V294" s="1" t="n">
        <v>1425</v>
      </c>
      <c r="X294" s="1" t="n">
        <v>267902.8</v>
      </c>
      <c r="Y294" s="1" t="n">
        <f aca="false">Y293+V294</f>
        <v>20403.8</v>
      </c>
      <c r="AA294" s="1" t="n">
        <v>15.9293561003129</v>
      </c>
    </row>
    <row r="295" customFormat="false" ht="15" hidden="false" customHeight="false" outlineLevel="0" collapsed="false">
      <c r="A295" s="50"/>
      <c r="B295" s="3"/>
      <c r="C295" s="8" t="n">
        <v>42176</v>
      </c>
      <c r="D295" s="1" t="n">
        <v>18.2</v>
      </c>
      <c r="E295" s="1" t="n">
        <v>13.7</v>
      </c>
      <c r="F295" s="1" t="n">
        <v>22</v>
      </c>
      <c r="G295" s="1" t="n">
        <v>2852.1</v>
      </c>
      <c r="H295" s="1" t="n">
        <f aca="false">H294+D295</f>
        <v>242</v>
      </c>
      <c r="I295" s="51" t="s">
        <v>43</v>
      </c>
      <c r="J295" s="1" t="n">
        <v>0.6</v>
      </c>
      <c r="K295" s="1" t="n">
        <f aca="false">K294+J295</f>
        <v>665.3</v>
      </c>
      <c r="L295" s="1" t="n">
        <v>2</v>
      </c>
      <c r="M295" s="1" t="n">
        <f aca="false">M294+L295</f>
        <v>483.6</v>
      </c>
      <c r="N295" s="1" t="n">
        <v>-1.4</v>
      </c>
      <c r="O295" s="1" t="n">
        <f aca="false">O294+N295</f>
        <v>16.4</v>
      </c>
      <c r="P295" s="1" t="n">
        <v>290</v>
      </c>
      <c r="Q295" s="11" t="n">
        <f aca="false">1.15+((P295-260)/48)*(0.35-1.15)</f>
        <v>0.65</v>
      </c>
      <c r="R295" s="10" t="n">
        <f aca="false">Q295*L295</f>
        <v>1.3</v>
      </c>
      <c r="S295" s="10" t="n">
        <f aca="false">J295-R295</f>
        <v>-0.7</v>
      </c>
      <c r="T295" s="10" t="n">
        <f aca="false">MIN(122.1,(T294+S295))</f>
        <v>24.4166666666667</v>
      </c>
      <c r="V295" s="1" t="n">
        <v>1103.5</v>
      </c>
      <c r="X295" s="1" t="n">
        <v>269006.3</v>
      </c>
      <c r="Y295" s="1" t="n">
        <f aca="false">Y294+V295</f>
        <v>21507.3</v>
      </c>
      <c r="AA295" s="1" t="n">
        <v>15.9314048386947</v>
      </c>
    </row>
    <row r="296" customFormat="false" ht="15" hidden="false" customHeight="false" outlineLevel="0" collapsed="false">
      <c r="A296" s="50"/>
      <c r="B296" s="3"/>
      <c r="C296" s="8" t="n">
        <v>42177</v>
      </c>
      <c r="D296" s="1" t="n">
        <v>19.5</v>
      </c>
      <c r="E296" s="1" t="n">
        <v>14.1</v>
      </c>
      <c r="F296" s="1" t="n">
        <v>25.1</v>
      </c>
      <c r="G296" s="42" t="n">
        <v>2871.6</v>
      </c>
      <c r="H296" s="1" t="n">
        <f aca="false">H295+D296</f>
        <v>261.5</v>
      </c>
      <c r="I296" s="1" t="n">
        <v>400.5</v>
      </c>
      <c r="J296" s="1" t="n">
        <v>1.3</v>
      </c>
      <c r="K296" s="1" t="n">
        <f aca="false">K295+J296</f>
        <v>666.6</v>
      </c>
      <c r="L296" s="1" t="n">
        <v>3.3</v>
      </c>
      <c r="M296" s="1" t="n">
        <f aca="false">M295+L296</f>
        <v>486.9</v>
      </c>
      <c r="N296" s="1" t="n">
        <v>-2</v>
      </c>
      <c r="O296" s="1" t="n">
        <f aca="false">O295+N296</f>
        <v>14.4</v>
      </c>
      <c r="P296" s="1" t="n">
        <v>291</v>
      </c>
      <c r="Q296" s="11" t="n">
        <f aca="false">1.15+((P296-260)/48)*(0.35-1.15)</f>
        <v>0.633333333333333</v>
      </c>
      <c r="R296" s="10" t="n">
        <f aca="false">Q296*L296</f>
        <v>2.09</v>
      </c>
      <c r="S296" s="10" t="n">
        <f aca="false">J296-R296</f>
        <v>-0.79</v>
      </c>
      <c r="T296" s="10" t="n">
        <f aca="false">MIN(122.1,(T295+S296))</f>
        <v>23.6266666666667</v>
      </c>
      <c r="U296" s="1" t="n">
        <f aca="false">(U294*100)/122.1</f>
        <v>13.7200187200187</v>
      </c>
      <c r="V296" s="1" t="n">
        <v>1260.2</v>
      </c>
      <c r="X296" s="42" t="n">
        <v>270266.5</v>
      </c>
      <c r="Y296" s="1" t="n">
        <f aca="false">Y295+V296</f>
        <v>22767.5</v>
      </c>
      <c r="Z296" s="1"/>
      <c r="AA296" s="1" t="n">
        <v>15.9320878568184</v>
      </c>
    </row>
    <row r="297" customFormat="false" ht="15" hidden="false" customHeight="true" outlineLevel="0" collapsed="false">
      <c r="A297" s="50"/>
      <c r="B297" s="52"/>
      <c r="C297" s="8" t="n">
        <v>42178</v>
      </c>
      <c r="D297" s="1" t="n">
        <v>15.1</v>
      </c>
      <c r="E297" s="1" t="n">
        <v>12.8</v>
      </c>
      <c r="F297" s="1" t="n">
        <v>18.3</v>
      </c>
      <c r="G297" s="1" t="n">
        <v>2886.7</v>
      </c>
      <c r="H297" s="1" t="n">
        <f aca="false">H296+D297</f>
        <v>276.6</v>
      </c>
      <c r="J297" s="1" t="n">
        <v>0</v>
      </c>
      <c r="K297" s="1" t="n">
        <f aca="false">K296+J297</f>
        <v>666.6</v>
      </c>
      <c r="L297" s="1" t="n">
        <v>3.6</v>
      </c>
      <c r="M297" s="1" t="n">
        <f aca="false">M296+L297</f>
        <v>490.5</v>
      </c>
      <c r="N297" s="1" t="n">
        <v>-3.6</v>
      </c>
      <c r="O297" s="1" t="n">
        <f aca="false">O296+N297</f>
        <v>10.8</v>
      </c>
      <c r="P297" s="1" t="n">
        <v>292</v>
      </c>
      <c r="Q297" s="11" t="n">
        <f aca="false">1.15+((P297-260)/48)*(0.35-1.15)</f>
        <v>0.616666666666667</v>
      </c>
      <c r="R297" s="10" t="n">
        <f aca="false">Q297*L297</f>
        <v>2.22</v>
      </c>
      <c r="S297" s="10" t="n">
        <f aca="false">J297-R297</f>
        <v>-2.22</v>
      </c>
      <c r="T297" s="10" t="n">
        <f aca="false">MIN(122.1,(T296+S297))</f>
        <v>21.4066666666667</v>
      </c>
      <c r="V297" s="1" t="n">
        <v>1868.2</v>
      </c>
      <c r="X297" s="1" t="n">
        <v>272134.7</v>
      </c>
      <c r="Y297" s="1" t="n">
        <f aca="false">Y296+V297</f>
        <v>24635.7</v>
      </c>
      <c r="Z297" s="1"/>
      <c r="AA297" s="1" t="n">
        <v>15.9314049642899</v>
      </c>
    </row>
    <row r="298" customFormat="false" ht="15" hidden="false" customHeight="false" outlineLevel="0" collapsed="false">
      <c r="A298" s="50"/>
      <c r="B298" s="52"/>
      <c r="C298" s="8" t="n">
        <v>42179</v>
      </c>
      <c r="D298" s="1" t="n">
        <v>17.2</v>
      </c>
      <c r="E298" s="1" t="n">
        <v>9.2</v>
      </c>
      <c r="F298" s="1" t="n">
        <v>23.1</v>
      </c>
      <c r="G298" s="1" t="n">
        <v>2903.9</v>
      </c>
      <c r="H298" s="1" t="n">
        <f aca="false">H297+D298</f>
        <v>293.8</v>
      </c>
      <c r="J298" s="1" t="n">
        <v>0</v>
      </c>
      <c r="K298" s="1" t="n">
        <f aca="false">K297+J298</f>
        <v>666.6</v>
      </c>
      <c r="L298" s="1" t="n">
        <v>5.4</v>
      </c>
      <c r="M298" s="1" t="n">
        <f aca="false">M297+L298</f>
        <v>495.9</v>
      </c>
      <c r="N298" s="1" t="n">
        <v>-5.4</v>
      </c>
      <c r="O298" s="1" t="n">
        <f aca="false">O297+N298</f>
        <v>5.4</v>
      </c>
      <c r="P298" s="1" t="n">
        <v>293</v>
      </c>
      <c r="Q298" s="11" t="n">
        <f aca="false">1.15+((P298-260)/48)*(0.35-1.15)</f>
        <v>0.6</v>
      </c>
      <c r="R298" s="10" t="n">
        <f aca="false">Q298*L298</f>
        <v>3.24</v>
      </c>
      <c r="S298" s="10" t="n">
        <f aca="false">J298-R298</f>
        <v>-3.24</v>
      </c>
      <c r="T298" s="10" t="n">
        <f aca="false">MIN(122.1,(T297+S298))</f>
        <v>18.1666666666667</v>
      </c>
      <c r="V298" s="1" t="n">
        <v>3133.4</v>
      </c>
      <c r="X298" s="1" t="n">
        <v>275268.1</v>
      </c>
      <c r="Y298" s="1" t="n">
        <f aca="false">Y297+V298</f>
        <v>27769.1</v>
      </c>
      <c r="AA298" s="1" t="n">
        <v>15.9293573617103</v>
      </c>
    </row>
    <row r="299" customFormat="false" ht="15" hidden="false" customHeight="false" outlineLevel="0" collapsed="false">
      <c r="A299" s="50"/>
      <c r="B299" s="52"/>
      <c r="C299" s="8" t="n">
        <v>42180</v>
      </c>
      <c r="D299" s="1" t="n">
        <v>19.4</v>
      </c>
      <c r="E299" s="1" t="n">
        <v>11.8</v>
      </c>
      <c r="F299" s="1" t="n">
        <v>25.5</v>
      </c>
      <c r="G299" s="1" t="n">
        <v>2923.3</v>
      </c>
      <c r="H299" s="1" t="n">
        <f aca="false">H298+D299</f>
        <v>313.2</v>
      </c>
      <c r="J299" s="1" t="n">
        <v>0</v>
      </c>
      <c r="K299" s="1" t="n">
        <f aca="false">K298+J299</f>
        <v>666.6</v>
      </c>
      <c r="L299" s="1" t="n">
        <v>3.8</v>
      </c>
      <c r="M299" s="1" t="n">
        <f aca="false">M298+L299</f>
        <v>499.7</v>
      </c>
      <c r="N299" s="1" t="n">
        <v>-3.8</v>
      </c>
      <c r="O299" s="1" t="n">
        <f aca="false">O298+N299</f>
        <v>1.6</v>
      </c>
      <c r="P299" s="1" t="n">
        <v>294</v>
      </c>
      <c r="Q299" s="11" t="n">
        <f aca="false">1.15+((P299-260)/48)*(0.35-1.15)</f>
        <v>0.583333333333333</v>
      </c>
      <c r="R299" s="10" t="n">
        <f aca="false">Q299*L299</f>
        <v>2.21666666666667</v>
      </c>
      <c r="S299" s="10" t="n">
        <f aca="false">J299-R299</f>
        <v>-2.21666666666667</v>
      </c>
      <c r="T299" s="10" t="n">
        <f aca="false">MIN(122.1,(T298+S299))</f>
        <v>15.95</v>
      </c>
      <c r="V299" s="1" t="n">
        <v>2138.7</v>
      </c>
      <c r="X299" s="1" t="n">
        <v>277406.8</v>
      </c>
      <c r="Y299" s="1" t="n">
        <f aca="false">Y298+V299</f>
        <v>29907.8</v>
      </c>
      <c r="AA299" s="1" t="n">
        <v>15.9259476360702</v>
      </c>
    </row>
    <row r="300" customFormat="false" ht="15" hidden="false" customHeight="false" outlineLevel="0" collapsed="false">
      <c r="A300" s="50"/>
      <c r="B300" s="52"/>
      <c r="C300" s="8" t="n">
        <v>42181</v>
      </c>
      <c r="D300" s="1" t="n">
        <v>21.6</v>
      </c>
      <c r="E300" s="1" t="n">
        <v>13.7</v>
      </c>
      <c r="F300" s="1" t="n">
        <v>27.6</v>
      </c>
      <c r="G300" s="1" t="n">
        <v>2944.9</v>
      </c>
      <c r="H300" s="1" t="n">
        <f aca="false">H299+D300</f>
        <v>334.8</v>
      </c>
      <c r="J300" s="1" t="n">
        <v>0</v>
      </c>
      <c r="K300" s="1" t="n">
        <f aca="false">K299+J300</f>
        <v>666.6</v>
      </c>
      <c r="L300" s="1" t="n">
        <v>5.4</v>
      </c>
      <c r="M300" s="1" t="n">
        <f aca="false">M299+L300</f>
        <v>505.1</v>
      </c>
      <c r="N300" s="1" t="n">
        <v>-5.4</v>
      </c>
      <c r="O300" s="1" t="n">
        <v>0</v>
      </c>
      <c r="P300" s="1" t="n">
        <v>295</v>
      </c>
      <c r="Q300" s="11" t="n">
        <f aca="false">1.15+((P300-260)/48)*(0.35-1.15)</f>
        <v>0.566666666666667</v>
      </c>
      <c r="R300" s="10" t="n">
        <f aca="false">Q300*L300</f>
        <v>3.06</v>
      </c>
      <c r="S300" s="10" t="n">
        <f aca="false">J300-R300</f>
        <v>-3.06</v>
      </c>
      <c r="T300" s="10" t="n">
        <f aca="false">MIN(122.1,(T299+S300))</f>
        <v>12.89</v>
      </c>
      <c r="V300" s="1" t="n">
        <v>2654.1</v>
      </c>
      <c r="X300" s="1" t="n">
        <v>280060.9</v>
      </c>
      <c r="Y300" s="1" t="n">
        <f aca="false">Y299+V300</f>
        <v>32561.9</v>
      </c>
      <c r="AA300" s="1" t="n">
        <v>15.9211797508908</v>
      </c>
    </row>
    <row r="301" customFormat="false" ht="15" hidden="false" customHeight="false" outlineLevel="0" collapsed="false">
      <c r="A301" s="50"/>
      <c r="B301" s="52"/>
      <c r="C301" s="8" t="n">
        <v>42182</v>
      </c>
      <c r="D301" s="1" t="n">
        <v>21.2</v>
      </c>
      <c r="E301" s="1" t="n">
        <v>16</v>
      </c>
      <c r="F301" s="1" t="n">
        <v>26.3</v>
      </c>
      <c r="G301" s="1" t="n">
        <v>2966.1</v>
      </c>
      <c r="H301" s="1" t="n">
        <f aca="false">H300+D301</f>
        <v>356</v>
      </c>
      <c r="J301" s="1" t="n">
        <v>0</v>
      </c>
      <c r="K301" s="1" t="n">
        <f aca="false">K300+J301</f>
        <v>666.6</v>
      </c>
      <c r="L301" s="1" t="n">
        <v>3.4</v>
      </c>
      <c r="M301" s="1" t="n">
        <f aca="false">M300+L301</f>
        <v>508.5</v>
      </c>
      <c r="N301" s="1" t="n">
        <v>-3.4</v>
      </c>
      <c r="O301" s="1" t="n">
        <v>0</v>
      </c>
      <c r="P301" s="1" t="n">
        <v>296</v>
      </c>
      <c r="Q301" s="11" t="n">
        <f aca="false">1.15+((P301-260)/48)*(0.35-1.15)</f>
        <v>0.55</v>
      </c>
      <c r="R301" s="10" t="n">
        <f aca="false">Q301*L301</f>
        <v>1.87</v>
      </c>
      <c r="S301" s="10" t="n">
        <f aca="false">J301-R301</f>
        <v>-1.87</v>
      </c>
      <c r="T301" s="10" t="n">
        <f aca="false">MIN(122.1,(T300+S301))</f>
        <v>11.02</v>
      </c>
      <c r="V301" s="1" t="n">
        <v>1332</v>
      </c>
      <c r="X301" s="1" t="n">
        <v>281392.9</v>
      </c>
      <c r="Y301" s="1" t="n">
        <f aca="false">Y300+V301</f>
        <v>33893.9</v>
      </c>
      <c r="AA301" s="1" t="n">
        <v>15.9150590311907</v>
      </c>
    </row>
    <row r="302" customFormat="false" ht="15" hidden="false" customHeight="false" outlineLevel="0" collapsed="false">
      <c r="A302" s="50"/>
      <c r="B302" s="52"/>
      <c r="C302" s="8" t="n">
        <v>42183</v>
      </c>
      <c r="D302" s="1" t="n">
        <v>21.6</v>
      </c>
      <c r="E302" s="1" t="n">
        <v>13.3</v>
      </c>
      <c r="F302" s="1" t="n">
        <v>28</v>
      </c>
      <c r="G302" s="1" t="n">
        <v>2987.7</v>
      </c>
      <c r="H302" s="1" t="n">
        <f aca="false">H301+D302</f>
        <v>377.6</v>
      </c>
      <c r="J302" s="1" t="n">
        <v>0</v>
      </c>
      <c r="K302" s="1" t="n">
        <f aca="false">K301+J302</f>
        <v>666.6</v>
      </c>
      <c r="L302" s="1" t="n">
        <v>6.8</v>
      </c>
      <c r="M302" s="1" t="n">
        <f aca="false">M301+L302</f>
        <v>515.3</v>
      </c>
      <c r="N302" s="1" t="n">
        <v>-6.8</v>
      </c>
      <c r="O302" s="1" t="n">
        <v>0</v>
      </c>
      <c r="P302" s="1" t="n">
        <v>297</v>
      </c>
      <c r="Q302" s="11" t="n">
        <f aca="false">1.15+((P302-260)/48)*(0.35-1.15)</f>
        <v>0.533333333333333</v>
      </c>
      <c r="R302" s="10" t="n">
        <f aca="false">Q302*L302</f>
        <v>3.62666666666667</v>
      </c>
      <c r="S302" s="10" t="n">
        <f aca="false">J302-R302</f>
        <v>-3.62666666666667</v>
      </c>
      <c r="T302" s="10" t="n">
        <f aca="false">MIN(122.1,(T301+S302))</f>
        <v>7.39333333333334</v>
      </c>
      <c r="V302" s="1" t="n">
        <v>3318.5</v>
      </c>
      <c r="X302" s="1" t="n">
        <v>284711.4</v>
      </c>
      <c r="Y302" s="1" t="n">
        <f aca="false">Y301+V302</f>
        <v>37212.4</v>
      </c>
      <c r="AA302" s="1" t="n">
        <v>15.9075921433968</v>
      </c>
    </row>
    <row r="303" s="31" customFormat="true" ht="15" hidden="false" customHeight="false" outlineLevel="0" collapsed="false">
      <c r="A303" s="50"/>
      <c r="B303" s="53" t="n">
        <v>1000</v>
      </c>
      <c r="C303" s="30" t="n">
        <v>42184</v>
      </c>
      <c r="D303" s="31" t="n">
        <v>22.9</v>
      </c>
      <c r="E303" s="31" t="n">
        <v>14.6</v>
      </c>
      <c r="F303" s="31" t="n">
        <v>30.3</v>
      </c>
      <c r="G303" s="31" t="n">
        <v>3010.6</v>
      </c>
      <c r="H303" s="31" t="n">
        <f aca="false">H302+D303</f>
        <v>400.5</v>
      </c>
      <c r="J303" s="31" t="n">
        <v>0</v>
      </c>
      <c r="K303" s="31" t="n">
        <f aca="false">K302+J303</f>
        <v>666.6</v>
      </c>
      <c r="L303" s="31" t="n">
        <v>4.3</v>
      </c>
      <c r="M303" s="31" t="n">
        <f aca="false">M302+L303</f>
        <v>519.6</v>
      </c>
      <c r="N303" s="31" t="n">
        <v>-4.3</v>
      </c>
      <c r="O303" s="31" t="n">
        <v>0</v>
      </c>
      <c r="P303" s="31" t="n">
        <v>298</v>
      </c>
      <c r="Q303" s="49" t="n">
        <f aca="false">1.15+((P303-260)/48)*(0.35-1.15)</f>
        <v>0.516666666666667</v>
      </c>
      <c r="R303" s="34" t="n">
        <f aca="false">Q303*L303</f>
        <v>2.22166666666667</v>
      </c>
      <c r="S303" s="34" t="n">
        <f aca="false">J303-R303</f>
        <v>-2.22166666666667</v>
      </c>
      <c r="T303" s="46" t="n">
        <f aca="false">MIN(122.1,(T302+S303))</f>
        <v>5.17166666666667</v>
      </c>
      <c r="V303" s="31" t="n">
        <v>2019</v>
      </c>
      <c r="X303" s="31" t="n">
        <v>286730.4</v>
      </c>
      <c r="Y303" s="33" t="n">
        <f aca="false">Y302+V303</f>
        <v>39231.4</v>
      </c>
      <c r="AA303" s="33" t="n">
        <v>15.8987870703568</v>
      </c>
    </row>
    <row r="304" customFormat="false" ht="15" hidden="false" customHeight="false" outlineLevel="0" collapsed="false">
      <c r="A304" s="54"/>
      <c r="B304" s="52"/>
      <c r="C304" s="8" t="n">
        <v>42185</v>
      </c>
      <c r="D304" s="1" t="n">
        <v>25.9</v>
      </c>
      <c r="E304" s="1" t="n">
        <v>18.7</v>
      </c>
      <c r="F304" s="1" t="n">
        <v>32.2</v>
      </c>
      <c r="G304" s="1" t="n">
        <v>3036.5</v>
      </c>
      <c r="H304" s="1" t="n">
        <f aca="false">H303+D304</f>
        <v>426.4</v>
      </c>
      <c r="J304" s="1" t="n">
        <v>0</v>
      </c>
      <c r="K304" s="1" t="n">
        <f aca="false">K303+J304</f>
        <v>666.6</v>
      </c>
      <c r="L304" s="1" t="n">
        <v>8.2</v>
      </c>
      <c r="M304" s="1" t="n">
        <f aca="false">M303+L304</f>
        <v>527.8</v>
      </c>
      <c r="N304" s="1" t="n">
        <v>-8.2</v>
      </c>
      <c r="O304" s="1" t="n">
        <v>0</v>
      </c>
      <c r="P304" s="1" t="n">
        <v>299</v>
      </c>
      <c r="Q304" s="11" t="n">
        <f aca="false">1.15+((P304-260)/48)*(0.35-1.15)</f>
        <v>0.5</v>
      </c>
      <c r="R304" s="10" t="n">
        <f aca="false">Q304*L304</f>
        <v>4.1</v>
      </c>
      <c r="S304" s="10" t="n">
        <f aca="false">J304-R304</f>
        <v>-4.1</v>
      </c>
      <c r="T304" s="10" t="n">
        <f aca="false">MIN(122.1,(T303+S304))</f>
        <v>1.07166666666667</v>
      </c>
      <c r="V304" s="1" t="n">
        <v>3287.8</v>
      </c>
      <c r="X304" s="1" t="n">
        <v>290018.2</v>
      </c>
      <c r="Y304" s="1" t="n">
        <v>3287.8</v>
      </c>
      <c r="AA304" s="1" t="n">
        <v>15.8886530816473</v>
      </c>
    </row>
    <row r="305" customFormat="false" ht="15" hidden="false" customHeight="false" outlineLevel="0" collapsed="false">
      <c r="A305" s="54"/>
      <c r="B305" s="52"/>
      <c r="C305" s="8" t="n">
        <v>42186</v>
      </c>
      <c r="D305" s="1" t="n">
        <v>27.2</v>
      </c>
      <c r="E305" s="1" t="n">
        <v>19.3</v>
      </c>
      <c r="F305" s="1" t="n">
        <v>34.4</v>
      </c>
      <c r="G305" s="1" t="n">
        <v>3063.7</v>
      </c>
      <c r="H305" s="1" t="n">
        <f aca="false">H304+D305</f>
        <v>453.6</v>
      </c>
      <c r="J305" s="1" t="n">
        <v>0</v>
      </c>
      <c r="K305" s="1" t="n">
        <f aca="false">K304+J305</f>
        <v>666.6</v>
      </c>
      <c r="L305" s="1" t="n">
        <v>8.5</v>
      </c>
      <c r="M305" s="1" t="n">
        <f aca="false">M304+L305</f>
        <v>536.3</v>
      </c>
      <c r="N305" s="1" t="n">
        <v>-8.5</v>
      </c>
      <c r="O305" s="1" t="n">
        <v>0</v>
      </c>
      <c r="P305" s="1" t="n">
        <v>300</v>
      </c>
      <c r="Q305" s="11" t="n">
        <f aca="false">1.15+((P305-260)/48)*(0.35-1.15)</f>
        <v>0.483333333333333</v>
      </c>
      <c r="R305" s="10" t="n">
        <f aca="false">Q305*L305</f>
        <v>4.10833333333333</v>
      </c>
      <c r="S305" s="10" t="n">
        <f aca="false">J305-R305</f>
        <v>-4.10833333333333</v>
      </c>
      <c r="T305" s="10" t="n">
        <v>0</v>
      </c>
      <c r="V305" s="1" t="n">
        <v>3272.4</v>
      </c>
      <c r="X305" s="1" t="n">
        <v>293290.6</v>
      </c>
      <c r="Y305" s="1" t="n">
        <f aca="false">Y304+V305</f>
        <v>6560.2</v>
      </c>
      <c r="AA305" s="1" t="n">
        <v>15.8772006994061</v>
      </c>
    </row>
    <row r="306" customFormat="false" ht="15" hidden="false" customHeight="false" outlineLevel="0" collapsed="false">
      <c r="A306" s="54"/>
      <c r="B306" s="52"/>
      <c r="C306" s="8" t="n">
        <v>42187</v>
      </c>
      <c r="D306" s="1" t="n">
        <v>27.6</v>
      </c>
      <c r="E306" s="1" t="n">
        <v>19.9</v>
      </c>
      <c r="F306" s="1" t="n">
        <v>34.8</v>
      </c>
      <c r="G306" s="1" t="n">
        <v>3091.3</v>
      </c>
      <c r="H306" s="1" t="n">
        <f aca="false">H305+D306</f>
        <v>481.2</v>
      </c>
      <c r="J306" s="1" t="n">
        <v>0</v>
      </c>
      <c r="K306" s="1" t="n">
        <f aca="false">K305+J306</f>
        <v>666.6</v>
      </c>
      <c r="L306" s="1" t="n">
        <v>8.5</v>
      </c>
      <c r="M306" s="1" t="n">
        <f aca="false">M305+L306</f>
        <v>544.8</v>
      </c>
      <c r="N306" s="1" t="n">
        <v>-8.5</v>
      </c>
      <c r="O306" s="1" t="n">
        <v>0</v>
      </c>
      <c r="P306" s="1" t="n">
        <v>301</v>
      </c>
      <c r="Q306" s="11" t="n">
        <f aca="false">1.15+((P306-260)/48)*(0.35-1.15)</f>
        <v>0.466666666666667</v>
      </c>
      <c r="R306" s="10" t="n">
        <f aca="false">Q306*L306</f>
        <v>3.96666666666667</v>
      </c>
      <c r="S306" s="10" t="n">
        <f aca="false">J306-R306</f>
        <v>-3.96666666666667</v>
      </c>
      <c r="T306" s="10" t="n">
        <v>0</v>
      </c>
      <c r="V306" s="1" t="n">
        <v>3268.5</v>
      </c>
      <c r="X306" s="1" t="n">
        <v>296559.1</v>
      </c>
      <c r="Y306" s="1" t="n">
        <f aca="false">Y305+V306</f>
        <v>9828.7</v>
      </c>
      <c r="AA306" s="1" t="n">
        <v>15.8644416599484</v>
      </c>
    </row>
    <row r="307" customFormat="false" ht="15" hidden="false" customHeight="false" outlineLevel="0" collapsed="false">
      <c r="A307" s="54"/>
      <c r="B307" s="52"/>
      <c r="C307" s="8" t="n">
        <v>42188</v>
      </c>
      <c r="D307" s="1" t="n">
        <v>28.7</v>
      </c>
      <c r="E307" s="1" t="n">
        <v>20.6</v>
      </c>
      <c r="F307" s="1" t="n">
        <v>34.7</v>
      </c>
      <c r="G307" s="1" t="n">
        <v>3120</v>
      </c>
      <c r="H307" s="1" t="n">
        <f aca="false">H306+D307</f>
        <v>509.9</v>
      </c>
      <c r="J307" s="1" t="n">
        <v>0</v>
      </c>
      <c r="K307" s="1" t="n">
        <f aca="false">K306+J307</f>
        <v>666.6</v>
      </c>
      <c r="L307" s="1" t="n">
        <v>7.7</v>
      </c>
      <c r="M307" s="1" t="n">
        <f aca="false">M306+L307</f>
        <v>552.5</v>
      </c>
      <c r="N307" s="1" t="n">
        <v>-7.7</v>
      </c>
      <c r="O307" s="1" t="n">
        <v>0</v>
      </c>
      <c r="P307" s="1" t="n">
        <v>302</v>
      </c>
      <c r="Q307" s="11" t="n">
        <f aca="false">1.15+((P307-260)/48)*(0.35-1.15)</f>
        <v>0.45</v>
      </c>
      <c r="R307" s="10" t="n">
        <f aca="false">Q307*L307</f>
        <v>3.465</v>
      </c>
      <c r="S307" s="10" t="n">
        <f aca="false">J307-R307</f>
        <v>-3.465</v>
      </c>
      <c r="T307" s="10" t="n">
        <v>0</v>
      </c>
      <c r="V307" s="1" t="n">
        <v>2947.3</v>
      </c>
      <c r="X307" s="1" t="n">
        <v>299506.4</v>
      </c>
      <c r="Y307" s="1" t="n">
        <f aca="false">Y306+V307</f>
        <v>12776</v>
      </c>
      <c r="AA307" s="1" t="n">
        <v>15.8503888714531</v>
      </c>
    </row>
    <row r="308" customFormat="false" ht="15" hidden="false" customHeight="false" outlineLevel="0" collapsed="false">
      <c r="A308" s="54"/>
      <c r="B308" s="52"/>
      <c r="C308" s="8" t="n">
        <v>42189</v>
      </c>
      <c r="D308" s="1" t="n">
        <v>28.7</v>
      </c>
      <c r="E308" s="1" t="n">
        <v>23.9</v>
      </c>
      <c r="F308" s="1" t="n">
        <v>36.2</v>
      </c>
      <c r="G308" s="1" t="n">
        <v>3148.7</v>
      </c>
      <c r="H308" s="1" t="n">
        <f aca="false">H307+D308</f>
        <v>538.6</v>
      </c>
      <c r="J308" s="1" t="n">
        <v>0</v>
      </c>
      <c r="K308" s="1" t="n">
        <f aca="false">K307+J308</f>
        <v>666.6</v>
      </c>
      <c r="L308" s="1" t="n">
        <v>8.1</v>
      </c>
      <c r="M308" s="1" t="n">
        <f aca="false">M307+L308</f>
        <v>560.6</v>
      </c>
      <c r="N308" s="1" t="n">
        <v>-8.1</v>
      </c>
      <c r="O308" s="1" t="n">
        <v>0</v>
      </c>
      <c r="P308" s="1" t="n">
        <v>303</v>
      </c>
      <c r="Q308" s="11" t="n">
        <f aca="false">1.15+((P308-260)/48)*(0.35-1.15)</f>
        <v>0.433333333333333</v>
      </c>
      <c r="R308" s="10" t="n">
        <f aca="false">Q308*L308</f>
        <v>3.51</v>
      </c>
      <c r="S308" s="10" t="n">
        <f aca="false">J308-R308</f>
        <v>-3.51</v>
      </c>
      <c r="T308" s="10" t="n">
        <v>0</v>
      </c>
      <c r="V308" s="1" t="n">
        <v>2763.9</v>
      </c>
      <c r="X308" s="1" t="n">
        <v>302270.3</v>
      </c>
      <c r="Y308" s="1" t="n">
        <f aca="false">Y307+V308</f>
        <v>15539.9</v>
      </c>
      <c r="AA308" s="1" t="n">
        <v>15.8350563680323</v>
      </c>
    </row>
    <row r="309" customFormat="false" ht="15" hidden="false" customHeight="false" outlineLevel="0" collapsed="false">
      <c r="A309" s="54"/>
      <c r="B309" s="52"/>
      <c r="C309" s="8" t="n">
        <v>42190</v>
      </c>
      <c r="D309" s="1" t="n">
        <v>27.9</v>
      </c>
      <c r="E309" s="1" t="n">
        <v>21.5</v>
      </c>
      <c r="F309" s="1" t="n">
        <v>34.7</v>
      </c>
      <c r="G309" s="1" t="n">
        <v>3176.6</v>
      </c>
      <c r="H309" s="1" t="n">
        <f aca="false">H308+D309</f>
        <v>566.5</v>
      </c>
      <c r="J309" s="1" t="n">
        <v>1.4</v>
      </c>
      <c r="K309" s="1" t="n">
        <f aca="false">K308+J309</f>
        <v>668</v>
      </c>
      <c r="L309" s="1" t="n">
        <v>7</v>
      </c>
      <c r="M309" s="1" t="n">
        <f aca="false">M308+L309</f>
        <v>567.6</v>
      </c>
      <c r="N309" s="1" t="n">
        <v>-5.6</v>
      </c>
      <c r="O309" s="1" t="n">
        <v>0</v>
      </c>
      <c r="P309" s="1" t="n">
        <v>304</v>
      </c>
      <c r="Q309" s="11" t="n">
        <f aca="false">1.15+((P309-260)/48)*(0.35-1.15)</f>
        <v>0.416666666666667</v>
      </c>
      <c r="R309" s="10" t="n">
        <f aca="false">Q309*L309</f>
        <v>2.91666666666667</v>
      </c>
      <c r="S309" s="10" t="n">
        <f aca="false">J309-R309</f>
        <v>-1.51666666666667</v>
      </c>
      <c r="T309" s="10" t="n">
        <v>0</v>
      </c>
      <c r="V309" s="1" t="n">
        <v>2334.3</v>
      </c>
      <c r="X309" s="1" t="n">
        <v>304604.6</v>
      </c>
      <c r="Y309" s="1" t="n">
        <f aca="false">Y308+V309</f>
        <v>17874.2</v>
      </c>
      <c r="AA309" s="1" t="n">
        <v>15.8184592605141</v>
      </c>
    </row>
    <row r="310" customFormat="false" ht="15" hidden="false" customHeight="false" outlineLevel="0" collapsed="false">
      <c r="A310" s="54"/>
      <c r="B310" s="52"/>
      <c r="C310" s="8" t="n">
        <v>42191</v>
      </c>
      <c r="D310" s="1" t="n">
        <v>25.6</v>
      </c>
      <c r="E310" s="1" t="n">
        <v>20.7</v>
      </c>
      <c r="F310" s="1" t="n">
        <v>30.6</v>
      </c>
      <c r="G310" s="1" t="n">
        <v>3202.2</v>
      </c>
      <c r="H310" s="1" t="n">
        <f aca="false">H309+D310</f>
        <v>592.1</v>
      </c>
      <c r="J310" s="1" t="n">
        <v>0</v>
      </c>
      <c r="K310" s="1" t="n">
        <f aca="false">K309+J310</f>
        <v>668</v>
      </c>
      <c r="L310" s="1" t="n">
        <v>8</v>
      </c>
      <c r="M310" s="1" t="n">
        <f aca="false">M309+L310</f>
        <v>575.6</v>
      </c>
      <c r="N310" s="1" t="n">
        <v>-8</v>
      </c>
      <c r="O310" s="1" t="n">
        <v>0</v>
      </c>
      <c r="P310" s="1" t="n">
        <v>305</v>
      </c>
      <c r="Q310" s="11" t="n">
        <f aca="false">1.15+((P310-260)/48)*(0.35-1.15)</f>
        <v>0.4</v>
      </c>
      <c r="R310" s="10" t="n">
        <f aca="false">Q310*L310</f>
        <v>3.2</v>
      </c>
      <c r="S310" s="10" t="n">
        <f aca="false">J310-R310</f>
        <v>-3.2</v>
      </c>
      <c r="T310" s="10" t="n">
        <v>0</v>
      </c>
      <c r="V310" s="1" t="n">
        <v>3246</v>
      </c>
      <c r="X310" s="1" t="n">
        <v>307850.6</v>
      </c>
      <c r="Y310" s="1" t="n">
        <f aca="false">Y309+V310</f>
        <v>21120.2</v>
      </c>
      <c r="AA310" s="1" t="n">
        <v>15.8006136842875</v>
      </c>
    </row>
    <row r="311" customFormat="false" ht="15" hidden="false" customHeight="false" outlineLevel="0" collapsed="false">
      <c r="A311" s="54"/>
      <c r="B311" s="52"/>
      <c r="C311" s="8" t="n">
        <v>42192</v>
      </c>
      <c r="D311" s="1" t="n">
        <v>27.4</v>
      </c>
      <c r="E311" s="1" t="n">
        <v>20.7</v>
      </c>
      <c r="F311" s="1" t="n">
        <v>35.3</v>
      </c>
      <c r="G311" s="1" t="n">
        <v>3229.6</v>
      </c>
      <c r="H311" s="1" t="n">
        <f aca="false">H310+D311</f>
        <v>619.5</v>
      </c>
      <c r="J311" s="1" t="n">
        <v>0</v>
      </c>
      <c r="K311" s="1" t="n">
        <f aca="false">K310+J311</f>
        <v>668</v>
      </c>
      <c r="L311" s="1" t="n">
        <v>8.5</v>
      </c>
      <c r="M311" s="1" t="n">
        <f aca="false">M310+L311</f>
        <v>584.1</v>
      </c>
      <c r="N311" s="1" t="n">
        <v>-8.5</v>
      </c>
      <c r="O311" s="1" t="n">
        <v>0</v>
      </c>
      <c r="P311" s="1" t="n">
        <v>306</v>
      </c>
      <c r="Q311" s="11" t="n">
        <f aca="false">1.15+((P311-260)/48)*(0.35-1.15)</f>
        <v>0.383333333333333</v>
      </c>
      <c r="R311" s="10" t="n">
        <f aca="false">Q311*L311</f>
        <v>3.25833333333333</v>
      </c>
      <c r="S311" s="10" t="n">
        <f aca="false">J311-R311</f>
        <v>-3.25833333333333</v>
      </c>
      <c r="T311" s="10" t="n">
        <v>0</v>
      </c>
      <c r="V311" s="1" t="n">
        <v>2912.2</v>
      </c>
      <c r="X311" s="1" t="n">
        <v>310762.8</v>
      </c>
      <c r="Y311" s="1" t="n">
        <f aca="false">Y310+V311</f>
        <v>24032.4</v>
      </c>
      <c r="AA311" s="1" t="n">
        <v>15.7815367445688</v>
      </c>
    </row>
    <row r="312" customFormat="false" ht="15" hidden="false" customHeight="false" outlineLevel="0" collapsed="false">
      <c r="A312" s="54"/>
      <c r="B312" s="52"/>
      <c r="C312" s="8" t="n">
        <v>42193</v>
      </c>
      <c r="D312" s="1" t="n">
        <v>20.7</v>
      </c>
      <c r="E312" s="1" t="n">
        <v>18.7</v>
      </c>
      <c r="F312" s="1" t="n">
        <v>22.4</v>
      </c>
      <c r="G312" s="1" t="n">
        <v>3250.3</v>
      </c>
      <c r="H312" s="1" t="n">
        <f aca="false">H311+D312</f>
        <v>640.2</v>
      </c>
      <c r="J312" s="1" t="n">
        <v>0</v>
      </c>
      <c r="K312" s="1" t="n">
        <f aca="false">K311+J312</f>
        <v>668</v>
      </c>
      <c r="L312" s="1" t="n">
        <v>5.2</v>
      </c>
      <c r="M312" s="1" t="n">
        <f aca="false">M311+L312</f>
        <v>589.3</v>
      </c>
      <c r="N312" s="1" t="n">
        <v>-5.2</v>
      </c>
      <c r="O312" s="1" t="n">
        <v>0</v>
      </c>
      <c r="P312" s="1" t="n">
        <v>307</v>
      </c>
      <c r="Q312" s="11" t="n">
        <f aca="false">1.15+((P312-260)/48)*(0.35-1.15)</f>
        <v>0.366666666666667</v>
      </c>
      <c r="R312" s="10" t="n">
        <f aca="false">Q312*L312</f>
        <v>1.90666666666667</v>
      </c>
      <c r="S312" s="10" t="n">
        <f aca="false">J312-R312</f>
        <v>-1.90666666666667</v>
      </c>
      <c r="T312" s="10" t="n">
        <v>0</v>
      </c>
      <c r="V312" s="1" t="n">
        <v>1733.1</v>
      </c>
      <c r="X312" s="1" t="n">
        <v>312495.9</v>
      </c>
      <c r="Y312" s="1" t="n">
        <f aca="false">Y311+V312</f>
        <v>25765.5</v>
      </c>
      <c r="AA312" s="1" t="n">
        <v>15.7612464594589</v>
      </c>
    </row>
    <row r="313" customFormat="false" ht="15" hidden="false" customHeight="false" outlineLevel="0" collapsed="false">
      <c r="A313" s="54"/>
      <c r="B313" s="52"/>
      <c r="C313" s="8" t="n">
        <v>42194</v>
      </c>
      <c r="D313" s="1" t="n">
        <v>19.9</v>
      </c>
      <c r="E313" s="1" t="n">
        <v>16.8</v>
      </c>
      <c r="F313" s="1" t="n">
        <v>23.7</v>
      </c>
      <c r="G313" s="1" t="n">
        <v>3270.2</v>
      </c>
      <c r="H313" s="1" t="n">
        <f aca="false">H312+D313</f>
        <v>660.1</v>
      </c>
      <c r="J313" s="1" t="n">
        <v>0</v>
      </c>
      <c r="K313" s="1" t="n">
        <f aca="false">K312+J313</f>
        <v>668</v>
      </c>
      <c r="L313" s="1" t="n">
        <v>4.6</v>
      </c>
      <c r="M313" s="1" t="n">
        <f aca="false">M312+L313</f>
        <v>593.9</v>
      </c>
      <c r="N313" s="1" t="n">
        <v>-4.6</v>
      </c>
      <c r="O313" s="1" t="n">
        <v>0</v>
      </c>
      <c r="P313" s="1" t="n">
        <v>308</v>
      </c>
      <c r="Q313" s="11" t="n">
        <f aca="false">1.15+((P313-260)/48)*(0.35-1.15)</f>
        <v>0.35</v>
      </c>
      <c r="R313" s="10" t="n">
        <f aca="false">Q313*L313</f>
        <v>1.61</v>
      </c>
      <c r="S313" s="10" t="n">
        <f aca="false">J313-R313</f>
        <v>-1.61</v>
      </c>
      <c r="T313" s="10" t="n">
        <v>0</v>
      </c>
      <c r="V313" s="1" t="n">
        <v>1855.6</v>
      </c>
      <c r="X313" s="1" t="n">
        <v>314351.5</v>
      </c>
      <c r="Y313" s="1" t="n">
        <f aca="false">Y312+V313</f>
        <v>27621.1</v>
      </c>
      <c r="AA313" s="1" t="n">
        <v>15.7397617011619</v>
      </c>
    </row>
    <row r="314" customFormat="false" ht="15" hidden="false" customHeight="true" outlineLevel="0" collapsed="false">
      <c r="A314" s="55" t="s">
        <v>68</v>
      </c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</sheetData>
  <mergeCells count="14">
    <mergeCell ref="D1:I2"/>
    <mergeCell ref="J1:U2"/>
    <mergeCell ref="V1:Z2"/>
    <mergeCell ref="P3:T3"/>
    <mergeCell ref="G4:H4"/>
    <mergeCell ref="X4:Y4"/>
    <mergeCell ref="A5:Z5"/>
    <mergeCell ref="A6:A90"/>
    <mergeCell ref="A91:A182"/>
    <mergeCell ref="A183:A223"/>
    <mergeCell ref="A245:A265"/>
    <mergeCell ref="A266:A282"/>
    <mergeCell ref="A283:A303"/>
    <mergeCell ref="A314:Z314"/>
  </mergeCells>
  <conditionalFormatting sqref="V6:V313">
    <cfRule type="cellIs" priority="2" operator="lessThanOrEqual" aboveAverage="0" equalAverage="0" bottom="0" percent="0" rank="0" text="" dxfId="0">
      <formula>900</formula>
    </cfRule>
  </conditionalFormatting>
  <conditionalFormatting sqref="T5:T314">
    <cfRule type="cellIs" priority="3" operator="equal" aboveAverage="0" equalAverage="0" bottom="0" percent="0" rank="0" text="" dxfId="1">
      <formula>0</formula>
    </cfRule>
    <cfRule type="cellIs" priority="4" operator="lessThanOrEqual" aboveAverage="0" equalAverage="0" bottom="0" percent="0" rank="0" text="" dxfId="2">
      <formula>40.7</formula>
    </cfRule>
  </conditionalFormatting>
  <conditionalFormatting sqref="S6:S313">
    <cfRule type="cellIs" priority="5" operator="lessThanOrEqual" aboveAverage="0" equalAverage="0" bottom="0" percent="0" rank="0" text="" dxfId="3">
      <formula>0</formula>
    </cfRule>
  </conditionalFormatting>
  <conditionalFormatting sqref="N6:N313 O7">
    <cfRule type="cellIs" priority="6" operator="lessThanOrEqual" aboveAverage="0" equalAverage="0" bottom="0" percent="0" rank="0" text="" dxfId="4">
      <formula>0</formula>
    </cfRule>
  </conditionalFormatting>
  <conditionalFormatting sqref="D6:F313 I100 I102 I104 I196 I190 I192 I194 I231 I233 I235 I237 I252 I254 I256 I258 I273 I275 I277 I279 I290 I292 I294 I296">
    <cfRule type="cellIs" priority="7" operator="greaterThanOrEqual" aboveAverage="0" equalAverage="0" bottom="0" percent="0" rank="0" text="" dxfId="5">
      <formula>25</formula>
    </cfRule>
    <cfRule type="cellIs" priority="8" operator="greaterThanOrEqual" aboveAverage="0" equalAverage="0" bottom="0" percent="0" rank="0" text="" dxfId="6">
      <formula>25</formula>
    </cfRule>
    <cfRule type="cellIs" priority="9" operator="between" aboveAverage="0" equalAverage="0" bottom="0" percent="0" rank="0" text="" dxfId="7">
      <formula>0</formula>
      <formula>5</formula>
    </cfRule>
    <cfRule type="cellIs" priority="10" operator="lessThan" aboveAverage="0" equalAverage="0" bottom="0" percent="0" rank="0" text="" dxfId="8">
      <formula>0</formula>
    </cfRule>
  </conditionalFormatting>
  <conditionalFormatting sqref="T1:T4">
    <cfRule type="cellIs" priority="11" operator="equal" aboveAverage="0" equalAverage="0" bottom="0" percent="0" rank="0" text="" dxfId="9">
      <formula>0</formula>
    </cfRule>
    <cfRule type="cellIs" priority="12" operator="lessThanOrEqual" aboveAverage="0" equalAverage="0" bottom="0" percent="0" rank="0" text="" dxfId="10">
      <formula>40.7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  <Company>INRA - RENNES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2019-10-22T07:00:24Z</dcterms:created>
  <dc:creator>adminigepp</dc:creator>
  <dc:description/>
  <dc:language>fr-FR</dc:language>
  <cp:lastModifiedBy/>
  <dcterms:modified xsi:type="dcterms:W3CDTF">2025-12-09T13:43:32Z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